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creased" sheetId="1" r:id="rId5"/>
    <sheet state="visible" name="Resultados" sheetId="2" r:id="rId6"/>
    <sheet state="visible" name="Audit_Log" sheetId="3" r:id="rId7"/>
    <sheet state="visible" name="Disputa_Respuestas" sheetId="4" r:id="rId8"/>
    <sheet state="visible" name="Ajustes_Traslados" sheetId="5" r:id="rId9"/>
    <sheet state="visible" name="Traslados_Temporales" sheetId="6" r:id="rId10"/>
    <sheet state="visible" name="Ajustes_Recalculo" sheetId="7" r:id="rId11"/>
    <sheet state="visible" name="Incentivos_Participantes" sheetId="8" r:id="rId12"/>
    <sheet state="hidden" name="Additional Incentive" sheetId="9" r:id="rId13"/>
    <sheet state="hidden" name="KPIS" sheetId="10" r:id="rId14"/>
    <sheet state="hidden" name="Incentivos_12" sheetId="11" r:id="rId15"/>
    <sheet state="visible" name="H_C" sheetId="12" r:id="rId16"/>
    <sheet state="visible" name="Hoja 5" sheetId="13" r:id="rId17"/>
    <sheet state="visible" name="Registro_pisos" sheetId="14" r:id="rId18"/>
    <sheet state="visible" name="Metricas" sheetId="15" r:id="rId19"/>
    <sheet state="hidden" name="Historial" sheetId="16" r:id="rId20"/>
    <sheet state="hidden" name="Ruleta" sheetId="17" r:id="rId21"/>
    <sheet state="visible" name="Registro" sheetId="18" r:id="rId22"/>
    <sheet state="hidden" name="correos" sheetId="19" r:id="rId23"/>
    <sheet state="visible" name="Usuario" sheetId="20" r:id="rId24"/>
    <sheet state="visible" name="Configuracion" sheetId="21" r:id="rId25"/>
    <sheet state="visible" name="Pivot Table 1" sheetId="22" r:id="rId26"/>
    <sheet state="visible" name="Disputa" sheetId="23" r:id="rId27"/>
    <sheet state="visible" name="Audit" sheetId="24" r:id="rId28"/>
    <sheet state="visible" name="Historico_MAX" sheetId="25" r:id="rId29"/>
    <sheet state="visible" name="incentivos" sheetId="26" r:id="rId30"/>
  </sheets>
  <definedNames>
    <definedName hidden="1" localSheetId="11" name="_xlnm._FilterDatabase">H_C!$A$1:$J$5374</definedName>
    <definedName hidden="1" localSheetId="14" name="_xlnm._FilterDatabase">Metricas!$A$1:$O$991</definedName>
    <definedName hidden="1" localSheetId="18" name="_xlnm._FilterDatabase">correos!$A$1:$F$313</definedName>
    <definedName hidden="1" localSheetId="19" name="_xlnm._FilterDatabase">Usuario!$A$1:$P$3091</definedName>
    <definedName hidden="1" localSheetId="23" name="_xlnm._FilterDatabase">Audit!$A$1:$O$216</definedName>
  </definedNames>
  <calcPr/>
  <pivotCaches>
    <pivotCache cacheId="0" r:id="rId31"/>
  </pivotCaches>
</workbook>
</file>

<file path=xl/sharedStrings.xml><?xml version="1.0" encoding="utf-8"?>
<sst xmlns="http://schemas.openxmlformats.org/spreadsheetml/2006/main" count="47317" uniqueCount="7198">
  <si>
    <t>Score_iNC</t>
  </si>
  <si>
    <t>&lt;=16%</t>
  </si>
  <si>
    <t>October</t>
  </si>
  <si>
    <t>Ospina, Michel</t>
  </si>
  <si>
    <t>mospin@ext.uber.com</t>
  </si>
  <si>
    <t>ACCM</t>
  </si>
  <si>
    <t>agente</t>
  </si>
  <si>
    <t>1_Stars_Percentage</t>
  </si>
  <si>
    <t>&lt;</t>
  </si>
  <si>
    <t>Latam Eater Ring Fence</t>
  </si>
  <si>
    <t>LatAm U4B Triage</t>
  </si>
  <si>
    <t>ABS Injus</t>
  </si>
  <si>
    <t>Quality@Uber</t>
  </si>
  <si>
    <t>US Spa Earner Acc/Pay</t>
  </si>
  <si>
    <t>&lt;=</t>
  </si>
  <si>
    <t>BMS ID</t>
  </si>
  <si>
    <t>Nombre</t>
  </si>
  <si>
    <t>LOB</t>
  </si>
  <si>
    <t>Mes</t>
  </si>
  <si>
    <t>Salario</t>
  </si>
  <si>
    <t>Salario Personalizado</t>
  </si>
  <si>
    <t>Total Keys</t>
  </si>
  <si>
    <t>Total Bonus</t>
  </si>
  <si>
    <t>Total Additional</t>
  </si>
  <si>
    <t>Total Decreased</t>
  </si>
  <si>
    <t>Total General</t>
  </si>
  <si>
    <t>Razón Cero</t>
  </si>
  <si>
    <t>Fecha Cálculo</t>
  </si>
  <si>
    <t>Pinzon, Cindy - 6682</t>
  </si>
  <si>
    <t>NO</t>
  </si>
  <si>
    <t>Castaneda, Maria - 6053</t>
  </si>
  <si>
    <t>MartinezS, Sebastian - 5695</t>
  </si>
  <si>
    <t>Villada, Maria - 0648</t>
  </si>
  <si>
    <t>Gomez, Patricia - 4085</t>
  </si>
  <si>
    <t>Gomez, Erik - 0218</t>
  </si>
  <si>
    <t>Espitia, Margy - 4273</t>
  </si>
  <si>
    <t>Guerra, Pablo - 4515</t>
  </si>
  <si>
    <t>DiazV, Nicolas - 7160</t>
  </si>
  <si>
    <t>Ortega, Ana - 1467</t>
  </si>
  <si>
    <t>Camacho, Danna - 1481</t>
  </si>
  <si>
    <t>Omana, Juan - 1967</t>
  </si>
  <si>
    <t>Munoz, Astrid - 1677</t>
  </si>
  <si>
    <t>RodriguezR, Camilo - 2596</t>
  </si>
  <si>
    <t>Portocarrero, Zuanny - 4626</t>
  </si>
  <si>
    <t>Montero, Lina - 1496</t>
  </si>
  <si>
    <t>Huerfano, Juan - 0998</t>
  </si>
  <si>
    <t>Bernal, Maria - 1003</t>
  </si>
  <si>
    <t>Zerpa, Leonardo - 1006</t>
  </si>
  <si>
    <t>Estupinan, Alex - 7776</t>
  </si>
  <si>
    <t>Bogota, Yurian - 7778</t>
  </si>
  <si>
    <t>GarciaO, Juan - 1414</t>
  </si>
  <si>
    <t>Soche, Daniel - 3582</t>
  </si>
  <si>
    <t>Prada, Jose - 3703</t>
  </si>
  <si>
    <t>Ibito, Laura - 4615</t>
  </si>
  <si>
    <t>Orduna, Cesar - 6664</t>
  </si>
  <si>
    <t>Ibanez, Ana - 9458</t>
  </si>
  <si>
    <t>Diaz, Nicolas - 9465</t>
  </si>
  <si>
    <t>Garcia, Jeffry - 7498</t>
  </si>
  <si>
    <t>Ferrer, Liliana - 9454</t>
  </si>
  <si>
    <t>Arias, Natalia - 8863</t>
  </si>
  <si>
    <t>Goez, Angie - 6155</t>
  </si>
  <si>
    <t>Rincon, Estefania - 7184</t>
  </si>
  <si>
    <t>Guerrero, Luisa - 8085</t>
  </si>
  <si>
    <t>Pena, Marianggela - 8244</t>
  </si>
  <si>
    <t>Barriga, Adriana - 9879</t>
  </si>
  <si>
    <t>Moyano, Valeria - 9948</t>
  </si>
  <si>
    <t>CamachoQ, Laura - 2754</t>
  </si>
  <si>
    <t>Torres, Carla - 8028</t>
  </si>
  <si>
    <t>Ortiz, Jonathan - 3585</t>
  </si>
  <si>
    <t>Vargas, Maria - 6274</t>
  </si>
  <si>
    <t>Ramirez, Erika - 1744</t>
  </si>
  <si>
    <t>Garzon, Maria Del Mar - 1748</t>
  </si>
  <si>
    <t>TOTAL LOB</t>
  </si>
  <si>
    <t>Timestamp</t>
  </si>
  <si>
    <t>Tipo Acción</t>
  </si>
  <si>
    <t>Usuario</t>
  </si>
  <si>
    <t>Decisión</t>
  </si>
  <si>
    <t>Detalles</t>
  </si>
  <si>
    <t>Respuesta Disputa</t>
  </si>
  <si>
    <t>mikenet11@gmail.com</t>
  </si>
  <si>
    <t>Cortes, Daniel - 6192</t>
  </si>
  <si>
    <t>US Cross Support</t>
  </si>
  <si>
    <t>RECHAZADA</t>
  </si>
  <si>
    <t>werwerwer</t>
  </si>
  <si>
    <t>Zamorano, Kevin - 0995</t>
  </si>
  <si>
    <t>APROBADA</t>
  </si>
  <si>
    <t>sdfsdfsdfsdf</t>
  </si>
  <si>
    <t>Sanchez, Karen - 4860</t>
  </si>
  <si>
    <t>werwer</t>
  </si>
  <si>
    <t>ID Disputa</t>
  </si>
  <si>
    <t>Fecha Disputa</t>
  </si>
  <si>
    <t>Estado Original</t>
  </si>
  <si>
    <t>Estado Nuevo</t>
  </si>
  <si>
    <t>Respuesta</t>
  </si>
  <si>
    <t>Monto Ajustado</t>
  </si>
  <si>
    <t>Usuario Responde</t>
  </si>
  <si>
    <t>Fecha Respuesta</t>
  </si>
  <si>
    <t>Comentario Interno</t>
  </si>
  <si>
    <t>2025-11-06T16:46:27.687Z</t>
  </si>
  <si>
    <t>Pendiente</t>
  </si>
  <si>
    <t>❌ Rechazada</t>
  </si>
  <si>
    <t>2025-11-05T03:18:39.141Z</t>
  </si>
  <si>
    <t>✅ Aprobada</t>
  </si>
  <si>
    <t>miekangelo</t>
  </si>
  <si>
    <t>2025-11-06T16:44:53.916Z</t>
  </si>
  <si>
    <t>Fecha Traslado</t>
  </si>
  <si>
    <t>Fecha HC</t>
  </si>
  <si>
    <t>Mes CDM</t>
  </si>
  <si>
    <t>LOB Anterior</t>
  </si>
  <si>
    <t>LOB Nueva</t>
  </si>
  <si>
    <t>Nota</t>
  </si>
  <si>
    <t>Enero</t>
  </si>
  <si>
    <t>SanchezC, Natalia - 4806</t>
  </si>
  <si>
    <t>Eats Phone US LO</t>
  </si>
  <si>
    <t>Traslado temporal</t>
  </si>
  <si>
    <t>Fuertes, Onedis - 1000</t>
  </si>
  <si>
    <t>US Spa Consumer ACC</t>
  </si>
  <si>
    <t>Caceres, Sara - 6059</t>
  </si>
  <si>
    <t>US Phone Earner Priority</t>
  </si>
  <si>
    <t>Pinto, Laura - 8777</t>
  </si>
  <si>
    <t>US Phone Earner Diamond</t>
  </si>
  <si>
    <t>US Phone Eng VS</t>
  </si>
  <si>
    <t>LOB Original</t>
  </si>
  <si>
    <t>LOB Destino</t>
  </si>
  <si>
    <t>Fecha KPI</t>
  </si>
  <si>
    <t>Estado</t>
  </si>
  <si>
    <t>Fecha Fin</t>
  </si>
  <si>
    <t>Fecha Registro</t>
  </si>
  <si>
    <t>LOB Cálculo</t>
  </si>
  <si>
    <t>Guzman, Paula - 8841</t>
  </si>
  <si>
    <t>KPI</t>
  </si>
  <si>
    <t>Bono</t>
  </si>
  <si>
    <t>Posición</t>
  </si>
  <si>
    <t>Participante</t>
  </si>
  <si>
    <t>Gomez, Luisa - 4855</t>
  </si>
  <si>
    <t>Puentes, Anderson - 0362</t>
  </si>
  <si>
    <t>KPI_INC_1</t>
  </si>
  <si>
    <t>TOAST</t>
  </si>
  <si>
    <t>SHK TK</t>
  </si>
  <si>
    <t>TPH</t>
  </si>
  <si>
    <t>soporte</t>
  </si>
  <si>
    <t>KPI Octubre</t>
  </si>
  <si>
    <t>Tickets_Solved_Volume</t>
  </si>
  <si>
    <t>Machine Learning</t>
  </si>
  <si>
    <t>KPIS</t>
  </si>
  <si>
    <t>SCORE</t>
  </si>
  <si>
    <t>SI</t>
  </si>
  <si>
    <t>Abandon_Percentage</t>
  </si>
  <si>
    <t>1_Stars_Volume</t>
  </si>
  <si>
    <t>ABS</t>
  </si>
  <si>
    <t>Abandon_&amp;_Skips_Percentage</t>
  </si>
  <si>
    <t>ABS Jus</t>
  </si>
  <si>
    <t>Abandon_Volume</t>
  </si>
  <si>
    <t>AHT</t>
  </si>
  <si>
    <t>ATRR</t>
  </si>
  <si>
    <t>CSAT</t>
  </si>
  <si>
    <t>FCR</t>
  </si>
  <si>
    <t>ADH</t>
  </si>
  <si>
    <t>Invalid_Transfers_Percentage</t>
  </si>
  <si>
    <t>Answered_Volume</t>
  </si>
  <si>
    <t>Skips_Percentage</t>
  </si>
  <si>
    <t>Awaiting_Reply_Volume</t>
  </si>
  <si>
    <t>Callback_Outflow_Volume</t>
  </si>
  <si>
    <t>Total_Views_Volume</t>
  </si>
  <si>
    <t>Cherry_Picked_Percentage</t>
  </si>
  <si>
    <t>Cherry_Picked_Volume</t>
  </si>
  <si>
    <t>Concurrency</t>
  </si>
  <si>
    <t>Converted_Chats_Percentage</t>
  </si>
  <si>
    <t>CPH</t>
  </si>
  <si>
    <t>Dial_Time_Mins</t>
  </si>
  <si>
    <t>DSAT</t>
  </si>
  <si>
    <t>Hold_Mins</t>
  </si>
  <si>
    <t>HoldTime_Percentage</t>
  </si>
  <si>
    <t>Inbound_Call_Volume</t>
  </si>
  <si>
    <t>LAPH</t>
  </si>
  <si>
    <t>NPV_Percentage</t>
  </si>
  <si>
    <t>On_Queue_Elapsed_Time</t>
  </si>
  <si>
    <t>Open_Tickets_Volume</t>
  </si>
  <si>
    <t>PPH</t>
  </si>
  <si>
    <t>REM_Percentage</t>
  </si>
  <si>
    <t>Reopen_Tickets_Percentage</t>
  </si>
  <si>
    <t>Shift_Completion_Percentage</t>
  </si>
  <si>
    <t>ShortCalls_Volume</t>
  </si>
  <si>
    <t>SLA_Percentage</t>
  </si>
  <si>
    <t>Survey_Rate</t>
  </si>
  <si>
    <t>Talk_Time_Mins</t>
  </si>
  <si>
    <t>Transferred_Chats_Percetage</t>
  </si>
  <si>
    <t>Transfers_Volume</t>
  </si>
  <si>
    <t>WrapUp_Time_Mins</t>
  </si>
  <si>
    <t>WrapUp_Time_Percentage</t>
  </si>
  <si>
    <t xml:space="preserve">  </t>
  </si>
  <si>
    <t>Fecha</t>
  </si>
  <si>
    <t>Nombre_incen</t>
  </si>
  <si>
    <t>Fecha inicio</t>
  </si>
  <si>
    <t>fecha fin</t>
  </si>
  <si>
    <t>kpi</t>
  </si>
  <si>
    <t>condicion_general</t>
  </si>
  <si>
    <t>score_general</t>
  </si>
  <si>
    <t>valor_general</t>
  </si>
  <si>
    <t xml:space="preserve"> operador (Piso 1)</t>
  </si>
  <si>
    <t xml:space="preserve"> Key</t>
  </si>
  <si>
    <t>Score Key</t>
  </si>
  <si>
    <t>operador (Piso 2)</t>
  </si>
  <si>
    <t>score_2 (Piso 2)</t>
  </si>
  <si>
    <t>valor_(Piso 2)</t>
  </si>
  <si>
    <t>operador (Piso 3)</t>
  </si>
  <si>
    <t>score (Piso 2)</t>
  </si>
  <si>
    <t>valor_piso_3</t>
  </si>
  <si>
    <t>bms id</t>
  </si>
  <si>
    <t>Latam U4B Phone Sales Churn12</t>
  </si>
  <si>
    <t>31/08/2025</t>
  </si>
  <si>
    <t>(≥)</t>
  </si>
  <si>
    <t>(&gt;)</t>
  </si>
  <si>
    <t>ccms id</t>
  </si>
  <si>
    <t>CE</t>
  </si>
  <si>
    <t>Role</t>
  </si>
  <si>
    <t>Supervisor</t>
  </si>
  <si>
    <t>OAM</t>
  </si>
  <si>
    <t>OM</t>
  </si>
  <si>
    <t>Ext Account</t>
  </si>
  <si>
    <t>Region</t>
  </si>
  <si>
    <t>horas</t>
  </si>
  <si>
    <t>Latam Earner Conversion</t>
  </si>
  <si>
    <t>Londono, Isabel - 8954</t>
  </si>
  <si>
    <t>Customer Expert</t>
  </si>
  <si>
    <t>Hernandez, Carlos</t>
  </si>
  <si>
    <t>Ayala, Jennifer</t>
  </si>
  <si>
    <t>Soler, Maria</t>
  </si>
  <si>
    <t>ilondo1@ext.uber.com</t>
  </si>
  <si>
    <t>Rebel LatAm</t>
  </si>
  <si>
    <t>Hernande, Edith - 3140</t>
  </si>
  <si>
    <t>eherna48@ext.uber.com</t>
  </si>
  <si>
    <t>Earner Conversion Chat</t>
  </si>
  <si>
    <t>Hernandez, Carla - 2718</t>
  </si>
  <si>
    <t>SME</t>
  </si>
  <si>
    <t>Munoz, Manuela</t>
  </si>
  <si>
    <t>cherna85@ext.uber.com</t>
  </si>
  <si>
    <t>Gonzalez, Erika - 7226</t>
  </si>
  <si>
    <t>egonza31@ext.uber.com</t>
  </si>
  <si>
    <t>Earner Conversion WhatsApp</t>
  </si>
  <si>
    <t>Ospina, Paula - 1763</t>
  </si>
  <si>
    <t>Quintero, Yesica</t>
  </si>
  <si>
    <t>Galvis, Leslie</t>
  </si>
  <si>
    <t>pospin1@ext.uber.com</t>
  </si>
  <si>
    <t>Olmos, Kelly - 8879</t>
  </si>
  <si>
    <t>kolmos2@ext.uber.com</t>
  </si>
  <si>
    <t>Eats Menus Creation</t>
  </si>
  <si>
    <t>Moreno, Nancy - 1124</t>
  </si>
  <si>
    <t>Caro, Lesly</t>
  </si>
  <si>
    <t>Martinez, Daniel</t>
  </si>
  <si>
    <t>Garcia, Helmer</t>
  </si>
  <si>
    <t>nmoren@ext.uber.com</t>
  </si>
  <si>
    <t>Yepes, Jennifer - 7234</t>
  </si>
  <si>
    <t>jyepes6@ext.uber.com</t>
  </si>
  <si>
    <t>US U4B Triage</t>
  </si>
  <si>
    <t>GarciaV, Jose - 4240</t>
  </si>
  <si>
    <t>Galeano, Diana</t>
  </si>
  <si>
    <t>Ibarra, Maria</t>
  </si>
  <si>
    <t>Gonzalez, Cristian</t>
  </si>
  <si>
    <t>jgarci148@ext.uber.com</t>
  </si>
  <si>
    <t>Rebel US&amp;C</t>
  </si>
  <si>
    <t>Viveros, Johana - 6641</t>
  </si>
  <si>
    <t>jviver2@ext.uber.com</t>
  </si>
  <si>
    <t>Restaurants Ads Sales</t>
  </si>
  <si>
    <t>GonzalezR, Fabian - 9223</t>
  </si>
  <si>
    <t>Vasquez, Angel</t>
  </si>
  <si>
    <t>Ardila, Estiward</t>
  </si>
  <si>
    <t>fgonza19@ext.uber.com</t>
  </si>
  <si>
    <t>Orozco, Jaider - 8715</t>
  </si>
  <si>
    <t>Customer Expert Cross Training</t>
  </si>
  <si>
    <t>jorozc9@ext.uber.com</t>
  </si>
  <si>
    <t>Linares, Sandra - 1571</t>
  </si>
  <si>
    <t>Cabrejo, Jose</t>
  </si>
  <si>
    <t>slinar@ext.uber.com</t>
  </si>
  <si>
    <t>Caro, Azly - 4610</t>
  </si>
  <si>
    <t>acaro6@ext.uber.com</t>
  </si>
  <si>
    <t>Brazil U4B Triage</t>
  </si>
  <si>
    <t>Saenz, Ruby - 0877</t>
  </si>
  <si>
    <t>Samaca, Bryan</t>
  </si>
  <si>
    <t>rsaenz@ext.uber.com</t>
  </si>
  <si>
    <t>Barreneche, Evelin - 4697</t>
  </si>
  <si>
    <t>ebarre5@ext.uber.com</t>
  </si>
  <si>
    <t>Pineda, Manuela - 3950</t>
  </si>
  <si>
    <t>Urrutia, John</t>
  </si>
  <si>
    <t>Arias, Fabio</t>
  </si>
  <si>
    <t>Rodriguez, Moises</t>
  </si>
  <si>
    <t>mpined19@ext.uber.com</t>
  </si>
  <si>
    <t>Valderrama, Angel - 2848</t>
  </si>
  <si>
    <t>avalde21@ext.uber.com</t>
  </si>
  <si>
    <t>Latam Eats Courier</t>
  </si>
  <si>
    <t>Sanchez, Nancy - 4474</t>
  </si>
  <si>
    <t>Cortes, Angie</t>
  </si>
  <si>
    <t>Sabogal, Paula</t>
  </si>
  <si>
    <t>Celi, Juan</t>
  </si>
  <si>
    <t>nsanch29@ext.uber.com</t>
  </si>
  <si>
    <t>Bermudez, Heman - 3434</t>
  </si>
  <si>
    <t>hbermu5@ext.uber.com</t>
  </si>
  <si>
    <t>Translations</t>
  </si>
  <si>
    <t>Munoz, Leivyn - 9004</t>
  </si>
  <si>
    <t>MorenoM, Maria</t>
  </si>
  <si>
    <t>Rodriguez, Camilo</t>
  </si>
  <si>
    <t>Garatejo, Natalia</t>
  </si>
  <si>
    <t>lmuoz@ext.uber.com</t>
  </si>
  <si>
    <t>Valencia, Fabio - 8520</t>
  </si>
  <si>
    <t>fvalen2@ext.uber.com</t>
  </si>
  <si>
    <t>Riano, Wilmer - 9005</t>
  </si>
  <si>
    <t>wriao@ext.uber.com</t>
  </si>
  <si>
    <t>Tamayo, Daniel - 7127</t>
  </si>
  <si>
    <t>dtamay2@ext.uber.com</t>
  </si>
  <si>
    <t>U4B Phone Sales</t>
  </si>
  <si>
    <t>Alfonso, Jhon - 5461</t>
  </si>
  <si>
    <t>Beltran, Javier</t>
  </si>
  <si>
    <t>Mora, Daniel</t>
  </si>
  <si>
    <t>jalfon6@ext.uber.com</t>
  </si>
  <si>
    <t>Gomez, Cristian - 6111</t>
  </si>
  <si>
    <t>cgomez67@ext.uber.com</t>
  </si>
  <si>
    <t>Latam G&amp;R LOM Chat</t>
  </si>
  <si>
    <t>OsorioA, Diana - 2938</t>
  </si>
  <si>
    <t>Acosta, Gabriela</t>
  </si>
  <si>
    <t>Osorio, Julian</t>
  </si>
  <si>
    <t>dosori@ext.uber.com</t>
  </si>
  <si>
    <t>Montoya, Diego - 4197</t>
  </si>
  <si>
    <t>dmonto14@ext.uber.com</t>
  </si>
  <si>
    <t>Latam IRT L1L2</t>
  </si>
  <si>
    <t>Meneses, Yazmin - 0739</t>
  </si>
  <si>
    <t>Sepulveda, Heidy</t>
  </si>
  <si>
    <t>Murcia, Gustavo</t>
  </si>
  <si>
    <t>Martinez, Wendy</t>
  </si>
  <si>
    <t>ymenes@ext.uber.com</t>
  </si>
  <si>
    <t>Latam Phone Diamond</t>
  </si>
  <si>
    <t>Patarroyo, Anderson - 4885</t>
  </si>
  <si>
    <t>Soporte</t>
  </si>
  <si>
    <t>Aguillon, Laura</t>
  </si>
  <si>
    <t>Aponte, Alejandra</t>
  </si>
  <si>
    <t>apatar1@ext.uber.com</t>
  </si>
  <si>
    <t>Angel, Diana - 6488</t>
  </si>
  <si>
    <t>Castiblanco, Juliana</t>
  </si>
  <si>
    <t>dangel@ext.uber.com</t>
  </si>
  <si>
    <t>PerezM, Daniel - 2227</t>
  </si>
  <si>
    <t>dperez58@ext.uber.com</t>
  </si>
  <si>
    <t>Benitez, Luis</t>
  </si>
  <si>
    <t>Parra, Leonardo</t>
  </si>
  <si>
    <t>cpinzo1@ext.uber.com</t>
  </si>
  <si>
    <t>GuioP, Maria - 0068</t>
  </si>
  <si>
    <t>mguio2@ext.uber.com</t>
  </si>
  <si>
    <t>Vargas, Angie - 6701</t>
  </si>
  <si>
    <t>Soporte WF</t>
  </si>
  <si>
    <t>Bermudez, Viviana</t>
  </si>
  <si>
    <t>Gonzalez, Marlon</t>
  </si>
  <si>
    <t>Parra, Jeimmy</t>
  </si>
  <si>
    <t>avarga40@ext.uber.com</t>
  </si>
  <si>
    <t>Mendoza, Kendry - 4246</t>
  </si>
  <si>
    <t>knassi@ext.uber.com</t>
  </si>
  <si>
    <t>Olaya, Judy - 4857</t>
  </si>
  <si>
    <t>jolaya5@ext.uber.com</t>
  </si>
  <si>
    <t>Melo, Andres - 5286</t>
  </si>
  <si>
    <t>amelo22@ext.uber.com</t>
  </si>
  <si>
    <t>Centeno, David</t>
  </si>
  <si>
    <t>ksanch2@ext.uber.com</t>
  </si>
  <si>
    <t>Nieto, Ashly - 3195</t>
  </si>
  <si>
    <t>anieto6@ext.uber.com</t>
  </si>
  <si>
    <t>U4B Phone Sales Churn</t>
  </si>
  <si>
    <t>GomezV, Diana - 7116</t>
  </si>
  <si>
    <t>dgomez22@ext.uber.com</t>
  </si>
  <si>
    <t>Montes, Ricardo - 1496</t>
  </si>
  <si>
    <t>rmonte30@ext.uber.com</t>
  </si>
  <si>
    <t>Villadiego, Joaquin - 2302</t>
  </si>
  <si>
    <t>avilla64@ext.uber.com</t>
  </si>
  <si>
    <t>Pardo, Dilan - 1896</t>
  </si>
  <si>
    <t>dpardo7@ext.uber.com</t>
  </si>
  <si>
    <t>Nino, Andres - 5277</t>
  </si>
  <si>
    <t>anino@ext.uber.com</t>
  </si>
  <si>
    <t>Nova, Johan - 4019</t>
  </si>
  <si>
    <t>jnova3@ext.uber.com</t>
  </si>
  <si>
    <t>LatAm SORT SPA</t>
  </si>
  <si>
    <t>Arce, Luz - 0483</t>
  </si>
  <si>
    <t>Padilla, Sergio</t>
  </si>
  <si>
    <t>Amador, Brian</t>
  </si>
  <si>
    <t>larce@ext.uber.com</t>
  </si>
  <si>
    <t>Lozada, Edier - 4881</t>
  </si>
  <si>
    <t>elozad1@ext.uber.com</t>
  </si>
  <si>
    <t>Riascos, Miguel - 1415</t>
  </si>
  <si>
    <t>mriasc1@ext.uber.com</t>
  </si>
  <si>
    <t>Arango, Jhustin - 2779</t>
  </si>
  <si>
    <t>jarang21@ext.uber.com</t>
  </si>
  <si>
    <t>Content Development POR</t>
  </si>
  <si>
    <t>Cuervo, Jose - 8922</t>
  </si>
  <si>
    <t>Aguirre, Ruben</t>
  </si>
  <si>
    <t>jcuerv1@ext.uber.com</t>
  </si>
  <si>
    <t>Carrasco, Andres - 9864</t>
  </si>
  <si>
    <t>acarra16@ext.uber.com</t>
  </si>
  <si>
    <t>Eats Menus EMEA Creation</t>
  </si>
  <si>
    <t>Santos, Yusunguaira - 5563</t>
  </si>
  <si>
    <t>Triana, Juan</t>
  </si>
  <si>
    <t>fyusun1@ext.uber.com</t>
  </si>
  <si>
    <t>Parra, Johan - 9595</t>
  </si>
  <si>
    <t>jparra37@ext.uber.com</t>
  </si>
  <si>
    <t>Hernandez, Daniela - 0540</t>
  </si>
  <si>
    <t>sherna5@ext.uber.com</t>
  </si>
  <si>
    <t>MartinezA, Juan - 6425</t>
  </si>
  <si>
    <t>jmarti277@ext.uber.com</t>
  </si>
  <si>
    <t>IRT POR</t>
  </si>
  <si>
    <t>Cubillos, Jakeline - 8847</t>
  </si>
  <si>
    <t>Soto, Marialbert</t>
  </si>
  <si>
    <t>jcubil1@ext.uber.com</t>
  </si>
  <si>
    <t>Rodriguez, Angelica - 4315</t>
  </si>
  <si>
    <t>arodri223@ext.uber.com</t>
  </si>
  <si>
    <t>Riano, Sergio - 8969</t>
  </si>
  <si>
    <t>Muskus, Claudia</t>
  </si>
  <si>
    <t>sriano@ext.uber.com</t>
  </si>
  <si>
    <t>Cortes, Julian - 1712</t>
  </si>
  <si>
    <t>jcorte42@ext.uber.com</t>
  </si>
  <si>
    <t>US Phone Earner Spa</t>
  </si>
  <si>
    <t>Rosero, Cesar - 9318</t>
  </si>
  <si>
    <t>Ortiz, Camilo</t>
  </si>
  <si>
    <t>croser@ext.uber.com</t>
  </si>
  <si>
    <t>Eats Rest US Account</t>
  </si>
  <si>
    <t>Tapia, Kevin - 3583</t>
  </si>
  <si>
    <t>ktapia1@ext.uber.com</t>
  </si>
  <si>
    <t>Arboleda, Juan - 9452</t>
  </si>
  <si>
    <t>Madrid, Gabriela</t>
  </si>
  <si>
    <t>Mejia, Sebastian</t>
  </si>
  <si>
    <t>jarbol3@ext.uber.com</t>
  </si>
  <si>
    <t>NinoZ, Maria - 8201</t>
  </si>
  <si>
    <t>mnino5@ext.uber.com</t>
  </si>
  <si>
    <t>US Call To Ride</t>
  </si>
  <si>
    <t>Cortes, Joan - 9729</t>
  </si>
  <si>
    <t>Soche, Juan</t>
  </si>
  <si>
    <t>jcorte7@ext.uber.com</t>
  </si>
  <si>
    <t>GonzalezG, Andrea - 5797</t>
  </si>
  <si>
    <t>Mancipe, Laura</t>
  </si>
  <si>
    <t>agonza23@ext.uber.com</t>
  </si>
  <si>
    <t>US FNL SPA</t>
  </si>
  <si>
    <t>Jimenez, Julian - 9849</t>
  </si>
  <si>
    <t>jjimen67@ext.uber.com</t>
  </si>
  <si>
    <t>ENG Growth</t>
  </si>
  <si>
    <t>Escobar, Yojana - 2732</t>
  </si>
  <si>
    <t>Rey, Angel</t>
  </si>
  <si>
    <t>yescob2@ext.uber.com</t>
  </si>
  <si>
    <t>Moreno, Viviana - 2123</t>
  </si>
  <si>
    <t>vmoren4@ext.uber.com</t>
  </si>
  <si>
    <t>US Phone U4B</t>
  </si>
  <si>
    <t>Garcia, Eddward - 2985</t>
  </si>
  <si>
    <t>Leon, Ximena</t>
  </si>
  <si>
    <t>egarci19@ext.uber.com</t>
  </si>
  <si>
    <t>Acevedo, Mayra - 5665</t>
  </si>
  <si>
    <t>maceve9@ext.uber.com</t>
  </si>
  <si>
    <t>Vaquiro, Xiomara - 6026</t>
  </si>
  <si>
    <t>xvaqui@ext.uber.com</t>
  </si>
  <si>
    <t>Nava, Ellyn - 8526</t>
  </si>
  <si>
    <t>enava7@ext.uber.com</t>
  </si>
  <si>
    <t>Betancur, Beatriz - 7854</t>
  </si>
  <si>
    <t>bbetan@ext.uber.com</t>
  </si>
  <si>
    <t>HerreraR, Jessica - 1900</t>
  </si>
  <si>
    <t>jherre50@ext.uber.com</t>
  </si>
  <si>
    <t>Aristizabal, Angie - 1494</t>
  </si>
  <si>
    <t>aarist5@ext.uber.com</t>
  </si>
  <si>
    <t>Eats Phone Restaurants LatAm</t>
  </si>
  <si>
    <t>Espinosa, Leidy - 4414</t>
  </si>
  <si>
    <t>Garzon, Nicoll</t>
  </si>
  <si>
    <t>lespin8@ext.uber.com</t>
  </si>
  <si>
    <t>Gallego, Sebastian - 8718</t>
  </si>
  <si>
    <t>sgalle12@ext.uber.com</t>
  </si>
  <si>
    <t>Parra, Maritza - 0545</t>
  </si>
  <si>
    <t>mparra5@ext.uber.com</t>
  </si>
  <si>
    <t>Sotomayor, Eliana - 2848</t>
  </si>
  <si>
    <t>esotom1@ext.uber.com</t>
  </si>
  <si>
    <t>Latam Uber Flash</t>
  </si>
  <si>
    <t>Quijano, Cristian - 2237</t>
  </si>
  <si>
    <t>Chavez, Kevin</t>
  </si>
  <si>
    <t>Jaramillo, Angie</t>
  </si>
  <si>
    <t>cquija@ext.uber.com</t>
  </si>
  <si>
    <t>Alvarez, Carol - 1502</t>
  </si>
  <si>
    <t>calvar30@ext.uber.com</t>
  </si>
  <si>
    <t>Castrillon, Yohan - 5514</t>
  </si>
  <si>
    <t>ycastr1@ext.uber.com</t>
  </si>
  <si>
    <t>Suarez, Katlin - 1985</t>
  </si>
  <si>
    <t>ksuare11@ext.uber.com</t>
  </si>
  <si>
    <t>Latam Eats Eater</t>
  </si>
  <si>
    <t>Varela, Jessica - 0479</t>
  </si>
  <si>
    <t>Chiquillo, Marlon</t>
  </si>
  <si>
    <t>Vargas, Alexandra</t>
  </si>
  <si>
    <t>jvarel2@ext.uber.com</t>
  </si>
  <si>
    <t>Garcia, Karen - 2004</t>
  </si>
  <si>
    <t>kgarci51@ext.uber.com</t>
  </si>
  <si>
    <t>LatAm IIT</t>
  </si>
  <si>
    <t>Chaparro, Neila - 7731</t>
  </si>
  <si>
    <t>Ladino, Laura</t>
  </si>
  <si>
    <t>nchapa1808@ext.uber.com</t>
  </si>
  <si>
    <t>Pulgarin, Fabiana - 3335</t>
  </si>
  <si>
    <t>fpulga1@ext.uber.com</t>
  </si>
  <si>
    <t>US Email Driver Eats CX Spa</t>
  </si>
  <si>
    <t>Castano, Lina - 1136</t>
  </si>
  <si>
    <t>Salguedo, Gabriel</t>
  </si>
  <si>
    <t>Guevara, Diego</t>
  </si>
  <si>
    <t>lcasta20@ext.uber.com</t>
  </si>
  <si>
    <t>Vallejo, Nicolas - 8870</t>
  </si>
  <si>
    <t>nvalle3@ext.uber.com</t>
  </si>
  <si>
    <t>Mendez, Martha - 4994</t>
  </si>
  <si>
    <t>Pelaez, Christian</t>
  </si>
  <si>
    <t>mmende40@ext.uber.com</t>
  </si>
  <si>
    <t>Asprilla, Andres - 3861</t>
  </si>
  <si>
    <t>aaspri1@ext.uber.com</t>
  </si>
  <si>
    <t>Mendoza, Johan - 6207</t>
  </si>
  <si>
    <t>jmendo84@ext.uber.com</t>
  </si>
  <si>
    <t>lgomez28@ext.uber.com</t>
  </si>
  <si>
    <t>US Chat Earner Spa</t>
  </si>
  <si>
    <t>Correa, Julieth - 6514</t>
  </si>
  <si>
    <t>jcorre37@ext.uber.com</t>
  </si>
  <si>
    <t>Baron, Diana - 4721</t>
  </si>
  <si>
    <t>Idarraga, Steven</t>
  </si>
  <si>
    <t>dbaron5@ext.uber.com</t>
  </si>
  <si>
    <t>Moreno, Ana - 3772</t>
  </si>
  <si>
    <t>amoren54@ext.uber.com</t>
  </si>
  <si>
    <t>Content Development LatAm</t>
  </si>
  <si>
    <t>Henao, Maria - 8293</t>
  </si>
  <si>
    <t>mhenao1@ext.uber.com</t>
  </si>
  <si>
    <t>Rios, Kelly - 6538</t>
  </si>
  <si>
    <t>krios5@ext.uber.com</t>
  </si>
  <si>
    <t>mcasta17@ext.uber.com</t>
  </si>
  <si>
    <t>Santamaria, Natalia - 9084</t>
  </si>
  <si>
    <t>nsanta8@ext.uber.com</t>
  </si>
  <si>
    <t>LatAm Phone IRT Sensitive</t>
  </si>
  <si>
    <t>Alvarado, Lizeth - 2072</t>
  </si>
  <si>
    <t>Cuervo, Jhojan</t>
  </si>
  <si>
    <t>lalvar8@ext.uber.com</t>
  </si>
  <si>
    <t>LatAm IRT Theft Urgent</t>
  </si>
  <si>
    <t>Oliveros, Sergio - 8296</t>
  </si>
  <si>
    <t>Ruiz, Josstin</t>
  </si>
  <si>
    <t>solive37@ext.uber.com</t>
  </si>
  <si>
    <t>Latam Sales New Verticals</t>
  </si>
  <si>
    <t>Trujillo, Nelson - 6647</t>
  </si>
  <si>
    <t>Perez, Edwar</t>
  </si>
  <si>
    <t>Granados, Didier</t>
  </si>
  <si>
    <t>ntruji2@ext.uber.com</t>
  </si>
  <si>
    <t>Cortes, Leidy - 6006</t>
  </si>
  <si>
    <t>lcorte27@ext.uber.com</t>
  </si>
  <si>
    <t>Mexico Receipt Support</t>
  </si>
  <si>
    <t>Espitia, Paula - 7885</t>
  </si>
  <si>
    <t>Cano, Cristian</t>
  </si>
  <si>
    <t>Junco, Caren</t>
  </si>
  <si>
    <t>Ayala, Giselle</t>
  </si>
  <si>
    <t>pespit1@ext.uber.com</t>
  </si>
  <si>
    <t>Perdomo, Juan - 7297</t>
  </si>
  <si>
    <t>jperdo5@ext.uber.com</t>
  </si>
  <si>
    <t>Garcia, Mally - 4170</t>
  </si>
  <si>
    <t>mgarci178@ext.uber.com</t>
  </si>
  <si>
    <t>Campos, Laura - 7460</t>
  </si>
  <si>
    <t>lcampo16@ext.uber.com</t>
  </si>
  <si>
    <t>US Freight Carrier Inbound</t>
  </si>
  <si>
    <t>Fernandez, Javier - 6244</t>
  </si>
  <si>
    <t>Rios, Andrea</t>
  </si>
  <si>
    <t>jferna33@ext.uber.com</t>
  </si>
  <si>
    <t>Ledezma, Daniel - 1770</t>
  </si>
  <si>
    <t>dledez@ext.uber.com</t>
  </si>
  <si>
    <t>Latam Consumer Off Trip EM</t>
  </si>
  <si>
    <t>Ferrucho, Alejandra - 0288</t>
  </si>
  <si>
    <t>Cardona, Nicolle</t>
  </si>
  <si>
    <t>Suarez, Edwar</t>
  </si>
  <si>
    <t>aferru@ext.uber.com</t>
  </si>
  <si>
    <t>Ramirez, Eleyson - 8225</t>
  </si>
  <si>
    <t>eramir42@ext.uber.com</t>
  </si>
  <si>
    <t>Lindarte, Carlos - 2449</t>
  </si>
  <si>
    <t>Sanchez, Sandra</t>
  </si>
  <si>
    <t>clinda@ext.uber.com</t>
  </si>
  <si>
    <t>MunozB, Juan - 2775</t>
  </si>
  <si>
    <t>jmunoz43@ext.uber.com</t>
  </si>
  <si>
    <t>EMEA Portugal Rider</t>
  </si>
  <si>
    <t>Hernandez, Yiseth - 3672</t>
  </si>
  <si>
    <t>yherna8@ext.uber.com</t>
  </si>
  <si>
    <t>Maldonado, Daniel - 0244</t>
  </si>
  <si>
    <t>dmaldo7@ext.uber.com</t>
  </si>
  <si>
    <t>Vanegas, Yuli - 1299</t>
  </si>
  <si>
    <t>Ardila, Felipe</t>
  </si>
  <si>
    <t>yvaneg2@ext.uber.com</t>
  </si>
  <si>
    <t>Reina, Nini - 3355</t>
  </si>
  <si>
    <t>nreina1@ext.uber.com</t>
  </si>
  <si>
    <t>Caballero, Ana - 6276</t>
  </si>
  <si>
    <t>Rincon, Gina</t>
  </si>
  <si>
    <t>acabal7@ext.uber.com</t>
  </si>
  <si>
    <t>Ospina, Tatiana - 1294</t>
  </si>
  <si>
    <t>tospin@ext.uber.com</t>
  </si>
  <si>
    <t>Leguizamon, Jhon - 0802</t>
  </si>
  <si>
    <t>Salamanca, Daniel</t>
  </si>
  <si>
    <t>jlegui3@ext.uber.com</t>
  </si>
  <si>
    <t>Roa, Ximena - 2063</t>
  </si>
  <si>
    <t>xroa@ext.uber.com</t>
  </si>
  <si>
    <t>Eats Menus Groceries</t>
  </si>
  <si>
    <t>Usaquen, Diana - 0804</t>
  </si>
  <si>
    <t>dusaqu@ext.uber.com</t>
  </si>
  <si>
    <t>Esteban, Laura - 4107</t>
  </si>
  <si>
    <t>lesteb1@ext.uber.com</t>
  </si>
  <si>
    <t>Eats Menus Portugal</t>
  </si>
  <si>
    <t>Quintero, Leslie - 0810</t>
  </si>
  <si>
    <t>lquint6@ext.uber.com</t>
  </si>
  <si>
    <t>Bustos, Juan - 1584</t>
  </si>
  <si>
    <t>jbusto5@ext.uber.com</t>
  </si>
  <si>
    <t>Reyes, Luceli - 0813</t>
  </si>
  <si>
    <t>Bejarano, Robinson</t>
  </si>
  <si>
    <t>lreyes9@ext.uber.com</t>
  </si>
  <si>
    <t>Ruiz, Maria - 4994</t>
  </si>
  <si>
    <t>mruiz38@ext.uber.com</t>
  </si>
  <si>
    <t>Martinez, Yenny - 0828</t>
  </si>
  <si>
    <t>ymarti4@ext.uber.com</t>
  </si>
  <si>
    <t>Garcia, Brian - 7237</t>
  </si>
  <si>
    <t>bgarci47@ext.uber.com</t>
  </si>
  <si>
    <t>Chaves, David - 5981</t>
  </si>
  <si>
    <t>dchave7@ext.uber.com</t>
  </si>
  <si>
    <t>Fuenmayor, Leonardo - 1575</t>
  </si>
  <si>
    <t>lfuenm@ext.uber.com</t>
  </si>
  <si>
    <t>Gonzalez, Jessica - 3590</t>
  </si>
  <si>
    <t>jgonza123@ext.uber.com</t>
  </si>
  <si>
    <t>PerezP, David - 4880</t>
  </si>
  <si>
    <t>dperez71@ext.uber.com</t>
  </si>
  <si>
    <t>Nino, July - 3610</t>
  </si>
  <si>
    <t>jnino5@ext.uber.com</t>
  </si>
  <si>
    <t>Valeriano, Daniel - 6073</t>
  </si>
  <si>
    <t>dvaler7@ext.uber.com</t>
  </si>
  <si>
    <t>Galvis, Paula - 7463</t>
  </si>
  <si>
    <t>pgalvi3@ext.uber.com</t>
  </si>
  <si>
    <t>Barbosa, Diana - 1495</t>
  </si>
  <si>
    <t>dbarbo9@ext.uber.com</t>
  </si>
  <si>
    <t>Camargo, Jeinis - 6075</t>
  </si>
  <si>
    <t>jcamar31@ext.uber.com</t>
  </si>
  <si>
    <t>Lamus, Angelica - 1825</t>
  </si>
  <si>
    <t>alamus@ext.uber.com</t>
  </si>
  <si>
    <t>Valbuena, Daniel - 9888</t>
  </si>
  <si>
    <t>dvalbu2@ext.uber.com</t>
  </si>
  <si>
    <t>Aldana, Yurimy - 4166</t>
  </si>
  <si>
    <t>yaldan@ext.uber.com</t>
  </si>
  <si>
    <t>Molina, Carlos - 1369</t>
  </si>
  <si>
    <t>cmolin8@ext.uber.com</t>
  </si>
  <si>
    <t>Latam U4B Email</t>
  </si>
  <si>
    <t>Soto, Yerson - 2109</t>
  </si>
  <si>
    <t>Carreno, Jhon</t>
  </si>
  <si>
    <t>ysoto1@ext.uber.com</t>
  </si>
  <si>
    <t>Rueda, Karen - 4441</t>
  </si>
  <si>
    <t>krueda1@ext.uber.com</t>
  </si>
  <si>
    <t>AcevedoM, Laura - 5262</t>
  </si>
  <si>
    <t>laceve11@ext.uber.com</t>
  </si>
  <si>
    <t>Leal, Juan - 6230</t>
  </si>
  <si>
    <t>jleal5@ext.uber.com</t>
  </si>
  <si>
    <t>Matiz, Henry - 3300</t>
  </si>
  <si>
    <t>Castaneda, Andres</t>
  </si>
  <si>
    <t>Ayala, Julian</t>
  </si>
  <si>
    <t>hmatiz@ext.uber.com</t>
  </si>
  <si>
    <t>Henao, Laura - 3815</t>
  </si>
  <si>
    <t>lhenao5@ext.uber.com</t>
  </si>
  <si>
    <t>Garcia, Ferney - 5870</t>
  </si>
  <si>
    <t>Gutierrez, Sara</t>
  </si>
  <si>
    <t>fgarci21@ext.uber.com</t>
  </si>
  <si>
    <t>Palacios, Jeimy - 7890</t>
  </si>
  <si>
    <t>jpalac33@ext.uber.com</t>
  </si>
  <si>
    <t>Bautista, Jaime - 9228</t>
  </si>
  <si>
    <t>jbauti16@ext.uber.com</t>
  </si>
  <si>
    <t>Garces, Ana - 2517</t>
  </si>
  <si>
    <t>agarce5@ext.uber.com</t>
  </si>
  <si>
    <t>Arguello, Leidy - 9193</t>
  </si>
  <si>
    <t>Ovalle, Michel</t>
  </si>
  <si>
    <t>largue1@ext.uber.com</t>
  </si>
  <si>
    <t>Bien, Jimmarie - 3634</t>
  </si>
  <si>
    <t>jbien1@ext.uber.com</t>
  </si>
  <si>
    <t>Llanos, Angela - 4705</t>
  </si>
  <si>
    <t>allano2@ext.uber.com</t>
  </si>
  <si>
    <t>Alvarez, Daniela - 5132</t>
  </si>
  <si>
    <t>dalvar35@ext.uber.com</t>
  </si>
  <si>
    <t>Gallardo, Lidia - 4719</t>
  </si>
  <si>
    <t>Polo, Stephanie</t>
  </si>
  <si>
    <t>lgalla2@ext.uber.com</t>
  </si>
  <si>
    <t>Espinal, Camilo - 8880</t>
  </si>
  <si>
    <t>cespin24@ext.uber.com</t>
  </si>
  <si>
    <t>Matamoros, Carlos - 4735</t>
  </si>
  <si>
    <t>Rodriguez, Jaider</t>
  </si>
  <si>
    <t>cmatam@ext.uber.com</t>
  </si>
  <si>
    <t>Madera, Mary - 7401</t>
  </si>
  <si>
    <t>mmader@ext.uber.com</t>
  </si>
  <si>
    <t>Latam Phone UGO</t>
  </si>
  <si>
    <t>Paez, Laura - 7908</t>
  </si>
  <si>
    <t>Torres, Santiago</t>
  </si>
  <si>
    <t>Becerra, Cristhian</t>
  </si>
  <si>
    <t>lpaez5@ext.uber.com</t>
  </si>
  <si>
    <t>Osuna, Dayana - 1095</t>
  </si>
  <si>
    <t>dosuna1@ext.uber.com</t>
  </si>
  <si>
    <t>Mora, Francy - 0056</t>
  </si>
  <si>
    <t>fmora3@ext.uber.com</t>
  </si>
  <si>
    <t>Cabrales, Javier - 6036</t>
  </si>
  <si>
    <t>jcabra6@ext.uber.com</t>
  </si>
  <si>
    <t>Tellez, Sandra - 0082</t>
  </si>
  <si>
    <t>stelle1@ext.uber.com</t>
  </si>
  <si>
    <t>Fernandez, Sara - 2101</t>
  </si>
  <si>
    <t>sferna18@ext.uber.com</t>
  </si>
  <si>
    <t>Mendez, Daniela - 0088</t>
  </si>
  <si>
    <t>dmende7@ext.uber.com</t>
  </si>
  <si>
    <t>Gonzalez, Alexander - 8413</t>
  </si>
  <si>
    <t>agonza189@ext.uber.com</t>
  </si>
  <si>
    <t>Latam G&amp;R Chat</t>
  </si>
  <si>
    <t>Roa, Jenniffer - 0380</t>
  </si>
  <si>
    <t>Ochoa, Andres</t>
  </si>
  <si>
    <t>Garcia, Alvaro</t>
  </si>
  <si>
    <t>jroaa@ext.uber.com</t>
  </si>
  <si>
    <t>Shuman, Dimara - 6321</t>
  </si>
  <si>
    <t>dshuma@ext.uber.com</t>
  </si>
  <si>
    <t>Avilan, Luisa - 5793</t>
  </si>
  <si>
    <t>lavila5@ext.uber.com</t>
  </si>
  <si>
    <t>Munera, Manuela - 4395</t>
  </si>
  <si>
    <t>mmuner1@ext.uber.com</t>
  </si>
  <si>
    <t>Sierra, Andres - 9760</t>
  </si>
  <si>
    <t>asierr4@ext.uber.com</t>
  </si>
  <si>
    <t>Jimenez, Yulieth - 8108</t>
  </si>
  <si>
    <t>yjimen5@ext.uber.com</t>
  </si>
  <si>
    <t>Castro, Joan - 9907</t>
  </si>
  <si>
    <t>Sierra, Tamara</t>
  </si>
  <si>
    <t>jcastr23@ext.uber.com</t>
  </si>
  <si>
    <t>Arias, Sara - 7169</t>
  </si>
  <si>
    <t>sarias7@ext.uber.com</t>
  </si>
  <si>
    <t>Cubides, Cindy - 0386</t>
  </si>
  <si>
    <t>ccubid@ext.uber.com</t>
  </si>
  <si>
    <t>Mendoza, Maria - 1509</t>
  </si>
  <si>
    <t>mmendo66@ext.uber.com</t>
  </si>
  <si>
    <t>Oquendo, Jennifer - 7493</t>
  </si>
  <si>
    <t>joquen5@ext.uber.com</t>
  </si>
  <si>
    <t>Conde, Yolian - 2857</t>
  </si>
  <si>
    <t>Mejia, Karin</t>
  </si>
  <si>
    <t>yconde1@ext.uber.com</t>
  </si>
  <si>
    <t>Eats Sales Latam</t>
  </si>
  <si>
    <t>Gaviria, Cesar - 3947</t>
  </si>
  <si>
    <t>Martinez, Jennifer</t>
  </si>
  <si>
    <t>cgavir4@ext.uber.com</t>
  </si>
  <si>
    <t>Bonilla, Luis - 5955</t>
  </si>
  <si>
    <t>lbonil7@ext.uber.com</t>
  </si>
  <si>
    <t>Diaz, Veronica - 4171</t>
  </si>
  <si>
    <t>vdiaz1@ext.uber.com</t>
  </si>
  <si>
    <t>Ochoa, Brayan - 6392</t>
  </si>
  <si>
    <t>bochoa1@ext.uber.com</t>
  </si>
  <si>
    <t>Angarita, Maria - 4289</t>
  </si>
  <si>
    <t>mangar@ext.uber.com</t>
  </si>
  <si>
    <t>Zapata, Andrey - 4312</t>
  </si>
  <si>
    <t>azapat8@ext.uber.com</t>
  </si>
  <si>
    <t>Latam Sales Outbound</t>
  </si>
  <si>
    <t>Nunez, Manuel - 5290</t>
  </si>
  <si>
    <t>Carreno, Michael</t>
  </si>
  <si>
    <t>mnunez11@ext.uber.com</t>
  </si>
  <si>
    <t>Reyes, Valentina - 1708</t>
  </si>
  <si>
    <t>vreyes14@ext.uber.com</t>
  </si>
  <si>
    <t>smarti23@ext.uber.com</t>
  </si>
  <si>
    <t>Moreno, Yensi - 1379</t>
  </si>
  <si>
    <t>ymoren4@ext.uber.com</t>
  </si>
  <si>
    <t>Villamizar, Margery - 7012</t>
  </si>
  <si>
    <t>mvilla55@ext.uber.com</t>
  </si>
  <si>
    <t>Medina, Yeimy - 6450</t>
  </si>
  <si>
    <t>ymedin2@ext.uber.com</t>
  </si>
  <si>
    <t>Mieles, Ebed - 5609</t>
  </si>
  <si>
    <t>emiele@ext.uber.com</t>
  </si>
  <si>
    <t>Gasca, Deivy - 2878</t>
  </si>
  <si>
    <t>dgasca1@ext.uber.com</t>
  </si>
  <si>
    <t>Oviedo, Diego - 2300</t>
  </si>
  <si>
    <t>Guasca, Rosa</t>
  </si>
  <si>
    <t>dovied@ext.uber.com</t>
  </si>
  <si>
    <t>Arevalo, Uriel - 1768</t>
  </si>
  <si>
    <t>uareva@ext.uber.com</t>
  </si>
  <si>
    <t>Bolivar, Nathaly - 9291</t>
  </si>
  <si>
    <t>Rodriguez, Sergio</t>
  </si>
  <si>
    <t>nboliv@ext.uber.com</t>
  </si>
  <si>
    <t>PabonV, Carlos - 1507</t>
  </si>
  <si>
    <t>cpabon3@ext.uber.com</t>
  </si>
  <si>
    <t>Pineda, William - 2711</t>
  </si>
  <si>
    <t>wpined1@ext.uber.com</t>
  </si>
  <si>
    <t>Uribe, Adriana - 1826</t>
  </si>
  <si>
    <t>auribe8@ext.uber.com</t>
  </si>
  <si>
    <t>Avila, Andrea - 2818</t>
  </si>
  <si>
    <t>aavila9@ext.uber.com</t>
  </si>
  <si>
    <t>Camacho, Angie - 4161</t>
  </si>
  <si>
    <t>acamac31@ext.uber.com</t>
  </si>
  <si>
    <t>Rubio, Angie - 5405</t>
  </si>
  <si>
    <t>arubio7@ext.uber.com</t>
  </si>
  <si>
    <t>Fernandez, Wiston - 2829</t>
  </si>
  <si>
    <t>wferna9@ext.uber.com</t>
  </si>
  <si>
    <t>Iglesias, Camilo - 7568</t>
  </si>
  <si>
    <t>cigles2@ext.uber.com</t>
  </si>
  <si>
    <t>Cortes, Cristian - 1912</t>
  </si>
  <si>
    <t>ccorte15@ext.uber.com</t>
  </si>
  <si>
    <t>Cuellar, Juan - 1041</t>
  </si>
  <si>
    <t>jcuell8@ext.uber.com</t>
  </si>
  <si>
    <t>Rojas, Angelica - 1918</t>
  </si>
  <si>
    <t>arojas57@ext.uber.com</t>
  </si>
  <si>
    <t>Tocarema, Geiner - 6210</t>
  </si>
  <si>
    <t>gtocar@ext.uber.com</t>
  </si>
  <si>
    <t>Avila, Daniel - 7330</t>
  </si>
  <si>
    <t>davila15@ext.uber.com</t>
  </si>
  <si>
    <t>Martinez, Manuel - 8344</t>
  </si>
  <si>
    <t>Florez, Yuranis</t>
  </si>
  <si>
    <t>mmarti76@ext.uber.com</t>
  </si>
  <si>
    <t>Toro, Nohemi - 4713</t>
  </si>
  <si>
    <t>ntoro1@ext.uber.com</t>
  </si>
  <si>
    <t>Latam Uber Direct Merchant</t>
  </si>
  <si>
    <t>Rojas, Anghelly - 8512</t>
  </si>
  <si>
    <t>Garcia, Nicolas</t>
  </si>
  <si>
    <t>arojas14@ext.uber.com</t>
  </si>
  <si>
    <t>Acosta, Michael - 7778</t>
  </si>
  <si>
    <t>macost25@ext.uber.com</t>
  </si>
  <si>
    <t>Latam Fleet Phone</t>
  </si>
  <si>
    <t>Romero, Breydi - 0150</t>
  </si>
  <si>
    <t>Marulanda, Cristian</t>
  </si>
  <si>
    <t>bromer4@ext.uber.com</t>
  </si>
  <si>
    <t>Mendez, Sebastian - 1778</t>
  </si>
  <si>
    <t>smende12@ext.uber.com</t>
  </si>
  <si>
    <t>LatAm U4B WhatsApp</t>
  </si>
  <si>
    <t>Carrillo, Sharon - 7242</t>
  </si>
  <si>
    <t>scarri5@ext.uber.com</t>
  </si>
  <si>
    <t>Ospina, Angie - 2916</t>
  </si>
  <si>
    <t>aospin6@ext.uber.com</t>
  </si>
  <si>
    <t>Valderrama, Isabel - 5729</t>
  </si>
  <si>
    <t>mvaldl@ext.uber.com</t>
  </si>
  <si>
    <t>Driver Payments</t>
  </si>
  <si>
    <t>Duarte, Leidy - 0842</t>
  </si>
  <si>
    <t>Rojas, Moises</t>
  </si>
  <si>
    <t>lduart4@ext.uber.com</t>
  </si>
  <si>
    <t>Guzman, Anlly - 1242</t>
  </si>
  <si>
    <t>aguzma15@ext.uber.com</t>
  </si>
  <si>
    <t>Camacho, Ronald - 3132</t>
  </si>
  <si>
    <t>rcamac9@ext.uber.com</t>
  </si>
  <si>
    <t>LatAm Jamaica Rides</t>
  </si>
  <si>
    <t>Gutatame, Juan - 3328</t>
  </si>
  <si>
    <t>jguata@ext.uber.com</t>
  </si>
  <si>
    <t>Florez, Jenny - 3392</t>
  </si>
  <si>
    <t>jflore40@ext.uber.com</t>
  </si>
  <si>
    <t>Alvarez, Luis - 4876</t>
  </si>
  <si>
    <t>lalvar36@ext.uber.com</t>
  </si>
  <si>
    <t>Rojas, Manuel - 3790</t>
  </si>
  <si>
    <t>mrojas31@ext.uber.com</t>
  </si>
  <si>
    <t>Torres, Hiby - 0535</t>
  </si>
  <si>
    <t>Rodriguez, Fernanda</t>
  </si>
  <si>
    <t>htorre10@ext.uber.com</t>
  </si>
  <si>
    <t>Casanova, Hebert - 3619</t>
  </si>
  <si>
    <t>hcasan1@ext.uber.com</t>
  </si>
  <si>
    <t>LatAm Snowball</t>
  </si>
  <si>
    <t>Vizcaino, Daniela - 7350</t>
  </si>
  <si>
    <t>Chedraui, Katterine</t>
  </si>
  <si>
    <t>dvizca4@ext.uber.com</t>
  </si>
  <si>
    <t>Vargas, Shirley - 5203</t>
  </si>
  <si>
    <t>svarga28@ext.uber.com</t>
  </si>
  <si>
    <t>LatAm Lost Items</t>
  </si>
  <si>
    <t>Gonzalez, Serjelyn - 4037</t>
  </si>
  <si>
    <t>Mayerli, Johana</t>
  </si>
  <si>
    <t>sgonza44@ext.uber.com</t>
  </si>
  <si>
    <t>Useche, Hellenn - 5602</t>
  </si>
  <si>
    <t>husech@ext.uber.com</t>
  </si>
  <si>
    <t>LatAm Vehicle solutions</t>
  </si>
  <si>
    <t>GomezR, Maria - 6571</t>
  </si>
  <si>
    <t>Peralta, Allisson</t>
  </si>
  <si>
    <t>mgomez63@ext.uber.com</t>
  </si>
  <si>
    <t>Ayala, Johan - 8046</t>
  </si>
  <si>
    <t>jayala11@ext.uber.com</t>
  </si>
  <si>
    <t>Latam Restaurants Churn</t>
  </si>
  <si>
    <t>Molina, Jenny - 0052</t>
  </si>
  <si>
    <t>Hernandez, Nelson</t>
  </si>
  <si>
    <t>jmolin29@ext.uber.com</t>
  </si>
  <si>
    <t>Pico, Estefanny - 5722</t>
  </si>
  <si>
    <t>epico1@ext.uber.com</t>
  </si>
  <si>
    <t>Martinez, Sharon - 6611</t>
  </si>
  <si>
    <t>smarti30@ext.uber.com</t>
  </si>
  <si>
    <t>Lozano, Daleth - 1955</t>
  </si>
  <si>
    <t>dlozan4@ext.uber.com</t>
  </si>
  <si>
    <t>Toro, Yesid - 0414</t>
  </si>
  <si>
    <t>ytoro1@ext.uber.com</t>
  </si>
  <si>
    <t>Munoz, Rafael - 0700</t>
  </si>
  <si>
    <t>rmunoz9@ext.uber.com</t>
  </si>
  <si>
    <t>Marquez, Esteban - 6672</t>
  </si>
  <si>
    <t>Torres, Nicolas</t>
  </si>
  <si>
    <t>emarqu7@ext.uber.com</t>
  </si>
  <si>
    <t>Jutinico, Diana - 8152</t>
  </si>
  <si>
    <t>djutin@ext.uber.com</t>
  </si>
  <si>
    <t>Gallego, Nikol - 8369</t>
  </si>
  <si>
    <t>ngalle2@ext.uber.com</t>
  </si>
  <si>
    <t>Aponte, Vanessa - 2133</t>
  </si>
  <si>
    <t>Rodriguez, Jheymy</t>
  </si>
  <si>
    <t>vapont@ext.uber.com</t>
  </si>
  <si>
    <t>Piragauta, Carlos - 7108</t>
  </si>
  <si>
    <t>cpirag700@ext.uber.com</t>
  </si>
  <si>
    <t>mvilla153@ext.uber.com</t>
  </si>
  <si>
    <t>Poblador, Ricardo - 6107</t>
  </si>
  <si>
    <t>rpaula1@ext.uber.com</t>
  </si>
  <si>
    <t>Paipilla, Catalina - 5529</t>
  </si>
  <si>
    <t>cpaipi@ext.uber.com</t>
  </si>
  <si>
    <t>Bohorquez, Oscar - 1594</t>
  </si>
  <si>
    <t>obohor@ext.uber.com</t>
  </si>
  <si>
    <t>Neuta, Nancy - 5530</t>
  </si>
  <si>
    <t>nneuta@ext.uber.com</t>
  </si>
  <si>
    <t>Cruz, Milton - 7600</t>
  </si>
  <si>
    <t>mcruz104@ext.uber.com</t>
  </si>
  <si>
    <t>Cortes, Samir - 2793</t>
  </si>
  <si>
    <t>Espinosa, Nataly</t>
  </si>
  <si>
    <t>scorte13@ext.uber.com</t>
  </si>
  <si>
    <t>RodriguezR, Maria - 5915</t>
  </si>
  <si>
    <t>mrodri166@ext.uber.com</t>
  </si>
  <si>
    <t>Sepulveda, Angela - 7700</t>
  </si>
  <si>
    <t>asepul2@ext.uber.com</t>
  </si>
  <si>
    <t>Boada, Sebastian - 5606</t>
  </si>
  <si>
    <t>sboada@ext.uber.com</t>
  </si>
  <si>
    <t>Chiquiza, Ingrith - 1555</t>
  </si>
  <si>
    <t>ichiqu@ext.uber.com</t>
  </si>
  <si>
    <t>Casquete, Jhoan - 3909</t>
  </si>
  <si>
    <t>jcasqu@ext.uber.com</t>
  </si>
  <si>
    <t>Labrador, Diego - 8824</t>
  </si>
  <si>
    <t>dlabra@ext.uber.com</t>
  </si>
  <si>
    <t>Cuellar, Daniel - 5398</t>
  </si>
  <si>
    <t>dcuell9@ext.uber.com</t>
  </si>
  <si>
    <t>US Phone U4B Transit</t>
  </si>
  <si>
    <t>Fonseca, Anderson - 0466</t>
  </si>
  <si>
    <t>afonse4@ext.uber.com</t>
  </si>
  <si>
    <t>SanchezA, Diana - 7998</t>
  </si>
  <si>
    <t>dsanch65@ext.uber.com</t>
  </si>
  <si>
    <t>Escobar, John - 2423</t>
  </si>
  <si>
    <t>jescob14@ext.uber.com</t>
  </si>
  <si>
    <t>Garzon, Daniela - 0230</t>
  </si>
  <si>
    <t>dgarzo20@ext.uber.com</t>
  </si>
  <si>
    <t>Rojas, Gloria - 4077</t>
  </si>
  <si>
    <t>grojas5@ext.uber.com</t>
  </si>
  <si>
    <t>Ahumada, Natalia - 2398</t>
  </si>
  <si>
    <t>nahuma@ext.uber.com</t>
  </si>
  <si>
    <t>pgomez7@ext.uber.com</t>
  </si>
  <si>
    <t>Celeita, Katy - 2410</t>
  </si>
  <si>
    <t>kcelei@ext.uber.com</t>
  </si>
  <si>
    <t>Espinosa, Carol - 6370</t>
  </si>
  <si>
    <t>cespin15@ext.uber.com</t>
  </si>
  <si>
    <t>Montano, Cristian - 1344</t>
  </si>
  <si>
    <t>cmonta6@ext.uber.com</t>
  </si>
  <si>
    <t>Alzate, Johnny - 6583</t>
  </si>
  <si>
    <t>jalzat4@ext.uber.com</t>
  </si>
  <si>
    <t>Angarita, Michell - 7062</t>
  </si>
  <si>
    <t>mangar4@ext.uber.com</t>
  </si>
  <si>
    <t>Jimenez, Melissa - 4523</t>
  </si>
  <si>
    <t>Gutierrez, Edwin</t>
  </si>
  <si>
    <t>mjimen62@ext.uber.com</t>
  </si>
  <si>
    <t>MorenoM, Juan - 1045</t>
  </si>
  <si>
    <t>jmoren86@ext.uber.com</t>
  </si>
  <si>
    <t>Eats Sales Force</t>
  </si>
  <si>
    <t>Herrera, Liliana - 0870</t>
  </si>
  <si>
    <t>Robayo, Laura</t>
  </si>
  <si>
    <t>lherre18@ext.uber.com</t>
  </si>
  <si>
    <t>Porras, Samantha - 7551</t>
  </si>
  <si>
    <t>sporra3@ext.uber.com</t>
  </si>
  <si>
    <t>Bayona, Julian - 9914</t>
  </si>
  <si>
    <t>jbayon1@ext.uber.com</t>
  </si>
  <si>
    <t>Bohorquez, Juan - 0856</t>
  </si>
  <si>
    <t>jbohor6@ext.uber.com</t>
  </si>
  <si>
    <t>Macias, July - 7595</t>
  </si>
  <si>
    <t>jmacia7@ext.uber.com</t>
  </si>
  <si>
    <t>Puentes, Jhoan - 9705</t>
  </si>
  <si>
    <t>jpuent2@ext.uber.com</t>
  </si>
  <si>
    <t>Balaguera, Enid - 3778</t>
  </si>
  <si>
    <t>ebalag1@ext.uber.com</t>
  </si>
  <si>
    <t>Gonzalez, David - 8384</t>
  </si>
  <si>
    <t>dgonza122@ext.uber.com</t>
  </si>
  <si>
    <t>Garcia, Albert - 4385</t>
  </si>
  <si>
    <t>agarca2@ext.uber.com</t>
  </si>
  <si>
    <t>Gracia, Manuel - 2392</t>
  </si>
  <si>
    <t>mgraci2@ext.uber.com</t>
  </si>
  <si>
    <t>Cardenas, Yuly - 8698</t>
  </si>
  <si>
    <t>Herrera, Johanna</t>
  </si>
  <si>
    <t>ycarde4@ext.uber.com</t>
  </si>
  <si>
    <t>edavid3@ext.uber.com</t>
  </si>
  <si>
    <t>AlfonsoP, Jhon - 0477</t>
  </si>
  <si>
    <t>jalfon14@ext.uber.com</t>
  </si>
  <si>
    <t>RinconR, Maria - 7762</t>
  </si>
  <si>
    <t>mrinco3@ext.uber.com</t>
  </si>
  <si>
    <t>Hoyos, Lauren - 1141</t>
  </si>
  <si>
    <t>lhoyos4@ext.uber.com</t>
  </si>
  <si>
    <t>Lasso, Brayan - 5941</t>
  </si>
  <si>
    <t>blasso@ext.uber.com</t>
  </si>
  <si>
    <t>Callejas, Alexandra - 1898</t>
  </si>
  <si>
    <t>acalle4@ext.uber.com</t>
  </si>
  <si>
    <t>Reina, Nicole - 8416</t>
  </si>
  <si>
    <t>nreina@ext.uber.com</t>
  </si>
  <si>
    <t>Pulido, Hans - 2246</t>
  </si>
  <si>
    <t>hpulid2@ext.uber.com</t>
  </si>
  <si>
    <t>Burgos, Leidy - 6984</t>
  </si>
  <si>
    <t>lburgo2@ext.uber.com</t>
  </si>
  <si>
    <t>Arango, Paula - 4461</t>
  </si>
  <si>
    <t>parang@ext.uber.com</t>
  </si>
  <si>
    <t>Mercado, Laysson - 5873</t>
  </si>
  <si>
    <t>lmerca2@ext.uber.com</t>
  </si>
  <si>
    <t>Munoz, Julian - 6211</t>
  </si>
  <si>
    <t>jmuoz2@ext.uber.com</t>
  </si>
  <si>
    <t>Velazquez, Deivi - 1771</t>
  </si>
  <si>
    <t>dvelas20@ext.uber.com</t>
  </si>
  <si>
    <t>Driver Accounts</t>
  </si>
  <si>
    <t>Parra, Karen - 9342</t>
  </si>
  <si>
    <t>Corzo, Katherine</t>
  </si>
  <si>
    <t>kparra6@ext.uber.com</t>
  </si>
  <si>
    <t>GarciaL, Maria - 5764</t>
  </si>
  <si>
    <t>mgarci171@ext.uber.com</t>
  </si>
  <si>
    <t>Camacho, Laidy - 0469</t>
  </si>
  <si>
    <t>lcamac5@ext.uber.com</t>
  </si>
  <si>
    <t>US U4B Messaging</t>
  </si>
  <si>
    <t>Cufino, Andres - 4791</t>
  </si>
  <si>
    <t>acufin@ext.uber.com</t>
  </si>
  <si>
    <t>Contreras, Laura - 1787</t>
  </si>
  <si>
    <t>lcontr9@ext.uber.com</t>
  </si>
  <si>
    <t>Guataquira, Edwar - 7232</t>
  </si>
  <si>
    <t>eguata@ext.uber.com</t>
  </si>
  <si>
    <t>Mojica, Aura - 7380</t>
  </si>
  <si>
    <t>Lasso, Edwar</t>
  </si>
  <si>
    <t>amojic1@ext.uber.com</t>
  </si>
  <si>
    <t>Salazar, Jose - 2361</t>
  </si>
  <si>
    <t>jsalaz58@ext.uber.com</t>
  </si>
  <si>
    <t>Rodriguez, Faiber - 8486</t>
  </si>
  <si>
    <t>frodri39@ext.uber.com</t>
  </si>
  <si>
    <t>Leon, Paula - 5203</t>
  </si>
  <si>
    <t>pleon4@ext.uber.com</t>
  </si>
  <si>
    <t>Pabon, Shirley - 8764</t>
  </si>
  <si>
    <t>Marquez, Angelica</t>
  </si>
  <si>
    <t>spabon1@ext.uber.com</t>
  </si>
  <si>
    <t>Bautista, Victor - 2796</t>
  </si>
  <si>
    <t>vbauti7@ext.uber.com</t>
  </si>
  <si>
    <t>Ramirez, Duvan</t>
  </si>
  <si>
    <t>lpinto6@ext.uber.com</t>
  </si>
  <si>
    <t>Fonseca, Brenda - 9555</t>
  </si>
  <si>
    <t>bfonse3@ext.uber.com</t>
  </si>
  <si>
    <t>Latam Eats Restaurants T2 WA</t>
  </si>
  <si>
    <t>Barbosa, Robinson - 9164</t>
  </si>
  <si>
    <t>Ortiz, Kevin</t>
  </si>
  <si>
    <t>rbarbo8@ext.uber.com</t>
  </si>
  <si>
    <t>LopezM, Juliana - 0642</t>
  </si>
  <si>
    <t>jlopez217@ext.uber.com</t>
  </si>
  <si>
    <t>Novoa, Cristian - 0038</t>
  </si>
  <si>
    <t>cnovoa2@ext.uber.com</t>
  </si>
  <si>
    <t>Hurtado, Juan - 3186</t>
  </si>
  <si>
    <t>jhurta20@ext.uber.com</t>
  </si>
  <si>
    <t>Cardenas, Santiago - 4319</t>
  </si>
  <si>
    <t>scarde19@ext.uber.com</t>
  </si>
  <si>
    <t>Rebolledo, Francisco - 9592</t>
  </si>
  <si>
    <t>frebol1@ext.uber.com</t>
  </si>
  <si>
    <t>Munoz, Ronald - 2191</t>
  </si>
  <si>
    <t>rmunoz7@ext.uber.com</t>
  </si>
  <si>
    <t>Hidalgo, Eduardo - 1119</t>
  </si>
  <si>
    <t>ehidal1@ext.uber.com</t>
  </si>
  <si>
    <t>Roa, Juan - 5933</t>
  </si>
  <si>
    <t>jroa8@ext.uber.com</t>
  </si>
  <si>
    <t>JimenezG, Leidy - 2767</t>
  </si>
  <si>
    <t>Cardozo, Fredy</t>
  </si>
  <si>
    <t>ljimen14@ext.uber.com</t>
  </si>
  <si>
    <t>Morales, Princesa - 6971</t>
  </si>
  <si>
    <t>pmoral12@ext.uber.com</t>
  </si>
  <si>
    <t>Latam U4B Messaging</t>
  </si>
  <si>
    <t>Barco, Lida - 3042</t>
  </si>
  <si>
    <t>lmayor2@ext.uber.com</t>
  </si>
  <si>
    <t>GomezR, Diana - 4638</t>
  </si>
  <si>
    <t>Parra, Jeisson</t>
  </si>
  <si>
    <t>gdiana@ext.uber.com</t>
  </si>
  <si>
    <t>Munera, Karla - 9850</t>
  </si>
  <si>
    <t>kmuner@ext.uber.com</t>
  </si>
  <si>
    <t>Amaya, Camilo - 4943</t>
  </si>
  <si>
    <t>camaya2@ext.uber.com</t>
  </si>
  <si>
    <t>Rico, Adriana - 1928</t>
  </si>
  <si>
    <t>arico5@ext.uber.com</t>
  </si>
  <si>
    <t>Mena, Adrian - 8750</t>
  </si>
  <si>
    <t>amena2@ext.uber.com</t>
  </si>
  <si>
    <t>PatinoC, Ana - 3052</t>
  </si>
  <si>
    <t>apatin6@ext.uber.com</t>
  </si>
  <si>
    <t>Eats Proactive LatAm Churn</t>
  </si>
  <si>
    <t>Rojas, Juvenal - 8755</t>
  </si>
  <si>
    <t>Mayorga, Cesar</t>
  </si>
  <si>
    <t>jrojas41@ext.uber.com</t>
  </si>
  <si>
    <t>Paniagua, Maria - 7531</t>
  </si>
  <si>
    <t>mpania@ext.uber.com</t>
  </si>
  <si>
    <t>Vela, Laura - 9160</t>
  </si>
  <si>
    <t>lvela1@ext.uber.com</t>
  </si>
  <si>
    <t>Pena, Kimberly - 4822</t>
  </si>
  <si>
    <t>Campos, Jairo</t>
  </si>
  <si>
    <t>kpeat@ext.uber.com</t>
  </si>
  <si>
    <t>Molina, Carlyn - 5133</t>
  </si>
  <si>
    <t>cmolin14@ext.uber.com</t>
  </si>
  <si>
    <t>Salon, Zuleny - 6641</t>
  </si>
  <si>
    <t>zsalon@ext.uber.com</t>
  </si>
  <si>
    <t>Orrego, Leidy - 7354</t>
  </si>
  <si>
    <t>lorreg@ext.uber.com</t>
  </si>
  <si>
    <t>Mantilla, Angela - 0614</t>
  </si>
  <si>
    <t>amanti@ext.uber.com</t>
  </si>
  <si>
    <t>Orjuela, Ana - 6316</t>
  </si>
  <si>
    <t>aorjue2@ext.uber.com</t>
  </si>
  <si>
    <t>Vera, Maria - 3349</t>
  </si>
  <si>
    <t>mveral@ext.uber.com</t>
  </si>
  <si>
    <t>Piquetero, Cyndi - 6455</t>
  </si>
  <si>
    <t>cpique@ext.uber.com</t>
  </si>
  <si>
    <t>Alfonzo, Nerleidy - 3106</t>
  </si>
  <si>
    <t>nalfon2@ext.uber.com</t>
  </si>
  <si>
    <t>Pino, Maria - 1101</t>
  </si>
  <si>
    <t>mpinom@ext.uber.com</t>
  </si>
  <si>
    <t>Espejo, Anghyid - 8854</t>
  </si>
  <si>
    <t>aespej1@ext.uber.com</t>
  </si>
  <si>
    <t>Arroyave, Deisy - 1258</t>
  </si>
  <si>
    <t>darroy5@ext.uber.com</t>
  </si>
  <si>
    <t>Pepinosa, Santiago - 2512</t>
  </si>
  <si>
    <t>spepin@ext.uber.com</t>
  </si>
  <si>
    <t>Arias, Luisa - 8879</t>
  </si>
  <si>
    <t>larias20@ext.uber.com</t>
  </si>
  <si>
    <t>RodriguezV, Brayan - 8132</t>
  </si>
  <si>
    <t>brodri30@ext.uber.com</t>
  </si>
  <si>
    <t>Stredel, Alejandra - 0248</t>
  </si>
  <si>
    <t>astred@ext.uber.com</t>
  </si>
  <si>
    <t>Cardozo, Jesus - 0214</t>
  </si>
  <si>
    <t>Lopez, Wendy</t>
  </si>
  <si>
    <t>jcardo25@ext.uber.com</t>
  </si>
  <si>
    <t>Torres, Daniel - 2097</t>
  </si>
  <si>
    <t>dtorre47@ext.uber.com</t>
  </si>
  <si>
    <t>Davila, Lina - 1367</t>
  </si>
  <si>
    <t>ldavil4@ext.uber.com</t>
  </si>
  <si>
    <t>AndradeR, Maria - 2127</t>
  </si>
  <si>
    <t>mandra23@ext.uber.com</t>
  </si>
  <si>
    <t>Romero, Leidy - 0335</t>
  </si>
  <si>
    <t>lromer30@ext.uber.com</t>
  </si>
  <si>
    <t>Bedoya, Valentina - 0204</t>
  </si>
  <si>
    <t>vbedoy@ext.uber.com</t>
  </si>
  <si>
    <t>Silano, Emmanuel - 0254</t>
  </si>
  <si>
    <t>esilan@ext.uber.com</t>
  </si>
  <si>
    <t>Barbosa, Yury - 1171</t>
  </si>
  <si>
    <t>ybarbo1@ext.uber.com</t>
  </si>
  <si>
    <t>Mejia, Daniela - 3075</t>
  </si>
  <si>
    <t>dmejia24@ext.uber.com</t>
  </si>
  <si>
    <t>Ardila, Hilary - 2607</t>
  </si>
  <si>
    <t>hardil@ext.uber.com</t>
  </si>
  <si>
    <t>Ramos, Pedro - 3154</t>
  </si>
  <si>
    <t>pramos8@ext.uber.com</t>
  </si>
  <si>
    <t>Zapata, Manuela - 1888</t>
  </si>
  <si>
    <t>mzapat12@ext.uber.com</t>
  </si>
  <si>
    <t>Tabares, Daniela - 3162</t>
  </si>
  <si>
    <t>Pernia, Carlos</t>
  </si>
  <si>
    <t>atabar1@ext.uber.com</t>
  </si>
  <si>
    <t>Montoya, Franklin - 9752</t>
  </si>
  <si>
    <t>fmonto1@ext.uber.com</t>
  </si>
  <si>
    <t>Sierra, Dominic - 4057</t>
  </si>
  <si>
    <t>dsierr7@ext.uber.com</t>
  </si>
  <si>
    <t>Buitrago, PaulaG - 2697</t>
  </si>
  <si>
    <t>pgarci45@ext.uber.com</t>
  </si>
  <si>
    <t>Canas, Jessica - 4078</t>
  </si>
  <si>
    <t>jcanas1@ext.uber.com</t>
  </si>
  <si>
    <t>Hernandez, Leydi - 3075</t>
  </si>
  <si>
    <t>lherna88@ext.uber.com</t>
  </si>
  <si>
    <t>Castro, Ivan - 2488</t>
  </si>
  <si>
    <t>icastr8@ext.uber.com</t>
  </si>
  <si>
    <t>Parima, Yasmin - 5218</t>
  </si>
  <si>
    <t>yparim@ext.uber.com</t>
  </si>
  <si>
    <t>Spanish Eats Restaurants</t>
  </si>
  <si>
    <t>Barajas, Karen - 8842</t>
  </si>
  <si>
    <t>Gaitan, Erika</t>
  </si>
  <si>
    <t>kbaraj1@ext.uber.com</t>
  </si>
  <si>
    <t>Rua, Deiby - 8365</t>
  </si>
  <si>
    <t>drua1@ext.uber.com</t>
  </si>
  <si>
    <t>Suarez, Leidy - 3001</t>
  </si>
  <si>
    <t>lsuare13@ext.uber.com</t>
  </si>
  <si>
    <t>Rojas, Jefferson - 3021</t>
  </si>
  <si>
    <t>jrojas45@ext.uber.com</t>
  </si>
  <si>
    <t>Lopez, Valentina - 0346</t>
  </si>
  <si>
    <t>vlopez23@ext.uber.com</t>
  </si>
  <si>
    <t>Celis, Paola - 4536</t>
  </si>
  <si>
    <t>pcelis@ext.uber.com</t>
  </si>
  <si>
    <t>Guevara, Andres - 1965</t>
  </si>
  <si>
    <t>agueva9@ext.uber.com</t>
  </si>
  <si>
    <t>Ocampo, Yuliana - 4824</t>
  </si>
  <si>
    <t>yocamp3@ext.uber.com</t>
  </si>
  <si>
    <t>Cabrera, Bilexi - 1483</t>
  </si>
  <si>
    <t>bcabre2@ext.uber.com</t>
  </si>
  <si>
    <t>Melo, Daniela - 4829</t>
  </si>
  <si>
    <t>dguzma14@ext.uber.com</t>
  </si>
  <si>
    <t>Lucia, Karen - 5865</t>
  </si>
  <si>
    <t>kbuitr3@ext.uber.com</t>
  </si>
  <si>
    <t>Romero, Yeimy - 1048</t>
  </si>
  <si>
    <t>yromer8@ext.uber.com</t>
  </si>
  <si>
    <t>Marquez, Jonathan - 7877</t>
  </si>
  <si>
    <t>jmarqu36@ext.uber.com</t>
  </si>
  <si>
    <t>Monroy, Maria - 1060</t>
  </si>
  <si>
    <t>mmonro5@ext.uber.com</t>
  </si>
  <si>
    <t>OsorioS, Juan - 5840</t>
  </si>
  <si>
    <t>josori5@ext.uber.com</t>
  </si>
  <si>
    <t>Achury, Nycold - 9704</t>
  </si>
  <si>
    <t>nachur@ext.uber.com</t>
  </si>
  <si>
    <t>LatAm SCF</t>
  </si>
  <si>
    <t>MancipeH, Laura - 5618</t>
  </si>
  <si>
    <t>lmanci@ext.uber.com</t>
  </si>
  <si>
    <t>Paez, Edith - 1425</t>
  </si>
  <si>
    <t>epaez4@ext.uber.com</t>
  </si>
  <si>
    <t>Cajamarca, Nicole - 5624</t>
  </si>
  <si>
    <t>ncajam@ext.uber.com</t>
  </si>
  <si>
    <t>Riano, Jonathan - 8603</t>
  </si>
  <si>
    <t>jriaao@ext.uber.com</t>
  </si>
  <si>
    <t>LatAm Marketplace Rider</t>
  </si>
  <si>
    <t>Bastidas, Wilson - 4144</t>
  </si>
  <si>
    <t>Escobar, Sandra</t>
  </si>
  <si>
    <t>wbasti@ext.uber.com</t>
  </si>
  <si>
    <t>Leyva, Eurys - 4589</t>
  </si>
  <si>
    <t>eleyva2@ext.uber.com</t>
  </si>
  <si>
    <t>Galindo, Elsa - 5386</t>
  </si>
  <si>
    <t>egalin4@ext.uber.com</t>
  </si>
  <si>
    <t>Jimenez, Eduard - 0045</t>
  </si>
  <si>
    <t>ejimen38@ext.uber.com</t>
  </si>
  <si>
    <t>Villamil, Dayanna - 5407</t>
  </si>
  <si>
    <t>dvilla36@ext.uber.com</t>
  </si>
  <si>
    <t>Pedraza, Lilia - 2571</t>
  </si>
  <si>
    <t>lpedra9@ext.uber.com</t>
  </si>
  <si>
    <t>Prieto, William - 6030</t>
  </si>
  <si>
    <t>wpriet1@ext.uber.com</t>
  </si>
  <si>
    <t>Medina, Karla - 6156</t>
  </si>
  <si>
    <t>kmedin3@ext.uber.com</t>
  </si>
  <si>
    <t>Alonso, Daniela - 0877</t>
  </si>
  <si>
    <t>dalons6@ext.uber.com</t>
  </si>
  <si>
    <t>Duarte, Hilda - 6238</t>
  </si>
  <si>
    <t>Querales, Astric</t>
  </si>
  <si>
    <t>hduart1@ext.uber.com</t>
  </si>
  <si>
    <t>Tique, Carlos - 0301</t>
  </si>
  <si>
    <t>ctique@ext.uber.com</t>
  </si>
  <si>
    <t>Arango, Anggie - 6071</t>
  </si>
  <si>
    <t>aarang2@ext.uber.com</t>
  </si>
  <si>
    <t>mespit5@ext.uber.com</t>
  </si>
  <si>
    <t>Ramos De Avila, Jorge - 3270</t>
  </si>
  <si>
    <t>jramos77@ext.uber.com</t>
  </si>
  <si>
    <t>Marin, Orfa - 1842</t>
  </si>
  <si>
    <t>omarin2@ext.uber.com</t>
  </si>
  <si>
    <t>Rodriguez, Stefania - 8437</t>
  </si>
  <si>
    <t>slopez71@ext.uber.com</t>
  </si>
  <si>
    <t>Chaparro, Yudy - 6730</t>
  </si>
  <si>
    <t>ychapa1@ext.uber.com</t>
  </si>
  <si>
    <t>Gutierrez, Mariana - 0885</t>
  </si>
  <si>
    <t>mgutie48@ext.uber.com</t>
  </si>
  <si>
    <t>Guevara, Jose - 6733</t>
  </si>
  <si>
    <t>jgueva14@ext.uber.com</t>
  </si>
  <si>
    <t>Ortiz, Rafael - 2385</t>
  </si>
  <si>
    <t>rortiz20@ext.uber.com</t>
  </si>
  <si>
    <t>Olaya, Jose - 2846</t>
  </si>
  <si>
    <t>jolaya3@ext.uber.com</t>
  </si>
  <si>
    <t>Penagos, Tomas - 1315</t>
  </si>
  <si>
    <t>tpenag@ext.uber.com</t>
  </si>
  <si>
    <t>Suarez, Johns - 8188</t>
  </si>
  <si>
    <t>jsuare22@ext.uber.com</t>
  </si>
  <si>
    <t>Huertas, Laura - 2898</t>
  </si>
  <si>
    <t>lhuert6@ext.uber.com</t>
  </si>
  <si>
    <t>Ordonez, Marina - 5758</t>
  </si>
  <si>
    <t>Colorado, Valentina</t>
  </si>
  <si>
    <t>mordon7@ext.uber.com</t>
  </si>
  <si>
    <t>Paez, Luis - 8027</t>
  </si>
  <si>
    <t>lpaez9@ext.uber.com</t>
  </si>
  <si>
    <t>Florez, Lizeth - 5649</t>
  </si>
  <si>
    <t>lflore47@ext.uber.com</t>
  </si>
  <si>
    <t>Urbina, Nicol - 7287</t>
  </si>
  <si>
    <t>nurbin2@ext.uber.com</t>
  </si>
  <si>
    <t>Padilla, Ruben - 6113</t>
  </si>
  <si>
    <t>rpadil4@ext.uber.com</t>
  </si>
  <si>
    <t>Rodriguez, Juan - 2099</t>
  </si>
  <si>
    <t>jrodri329@ext.uber.com</t>
  </si>
  <si>
    <t>MartinezC, Laura - 7270</t>
  </si>
  <si>
    <t>lmarti105@ext.uber.com</t>
  </si>
  <si>
    <t>MurilloP, Juan - 2106</t>
  </si>
  <si>
    <t>jmuril9@ext.uber.com</t>
  </si>
  <si>
    <t>Montes, Sharon - 6862</t>
  </si>
  <si>
    <t>smonte14@ext.uber.com</t>
  </si>
  <si>
    <t>Bustos, Anggie - 9423</t>
  </si>
  <si>
    <t>abusto9@ext.uber.com</t>
  </si>
  <si>
    <t>Pastran, Victor - 5714</t>
  </si>
  <si>
    <t>vpastr1@ext.uber.com</t>
  </si>
  <si>
    <t>Angarita, Julian - 0752</t>
  </si>
  <si>
    <t>jangar5@ext.uber.com</t>
  </si>
  <si>
    <t>Bonilla, Geraldine - 4198</t>
  </si>
  <si>
    <t>Rodriguez, Lorena</t>
  </si>
  <si>
    <t>gbonil3@ext.uber.com</t>
  </si>
  <si>
    <t>Palacios, Samuel - 7549</t>
  </si>
  <si>
    <t>spalac14@ext.uber.com</t>
  </si>
  <si>
    <t>Fernandez, Danna - 4220</t>
  </si>
  <si>
    <t>dferna22@ext.uber.com</t>
  </si>
  <si>
    <t>Ortiz, Laura - 5674</t>
  </si>
  <si>
    <t>lortiz24@ext.uber.com</t>
  </si>
  <si>
    <t>LeonB, Juan - 5214</t>
  </si>
  <si>
    <t>jleon31@ext.uber.com</t>
  </si>
  <si>
    <t>David, Natalia - 5838</t>
  </si>
  <si>
    <t>ndavid1@ext.uber.com</t>
  </si>
  <si>
    <t>Acevedo, Daniela - 0288</t>
  </si>
  <si>
    <t>daceve5@ext.uber.com</t>
  </si>
  <si>
    <t>Uribe, Viviana - 2940</t>
  </si>
  <si>
    <t>vuribe1@ext.uber.com</t>
  </si>
  <si>
    <t>Monroy, Andres - 5169</t>
  </si>
  <si>
    <t>amonro14@ext.uber.com</t>
  </si>
  <si>
    <t>Leon, Jane - 2975</t>
  </si>
  <si>
    <t>jleon26@ext.uber.com</t>
  </si>
  <si>
    <t>Apache, Juan - 7117</t>
  </si>
  <si>
    <t>japach@ext.uber.com</t>
  </si>
  <si>
    <t>Ovalle, Camila - 3108</t>
  </si>
  <si>
    <t>cortiz21@ext.uber.com</t>
  </si>
  <si>
    <t>Poveda, Juan - 5190</t>
  </si>
  <si>
    <t>jpoved6@ext.uber.com</t>
  </si>
  <si>
    <t>Ortegon, Santiago - 3150</t>
  </si>
  <si>
    <t>sorteg8@ext.uber.com</t>
  </si>
  <si>
    <t>Salas, Brayan - 1335</t>
  </si>
  <si>
    <t>bsalas2@ext.uber.com</t>
  </si>
  <si>
    <t>Guevara, Miguel - 1345</t>
  </si>
  <si>
    <t>mgueva18@ext.uber.com</t>
  </si>
  <si>
    <t>Moreno, Sergio - 3588</t>
  </si>
  <si>
    <t>smoren28@ext.uber.com</t>
  </si>
  <si>
    <t>Cano, Sebastian - 9108</t>
  </si>
  <si>
    <t>scano3@ext.uber.com</t>
  </si>
  <si>
    <t>Rodriguez, Heliana - 1350</t>
  </si>
  <si>
    <t>hrodri30@ext.uber.com</t>
  </si>
  <si>
    <t>Cordoba, Jhon - 7207</t>
  </si>
  <si>
    <t>Martinez, Julian</t>
  </si>
  <si>
    <t>Pereira, Jorge</t>
  </si>
  <si>
    <t>jcordo13@ext.uber.com</t>
  </si>
  <si>
    <t>Perez, Wendy - 9921</t>
  </si>
  <si>
    <t>wperez8@ext.uber.com</t>
  </si>
  <si>
    <t>Gallego, Maria - 8304</t>
  </si>
  <si>
    <t>mgalle11@ext.uber.com</t>
  </si>
  <si>
    <t>Monsalve, Karen - 9924</t>
  </si>
  <si>
    <t>kmonsa7@ext.uber.com</t>
  </si>
  <si>
    <t>Castrillon, Laura - 3927</t>
  </si>
  <si>
    <t>lcastr32@ext.uber.com</t>
  </si>
  <si>
    <t>Baez, Diego - 7107</t>
  </si>
  <si>
    <t>dbaez4@ext.uber.com</t>
  </si>
  <si>
    <t>Guerra, Yuranny - 2845</t>
  </si>
  <si>
    <t>yguerr1@ext.uber.com</t>
  </si>
  <si>
    <t>Barrios, Dayana - 5518</t>
  </si>
  <si>
    <t>dbarri18@ext.uber.com</t>
  </si>
  <si>
    <t>Prieto, Yuleicy - 2855</t>
  </si>
  <si>
    <t>ypriet@ext.uber.com</t>
  </si>
  <si>
    <t>Orjuela, Heidy - 0750</t>
  </si>
  <si>
    <t>horjue@ext.uber.com</t>
  </si>
  <si>
    <t>Jimenez, Ingrid - 2866</t>
  </si>
  <si>
    <t>Lopez, Mariana</t>
  </si>
  <si>
    <t>ijimen13@ext.uber.com</t>
  </si>
  <si>
    <t>Riscanevo, Kevin - 1343</t>
  </si>
  <si>
    <t>krisca@ext.uber.com</t>
  </si>
  <si>
    <t>Narvaez, Eliana - 8284</t>
  </si>
  <si>
    <t>Corredor, Javier</t>
  </si>
  <si>
    <t>enarva3@ext.uber.com</t>
  </si>
  <si>
    <t>Cordoba, Maria - 5879</t>
  </si>
  <si>
    <t>mca3rd@ext.uber.com</t>
  </si>
  <si>
    <t>Arroyave, Adolfo - 4970</t>
  </si>
  <si>
    <t>aarroy@ext.uber.com</t>
  </si>
  <si>
    <t>Carrizales, Luis - 6607</t>
  </si>
  <si>
    <t>lcarri11@ext.uber.com</t>
  </si>
  <si>
    <t>Alarcon, Sergio - 2328</t>
  </si>
  <si>
    <t>salarc3@ext.uber.com</t>
  </si>
  <si>
    <t>BenitezC, Paula - 5475</t>
  </si>
  <si>
    <t>pbenit2@ext.uber.com</t>
  </si>
  <si>
    <t>Barua, Choton - 4130</t>
  </si>
  <si>
    <t>cbarua@ext.uber.com</t>
  </si>
  <si>
    <t>Camacho, Greilismar - 7851</t>
  </si>
  <si>
    <t>gcamac5@ext.uber.com</t>
  </si>
  <si>
    <t>RodriguezR, Valentina - 0014</t>
  </si>
  <si>
    <t>vrodri41@ext.uber.com</t>
  </si>
  <si>
    <t>Moreno, Jhonny - 5509</t>
  </si>
  <si>
    <t>jmoren78@ext.uber.com</t>
  </si>
  <si>
    <t>Eats LatAm Restaurants WA</t>
  </si>
  <si>
    <t>Vanegas, Karen - 0032</t>
  </si>
  <si>
    <t>kvaneg1@ext.uber.com</t>
  </si>
  <si>
    <t>Ospina, Angy - 4639</t>
  </si>
  <si>
    <t>aospin8@ext.uber.com</t>
  </si>
  <si>
    <t>cordun@ext.uber.com</t>
  </si>
  <si>
    <t>Lopez, Daniel - 3302</t>
  </si>
  <si>
    <t>dyamid@ext.uber.com</t>
  </si>
  <si>
    <t>Hernandez, Robert - 7851</t>
  </si>
  <si>
    <t>rherna50@ext.uber.com</t>
  </si>
  <si>
    <t>Garcia, Angie - 8761</t>
  </si>
  <si>
    <t>agarci194@ext.uber.com</t>
  </si>
  <si>
    <t>Ruiz, JuanJ - 9095</t>
  </si>
  <si>
    <t>jruiz49@ext.uber.com</t>
  </si>
  <si>
    <t>ndiaz17@ext.uber.com</t>
  </si>
  <si>
    <t>Latam Uber Direct Courier</t>
  </si>
  <si>
    <t>SerranoP, Maria - 9097</t>
  </si>
  <si>
    <t>mserra16@ext.uber.com</t>
  </si>
  <si>
    <t>mmunoz30@ext.uber.com</t>
  </si>
  <si>
    <t>Diaz, Laura - 9922</t>
  </si>
  <si>
    <t>ldiaz46@ext.uber.com</t>
  </si>
  <si>
    <t>ctorre65@ext.uber.com</t>
  </si>
  <si>
    <t>Valdes, Gabriel - 0591</t>
  </si>
  <si>
    <t>gvalde6@ext.uber.com</t>
  </si>
  <si>
    <t>ybogot@ext.uber.com</t>
  </si>
  <si>
    <t>nsanch26@ext.uber.com</t>
  </si>
  <si>
    <t>erinco4@ext.uber.com</t>
  </si>
  <si>
    <t>Bustos, Diana - 4808</t>
  </si>
  <si>
    <t>dbusto5@ext.uber.com</t>
  </si>
  <si>
    <t>dcamac10@ext.uber.com</t>
  </si>
  <si>
    <t>Amezquita, Daniela - 4821</t>
  </si>
  <si>
    <t>drodra@ext.uber.com</t>
  </si>
  <si>
    <t>narias5@ext.uber.com</t>
  </si>
  <si>
    <t>Corredor, Juana - 8753</t>
  </si>
  <si>
    <t>jsoto10@ext.uber.com</t>
  </si>
  <si>
    <t>lcamac12@ext.uber.com</t>
  </si>
  <si>
    <t>Archila, Julliette - 8054</t>
  </si>
  <si>
    <t>jmonta15@ext.uber.com</t>
  </si>
  <si>
    <t>lmonte33@ext.uber.com</t>
  </si>
  <si>
    <t>Espana, Javier - 4953</t>
  </si>
  <si>
    <t>jespan1@ext.uber.com</t>
  </si>
  <si>
    <t>lguerr17@ext.uber.com</t>
  </si>
  <si>
    <t>Arevalo, Ingrith - 4976</t>
  </si>
  <si>
    <t>LeonP, Jeisson</t>
  </si>
  <si>
    <t>vareva1@ext.uber.com</t>
  </si>
  <si>
    <t>jhuerf2@ext.uber.com</t>
  </si>
  <si>
    <t>Ariza, Juan - 8455</t>
  </si>
  <si>
    <t>jariza7@ext.uber.com</t>
  </si>
  <si>
    <t>mgarzo14@ext.uber.com</t>
  </si>
  <si>
    <t>Ramirez, Ingrid - 8459</t>
  </si>
  <si>
    <t>iramir15@ext.uber.com</t>
  </si>
  <si>
    <t>dsoche@ext.uber.com</t>
  </si>
  <si>
    <t>jprada4@ext.uber.com</t>
  </si>
  <si>
    <t>jortiz84@ext.uber.com</t>
  </si>
  <si>
    <t>Ramirez, Vanessa - 7039</t>
  </si>
  <si>
    <t>Montenegro, Diego</t>
  </si>
  <si>
    <t>vramir21@ext.uber.com</t>
  </si>
  <si>
    <t>mvarga46@ext.uber.com</t>
  </si>
  <si>
    <t>Gaitan, Sarah - 8977</t>
  </si>
  <si>
    <t>Albadan, Angie</t>
  </si>
  <si>
    <t>sgaita4@ext.uber.com</t>
  </si>
  <si>
    <t>aorteg20@ext.uber.com</t>
  </si>
  <si>
    <t>Cubillos, Elizabet - 2769</t>
  </si>
  <si>
    <t>Lozada, Jessica</t>
  </si>
  <si>
    <t>ecubil@ext.uber.com</t>
  </si>
  <si>
    <t>mberna50@ext.uber.com</t>
  </si>
  <si>
    <t>Rodriguez, Luis - 1100</t>
  </si>
  <si>
    <t>lrodri96@ext.uber.com</t>
  </si>
  <si>
    <t>aibane4@ext.uber.com</t>
  </si>
  <si>
    <t>Achury, Jeferson - 8679</t>
  </si>
  <si>
    <t>Bravo, Yessica</t>
  </si>
  <si>
    <t>jachur@ext.uber.com</t>
  </si>
  <si>
    <t>Sanchez, Valentina - 9190</t>
  </si>
  <si>
    <t>vsanch25@ext.uber.com</t>
  </si>
  <si>
    <t>Arias, Leidy - 9624</t>
  </si>
  <si>
    <t>larias12@ext.uber.com</t>
  </si>
  <si>
    <t>Quiroga, Daniel - 0344</t>
  </si>
  <si>
    <t>dquiro6@ext.uber.com</t>
  </si>
  <si>
    <t>Cortes, Michel - 5833</t>
  </si>
  <si>
    <t>mcorte42@ext.uber.com</t>
  </si>
  <si>
    <t>GarciaB, Ana - 2084</t>
  </si>
  <si>
    <t>agarci174@ext.uber.com</t>
  </si>
  <si>
    <t>Frost, Kurt - 0328</t>
  </si>
  <si>
    <t>kfrost@ext.uber.com</t>
  </si>
  <si>
    <t>Beltran, Viviana - 4002</t>
  </si>
  <si>
    <t>vbeltr5@ext.uber.com</t>
  </si>
  <si>
    <t>Chipatecua, Julian - 9192</t>
  </si>
  <si>
    <t>jchipa1@ext.uber.com</t>
  </si>
  <si>
    <t>Olarte, Giovanni - 4754</t>
  </si>
  <si>
    <t>golart2@ext.uber.com</t>
  </si>
  <si>
    <t>Pedreros, Lina - 7675</t>
  </si>
  <si>
    <t>lpedre@ext.uber.com</t>
  </si>
  <si>
    <t>Parra, Cristian - 8794</t>
  </si>
  <si>
    <t>cparra20@ext.uber.com</t>
  </si>
  <si>
    <t>Caraballo, Angie - 3564</t>
  </si>
  <si>
    <t>acarab1@ext.uber.com</t>
  </si>
  <si>
    <t>Gonzalez, Luis - 2644</t>
  </si>
  <si>
    <t>lgonza104@ext.uber.com</t>
  </si>
  <si>
    <t>Perilla, Juana - 5975</t>
  </si>
  <si>
    <t>jperil@ext.uber.com</t>
  </si>
  <si>
    <t>Gutierrez, Erika - 6052</t>
  </si>
  <si>
    <t>egutie18@ext.uber.com</t>
  </si>
  <si>
    <t>Vivas, Jhonwerneis - 5392</t>
  </si>
  <si>
    <t>jvivas3@ext.uber.com</t>
  </si>
  <si>
    <t>Campo, Jeimmy - 6170</t>
  </si>
  <si>
    <t>Urrea, Jhonatan</t>
  </si>
  <si>
    <t>jcampo21@ext.uber.com</t>
  </si>
  <si>
    <t>RodriguezL, Laura - 6557</t>
  </si>
  <si>
    <t>lrodri118@ext.uber.com</t>
  </si>
  <si>
    <t>Hernandez, Ligia - 9857</t>
  </si>
  <si>
    <t>Sosa, Cristian</t>
  </si>
  <si>
    <t>lherna105@ext.uber.com</t>
  </si>
  <si>
    <t>Parra, Orlando - 9457</t>
  </si>
  <si>
    <t>oparra2@ext.uber.com</t>
  </si>
  <si>
    <t>Mendez, Arelys - 0006</t>
  </si>
  <si>
    <t>amende24@ext.uber.com</t>
  </si>
  <si>
    <t>Lopez, Victor - 6512</t>
  </si>
  <si>
    <t>vlopez22@ext.uber.com</t>
  </si>
  <si>
    <t>Cuadros, Daniel - 0024</t>
  </si>
  <si>
    <t>dcuadr1@ext.uber.com</t>
  </si>
  <si>
    <t>Cervantes De Avila, Daniela - 6706</t>
  </si>
  <si>
    <t>dcerva9@ext.uber.com</t>
  </si>
  <si>
    <t>Pinilla, Cristian - 3582</t>
  </si>
  <si>
    <t>cpinil2@ext.uber.com</t>
  </si>
  <si>
    <t>Rios, Gina - 1619</t>
  </si>
  <si>
    <t>grios7@ext.uber.com</t>
  </si>
  <si>
    <t>Lopez, Cindy - 4445</t>
  </si>
  <si>
    <t>clopez84@ext.uber.com</t>
  </si>
  <si>
    <t>Ramirez, Ivon - 3841</t>
  </si>
  <si>
    <t>iramir16@ext.uber.com</t>
  </si>
  <si>
    <t>Oropeza, Carlimar - 2702</t>
  </si>
  <si>
    <t>corope1@ext.uber.com</t>
  </si>
  <si>
    <t>Pinzon, Alejandra - 7609</t>
  </si>
  <si>
    <t>apinzo16@ext.uber.com</t>
  </si>
  <si>
    <t>Naranjo, Melany - 9161</t>
  </si>
  <si>
    <t>mnaran3@ext.uber.com</t>
  </si>
  <si>
    <t>Arboleda, Shirley - 4842</t>
  </si>
  <si>
    <t>sarbol1@ext.uber.com</t>
  </si>
  <si>
    <t>Escobar, Lina - 0098</t>
  </si>
  <si>
    <t>lescob14@ext.uber.com</t>
  </si>
  <si>
    <t>Cabrera, Yulieth - 4447</t>
  </si>
  <si>
    <t>ycabre3@ext.uber.com</t>
  </si>
  <si>
    <t>Cuartas, Juan - 0571</t>
  </si>
  <si>
    <t>jcuart@ext.uber.com</t>
  </si>
  <si>
    <t>Ducuara, Jonathan - 4443</t>
  </si>
  <si>
    <t>jducua2@ext.uber.com</t>
  </si>
  <si>
    <t>Lopez, Juliana - 0655</t>
  </si>
  <si>
    <t>jlopez149@ext.uber.com</t>
  </si>
  <si>
    <t>Florez, Marcela - 2743</t>
  </si>
  <si>
    <t>mflore79@ext.uber.com</t>
  </si>
  <si>
    <t>Florez, Celena - 3688</t>
  </si>
  <si>
    <t>cflore51@ext.uber.com</t>
  </si>
  <si>
    <t>Mafla, Maira - 5938</t>
  </si>
  <si>
    <t>mmafla@ext.uber.com</t>
  </si>
  <si>
    <t>Garcia, Yenifer - 2867</t>
  </si>
  <si>
    <t>ygarci34@ext.uber.com</t>
  </si>
  <si>
    <t>Vera, Laura - 6659</t>
  </si>
  <si>
    <t>Machado, Nicole</t>
  </si>
  <si>
    <t>lvera6@ext.uber.com</t>
  </si>
  <si>
    <t>Ollarves, Ilthom - 8884</t>
  </si>
  <si>
    <t>iollar@ext.uber.com</t>
  </si>
  <si>
    <t>Uribe, Jenifer - 2875</t>
  </si>
  <si>
    <t>RodriguezN, Angie</t>
  </si>
  <si>
    <t>juribe8@ext.uber.com</t>
  </si>
  <si>
    <t>Guerrero, Jhonnier - 1349</t>
  </si>
  <si>
    <t>Botero, Elizabeth</t>
  </si>
  <si>
    <t>jguerr59@ext.uber.com</t>
  </si>
  <si>
    <t>Saavedra, Jenny - 6769</t>
  </si>
  <si>
    <t>jsaave3@ext.uber.com</t>
  </si>
  <si>
    <t>Gerena, Michael - 5221</t>
  </si>
  <si>
    <t>Rivera, Juana</t>
  </si>
  <si>
    <t>mgeren@ext.uber.com</t>
  </si>
  <si>
    <t>Moreno, Yenny - 7920</t>
  </si>
  <si>
    <t>ymoren5@ext.uber.com</t>
  </si>
  <si>
    <t>Paipilla, Yeimy - 6822</t>
  </si>
  <si>
    <t>Fernandez, Lee</t>
  </si>
  <si>
    <t>Acevedo, Camilo</t>
  </si>
  <si>
    <t>Garzon, Maria</t>
  </si>
  <si>
    <t>ypaipi@ext.uber.com</t>
  </si>
  <si>
    <t>Caceres, Enmanuel - 5866</t>
  </si>
  <si>
    <t>ecacer@ext.uber.com</t>
  </si>
  <si>
    <t>Parra, Lidia - 6909</t>
  </si>
  <si>
    <t>lparra11@ext.uber.com</t>
  </si>
  <si>
    <t>Beltran, Angie - 6137</t>
  </si>
  <si>
    <t>abeltr18@ext.uber.com</t>
  </si>
  <si>
    <t>Pinto, Andres - 9342</t>
  </si>
  <si>
    <t>apinto16@ext.uber.com</t>
  </si>
  <si>
    <t>Caceres, David - 3626</t>
  </si>
  <si>
    <t>dcacer3@ext.uber.com</t>
  </si>
  <si>
    <t>Bonilla, Juan - 7291</t>
  </si>
  <si>
    <t>jbonil12@ext.uber.com</t>
  </si>
  <si>
    <t>Ayala, Daniel - 3592</t>
  </si>
  <si>
    <t>dayala9@ext.uber.com</t>
  </si>
  <si>
    <t>Alvarez, Alinson - 6140</t>
  </si>
  <si>
    <t>aalvar76@ext.uber.com</t>
  </si>
  <si>
    <t>Garcia, Jhon - 3531</t>
  </si>
  <si>
    <t>jgarci295@ext.uber.com</t>
  </si>
  <si>
    <t>Castellanos, Yeny - 0746</t>
  </si>
  <si>
    <t>ycaste3@ext.uber.com</t>
  </si>
  <si>
    <t>Castro, Paula - 3357</t>
  </si>
  <si>
    <t>pcastr11@ext.uber.com</t>
  </si>
  <si>
    <t>Delgado, Kiara - 0941</t>
  </si>
  <si>
    <t>kdelga6@ext.uber.com</t>
  </si>
  <si>
    <t>Bermont, Samuel - 4579</t>
  </si>
  <si>
    <t>sbermo@ext.uber.com</t>
  </si>
  <si>
    <t>Cholo, Edison - 2419</t>
  </si>
  <si>
    <t>echolo@ext.uber.com</t>
  </si>
  <si>
    <t>Gutierrez, Jessica - 9191</t>
  </si>
  <si>
    <t>jgutie103@ext.uber.com</t>
  </si>
  <si>
    <t>Latorre, Sofia - 2421</t>
  </si>
  <si>
    <t>slator@ext.uber.com</t>
  </si>
  <si>
    <t>Suesca, Bernardo - 3630</t>
  </si>
  <si>
    <t>bsuesc@ext.uber.com</t>
  </si>
  <si>
    <t>Ospino, Luis - 4347</t>
  </si>
  <si>
    <t>Jaimes, Madeleine</t>
  </si>
  <si>
    <t>lospin6@ext.uber.com</t>
  </si>
  <si>
    <t>Herrera, Angie - 1024</t>
  </si>
  <si>
    <t>aherre52@ext.uber.com</t>
  </si>
  <si>
    <t>Pacheco, Yimmy - 6511</t>
  </si>
  <si>
    <t>ypache1@ext.uber.com</t>
  </si>
  <si>
    <t>Noguera, Brayan - 1069</t>
  </si>
  <si>
    <t>bnogue1@ext.uber.com</t>
  </si>
  <si>
    <t>Prato, Maria - 6543</t>
  </si>
  <si>
    <t>mprato@ext.uber.com</t>
  </si>
  <si>
    <t>Diaz, Wendy - 1070</t>
  </si>
  <si>
    <t>wdiaz9@ext.uber.com</t>
  </si>
  <si>
    <t>Fandino, Giovanny - 8484</t>
  </si>
  <si>
    <t>gfandi@ext.uber.com</t>
  </si>
  <si>
    <t>Caceres, Estiben - 4708</t>
  </si>
  <si>
    <t>ecacer1@ext.uber.com</t>
  </si>
  <si>
    <t>Torres, Jhon - 1181</t>
  </si>
  <si>
    <t>jtorre93@ext.uber.com</t>
  </si>
  <si>
    <t>Narvaez, Jeison - 6707</t>
  </si>
  <si>
    <t>jnarva10@ext.uber.com</t>
  </si>
  <si>
    <t>Lopez, German - 3096</t>
  </si>
  <si>
    <t>glopez40@ext.uber.com</t>
  </si>
  <si>
    <t>RodriguezQ, Paula - 8922</t>
  </si>
  <si>
    <t>prodri47@ext.uber.com</t>
  </si>
  <si>
    <t>Tique, Maria - 3276</t>
  </si>
  <si>
    <t>mtique1@ext.uber.com</t>
  </si>
  <si>
    <t>Venegas, Leidy - 7212</t>
  </si>
  <si>
    <t>lveneg700@ext.uber.com</t>
  </si>
  <si>
    <t>Duarte, Maria - 4557</t>
  </si>
  <si>
    <t>mduart6@ext.uber.com</t>
  </si>
  <si>
    <t>Herrera, Gileili - 5480</t>
  </si>
  <si>
    <t>gherre10@ext.uber.com</t>
  </si>
  <si>
    <t>Hernandez, Anderson - 8317</t>
  </si>
  <si>
    <t>aherna134@ext.uber.com</t>
  </si>
  <si>
    <t>PiambaR, Julian - 5238</t>
  </si>
  <si>
    <t>jpiamb@ext.uber.com</t>
  </si>
  <si>
    <t>Moreno, Wendy - 8318</t>
  </si>
  <si>
    <t>wmoren8@ext.uber.com</t>
  </si>
  <si>
    <t>Farfan, Jessika - 0226</t>
  </si>
  <si>
    <t>jfarfa5@ext.uber.com</t>
  </si>
  <si>
    <t>Spender Chat</t>
  </si>
  <si>
    <t>Ospina, Johana - 8327</t>
  </si>
  <si>
    <t>Ramos, Julian</t>
  </si>
  <si>
    <t>jospin19@ext.uber.com</t>
  </si>
  <si>
    <t>Ceballos, Luisa - 1920</t>
  </si>
  <si>
    <t>lcebal2@ext.uber.com</t>
  </si>
  <si>
    <t>Bocanegra, Maria - 1934</t>
  </si>
  <si>
    <t>mbocan@ext.uber.com</t>
  </si>
  <si>
    <t>Guerrero, Ana - 2868</t>
  </si>
  <si>
    <t>aguerr22@ext.uber.com</t>
  </si>
  <si>
    <t>Buitrago, Camilo - 3469</t>
  </si>
  <si>
    <t>cbuitr2@ext.uber.com</t>
  </si>
  <si>
    <t>Beltran, David - 9546</t>
  </si>
  <si>
    <t>dbeltr11@ext.uber.com</t>
  </si>
  <si>
    <t>Perez, Sandra - 7099</t>
  </si>
  <si>
    <t>sperez32@ext.uber.com</t>
  </si>
  <si>
    <t>Gaona, Alexa - 0924</t>
  </si>
  <si>
    <t>ygaona@ext.uber.com</t>
  </si>
  <si>
    <t>Cortaza, Geraldine - 1835</t>
  </si>
  <si>
    <t>gcorta@ext.uber.com</t>
  </si>
  <si>
    <t>Lazaro, Dayana - 6138</t>
  </si>
  <si>
    <t>dlazar4@ext.uber.com</t>
  </si>
  <si>
    <t>Montenegro, Brandon - 8131</t>
  </si>
  <si>
    <t>bmonte9@ext.uber.com</t>
  </si>
  <si>
    <t>Rubiano, David - 6256</t>
  </si>
  <si>
    <t>drubia2@ext.uber.com</t>
  </si>
  <si>
    <t>PerezQ, Daniel - 4627</t>
  </si>
  <si>
    <t>dperez52@ext.uber.com</t>
  </si>
  <si>
    <t>Enamorado, Paulina - 6259</t>
  </si>
  <si>
    <t>penamo@ext.uber.com</t>
  </si>
  <si>
    <t>Iriarte, Sherly - 8119</t>
  </si>
  <si>
    <t>siriar1@ext.uber.com</t>
  </si>
  <si>
    <t>Peralta, Luz - 6615</t>
  </si>
  <si>
    <t>lperal7@ext.uber.com</t>
  </si>
  <si>
    <t>Pena, Angie - 5209</t>
  </si>
  <si>
    <t>apena15@ext.uber.com</t>
  </si>
  <si>
    <t>Enamorado, Katherine - 7906</t>
  </si>
  <si>
    <t>kenamo@ext.uber.com</t>
  </si>
  <si>
    <t>Moncada, Natalia - 2424</t>
  </si>
  <si>
    <t>nmonca1@ext.uber.com</t>
  </si>
  <si>
    <t>Figueredo, Samuel - 7908</t>
  </si>
  <si>
    <t>sfigue5@ext.uber.com</t>
  </si>
  <si>
    <t>Rivera, Erika - 9635</t>
  </si>
  <si>
    <t>eriver3@ext.uber.com</t>
  </si>
  <si>
    <t>Nieto, Christian - 5294</t>
  </si>
  <si>
    <t>cnieto6@ext.uber.com</t>
  </si>
  <si>
    <t>Delgado, Shirly - 2126</t>
  </si>
  <si>
    <t>sdelga6@ext.uber.com</t>
  </si>
  <si>
    <t>Tellez, Michael - 3317</t>
  </si>
  <si>
    <t>mtelle5@ext.uber.com</t>
  </si>
  <si>
    <t>Loaiza, Maria - 0822</t>
  </si>
  <si>
    <t>mloaiz1@ext.uber.com</t>
  </si>
  <si>
    <t>Martinez, Valentina - 1861</t>
  </si>
  <si>
    <t>vpalac3@ext.uber.com</t>
  </si>
  <si>
    <t>Leon, Natalia - 2037</t>
  </si>
  <si>
    <t>nleon5@ext.uber.com</t>
  </si>
  <si>
    <t>Mancera, Andres - 8376</t>
  </si>
  <si>
    <t>fmance@ext.uber.com</t>
  </si>
  <si>
    <t>Segura, Brayan - 6364</t>
  </si>
  <si>
    <t>bsegur3@ext.uber.com</t>
  </si>
  <si>
    <t>Rodriguez, Marlon - 7256</t>
  </si>
  <si>
    <t>mrodri138@ext.uber.com</t>
  </si>
  <si>
    <t>Chavarriaga, Anyelin - 3961</t>
  </si>
  <si>
    <t>achava13@ext.uber.com</t>
  </si>
  <si>
    <t>Leal, Nislu - 7279</t>
  </si>
  <si>
    <t>nleal1@ext.uber.com</t>
  </si>
  <si>
    <t>Mendoza, Samuel - 3558</t>
  </si>
  <si>
    <t>smendo21@ext.uber.com</t>
  </si>
  <si>
    <t>Candelo, Betsy - 7291</t>
  </si>
  <si>
    <t>bcande1@ext.uber.com</t>
  </si>
  <si>
    <t>Ramos, Danna - 7296</t>
  </si>
  <si>
    <t>dramos22@ext.uber.com</t>
  </si>
  <si>
    <t>Isaza, Luisa - 8510</t>
  </si>
  <si>
    <t>lisaza1@ext.uber.com</t>
  </si>
  <si>
    <t>Eats US OTT Review</t>
  </si>
  <si>
    <t>Rivera, Daniela - 0521</t>
  </si>
  <si>
    <t>driver29@ext.uber.com</t>
  </si>
  <si>
    <t>Aguirre, Anyela - 7391</t>
  </si>
  <si>
    <t>aaguir9@ext.uber.com</t>
  </si>
  <si>
    <t>Cardona, Diana - 8090</t>
  </si>
  <si>
    <t>acardo25@ext.uber.com</t>
  </si>
  <si>
    <t>Henao, Luis - 7519</t>
  </si>
  <si>
    <t>lhenao6@ext.uber.com</t>
  </si>
  <si>
    <t>Lopez, Yuliana - 9543</t>
  </si>
  <si>
    <t>ylopez22@ext.uber.com</t>
  </si>
  <si>
    <t>Casas, Nicolas - 7654</t>
  </si>
  <si>
    <t>ncasas4@ext.uber.com</t>
  </si>
  <si>
    <t>Valoye, Yarleidy - 0367</t>
  </si>
  <si>
    <t>yvaloy@ext.uber.com</t>
  </si>
  <si>
    <t>Rodriguez, Karen - 8479</t>
  </si>
  <si>
    <t>krodri36@ext.uber.com</t>
  </si>
  <si>
    <t>Cuervo, Juan - 5841</t>
  </si>
  <si>
    <t>jcuerv14@ext.uber.com</t>
  </si>
  <si>
    <t>Latam G&amp;R Courier</t>
  </si>
  <si>
    <t>Zarache, Yesira - 8498</t>
  </si>
  <si>
    <t>Estepa, Maira</t>
  </si>
  <si>
    <t>yzarac@ext.uber.com</t>
  </si>
  <si>
    <t>Florez, Valentina - 6639</t>
  </si>
  <si>
    <t>vflore15@ext.uber.com</t>
  </si>
  <si>
    <t>Tasama, Brayan - 8749</t>
  </si>
  <si>
    <t>btasam@ext.uber.com</t>
  </si>
  <si>
    <t>Holguin, Tomas - 2503</t>
  </si>
  <si>
    <t>tholgu@ext.uber.com</t>
  </si>
  <si>
    <t>Fonseca, Gabriel - 4319</t>
  </si>
  <si>
    <t>gfonse4@ext.uber.com</t>
  </si>
  <si>
    <t>Zapata, Miguelangel - 7747</t>
  </si>
  <si>
    <t>mzapat22@ext.uber.com</t>
  </si>
  <si>
    <t>Gomez, Yisel - 5740</t>
  </si>
  <si>
    <t>ygomez9@ext.uber.com</t>
  </si>
  <si>
    <t>Arango, Darwin - 3604</t>
  </si>
  <si>
    <t>darang12@ext.uber.com</t>
  </si>
  <si>
    <t>Estupinan, Christian - 6008</t>
  </si>
  <si>
    <t>Camargo, Edgar</t>
  </si>
  <si>
    <t>cestup1@ext.uber.com</t>
  </si>
  <si>
    <t>De Leon, Carlos - 7969</t>
  </si>
  <si>
    <t>cdeleo7@ext.uber.com</t>
  </si>
  <si>
    <t>Amaya, Anny - 6055</t>
  </si>
  <si>
    <t>aamaya7@ext.uber.com</t>
  </si>
  <si>
    <t>Pimienta, Maria - 2747</t>
  </si>
  <si>
    <t>mpimie2@ext.uber.com</t>
  </si>
  <si>
    <t>OrjuelaC, Laura - 7167</t>
  </si>
  <si>
    <t>lorjue5@ext.uber.com</t>
  </si>
  <si>
    <t>CardonaRa, Juan - 2497</t>
  </si>
  <si>
    <t>jcardo41@ext.uber.com</t>
  </si>
  <si>
    <t>Navarrete, Nicolas - 7414</t>
  </si>
  <si>
    <t>nnavar3@ext.uber.com</t>
  </si>
  <si>
    <t>Mosquera, Juana - 1137</t>
  </si>
  <si>
    <t>jmosqu11@ext.uber.com</t>
  </si>
  <si>
    <t>Gonzalez, Daniela - 9783</t>
  </si>
  <si>
    <t>dgonza89@ext.uber.com</t>
  </si>
  <si>
    <t>Daza, Jhofran - 4761</t>
  </si>
  <si>
    <t>jdaza14@ext.uber.com</t>
  </si>
  <si>
    <t>Ospina, Carlos - 2504</t>
  </si>
  <si>
    <t>cospin6@ext.uber.com</t>
  </si>
  <si>
    <t>Naranjo, Carmen - 5048</t>
  </si>
  <si>
    <t>cnaran3@ext.uber.com</t>
  </si>
  <si>
    <t>Vasquez, Juan - 9216</t>
  </si>
  <si>
    <t>jvasqu41@ext.uber.com</t>
  </si>
  <si>
    <t>Vanegas, Yostin - 2350</t>
  </si>
  <si>
    <t>yvaneg1@ext.uber.com</t>
  </si>
  <si>
    <t>Ruiz, Brayan - 7003</t>
  </si>
  <si>
    <t>bruiz5@ext.uber.com</t>
  </si>
  <si>
    <t>Pena, Jinet - 4433</t>
  </si>
  <si>
    <t>jpena28@ext.uber.com</t>
  </si>
  <si>
    <t>Latam G&amp;R Consumer</t>
  </si>
  <si>
    <t>Rodriguez, Francy - 8776</t>
  </si>
  <si>
    <t>frodri30@ext.uber.com</t>
  </si>
  <si>
    <t>Mosquera Martinez, Jhon - 8411</t>
  </si>
  <si>
    <t>jmosqu13@ext.uber.com</t>
  </si>
  <si>
    <t>Castillo, Jessica - 8797</t>
  </si>
  <si>
    <t>jcasti73@ext.uber.com</t>
  </si>
  <si>
    <t>Camelo, Wilkerson - 8834</t>
  </si>
  <si>
    <t>wcamel1@ext.uber.com</t>
  </si>
  <si>
    <t>Tique, Oscar - 0287</t>
  </si>
  <si>
    <t>otique@ext.uber.com</t>
  </si>
  <si>
    <t>Naranjo, Pierina - 3252</t>
  </si>
  <si>
    <t>pnaran1@ext.uber.com</t>
  </si>
  <si>
    <t>Pulido, Maria - 0342</t>
  </si>
  <si>
    <t>Garcia, Carlos</t>
  </si>
  <si>
    <t>mpulid11@ext.uber.com</t>
  </si>
  <si>
    <t>SolerR, Maria - 0516</t>
  </si>
  <si>
    <t>msoler3@ext.uber.com</t>
  </si>
  <si>
    <t>Ramos, Anna - 2428</t>
  </si>
  <si>
    <t>aramos37@ext.uber.com</t>
  </si>
  <si>
    <t>Pacheco, Yulieth - 1744</t>
  </si>
  <si>
    <t>ypache4@ext.uber.com</t>
  </si>
  <si>
    <t>Perez, Yoana - 3934</t>
  </si>
  <si>
    <t>yperez18@ext.uber.com</t>
  </si>
  <si>
    <t>Benitez, Yarolin - 0853</t>
  </si>
  <si>
    <t>ybenit1@ext.uber.com</t>
  </si>
  <si>
    <t>Fonseca, Marlon - 4248</t>
  </si>
  <si>
    <t>Moreno, Yirly</t>
  </si>
  <si>
    <t>mfonse10@ext.uber.com</t>
  </si>
  <si>
    <t>Murcia, Ruth - 7110</t>
  </si>
  <si>
    <t>rmurci2@ext.uber.com</t>
  </si>
  <si>
    <t>Alegria, Steven - 2250</t>
  </si>
  <si>
    <t>salegr700@ext.uber.com</t>
  </si>
  <si>
    <t>Lozano, Maria - 0165</t>
  </si>
  <si>
    <t>mlozan16@ext.uber.com</t>
  </si>
  <si>
    <t>Medina, Nidia - 1237</t>
  </si>
  <si>
    <t>nmedin14@ext.uber.com</t>
  </si>
  <si>
    <t>Calderon, Brian - 0325</t>
  </si>
  <si>
    <t>bcalde3@ext.uber.com</t>
  </si>
  <si>
    <t>Figueroa, Michel - 9205</t>
  </si>
  <si>
    <t>mfigue16@ext.uber.com</t>
  </si>
  <si>
    <t>Nieto, Cristian - 0620</t>
  </si>
  <si>
    <t>cnieto7@ext.uber.com</t>
  </si>
  <si>
    <t>Cardona, Katherine - 1015</t>
  </si>
  <si>
    <t>kcardo4@ext.uber.com</t>
  </si>
  <si>
    <t>Eats Sales Latam BTA</t>
  </si>
  <si>
    <t>Mendivelso, Ruth - 1154</t>
  </si>
  <si>
    <t>rmendi2@ext.uber.com</t>
  </si>
  <si>
    <t>Ducuara, Jose - 1392</t>
  </si>
  <si>
    <t>jducua1@ext.uber.com</t>
  </si>
  <si>
    <t>Camacho, Nathan - 1958</t>
  </si>
  <si>
    <t>ncamac7@ext.uber.com</t>
  </si>
  <si>
    <t>Medina, Duvan - 4387</t>
  </si>
  <si>
    <t>dmedin26@ext.uber.com</t>
  </si>
  <si>
    <t>Pana, Mariela - 2981</t>
  </si>
  <si>
    <t>mpana1@ext.uber.com</t>
  </si>
  <si>
    <t>Pulido, David - 8990</t>
  </si>
  <si>
    <t>dpulid11@ext.uber.com</t>
  </si>
  <si>
    <t>Sarmiento, Daniel - 3268</t>
  </si>
  <si>
    <t>dsarmi9@ext.uber.com</t>
  </si>
  <si>
    <t>Benjumea, Laura - 9946</t>
  </si>
  <si>
    <t>lcatal@ext.uber.com</t>
  </si>
  <si>
    <t>Calderon, Jhonatan - 9074</t>
  </si>
  <si>
    <t>jcalde26@ext.uber.com</t>
  </si>
  <si>
    <t>Vela, Sara - 6350</t>
  </si>
  <si>
    <t>svela4@ext.uber.com</t>
  </si>
  <si>
    <t>Penagos, Santiago - 6339</t>
  </si>
  <si>
    <t>spenag2@ext.uber.com</t>
  </si>
  <si>
    <t>Rodriguez, Kelly - 7197</t>
  </si>
  <si>
    <t>krodri55@ext.uber.com</t>
  </si>
  <si>
    <t>Romero, Diana - 7071</t>
  </si>
  <si>
    <t>dromer29@ext.uber.com</t>
  </si>
  <si>
    <t>Cubillos, Camilo - 5738</t>
  </si>
  <si>
    <t>ccubil5@ext.uber.com</t>
  </si>
  <si>
    <t>Rojas, Irlenis - 9098</t>
  </si>
  <si>
    <t>irojas10@ext.uber.com</t>
  </si>
  <si>
    <t>Forero, Gina - 8088</t>
  </si>
  <si>
    <t>gforer2@ext.uber.com</t>
  </si>
  <si>
    <t>Gerena, Doris - 9109</t>
  </si>
  <si>
    <t>dgeren1@ext.uber.com</t>
  </si>
  <si>
    <t>Bellon, Kevin - 3229</t>
  </si>
  <si>
    <t>kbello4@ext.uber.com</t>
  </si>
  <si>
    <t>Toro, Ximena - 1888</t>
  </si>
  <si>
    <t>xtoro@ext.uber.com</t>
  </si>
  <si>
    <t>Mancipe, Soranyi - 4268</t>
  </si>
  <si>
    <t>smanci3@ext.uber.com</t>
  </si>
  <si>
    <t>Florez, Mildrey - 2600</t>
  </si>
  <si>
    <t>mflore59@ext.uber.com</t>
  </si>
  <si>
    <t>Gutierrez, Lluvy - 3836</t>
  </si>
  <si>
    <t>lgutie35@ext.uber.com</t>
  </si>
  <si>
    <t>Ortiz, Mario - 4162</t>
  </si>
  <si>
    <t>mortiz49@ext.uber.com</t>
  </si>
  <si>
    <t>Garcia, Yeimi - 9300</t>
  </si>
  <si>
    <t>ygarci35@ext.uber.com</t>
  </si>
  <si>
    <t>Correa, Ines - 5856</t>
  </si>
  <si>
    <t>dcorre10@ext.uber.com</t>
  </si>
  <si>
    <t>Avendano, Diego - 1384</t>
  </si>
  <si>
    <t>davend1@ext.uber.com</t>
  </si>
  <si>
    <t>Novoa, Maria - 6767</t>
  </si>
  <si>
    <t>mnovoa@ext.uber.com</t>
  </si>
  <si>
    <t>Canon, Andres - 8309</t>
  </si>
  <si>
    <t>acanon4@ext.uber.com</t>
  </si>
  <si>
    <t>Munoz, Nicolas - 8663</t>
  </si>
  <si>
    <t>nmunoz12@ext.uber.com</t>
  </si>
  <si>
    <t>Zambrano, Chelcy - 5591</t>
  </si>
  <si>
    <t>cporte1808@ext.uber.com</t>
  </si>
  <si>
    <t>Sierra, Andrea - 8790</t>
  </si>
  <si>
    <t>asierr11@ext.uber.com</t>
  </si>
  <si>
    <t>Conde, Karoll - 0294</t>
  </si>
  <si>
    <t>kconde3@ext.uber.com</t>
  </si>
  <si>
    <t>Castiblanco, Stivens - 7937</t>
  </si>
  <si>
    <t>scasti17@ext.uber.com</t>
  </si>
  <si>
    <t>Ruiz, Jerson - 0415</t>
  </si>
  <si>
    <t>Trujillo, Jose</t>
  </si>
  <si>
    <t>jgiral24@ext.uber.com</t>
  </si>
  <si>
    <t>Caro, Victor - 0713</t>
  </si>
  <si>
    <t>vcaro1@ext.uber.com</t>
  </si>
  <si>
    <t>Berrio, Alix - 3580</t>
  </si>
  <si>
    <t>aberri2@ext.uber.com</t>
  </si>
  <si>
    <t>Barreto, Victor - 8959</t>
  </si>
  <si>
    <t>vbarre@ext.uber.com</t>
  </si>
  <si>
    <t>RodriguezS, Carolina - 1124</t>
  </si>
  <si>
    <t>csegur9@ext.uber.com</t>
  </si>
  <si>
    <t>Guerra, Yoleidys - 1591</t>
  </si>
  <si>
    <t>yguerr2@ext.uber.com</t>
  </si>
  <si>
    <t>Castillo, Leydy - 8786</t>
  </si>
  <si>
    <t>lcasti29@ext.uber.com</t>
  </si>
  <si>
    <t>Contreras, Jeny - 1814</t>
  </si>
  <si>
    <t>jcontr43@ext.uber.com</t>
  </si>
  <si>
    <t>Guerrero, Derly - 1167</t>
  </si>
  <si>
    <t>dguerr31@ext.uber.com</t>
  </si>
  <si>
    <t>Perez, Yuly - 2970</t>
  </si>
  <si>
    <t>yperez19@ext.uber.com</t>
  </si>
  <si>
    <t>Godoy, Diana - 9612</t>
  </si>
  <si>
    <t>dgodoy3@ext.uber.com</t>
  </si>
  <si>
    <t>Querales, Lenny - 5016</t>
  </si>
  <si>
    <t>lquera@ext.uber.com</t>
  </si>
  <si>
    <t>Chavez, Doris - 7938</t>
  </si>
  <si>
    <t>dchave22@ext.uber.com</t>
  </si>
  <si>
    <t>Morales, Ana - 5026</t>
  </si>
  <si>
    <t>amoral52@ext.uber.com</t>
  </si>
  <si>
    <t>Lizarazo, Angie - 1591</t>
  </si>
  <si>
    <t>alizar5@ext.uber.com</t>
  </si>
  <si>
    <t>Ducuara, Luisa - 5252</t>
  </si>
  <si>
    <t>lducua@ext.uber.com</t>
  </si>
  <si>
    <t>Roa, David - 7285</t>
  </si>
  <si>
    <t>droa1@ext.uber.com</t>
  </si>
  <si>
    <t>Castillo, Pamela - 8223</t>
  </si>
  <si>
    <t>pcasti9@ext.uber.com</t>
  </si>
  <si>
    <t>Cruz, Jean - 7498</t>
  </si>
  <si>
    <t>jcruz137@ext.uber.com</t>
  </si>
  <si>
    <t>Erira, Hugo - 4478</t>
  </si>
  <si>
    <t>herira@ext.uber.com</t>
  </si>
  <si>
    <t>Acosta, Karen - 3945</t>
  </si>
  <si>
    <t>kacost5@ext.uber.com</t>
  </si>
  <si>
    <t>pguerr11@ext.uber.com</t>
  </si>
  <si>
    <t>Garizabal, Moises - 6820</t>
  </si>
  <si>
    <t>mgariz@ext.uber.com</t>
  </si>
  <si>
    <t>Duarte, Valeria - 4966</t>
  </si>
  <si>
    <t>vduart3@ext.uber.com</t>
  </si>
  <si>
    <t>Ortega, Liliana - 6269</t>
  </si>
  <si>
    <t>lorteg13@ext.uber.com</t>
  </si>
  <si>
    <t>ndiaz13@ext.uber.com</t>
  </si>
  <si>
    <t>Munoz, Mireya - 9280</t>
  </si>
  <si>
    <t>mmunoz22@ext.uber.com</t>
  </si>
  <si>
    <t>Naranjo, Wendy - 9282</t>
  </si>
  <si>
    <t>wnaran@ext.uber.com</t>
  </si>
  <si>
    <t>Caro, Yeimy - 5141</t>
  </si>
  <si>
    <t>ycaro@ext.uber.com</t>
  </si>
  <si>
    <t>Quintero, Samuel - 8871</t>
  </si>
  <si>
    <t>squint11@ext.uber.com</t>
  </si>
  <si>
    <t>Trespalacios, Nicol - 1384</t>
  </si>
  <si>
    <t>ntresp@ext.uber.com</t>
  </si>
  <si>
    <t>Aguilar, Luis - 2958</t>
  </si>
  <si>
    <t>laguil25@ext.uber.com</t>
  </si>
  <si>
    <t>Eats Menus EMEA Photos</t>
  </si>
  <si>
    <t>Alfonso, Daniel - 2259</t>
  </si>
  <si>
    <t>dalfon2@ext.uber.com</t>
  </si>
  <si>
    <t>Cueltan, Marby - 8234</t>
  </si>
  <si>
    <t>mcuelt@ext.uber.com</t>
  </si>
  <si>
    <t>Ordonez, Daniel - 8502</t>
  </si>
  <si>
    <t>dordon3@ext.uber.com</t>
  </si>
  <si>
    <t>Felix, Jennyfer - 7499</t>
  </si>
  <si>
    <t>jfelix13@ext.uber.com</t>
  </si>
  <si>
    <t>Contento, Camila - 0225</t>
  </si>
  <si>
    <t>cconte2@ext.uber.com</t>
  </si>
  <si>
    <t>LatAm Marketplace Driver</t>
  </si>
  <si>
    <t>Prieto, Diego - 4011</t>
  </si>
  <si>
    <t>RodriguezR, Laura</t>
  </si>
  <si>
    <t>dpriet6@ext.uber.com</t>
  </si>
  <si>
    <t>Navarro, Kelly - 6655</t>
  </si>
  <si>
    <t>knavar13@ext.uber.com</t>
  </si>
  <si>
    <t>Losada, Merilin - 1977</t>
  </si>
  <si>
    <t>mlosad@ext.uber.com</t>
  </si>
  <si>
    <t>Munoz, Angie - 9070</t>
  </si>
  <si>
    <t>amunoz30@ext.uber.com</t>
  </si>
  <si>
    <t>Zamora, Jessica - 7978</t>
  </si>
  <si>
    <t>jzamor17@ext.uber.com</t>
  </si>
  <si>
    <t>Martinez, Jorgelys - 9203</t>
  </si>
  <si>
    <t>jmarti67@ext.uber.com</t>
  </si>
  <si>
    <t>Gomez, Carol - 9390</t>
  </si>
  <si>
    <t>cgomez59@ext.uber.com</t>
  </si>
  <si>
    <t>Lopez, Luz - 9477</t>
  </si>
  <si>
    <t>llopez70@ext.uber.com</t>
  </si>
  <si>
    <t>MartinezN, Karen - 1448</t>
  </si>
  <si>
    <t>kmarti56@ext.uber.com</t>
  </si>
  <si>
    <t>Ortega, Brayan - 9484</t>
  </si>
  <si>
    <t>borteg2@ext.uber.com</t>
  </si>
  <si>
    <t>Fuentes, Nini - 3451</t>
  </si>
  <si>
    <t>nfuent2@ext.uber.com</t>
  </si>
  <si>
    <t>Blanco, Vestalia - 3844</t>
  </si>
  <si>
    <t>vblanc1@ext.uber.com</t>
  </si>
  <si>
    <t>Fajardo, Hilda - 5630</t>
  </si>
  <si>
    <t>hfajar2@ext.uber.com</t>
  </si>
  <si>
    <t>Orjuela, Angie - 5655</t>
  </si>
  <si>
    <t>aorjue7@ext.uber.com</t>
  </si>
  <si>
    <t>Cardozo, Martin - 7486</t>
  </si>
  <si>
    <t>mcardo36@ext.uber.com</t>
  </si>
  <si>
    <t>Velarde, Leydi - 5662</t>
  </si>
  <si>
    <t>lvelar@ext.uber.com</t>
  </si>
  <si>
    <t>Morales, Leidy - 2475</t>
  </si>
  <si>
    <t>lmoral47@ext.uber.com</t>
  </si>
  <si>
    <t>Virgues, Jhon - 5691</t>
  </si>
  <si>
    <t>jvirgu@ext.uber.com</t>
  </si>
  <si>
    <t>Espino, Daniela - 6610</t>
  </si>
  <si>
    <t>despin26@ext.uber.com</t>
  </si>
  <si>
    <t>Alarcon, Valentina - 5692</t>
  </si>
  <si>
    <t>valarc2@ext.uber.com</t>
  </si>
  <si>
    <t>Mejia, Tania - 3499</t>
  </si>
  <si>
    <t>tmejia4@ext.uber.com</t>
  </si>
  <si>
    <t>Leal, Themar - 5716</t>
  </si>
  <si>
    <t>tleal@ext.uber.com</t>
  </si>
  <si>
    <t>Palma, Ingri - 8842</t>
  </si>
  <si>
    <t>ipalma@ext.uber.com</t>
  </si>
  <si>
    <t>Sierra, Joseph - 2986</t>
  </si>
  <si>
    <t>jsierr27@ext.uber.com</t>
  </si>
  <si>
    <t>Robayo, Jordan - 7819</t>
  </si>
  <si>
    <t>jrobay4@ext.uber.com</t>
  </si>
  <si>
    <t>Ospino, Maicoll - 8146</t>
  </si>
  <si>
    <t>mospin10@ext.uber.com</t>
  </si>
  <si>
    <t>Cantor, Jhonatan - 8248</t>
  </si>
  <si>
    <t>jcanto1808@ext.uber.com</t>
  </si>
  <si>
    <t>Gomez, Erika - 9200</t>
  </si>
  <si>
    <t>egomez42@ext.uber.com</t>
  </si>
  <si>
    <t>Roncancio, Wilson - 9756</t>
  </si>
  <si>
    <t>wronca1808@ext.uber.com</t>
  </si>
  <si>
    <t>Valeriano, Mariana - 9174</t>
  </si>
  <si>
    <t>mvaler8@ext.uber.com</t>
  </si>
  <si>
    <t>Albarracin, Jenny - 2094</t>
  </si>
  <si>
    <t>jalbar4@ext.uber.com</t>
  </si>
  <si>
    <t>Rivera, Daniel - 9226</t>
  </si>
  <si>
    <t>driver27@ext.uber.com</t>
  </si>
  <si>
    <t>Ahumada, Jinneth - 2348</t>
  </si>
  <si>
    <t>jahuma1808@ext.uber.com</t>
  </si>
  <si>
    <t>Morales, Robert - 1958</t>
  </si>
  <si>
    <t>rmoral28@ext.uber.com</t>
  </si>
  <si>
    <t>Salgado, Manuel - 4005</t>
  </si>
  <si>
    <t>msalga4@ext.uber.com</t>
  </si>
  <si>
    <t>Castaneda, Jessica - 6565</t>
  </si>
  <si>
    <t>jcasta44@ext.uber.com</t>
  </si>
  <si>
    <t>Martinez, Karen - 5911</t>
  </si>
  <si>
    <t>kmarti52@ext.uber.com</t>
  </si>
  <si>
    <t>Galeano, Esteban - 7076</t>
  </si>
  <si>
    <t>egalea1@ext.uber.com</t>
  </si>
  <si>
    <t>Ortega, Betzabel - 6578</t>
  </si>
  <si>
    <t>borteg3@ext.uber.com</t>
  </si>
  <si>
    <t>Nino, Javier - 4025</t>
  </si>
  <si>
    <t>jnino11@ext.uber.com</t>
  </si>
  <si>
    <t>Guerrero, Yamile - 9415</t>
  </si>
  <si>
    <t>yguerr1808@ext.uber.com</t>
  </si>
  <si>
    <t>Vergara, Juan - 9681</t>
  </si>
  <si>
    <t>jverga13@ext.uber.com</t>
  </si>
  <si>
    <t>Beltran, Juan - 1349</t>
  </si>
  <si>
    <t>jbeltr33@ext.uber.com</t>
  </si>
  <si>
    <t>Huertas, Maria - 4584</t>
  </si>
  <si>
    <t>mhuert5@ext.uber.com</t>
  </si>
  <si>
    <t>Lemus, Angie - 4911</t>
  </si>
  <si>
    <t>Perez, Gustavo</t>
  </si>
  <si>
    <t>alemus@ext.uber.com</t>
  </si>
  <si>
    <t>Ballesteros, Jose - 5112</t>
  </si>
  <si>
    <t>jballe13@ext.uber.com</t>
  </si>
  <si>
    <t>Villamil, Nidia - 8469</t>
  </si>
  <si>
    <t>nvilla23@ext.uber.com</t>
  </si>
  <si>
    <t>Horta, Daimler - 4374</t>
  </si>
  <si>
    <t>dhorta1@ext.uber.com</t>
  </si>
  <si>
    <t>Macedo, Carlos - 3837</t>
  </si>
  <si>
    <t>cmaced4@ext.uber.com</t>
  </si>
  <si>
    <t>Montano, Maria - 4609</t>
  </si>
  <si>
    <t>mmonta19@ext.uber.com</t>
  </si>
  <si>
    <t>Bedoya, Julian - 3840</t>
  </si>
  <si>
    <t>jbedoy10@ext.uber.com</t>
  </si>
  <si>
    <t>GonzalezG, Laura - 1904</t>
  </si>
  <si>
    <t>lgonza84@ext.uber.com</t>
  </si>
  <si>
    <t>Romero, Yeny - 3871</t>
  </si>
  <si>
    <t>yromer10@ext.uber.com</t>
  </si>
  <si>
    <t>Saavedra, Geraldine - 4274</t>
  </si>
  <si>
    <t>gsaave1@ext.uber.com</t>
  </si>
  <si>
    <t>Montiel, Yoldi - 3872</t>
  </si>
  <si>
    <t>ymonti@ext.uber.com</t>
  </si>
  <si>
    <t>Santamaria, Jose - 3151</t>
  </si>
  <si>
    <t>jsanta24@ext.uber.com</t>
  </si>
  <si>
    <t>Bueno, Lilia - 4552</t>
  </si>
  <si>
    <t>lbueno3@ext.uber.com</t>
  </si>
  <si>
    <t>Rodriguez, Julian - 3312</t>
  </si>
  <si>
    <t>jrodri278@ext.uber.com</t>
  </si>
  <si>
    <t>Briceno, Alirio - 5114</t>
  </si>
  <si>
    <t>abrice3@ext.uber.com</t>
  </si>
  <si>
    <t>Orozco, Jeraldin - 7508</t>
  </si>
  <si>
    <t>jorozc700@ext.uber.com</t>
  </si>
  <si>
    <t>OrtizB, Jose - 5119</t>
  </si>
  <si>
    <t>jortiz72@ext.uber.com</t>
  </si>
  <si>
    <t>Puerta, Danna - 6428</t>
  </si>
  <si>
    <t>dpuert1@ext.uber.com</t>
  </si>
  <si>
    <t>Duran, Laura - 5134</t>
  </si>
  <si>
    <t>lduran7@ext.uber.com</t>
  </si>
  <si>
    <t>Montano, Santiago - 9052</t>
  </si>
  <si>
    <t>smonta11@ext.uber.com</t>
  </si>
  <si>
    <t>Franco, Sulay - 5136</t>
  </si>
  <si>
    <t>sfranc10@ext.uber.com</t>
  </si>
  <si>
    <t>Martinez, Kevin - 6033</t>
  </si>
  <si>
    <t>kmarti61@ext.uber.com</t>
  </si>
  <si>
    <t>Lopez, Tania - 5137</t>
  </si>
  <si>
    <t>tlopez7@ext.uber.com</t>
  </si>
  <si>
    <t>LatAm Marketplace Rider BTA</t>
  </si>
  <si>
    <t>Leal, Ginneth - 6826</t>
  </si>
  <si>
    <t>Lopez, Silvia</t>
  </si>
  <si>
    <t>gleal2@ext.uber.com</t>
  </si>
  <si>
    <t>OviedoJ, Juan - 9285</t>
  </si>
  <si>
    <t>jovied6@ext.uber.com</t>
  </si>
  <si>
    <t>Espinoza, Maria - 3203</t>
  </si>
  <si>
    <t>mespin5@ext.uber.com</t>
  </si>
  <si>
    <t>Rincon, Nazly - 8926</t>
  </si>
  <si>
    <t>nrinco7@ext.uber.com</t>
  </si>
  <si>
    <t>Calderon, Harol - 1572</t>
  </si>
  <si>
    <t>hcalde3@ext.uber.com</t>
  </si>
  <si>
    <t>Pereira, Heidy - 6197</t>
  </si>
  <si>
    <t>Virguez, Hojann</t>
  </si>
  <si>
    <t>Castillo, Carlos</t>
  </si>
  <si>
    <t>hperei7@ext.uber.com</t>
  </si>
  <si>
    <t>Sanchez, Kevin - 7456</t>
  </si>
  <si>
    <t>ksanch43@ext.uber.com</t>
  </si>
  <si>
    <t>Ortiz, Liliana - 6202</t>
  </si>
  <si>
    <t>lortiz29@ext.uber.com</t>
  </si>
  <si>
    <t>Paez, Angelly - 6515</t>
  </si>
  <si>
    <t>apaez9@ext.uber.com</t>
  </si>
  <si>
    <t>Granados, Stefany - 6214</t>
  </si>
  <si>
    <t>sgrana6@ext.uber.com</t>
  </si>
  <si>
    <t>Forero, Ana - 3527</t>
  </si>
  <si>
    <t>aforer700@ext.uber.com</t>
  </si>
  <si>
    <t>Heredia, Gloria - 6746</t>
  </si>
  <si>
    <t>ghered@ext.uber.com</t>
  </si>
  <si>
    <t>Lancheros, Laura - 7760</t>
  </si>
  <si>
    <t>llanch1@ext.uber.com</t>
  </si>
  <si>
    <t>Franco, Mileydi - 6991</t>
  </si>
  <si>
    <t>mfranc47@ext.uber.com</t>
  </si>
  <si>
    <t>Franco, Juan - 8517</t>
  </si>
  <si>
    <t>jfranc69@ext.uber.com</t>
  </si>
  <si>
    <t>Osorio, Veronica - 7036</t>
  </si>
  <si>
    <t>vosori1@ext.uber.com</t>
  </si>
  <si>
    <t>HernandezH, Laura - 5959</t>
  </si>
  <si>
    <t>lherna94@ext.uber.com</t>
  </si>
  <si>
    <t>Bauta, Lisbeth - 0514</t>
  </si>
  <si>
    <t>lbauta@ext.uber.com</t>
  </si>
  <si>
    <t>Bravo, Jhon - 2032</t>
  </si>
  <si>
    <t>jbravo13@ext.uber.com</t>
  </si>
  <si>
    <t>Vela, Jason - 0977</t>
  </si>
  <si>
    <t>jvela3@ext.uber.com</t>
  </si>
  <si>
    <t>Barragan, Nelsy - 9855</t>
  </si>
  <si>
    <t>nbarra3@ext.uber.com</t>
  </si>
  <si>
    <t>Cespedes, Dalia - 6278</t>
  </si>
  <si>
    <t>dcespe1@ext.uber.com</t>
  </si>
  <si>
    <t>GarciaT, Daniela - 7236</t>
  </si>
  <si>
    <t>dgarci106@ext.uber.com</t>
  </si>
  <si>
    <t>Mazo, Cindy - 9795</t>
  </si>
  <si>
    <t>cmazo@ext.uber.com</t>
  </si>
  <si>
    <t>Alfonso, Cristina - 9748</t>
  </si>
  <si>
    <t>calfon3@ext.uber.com</t>
  </si>
  <si>
    <t>Ramirez, Edinson - 5487</t>
  </si>
  <si>
    <t>eramir38@ext.uber.com</t>
  </si>
  <si>
    <t>Henao, Javier - 5409</t>
  </si>
  <si>
    <t>jhenao4@ext.uber.com</t>
  </si>
  <si>
    <t>Arias, Richard - 7632</t>
  </si>
  <si>
    <t>rarias2@ext.uber.com</t>
  </si>
  <si>
    <t>Giron, Maria - 6155</t>
  </si>
  <si>
    <t>mgiron4@ext.uber.com</t>
  </si>
  <si>
    <t>Cortes, Mireya - 0398</t>
  </si>
  <si>
    <t>mcorte36@ext.uber.com</t>
  </si>
  <si>
    <t>Borda, Andres - 6034</t>
  </si>
  <si>
    <t>aborda1@ext.uber.com</t>
  </si>
  <si>
    <t>FlorezB, David - 2209</t>
  </si>
  <si>
    <t>dflore41@ext.uber.com</t>
  </si>
  <si>
    <t>Servita, Gabriela - 2674</t>
  </si>
  <si>
    <t>gservi@ext.uber.com</t>
  </si>
  <si>
    <t>Caicedo, Yadira - 8446</t>
  </si>
  <si>
    <t>ycaice@ext.uber.com</t>
  </si>
  <si>
    <t>Olmos, Neider - 8489</t>
  </si>
  <si>
    <t>yolmos@ext.uber.com</t>
  </si>
  <si>
    <t>Falla, Nicolas - 8492</t>
  </si>
  <si>
    <t>nfalla@ext.uber.com</t>
  </si>
  <si>
    <t>Vallee, Valerie - 9941</t>
  </si>
  <si>
    <t>vvalle4@ext.uber.com</t>
  </si>
  <si>
    <t>Barrera, Dayana - 9975</t>
  </si>
  <si>
    <t>dbarre15@ext.uber.com</t>
  </si>
  <si>
    <t>Rodriguez, Anyisbel - 9399</t>
  </si>
  <si>
    <t>arodri222@ext.uber.com</t>
  </si>
  <si>
    <t>Osorio, Maria - 1213</t>
  </si>
  <si>
    <t>Vega, David</t>
  </si>
  <si>
    <t>mosori19@ext.uber.com</t>
  </si>
  <si>
    <t>Diaz, Alexandra - 1724</t>
  </si>
  <si>
    <t>adiaz67@ext.uber.com</t>
  </si>
  <si>
    <t>Saldana, Samir - 1230</t>
  </si>
  <si>
    <t>asalda11@ext.uber.com</t>
  </si>
  <si>
    <t>Martin, Heynner - 1469</t>
  </si>
  <si>
    <t>hmarti27@ext.uber.com</t>
  </si>
  <si>
    <t>Goyes, Andres - 1372</t>
  </si>
  <si>
    <t>agoyes@ext.uber.com</t>
  </si>
  <si>
    <t>Quiceno, Santiago - 1391</t>
  </si>
  <si>
    <t>squice2@ext.uber.com</t>
  </si>
  <si>
    <t>Pinto, Carolina - 4156</t>
  </si>
  <si>
    <t>cgomez55@ext.uber.com</t>
  </si>
  <si>
    <t>Torres, Nikole - 3835</t>
  </si>
  <si>
    <t>ntorre21@ext.uber.com</t>
  </si>
  <si>
    <t>Silva, Jeimmy - 5287</t>
  </si>
  <si>
    <t>tsilva105@ext.uber.com</t>
  </si>
  <si>
    <t>Mendoza, Saira - 3598</t>
  </si>
  <si>
    <t>smendo20@ext.uber.com</t>
  </si>
  <si>
    <t>Morales, Philippe - 5621</t>
  </si>
  <si>
    <t>ptorre13@ext.uber.com</t>
  </si>
  <si>
    <t>Mayorga, Monica - 1915</t>
  </si>
  <si>
    <t>mmayor1@ext.uber.com</t>
  </si>
  <si>
    <t>Lopez, Yusley - 6839</t>
  </si>
  <si>
    <t>ylopez20@ext.uber.com</t>
  </si>
  <si>
    <t>Velandia, Brenda - 3184</t>
  </si>
  <si>
    <t>bvelan2@ext.uber.com</t>
  </si>
  <si>
    <t>Arroyo, Sara - 9449</t>
  </si>
  <si>
    <t>Ayala, Laura</t>
  </si>
  <si>
    <t>sarroy4@ext.uber.com</t>
  </si>
  <si>
    <t>Useche, Andres - 8153</t>
  </si>
  <si>
    <t>ausech@ext.uber.com</t>
  </si>
  <si>
    <t>Malqui, Jose - 9472</t>
  </si>
  <si>
    <t>jmalqu@ext.uber.com</t>
  </si>
  <si>
    <t>Viera, Frank - 8320</t>
  </si>
  <si>
    <t>fviera@ext.uber.com</t>
  </si>
  <si>
    <t>Soto, Yuri - 9513</t>
  </si>
  <si>
    <t>ysoto4@ext.uber.com</t>
  </si>
  <si>
    <t>Camacho, Evelyn - 1085</t>
  </si>
  <si>
    <t>ecamac700@ext.uber.com</t>
  </si>
  <si>
    <t>Carillo, Mariana - 1283</t>
  </si>
  <si>
    <t>mcarri14@ext.uber.com</t>
  </si>
  <si>
    <t>Corredor, Natalia - 1914</t>
  </si>
  <si>
    <t>ncorre12@ext.uber.com</t>
  </si>
  <si>
    <t>Gomez, Yenny - 9434</t>
  </si>
  <si>
    <t>ygomez13@ext.uber.com</t>
  </si>
  <si>
    <t>Saucedo, Keilis - 8457</t>
  </si>
  <si>
    <t>ksauce1@ext.uber.com</t>
  </si>
  <si>
    <t>Castillo, Maria - 9653</t>
  </si>
  <si>
    <t>mcasti49@ext.uber.com</t>
  </si>
  <si>
    <t>Ordonez, Marlon - 4235</t>
  </si>
  <si>
    <t>mordon10@ext.uber.com</t>
  </si>
  <si>
    <t>Rodriguez, Valentina - 9670</t>
  </si>
  <si>
    <t>vrodri33@ext.uber.com</t>
  </si>
  <si>
    <t>Moreno, Emmanuel - 6419</t>
  </si>
  <si>
    <t>emoren40@ext.uber.com</t>
  </si>
  <si>
    <t>Palacios, Jose - 0675</t>
  </si>
  <si>
    <t>jpalac25@ext.uber.com</t>
  </si>
  <si>
    <t>Barinas, Danna - 9067</t>
  </si>
  <si>
    <t>dbarin1@ext.uber.com</t>
  </si>
  <si>
    <t>Paez, Edgar - 0677</t>
  </si>
  <si>
    <t>epaez2@ext.uber.com</t>
  </si>
  <si>
    <t>Cardenas, Jessica - 1049</t>
  </si>
  <si>
    <t>jcarde29@ext.uber.com</t>
  </si>
  <si>
    <t>Mora, Juan - 1090</t>
  </si>
  <si>
    <t>jmora6@ext.uber.com</t>
  </si>
  <si>
    <t>Vesga, Santiago - 7361</t>
  </si>
  <si>
    <t>svesga700@ext.uber.com</t>
  </si>
  <si>
    <t>Marin, Camilo - 7103</t>
  </si>
  <si>
    <t>cmarin19@ext.uber.com</t>
  </si>
  <si>
    <t>Fonseca, Sergio - 7066</t>
  </si>
  <si>
    <t>sfonse700@ext.uber.com</t>
  </si>
  <si>
    <t>Luengas, Jessica - 8992</t>
  </si>
  <si>
    <t>jlueng@ext.uber.com</t>
  </si>
  <si>
    <t>Urdaneta, Reinaldo - 5481</t>
  </si>
  <si>
    <t>rurdan@ext.uber.com</t>
  </si>
  <si>
    <t>MoraP, Maria - 4028</t>
  </si>
  <si>
    <t>mmora18@ext.uber.com</t>
  </si>
  <si>
    <t>Bernal, Neygineth - 6696</t>
  </si>
  <si>
    <t>nberna14@ext.uber.com</t>
  </si>
  <si>
    <t>Monroy, Azucena - 1528</t>
  </si>
  <si>
    <t>amonro11@ext.uber.com</t>
  </si>
  <si>
    <t>Plazas, Maria - 4385</t>
  </si>
  <si>
    <t>mplaza4@ext.uber.com</t>
  </si>
  <si>
    <t>Moreno, Florinda - 1529</t>
  </si>
  <si>
    <t>fmoren10@ext.uber.com</t>
  </si>
  <si>
    <t>Campos, Michell - 1365</t>
  </si>
  <si>
    <t>mcampo24@ext.uber.com</t>
  </si>
  <si>
    <t>Arias, Jorge - 1574</t>
  </si>
  <si>
    <t>jarias31@ext.uber.com</t>
  </si>
  <si>
    <t>Hoyos, Felipe - 4573</t>
  </si>
  <si>
    <t>fhoyos@ext.uber.com</t>
  </si>
  <si>
    <t>Ramirez, Natalia - 1575</t>
  </si>
  <si>
    <t>nramir16@ext.uber.com</t>
  </si>
  <si>
    <t>Soche, Allison - 9103</t>
  </si>
  <si>
    <t>asoche@ext.uber.com</t>
  </si>
  <si>
    <t>Avila, Mishel - 1582</t>
  </si>
  <si>
    <t>mavila8@ext.uber.com</t>
  </si>
  <si>
    <t>Ulloa, Andrea - 4207</t>
  </si>
  <si>
    <t>aulloa4@ext.uber.com</t>
  </si>
  <si>
    <t>Galindo, Dayana - 1604</t>
  </si>
  <si>
    <t>dgalin10@ext.uber.com</t>
  </si>
  <si>
    <t>DeLosRios, Daniela - 2543</t>
  </si>
  <si>
    <t>dresle@ext.uber.com</t>
  </si>
  <si>
    <t>Avila, Yulieth - 2751</t>
  </si>
  <si>
    <t>yavila2@ext.uber.com</t>
  </si>
  <si>
    <t>Martinez, Jhosett - 7541</t>
  </si>
  <si>
    <t>jmarti272@ext.uber.com</t>
  </si>
  <si>
    <t>Rocha, Yeison - 2840</t>
  </si>
  <si>
    <t>yrocha5@ext.uber.com</t>
  </si>
  <si>
    <t>Oviedo, Andrea - 3320</t>
  </si>
  <si>
    <t>aovied5@ext.uber.com</t>
  </si>
  <si>
    <t>Basto, Santiago - 2871</t>
  </si>
  <si>
    <t>sbasto4@ext.uber.com</t>
  </si>
  <si>
    <t>Sangama, Gina - 4316</t>
  </si>
  <si>
    <t>gsanga2@ext.uber.com</t>
  </si>
  <si>
    <t>Restrepo, Gustavo - 8992</t>
  </si>
  <si>
    <t>grestr2@ext.uber.com</t>
  </si>
  <si>
    <t>Campos, Yeisel - 8062</t>
  </si>
  <si>
    <t>ycampo2@ext.uber.com</t>
  </si>
  <si>
    <t>Mora, Claudia - 0239</t>
  </si>
  <si>
    <t>cmora10@ext.uber.com</t>
  </si>
  <si>
    <t>Ruiz, Jonathan - 8065</t>
  </si>
  <si>
    <t>jruiz62@ext.uber.com</t>
  </si>
  <si>
    <t>Alvarez, Saira - 1690</t>
  </si>
  <si>
    <t>salvar31@ext.uber.com</t>
  </si>
  <si>
    <t>HernandezA, Carlos - 8069</t>
  </si>
  <si>
    <t>cherna88@ext.uber.com</t>
  </si>
  <si>
    <t>Silva, Paula - 5060</t>
  </si>
  <si>
    <t>psilva100@ext.uber.com</t>
  </si>
  <si>
    <t>Safra, Laura - 0310</t>
  </si>
  <si>
    <t>lsafra@ext.uber.com</t>
  </si>
  <si>
    <t>Latam Growth Spenders</t>
  </si>
  <si>
    <t>Fuentes, Juan - 2985</t>
  </si>
  <si>
    <t>jfuent13@ext.uber.com</t>
  </si>
  <si>
    <t>Ariza, David - 5702</t>
  </si>
  <si>
    <t>dariza3@ext.uber.com</t>
  </si>
  <si>
    <t>Verano, Yuri - 1239</t>
  </si>
  <si>
    <t>yveran@ext.uber.com</t>
  </si>
  <si>
    <t>Tabares, Carlos - 2936</t>
  </si>
  <si>
    <t>ctabar@ext.uber.com</t>
  </si>
  <si>
    <t>Quintero, Johan - 9298</t>
  </si>
  <si>
    <t>jquint66@ext.uber.com</t>
  </si>
  <si>
    <t>Diaz, Natallia - 1306</t>
  </si>
  <si>
    <t>ndiaz21@ext.uber.com</t>
  </si>
  <si>
    <t>Botero, Cristian - 8618</t>
  </si>
  <si>
    <t>cboter@ext.uber.com</t>
  </si>
  <si>
    <t>DiazM, Maria - 8437</t>
  </si>
  <si>
    <t>mdiaz78@ext.uber.com</t>
  </si>
  <si>
    <t>Farfan, Santiago - 8627</t>
  </si>
  <si>
    <t>sfarfa1@ext.uber.com</t>
  </si>
  <si>
    <t>Ortiz, Marggy - 5080</t>
  </si>
  <si>
    <t>mortiz56@ext.uber.com</t>
  </si>
  <si>
    <t>Mata, Junior - 9584</t>
  </si>
  <si>
    <t>Capote, Maryarit</t>
  </si>
  <si>
    <t>jmata4@ext.uber.com</t>
  </si>
  <si>
    <t>Caicedo, Julian - 7301</t>
  </si>
  <si>
    <t>jcaice15@ext.uber.com</t>
  </si>
  <si>
    <t>Andrade, Yulieth - 6198</t>
  </si>
  <si>
    <t>yandra3@ext.uber.com</t>
  </si>
  <si>
    <t>Hernandez, Sara - 3369</t>
  </si>
  <si>
    <t>sherna86@ext.uber.com</t>
  </si>
  <si>
    <t>Guzman, Jodie - 2838</t>
  </si>
  <si>
    <t>jguzma52@ext.uber.com</t>
  </si>
  <si>
    <t>Aguilar, Natalia - 7053</t>
  </si>
  <si>
    <t>naguil700@ext.uber.com</t>
  </si>
  <si>
    <t>Granada, Brenda - 7709</t>
  </si>
  <si>
    <t>bgrana1@ext.uber.com</t>
  </si>
  <si>
    <t>Soto, Jenny - 8154</t>
  </si>
  <si>
    <t>jsoto20@ext.uber.com</t>
  </si>
  <si>
    <t>Azuad, Sergio - 7985</t>
  </si>
  <si>
    <t>sgomez42@ext.uber.com</t>
  </si>
  <si>
    <t>Perez, Miguel - 3993</t>
  </si>
  <si>
    <t>mperez108@ext.uber.com</t>
  </si>
  <si>
    <t>Rendon, Sebastian - 8052</t>
  </si>
  <si>
    <t>sroble3@ext.uber.com</t>
  </si>
  <si>
    <t>Hernandez, Valentina - 6292</t>
  </si>
  <si>
    <t>vherna42@ext.uber.com</t>
  </si>
  <si>
    <t>Sanchez, Jessica - 9545</t>
  </si>
  <si>
    <t>jsanch158@ext.uber.com</t>
  </si>
  <si>
    <t>Olivares, Ninibeth - 9823</t>
  </si>
  <si>
    <t>noliva1@ext.uber.com</t>
  </si>
  <si>
    <t>Benavides, Juan - 0260</t>
  </si>
  <si>
    <t>jbenav17@ext.uber.com</t>
  </si>
  <si>
    <t>pguzma4@ext.uber.com</t>
  </si>
  <si>
    <t>RestrepoS, Sebastian - 5597</t>
  </si>
  <si>
    <t>srestr10@ext.uber.com</t>
  </si>
  <si>
    <t>lzerpa@ext.uber.com</t>
  </si>
  <si>
    <t>Rodriguez, Jesus - 0014</t>
  </si>
  <si>
    <t>jrodri293@ext.uber.com</t>
  </si>
  <si>
    <t>jgarci284@ext.uber.com</t>
  </si>
  <si>
    <t>Herrera, Lina - 0685</t>
  </si>
  <si>
    <t>lherre27@ext.uber.com</t>
  </si>
  <si>
    <t>Salinas, Juan - 6185</t>
  </si>
  <si>
    <t>jsalin15@ext.uber.com</t>
  </si>
  <si>
    <t>Barboza, Petra - 1757</t>
  </si>
  <si>
    <t>pbarbo5@ext.uber.com</t>
  </si>
  <si>
    <t>CardenasR, Daniel - 9723</t>
  </si>
  <si>
    <t>dcarde19@ext.uber.com</t>
  </si>
  <si>
    <t>Sabogal, Nelson - 1852</t>
  </si>
  <si>
    <t>nsabog1@ext.uber.com</t>
  </si>
  <si>
    <t>Morales, Andres - 9238</t>
  </si>
  <si>
    <t>amoral60@ext.uber.com</t>
  </si>
  <si>
    <t>Acevedo, Yuly - 6788</t>
  </si>
  <si>
    <t>yaceve1@ext.uber.com</t>
  </si>
  <si>
    <t>Marin, Aldair - 1957</t>
  </si>
  <si>
    <t>amarin25@ext.uber.com</t>
  </si>
  <si>
    <t>aestup3@ext.uber.com</t>
  </si>
  <si>
    <t>Vargas, Melanie - 1959</t>
  </si>
  <si>
    <t>mvarga40@ext.uber.com</t>
  </si>
  <si>
    <t>Chaparro, Angela - 3693</t>
  </si>
  <si>
    <t>achapa4@ext.uber.com</t>
  </si>
  <si>
    <t>Sierra, Maria - 3934</t>
  </si>
  <si>
    <t>mpauli5@ext.uber.com</t>
  </si>
  <si>
    <t>libito@ext.uber.com</t>
  </si>
  <si>
    <t>GonzalezC, Camilo - 4024</t>
  </si>
  <si>
    <t>cgonza86@ext.uber.com</t>
  </si>
  <si>
    <t>Astudillo, Liv - 9992</t>
  </si>
  <si>
    <t>lmonro8@ext.uber.com</t>
  </si>
  <si>
    <t>EMEA Ads Sales</t>
  </si>
  <si>
    <t>Florian, Yuli - 4206</t>
  </si>
  <si>
    <t>Muneton, Cristian</t>
  </si>
  <si>
    <t>yflori@ext.uber.com</t>
  </si>
  <si>
    <t>jgarci264@ext.uber.com</t>
  </si>
  <si>
    <t>Lagoueyte, Alejandro - 0584</t>
  </si>
  <si>
    <t>alagou@ext.uber.com</t>
  </si>
  <si>
    <t>lferre35@ext.uber.com</t>
  </si>
  <si>
    <t>Sanchez, William - 8845</t>
  </si>
  <si>
    <t>wsanch11@ext.uber.com</t>
  </si>
  <si>
    <t>Aguilar, Yamileth - 7446</t>
  </si>
  <si>
    <t>yaguil7@ext.uber.com</t>
  </si>
  <si>
    <t>agoez@ext.uber.com</t>
  </si>
  <si>
    <t>Gravito, Angelica - 8040</t>
  </si>
  <si>
    <t>agarav3@ext.uber.com</t>
  </si>
  <si>
    <t>Crespo, Marieth - 8030</t>
  </si>
  <si>
    <t>mcresp5@ext.uber.com</t>
  </si>
  <si>
    <t>Pena, Lina - 8124</t>
  </si>
  <si>
    <t>lpena13@ext.uber.com</t>
  </si>
  <si>
    <t>dcorte29@ext.uber.com</t>
  </si>
  <si>
    <t>eramir36@ext.uber.com</t>
  </si>
  <si>
    <t>Grisales, Diana - 9813</t>
  </si>
  <si>
    <t>dgrisa2@ext.uber.com</t>
  </si>
  <si>
    <t>RamirezF, Vanessa - 7777</t>
  </si>
  <si>
    <t>vramir25@ext.uber.com</t>
  </si>
  <si>
    <t>Moreno, David - 0063</t>
  </si>
  <si>
    <t>Chanci, Deicy</t>
  </si>
  <si>
    <t>dmoren33@ext.uber.com</t>
  </si>
  <si>
    <t>Munoz, Marlon - 2088</t>
  </si>
  <si>
    <t>mnorve@ext.uber.com</t>
  </si>
  <si>
    <t>Caridad, Carexy - 2327</t>
  </si>
  <si>
    <t>ccarid1@ext.uber.com</t>
  </si>
  <si>
    <t>Herrera, Laura - 6239</t>
  </si>
  <si>
    <t>lherre35@ext.uber.com</t>
  </si>
  <si>
    <t>Calderon, Joan - 2927</t>
  </si>
  <si>
    <t>jcalde28@ext.uber.com</t>
  </si>
  <si>
    <t>Gomez, Jenny - 9878</t>
  </si>
  <si>
    <t>jcarol@ext.uber.com</t>
  </si>
  <si>
    <t>Otalora, Daniela - 3405</t>
  </si>
  <si>
    <t>dotalo1@ext.uber.com</t>
  </si>
  <si>
    <t>Escobar, Luisa - 3698</t>
  </si>
  <si>
    <t>lescob20@ext.uber.com</t>
  </si>
  <si>
    <t>Rivera, Maicol - 3887</t>
  </si>
  <si>
    <t>mriver53@ext.uber.com</t>
  </si>
  <si>
    <t>Alvarez, Nicole - 3622</t>
  </si>
  <si>
    <t>nalvar15@ext.uber.com</t>
  </si>
  <si>
    <t>Otagri, David - 3893</t>
  </si>
  <si>
    <t>dotagr@ext.uber.com</t>
  </si>
  <si>
    <t>Oviedo, Sofia - 3942</t>
  </si>
  <si>
    <t>sovied@ext.uber.com</t>
  </si>
  <si>
    <t>Castro, John - 3954</t>
  </si>
  <si>
    <t>jcastr66@ext.uber.com</t>
  </si>
  <si>
    <t>Bautista, Maria - 1016</t>
  </si>
  <si>
    <t>mbauti40@ext.uber.com</t>
  </si>
  <si>
    <t>Duran, Selena - 4641</t>
  </si>
  <si>
    <t>sduran9@ext.uber.com</t>
  </si>
  <si>
    <t>Riveros, Laura - 1104</t>
  </si>
  <si>
    <t>lriver21@ext.uber.com</t>
  </si>
  <si>
    <t>Diaz, Lina - 4819</t>
  </si>
  <si>
    <t>ldiaz17@ext.uber.com</t>
  </si>
  <si>
    <t>Moreno, Lina - 6217</t>
  </si>
  <si>
    <t>lmoren47@ext.uber.com</t>
  </si>
  <si>
    <t>Obando, Luisa - 6208</t>
  </si>
  <si>
    <t>loband5@ext.uber.com</t>
  </si>
  <si>
    <t>MendozaV, Paula - 6219</t>
  </si>
  <si>
    <t>pmendo14@ext.uber.com</t>
  </si>
  <si>
    <t>Gomez, Harrison - 7832</t>
  </si>
  <si>
    <t>hgomez12@ext.uber.com</t>
  </si>
  <si>
    <t>Henao, Jeison - 6753</t>
  </si>
  <si>
    <t>jhenao9@ext.uber.com</t>
  </si>
  <si>
    <t>Leyton, Brayan - 2972</t>
  </si>
  <si>
    <t>bleyto@ext.uber.com</t>
  </si>
  <si>
    <t>Arenas, Liliana - 7426</t>
  </si>
  <si>
    <t>larena6@ext.uber.com</t>
  </si>
  <si>
    <t>Alvarez, Omar - 7050</t>
  </si>
  <si>
    <t>oalvar700@ext.uber.com</t>
  </si>
  <si>
    <t>Osorio, Carlos - 7444</t>
  </si>
  <si>
    <t>cosori10@ext.uber.com</t>
  </si>
  <si>
    <t>Espinosa, Vivian - 1014</t>
  </si>
  <si>
    <t>vespin8@ext.uber.com</t>
  </si>
  <si>
    <t>Gonzalez, Angie - 8252</t>
  </si>
  <si>
    <t>aarias21@ext.uber.com</t>
  </si>
  <si>
    <t>Riano, Diana - 7910</t>
  </si>
  <si>
    <t>driano4@ext.uber.com</t>
  </si>
  <si>
    <t>Aguirre, Laura - 8996</t>
  </si>
  <si>
    <t>laguir11@ext.uber.com</t>
  </si>
  <si>
    <t>Fajardo, Gilberto - 6176</t>
  </si>
  <si>
    <t>gfajar3@ext.uber.com</t>
  </si>
  <si>
    <t>Yepez, Wilver - 7922</t>
  </si>
  <si>
    <t>wyepez1@ext.uber.com</t>
  </si>
  <si>
    <t>Pena, Heily - 8457</t>
  </si>
  <si>
    <t>hpena6@ext.uber.com</t>
  </si>
  <si>
    <t>Simanca, Ximena - 2873</t>
  </si>
  <si>
    <t>xsiman@ext.uber.com</t>
  </si>
  <si>
    <t>Buitrago, Mariana - 6591</t>
  </si>
  <si>
    <t>mbuitr5@ext.uber.com</t>
  </si>
  <si>
    <t>Penarete, Maria - 2893</t>
  </si>
  <si>
    <t>mpenar1@ext.uber.com</t>
  </si>
  <si>
    <t>Cucunuba, Cristian - 6885</t>
  </si>
  <si>
    <t>ccucun@ext.uber.com</t>
  </si>
  <si>
    <t>BernalN, Juan - 4081</t>
  </si>
  <si>
    <t>jberna68@ext.uber.com</t>
  </si>
  <si>
    <t>Salamanca, Ana - 6961</t>
  </si>
  <si>
    <t>asalam15@ext.uber.com</t>
  </si>
  <si>
    <t>VasquezG, Juan - 7198</t>
  </si>
  <si>
    <t>jvasqu35@ext.uber.com</t>
  </si>
  <si>
    <t>Barriga, Maria - 7397</t>
  </si>
  <si>
    <t>mbarri700@ext.uber.com</t>
  </si>
  <si>
    <t>Gonzalez, Daniel - 7588</t>
  </si>
  <si>
    <t>dgonza42@ext.uber.com</t>
  </si>
  <si>
    <t>Manrique, Gloria - 9410</t>
  </si>
  <si>
    <t>gmanri2@ext.uber.com</t>
  </si>
  <si>
    <t>Suarez, Brayan - 2526</t>
  </si>
  <si>
    <t>bsuare4@ext.uber.com</t>
  </si>
  <si>
    <t>Lasso, Julieth - 9446</t>
  </si>
  <si>
    <t>Fontalvo, Frank</t>
  </si>
  <si>
    <t>jlasso6@ext.uber.com</t>
  </si>
  <si>
    <t>Lopez, Ariel - 0347</t>
  </si>
  <si>
    <t>alopez130@ext.uber.com</t>
  </si>
  <si>
    <t>jomana@ext.uber.com</t>
  </si>
  <si>
    <t>Gonzalez, Francis - 1969</t>
  </si>
  <si>
    <t>fgonza32@ext.uber.com</t>
  </si>
  <si>
    <t>Hernandez, Francy - 1986</t>
  </si>
  <si>
    <t>fherna28@ext.uber.com</t>
  </si>
  <si>
    <t>Lara, Maria - 7784</t>
  </si>
  <si>
    <t>mlara11@ext.uber.com</t>
  </si>
  <si>
    <t>Jojoa, James - 2024</t>
  </si>
  <si>
    <t>jjojoa@ext.uber.com</t>
  </si>
  <si>
    <t>Villegas, Olga - 2054</t>
  </si>
  <si>
    <t>oville@ext.uber.com</t>
  </si>
  <si>
    <t>kzamor5@ext.uber.com</t>
  </si>
  <si>
    <t>Castro, Sergeij - 2055</t>
  </si>
  <si>
    <t>scastr23@ext.uber.com</t>
  </si>
  <si>
    <t>vmoyan@ext.uber.com</t>
  </si>
  <si>
    <t>Garces, Valentina - 2931</t>
  </si>
  <si>
    <t>vgarce1@ext.uber.com</t>
  </si>
  <si>
    <t>ofuert@ext.uber.com</t>
  </si>
  <si>
    <t>Reyes, Erika - 2989</t>
  </si>
  <si>
    <t>ereyes36@ext.uber.com</t>
  </si>
  <si>
    <t>scacer@ext.uber.com</t>
  </si>
  <si>
    <t>Parra, Jean - 6081</t>
  </si>
  <si>
    <t>jparra38@ext.uber.com</t>
  </si>
  <si>
    <t>Cardona, Jhorman - 3124</t>
  </si>
  <si>
    <t>jcardo37@ext.uber.com</t>
  </si>
  <si>
    <t>Llanes, Maria - 7774</t>
  </si>
  <si>
    <t>mllane2@ext.uber.com</t>
  </si>
  <si>
    <t>Gomez, Yaxsuris - 9478</t>
  </si>
  <si>
    <t>ygomez20@ext.uber.com</t>
  </si>
  <si>
    <t>acrist13@ext.uber.com</t>
  </si>
  <si>
    <t>Fernandez, Anyi - 9856</t>
  </si>
  <si>
    <t>Cano, Alejandro</t>
  </si>
  <si>
    <t>aferna69@ext.uber.com</t>
  </si>
  <si>
    <t>Bahamon, Kelly - 9875</t>
  </si>
  <si>
    <t>kbaham@ext.uber.com</t>
  </si>
  <si>
    <t>Casas, Luis - 9971</t>
  </si>
  <si>
    <t>lcasas3@ext.uber.com</t>
  </si>
  <si>
    <t>alizet@ext.uber.com</t>
  </si>
  <si>
    <t>Cardoso, Juan - 9974</t>
  </si>
  <si>
    <t>jcardo38@ext.uber.com</t>
  </si>
  <si>
    <t>Rodriguez, Francis - 6179</t>
  </si>
  <si>
    <t>frodri43@ext.uber.com</t>
  </si>
  <si>
    <t>Aguiar, Suliney - 9990</t>
  </si>
  <si>
    <t>saguia2@ext.uber.com</t>
  </si>
  <si>
    <t>Munoz, Daniela - 7771</t>
  </si>
  <si>
    <t>dmunoz25@ext.uber.com</t>
  </si>
  <si>
    <t>Gonzalez, Jhon - 1314</t>
  </si>
  <si>
    <t>jgonza182@ext.uber.com</t>
  </si>
  <si>
    <t>Hernandez, Manuela - 3694</t>
  </si>
  <si>
    <t>mherna130@ext.uber.com</t>
  </si>
  <si>
    <t>MarinC, Juan - 2084</t>
  </si>
  <si>
    <t>jmarin42@ext.uber.com</t>
  </si>
  <si>
    <t>MorenoS, Julian - 3796</t>
  </si>
  <si>
    <t>jmoren73@ext.uber.com</t>
  </si>
  <si>
    <t>Ulloa, Lina - 3820</t>
  </si>
  <si>
    <t>lulloa1@ext.uber.com</t>
  </si>
  <si>
    <t>Torres, Rosana - 4499</t>
  </si>
  <si>
    <t>rtorre24@ext.uber.com</t>
  </si>
  <si>
    <t>amunoz33@ext.uber.com</t>
  </si>
  <si>
    <t>Guerrero, Carlos - 5997</t>
  </si>
  <si>
    <t>cguerr16@ext.uber.com</t>
  </si>
  <si>
    <t>Ospina, Yeison - 8456</t>
  </si>
  <si>
    <t>yospin2@ext.uber.com</t>
  </si>
  <si>
    <t>Castro, Sofia - 8462</t>
  </si>
  <si>
    <t>scastr25@ext.uber.com</t>
  </si>
  <si>
    <t>TorresH, Juan - 8486</t>
  </si>
  <si>
    <t>jtorre111@ext.uber.com</t>
  </si>
  <si>
    <t>Miranda, Carol - 9544</t>
  </si>
  <si>
    <t>cmiran12@ext.uber.com</t>
  </si>
  <si>
    <t>Reina, Yuri - 2741</t>
  </si>
  <si>
    <t>yreina@ext.uber.com</t>
  </si>
  <si>
    <t>Ortigoza, Adrian - 0865</t>
  </si>
  <si>
    <t>aortig@ext.uber.com</t>
  </si>
  <si>
    <t>Cese, Hector - 0871</t>
  </si>
  <si>
    <t>hcese@ext.uber.com</t>
  </si>
  <si>
    <t>Perez, Samuel - 8094</t>
  </si>
  <si>
    <t>sestev3@ext.uber.com</t>
  </si>
  <si>
    <t>Clara, Dammary - 3018</t>
  </si>
  <si>
    <t>dclara@ext.uber.com</t>
  </si>
  <si>
    <t>Moncada, Jessica - 3588</t>
  </si>
  <si>
    <t>jmonca10@ext.uber.com</t>
  </si>
  <si>
    <t>Rubio, Ana - 6035</t>
  </si>
  <si>
    <t>arubio3@ext.uber.com</t>
  </si>
  <si>
    <t>Brinez, Sharon - 4849</t>
  </si>
  <si>
    <t>svanes@ext.uber.com</t>
  </si>
  <si>
    <t>Avendano, Aura - 1052</t>
  </si>
  <si>
    <t>aavend2@ext.uber.com</t>
  </si>
  <si>
    <t>Bermudez, Angie - 5464</t>
  </si>
  <si>
    <t>abermu11@ext.uber.com</t>
  </si>
  <si>
    <t>Vasquez, Kevin - 4674</t>
  </si>
  <si>
    <t>kvasqu6@ext.uber.com</t>
  </si>
  <si>
    <t>Zuluaga, Mauricio - 5877</t>
  </si>
  <si>
    <t>mzulua5@ext.uber.com</t>
  </si>
  <si>
    <t>Blanco, Cindy - 6463</t>
  </si>
  <si>
    <t>cblanc10@ext.uber.com</t>
  </si>
  <si>
    <t>HernandezA, Cristian - 9753</t>
  </si>
  <si>
    <t>cherna110@ext.uber.com</t>
  </si>
  <si>
    <t>Garcia, Julio - 8132</t>
  </si>
  <si>
    <t>jgarci233@ext.uber.com</t>
  </si>
  <si>
    <t>Panduro, Juliane - 8231</t>
  </si>
  <si>
    <t>jpandu@ext.uber.com</t>
  </si>
  <si>
    <t>Garcia, Kevin - 8137</t>
  </si>
  <si>
    <t>kgarci48@ext.uber.com</t>
  </si>
  <si>
    <t>Marin, Yecenia - 7236</t>
  </si>
  <si>
    <t>ymarin@ext.uber.com</t>
  </si>
  <si>
    <t>Luis, Yuranni - 8151</t>
  </si>
  <si>
    <t>yluis@ext.uber.com</t>
  </si>
  <si>
    <t>Moreno, Cindy - 8269</t>
  </si>
  <si>
    <t>cmoren39@ext.uber.com</t>
  </si>
  <si>
    <t>Barreto, Juan - 9475</t>
  </si>
  <si>
    <t>jbarre40@ext.uber.com</t>
  </si>
  <si>
    <t>Montoya, Jakeline - 2695</t>
  </si>
  <si>
    <t>jvilla187@ext.uber.com</t>
  </si>
  <si>
    <t>Gonzalez, Johan - 9679</t>
  </si>
  <si>
    <t>jgonza185@ext.uber.com</t>
  </si>
  <si>
    <t>Cardozo, Karol - 1098</t>
  </si>
  <si>
    <t>kcardo3@ext.uber.com</t>
  </si>
  <si>
    <t>Poveda, Maritza - 0711</t>
  </si>
  <si>
    <t>mpoved2@ext.uber.com</t>
  </si>
  <si>
    <t>Hernandez, Lilia - 1311</t>
  </si>
  <si>
    <t>lherna97@ext.uber.com</t>
  </si>
  <si>
    <t>Puello, Esteffany - 4024</t>
  </si>
  <si>
    <t>epuell@ext.uber.com</t>
  </si>
  <si>
    <t>Osorio, Annie - 0668</t>
  </si>
  <si>
    <t>aosori10@ext.uber.com</t>
  </si>
  <si>
    <t>Alvarez, Stefanny - 2328</t>
  </si>
  <si>
    <t>salvar21@ext.uber.com</t>
  </si>
  <si>
    <t>Pardo, Alisson - 5101</t>
  </si>
  <si>
    <t>apardo9@ext.uber.com</t>
  </si>
  <si>
    <t>Viloria, Julio - 6184</t>
  </si>
  <si>
    <t>jvilor5@ext.uber.com</t>
  </si>
  <si>
    <t>Guevara, Catalina - 4675</t>
  </si>
  <si>
    <t>cgueva8@ext.uber.com</t>
  </si>
  <si>
    <t>Molero, Doubeida - 4928</t>
  </si>
  <si>
    <t>dmoler@ext.uber.com</t>
  </si>
  <si>
    <t>Aristizabal, Kevin - 7492</t>
  </si>
  <si>
    <t>karist1@ext.uber.com</t>
  </si>
  <si>
    <t>Mendoza, Karol - 4916</t>
  </si>
  <si>
    <t>Tellez, Angello</t>
  </si>
  <si>
    <t>kmendo17@ext.uber.com</t>
  </si>
  <si>
    <t>GarciaL, Juan - 9438</t>
  </si>
  <si>
    <t>jgarci263@ext.uber.com</t>
  </si>
  <si>
    <t>Lopez, Nicol - 4924</t>
  </si>
  <si>
    <t>nlopez27@ext.uber.com</t>
  </si>
  <si>
    <t>Gonzalez, Harry - 9899</t>
  </si>
  <si>
    <t>hgonza17@ext.uber.com</t>
  </si>
  <si>
    <t>Aleman, Nicoll - 1741</t>
  </si>
  <si>
    <t>nalema1@ext.uber.com</t>
  </si>
  <si>
    <t>Gracia, Sharik - 5477</t>
  </si>
  <si>
    <t>sgraci3@ext.uber.com</t>
  </si>
  <si>
    <t>Roa, Laura - 9519</t>
  </si>
  <si>
    <t>lroa6@ext.uber.com</t>
  </si>
  <si>
    <t>Bastidas, Alexander - 4682</t>
  </si>
  <si>
    <t>abasti3@ext.uber.com</t>
  </si>
  <si>
    <t>Saavedra, Herlienny - 5481</t>
  </si>
  <si>
    <t>hsaave2@ext.uber.com</t>
  </si>
  <si>
    <t>Galvis, Julian - 0104</t>
  </si>
  <si>
    <t>jgalvi9@ext.uber.com</t>
  </si>
  <si>
    <t>Ardila, Ingrid - 5734</t>
  </si>
  <si>
    <t>iardil@ext.uber.com</t>
  </si>
  <si>
    <t>Molano, Juan - 2700</t>
  </si>
  <si>
    <t>jcaste25@ext.uber.com</t>
  </si>
  <si>
    <t>Cardozo, Mabel - 5737</t>
  </si>
  <si>
    <t>mcardo28@ext.uber.com</t>
  </si>
  <si>
    <t>Almanza, Nicol - 7416</t>
  </si>
  <si>
    <t>calman1@ext.uber.com</t>
  </si>
  <si>
    <t>Mendoza, Diana - 5750</t>
  </si>
  <si>
    <t>dmendo22@ext.uber.com</t>
  </si>
  <si>
    <t>Gonzalez, Yarid - 8602</t>
  </si>
  <si>
    <t>ygonza25@ext.uber.com</t>
  </si>
  <si>
    <t>Avila, Maria - 5796</t>
  </si>
  <si>
    <t>mavila10@ext.uber.com</t>
  </si>
  <si>
    <t>Sanchez, Ashly - 8162</t>
  </si>
  <si>
    <t>asanch111@ext.uber.com</t>
  </si>
  <si>
    <t>Viloria, Jose - 2830</t>
  </si>
  <si>
    <t>jvilor6@ext.uber.com</t>
  </si>
  <si>
    <t>Vargas, Ingrid - 8312</t>
  </si>
  <si>
    <t>ivarga10@ext.uber.com</t>
  </si>
  <si>
    <t>Zabala, Carlos - 7148</t>
  </si>
  <si>
    <t>czabal4@ext.uber.com</t>
  </si>
  <si>
    <t>Sanchez, Luis - 8359</t>
  </si>
  <si>
    <t>lsanch88@ext.uber.com</t>
  </si>
  <si>
    <t>Rodriguez, Daniela - 9239</t>
  </si>
  <si>
    <t>drodri130@ext.uber.com</t>
  </si>
  <si>
    <t>Robayo, Sebastian - 9212</t>
  </si>
  <si>
    <t>sanaya3@ext.uber.com</t>
  </si>
  <si>
    <t>Aldana, Julian - 9241</t>
  </si>
  <si>
    <t>jaldan7@ext.uber.com</t>
  </si>
  <si>
    <t>Gaitan, Cristian - 3467</t>
  </si>
  <si>
    <t>cgaita1@ext.uber.com</t>
  </si>
  <si>
    <t>Alfonso, Yerkiam - 0280</t>
  </si>
  <si>
    <t>yalfon@ext.uber.com</t>
  </si>
  <si>
    <t>Gomez, Viviana - 0239</t>
  </si>
  <si>
    <t>vgomez15@ext.uber.com</t>
  </si>
  <si>
    <t>Cortes, Miguel - 9622</t>
  </si>
  <si>
    <t>mcorte41@ext.uber.com</t>
  </si>
  <si>
    <t>Torres, Dennis - 1429</t>
  </si>
  <si>
    <t>dtorre46@ext.uber.com</t>
  </si>
  <si>
    <t>Cespedes, Jose - 0245</t>
  </si>
  <si>
    <t>jcespe@ext.uber.com</t>
  </si>
  <si>
    <t>Ibarra, Josneily - 4122</t>
  </si>
  <si>
    <t>jibarr24@ext.uber.com</t>
  </si>
  <si>
    <t>Pena, Nayaryth - 5411</t>
  </si>
  <si>
    <t>npena6@ext.uber.com</t>
  </si>
  <si>
    <t>FandinoM, Nicolas - 0247</t>
  </si>
  <si>
    <t>nfandi1@ext.uber.com</t>
  </si>
  <si>
    <t>Sanchez, Andrea - 8138</t>
  </si>
  <si>
    <t>asanch118@ext.uber.com</t>
  </si>
  <si>
    <t>Godoy, Lilibeth - 0153</t>
  </si>
  <si>
    <t>lgodoy2@ext.uber.com</t>
  </si>
  <si>
    <t>Zarate, Juan - 1016</t>
  </si>
  <si>
    <t>jzarat8@ext.uber.com</t>
  </si>
  <si>
    <t>Gonzalez, Nikole - 2196</t>
  </si>
  <si>
    <t>ngonza43@ext.uber.com</t>
  </si>
  <si>
    <t>Ojeda, Jorge - 1028</t>
  </si>
  <si>
    <t>jojeda7@ext.uber.com</t>
  </si>
  <si>
    <t>Diaz, Kevin - 3829</t>
  </si>
  <si>
    <t>kdiaz15@ext.uber.com</t>
  </si>
  <si>
    <t>crodri127@ext.uber.com</t>
  </si>
  <si>
    <t>Albarracin, Kevin - 7060</t>
  </si>
  <si>
    <t>kalbar2@ext.uber.com</t>
  </si>
  <si>
    <t>Rojas, Jenny - 5095</t>
  </si>
  <si>
    <t>jrojas59@ext.uber.com</t>
  </si>
  <si>
    <t>Rojas, Juan - 7503</t>
  </si>
  <si>
    <t>jrojas700@ext.uber.com</t>
  </si>
  <si>
    <t>Perilla, Carol - 6458</t>
  </si>
  <si>
    <t>cperil4@ext.uber.com</t>
  </si>
  <si>
    <t>Poveda, Leidy - 5162</t>
  </si>
  <si>
    <t>lpoved4@ext.uber.com</t>
  </si>
  <si>
    <t>Romero, Dayanna - 2877</t>
  </si>
  <si>
    <t>dromer41@ext.uber.com</t>
  </si>
  <si>
    <t>Macias, Jean - 6591</t>
  </si>
  <si>
    <t>jmacia10@ext.uber.com</t>
  </si>
  <si>
    <t>Rivas, Maria - 3632</t>
  </si>
  <si>
    <t>mrivas10@ext.uber.com</t>
  </si>
  <si>
    <t>Otalora, Laura - 6133</t>
  </si>
  <si>
    <t>lotalo2@ext.uber.com</t>
  </si>
  <si>
    <t>Medina, Juan - 6655</t>
  </si>
  <si>
    <t>jmedin39@ext.uber.com</t>
  </si>
  <si>
    <t>Rodriguez, Kevin - 3813</t>
  </si>
  <si>
    <t>krodri61@ext.uber.com</t>
  </si>
  <si>
    <t>RojasG, Jonathan - 7106</t>
  </si>
  <si>
    <t>jrojas71@ext.uber.com</t>
  </si>
  <si>
    <t>Parra, Katherine - 7492</t>
  </si>
  <si>
    <t>kparra700@ext.uber.com</t>
  </si>
  <si>
    <t>Rudolf, Egla - 8331</t>
  </si>
  <si>
    <t>erudol@ext.uber.com</t>
  </si>
  <si>
    <t>Matallana, Geraldine - 7987</t>
  </si>
  <si>
    <t>gmatal2@ext.uber.com</t>
  </si>
  <si>
    <t>Rodriguez, Carlos - 3096</t>
  </si>
  <si>
    <t>crodri129@ext.uber.com</t>
  </si>
  <si>
    <t>Amezquita, Jennifer - 5888</t>
  </si>
  <si>
    <t>jamezq@ext.uber.com</t>
  </si>
  <si>
    <t>Barrera, Julian - 5905</t>
  </si>
  <si>
    <t>jbarre39@ext.uber.com</t>
  </si>
  <si>
    <t>Alvear, Rocio - 3080</t>
  </si>
  <si>
    <t>ralvea@ext.uber.com</t>
  </si>
  <si>
    <t>Prieto, Yisel - 5912</t>
  </si>
  <si>
    <t>ypriet1@ext.uber.com</t>
  </si>
  <si>
    <t>Granada, Maria - 8544</t>
  </si>
  <si>
    <t>mgrana9@ext.uber.com</t>
  </si>
  <si>
    <t>Triana, Maria - 5917</t>
  </si>
  <si>
    <t>mtrian10@ext.uber.com</t>
  </si>
  <si>
    <t>TorresC, Sebastian - 0218</t>
  </si>
  <si>
    <t>storre37@ext.uber.com</t>
  </si>
  <si>
    <t>Marentes, Leidy - 9466</t>
  </si>
  <si>
    <t>lmaren@ext.uber.com</t>
  </si>
  <si>
    <t>Quesada, Ana - 6075</t>
  </si>
  <si>
    <t>aquesa2@ext.uber.com</t>
  </si>
  <si>
    <t>Ardila, Santiago - 6618</t>
  </si>
  <si>
    <t>sardil4@ext.uber.com</t>
  </si>
  <si>
    <t>Latam Uber Direct Merchant PH</t>
  </si>
  <si>
    <t>Polania, Juan - 6076</t>
  </si>
  <si>
    <t>jpolan3@ext.uber.com</t>
  </si>
  <si>
    <t>Montanez, Johan - 1415</t>
  </si>
  <si>
    <t>jmonta26@ext.uber.com</t>
  </si>
  <si>
    <t>Vargas, Kevin - 1416</t>
  </si>
  <si>
    <t>kvarga17@ext.uber.com</t>
  </si>
  <si>
    <t>Vergara, Maria - 7301</t>
  </si>
  <si>
    <t>mverga17@ext.uber.com</t>
  </si>
  <si>
    <t>HerreraR, Juan - 8867</t>
  </si>
  <si>
    <t>jherre66@ext.uber.com</t>
  </si>
  <si>
    <t>Gonzalez, Paula - 8871</t>
  </si>
  <si>
    <t>pgonza28@ext.uber.com</t>
  </si>
  <si>
    <t>Diaz, Ana - 8784</t>
  </si>
  <si>
    <t>adiazc1@ext.uber.com</t>
  </si>
  <si>
    <t>Palacios, Daniel - 4005</t>
  </si>
  <si>
    <t>dpalac13@ext.uber.com</t>
  </si>
  <si>
    <t>SamacaB, Juan - 1251</t>
  </si>
  <si>
    <t>jsamac1@ext.uber.com</t>
  </si>
  <si>
    <t>Lagos, David - 1561</t>
  </si>
  <si>
    <t>doleal@ext.uber.com</t>
  </si>
  <si>
    <t>BeltranC, Carlos - 2788</t>
  </si>
  <si>
    <t>cbeltr17@ext.uber.com</t>
  </si>
  <si>
    <t>Zapata, Jorge - 1711</t>
  </si>
  <si>
    <t>jzapat18@ext.uber.com</t>
  </si>
  <si>
    <t>Aguirre, Diego - 5193</t>
  </si>
  <si>
    <t>daguir7@ext.uber.com</t>
  </si>
  <si>
    <t>Borgo, Valeria - 1737</t>
  </si>
  <si>
    <t>vborgo@ext.uber.com</t>
  </si>
  <si>
    <t>Gutierrez, Galo - 3583</t>
  </si>
  <si>
    <t>ggutie15@ext.uber.com</t>
  </si>
  <si>
    <t>Gamboa, Yordan - 1742</t>
  </si>
  <si>
    <t>ygambo2@ext.uber.com</t>
  </si>
  <si>
    <t>Fuentes, Iker - 4363</t>
  </si>
  <si>
    <t>ifuent5@ext.uber.com</t>
  </si>
  <si>
    <t>Saa, Darjhos - 1858</t>
  </si>
  <si>
    <t>dzapat10@ext.uber.com</t>
  </si>
  <si>
    <t>BaqueroC, Santiago - 7810</t>
  </si>
  <si>
    <t>sbaque4@ext.uber.com</t>
  </si>
  <si>
    <t>Echeverri, Laura - 1869</t>
  </si>
  <si>
    <t>lechev3@ext.uber.com</t>
  </si>
  <si>
    <t>Durango, Luisa - 1876</t>
  </si>
  <si>
    <t>lduran9@ext.uber.com</t>
  </si>
  <si>
    <t>Gonzalez, Yinet - 2771</t>
  </si>
  <si>
    <t>ygonza20@ext.uber.com</t>
  </si>
  <si>
    <t>Carrillo, Luis - 4355</t>
  </si>
  <si>
    <t>lcarri10@ext.uber.com</t>
  </si>
  <si>
    <t>MarinA, Miguel - 1479</t>
  </si>
  <si>
    <t>mmarin20@ext.uber.com</t>
  </si>
  <si>
    <t>Teheran, Gabriela - 5769</t>
  </si>
  <si>
    <t>gteher@ext.uber.com</t>
  </si>
  <si>
    <t>Susa, Nicolas - 1656</t>
  </si>
  <si>
    <t>nsusa@ext.uber.com</t>
  </si>
  <si>
    <t>Pedroza, Adriana - 9291</t>
  </si>
  <si>
    <t>apedro5@ext.uber.com</t>
  </si>
  <si>
    <t>Suarez, Beiker - 1387</t>
  </si>
  <si>
    <t>bsuare2@ext.uber.com</t>
  </si>
  <si>
    <t>Sanchez, Crisbel - 2735</t>
  </si>
  <si>
    <t>csanch62@ext.uber.com</t>
  </si>
  <si>
    <t>Porras, Andres - 8529</t>
  </si>
  <si>
    <t>aporra3@ext.uber.com</t>
  </si>
  <si>
    <t>Ruiz, Axel - 2740</t>
  </si>
  <si>
    <t>aruiz49@ext.uber.com</t>
  </si>
  <si>
    <t>Suarez, Julia - 5766</t>
  </si>
  <si>
    <t>jsuare47@ext.uber.com</t>
  </si>
  <si>
    <t>Durango, Maria - 3428</t>
  </si>
  <si>
    <t>mduran22@ext.uber.com</t>
  </si>
  <si>
    <t>Lopera, Kewin - 1103</t>
  </si>
  <si>
    <t>kloper@ext.uber.com</t>
  </si>
  <si>
    <t>Vera, Andres - 3249</t>
  </si>
  <si>
    <t>avera8@ext.uber.com</t>
  </si>
  <si>
    <t>Arevalo, Paula - 6696</t>
  </si>
  <si>
    <t>pareva4@ext.uber.com</t>
  </si>
  <si>
    <t>Jimenez, Luz - 3333</t>
  </si>
  <si>
    <t>ljimen38@ext.uber.com</t>
  </si>
  <si>
    <t>Rico, Lylliana - 9287</t>
  </si>
  <si>
    <t>lrico6@ext.uber.com</t>
  </si>
  <si>
    <t>Brito, Joselyne - 8621</t>
  </si>
  <si>
    <t>jbrito15@ext.uber.com</t>
  </si>
  <si>
    <t>Barco, Martha - 1032</t>
  </si>
  <si>
    <t>mbarco2@ext.uber.com</t>
  </si>
  <si>
    <t>Barreto, Jaider - 8636</t>
  </si>
  <si>
    <t>jbarre41@ext.uber.com</t>
  </si>
  <si>
    <t>Rojas, Noelia - 6607</t>
  </si>
  <si>
    <t>ncorom@ext.uber.com</t>
  </si>
  <si>
    <t>Huertas, Adriana - 8881</t>
  </si>
  <si>
    <t>ahuert3@ext.uber.com</t>
  </si>
  <si>
    <t>Rodriguez, Gloria - 9286</t>
  </si>
  <si>
    <t>grodri51@ext.uber.com</t>
  </si>
  <si>
    <t>Ortiz, Angie - 8893</t>
  </si>
  <si>
    <t>aortiz38@ext.uber.com</t>
  </si>
  <si>
    <t>Morales, Alejandra - 9554</t>
  </si>
  <si>
    <t>amoral61@ext.uber.com</t>
  </si>
  <si>
    <t>Uribe, Nelson - 9842</t>
  </si>
  <si>
    <t>nuribe2@ext.uber.com</t>
  </si>
  <si>
    <t>Rivas, Victor - 9876</t>
  </si>
  <si>
    <t>vrivas4@ext.uber.com</t>
  </si>
  <si>
    <t>HerreraM, Laura - 0007</t>
  </si>
  <si>
    <t>lherre31@ext.uber.com</t>
  </si>
  <si>
    <t>Monroy, Ingrid - 0008</t>
  </si>
  <si>
    <t>icasta3@ext.uber.com</t>
  </si>
  <si>
    <t>Chavez, Santiago - 0012</t>
  </si>
  <si>
    <t>schave13@ext.uber.com</t>
  </si>
  <si>
    <t>Suarez, Laura - 0019</t>
  </si>
  <si>
    <t>lsuare21@ext.uber.com</t>
  </si>
  <si>
    <t>Sosa, Valeria - 0051</t>
  </si>
  <si>
    <t>vsosa1@ext.uber.com</t>
  </si>
  <si>
    <t>Rico, Angela - 2842</t>
  </si>
  <si>
    <t>arico13@ext.uber.com</t>
  </si>
  <si>
    <t>Martinez, Mileth - 1484</t>
  </si>
  <si>
    <t>mmarti157@ext.uber.com</t>
  </si>
  <si>
    <t>Rozo, Miguel - 3319</t>
  </si>
  <si>
    <t>mrozo2@ext.uber.com</t>
  </si>
  <si>
    <t>Mesa, Jhonatan - 1500</t>
  </si>
  <si>
    <t>jmesa13@ext.uber.com</t>
  </si>
  <si>
    <t>Acosta, Jose - 3581</t>
  </si>
  <si>
    <t>jacost28@ext.uber.com</t>
  </si>
  <si>
    <t>Contreras, Deyir - 2629</t>
  </si>
  <si>
    <t>dcontr12@ext.uber.com</t>
  </si>
  <si>
    <t>Baron, Adriana - 9460</t>
  </si>
  <si>
    <t>abaron3@ext.uber.com</t>
  </si>
  <si>
    <t>Capote, Maria - 2730</t>
  </si>
  <si>
    <t>mcapot@ext.uber.com</t>
  </si>
  <si>
    <t>Rey, Kevin - 4673</t>
  </si>
  <si>
    <t>krey@ext.uber.com</t>
  </si>
  <si>
    <t>Guzman, Anyeli - 3423</t>
  </si>
  <si>
    <t>aguzma32@ext.uber.com</t>
  </si>
  <si>
    <t>Medina, Lina - 3553</t>
  </si>
  <si>
    <t>lmedin24@ext.uber.com</t>
  </si>
  <si>
    <t>Lopez, Natiuska - 3670</t>
  </si>
  <si>
    <t>nlopez28@ext.uber.com</t>
  </si>
  <si>
    <t>Argumedo, Paola - 4786</t>
  </si>
  <si>
    <t>pargum@ext.uber.com</t>
  </si>
  <si>
    <t>Suarez, Arnovi - 9730</t>
  </si>
  <si>
    <t>asuare36@ext.uber.com</t>
  </si>
  <si>
    <t>Camargo, Claudia - 8766</t>
  </si>
  <si>
    <t>ccamar13@ext.uber.com</t>
  </si>
  <si>
    <t>PerezM, Juan - 8482</t>
  </si>
  <si>
    <t>jperez154@ext.uber.com</t>
  </si>
  <si>
    <t>Zarraga, Marbelys - 9572</t>
  </si>
  <si>
    <t>mzarra@ext.uber.com</t>
  </si>
  <si>
    <t>Suarez, Diana - 9595</t>
  </si>
  <si>
    <t>dsuare23@ext.uber.com</t>
  </si>
  <si>
    <t>Barrios, Oscar - 9675</t>
  </si>
  <si>
    <t>Fajardo, Brayan</t>
  </si>
  <si>
    <t>obarri1@ext.uber.com</t>
  </si>
  <si>
    <t>Olaya, Angie - 8892</t>
  </si>
  <si>
    <t>aolaya1@ext.uber.com</t>
  </si>
  <si>
    <t>Martinez, Ana - 9678</t>
  </si>
  <si>
    <t>amarti163@ext.uber.com</t>
  </si>
  <si>
    <t>Paternina, Daniela - 8875</t>
  </si>
  <si>
    <t>dpater1@ext.uber.com</t>
  </si>
  <si>
    <t>Salazar, Juan - 9680</t>
  </si>
  <si>
    <t>jsalaz51@ext.uber.com</t>
  </si>
  <si>
    <t>Zuluaga, John - 4414</t>
  </si>
  <si>
    <t>jzulua8@ext.uber.com</t>
  </si>
  <si>
    <t>SanchezJ, Andrea - 0364</t>
  </si>
  <si>
    <t>asanch112@ext.uber.com</t>
  </si>
  <si>
    <t>Nieto, Carolina - 8881</t>
  </si>
  <si>
    <t>cnieto8@ext.uber.com</t>
  </si>
  <si>
    <t>Amado, Maria - 0376</t>
  </si>
  <si>
    <t>mamado7@ext.uber.com</t>
  </si>
  <si>
    <t>Mosquera, Brayan - 8873</t>
  </si>
  <si>
    <t>bmosqu@ext.uber.com</t>
  </si>
  <si>
    <t>Barbosa, Ana - 0606</t>
  </si>
  <si>
    <t>abarbo36@ext.uber.com</t>
  </si>
  <si>
    <t>Calle, Yesica - 8885</t>
  </si>
  <si>
    <t>ycalle1@ext.uber.com</t>
  </si>
  <si>
    <t>Ochoa, Jennifer - 8865</t>
  </si>
  <si>
    <t>jochoa25@ext.uber.com</t>
  </si>
  <si>
    <t>Londono, Maria - 1445</t>
  </si>
  <si>
    <t>mlondo12@ext.uber.com</t>
  </si>
  <si>
    <t>Paniagua, Diana - 7776</t>
  </si>
  <si>
    <t>dpania3@ext.uber.com</t>
  </si>
  <si>
    <t>Arteaga, Maria - 3995</t>
  </si>
  <si>
    <t>martea3@ext.uber.com</t>
  </si>
  <si>
    <t>Panduro, Nidia - 1453</t>
  </si>
  <si>
    <t>npandu2@ext.uber.com</t>
  </si>
  <si>
    <t>Ruiz, Linda - 6820</t>
  </si>
  <si>
    <t>lruiz33@ext.uber.com</t>
  </si>
  <si>
    <t>Andrade, Crhistian - 1632</t>
  </si>
  <si>
    <t>candra16@ext.uber.com</t>
  </si>
  <si>
    <t>Alzate, Juliana - 7778</t>
  </si>
  <si>
    <t>jalzat7@ext.uber.com</t>
  </si>
  <si>
    <t>Mendez, Mayerli - 1640</t>
  </si>
  <si>
    <t>mmende36@ext.uber.com</t>
  </si>
  <si>
    <t>Mosquera, Silvana - 9433</t>
  </si>
  <si>
    <t>smosqu1@ext.uber.com</t>
  </si>
  <si>
    <t>Canaveral, Santiago - 1717</t>
  </si>
  <si>
    <t>scanav@ext.uber.com</t>
  </si>
  <si>
    <t>GarciaP, Johan - 2025</t>
  </si>
  <si>
    <t>jgarci237@ext.uber.com</t>
  </si>
  <si>
    <t>Sanchez, Yeraldin - 3247</t>
  </si>
  <si>
    <t>ysanch18@ext.uber.com</t>
  </si>
  <si>
    <t>Lujan, Juliana - 3041</t>
  </si>
  <si>
    <t>jlujan@ext.uber.com</t>
  </si>
  <si>
    <t>Lobera, Adriana - 2046</t>
  </si>
  <si>
    <t>alober@ext.uber.com</t>
  </si>
  <si>
    <t>Villalobos, Santiago - 2048</t>
  </si>
  <si>
    <t>svilla43@ext.uber.com</t>
  </si>
  <si>
    <t>Bustos, Karen - 2054</t>
  </si>
  <si>
    <t>kbusto2@ext.uber.com</t>
  </si>
  <si>
    <t>Matiz, Angelica - 2955</t>
  </si>
  <si>
    <t>amatiz3@ext.uber.com</t>
  </si>
  <si>
    <t>RodriguezA, Nicole - 3005</t>
  </si>
  <si>
    <t>nrodri42@ext.uber.com</t>
  </si>
  <si>
    <t>Martinez De Hoyos, Kelys - 3260</t>
  </si>
  <si>
    <t>kmarti55@ext.uber.com</t>
  </si>
  <si>
    <t>Orjuela, Brayan - 3263</t>
  </si>
  <si>
    <t>borjue@ext.uber.com</t>
  </si>
  <si>
    <t>Norena, Daniel - 4462</t>
  </si>
  <si>
    <t>dnoren1@ext.uber.com</t>
  </si>
  <si>
    <t>Gomez, Yadira - 6474</t>
  </si>
  <si>
    <t>ygomez19@ext.uber.com</t>
  </si>
  <si>
    <t>Corzo, Jose - 1650</t>
  </si>
  <si>
    <t>jcorzo1@ext.uber.com</t>
  </si>
  <si>
    <t>Garavito, Maria - 7867</t>
  </si>
  <si>
    <t>mgarav1@ext.uber.com</t>
  </si>
  <si>
    <t>Coronado, Maria - 7878</t>
  </si>
  <si>
    <t>mcoron15@ext.uber.com</t>
  </si>
  <si>
    <t>RodriguezQ, Andres - 5864</t>
  </si>
  <si>
    <t>arodri233@ext.uber.com</t>
  </si>
  <si>
    <t>Prieto, Leidy - 7891</t>
  </si>
  <si>
    <t>lpriet6@ext.uber.com</t>
  </si>
  <si>
    <t>Montealegre, Maria - 7937</t>
  </si>
  <si>
    <t>mmonte55@ext.uber.com</t>
  </si>
  <si>
    <t>Ayala, Eymar - 9674</t>
  </si>
  <si>
    <t>eayala7@ext.uber.com</t>
  </si>
  <si>
    <t>Suarez, Jhon - 6851</t>
  </si>
  <si>
    <t>jsuare52@ext.uber.com</t>
  </si>
  <si>
    <t>Caicedo, Santiago - 2829</t>
  </si>
  <si>
    <t>scaice@ext.uber.com</t>
  </si>
  <si>
    <t>Lozano, Richard - 8842</t>
  </si>
  <si>
    <t>rlozan7@ext.uber.com</t>
  </si>
  <si>
    <t>RodriguezP, Sebastian - 2836</t>
  </si>
  <si>
    <t>srodri91@ext.uber.com</t>
  </si>
  <si>
    <t>Fagua, Lizeth - 3696</t>
  </si>
  <si>
    <t>lfagua@ext.uber.com</t>
  </si>
  <si>
    <t>Durango, Daniela - 2840</t>
  </si>
  <si>
    <t>dduran10@ext.uber.com</t>
  </si>
  <si>
    <t>Barboza La Verde, Nathaly - 9473</t>
  </si>
  <si>
    <t>nbarbo7@ext.uber.com</t>
  </si>
  <si>
    <t>Gonzalez, Esperanza - 7868</t>
  </si>
  <si>
    <t>egonza76@ext.uber.com</t>
  </si>
  <si>
    <t>Garnica, Paula - 6062</t>
  </si>
  <si>
    <t>pgarni@ext.uber.com</t>
  </si>
  <si>
    <t>Marin, Estefania - 2853</t>
  </si>
  <si>
    <t>emarin15@ext.uber.com</t>
  </si>
  <si>
    <t>Angulo, Karent - 6273</t>
  </si>
  <si>
    <t>kangul2@ext.uber.com</t>
  </si>
  <si>
    <t>Ovalle, Luisa - 2855</t>
  </si>
  <si>
    <t>lovall2@ext.uber.com</t>
  </si>
  <si>
    <t>Briceno, Wilka - 6279</t>
  </si>
  <si>
    <t>wbrice@ext.uber.com</t>
  </si>
  <si>
    <t>zporto@ext.uber.com</t>
  </si>
  <si>
    <t>Padilla, Juliana - 3119</t>
  </si>
  <si>
    <t>jpadil28@ext.uber.com</t>
  </si>
  <si>
    <t>Mahecha, Gabriela - 1821</t>
  </si>
  <si>
    <t>gmahec1@ext.uber.com</t>
  </si>
  <si>
    <t>Chacon, Diana - 3310</t>
  </si>
  <si>
    <t>dchaco4@ext.uber.com</t>
  </si>
  <si>
    <t>Rodino, Lina - 3605</t>
  </si>
  <si>
    <t>lrodia@ext.uber.com</t>
  </si>
  <si>
    <t>Vargas, Laura - 8878</t>
  </si>
  <si>
    <t>lvarga36@ext.uber.com</t>
  </si>
  <si>
    <t>Piragauta, Javier - 3419</t>
  </si>
  <si>
    <t>jpirag@ext.uber.com</t>
  </si>
  <si>
    <t>Montenegro, Juan - 2269</t>
  </si>
  <si>
    <t>jmonte58@ext.uber.com</t>
  </si>
  <si>
    <t>Meneses, Leidy - 9617</t>
  </si>
  <si>
    <t>lvarga34@ext.uber.com</t>
  </si>
  <si>
    <t>Walteros, Oscar - 4634</t>
  </si>
  <si>
    <t>owalte1@ext.uber.com</t>
  </si>
  <si>
    <t>Gutierrez, Natalia - 5116</t>
  </si>
  <si>
    <t>ngutie10@ext.uber.com</t>
  </si>
  <si>
    <t>Ferrer, David - 5761</t>
  </si>
  <si>
    <t>dferre36@ext.uber.com</t>
  </si>
  <si>
    <t>Vallejo, Carlos - 2522</t>
  </si>
  <si>
    <t>cvalle3@ext.uber.com</t>
  </si>
  <si>
    <t>Leon, Yury - 5768</t>
  </si>
  <si>
    <t>yleon6@ext.uber.com</t>
  </si>
  <si>
    <t>Guerrero, Jeniffer - 6957</t>
  </si>
  <si>
    <t>jguerr60@ext.uber.com</t>
  </si>
  <si>
    <t>Panqueva, Anyi - 5769</t>
  </si>
  <si>
    <t>apanqu@ext.uber.com</t>
  </si>
  <si>
    <t>Amaya, Andres - 4003</t>
  </si>
  <si>
    <t>aamaya9@ext.uber.com</t>
  </si>
  <si>
    <t>Lara, Marshal - 5772</t>
  </si>
  <si>
    <t>mlara10@ext.uber.com</t>
  </si>
  <si>
    <t>Munevar, Erika - 5106</t>
  </si>
  <si>
    <t>emunev@ext.uber.com</t>
  </si>
  <si>
    <t>Pardo, Victor - 5774</t>
  </si>
  <si>
    <t>vpardo2@ext.uber.com</t>
  </si>
  <si>
    <t>Higuita, Jeimmy - 2376</t>
  </si>
  <si>
    <t>jhigui2@ext.uber.com</t>
  </si>
  <si>
    <t>Cardona, Shanon - 0249</t>
  </si>
  <si>
    <t>scardo7@ext.uber.com</t>
  </si>
  <si>
    <t>Matute, Luis - 3488</t>
  </si>
  <si>
    <t>lmatut1@ext.uber.com</t>
  </si>
  <si>
    <t>Cante, Juan - 1040</t>
  </si>
  <si>
    <t>jcante2@ext.uber.com</t>
  </si>
  <si>
    <t>Vanegas, Gregorio - 6893</t>
  </si>
  <si>
    <t>gvaneg2@ext.uber.com</t>
  </si>
  <si>
    <t>Gomez, Tania - 9634</t>
  </si>
  <si>
    <t>tgomez6@ext.uber.com</t>
  </si>
  <si>
    <t>Palacios De Manzanilla, Harienny - 1486</t>
  </si>
  <si>
    <t>hpalac2@ext.uber.com</t>
  </si>
  <si>
    <t>Paez, Julian - 6454</t>
  </si>
  <si>
    <t>jpaez13@ext.uber.com</t>
  </si>
  <si>
    <t>Ossa, Jeidy - 1492</t>
  </si>
  <si>
    <t>jossa2@ext.uber.com</t>
  </si>
  <si>
    <t>Cardenas, Maria - 6576</t>
  </si>
  <si>
    <t>mcarde20@ext.uber.com</t>
  </si>
  <si>
    <t>Contreras, Yamit - 5113</t>
  </si>
  <si>
    <t>acontr24@ext.uber.com</t>
  </si>
  <si>
    <t>Bautista, Nicole - 1505</t>
  </si>
  <si>
    <t>nbauti9@ext.uber.com</t>
  </si>
  <si>
    <t>Amaya, Guillermo - 0414</t>
  </si>
  <si>
    <t>gamaya5@ext.uber.com</t>
  </si>
  <si>
    <t>Camacho, Tatiana - 1513</t>
  </si>
  <si>
    <t>tcamac@ext.uber.com</t>
  </si>
  <si>
    <t>Loaiza, Carlos - 6416</t>
  </si>
  <si>
    <t>cloaiz4@ext.uber.com</t>
  </si>
  <si>
    <t>Rodriguez, Alejandro - 1631</t>
  </si>
  <si>
    <t>arodri208@ext.uber.com</t>
  </si>
  <si>
    <t>Guzman, Cielo - 3633</t>
  </si>
  <si>
    <t>cguzma15@ext.uber.com</t>
  </si>
  <si>
    <t>Gonzalez, Juan - 1707</t>
  </si>
  <si>
    <t>jgonza186@ext.uber.com</t>
  </si>
  <si>
    <t>CardenasC, Jose - 6471</t>
  </si>
  <si>
    <t>jcarde39@ext.uber.com</t>
  </si>
  <si>
    <t>Jimenez, Jenny - 1770</t>
  </si>
  <si>
    <t>jjimen76@ext.uber.com</t>
  </si>
  <si>
    <t>Puerto, Sebastian - 6498</t>
  </si>
  <si>
    <t>spuert1@ext.uber.com</t>
  </si>
  <si>
    <t>Robayo, Jhojan - 2759</t>
  </si>
  <si>
    <t>jrobay3@ext.uber.com</t>
  </si>
  <si>
    <t>Duno, Eximirio - 2909</t>
  </si>
  <si>
    <t>eferna31@ext.uber.com</t>
  </si>
  <si>
    <t>Barrios, Gleisy - 6284</t>
  </si>
  <si>
    <t>grisca@ext.uber.com</t>
  </si>
  <si>
    <t>Leon, Camila - 4106</t>
  </si>
  <si>
    <t>cleon14@ext.uber.com</t>
  </si>
  <si>
    <t>Camargo, Jeisson - 3365</t>
  </si>
  <si>
    <t>jcamar25@ext.uber.com</t>
  </si>
  <si>
    <t>Vallecilla, Angie - 9255</t>
  </si>
  <si>
    <t>avalle12@ext.uber.com</t>
  </si>
  <si>
    <t>Cubillos, Stefanny - 8287</t>
  </si>
  <si>
    <t>scubil2@ext.uber.com</t>
  </si>
  <si>
    <t>Rivera, Karen - 5965</t>
  </si>
  <si>
    <t>kriver19@ext.uber.com</t>
  </si>
  <si>
    <t>Ballesteros, Nayibe - 3630</t>
  </si>
  <si>
    <t>nballe1@ext.uber.com</t>
  </si>
  <si>
    <t>Camacho, Brayan - 9559</t>
  </si>
  <si>
    <t>bcamac5@ext.uber.com</t>
  </si>
  <si>
    <t>Suarez, Jonathan - 8207</t>
  </si>
  <si>
    <t>jsuare50@ext.uber.com</t>
  </si>
  <si>
    <t>Munevar, Yuri - 9566</t>
  </si>
  <si>
    <t>ymunev@ext.uber.com</t>
  </si>
  <si>
    <t>Rivera, Jennifer - 9618</t>
  </si>
  <si>
    <t>jriver68@ext.uber.com</t>
  </si>
  <si>
    <t>Sanchez, Cesar - 9635</t>
  </si>
  <si>
    <t>csanch64@ext.uber.com</t>
  </si>
  <si>
    <t>Arboleda, Wuilmar - 2442</t>
  </si>
  <si>
    <t>warbol@ext.uber.com</t>
  </si>
  <si>
    <t>Romero, Angely - 8609</t>
  </si>
  <si>
    <t>aromer60@ext.uber.com</t>
  </si>
  <si>
    <t>Lara, Yirley - 2472</t>
  </si>
  <si>
    <t>ydiaz13@ext.uber.com</t>
  </si>
  <si>
    <t>Zapata, Melany - 7482</t>
  </si>
  <si>
    <t>mzapat19@ext.uber.com</t>
  </si>
  <si>
    <t>De La Ossa Pena, Isabella - 2526</t>
  </si>
  <si>
    <t>iossa@ext.uber.com</t>
  </si>
  <si>
    <t>Malagon, Leidy - 6275</t>
  </si>
  <si>
    <t>lmalag2@ext.uber.com</t>
  </si>
  <si>
    <t>GarzonR, Karen - 2555</t>
  </si>
  <si>
    <t>kgarzo5@ext.uber.com</t>
  </si>
  <si>
    <t>Castrillon, Ivan - 3736</t>
  </si>
  <si>
    <t>icastr13@ext.uber.com</t>
  </si>
  <si>
    <t>Forero, Laura - 4195</t>
  </si>
  <si>
    <t>lforer9@ext.uber.com</t>
  </si>
  <si>
    <t>Carrascal De La Torre, Cindy - 5620</t>
  </si>
  <si>
    <t>ccarra3@ext.uber.com</t>
  </si>
  <si>
    <t>Camacho, Brian - 0136</t>
  </si>
  <si>
    <t>bcamac7@ext.uber.com</t>
  </si>
  <si>
    <t>Cardenas, Juan - 5694</t>
  </si>
  <si>
    <t>jcarde37@ext.uber.com</t>
  </si>
  <si>
    <t>Murcia, Jenny - 5278</t>
  </si>
  <si>
    <t>jmurci9@ext.uber.com</t>
  </si>
  <si>
    <t>DiazC, Luisa - 5747</t>
  </si>
  <si>
    <t>ldiaz43@ext.uber.com</t>
  </si>
  <si>
    <t>Castillo, Julian - 7028</t>
  </si>
  <si>
    <t>jcasti106@ext.uber.com</t>
  </si>
  <si>
    <t>Montano, Maryi - 5775</t>
  </si>
  <si>
    <t>mmonta21@ext.uber.com</t>
  </si>
  <si>
    <t>Rubio, Vanessa - 8028</t>
  </si>
  <si>
    <t>vrubio3@ext.uber.com</t>
  </si>
  <si>
    <t>Munera, Julisbeth - 5777</t>
  </si>
  <si>
    <t>jmuner5@ext.uber.com</t>
  </si>
  <si>
    <t>Rodriguez, Lany - 4624</t>
  </si>
  <si>
    <t>lrodri143@ext.uber.com</t>
  </si>
  <si>
    <t>Peraza, Maria - 8033</t>
  </si>
  <si>
    <t>mperaz@ext.uber.com</t>
  </si>
  <si>
    <t>Trochez, Ingrit - 5866</t>
  </si>
  <si>
    <t>itroch@ext.uber.com</t>
  </si>
  <si>
    <t>Menguan, Darlon - 4298</t>
  </si>
  <si>
    <t>dmengu@ext.uber.com</t>
  </si>
  <si>
    <t>MunozG, Angie - 0164</t>
  </si>
  <si>
    <t>amuaoz@ext.uber.com</t>
  </si>
  <si>
    <t>Villalba, Andres - 9670</t>
  </si>
  <si>
    <t>avilla86@ext.uber.com</t>
  </si>
  <si>
    <t>Garcia, Jennifer - 3636</t>
  </si>
  <si>
    <t>jgarci279@ext.uber.com</t>
  </si>
  <si>
    <t>Macadito, Pedro - 9673</t>
  </si>
  <si>
    <t>pmacad@ext.uber.com</t>
  </si>
  <si>
    <t>Delgado, Valentina - 0149</t>
  </si>
  <si>
    <t>vdelga5@ext.uber.com</t>
  </si>
  <si>
    <t>Pinzon, Shirley - 9674</t>
  </si>
  <si>
    <t>spinzo3@ext.uber.com</t>
  </si>
  <si>
    <t>SierraT, Sara - 8312</t>
  </si>
  <si>
    <t>ssierr10@ext.uber.com</t>
  </si>
  <si>
    <t>Leon, Juan - 9676</t>
  </si>
  <si>
    <t>jleon28@ext.uber.com</t>
  </si>
  <si>
    <t>Hernandez, Katerin - 0106</t>
  </si>
  <si>
    <t>kherna60@ext.uber.com</t>
  </si>
  <si>
    <t>Hincapie, Juan - 9678</t>
  </si>
  <si>
    <t>jhinca4@ext.uber.com</t>
  </si>
  <si>
    <t>Hernandez, Michael - 0151</t>
  </si>
  <si>
    <t>mherna95@ext.uber.com</t>
  </si>
  <si>
    <t>Torres, Ana - 9686</t>
  </si>
  <si>
    <t>atorre83@ext.uber.com</t>
  </si>
  <si>
    <t>Palacios, Laura - 7616</t>
  </si>
  <si>
    <t>lpalac10@ext.uber.com</t>
  </si>
  <si>
    <t>Palma, Angie - 0658</t>
  </si>
  <si>
    <t>apalma8@ext.uber.com</t>
  </si>
  <si>
    <t>Trujillo, Juan - 0107</t>
  </si>
  <si>
    <t>jtruji15@ext.uber.com</t>
  </si>
  <si>
    <t>Ruiz, Yuliana - 0825</t>
  </si>
  <si>
    <t>yruiz5@ext.uber.com</t>
  </si>
  <si>
    <t>Guerrero, Carol - 0403</t>
  </si>
  <si>
    <t>cguerr18@ext.uber.com</t>
  </si>
  <si>
    <t>Balcinilla, Carmen - 0178</t>
  </si>
  <si>
    <t>cbalci@ext.uber.com</t>
  </si>
  <si>
    <t>Cardenas, Joseph - 1630</t>
  </si>
  <si>
    <t>jcarde42@ext.uber.com</t>
  </si>
  <si>
    <t>ColoradoC, Valentina - 4652</t>
  </si>
  <si>
    <t>vcolor3@ext.uber.com</t>
  </si>
  <si>
    <t>Uribe, Alejandra - 5807</t>
  </si>
  <si>
    <t>auribe7@ext.uber.com</t>
  </si>
  <si>
    <t>Lopera, Xilena - 8427</t>
  </si>
  <si>
    <t>xloper@ext.uber.com</t>
  </si>
  <si>
    <t>Rey, Paula - 8178</t>
  </si>
  <si>
    <t>prey1@ext.uber.com</t>
  </si>
  <si>
    <t>Portilla, Diana - 8192</t>
  </si>
  <si>
    <t>dporti1@ext.uber.com</t>
  </si>
  <si>
    <t>Giraldo, Angela - 1542</t>
  </si>
  <si>
    <t>agiral15@ext.uber.com</t>
  </si>
  <si>
    <t>Echavarria, Juan - 5615</t>
  </si>
  <si>
    <t>jechav2@ext.uber.com</t>
  </si>
  <si>
    <t>Godoy, July - 8270</t>
  </si>
  <si>
    <t>jgodoy3@ext.uber.com</t>
  </si>
  <si>
    <t>SanchezB, Juan - 3020</t>
  </si>
  <si>
    <t>jsanch184@ext.uber.com</t>
  </si>
  <si>
    <t>Latam ASR RISK</t>
  </si>
  <si>
    <t>GarciaP, Juan - 1375</t>
  </si>
  <si>
    <t>jgarci277@ext.uber.com</t>
  </si>
  <si>
    <t>OrozcoS, Samuel - 2065</t>
  </si>
  <si>
    <t>sorozc7@ext.uber.com</t>
  </si>
  <si>
    <t>Rivas, Laura - 1382</t>
  </si>
  <si>
    <t>lrivas6@ext.uber.com</t>
  </si>
  <si>
    <t>Ardila, Sofia - 9446</t>
  </si>
  <si>
    <t>sardil6@ext.uber.com</t>
  </si>
  <si>
    <t>Montenegro, Angie - 6030</t>
  </si>
  <si>
    <t>amonte42@ext.uber.com</t>
  </si>
  <si>
    <t>Latorre, Simon - 9035</t>
  </si>
  <si>
    <t>slator1@ext.uber.com</t>
  </si>
  <si>
    <t>Castiblanco, Leidy - 6082</t>
  </si>
  <si>
    <t>lcasti31@ext.uber.com</t>
  </si>
  <si>
    <t>Cardenas, Mauricio - 3017</t>
  </si>
  <si>
    <t>mcarde22@ext.uber.com</t>
  </si>
  <si>
    <t>Giraldo, Sebastian - 2311</t>
  </si>
  <si>
    <t>sgiral9@ext.uber.com</t>
  </si>
  <si>
    <t>Ortiz, Johan - 6104</t>
  </si>
  <si>
    <t>jortiz83@ext.uber.com</t>
  </si>
  <si>
    <t>Rodriguez, Darwin - 6476</t>
  </si>
  <si>
    <t>drodri132@ext.uber.com</t>
  </si>
  <si>
    <t>Leguizamon, Edwin - 1295</t>
  </si>
  <si>
    <t>elegui3@ext.uber.com</t>
  </si>
  <si>
    <t>Cifuentes, Juan - 2008</t>
  </si>
  <si>
    <t>jcifue9@ext.uber.com</t>
  </si>
  <si>
    <t>Palacio, Samuel - 3161</t>
  </si>
  <si>
    <t>spalac16@ext.uber.com</t>
  </si>
  <si>
    <t>Berrio, Gilberto - 2011</t>
  </si>
  <si>
    <t>gberri@ext.uber.com</t>
  </si>
  <si>
    <t>Bernal, Diego - 6212</t>
  </si>
  <si>
    <t>dberna27@ext.uber.com</t>
  </si>
  <si>
    <t>Bocanegra, Erika - 2508</t>
  </si>
  <si>
    <t>ebocan@ext.uber.com</t>
  </si>
  <si>
    <t>Fuelantala, Martin - 8341</t>
  </si>
  <si>
    <t>mfuela@ext.uber.com</t>
  </si>
  <si>
    <t>Marin, Rosicela - 6593</t>
  </si>
  <si>
    <t>rmarin10@ext.uber.com</t>
  </si>
  <si>
    <t>HernandezT, Carlos - 6597</t>
  </si>
  <si>
    <t>cherna97@ext.uber.com</t>
  </si>
  <si>
    <t>Vicioso, Angel - 9826</t>
  </si>
  <si>
    <t>avicio@ext.uber.com</t>
  </si>
  <si>
    <t>Zapa, Zaila - 7065</t>
  </si>
  <si>
    <t>zanaya@ext.uber.com</t>
  </si>
  <si>
    <t>Lopez, Zamir - 2495</t>
  </si>
  <si>
    <t>zlopez2@ext.uber.com</t>
  </si>
  <si>
    <t>Buitrago, Valentina - 7878</t>
  </si>
  <si>
    <t>vbuitr2@ext.uber.com</t>
  </si>
  <si>
    <t>Viracacha, Daniel - 6435</t>
  </si>
  <si>
    <t>dvirac@ext.uber.com</t>
  </si>
  <si>
    <t>Castro, Orlando - 0231</t>
  </si>
  <si>
    <t>ocastr8@ext.uber.com</t>
  </si>
  <si>
    <t>CastilloS, Laura - 0517</t>
  </si>
  <si>
    <t>lcasti9@ext.uber.com</t>
  </si>
  <si>
    <t>Alba, Juan - 6550</t>
  </si>
  <si>
    <t>jalba2@ext.uber.com</t>
  </si>
  <si>
    <t>Ferrin, Andres - 1935</t>
  </si>
  <si>
    <t>aferri@ext.uber.com</t>
  </si>
  <si>
    <t>Vera, Michael - 3920</t>
  </si>
  <si>
    <t>mvera7@ext.uber.com</t>
  </si>
  <si>
    <t>Camargo, Juan - 0448</t>
  </si>
  <si>
    <t>jcamar30@ext.uber.com</t>
  </si>
  <si>
    <t>Osorio, Juan - 3959</t>
  </si>
  <si>
    <t>josori24@ext.uber.com</t>
  </si>
  <si>
    <t>Molina, Darwin - 6521</t>
  </si>
  <si>
    <t>dmolin16@ext.uber.com</t>
  </si>
  <si>
    <t>Fuenmayor, Ruth - 6564</t>
  </si>
  <si>
    <t>rfuenm1@ext.uber.com</t>
  </si>
  <si>
    <t>Ponguta, Danna - 2423</t>
  </si>
  <si>
    <t>dpongu@ext.uber.com</t>
  </si>
  <si>
    <t>Peinado, Rafael - 2589</t>
  </si>
  <si>
    <t>rpeina1@ext.uber.com</t>
  </si>
  <si>
    <t>Garcia, Brayan - 1849</t>
  </si>
  <si>
    <t>bgarci44@ext.uber.com</t>
  </si>
  <si>
    <t>Sierra, Daniel - 6577</t>
  </si>
  <si>
    <t>dsierr11@ext.uber.com</t>
  </si>
  <si>
    <t>Rivera, Ariexny - 2592</t>
  </si>
  <si>
    <t>ariver57@ext.uber.com</t>
  </si>
  <si>
    <t>Fernandez, Jesus - 7982</t>
  </si>
  <si>
    <t>jferna88@ext.uber.com</t>
  </si>
  <si>
    <t>Rojas, Jose - 9463</t>
  </si>
  <si>
    <t>jrojas74@ext.uber.com</t>
  </si>
  <si>
    <t>Rojas, Yesid - 8652</t>
  </si>
  <si>
    <t>yrojas9@ext.uber.com</t>
  </si>
  <si>
    <t>Salinas, Daniel - 2611</t>
  </si>
  <si>
    <t>dsalin8@ext.uber.com</t>
  </si>
  <si>
    <t>Legon, Albany - 1680</t>
  </si>
  <si>
    <t>aperez108@ext.uber.com</t>
  </si>
  <si>
    <t>Juzga, Ian - 0624</t>
  </si>
  <si>
    <t>ijuzga@ext.uber.com</t>
  </si>
  <si>
    <t>Herrero, Maria - 3818</t>
  </si>
  <si>
    <t>mherre27@ext.uber.com</t>
  </si>
  <si>
    <t>Contreras, Meliza - 8308</t>
  </si>
  <si>
    <t>mcontr17@ext.uber.com</t>
  </si>
  <si>
    <t>Montagouth, William - 3339</t>
  </si>
  <si>
    <t>wmonta1@ext.uber.com</t>
  </si>
  <si>
    <t>Lopez, Angy - 6447</t>
  </si>
  <si>
    <t>alopez143@ext.uber.com</t>
  </si>
  <si>
    <t>Vasquez, Leidy - 6449</t>
  </si>
  <si>
    <t>lvasqu15@ext.uber.com</t>
  </si>
  <si>
    <t>Hernandez, Keily - 2685</t>
  </si>
  <si>
    <t>kherna63@ext.uber.com</t>
  </si>
  <si>
    <t>Becerra, Elmer - 6452</t>
  </si>
  <si>
    <t>ebecer8@ext.uber.com</t>
  </si>
  <si>
    <t>Pasquel, Carmen - 6148</t>
  </si>
  <si>
    <t>cpasqu@ext.uber.com</t>
  </si>
  <si>
    <t>Maldonado, Nicoll - 6454</t>
  </si>
  <si>
    <t>nmaldo4@ext.uber.com</t>
  </si>
  <si>
    <t>Afanador, Nicolas - 2746</t>
  </si>
  <si>
    <t>nafana@ext.uber.com</t>
  </si>
  <si>
    <t>Perez, Karol - 2872</t>
  </si>
  <si>
    <t>kperez34@ext.uber.com</t>
  </si>
  <si>
    <t>Serrano, Jennifer - 2044</t>
  </si>
  <si>
    <t>jserra24@ext.uber.com</t>
  </si>
  <si>
    <t>Chaparro, Bibian - 9700</t>
  </si>
  <si>
    <t>bchapa@ext.uber.com</t>
  </si>
  <si>
    <t>Salas, Lina - 8919</t>
  </si>
  <si>
    <t>lsalas5@ext.uber.com</t>
  </si>
  <si>
    <t>Machado, Erika - 6144</t>
  </si>
  <si>
    <t>emacha8@ext.uber.com</t>
  </si>
  <si>
    <t>Jojoa, Sebastian - 8921</t>
  </si>
  <si>
    <t>sjojoa@ext.uber.com</t>
  </si>
  <si>
    <t>Ardila, Arbey - 9131</t>
  </si>
  <si>
    <t>aardil5@ext.uber.com</t>
  </si>
  <si>
    <t>Parra, William - 1501</t>
  </si>
  <si>
    <t>wparra4@ext.uber.com</t>
  </si>
  <si>
    <t>Garzon, Libardo - 8999</t>
  </si>
  <si>
    <t>lgarzo12@ext.uber.com</t>
  </si>
  <si>
    <t>Meneses, Luis - 0044</t>
  </si>
  <si>
    <t>lmenes6@ext.uber.com</t>
  </si>
  <si>
    <t>Garzon, Jonnathan - 9001</t>
  </si>
  <si>
    <t>jgarzo18@ext.uber.com</t>
  </si>
  <si>
    <t>Corchuelo, Anny - 9227</t>
  </si>
  <si>
    <t>acorch1@ext.uber.com</t>
  </si>
  <si>
    <t>Galindo, Sara - 4014</t>
  </si>
  <si>
    <t>sgalin9@ext.uber.com</t>
  </si>
  <si>
    <t>Campos, Courtney - 1351</t>
  </si>
  <si>
    <t>ccampo15@ext.uber.com</t>
  </si>
  <si>
    <t>Arguello, David - 2467</t>
  </si>
  <si>
    <t>dargue4@ext.uber.com</t>
  </si>
  <si>
    <t>Cely, Ivan - 8169</t>
  </si>
  <si>
    <t>icely@ext.uber.com</t>
  </si>
  <si>
    <t>Leon, Daniel - 9065</t>
  </si>
  <si>
    <t>dleon16@ext.uber.com</t>
  </si>
  <si>
    <t>Montoya, Brayan - 9852</t>
  </si>
  <si>
    <t>bmonto2@ext.uber.com</t>
  </si>
  <si>
    <t>Casallas, Harvey - 1342</t>
  </si>
  <si>
    <t>hcasal@ext.uber.com</t>
  </si>
  <si>
    <t>DelgadoR, Kevin - 6800</t>
  </si>
  <si>
    <t>kdelga9@ext.uber.com</t>
  </si>
  <si>
    <t>Pinilla, Sebastian - 5773</t>
  </si>
  <si>
    <t>spinil2@ext.uber.com</t>
  </si>
  <si>
    <t>Calderon, Brayan - 6808</t>
  </si>
  <si>
    <t>bcalde4@ext.uber.com</t>
  </si>
  <si>
    <t>Daza, Diego - 6214</t>
  </si>
  <si>
    <t>ddaza6@ext.uber.com</t>
  </si>
  <si>
    <t>Castro, Daniel - 6935</t>
  </si>
  <si>
    <t>dcastr30@ext.uber.com</t>
  </si>
  <si>
    <t>Silva, Diego - 8897</t>
  </si>
  <si>
    <t>dsilva191@ext.uber.com</t>
  </si>
  <si>
    <t>Jimenez, Diego - 8246</t>
  </si>
  <si>
    <t>djimen44@ext.uber.com</t>
  </si>
  <si>
    <t>Mira, Andres - 2588</t>
  </si>
  <si>
    <t>amira3@ext.uber.com</t>
  </si>
  <si>
    <t>SanchezF, Karen - 5204</t>
  </si>
  <si>
    <t>ksanch35@ext.uber.com</t>
  </si>
  <si>
    <t>Hernandez, Yensy - 5207</t>
  </si>
  <si>
    <t>yherna26@ext.uber.com</t>
  </si>
  <si>
    <t>Gutierrez, Cristian - 5209</t>
  </si>
  <si>
    <t>cgutie31@ext.uber.com</t>
  </si>
  <si>
    <t>Chacon, Sydney - 1389</t>
  </si>
  <si>
    <t>schaco2@ext.uber.com</t>
  </si>
  <si>
    <t>Jimenez, Indira - 5850</t>
  </si>
  <si>
    <t>ijimen19@ext.uber.com</t>
  </si>
  <si>
    <t>Alfonzo, Diego - 6154</t>
  </si>
  <si>
    <t>dvilla60@ext.uber.com</t>
  </si>
  <si>
    <t>Benavides, Yirley - 6530</t>
  </si>
  <si>
    <t>ybenav5@ext.uber.com</t>
  </si>
  <si>
    <t>Buitrago, Edison - 6550</t>
  </si>
  <si>
    <t>ebuitr2@ext.uber.com</t>
  </si>
  <si>
    <t>Umana, Jennifer - 6553</t>
  </si>
  <si>
    <t>jumana1@ext.uber.com</t>
  </si>
  <si>
    <t>Zuluaga, Yury - 0709</t>
  </si>
  <si>
    <t>yzulua@ext.uber.com</t>
  </si>
  <si>
    <t>Torres, Cristian - 6554</t>
  </si>
  <si>
    <t>ctorre58@ext.uber.com</t>
  </si>
  <si>
    <t>Tellez, Marlon - 7163</t>
  </si>
  <si>
    <t>mtelle7@ext.uber.com</t>
  </si>
  <si>
    <t>Ramirez, Derly - 6048</t>
  </si>
  <si>
    <t>dramir86@ext.uber.com</t>
  </si>
  <si>
    <t>Gomez, Edwin - 8044</t>
  </si>
  <si>
    <t>Plazas, Nicole</t>
  </si>
  <si>
    <t>egomez33@ext.uber.com</t>
  </si>
  <si>
    <t>Avila, Karol - 8366</t>
  </si>
  <si>
    <t>kavila8@ext.uber.com</t>
  </si>
  <si>
    <t>Barrote, Juan - 1395</t>
  </si>
  <si>
    <t>jbarro20@ext.uber.com</t>
  </si>
  <si>
    <t>Chirinos, Uberto - 8433</t>
  </si>
  <si>
    <t>uchiri@ext.uber.com</t>
  </si>
  <si>
    <t>Cerminaria, Jessica - 6026</t>
  </si>
  <si>
    <t>jcermi@ext.uber.com</t>
  </si>
  <si>
    <t>Meza, Cherlyn - 0128</t>
  </si>
  <si>
    <t>cmeza1@ext.uber.com</t>
  </si>
  <si>
    <t>Triana, Santiago - 1401</t>
  </si>
  <si>
    <t>strian5@ext.uber.com</t>
  </si>
  <si>
    <t>Medina, Cindy - 1322</t>
  </si>
  <si>
    <t>cmedin20@ext.uber.com</t>
  </si>
  <si>
    <t>Olmos, Cristian - 0702</t>
  </si>
  <si>
    <t>colmos1@ext.uber.com</t>
  </si>
  <si>
    <t>Gomez, Brayan - 3958</t>
  </si>
  <si>
    <t>bgomez13@ext.uber.com</t>
  </si>
  <si>
    <t>Valero, Bleidy - 2707</t>
  </si>
  <si>
    <t>jvaler16@ext.uber.com</t>
  </si>
  <si>
    <t>Rodriguez, Aura - 6019</t>
  </si>
  <si>
    <t>arodri244@ext.uber.com</t>
  </si>
  <si>
    <t>Castillo, Vanessa - 3604</t>
  </si>
  <si>
    <t>vcasti10@ext.uber.com</t>
  </si>
  <si>
    <t>Rivas, Jordyn - 6036</t>
  </si>
  <si>
    <t>jrivas5@ext.uber.com</t>
  </si>
  <si>
    <t>Mendoza, Julieth - 3814</t>
  </si>
  <si>
    <t>jmendo72@ext.uber.com</t>
  </si>
  <si>
    <t>Villamizar, Maira - 3828</t>
  </si>
  <si>
    <t>mvilla160@ext.uber.com</t>
  </si>
  <si>
    <t>Gomez, Oscar - 3867</t>
  </si>
  <si>
    <t>ogomez6@ext.uber.com</t>
  </si>
  <si>
    <t>Lopez, Yeinson - 4012</t>
  </si>
  <si>
    <t>ylopez24@ext.uber.com</t>
  </si>
  <si>
    <t>Bermudez, Oriana - 7026</t>
  </si>
  <si>
    <t>Benitez, Alvaro</t>
  </si>
  <si>
    <t>Navarro, Franklyn</t>
  </si>
  <si>
    <t>Sanchez, Adrian</t>
  </si>
  <si>
    <t>obermu1@ext.uber.com</t>
  </si>
  <si>
    <t>Martinez, Brenda - 1948</t>
  </si>
  <si>
    <t>bmarti51@ext.uber.com</t>
  </si>
  <si>
    <t>Infante, Karol - 5354</t>
  </si>
  <si>
    <t>kinfan@ext.uber.com</t>
  </si>
  <si>
    <t>Huertas, Jaider - 4026</t>
  </si>
  <si>
    <t>jhuert14@ext.uber.com</t>
  </si>
  <si>
    <t>Figueroa, Paula - 5710</t>
  </si>
  <si>
    <t>pfigue2@ext.uber.com</t>
  </si>
  <si>
    <t>Montoya, Luisa - 5372</t>
  </si>
  <si>
    <t>lmonto15@ext.uber.com</t>
  </si>
  <si>
    <t>Duque, Samuel - 5893</t>
  </si>
  <si>
    <t>sduque1@ext.uber.com</t>
  </si>
  <si>
    <t>Diaz, Sebastian - 4147</t>
  </si>
  <si>
    <t>sdiaz27@ext.uber.com</t>
  </si>
  <si>
    <t>Nieves, Yeison - 4350</t>
  </si>
  <si>
    <t>ynieve@ext.uber.com</t>
  </si>
  <si>
    <t>Casallas, Mayra - 4177</t>
  </si>
  <si>
    <t>mcasal3@ext.uber.com</t>
  </si>
  <si>
    <t>Rios, Edwin - 0412</t>
  </si>
  <si>
    <t>erios6@ext.uber.com</t>
  </si>
  <si>
    <t>Otavo, Kimberly - 4021</t>
  </si>
  <si>
    <t>kotavo@ext.uber.com</t>
  </si>
  <si>
    <t>Gonzalez, Samuel - 5426</t>
  </si>
  <si>
    <t>sgonza86@ext.uber.com</t>
  </si>
  <si>
    <t>Bello, Brandon - 4883</t>
  </si>
  <si>
    <t>bbello1@ext.uber.com</t>
  </si>
  <si>
    <t>Rueda, Hector - 5445</t>
  </si>
  <si>
    <t>hrueda2@ext.uber.com</t>
  </si>
  <si>
    <t>Galviz, Andres - 5101</t>
  </si>
  <si>
    <t>agalvi5@ext.uber.com</t>
  </si>
  <si>
    <t>Leon, Gina - 6260</t>
  </si>
  <si>
    <t>gleon9@ext.uber.com</t>
  </si>
  <si>
    <t>Granados, Miguel - 5330</t>
  </si>
  <si>
    <t>mgrana10@ext.uber.com</t>
  </si>
  <si>
    <t>Roldan, Vanessa - 5107</t>
  </si>
  <si>
    <t>vrolda@ext.uber.com</t>
  </si>
  <si>
    <t>Torres, Yesika - 0860</t>
  </si>
  <si>
    <t>ytorre17@ext.uber.com</t>
  </si>
  <si>
    <t>Molina, Julian - 5318</t>
  </si>
  <si>
    <t>jmolin26@ext.uber.com</t>
  </si>
  <si>
    <t>Caucali, Nnicol - 5319</t>
  </si>
  <si>
    <t>ncauca@ext.uber.com</t>
  </si>
  <si>
    <t>Rodriguez, Ingrid - 6249</t>
  </si>
  <si>
    <t>irodri35@ext.uber.com</t>
  </si>
  <si>
    <t>Leon, Sebastian - 6263</t>
  </si>
  <si>
    <t>scano7@ext.uber.com</t>
  </si>
  <si>
    <t>Chinchilla, Sergio - 8043</t>
  </si>
  <si>
    <t>schinc@ext.uber.com</t>
  </si>
  <si>
    <t>Rodriguez, Yesid - 1076</t>
  </si>
  <si>
    <t>yrodri33@ext.uber.com</t>
  </si>
  <si>
    <t>Aguirre, Juan - 2006</t>
  </si>
  <si>
    <t>jaguir23@ext.uber.com</t>
  </si>
  <si>
    <t>Monsalve, Kevin - 2007</t>
  </si>
  <si>
    <t>kmonsa5@ext.uber.com</t>
  </si>
  <si>
    <t>Espejo, Adriana - 2216</t>
  </si>
  <si>
    <t>aespej4@ext.uber.com</t>
  </si>
  <si>
    <t>Ortiz, Lezly - 2237</t>
  </si>
  <si>
    <t>lortiz33@ext.uber.com</t>
  </si>
  <si>
    <t>Tapiero, Maria - 2238</t>
  </si>
  <si>
    <t>mtapie1@ext.uber.com</t>
  </si>
  <si>
    <t>Villamil, Juana - 0842</t>
  </si>
  <si>
    <t>jvilla188@ext.uber.com</t>
  </si>
  <si>
    <t>Alvarez, Ronald - 2350</t>
  </si>
  <si>
    <t>ralvar33@ext.uber.com</t>
  </si>
  <si>
    <t>Sanchez, Danna - 0835</t>
  </si>
  <si>
    <t>dsanch81@ext.uber.com</t>
  </si>
  <si>
    <t>Gonzalez, Jeiny - 2357</t>
  </si>
  <si>
    <t>jgonza197@ext.uber.com</t>
  </si>
  <si>
    <t>Carreno, Windson - 8081</t>
  </si>
  <si>
    <t>wcarre2@ext.uber.com</t>
  </si>
  <si>
    <t>Villa, Jorge - 2374</t>
  </si>
  <si>
    <t>jvilla170@ext.uber.com</t>
  </si>
  <si>
    <t>CastroG, Luisa - 0468</t>
  </si>
  <si>
    <t>lcastr44@ext.uber.com</t>
  </si>
  <si>
    <t>Aguirre, Samara - 0810</t>
  </si>
  <si>
    <t>saguir6@ext.uber.com</t>
  </si>
  <si>
    <t>GarciaB, Carlos - 0816</t>
  </si>
  <si>
    <t>cgarci93@ext.uber.com</t>
  </si>
  <si>
    <t>Calderon, Dana - 2425</t>
  </si>
  <si>
    <t>dcalde12@ext.uber.com</t>
  </si>
  <si>
    <t>Acosta, Sebastian - 1144</t>
  </si>
  <si>
    <t>sacost11@ext.uber.com</t>
  </si>
  <si>
    <t>Sanchez, Luz - 2438</t>
  </si>
  <si>
    <t>lsanch94@ext.uber.com</t>
  </si>
  <si>
    <t>Garcia, Erick - 2443</t>
  </si>
  <si>
    <t>enicol3@ext.uber.com</t>
  </si>
  <si>
    <t>Vargas, Sergio - 5569</t>
  </si>
  <si>
    <t>svarga29@ext.uber.com</t>
  </si>
  <si>
    <t>Goenaga, Edna - 8392</t>
  </si>
  <si>
    <t>egoena@ext.uber.com</t>
  </si>
  <si>
    <t>Figueroa, Diana - 5598</t>
  </si>
  <si>
    <t>dfigue11@ext.uber.com</t>
  </si>
  <si>
    <t>Estepa, Brayan - 9500</t>
  </si>
  <si>
    <t>bestep@ext.uber.com</t>
  </si>
  <si>
    <t>Valois, Jessica - 5601</t>
  </si>
  <si>
    <t>jvaloi2@ext.uber.com</t>
  </si>
  <si>
    <t>Paipilla, Luis - 1226</t>
  </si>
  <si>
    <t>lpaipi@ext.uber.com</t>
  </si>
  <si>
    <t>Saenz, Adriana - 4034</t>
  </si>
  <si>
    <t>asaenz4@ext.uber.com</t>
  </si>
  <si>
    <t>Garzon, Fredy - 5727</t>
  </si>
  <si>
    <t>fgarzo2@ext.uber.com</t>
  </si>
  <si>
    <t>Figueroa, Jennyfer - 8590</t>
  </si>
  <si>
    <t>jfigue19@ext.uber.com</t>
  </si>
  <si>
    <t>Ramirez, Helen - 5729</t>
  </si>
  <si>
    <t>hramir10@ext.uber.com</t>
  </si>
  <si>
    <t>Patino, Yulithza - 8224</t>
  </si>
  <si>
    <t>ypatin3@ext.uber.com</t>
  </si>
  <si>
    <t>Castillo, Angie - 0843</t>
  </si>
  <si>
    <t>acasti65@ext.uber.com</t>
  </si>
  <si>
    <t>Castellanos, Leonardo - 6718</t>
  </si>
  <si>
    <t>lcaste9@ext.uber.com</t>
  </si>
  <si>
    <t>Loaiza, Astrid - 2391</t>
  </si>
  <si>
    <t>aloaiz3@ext.uber.com</t>
  </si>
  <si>
    <t>Zambrano, Andres - 6778</t>
  </si>
  <si>
    <t>azambr5@ext.uber.com</t>
  </si>
  <si>
    <t>Puentes, Lilia - 6066</t>
  </si>
  <si>
    <t>lpuent4@ext.uber.com</t>
  </si>
  <si>
    <t>Ramirez, Cristian - 8196</t>
  </si>
  <si>
    <t>cramir76@ext.uber.com</t>
  </si>
  <si>
    <t>Gonzalez, Johana - 7866</t>
  </si>
  <si>
    <t>jgonza198@ext.uber.com</t>
  </si>
  <si>
    <t>Garcia, Daniel - 3656</t>
  </si>
  <si>
    <t>dgarci111@ext.uber.com</t>
  </si>
  <si>
    <t>Torres, Jose - 7875</t>
  </si>
  <si>
    <t>jtorre118@ext.uber.com</t>
  </si>
  <si>
    <t>Cortes, Andres - 1942</t>
  </si>
  <si>
    <t>acorte58@ext.uber.com</t>
  </si>
  <si>
    <t>Lizarazo, Damar - 7879</t>
  </si>
  <si>
    <t>dlizar3@ext.uber.com</t>
  </si>
  <si>
    <t>Acevedo, Maria - 0526</t>
  </si>
  <si>
    <t>maceve15@ext.uber.com</t>
  </si>
  <si>
    <t>Novoa, Carlos - 8014</t>
  </si>
  <si>
    <t>cnovoa3@ext.uber.com</t>
  </si>
  <si>
    <t>GarciaLe, Juan - 3503</t>
  </si>
  <si>
    <t>jgarci265@ext.uber.com</t>
  </si>
  <si>
    <t>Ugarte, Maria - 6776</t>
  </si>
  <si>
    <t>mugart@ext.uber.com</t>
  </si>
  <si>
    <t>Iregui, Roger - 5585</t>
  </si>
  <si>
    <t>riregu@ext.uber.com</t>
  </si>
  <si>
    <t>Delgado, Sergio - 8458</t>
  </si>
  <si>
    <t>sdelga9@ext.uber.com</t>
  </si>
  <si>
    <t>Pena, Jose - 8701</t>
  </si>
  <si>
    <t>jpena32@ext.uber.com</t>
  </si>
  <si>
    <t>Pineda, Elkin - 9251</t>
  </si>
  <si>
    <t>epined7@ext.uber.com</t>
  </si>
  <si>
    <t>Celis, Kevin - 9052</t>
  </si>
  <si>
    <t>kcelis3@ext.uber.com</t>
  </si>
  <si>
    <t>Guerrero, Sindi - 0410</t>
  </si>
  <si>
    <t>syulia1@ext.uber.com</t>
  </si>
  <si>
    <t>Maldonado, Samuel - 4914</t>
  </si>
  <si>
    <t>smaldo4@ext.uber.com</t>
  </si>
  <si>
    <t>Palomino, Maria - 1615</t>
  </si>
  <si>
    <t>mpalom12@ext.uber.com</t>
  </si>
  <si>
    <t>Navarro, Samuel - 9695</t>
  </si>
  <si>
    <t>snavar10@ext.uber.com</t>
  </si>
  <si>
    <t>Duque, Daniel - 6462</t>
  </si>
  <si>
    <t>dduque6@ext.uber.com</t>
  </si>
  <si>
    <t>Berrio, Valentina - 1828</t>
  </si>
  <si>
    <t>vberri@ext.uber.com</t>
  </si>
  <si>
    <t>Pena, William - 8458</t>
  </si>
  <si>
    <t>wpeaa1@ext.uber.com</t>
  </si>
  <si>
    <t>Rozo, Claudia - 8802</t>
  </si>
  <si>
    <t>Ruiz, Angie</t>
  </si>
  <si>
    <t>crozo1@ext.uber.com</t>
  </si>
  <si>
    <t>Gonzalez, Alejandra - 3584</t>
  </si>
  <si>
    <t>agonza177@ext.uber.com</t>
  </si>
  <si>
    <t>Rodriguez, Sebastian - 0404</t>
  </si>
  <si>
    <t>srodri116@ext.uber.com</t>
  </si>
  <si>
    <t>Sutil, Cindy - 3595</t>
  </si>
  <si>
    <t>csutil@ext.uber.com</t>
  </si>
  <si>
    <t>Vanegas, Edna - 0408</t>
  </si>
  <si>
    <t>evaneg5@ext.uber.com</t>
  </si>
  <si>
    <t>RomeroA, Diana - 3602</t>
  </si>
  <si>
    <t>dromer34@ext.uber.com</t>
  </si>
  <si>
    <t>Mateus, Mauricio - 4413</t>
  </si>
  <si>
    <t>mmateu2@ext.uber.com</t>
  </si>
  <si>
    <t>Cabrera, Lizeth - 4426</t>
  </si>
  <si>
    <t>lcabre11@ext.uber.com</t>
  </si>
  <si>
    <t>Trujillo, Carlos - 4863</t>
  </si>
  <si>
    <t>ctruji4@ext.uber.com</t>
  </si>
  <si>
    <t>Vargas, Nancy - 8722</t>
  </si>
  <si>
    <t>Laverde, Diana</t>
  </si>
  <si>
    <t>Culma, Adriana</t>
  </si>
  <si>
    <t>nvarga13@ext.uber.com</t>
  </si>
  <si>
    <t>Espinel, Sergio - 5726</t>
  </si>
  <si>
    <t>sespin17@ext.uber.com</t>
  </si>
  <si>
    <t>Alzate, Julian - 1518</t>
  </si>
  <si>
    <t>-</t>
  </si>
  <si>
    <t>RuizT, Maria - 3034</t>
  </si>
  <si>
    <t>mruiz42@ext.uber.com</t>
  </si>
  <si>
    <t>Nino, Maria - 6838</t>
  </si>
  <si>
    <t>mniao1@ext.uber.com</t>
  </si>
  <si>
    <t>Quiroga, Daniela - 6256</t>
  </si>
  <si>
    <t>dquiro9@ext.uber.com</t>
  </si>
  <si>
    <t>Zamora, Carlos - 8057</t>
  </si>
  <si>
    <t>czamor6@ext.uber.com</t>
  </si>
  <si>
    <t>Cruz, Karen - 4435</t>
  </si>
  <si>
    <t>Montano, Luz - 8583</t>
  </si>
  <si>
    <t>lgreim@ext.uber.com</t>
  </si>
  <si>
    <t>Garcia, Laura - 2836</t>
  </si>
  <si>
    <t>lgarci110@ext.uber.com</t>
  </si>
  <si>
    <t>Valencia, Paola - 8586</t>
  </si>
  <si>
    <t>pvalen5@ext.uber.com</t>
  </si>
  <si>
    <t>Rojas, Ana - 8757</t>
  </si>
  <si>
    <t>arojas61@ext.uber.com</t>
  </si>
  <si>
    <t>Ruiz, Harvy - 9897</t>
  </si>
  <si>
    <t>hruiz10@ext.uber.com</t>
  </si>
  <si>
    <t>AmayaC, Juan - 0341</t>
  </si>
  <si>
    <t>jamaya13@ext.uber.com</t>
  </si>
  <si>
    <t>RodriguezC, Luis - 2828</t>
  </si>
  <si>
    <t>lrodra@ext.uber.com</t>
  </si>
  <si>
    <t>Rivera, Kevin - 3024</t>
  </si>
  <si>
    <t>kriver20@ext.uber.com</t>
  </si>
  <si>
    <t>Vega, Juan - 1732</t>
  </si>
  <si>
    <t>jvega18@ext.uber.com</t>
  </si>
  <si>
    <t>Rincon, Jasbleydi - 2901</t>
  </si>
  <si>
    <t>jrinca1@ext.uber.com</t>
  </si>
  <si>
    <t>Penaloza, Luis - 1736</t>
  </si>
  <si>
    <t>lpeaal@ext.uber.com</t>
  </si>
  <si>
    <t>Suesca, Yareth - 8720</t>
  </si>
  <si>
    <t>ysuesc@ext.uber.com</t>
  </si>
  <si>
    <t>Martinez, Juan - 1065</t>
  </si>
  <si>
    <t>jmarti254@ext.uber.com</t>
  </si>
  <si>
    <t>Rojas, Emanuel - 1731</t>
  </si>
  <si>
    <t>erojas20@ext.uber.com</t>
  </si>
  <si>
    <t>Suarez, Angie - 1070</t>
  </si>
  <si>
    <t>asuare32@ext.uber.com</t>
  </si>
  <si>
    <t>Vargas, Nestor - 2312</t>
  </si>
  <si>
    <t>nvarga14@ext.uber.com</t>
  </si>
  <si>
    <t>Guerrero, Juan - 2925</t>
  </si>
  <si>
    <t>jguerr66@ext.uber.com</t>
  </si>
  <si>
    <t>Arevalo, Andres - 8558</t>
  </si>
  <si>
    <t>aareva11@ext.uber.com</t>
  </si>
  <si>
    <t>Cifuentes, Dana - 7774</t>
  </si>
  <si>
    <t>dcifue6@ext.uber.com</t>
  </si>
  <si>
    <t>Ballen, Laura - 5393</t>
  </si>
  <si>
    <t>lballe3@ext.uber.com</t>
  </si>
  <si>
    <t>Villescas, Pablo - 5662</t>
  </si>
  <si>
    <t>pville2@ext.uber.com</t>
  </si>
  <si>
    <t>Quintana, Jonathan - 7781</t>
  </si>
  <si>
    <t>jquint51@ext.uber.com</t>
  </si>
  <si>
    <t>Miranda, Tatiana - 7794</t>
  </si>
  <si>
    <t>tmiran5@ext.uber.com</t>
  </si>
  <si>
    <t>Navarro, Alejandro - 7797</t>
  </si>
  <si>
    <t>anavar20@ext.uber.com</t>
  </si>
  <si>
    <t>CastroA, Miguel - 7801</t>
  </si>
  <si>
    <t>mcastr61@ext.uber.com</t>
  </si>
  <si>
    <t>Garnica, Erika - 9787</t>
  </si>
  <si>
    <t>ncaden@ext.uber.com</t>
  </si>
  <si>
    <t>Pico, Diego - 7804</t>
  </si>
  <si>
    <t>dpicop@ext.uber.com</t>
  </si>
  <si>
    <t>Rodriguez, Andres - 1340</t>
  </si>
  <si>
    <t>arodri220@ext.uber.com</t>
  </si>
  <si>
    <t>Rincon, Maria - 3344</t>
  </si>
  <si>
    <t>mrinco11@ext.uber.com</t>
  </si>
  <si>
    <t>Rodriguez, Lesley - 3304</t>
  </si>
  <si>
    <t>ldiaz50@ext.uber.com</t>
  </si>
  <si>
    <t>Ospino, Karol - 1348</t>
  </si>
  <si>
    <t>kospin2@ext.uber.com</t>
  </si>
  <si>
    <t>MoralesB, Diego - 7177</t>
  </si>
  <si>
    <t>dmoral48@ext.uber.com</t>
  </si>
  <si>
    <t>Urrea, Yeraldin - 9893</t>
  </si>
  <si>
    <t>yurrea@ext.uber.com</t>
  </si>
  <si>
    <t>Turmeque, Jonathan - 8593</t>
  </si>
  <si>
    <t>jturme@ext.uber.com</t>
  </si>
  <si>
    <t>Herrera, Sarai - 2071</t>
  </si>
  <si>
    <t>sherre15@ext.uber.com</t>
  </si>
  <si>
    <t>Giraldo, Jhonier - 4858</t>
  </si>
  <si>
    <t>jgiral33@ext.uber.com</t>
  </si>
  <si>
    <t>Arboleda, Mariana - 2081</t>
  </si>
  <si>
    <t>marbol5@ext.uber.com</t>
  </si>
  <si>
    <t>Turga, Stephany - 7116</t>
  </si>
  <si>
    <t>sturga700@ext.uber.com</t>
  </si>
  <si>
    <t>Torres, Hector - 2092</t>
  </si>
  <si>
    <t>htorre17@ext.uber.com</t>
  </si>
  <si>
    <t>Herrera, Juan - 7400</t>
  </si>
  <si>
    <t>jherre700@ext.uber.com</t>
  </si>
  <si>
    <t>Posada, Natalia - 2996</t>
  </si>
  <si>
    <t>nposad2@ext.uber.com</t>
  </si>
  <si>
    <t>Correa, Brehiner - 3432</t>
  </si>
  <si>
    <t>bcorre11@ext.uber.com</t>
  </si>
  <si>
    <t>Velasquez, Luisa - 0116</t>
  </si>
  <si>
    <t>lvelas25@ext.uber.com</t>
  </si>
  <si>
    <t>Santana, Jerry - 1148</t>
  </si>
  <si>
    <t>jsanta32@ext.uber.com</t>
  </si>
  <si>
    <t>Olivo, Angela - 3575</t>
  </si>
  <si>
    <t>aolivo1@ext.uber.com</t>
  </si>
  <si>
    <t>Becerra, Karen - 7364</t>
  </si>
  <si>
    <t>kbecer700@ext.uber.com</t>
  </si>
  <si>
    <t>Benavides, Jeider - 3577</t>
  </si>
  <si>
    <t>jbenav16@ext.uber.com</t>
  </si>
  <si>
    <t>Palmar, Yorman - 1992</t>
  </si>
  <si>
    <t>ypalma2@ext.uber.com</t>
  </si>
  <si>
    <t>Mahecha, Daniela - 0084</t>
  </si>
  <si>
    <t>dmahec3@ext.uber.com</t>
  </si>
  <si>
    <t>RinconG, Andres - 0085</t>
  </si>
  <si>
    <t>arinco6@ext.uber.com</t>
  </si>
  <si>
    <t>Rincon, Lucy - 3586</t>
  </si>
  <si>
    <t>lrinco13@ext.uber.com</t>
  </si>
  <si>
    <t>Fuentes, Laura - 0086</t>
  </si>
  <si>
    <t>lfuent13@ext.uber.com</t>
  </si>
  <si>
    <t>Cuervo, Laura - 3587</t>
  </si>
  <si>
    <t>lcuerv5@ext.uber.com</t>
  </si>
  <si>
    <t>Guerra, Kevin - 5059</t>
  </si>
  <si>
    <t>kguerr8@ext.uber.com</t>
  </si>
  <si>
    <t>Duran, Mattias - 6237</t>
  </si>
  <si>
    <t>mduran21@ext.uber.com</t>
  </si>
  <si>
    <t>Soche, Yeicob - 3592</t>
  </si>
  <si>
    <t>ysoche@ext.uber.com</t>
  </si>
  <si>
    <t>Otalvaro, Laura - 1150</t>
  </si>
  <si>
    <t>lotalv1@ext.uber.com</t>
  </si>
  <si>
    <t>Gonzalez, Richard - 3596</t>
  </si>
  <si>
    <t>rgonza90@ext.uber.com</t>
  </si>
  <si>
    <t>Rodriguez, Jair - 9719</t>
  </si>
  <si>
    <t>jrodri331@ext.uber.com</t>
  </si>
  <si>
    <t>Pardo, Lady - 3599</t>
  </si>
  <si>
    <t>lpardo5@ext.uber.com</t>
  </si>
  <si>
    <t>Mendoza, Yoneider - 3691</t>
  </si>
  <si>
    <t>yanton2@ext.uber.com</t>
  </si>
  <si>
    <t>Higuera, Juan - 7099</t>
  </si>
  <si>
    <t>jhigue700@ext.uber.com</t>
  </si>
  <si>
    <t>Calderon, Karold - 1073</t>
  </si>
  <si>
    <t>kcalde3@ext.uber.com</t>
  </si>
  <si>
    <t>Fierro, Benjamin - 4631</t>
  </si>
  <si>
    <t>bfierr@ext.uber.com</t>
  </si>
  <si>
    <t>US Phone Driver Eats CX Spa</t>
  </si>
  <si>
    <t>SierraN, Sara - 0226</t>
  </si>
  <si>
    <t>ssierr11@ext.uber.com</t>
  </si>
  <si>
    <t>Yepes, Diego - 8376</t>
  </si>
  <si>
    <t>dyepes6@ext.uber.com</t>
  </si>
  <si>
    <t>JimenezC, Maria - 0758</t>
  </si>
  <si>
    <t>mjimen63@ext.uber.com</t>
  </si>
  <si>
    <t>Castillo, Flor - 0572</t>
  </si>
  <si>
    <t>fcasti13@ext.uber.com</t>
  </si>
  <si>
    <t>Jimenez, Leidy - 2929</t>
  </si>
  <si>
    <t>ljimen39@ext.uber.com</t>
  </si>
  <si>
    <t>Palencia, Dairi - 1142</t>
  </si>
  <si>
    <t>dpalen1@ext.uber.com</t>
  </si>
  <si>
    <t>Pupo, Dayana - 2164</t>
  </si>
  <si>
    <t>dpupo@ext.uber.com</t>
  </si>
  <si>
    <t>Hurtado, Santiago - 2332</t>
  </si>
  <si>
    <t>shurta7@ext.uber.com</t>
  </si>
  <si>
    <t>Cubillos, Harold - 4446</t>
  </si>
  <si>
    <t>htorre18@ext.uber.com</t>
  </si>
  <si>
    <t>Sanchez, Karina - 4225</t>
  </si>
  <si>
    <t>ksanch37@ext.uber.com</t>
  </si>
  <si>
    <t>Quintero, Jose - 0517</t>
  </si>
  <si>
    <t>jquint64@ext.uber.com</t>
  </si>
  <si>
    <t>Salazar, Oriana - 6320</t>
  </si>
  <si>
    <t>osalaz5@ext.uber.com</t>
  </si>
  <si>
    <t>Gallego, Deiwit - 2869</t>
  </si>
  <si>
    <t>dgalle2@ext.uber.com</t>
  </si>
  <si>
    <t>Ayala, Yuly - 6398</t>
  </si>
  <si>
    <t>yayala3@ext.uber.com</t>
  </si>
  <si>
    <t>Pineda, Martha - 0043</t>
  </si>
  <si>
    <t>mpined25@ext.uber.com</t>
  </si>
  <si>
    <t>Rosas, Yudelys - 6602</t>
  </si>
  <si>
    <t>yrosas@ext.uber.com</t>
  </si>
  <si>
    <t>Pena, Michael - 2509</t>
  </si>
  <si>
    <t>mpena20@ext.uber.com</t>
  </si>
  <si>
    <t>MorenoR, Daniel - 6605</t>
  </si>
  <si>
    <t>dmoren38@ext.uber.com</t>
  </si>
  <si>
    <t>Poveda, Santiago - 5835</t>
  </si>
  <si>
    <t>spoved2@ext.uber.com</t>
  </si>
  <si>
    <t>Portal, Karol - 6785</t>
  </si>
  <si>
    <t>kporta@ext.uber.com</t>
  </si>
  <si>
    <t>Morales, Nikol - 2574</t>
  </si>
  <si>
    <t>nmoral10@ext.uber.com</t>
  </si>
  <si>
    <t>Gallego, Cristhian - 8014</t>
  </si>
  <si>
    <t>cgalle12@ext.uber.com</t>
  </si>
  <si>
    <t>Naranjo, Juan - 8267</t>
  </si>
  <si>
    <t>jnaran9@ext.uber.com</t>
  </si>
  <si>
    <t>Castellanos, Angelly - 9727</t>
  </si>
  <si>
    <t>acaste20@ext.uber.com</t>
  </si>
  <si>
    <t>Buitrago, Jairo - 9456</t>
  </si>
  <si>
    <t>jbuitr14@ext.uber.com</t>
  </si>
  <si>
    <t>Vargas, Johan - 7520</t>
  </si>
  <si>
    <t>jvarga92@ext.uber.com</t>
  </si>
  <si>
    <t>Gil, Bredith - 2952</t>
  </si>
  <si>
    <t>bgil2@ext.uber.com</t>
  </si>
  <si>
    <t>Jaramillo, Any - 6033</t>
  </si>
  <si>
    <t>ajaram20@ext.uber.com</t>
  </si>
  <si>
    <t>Gutierrez, Laura - 9468</t>
  </si>
  <si>
    <t>lgutie36@ext.uber.com</t>
  </si>
  <si>
    <t>LondonoV, Maria - 4190</t>
  </si>
  <si>
    <t>mlondo17@ext.uber.com</t>
  </si>
  <si>
    <t>Hernandez, Sebastian - 0678</t>
  </si>
  <si>
    <t>sherna75@ext.uber.com</t>
  </si>
  <si>
    <t>Chinchilla, Arianne - 1891</t>
  </si>
  <si>
    <t>achinc@ext.uber.com</t>
  </si>
  <si>
    <t>BarretoQ, Liset - 3776</t>
  </si>
  <si>
    <t>lbarre21@ext.uber.com</t>
  </si>
  <si>
    <t>Delgado, Helen - 7736</t>
  </si>
  <si>
    <t>hdelga2@ext.uber.com</t>
  </si>
  <si>
    <t>Suarez, Victor - 7089</t>
  </si>
  <si>
    <t>Arias, Sebastian</t>
  </si>
  <si>
    <t>vsuare5@ext.uber.com</t>
  </si>
  <si>
    <t>Hernandez, Yalex - 7183</t>
  </si>
  <si>
    <t>yherna27@ext.uber.com</t>
  </si>
  <si>
    <t>Torres, Brayan - 8483</t>
  </si>
  <si>
    <t>storre36@ext.uber.com</t>
  </si>
  <si>
    <t>Munoz, Eddie - 8640</t>
  </si>
  <si>
    <t>emuaoz1@ext.uber.com</t>
  </si>
  <si>
    <t>Bastidas, Isabela - 1084</t>
  </si>
  <si>
    <t>ibasti1@ext.uber.com</t>
  </si>
  <si>
    <t>Vivas, Cristian - 8752</t>
  </si>
  <si>
    <t>cvivas1@ext.uber.com</t>
  </si>
  <si>
    <t>Ramirez, DuvanS - 8844</t>
  </si>
  <si>
    <t>dramir81@ext.uber.com</t>
  </si>
  <si>
    <t>Plata, Juan - 3635</t>
  </si>
  <si>
    <t>jplata6@ext.uber.com</t>
  </si>
  <si>
    <t>Garzon, Yorley - 1928</t>
  </si>
  <si>
    <t>ygarzo2@ext.uber.com</t>
  </si>
  <si>
    <t>Upegui, Juliana - 1208</t>
  </si>
  <si>
    <t>jupegu1@ext.uber.com</t>
  </si>
  <si>
    <t>Rinaldi, Victorio - 3154</t>
  </si>
  <si>
    <t>vrinal@ext.uber.com</t>
  </si>
  <si>
    <t>Uribe, Carlos - 1495</t>
  </si>
  <si>
    <t>curibe8@ext.uber.com</t>
  </si>
  <si>
    <t>Bedoya, Aixa - 1562</t>
  </si>
  <si>
    <t>abedoy4@ext.uber.com</t>
  </si>
  <si>
    <t>Plata, Karen - 1566</t>
  </si>
  <si>
    <t>kplata3@ext.uber.com</t>
  </si>
  <si>
    <t>Hurtado, Barbara - 2689</t>
  </si>
  <si>
    <t>bsanch22@ext.uber.com</t>
  </si>
  <si>
    <t>Linares, Juan - 1573</t>
  </si>
  <si>
    <t>jlinar8@ext.uber.com</t>
  </si>
  <si>
    <t>Ardila, Diego - 4712</t>
  </si>
  <si>
    <t>dardil7@ext.uber.com</t>
  </si>
  <si>
    <t>Moya, Santiago - 2674</t>
  </si>
  <si>
    <t>smoya4@ext.uber.com</t>
  </si>
  <si>
    <t>Celis, Linda - 3628</t>
  </si>
  <si>
    <t>lcelis@ext.uber.com</t>
  </si>
  <si>
    <t>Gonzalez, Ednna - 3713</t>
  </si>
  <si>
    <t>egonza79@ext.uber.com</t>
  </si>
  <si>
    <t>Alcala, Luisa - 8120</t>
  </si>
  <si>
    <t>lalcal@ext.uber.com</t>
  </si>
  <si>
    <t>Panqueva, Juan - 7525</t>
  </si>
  <si>
    <t>jpanqu@ext.uber.com</t>
  </si>
  <si>
    <t>Bocachica, Kenlly - 2008</t>
  </si>
  <si>
    <t>kbocac@ext.uber.com</t>
  </si>
  <si>
    <t>Cruz, Juliana - 2874</t>
  </si>
  <si>
    <t>jcruz141@ext.uber.com</t>
  </si>
  <si>
    <t>Suarez, Johan - 3188</t>
  </si>
  <si>
    <t>jsuare41@ext.uber.com</t>
  </si>
  <si>
    <t>Lopez, Sofia - 7050</t>
  </si>
  <si>
    <t>slopez75@ext.uber.com</t>
  </si>
  <si>
    <t>Renoiv, Teddy - 3194</t>
  </si>
  <si>
    <t>trenoi1@ext.uber.com</t>
  </si>
  <si>
    <t>Arroyo, Angimar - 3246</t>
  </si>
  <si>
    <t>aarroy6@ext.uber.com</t>
  </si>
  <si>
    <t>Castro, Reinaldo - 3323</t>
  </si>
  <si>
    <t>rcastr23@ext.uber.com</t>
  </si>
  <si>
    <t>Aguilar, Juan - 1342</t>
  </si>
  <si>
    <t>jaguil53@ext.uber.com</t>
  </si>
  <si>
    <t>Londono, Ronald - 5488</t>
  </si>
  <si>
    <t>rlondo@ext.uber.com</t>
  </si>
  <si>
    <t>Pino, Alvaro - 3695</t>
  </si>
  <si>
    <t>apino1@ext.uber.com</t>
  </si>
  <si>
    <t>Largo, Luz - 4311</t>
  </si>
  <si>
    <t>llargo2@ext.uber.com</t>
  </si>
  <si>
    <t>Lobelo, Juan - 8024</t>
  </si>
  <si>
    <t>jlobel@ext.uber.com</t>
  </si>
  <si>
    <t>Gonzalez, Randy - 4382</t>
  </si>
  <si>
    <t>rvladi@ext.uber.com</t>
  </si>
  <si>
    <t>Restrepo, Juan - 9437</t>
  </si>
  <si>
    <t>jrestr23@ext.uber.com</t>
  </si>
  <si>
    <t>Beltran, Lisaida - 4396</t>
  </si>
  <si>
    <t>lbeltr19@ext.uber.com</t>
  </si>
  <si>
    <t>Perez, Jesus - 5498</t>
  </si>
  <si>
    <t>jperez150@ext.uber.com</t>
  </si>
  <si>
    <t>Palma, Juan - 4469</t>
  </si>
  <si>
    <t>jpalma11@ext.uber.com</t>
  </si>
  <si>
    <t>Quintero, Manuel - 7194</t>
  </si>
  <si>
    <t>mquint25@ext.uber.com</t>
  </si>
  <si>
    <t>Cera Gonzalez, Shantal - 4475</t>
  </si>
  <si>
    <t>scera@ext.uber.com</t>
  </si>
  <si>
    <t>Forero, Michael - 4112</t>
  </si>
  <si>
    <t>mforer12@ext.uber.com</t>
  </si>
  <si>
    <t>Antonio, Santiago - 4822</t>
  </si>
  <si>
    <t>santon7@ext.uber.com</t>
  </si>
  <si>
    <t>Quevedo, Jesus - 3308</t>
  </si>
  <si>
    <t>jqueve3@ext.uber.com</t>
  </si>
  <si>
    <t>Gutierrez, Angelith - 5231</t>
  </si>
  <si>
    <t>agutie67@ext.uber.com</t>
  </si>
  <si>
    <t>Gonzalez, Laura - 6098</t>
  </si>
  <si>
    <t>lgonza96@ext.uber.com</t>
  </si>
  <si>
    <t>Parra, Jennifer - 5277</t>
  </si>
  <si>
    <t>jparra32@ext.uber.com</t>
  </si>
  <si>
    <t>Ospina, Sergio - 2691</t>
  </si>
  <si>
    <t>sosori7@ext.uber.com</t>
  </si>
  <si>
    <t>VergaraT, Juan - 1145</t>
  </si>
  <si>
    <t>jverga22@ext.uber.com</t>
  </si>
  <si>
    <t>Cosme, Kevin - 5565</t>
  </si>
  <si>
    <t>kcosme@ext.uber.com</t>
  </si>
  <si>
    <t>Clavijo, Juan - 6151</t>
  </si>
  <si>
    <t>jclavi7@ext.uber.com</t>
  </si>
  <si>
    <t>Gonzalez, Karol - 5616</t>
  </si>
  <si>
    <t>kgonza48@ext.uber.com</t>
  </si>
  <si>
    <t>HerreraM, Juan - 5494</t>
  </si>
  <si>
    <t>jherre69@ext.uber.com</t>
  </si>
  <si>
    <t>Botache, Jose - 8106</t>
  </si>
  <si>
    <t>jbotac1@ext.uber.com</t>
  </si>
  <si>
    <t>Obando, Jhon - 7288</t>
  </si>
  <si>
    <t>joband6@ext.uber.com</t>
  </si>
  <si>
    <t>Diaz, Anderson - 3209</t>
  </si>
  <si>
    <t>adiaz75@ext.uber.com</t>
  </si>
  <si>
    <t>Cobos, Ivonne - 7299</t>
  </si>
  <si>
    <t>Herrera, Danilo</t>
  </si>
  <si>
    <t>icobos@ext.uber.com</t>
  </si>
  <si>
    <t>Leal, Johan - 2369</t>
  </si>
  <si>
    <t>jleal14@ext.uber.com</t>
  </si>
  <si>
    <t>Gonzalez, Lenis - 7502</t>
  </si>
  <si>
    <t>lgonza93@ext.uber.com</t>
  </si>
  <si>
    <t>Guevara, Paula - 6035</t>
  </si>
  <si>
    <t>pgueva5@ext.uber.com</t>
  </si>
  <si>
    <t>Morales, Federico - 7811</t>
  </si>
  <si>
    <t>fmoral15@ext.uber.com</t>
  </si>
  <si>
    <t>Lozano, Dinna - 6421</t>
  </si>
  <si>
    <t>dlozan8@ext.uber.com</t>
  </si>
  <si>
    <t>Velasco, Cesar - 8034</t>
  </si>
  <si>
    <t>civan3@ext.uber.com</t>
  </si>
  <si>
    <t>Cardenas, Mayra - 9630</t>
  </si>
  <si>
    <t>mcarde23@ext.uber.com</t>
  </si>
  <si>
    <t>Gutierrez, Luz - 8766</t>
  </si>
  <si>
    <t>lgutie40@ext.uber.com</t>
  </si>
  <si>
    <t>GuerreroG, Paula - 4115</t>
  </si>
  <si>
    <t>pguerr13@ext.uber.com</t>
  </si>
  <si>
    <t>Gomez, Paula - 8173</t>
  </si>
  <si>
    <t>pgomez16@ext.uber.com</t>
  </si>
  <si>
    <t>Botache, Gina - 0537</t>
  </si>
  <si>
    <t>gbotac@ext.uber.com</t>
  </si>
  <si>
    <t>Rozo, Katherin - 8125</t>
  </si>
  <si>
    <t>krozo1@ext.uber.com</t>
  </si>
  <si>
    <t>Quiroga, Marleydy - 9932</t>
  </si>
  <si>
    <t>mquiro12@ext.uber.com</t>
  </si>
  <si>
    <t>Hernandez, Laura - 7226</t>
  </si>
  <si>
    <t>lherna109@ext.uber.com</t>
  </si>
  <si>
    <t>Gaitan, Jhonatan - 0257</t>
  </si>
  <si>
    <t>jgaita2@ext.uber.com</t>
  </si>
  <si>
    <t>Vaquiro, Sirley - 7462</t>
  </si>
  <si>
    <t>svaqui@ext.uber.com</t>
  </si>
  <si>
    <t>Vivas, Paula - 0517</t>
  </si>
  <si>
    <t>pvivas3@ext.uber.com</t>
  </si>
  <si>
    <t>Ballesteros, Romny - 8188</t>
  </si>
  <si>
    <t>rballe8@ext.uber.com</t>
  </si>
  <si>
    <t>Naranjo, Mateo - 0518</t>
  </si>
  <si>
    <t>mnaran8@ext.uber.com</t>
  </si>
  <si>
    <t>Ciendua, Jessica - 8204</t>
  </si>
  <si>
    <t>jciend@ext.uber.com</t>
  </si>
  <si>
    <t>Perez, Andres - 0519</t>
  </si>
  <si>
    <t>aperez114@ext.uber.com</t>
  </si>
  <si>
    <t>Portillo, Diana - 7347</t>
  </si>
  <si>
    <t>dporti2@ext.uber.com</t>
  </si>
  <si>
    <t>Arbelaez, Annie - 2263</t>
  </si>
  <si>
    <t>aarbel@ext.uber.com</t>
  </si>
  <si>
    <t>Grajales, David - 1412</t>
  </si>
  <si>
    <t>dgraja2@ext.uber.com</t>
  </si>
  <si>
    <t>Gomez, Roberth - 1458</t>
  </si>
  <si>
    <t>rgomez29@ext.uber.com</t>
  </si>
  <si>
    <t>ArevaloZ, Laura - 0456</t>
  </si>
  <si>
    <t>lareva7@ext.uber.com</t>
  </si>
  <si>
    <t>Alvaran, Carlos - 0459</t>
  </si>
  <si>
    <t>cdavid9@ext.uber.com</t>
  </si>
  <si>
    <t>Vega, Soley - 0516</t>
  </si>
  <si>
    <t>svega7@ext.uber.com</t>
  </si>
  <si>
    <t>Molina, Santiago - 2370</t>
  </si>
  <si>
    <t>smolin13@ext.uber.com</t>
  </si>
  <si>
    <t>Duque, Maria - 4295</t>
  </si>
  <si>
    <t>mduque11@ext.uber.com</t>
  </si>
  <si>
    <t>Arango, Juan - 2372</t>
  </si>
  <si>
    <t>jarang20@ext.uber.com</t>
  </si>
  <si>
    <t>AcostaS, Juan - 2373</t>
  </si>
  <si>
    <t>jacost29@ext.uber.com</t>
  </si>
  <si>
    <t>Bello, Fenix - 2964</t>
  </si>
  <si>
    <t>fbello2@ext.uber.com</t>
  </si>
  <si>
    <t>Velandia, Jasbleidy - 3065</t>
  </si>
  <si>
    <t>jvelan7@ext.uber.com</t>
  </si>
  <si>
    <t>Perico, Andres - 4448</t>
  </si>
  <si>
    <t>aperic1@ext.uber.com</t>
  </si>
  <si>
    <t>HernandezM, Juan - 9045</t>
  </si>
  <si>
    <t>jherna244@ext.uber.com</t>
  </si>
  <si>
    <t>Gamba, Brandon - 6824</t>
  </si>
  <si>
    <t>bgamba1@ext.uber.com</t>
  </si>
  <si>
    <t>Suarez, Fredy - 0407</t>
  </si>
  <si>
    <t>fsuare5@ext.uber.com</t>
  </si>
  <si>
    <t>Martinez, Jesus - 0414</t>
  </si>
  <si>
    <t>jmarti280@ext.uber.com</t>
  </si>
  <si>
    <t>Montoya, Jorge - 2474</t>
  </si>
  <si>
    <t>jmonto30@ext.uber.com</t>
  </si>
  <si>
    <t>Morcote, Jhon - 9046</t>
  </si>
  <si>
    <t>jmorco@ext.uber.com</t>
  </si>
  <si>
    <t>Chirino, Leonelis - 1920</t>
  </si>
  <si>
    <t>lchiri@ext.uber.com</t>
  </si>
  <si>
    <t>Cabrera, Hugo - 6819</t>
  </si>
  <si>
    <t>hcabre1@ext.uber.com</t>
  </si>
  <si>
    <t>Ibanez, Cristhian - 1977</t>
  </si>
  <si>
    <t>cibane4@ext.uber.com</t>
  </si>
  <si>
    <t>Sepulveda, Julian - 5378</t>
  </si>
  <si>
    <t>jsepul5@ext.uber.com</t>
  </si>
  <si>
    <t>Sanchez, Natalia - 3626</t>
  </si>
  <si>
    <t>nsanch37@ext.uber.com</t>
  </si>
  <si>
    <t>BernalP, Juan - 3406</t>
  </si>
  <si>
    <t>jberna77@ext.uber.com</t>
  </si>
  <si>
    <t>AmayaC, Andres - 3628</t>
  </si>
  <si>
    <t>aamaya10@ext.uber.com</t>
  </si>
  <si>
    <t>Medina, Mayra - 3953</t>
  </si>
  <si>
    <t>mmedin34@ext.uber.com</t>
  </si>
  <si>
    <t>Morales, Ernesto - 5849</t>
  </si>
  <si>
    <t>emoral31@ext.uber.com</t>
  </si>
  <si>
    <t>Charlot, Greisse - 9039</t>
  </si>
  <si>
    <t>Olave, Diana</t>
  </si>
  <si>
    <t>gcharl3@ext.uber.com</t>
  </si>
  <si>
    <t>RodriguezM, Yesica - 5882</t>
  </si>
  <si>
    <t>yrodri34@ext.uber.com</t>
  </si>
  <si>
    <t>Garcia, Neider - 7304</t>
  </si>
  <si>
    <t>ngarci46@ext.uber.com</t>
  </si>
  <si>
    <t>Ramirez, Julian - 5916</t>
  </si>
  <si>
    <t>jramir146@ext.uber.com</t>
  </si>
  <si>
    <t>Pineros, Daniel - 7301</t>
  </si>
  <si>
    <t>dpiaer@ext.uber.com</t>
  </si>
  <si>
    <t>Corredor, Ronald - 7488</t>
  </si>
  <si>
    <t>rcorre9@ext.uber.com</t>
  </si>
  <si>
    <t>Camargo, Holber - 9048</t>
  </si>
  <si>
    <t>hcamar2@ext.uber.com</t>
  </si>
  <si>
    <t>Penagos, Juan - 7864</t>
  </si>
  <si>
    <t>jpenag5@ext.uber.com</t>
  </si>
  <si>
    <t>Aponte, John - 8639</t>
  </si>
  <si>
    <t>japont5@ext.uber.com</t>
  </si>
  <si>
    <t>Villamil, Juan - 3052</t>
  </si>
  <si>
    <t>jvilla202@ext.uber.com</t>
  </si>
  <si>
    <t>Castro, Maria - 7100</t>
  </si>
  <si>
    <t>mcastr63@ext.uber.com</t>
  </si>
  <si>
    <t>Cabrera, Wilson - 7004</t>
  </si>
  <si>
    <t>wcabre1@ext.uber.com</t>
  </si>
  <si>
    <t>Pinzon, Alex - 0422</t>
  </si>
  <si>
    <t>apinzo15@ext.uber.com</t>
  </si>
  <si>
    <t>Cifuentes, Julian - 6204</t>
  </si>
  <si>
    <t>jcifue15@ext.uber.com</t>
  </si>
  <si>
    <t>Buritica, Julieth - 5501</t>
  </si>
  <si>
    <t>jburit4@ext.uber.com</t>
  </si>
  <si>
    <t>Pina, Fabio - 5627</t>
  </si>
  <si>
    <t>Reyes, Nicolas</t>
  </si>
  <si>
    <t>Diaz, Jimmy</t>
  </si>
  <si>
    <t>Hernandez, Andres</t>
  </si>
  <si>
    <t>fpina3@ext.uber.com</t>
  </si>
  <si>
    <t>Arevalo, Laura - 6153</t>
  </si>
  <si>
    <t>lareva8@ext.uber.com</t>
  </si>
  <si>
    <t>Henao, Nicoll - 6177</t>
  </si>
  <si>
    <t>nhenao@ext.uber.com</t>
  </si>
  <si>
    <t>Moran, Haxen - 6209</t>
  </si>
  <si>
    <t>hmoran4@ext.uber.com</t>
  </si>
  <si>
    <t>Robles, Lizeth - 3865</t>
  </si>
  <si>
    <t>lroble9@ext.uber.com</t>
  </si>
  <si>
    <t>Benavides, Yilmer - 3758</t>
  </si>
  <si>
    <t>ybenav6@ext.uber.com</t>
  </si>
  <si>
    <t>Guerrero, Angye - 3886</t>
  </si>
  <si>
    <t>aguerr30@ext.uber.com</t>
  </si>
  <si>
    <t>Perez, Idalia - 3631</t>
  </si>
  <si>
    <t>iperez14@ext.uber.com</t>
  </si>
  <si>
    <t>Latam U4B Phone Sales Churn</t>
  </si>
  <si>
    <t>Acosta, Luis - 4708</t>
  </si>
  <si>
    <t>lacost15@ext.uber.com</t>
  </si>
  <si>
    <t>Amaris, Isabella - 6047</t>
  </si>
  <si>
    <t>iamari@ext.uber.com</t>
  </si>
  <si>
    <t>Moreno, Lisedt - 4856</t>
  </si>
  <si>
    <t>lmoren57@ext.uber.com</t>
  </si>
  <si>
    <t>Guerrero, Laura - 8572</t>
  </si>
  <si>
    <t>lguerr21@ext.uber.com</t>
  </si>
  <si>
    <t>Bermudez, Pamela - 4880</t>
  </si>
  <si>
    <t>pbermu3@ext.uber.com</t>
  </si>
  <si>
    <t>Rodriguez, Efrain - 9788</t>
  </si>
  <si>
    <t>erodri93@ext.uber.com</t>
  </si>
  <si>
    <t>Ramirez, Luis - 4892</t>
  </si>
  <si>
    <t>lramir34@ext.uber.com</t>
  </si>
  <si>
    <t>Anacona, Paola - 6166</t>
  </si>
  <si>
    <t>panaco@ext.uber.com</t>
  </si>
  <si>
    <t>Gordillo, Daniela - 6051</t>
  </si>
  <si>
    <t>dangar3@ext.uber.com</t>
  </si>
  <si>
    <t>Joya, Diana - 6063</t>
  </si>
  <si>
    <t>djoya1@ext.uber.com</t>
  </si>
  <si>
    <t>Lozano, Deivi - 4103</t>
  </si>
  <si>
    <t>dlozan7@ext.uber.com</t>
  </si>
  <si>
    <t>Galindo, Cristian - 7223</t>
  </si>
  <si>
    <t>cgalin7@ext.uber.com</t>
  </si>
  <si>
    <t>Acosta, Andres - 7224</t>
  </si>
  <si>
    <t>aacost21@ext.uber.com</t>
  </si>
  <si>
    <t>Torres, Jairo - 7228</t>
  </si>
  <si>
    <t>jtorre124@ext.uber.com</t>
  </si>
  <si>
    <t>Pacheco, Jean - 8542</t>
  </si>
  <si>
    <t>jpache16@ext.uber.com</t>
  </si>
  <si>
    <t>Matheus, Lewys - 5273</t>
  </si>
  <si>
    <t>lmathe2@ext.uber.com</t>
  </si>
  <si>
    <t>Rojas, Mario - 8569</t>
  </si>
  <si>
    <t>mrojas60@ext.uber.com</t>
  </si>
  <si>
    <t>GomezA, Ingrid - 8578</t>
  </si>
  <si>
    <t>igomez17@ext.uber.com</t>
  </si>
  <si>
    <t>Garibello, Nicolas - 9877</t>
  </si>
  <si>
    <t>ngarib1@ext.uber.com</t>
  </si>
  <si>
    <t>Mendez, Carlos - 2755</t>
  </si>
  <si>
    <t>cmende24@ext.uber.com</t>
  </si>
  <si>
    <t>Pimienta, Ileana - 8592</t>
  </si>
  <si>
    <t>ipimie@ext.uber.com</t>
  </si>
  <si>
    <t>Bejarano, Jersson - 5278</t>
  </si>
  <si>
    <t>jbejar8@ext.uber.com</t>
  </si>
  <si>
    <t>Ariza, Jonatan - 8594</t>
  </si>
  <si>
    <t>jariza11@ext.uber.com</t>
  </si>
  <si>
    <t>Caceres, Samy - 8018</t>
  </si>
  <si>
    <t>scacer2@ext.uber.com</t>
  </si>
  <si>
    <t>RinconP, Andres - 9618</t>
  </si>
  <si>
    <t>arinco7@ext.uber.com</t>
  </si>
  <si>
    <t>Avendano, Angie - 6277</t>
  </si>
  <si>
    <t>aavend8@ext.uber.com</t>
  </si>
  <si>
    <t>Gonzalez, Enmanuel - 2046</t>
  </si>
  <si>
    <t>egonza85@ext.uber.com</t>
  </si>
  <si>
    <t>Gonzalez, Yetcklin - 5419</t>
  </si>
  <si>
    <t>ygonza24@ext.uber.com</t>
  </si>
  <si>
    <t>RojasZ, David - 6273</t>
  </si>
  <si>
    <t>drojas36@ext.uber.com</t>
  </si>
  <si>
    <t>Cruz, Leidy - 1670</t>
  </si>
  <si>
    <t>lcruz49@ext.uber.com</t>
  </si>
  <si>
    <t>Munoz, Rubin - 9976</t>
  </si>
  <si>
    <t>rmunoz8@ext.uber.com</t>
  </si>
  <si>
    <t>Yara, Maria - 9982</t>
  </si>
  <si>
    <t>myara@ext.uber.com</t>
  </si>
  <si>
    <t>Candil, Dayanna - 0074</t>
  </si>
  <si>
    <t>dcandi1@ext.uber.com</t>
  </si>
  <si>
    <t>Garcia, Dylan - 2754</t>
  </si>
  <si>
    <t>dgarci99@ext.uber.com</t>
  </si>
  <si>
    <t>Martinez, Dilia - 4761</t>
  </si>
  <si>
    <t>dmarti118@ext.uber.com</t>
  </si>
  <si>
    <t>Rodriguez, Edwar - 0823</t>
  </si>
  <si>
    <t>erorig@ext.uber.com</t>
  </si>
  <si>
    <t>Carrillo, Leonardo - 9432</t>
  </si>
  <si>
    <t>jcarri16@ext.uber.com</t>
  </si>
  <si>
    <t>Ricaurte, Lizeth - 0538</t>
  </si>
  <si>
    <t>lricau@ext.uber.com</t>
  </si>
  <si>
    <t>Rocha, Daniela - 4254</t>
  </si>
  <si>
    <t>drocha22@ext.uber.com</t>
  </si>
  <si>
    <t>Tique, Julian - 9359</t>
  </si>
  <si>
    <t>jtique1@ext.uber.com</t>
  </si>
  <si>
    <t>Rondon, Jeyson - 0584</t>
  </si>
  <si>
    <t>jrondo5@ext.uber.com</t>
  </si>
  <si>
    <t>Manco, Kelly - 4634</t>
  </si>
  <si>
    <t>kmanco@ext.uber.com</t>
  </si>
  <si>
    <t>Garzon, Alejandro - 6552</t>
  </si>
  <si>
    <t>agarzo22@ext.uber.com</t>
  </si>
  <si>
    <t>Correa, Kira - 8481</t>
  </si>
  <si>
    <t>kborre@ext.uber.com</t>
  </si>
  <si>
    <t>Fandino, Jose - 8860</t>
  </si>
  <si>
    <t>jfandi1@ext.uber.com</t>
  </si>
  <si>
    <t>Fuentes, Emerson - 1085</t>
  </si>
  <si>
    <t>efuent11@ext.uber.com</t>
  </si>
  <si>
    <t>Quiroz, Martha - 4625</t>
  </si>
  <si>
    <t>mduque8@ext.uber.com</t>
  </si>
  <si>
    <t>Giraldo, Laura - 2962</t>
  </si>
  <si>
    <t>lgiral12@ext.uber.com</t>
  </si>
  <si>
    <t>Restrepo, Lipsayt - 3782</t>
  </si>
  <si>
    <t>lrestr11@ext.uber.com</t>
  </si>
  <si>
    <t>Usuga, Isadora - 4627</t>
  </si>
  <si>
    <t>iusuga@ext.uber.com</t>
  </si>
  <si>
    <t>Oviedo, Linda - 4628</t>
  </si>
  <si>
    <t>lovied1@ext.uber.com</t>
  </si>
  <si>
    <t>Castro, Sebastian - 8476</t>
  </si>
  <si>
    <t>scastr30@ext.uber.com</t>
  </si>
  <si>
    <t>Cordoba, Tannia - 8845</t>
  </si>
  <si>
    <t>tcordo@ext.uber.com</t>
  </si>
  <si>
    <t>Leon, Cledimar - 9554</t>
  </si>
  <si>
    <t>cleon12@ext.uber.com</t>
  </si>
  <si>
    <t>Suarez, Gisseld - 1399</t>
  </si>
  <si>
    <t>gsuare3@ext.uber.com</t>
  </si>
  <si>
    <t>Schreiber, Lilany - 2872</t>
  </si>
  <si>
    <t>lschre@ext.uber.com</t>
  </si>
  <si>
    <t>MorenoO, Sergio - 1400</t>
  </si>
  <si>
    <t>smoren31@ext.uber.com</t>
  </si>
  <si>
    <t>Lara, Allison - 9803</t>
  </si>
  <si>
    <t>acaice5@ext.uber.com</t>
  </si>
  <si>
    <t>Leon, Jennyfer - 3708</t>
  </si>
  <si>
    <t>jleon29@ext.uber.com</t>
  </si>
  <si>
    <t>Diaz, Isabella - 9763</t>
  </si>
  <si>
    <t>idiaz9@ext.uber.com</t>
  </si>
  <si>
    <t>Encinales, Juan - 5728</t>
  </si>
  <si>
    <t>jencin1@ext.uber.com</t>
  </si>
  <si>
    <t>Moreno, Dylan - 8165</t>
  </si>
  <si>
    <t>dmoren39@ext.uber.com</t>
  </si>
  <si>
    <t>Castillo, Mariorge - 9613</t>
  </si>
  <si>
    <t>mcasti60@ext.uber.com</t>
  </si>
  <si>
    <t>Barreto, Isis - 0655</t>
  </si>
  <si>
    <t>ibarre7@ext.uber.com</t>
  </si>
  <si>
    <t>Bermudez, Eider - 9615</t>
  </si>
  <si>
    <t>ebermu2@ext.uber.com</t>
  </si>
  <si>
    <t>Mosquera, Martin - 4819</t>
  </si>
  <si>
    <t>mmosqu500@ext.uber.com</t>
  </si>
  <si>
    <t>Borja, Jose - 0706</t>
  </si>
  <si>
    <t>jborja9@ext.uber.com</t>
  </si>
  <si>
    <t>Arismendi, Thania - 0707</t>
  </si>
  <si>
    <t>tarism@ext.uber.com</t>
  </si>
  <si>
    <t>Pena, Jesus - 9031</t>
  </si>
  <si>
    <t>jpena31@ext.uber.com</t>
  </si>
  <si>
    <t>Sandoval, Kevin - 1515</t>
  </si>
  <si>
    <t>ksando4@ext.uber.com</t>
  </si>
  <si>
    <t>Gonzalez, Julihed - 1528</t>
  </si>
  <si>
    <t>jgonza208@ext.uber.com</t>
  </si>
  <si>
    <t>Pedroza, Miguel - 1714</t>
  </si>
  <si>
    <t>mpedro8@ext.uber.com</t>
  </si>
  <si>
    <t>Tellez, Julio - 2480</t>
  </si>
  <si>
    <t>jtelle17@ext.uber.com</t>
  </si>
  <si>
    <t>Labarca, Jose - 2753</t>
  </si>
  <si>
    <t>jlabar2@ext.uber.com</t>
  </si>
  <si>
    <t>Castaneda, Lizeth - 1553</t>
  </si>
  <si>
    <t>lcasta22@ext.uber.com</t>
  </si>
  <si>
    <t>Castaneda, Brayan - 1693</t>
  </si>
  <si>
    <t>bcasta6@ext.uber.com</t>
  </si>
  <si>
    <t>Garcia, Esteban - 7552</t>
  </si>
  <si>
    <t>egarci109@ext.uber.com</t>
  </si>
  <si>
    <t>Rios, Juliana - 3681</t>
  </si>
  <si>
    <t>jrios26@ext.uber.com</t>
  </si>
  <si>
    <t>Rangel, Brayan - 1683</t>
  </si>
  <si>
    <t>brange2@ext.uber.com</t>
  </si>
  <si>
    <t>HernandezF, Juan - 3682</t>
  </si>
  <si>
    <t>jherna243@ext.uber.com</t>
  </si>
  <si>
    <t>Pabon, Miguel - 3963</t>
  </si>
  <si>
    <t>mpabon3@ext.uber.com</t>
  </si>
  <si>
    <t>Estrada, Diego - 1548</t>
  </si>
  <si>
    <t>destra8@ext.uber.com</t>
  </si>
  <si>
    <t>Galeano, Kevin - 4162</t>
  </si>
  <si>
    <t>kgalea2@ext.uber.com</t>
  </si>
  <si>
    <t>Sierra, Alvaro - 6642</t>
  </si>
  <si>
    <t>asierr13@ext.uber.com</t>
  </si>
  <si>
    <t>Gordillo, Jorge - 9044</t>
  </si>
  <si>
    <t>jgordi3@ext.uber.com</t>
  </si>
  <si>
    <t>Beltran, Andres - 6939</t>
  </si>
  <si>
    <t>abeltr19@ext.uber.com</t>
  </si>
  <si>
    <t>Villarraga, Nicol - 9046</t>
  </si>
  <si>
    <t>nvilla30@ext.uber.com</t>
  </si>
  <si>
    <t>Correa, Marcela - 7943</t>
  </si>
  <si>
    <t>mcorre36@ext.uber.com</t>
  </si>
  <si>
    <t>Ochoa, Jorge - 9048</t>
  </si>
  <si>
    <t>jochoa23@ext.uber.com</t>
  </si>
  <si>
    <t>Camacho, Laura - 9051</t>
  </si>
  <si>
    <t>lcamac11@ext.uber.com</t>
  </si>
  <si>
    <t>Buitrago, Lizeth - 9058</t>
  </si>
  <si>
    <t>lbuitr11@ext.uber.com</t>
  </si>
  <si>
    <t>Martinez, Luisa - 9059</t>
  </si>
  <si>
    <t>lmarti100@ext.uber.com</t>
  </si>
  <si>
    <t>Quiroga, Brayan - 9414</t>
  </si>
  <si>
    <t>bquiro2@ext.uber.com</t>
  </si>
  <si>
    <t>Alvarez, David - 6389</t>
  </si>
  <si>
    <t>dalvar48@ext.uber.com</t>
  </si>
  <si>
    <t>Salamanca, Claudia - 9426</t>
  </si>
  <si>
    <t>csalam4@ext.uber.com</t>
  </si>
  <si>
    <t>HerreraO, Juan - 2874</t>
  </si>
  <si>
    <t>jherre62@ext.uber.com</t>
  </si>
  <si>
    <t>Lucero, Valeria - 9430</t>
  </si>
  <si>
    <t>vsarmi2@ext.uber.com</t>
  </si>
  <si>
    <t>Deantonio, Marilyn - 6391</t>
  </si>
  <si>
    <t>mdeant@ext.uber.com</t>
  </si>
  <si>
    <t>Palacios, Eylin - 0458</t>
  </si>
  <si>
    <t>epalac14@ext.uber.com</t>
  </si>
  <si>
    <t>Yepes, Paula - 7179</t>
  </si>
  <si>
    <t>pyepes@ext.uber.com</t>
  </si>
  <si>
    <t>Gallon, Paola - 1913</t>
  </si>
  <si>
    <t>pgallo@ext.uber.com</t>
  </si>
  <si>
    <t>OrtizP, Laura - 5457</t>
  </si>
  <si>
    <t>lortiz34@ext.uber.com</t>
  </si>
  <si>
    <t>Galvis, Marlyn - 5496</t>
  </si>
  <si>
    <t>mgalvi4@ext.uber.com</t>
  </si>
  <si>
    <t>Espinosa, Jeiner - 5956</t>
  </si>
  <si>
    <t>jespin51@ext.uber.com</t>
  </si>
  <si>
    <t>Ussa, Juan - 4421</t>
  </si>
  <si>
    <t>jussa@ext.uber.com</t>
  </si>
  <si>
    <t>Gil, Samuel - 2007</t>
  </si>
  <si>
    <t>sgil5@ext.uber.com</t>
  </si>
  <si>
    <t>Martinez, Haydee - 5939</t>
  </si>
  <si>
    <t>hmarti35@ext.uber.com</t>
  </si>
  <si>
    <t>Gonzalez, Kevin - 2860</t>
  </si>
  <si>
    <t>kgonza53@ext.uber.com</t>
  </si>
  <si>
    <t>Sanchez, Dayana - 2745</t>
  </si>
  <si>
    <t>dsanch80@ext.uber.com</t>
  </si>
  <si>
    <t>Franco, Samuel - 5519</t>
  </si>
  <si>
    <t>sfranc20@ext.uber.com</t>
  </si>
  <si>
    <t>Vela, Manuel - 5228</t>
  </si>
  <si>
    <t>mvela2@ext.uber.com</t>
  </si>
  <si>
    <t>Castellanos, Angie - 6029</t>
  </si>
  <si>
    <t>acaste22@ext.uber.com</t>
  </si>
  <si>
    <t>Aponte, Valentina - 3567</t>
  </si>
  <si>
    <t>vapont1@ext.uber.com</t>
  </si>
  <si>
    <t>Cadena, Santiago - 4857</t>
  </si>
  <si>
    <t>scaden4@ext.uber.com</t>
  </si>
  <si>
    <t>Celis, Wilson - 5468</t>
  </si>
  <si>
    <t>wcelis@ext.uber.com</t>
  </si>
  <si>
    <t>Tacha, Santiago - 5229</t>
  </si>
  <si>
    <t>stacha@ext.uber.com</t>
  </si>
  <si>
    <t>CastilloD, Angie - 5952</t>
  </si>
  <si>
    <t>acasti70@ext.uber.com</t>
  </si>
  <si>
    <t>Moyano, Mario - 5338</t>
  </si>
  <si>
    <t>mmoyan@ext.uber.com</t>
  </si>
  <si>
    <t>Martinez, Angel - 6286</t>
  </si>
  <si>
    <t>amarti202@ext.uber.com</t>
  </si>
  <si>
    <t>Gaona, Akbal - 5226</t>
  </si>
  <si>
    <t>agaona@ext.uber.com</t>
  </si>
  <si>
    <t>Pena, Omar - 5425</t>
  </si>
  <si>
    <t>opena3@ext.uber.com</t>
  </si>
  <si>
    <t>Quintero, Tomas - 5495</t>
  </si>
  <si>
    <t>tquint4@ext.uber.com</t>
  </si>
  <si>
    <t>Posso, Stefania - 6416</t>
  </si>
  <si>
    <t>sposso@ext.uber.com</t>
  </si>
  <si>
    <t>Vidal, Ana - 2407</t>
  </si>
  <si>
    <t>avidal7@ext.uber.com</t>
  </si>
  <si>
    <t>Escobar, Karoll - 9757</t>
  </si>
  <si>
    <t>kescob4@ext.uber.com</t>
  </si>
  <si>
    <t>Pinto, Juan - 3324</t>
  </si>
  <si>
    <t>jpinto17@ext.uber.com</t>
  </si>
  <si>
    <t>Cardenas, Marbel - 6154</t>
  </si>
  <si>
    <t>mcarde26@ext.uber.com</t>
  </si>
  <si>
    <t>Jaramillo, Erika - 3621</t>
  </si>
  <si>
    <t>ejaram3@ext.uber.com</t>
  </si>
  <si>
    <t>Pulgar, Omar - 3876</t>
  </si>
  <si>
    <t>opulga@ext.uber.com</t>
  </si>
  <si>
    <t>Hoyos, Osman - 9068</t>
  </si>
  <si>
    <t>ohoyos@ext.uber.com</t>
  </si>
  <si>
    <t>Guevara, Jesus - 6009</t>
  </si>
  <si>
    <t>jgueva23@ext.uber.com</t>
  </si>
  <si>
    <t>Cogollo, Katerine - 9102</t>
  </si>
  <si>
    <t>kcogol1@ext.uber.com</t>
  </si>
  <si>
    <t>Ordonez, Fabricio - 3525</t>
  </si>
  <si>
    <t>fordon700@ext.uber.com</t>
  </si>
  <si>
    <t>Carvajal, Ivan - 6157</t>
  </si>
  <si>
    <t>icarva6@ext.uber.com</t>
  </si>
  <si>
    <t>Caicedo, Leidy - 3785</t>
  </si>
  <si>
    <t>lcaice6@ext.uber.com</t>
  </si>
  <si>
    <t>Solorzano, Thomas - 7103</t>
  </si>
  <si>
    <t>tsolor@ext.uber.com</t>
  </si>
  <si>
    <t>Bustos, Edison - 7104</t>
  </si>
  <si>
    <t>ebusto4@ext.uber.com</t>
  </si>
  <si>
    <t>MejiaM, Jaime - 6155</t>
  </si>
  <si>
    <t>jmejia52@ext.uber.com</t>
  </si>
  <si>
    <t>Quiroga, Leandro - 7108</t>
  </si>
  <si>
    <t>lquiro4@ext.uber.com</t>
  </si>
  <si>
    <t>PenagosM, Vanessa - 8828</t>
  </si>
  <si>
    <t>vpenag2@ext.uber.com</t>
  </si>
  <si>
    <t>Herrera, Jhair - 3447</t>
  </si>
  <si>
    <t>jherre72@ext.uber.com</t>
  </si>
  <si>
    <t>Pina, Mariana - 6158</t>
  </si>
  <si>
    <t>mpiaa@ext.uber.com</t>
  </si>
  <si>
    <t>Alvarez De Las Aguas, Angie - 8866</t>
  </si>
  <si>
    <t>aalvar68@ext.uber.com</t>
  </si>
  <si>
    <t>Paniagua, Mariana - 8888</t>
  </si>
  <si>
    <t>mpania2@ext.uber.com</t>
  </si>
  <si>
    <t>Quintero, Michael - 6856</t>
  </si>
  <si>
    <t>mquint27@ext.uber.com</t>
  </si>
  <si>
    <t>Torres, Carlos - 3326</t>
  </si>
  <si>
    <t>ctorre63@ext.uber.com</t>
  </si>
  <si>
    <t>Beltran, Tatyana - 3589</t>
  </si>
  <si>
    <t>tbeltr1@ext.uber.com</t>
  </si>
  <si>
    <t>Lopez, Lucas - 3981</t>
  </si>
  <si>
    <t>llopez87@ext.uber.com</t>
  </si>
  <si>
    <t>Herrera, Yessica - 7830</t>
  </si>
  <si>
    <t>yherre8@ext.uber.com</t>
  </si>
  <si>
    <t>Moya, Yorleidis - 6209</t>
  </si>
  <si>
    <t>ymoya1@ext.uber.com</t>
  </si>
  <si>
    <t>Moreno, Lizeth - 6962</t>
  </si>
  <si>
    <t>lmoren59@ext.uber.com</t>
  </si>
  <si>
    <t>Castillo, Davinson - 9518</t>
  </si>
  <si>
    <t>dcasti26@ext.uber.com</t>
  </si>
  <si>
    <t>Rodriguez, Jhon - 3485</t>
  </si>
  <si>
    <t>jrodri306@ext.uber.com</t>
  </si>
  <si>
    <t>Reyes, Cristian - 3595</t>
  </si>
  <si>
    <t>creyes40@ext.uber.com</t>
  </si>
  <si>
    <t>Bonilla, Yesica - 3681</t>
  </si>
  <si>
    <t>ybonil2@ext.uber.com</t>
  </si>
  <si>
    <t>Forero, Katerin - 3684</t>
  </si>
  <si>
    <t>kforer1@ext.uber.com</t>
  </si>
  <si>
    <t>Arias, Angie - 3709</t>
  </si>
  <si>
    <t>aarias23@ext.uber.com</t>
  </si>
  <si>
    <t>Paredes, Valeria - 3183</t>
  </si>
  <si>
    <t>vpared1@ext.uber.com</t>
  </si>
  <si>
    <t>Galeano, Andrea - 3717</t>
  </si>
  <si>
    <t>agalea3@ext.uber.com</t>
  </si>
  <si>
    <t>Rodriguez, Maicol - 4441</t>
  </si>
  <si>
    <t>mrodri189@ext.uber.com</t>
  </si>
  <si>
    <t>Amaya, Angelica - 7112</t>
  </si>
  <si>
    <t>aamaya700@ext.uber.com</t>
  </si>
  <si>
    <t>Ovalle, Clardhisson - 8147</t>
  </si>
  <si>
    <t>covall2@ext.uber.com</t>
  </si>
  <si>
    <t>Cubillos, German - 0127</t>
  </si>
  <si>
    <t>gcubil2@ext.uber.com</t>
  </si>
  <si>
    <t>Pescador, Karen - 8166</t>
  </si>
  <si>
    <t>kpesca1@ext.uber.com</t>
  </si>
  <si>
    <t>Zaraza, Thifany - 9197</t>
  </si>
  <si>
    <t>tzaraz@ext.uber.com</t>
  </si>
  <si>
    <t>Hernandez, Kissys - 6895</t>
  </si>
  <si>
    <t>kherna57@ext.uber.com</t>
  </si>
  <si>
    <t>Fonseca, Alisson - 9138</t>
  </si>
  <si>
    <t>afonse8@ext.uber.com</t>
  </si>
  <si>
    <t>Usaquen, Jhoan - 9104</t>
  </si>
  <si>
    <t>jusaqu@ext.uber.com</t>
  </si>
  <si>
    <t>Gutierrez, Paula - 9171</t>
  </si>
  <si>
    <t>pgutie12@ext.uber.com</t>
  </si>
  <si>
    <t>Gaita, Tatiana - 0083</t>
  </si>
  <si>
    <t>tgaita@ext.uber.com</t>
  </si>
  <si>
    <t>Gonzalez, Gustavo - 9136</t>
  </si>
  <si>
    <t>ggonza45@ext.uber.com</t>
  </si>
  <si>
    <t>Santos, Daniel - 0139</t>
  </si>
  <si>
    <t>dsanto109@ext.uber.com</t>
  </si>
  <si>
    <t>Paez, Zharick - 7553</t>
  </si>
  <si>
    <t>zpaez1@ext.uber.com</t>
  </si>
  <si>
    <t>Garcia, Julieth - 6858</t>
  </si>
  <si>
    <t>jgarci296@ext.uber.com</t>
  </si>
  <si>
    <t>Toscano, Juan - 0157</t>
  </si>
  <si>
    <t>jtosca@ext.uber.com</t>
  </si>
  <si>
    <t>Cuervo, Jhoan - 6896</t>
  </si>
  <si>
    <t>jcuerv13@ext.uber.com</t>
  </si>
  <si>
    <t>Enciso, Karen - 8097</t>
  </si>
  <si>
    <t>kencis@ext.uber.com</t>
  </si>
  <si>
    <t>Arias, Julian - 0338</t>
  </si>
  <si>
    <t>jarias36@ext.uber.com</t>
  </si>
  <si>
    <t>Vanegas, Valentina - 3340</t>
  </si>
  <si>
    <t>vvaneg1@ext.uber.com</t>
  </si>
  <si>
    <t>Mendez, Tania - 3341</t>
  </si>
  <si>
    <t>tmende4@ext.uber.com</t>
  </si>
  <si>
    <t>Salamanca, Laura - 4470</t>
  </si>
  <si>
    <t>lsalam5@ext.uber.com</t>
  </si>
  <si>
    <t>Albarracin, Iveth - 3343</t>
  </si>
  <si>
    <t>ialbar2@ext.uber.com</t>
  </si>
  <si>
    <t>Forero, Juan - 6853</t>
  </si>
  <si>
    <t>jforer18@ext.uber.com</t>
  </si>
  <si>
    <t>CastroC, Paula - 3467</t>
  </si>
  <si>
    <t>pcastr13@ext.uber.com</t>
  </si>
  <si>
    <t>Barrero, Javier - 6163</t>
  </si>
  <si>
    <t>jbarre50@ext.uber.com</t>
  </si>
  <si>
    <t>Moreno, Jose - 2689</t>
  </si>
  <si>
    <t>jmoren88@ext.uber.com</t>
  </si>
  <si>
    <t>Badillo, Oliver - 4539</t>
  </si>
  <si>
    <t>obadil@ext.uber.com</t>
  </si>
  <si>
    <t>Ardila, Danna - 0492</t>
  </si>
  <si>
    <t>dardil6@ext.uber.com</t>
  </si>
  <si>
    <t>Ortiz, Brayan - 4584</t>
  </si>
  <si>
    <t>bortiz17@ext.uber.com</t>
  </si>
  <si>
    <t>Prieto, Laura - 1136</t>
  </si>
  <si>
    <t>lpriet8@ext.uber.com</t>
  </si>
  <si>
    <t>Hernandez, Cristian - 4887</t>
  </si>
  <si>
    <t>cherna105@ext.uber.com</t>
  </si>
  <si>
    <t>PinzonG, Juan - 7325</t>
  </si>
  <si>
    <t>jpinzo17@ext.uber.com</t>
  </si>
  <si>
    <t>Salas, Argenis - 7174</t>
  </si>
  <si>
    <t>asalas14@ext.uber.com</t>
  </si>
  <si>
    <t>Almario, Luis - 3621</t>
  </si>
  <si>
    <t>lalmar2@ext.uber.com</t>
  </si>
  <si>
    <t>Pardo, Alejandro - 7603</t>
  </si>
  <si>
    <t>apardo8@ext.uber.com</t>
  </si>
  <si>
    <t>SanchezU, Maria - 2645</t>
  </si>
  <si>
    <t>msanch137@ext.uber.com</t>
  </si>
  <si>
    <t>Manrique, Juan - 5829</t>
  </si>
  <si>
    <t>jmanri4@ext.uber.com</t>
  </si>
  <si>
    <t>Bedoya, Johan - 4578</t>
  </si>
  <si>
    <t>jbedoy15@ext.uber.com</t>
  </si>
  <si>
    <t>Moya, Valentina - 3014</t>
  </si>
  <si>
    <t>vmoya@ext.uber.com</t>
  </si>
  <si>
    <t>Avellaneda, Yeni - 7463</t>
  </si>
  <si>
    <t>yavell1@ext.uber.com</t>
  </si>
  <si>
    <t>Rengifo, Juan - 9234</t>
  </si>
  <si>
    <t>jrengi@ext.uber.com</t>
  </si>
  <si>
    <t>Vargas, Dessire - 8416</t>
  </si>
  <si>
    <t>dvarga41@ext.uber.com</t>
  </si>
  <si>
    <t>Castaneda, Alejandro - 8463</t>
  </si>
  <si>
    <t>acasta27@ext.uber.com</t>
  </si>
  <si>
    <t>Rubiano, Jhon - 5466</t>
  </si>
  <si>
    <t>jrubia8@ext.uber.com</t>
  </si>
  <si>
    <t>Ropero, Juan - 3965</t>
  </si>
  <si>
    <t>jroper3@ext.uber.com</t>
  </si>
  <si>
    <t>CortesC, Daniel - 8887</t>
  </si>
  <si>
    <t>dcorte30@ext.uber.com</t>
  </si>
  <si>
    <t>Garcia, Sebastian - 8486</t>
  </si>
  <si>
    <t>sgarci80@ext.uber.com</t>
  </si>
  <si>
    <t>Montano, Daniel - 4509</t>
  </si>
  <si>
    <t>dmonta12@ext.uber.com</t>
  </si>
  <si>
    <t>Castaneda, Daniel - 5227</t>
  </si>
  <si>
    <t>dcasta25@ext.uber.com</t>
  </si>
  <si>
    <t>Coutin, Jesus - 8528</t>
  </si>
  <si>
    <t>jcouti@ext.uber.com</t>
  </si>
  <si>
    <t>Parra, Miguel - 5686</t>
  </si>
  <si>
    <t>mparra17@ext.uber.com</t>
  </si>
  <si>
    <t>Valencia, Angie - 7251</t>
  </si>
  <si>
    <t>avalen23@ext.uber.com</t>
  </si>
  <si>
    <t>Garcia, Deivid - 5192</t>
  </si>
  <si>
    <t>dgarci112@ext.uber.com</t>
  </si>
  <si>
    <t>Ortiz, Carolina - 8886</t>
  </si>
  <si>
    <t>cortiz29@ext.uber.com</t>
  </si>
  <si>
    <t>Rojas, David - 8887</t>
  </si>
  <si>
    <t>drojas35@ext.uber.com</t>
  </si>
  <si>
    <t>Venegas, Yeison - 1431</t>
  </si>
  <si>
    <t>yvaneg3@ext.uber.com</t>
  </si>
  <si>
    <t>Reinoso, Harryson - 5140</t>
  </si>
  <si>
    <t>hreino@ext.uber.com</t>
  </si>
  <si>
    <t>Acuna, Heison - 2602</t>
  </si>
  <si>
    <t>hacuna2@ext.uber.com</t>
  </si>
  <si>
    <t>Brunal, Geraldyne - 8371</t>
  </si>
  <si>
    <t>gbruna@ext.uber.com</t>
  </si>
  <si>
    <t>Navas, Leonardo - 6182</t>
  </si>
  <si>
    <t>lnavas2@ext.uber.com</t>
  </si>
  <si>
    <t>Perea, Samuel - 2234</t>
  </si>
  <si>
    <t>sperea@ext.uber.com</t>
  </si>
  <si>
    <t>Romero, Yohan - 2755</t>
  </si>
  <si>
    <t>yromer16@ext.uber.com</t>
  </si>
  <si>
    <t>GutierrezQ, Juan - 5225</t>
  </si>
  <si>
    <t>jgutie112@ext.uber.com</t>
  </si>
  <si>
    <t>Burgos, Julian - 2201</t>
  </si>
  <si>
    <t>jburgo500@ext.uber.com</t>
  </si>
  <si>
    <t>Corzo, Laura - 4138</t>
  </si>
  <si>
    <t>lcorzo1@ext.uber.com</t>
  </si>
  <si>
    <t>Pulgarin, Maria - 5167</t>
  </si>
  <si>
    <t>mpulga2@ext.uber.com</t>
  </si>
  <si>
    <t>Guerrero, Luis - 4375</t>
  </si>
  <si>
    <t>lguerr22@ext.uber.com</t>
  </si>
  <si>
    <t>Alarcon, Camilo - 5764</t>
  </si>
  <si>
    <t>calarc4@ext.uber.com</t>
  </si>
  <si>
    <t>Orozco, Jeronimo - 9482</t>
  </si>
  <si>
    <t>jorozc14@ext.uber.com</t>
  </si>
  <si>
    <t>Ortega, Cristian - 5488</t>
  </si>
  <si>
    <t>corteg15@ext.uber.com</t>
  </si>
  <si>
    <t>Medina, Santiago - 9370</t>
  </si>
  <si>
    <t>smedin12@ext.uber.com</t>
  </si>
  <si>
    <t>Salinas, Manuel - 5744</t>
  </si>
  <si>
    <t>msalin15@ext.uber.com</t>
  </si>
  <si>
    <t>Velez, Santiago - 0661</t>
  </si>
  <si>
    <t>svelez6@ext.uber.com</t>
  </si>
  <si>
    <t>Baratto, Naysla - 5768</t>
  </si>
  <si>
    <t>nbarat@ext.uber.com</t>
  </si>
  <si>
    <t>Gomez, Manuela - 4192</t>
  </si>
  <si>
    <t>mgomez68@ext.uber.com</t>
  </si>
  <si>
    <t>Villada, Brayan - 6038</t>
  </si>
  <si>
    <t>bvilla26@ext.uber.com</t>
  </si>
  <si>
    <t>Munoz, Simon - 5774</t>
  </si>
  <si>
    <t>smunoz15@ext.uber.com</t>
  </si>
  <si>
    <t>Munera, Camilo - 4194</t>
  </si>
  <si>
    <t>cmuner@ext.uber.com</t>
  </si>
  <si>
    <t>Martinez, Alejandro - 5754</t>
  </si>
  <si>
    <t>amarti196@ext.uber.com</t>
  </si>
  <si>
    <t>Lopez, Santiago - 4195</t>
  </si>
  <si>
    <t>slopez69@ext.uber.com</t>
  </si>
  <si>
    <t>PinzonA, Juan - 6095</t>
  </si>
  <si>
    <t>jpinzo18@ext.uber.com</t>
  </si>
  <si>
    <t>Castro, David - 4197</t>
  </si>
  <si>
    <t>dcastr33@ext.uber.com</t>
  </si>
  <si>
    <t>Villarreal, Karolain - 1572</t>
  </si>
  <si>
    <t>kvilla44@ext.uber.com</t>
  </si>
  <si>
    <t>RodriguezM, Maria - 7015</t>
  </si>
  <si>
    <t>mrodri179@ext.uber.com</t>
  </si>
  <si>
    <t>Gonzalez, Brayan - 1475</t>
  </si>
  <si>
    <t>bgonza26@ext.uber.com</t>
  </si>
  <si>
    <t>Vasquez, Jessica - 8436</t>
  </si>
  <si>
    <t>jvilla190@ext.uber.com</t>
  </si>
  <si>
    <t>Restrepo, Luisa - 1087</t>
  </si>
  <si>
    <t>lrestr9@ext.uber.com</t>
  </si>
  <si>
    <t>Sanchez, Cinthia - 1088</t>
  </si>
  <si>
    <t>csanch70@ext.uber.com</t>
  </si>
  <si>
    <t>Guerrero, Yury - 1120</t>
  </si>
  <si>
    <t>yguerr3@ext.uber.com</t>
  </si>
  <si>
    <t>Chirinos, Sarai - 3242</t>
  </si>
  <si>
    <t>schiri@ext.uber.com</t>
  </si>
  <si>
    <t>Contreras, Kevin - 1129</t>
  </si>
  <si>
    <t>kcontr4@ext.uber.com</t>
  </si>
  <si>
    <t>Pizarro, Sara - 3253</t>
  </si>
  <si>
    <t>spizar1@ext.uber.com</t>
  </si>
  <si>
    <t>Ramos, Luis - 6034</t>
  </si>
  <si>
    <t>lramos49@ext.uber.com</t>
  </si>
  <si>
    <t>Saez, Mateo - 3246</t>
  </si>
  <si>
    <t>msaez1@ext.uber.com</t>
  </si>
  <si>
    <t>Garcia, Eduard - 1383</t>
  </si>
  <si>
    <t>egarci114@ext.uber.com</t>
  </si>
  <si>
    <t>Florez, Dana - 6628</t>
  </si>
  <si>
    <t>dflore50@ext.uber.com</t>
  </si>
  <si>
    <t>Ospina, Nelsy - 3334</t>
  </si>
  <si>
    <t>nospin1@ext.uber.com</t>
  </si>
  <si>
    <t>Beltran, Juana - 8681</t>
  </si>
  <si>
    <t>jbeltr38@ext.uber.com</t>
  </si>
  <si>
    <t>Torres, Yenny - 3462</t>
  </si>
  <si>
    <t>ytorre15@ext.uber.com</t>
  </si>
  <si>
    <t>Robayo, Luisa - 6008</t>
  </si>
  <si>
    <t>lrobay4@ext.uber.com</t>
  </si>
  <si>
    <t>Pereira, Yurbin - 6322</t>
  </si>
  <si>
    <t>yperei5@ext.uber.com</t>
  </si>
  <si>
    <t>Rubio, Pedro - 5173</t>
  </si>
  <si>
    <t>prubio1@ext.uber.com</t>
  </si>
  <si>
    <t>Morales, Elias - 6323</t>
  </si>
  <si>
    <t>emoral36@ext.uber.com</t>
  </si>
  <si>
    <t>Vidal, Gustavo - 6324</t>
  </si>
  <si>
    <t>gvidal1@ext.uber.com</t>
  </si>
  <si>
    <t>Bolivar, Juan - 0756</t>
  </si>
  <si>
    <t>jboliv7@ext.uber.com</t>
  </si>
  <si>
    <t>Serrato, Gloria - 2694</t>
  </si>
  <si>
    <t>gulloa@ext.uber.com</t>
  </si>
  <si>
    <t>Garzon, Loren - 2705</t>
  </si>
  <si>
    <t>lamaya2@ext.uber.com</t>
  </si>
  <si>
    <t>Ariza, Surley - 0146</t>
  </si>
  <si>
    <t>sariza4@ext.uber.com</t>
  </si>
  <si>
    <t>Munevar, Bonny - 2617</t>
  </si>
  <si>
    <t>bmunev@ext.uber.com</t>
  </si>
  <si>
    <t>Molina, Maria - 2834</t>
  </si>
  <si>
    <t>mmolin29@ext.uber.com</t>
  </si>
  <si>
    <t>Monroy, Dana - 5561</t>
  </si>
  <si>
    <t>dmonro10@ext.uber.com</t>
  </si>
  <si>
    <t>Jojoa, Leidy - 0438</t>
  </si>
  <si>
    <t>ljojoa@ext.uber.com</t>
  </si>
  <si>
    <t>Rozo, Francy - 3811</t>
  </si>
  <si>
    <t>frozo1@ext.uber.com</t>
  </si>
  <si>
    <t>Perez, Caroline - 6416</t>
  </si>
  <si>
    <t>cperez61@ext.uber.com</t>
  </si>
  <si>
    <t>Leon, Johan - 2227</t>
  </si>
  <si>
    <t>jleon36@ext.uber.com</t>
  </si>
  <si>
    <t>Mejia, Shirley - 8319</t>
  </si>
  <si>
    <t>smejia22@ext.uber.com</t>
  </si>
  <si>
    <t>Salcedo, Karen - 1669</t>
  </si>
  <si>
    <t>ksalce1@ext.uber.com</t>
  </si>
  <si>
    <t>CuellarA, Juan - 7458</t>
  </si>
  <si>
    <t>jcuell9@ext.uber.com</t>
  </si>
  <si>
    <t>Aragon, Stefania - 1703</t>
  </si>
  <si>
    <t>sarago1@ext.uber.com</t>
  </si>
  <si>
    <t>Jaramillo, Alba - 0521</t>
  </si>
  <si>
    <t>ajaram18@ext.uber.com</t>
  </si>
  <si>
    <t>MontesM, Oscar - 6423</t>
  </si>
  <si>
    <t>omonte8@ext.uber.com</t>
  </si>
  <si>
    <t>Gomez, Diana - 1133</t>
  </si>
  <si>
    <t>dgomez54@ext.uber.com</t>
  </si>
  <si>
    <t>Cardenas, Luis - 4081</t>
  </si>
  <si>
    <t>lcarde25@ext.uber.com</t>
  </si>
  <si>
    <t>Espinosa, Jonatan - 2419</t>
  </si>
  <si>
    <t>jespin47@ext.uber.com</t>
  </si>
  <si>
    <t>Parra, Paula - 6420</t>
  </si>
  <si>
    <t>pparra3@ext.uber.com</t>
  </si>
  <si>
    <t>Pena, Laura - 8317</t>
  </si>
  <si>
    <t>lpena15@ext.uber.com</t>
  </si>
  <si>
    <t>Herrera, Delly - 5483</t>
  </si>
  <si>
    <t>dherre32@ext.uber.com</t>
  </si>
  <si>
    <t>Gutierrez, Elizabeth - 4114</t>
  </si>
  <si>
    <t>egutie25@ext.uber.com</t>
  </si>
  <si>
    <t>Hernandez, Carol - 6042</t>
  </si>
  <si>
    <t>cherna109@ext.uber.com</t>
  </si>
  <si>
    <t>Vargas, Juan - 5167</t>
  </si>
  <si>
    <t>jvarga95@ext.uber.com</t>
  </si>
  <si>
    <t>Velasquez, Daniela - 9866</t>
  </si>
  <si>
    <t>dvelas26@ext.uber.com</t>
  </si>
  <si>
    <t>Rodriguez, Yanile - 6866</t>
  </si>
  <si>
    <t>yrodri36@ext.uber.com</t>
  </si>
  <si>
    <t>RojasR, David - 5475</t>
  </si>
  <si>
    <t>drojas37@ext.uber.com</t>
  </si>
  <si>
    <t>Ibarra, Jonathan - 6992</t>
  </si>
  <si>
    <t>jibarr22@ext.uber.com</t>
  </si>
  <si>
    <t>Ruiz, Derly - 5745</t>
  </si>
  <si>
    <t>druiz22@ext.uber.com</t>
  </si>
  <si>
    <t>Pedraza, Maria - 7299</t>
  </si>
  <si>
    <t>mpedra12@ext.uber.com</t>
  </si>
  <si>
    <t>Vergara, Andrea - 9264</t>
  </si>
  <si>
    <t>averga17@ext.uber.com</t>
  </si>
  <si>
    <t>Gamboa, Santiago - 3239</t>
  </si>
  <si>
    <t>sgambo1@ext.uber.com</t>
  </si>
  <si>
    <t>Sanabria, Emmanuel - 8360</t>
  </si>
  <si>
    <t>esanab4@ext.uber.com</t>
  </si>
  <si>
    <t>Vasquez, Jose - 8361</t>
  </si>
  <si>
    <t>jvasqu37@ext.uber.com</t>
  </si>
  <si>
    <t>SanchezR, Danna - 8364</t>
  </si>
  <si>
    <t>dsanch84@ext.uber.com</t>
  </si>
  <si>
    <t>Nahar Morales, Charlotte - 9349</t>
  </si>
  <si>
    <t>cnahar@ext.uber.com</t>
  </si>
  <si>
    <t>Arevalo, Johan - 6415</t>
  </si>
  <si>
    <t>jareva25@ext.uber.com</t>
  </si>
  <si>
    <t>Bejarano, Laura - 1581</t>
  </si>
  <si>
    <t>lbejar3@ext.uber.com</t>
  </si>
  <si>
    <t>Silva, Manuel - 5769</t>
  </si>
  <si>
    <t>msilva344@ext.uber.com</t>
  </si>
  <si>
    <t>Ovalle, Maria - 9932</t>
  </si>
  <si>
    <t>movall9@ext.uber.com</t>
  </si>
  <si>
    <t>Lopez, Lina - 8838</t>
  </si>
  <si>
    <t>llopez96@ext.uber.com</t>
  </si>
  <si>
    <t>MorenoS, David - 5766</t>
  </si>
  <si>
    <t>dmoren44@ext.uber.com</t>
  </si>
  <si>
    <t>Ramirez, Jhon - 4860</t>
  </si>
  <si>
    <t>jramir154@ext.uber.com</t>
  </si>
  <si>
    <t>Ortiz, Maria - 5751</t>
  </si>
  <si>
    <t>mortiz58@ext.uber.com</t>
  </si>
  <si>
    <t>Rios, Santiago - 5383</t>
  </si>
  <si>
    <t>srios6@ext.uber.com</t>
  </si>
  <si>
    <t>Lizarazo, Neider - 8310</t>
  </si>
  <si>
    <t>nlizar@ext.uber.com</t>
  </si>
  <si>
    <t>Aragon, Yesica - 6850</t>
  </si>
  <si>
    <t>yarago2@ext.uber.com</t>
  </si>
  <si>
    <t>Grimaldo, Sergio - 6867</t>
  </si>
  <si>
    <t>sgrima@ext.uber.com</t>
  </si>
  <si>
    <t>GomezT, Santiago - 6956</t>
  </si>
  <si>
    <t>sgomez47@ext.uber.com</t>
  </si>
  <si>
    <t>Avila, Joham - 6963</t>
  </si>
  <si>
    <t>javila44@ext.uber.com</t>
  </si>
  <si>
    <t>Perez, Dagne - 6426</t>
  </si>
  <si>
    <t>dperez73@ext.uber.com</t>
  </si>
  <si>
    <t>Malqui, Jhotser - 1009</t>
  </si>
  <si>
    <t>jmalqu1@ext.uber.com</t>
  </si>
  <si>
    <t>Ruiz, Luis - 1038</t>
  </si>
  <si>
    <t>lruiz32@ext.uber.com</t>
  </si>
  <si>
    <t>Cruz, Johan - 1086</t>
  </si>
  <si>
    <t>jcruz129@ext.uber.com</t>
  </si>
  <si>
    <t>Villamil, Jorge - 7234</t>
  </si>
  <si>
    <t>jvilla193@ext.uber.com</t>
  </si>
  <si>
    <t>Garcia, Javier - 1096</t>
  </si>
  <si>
    <t>jgarci286@ext.uber.com</t>
  </si>
  <si>
    <t>Melo, Patricia - 4496</t>
  </si>
  <si>
    <t>pmelo15@ext.uber.com</t>
  </si>
  <si>
    <t>Duenas, Ligia - 4706</t>
  </si>
  <si>
    <t>lduena@ext.uber.com</t>
  </si>
  <si>
    <t>Cantillo, Keyt - 1138</t>
  </si>
  <si>
    <t>kcanti@ext.uber.com</t>
  </si>
  <si>
    <t>Ramirez, Ailen - 1184</t>
  </si>
  <si>
    <t>aramir106@ext.uber.com</t>
  </si>
  <si>
    <t>Urrego, Mauricio - 4585</t>
  </si>
  <si>
    <t>murreg3@ext.uber.com</t>
  </si>
  <si>
    <t>Gonzalez, Maria - 6261</t>
  </si>
  <si>
    <t>mgonza181@ext.uber.com</t>
  </si>
  <si>
    <t>GutierrezG, Juan - 2845</t>
  </si>
  <si>
    <t>jgutie107@ext.uber.com</t>
  </si>
  <si>
    <t>Paeres, Juan - 8322</t>
  </si>
  <si>
    <t>jpaere@ext.uber.com</t>
  </si>
  <si>
    <t>Salazar, David - 2851</t>
  </si>
  <si>
    <t>dsalaz14@ext.uber.com</t>
  </si>
  <si>
    <t>Roa, Samuel - 6031</t>
  </si>
  <si>
    <t>sroa2@ext.uber.com</t>
  </si>
  <si>
    <t>Pinilla, Kelly - 7252</t>
  </si>
  <si>
    <t>kpinil1@ext.uber.com</t>
  </si>
  <si>
    <t>Forero, Harold - 5062</t>
  </si>
  <si>
    <t>hforer2@ext.uber.com</t>
  </si>
  <si>
    <t>Garcia, Jhonatan - 3241</t>
  </si>
  <si>
    <t>jgarci289@ext.uber.com</t>
  </si>
  <si>
    <t>Garcia, Stephania - 4848</t>
  </si>
  <si>
    <t>sgarci84@ext.uber.com</t>
  </si>
  <si>
    <t>Pulido, Osnaider - 4850</t>
  </si>
  <si>
    <t>opulid@ext.uber.com</t>
  </si>
  <si>
    <t>Zambrano, Nataly - 4878</t>
  </si>
  <si>
    <t>nzambr1@ext.uber.com</t>
  </si>
  <si>
    <t>Buitrago, Jose - 5057</t>
  </si>
  <si>
    <t>jbuitr16@ext.uber.com</t>
  </si>
  <si>
    <t>AlvarezB, Luis - 5554</t>
  </si>
  <si>
    <t>lalvar41@ext.uber.com</t>
  </si>
  <si>
    <t>Velasquez, Maricela - 6023</t>
  </si>
  <si>
    <t>mvelas31@ext.uber.com</t>
  </si>
  <si>
    <t>Mosquera, Edinson - 4598</t>
  </si>
  <si>
    <t>emosqu3@ext.uber.com</t>
  </si>
  <si>
    <t>Sanchez, Lizeth - 8084</t>
  </si>
  <si>
    <t>lsanch100@ext.uber.com</t>
  </si>
  <si>
    <t>Rodriguez, Yuber - 7328</t>
  </si>
  <si>
    <t>yrodri39@ext.uber.com</t>
  </si>
  <si>
    <t>Diaz, Oscar - 4037</t>
  </si>
  <si>
    <t>odiaz5@ext.uber.com</t>
  </si>
  <si>
    <t>Andrade, Diana - 2877</t>
  </si>
  <si>
    <t>dandra11@ext.uber.com</t>
  </si>
  <si>
    <t>Navarro, Angel - 5986</t>
  </si>
  <si>
    <t>anavar26@ext.uber.com</t>
  </si>
  <si>
    <t>Vargas, Karen - 2885</t>
  </si>
  <si>
    <t>kvarga18@ext.uber.com</t>
  </si>
  <si>
    <t>Nieto, Kevin - 2887</t>
  </si>
  <si>
    <t>knieto1@ext.uber.com</t>
  </si>
  <si>
    <t>Callejas, Michael - 2888</t>
  </si>
  <si>
    <t>mcalle11@ext.uber.com</t>
  </si>
  <si>
    <t>Cifuentes, Jana - 6992</t>
  </si>
  <si>
    <t>jcifue13@ext.uber.com</t>
  </si>
  <si>
    <t>Varon, Dilan - 7232</t>
  </si>
  <si>
    <t>dvaron5@ext.uber.com</t>
  </si>
  <si>
    <t>Bravo, Santiago - 7233</t>
  </si>
  <si>
    <t>sbravo2@ext.uber.com</t>
  </si>
  <si>
    <t>Acevedo, Laura - 7239</t>
  </si>
  <si>
    <t>laceve10@ext.uber.com</t>
  </si>
  <si>
    <t>Garcia, Sergio - 7240</t>
  </si>
  <si>
    <t>sgarci85@ext.uber.com</t>
  </si>
  <si>
    <t>Sanchez, Julian - 6038</t>
  </si>
  <si>
    <t>jsanch189@ext.uber.com</t>
  </si>
  <si>
    <t>Parra, Kleyver - 2441</t>
  </si>
  <si>
    <t>kparra9@ext.uber.com</t>
  </si>
  <si>
    <t>Ardila, Maria - 9345</t>
  </si>
  <si>
    <t>mardil2@ext.uber.com</t>
  </si>
  <si>
    <t>Suarez, Alejandro - 6031</t>
  </si>
  <si>
    <t>asuare700@ext.uber.com</t>
  </si>
  <si>
    <t>VargasB, Karen - 9738</t>
  </si>
  <si>
    <t>kvarga19@ext.uber.com</t>
  </si>
  <si>
    <t>Hernandez, Nicolas - 9749</t>
  </si>
  <si>
    <t>nherna46@ext.uber.com</t>
  </si>
  <si>
    <t>Cespedes, Nicolas - 9756</t>
  </si>
  <si>
    <t>ncespe@ext.uber.com</t>
  </si>
  <si>
    <t>Salazar, Sebastian - 9718</t>
  </si>
  <si>
    <t>ssalaz16@ext.uber.com</t>
  </si>
  <si>
    <t>Restrepo, Miguel - 2870</t>
  </si>
  <si>
    <t>mrestr15@ext.uber.com</t>
  </si>
  <si>
    <t>Arias, Sergio - 9415</t>
  </si>
  <si>
    <t>sarias10@ext.uber.com</t>
  </si>
  <si>
    <t>Velasquez, Bryan - 4504</t>
  </si>
  <si>
    <t>bvelas10@ext.uber.com</t>
  </si>
  <si>
    <t>Real, Melani - 9451</t>
  </si>
  <si>
    <t>mreal2@ext.uber.com</t>
  </si>
  <si>
    <t>Rodriguez, Edwin - 1148</t>
  </si>
  <si>
    <t>erodri88@ext.uber.com</t>
  </si>
  <si>
    <t>Usuga, Jhon - 6599</t>
  </si>
  <si>
    <t>jusuga5@ext.uber.com</t>
  </si>
  <si>
    <t>Murcia, Carlos - 6899</t>
  </si>
  <si>
    <t>cmurci4@ext.uber.com</t>
  </si>
  <si>
    <t>Aguillon, Sara - 9379</t>
  </si>
  <si>
    <t>saguil14@ext.uber.com</t>
  </si>
  <si>
    <t>Valencia, Danna - 6239</t>
  </si>
  <si>
    <t>dvalen30@ext.uber.com</t>
  </si>
  <si>
    <t>Franco, Luisa - 6245</t>
  </si>
  <si>
    <t>lfranc28@ext.uber.com</t>
  </si>
  <si>
    <t>Correa, Duvan - 1922</t>
  </si>
  <si>
    <t>dcorre17@ext.uber.com</t>
  </si>
  <si>
    <t>Mosquera, Deivid - 1929</t>
  </si>
  <si>
    <t>dmosqu8@ext.uber.com</t>
  </si>
  <si>
    <t>Lopez, Ana - 1934</t>
  </si>
  <si>
    <t>alopez163@ext.uber.com</t>
  </si>
  <si>
    <t>Ramirez, Maikol - 1956</t>
  </si>
  <si>
    <t>mramir132@ext.uber.com</t>
  </si>
  <si>
    <t>Trespalacios, Daniel - 2086</t>
  </si>
  <si>
    <t>dtresp@ext.uber.com</t>
  </si>
  <si>
    <t>Daza, Juan - 2430</t>
  </si>
  <si>
    <t>jdaza15@ext.uber.com</t>
  </si>
  <si>
    <t>Espinosa, Pedro - 2436</t>
  </si>
  <si>
    <t>pespin10@ext.uber.com</t>
  </si>
  <si>
    <t>DuarteS, Maria - 2451</t>
  </si>
  <si>
    <t>mduart9@ext.uber.com</t>
  </si>
  <si>
    <t>Moreno, Danna - 0891</t>
  </si>
  <si>
    <t>dmoren42@ext.uber.com</t>
  </si>
  <si>
    <t>Orozco, Lesly - 5768</t>
  </si>
  <si>
    <t>lorozc5@ext.uber.com</t>
  </si>
  <si>
    <t>Giraldo, Alejandro - 2220</t>
  </si>
  <si>
    <t>agiral13@ext.uber.com</t>
  </si>
  <si>
    <t>Morales, Jeiner - 3573</t>
  </si>
  <si>
    <t>jmoral120@ext.uber.com</t>
  </si>
  <si>
    <t>Rodriguez, Robinson - 6574</t>
  </si>
  <si>
    <t>rrodri107@ext.uber.com</t>
  </si>
  <si>
    <t>Jimenez, Juan - 2431</t>
  </si>
  <si>
    <t>jjimen90@ext.uber.com</t>
  </si>
  <si>
    <t>MorenoP, Laura - 7921</t>
  </si>
  <si>
    <t>lmoren60@ext.uber.com</t>
  </si>
  <si>
    <t>Saiz, Camilo - 1568</t>
  </si>
  <si>
    <t>csaiz@ext.uber.com</t>
  </si>
  <si>
    <t>Fernandez, Luisa - 1570</t>
  </si>
  <si>
    <t>lferna36@ext.uber.com</t>
  </si>
  <si>
    <t>Garcia, Julian - 7161</t>
  </si>
  <si>
    <t>jgarci297@ext.uber.com</t>
  </si>
  <si>
    <t>Avellaneda, Jeison - 1796</t>
  </si>
  <si>
    <t>javell3@ext.uber.com</t>
  </si>
  <si>
    <t>Caguasango, Nicolas - 2238</t>
  </si>
  <si>
    <t>ncagua2@ext.uber.com</t>
  </si>
  <si>
    <t>Gomez, Alejandra - 0337</t>
  </si>
  <si>
    <t>agomez105@ext.uber.com</t>
  </si>
  <si>
    <t>Agudelo, Henry - 2209</t>
  </si>
  <si>
    <t>hagude1@ext.uber.com</t>
  </si>
  <si>
    <t>Castrillon, Juan - 8840</t>
  </si>
  <si>
    <t>jcastr92@ext.uber.com</t>
  </si>
  <si>
    <t>Rincon, Danna - 7293</t>
  </si>
  <si>
    <t>drinco13@ext.uber.com</t>
  </si>
  <si>
    <t>Valdez, Dayan - 2534</t>
  </si>
  <si>
    <t>dvalde14@ext.uber.com</t>
  </si>
  <si>
    <t>Orduna, Ginnandy - 0274</t>
  </si>
  <si>
    <t>gordun@ext.uber.com</t>
  </si>
  <si>
    <t>Rojas, Valentina - 2116</t>
  </si>
  <si>
    <t>vrojas11@ext.uber.com</t>
  </si>
  <si>
    <t>Lesmes, Nicolas - 2120</t>
  </si>
  <si>
    <t>nlesme@ext.uber.com</t>
  </si>
  <si>
    <t>Montealegre, Andres - 8685</t>
  </si>
  <si>
    <t>amonte56@ext.uber.com</t>
  </si>
  <si>
    <t>RodriguezS, Valentina - 3589</t>
  </si>
  <si>
    <t>vrodri48@ext.uber.com</t>
  </si>
  <si>
    <t>Mosquera, Jennyfer - 2593</t>
  </si>
  <si>
    <t>jmosqu12@ext.uber.com</t>
  </si>
  <si>
    <t>Cascavita, Juan - 5993</t>
  </si>
  <si>
    <t>jcasca2@ext.uber.com</t>
  </si>
  <si>
    <t>Ramirez, Miller - 8686</t>
  </si>
  <si>
    <t>mramir136@ext.uber.com</t>
  </si>
  <si>
    <t>Pachon, Jefferson - 9818</t>
  </si>
  <si>
    <t>jpacho700@ext.uber.com</t>
  </si>
  <si>
    <t>Acevedo, Mariana - 9357</t>
  </si>
  <si>
    <t>maceve16@ext.uber.com</t>
  </si>
  <si>
    <t>Olea, Gloria - 2681</t>
  </si>
  <si>
    <t>golea@ext.uber.com</t>
  </si>
  <si>
    <t>Tambo, Laura - 4115</t>
  </si>
  <si>
    <t>ltambo@ext.uber.com</t>
  </si>
  <si>
    <t>Gutierrez, Joan - 0474</t>
  </si>
  <si>
    <t>jgutie109@ext.uber.com</t>
  </si>
  <si>
    <t>Quintanilla, Jennifer - 7910</t>
  </si>
  <si>
    <t>jquint63@ext.uber.com</t>
  </si>
  <si>
    <t>Garzon, Dayana - 3400</t>
  </si>
  <si>
    <t>dgarzo23@ext.uber.com</t>
  </si>
  <si>
    <t>Quintana, Cristian - 3435</t>
  </si>
  <si>
    <t>cquint13@ext.uber.com</t>
  </si>
  <si>
    <t>Gonzalez, Nelson - 7293</t>
  </si>
  <si>
    <t>ngonza44@ext.uber.com</t>
  </si>
  <si>
    <t>Fonseca, Santiago - 0504</t>
  </si>
  <si>
    <t>sfonse10@ext.uber.com</t>
  </si>
  <si>
    <t>Avendano, Diana - 4621</t>
  </si>
  <si>
    <t>davend2@ext.uber.com</t>
  </si>
  <si>
    <t>Rengifo, Rafael - 4439</t>
  </si>
  <si>
    <t>rrengi1@ext.uber.com</t>
  </si>
  <si>
    <t>Angel, Sara - 4440</t>
  </si>
  <si>
    <t>sangel13@ext.uber.com</t>
  </si>
  <si>
    <t>Arbelaez, Tatiana - 9133</t>
  </si>
  <si>
    <t>tarbel1@ext.uber.com</t>
  </si>
  <si>
    <t>Apolinar, Jessica - 4442</t>
  </si>
  <si>
    <t>japoli3@ext.uber.com</t>
  </si>
  <si>
    <t>Huerfano, Jhon - 2418</t>
  </si>
  <si>
    <t>jhuerf3@ext.uber.com</t>
  </si>
  <si>
    <t>Torres, Luz - 1723</t>
  </si>
  <si>
    <t>ltorre52@ext.uber.com</t>
  </si>
  <si>
    <t>Martinez, Daniela - 4446</t>
  </si>
  <si>
    <t>dmarti119@ext.uber.com</t>
  </si>
  <si>
    <t>Obando, Paula - 6460</t>
  </si>
  <si>
    <t>poband@ext.uber.com</t>
  </si>
  <si>
    <t>Moncada, Michelle - 4448</t>
  </si>
  <si>
    <t>mmonca5@ext.uber.com</t>
  </si>
  <si>
    <t>Saavedra, Herleny - 4504</t>
  </si>
  <si>
    <t>hsaave3@ext.uber.com</t>
  </si>
  <si>
    <t>CondeG, Jonathan - 4487</t>
  </si>
  <si>
    <t>jconde13@ext.uber.com</t>
  </si>
  <si>
    <t>Rodriguez, Daniel - 8617</t>
  </si>
  <si>
    <t>drodri148@ext.uber.com</t>
  </si>
  <si>
    <t>Cabezas, Jessica - 4488</t>
  </si>
  <si>
    <t>jcabez2@ext.uber.com</t>
  </si>
  <si>
    <t>Celis, Maria - 8673</t>
  </si>
  <si>
    <t>mcelis2@ext.uber.com</t>
  </si>
  <si>
    <t>Prado, Juan - 4535</t>
  </si>
  <si>
    <t>jprado10@ext.uber.com</t>
  </si>
  <si>
    <t>Castro, Dana - 4612</t>
  </si>
  <si>
    <t>dcastr34@ext.uber.com</t>
  </si>
  <si>
    <t>Bastidas, Anibal - 6022</t>
  </si>
  <si>
    <t>abasti2@ext.uber.com</t>
  </si>
  <si>
    <t>Mahecha, Julian - 6437</t>
  </si>
  <si>
    <t>jmahec5@ext.uber.com</t>
  </si>
  <si>
    <t>GomezY, Angel - 1994</t>
  </si>
  <si>
    <t>agomez99@ext.uber.com</t>
  </si>
  <si>
    <t>Borbon, Paula - 8847</t>
  </si>
  <si>
    <t>pborbo@ext.uber.com</t>
  </si>
  <si>
    <t>Guerra, Any - 9646</t>
  </si>
  <si>
    <t>aguerr34@ext.uber.com</t>
  </si>
  <si>
    <t>Aguilar, Carlos - 6532</t>
  </si>
  <si>
    <t>caguil28@ext.uber.com</t>
  </si>
  <si>
    <t>Sthormes, Pedro - 8860</t>
  </si>
  <si>
    <t>psthor@ext.uber.com</t>
  </si>
  <si>
    <t>Rativa, Camilo - 9824</t>
  </si>
  <si>
    <t>crativ@ext.uber.com</t>
  </si>
  <si>
    <t>Montana, Andres - 2835</t>
  </si>
  <si>
    <t>amonta16@ext.uber.com</t>
  </si>
  <si>
    <t>Jejen, Sandra - 3612</t>
  </si>
  <si>
    <t>sjejen@ext.uber.com</t>
  </si>
  <si>
    <t>Duran, Johan - 8422</t>
  </si>
  <si>
    <t>jduran27@ext.uber.com</t>
  </si>
  <si>
    <t>Moreno, Jonathan - 9179</t>
  </si>
  <si>
    <t>jmoren87@ext.uber.com</t>
  </si>
  <si>
    <t>Cardenas, Liliam - 8229</t>
  </si>
  <si>
    <t>lcarde24@ext.uber.com</t>
  </si>
  <si>
    <t>Castro, Aaron - 7739</t>
  </si>
  <si>
    <t>acastr62@ext.uber.com</t>
  </si>
  <si>
    <t>Ribon, Roxanna - 4965</t>
  </si>
  <si>
    <t>rribon@ext.uber.com</t>
  </si>
  <si>
    <t>Dangond, Felipe - 7740</t>
  </si>
  <si>
    <t>fdango@ext.uber.com</t>
  </si>
  <si>
    <t>Amariles, Vashir - 7790</t>
  </si>
  <si>
    <t>vamari@ext.uber.com</t>
  </si>
  <si>
    <t>Espinel, Julian - 8855</t>
  </si>
  <si>
    <t>jespin48@ext.uber.com</t>
  </si>
  <si>
    <t>Oquendo, Chrystian - 0938</t>
  </si>
  <si>
    <t>coquen@ext.uber.com</t>
  </si>
  <si>
    <t>Rodriguez, Carol - 8076</t>
  </si>
  <si>
    <t>crodri145@ext.uber.com</t>
  </si>
  <si>
    <t>Hincapie, Sayra - 6156</t>
  </si>
  <si>
    <t>shinca1@ext.uber.com</t>
  </si>
  <si>
    <t>Arias, Cristina - 4135</t>
  </si>
  <si>
    <t>carias10@ext.uber.com</t>
  </si>
  <si>
    <t>Diaz, Diana - 8883</t>
  </si>
  <si>
    <t>ddiaz46@ext.uber.com</t>
  </si>
  <si>
    <t>Cerinza, Wilmer - 4257</t>
  </si>
  <si>
    <t>wcerin@ext.uber.com</t>
  </si>
  <si>
    <t>Gomez, Brian - 9852</t>
  </si>
  <si>
    <t>bgomez14@ext.uber.com</t>
  </si>
  <si>
    <t>Pedraza, Franklin - 4254</t>
  </si>
  <si>
    <t>fpedra2@ext.uber.com</t>
  </si>
  <si>
    <t>Laureano, Luz - 5097</t>
  </si>
  <si>
    <t>llaure4@ext.uber.com</t>
  </si>
  <si>
    <t>Espejo, Karol - 4647</t>
  </si>
  <si>
    <t>kespej4@ext.uber.com</t>
  </si>
  <si>
    <t>De La Espriella, Steven - 5435</t>
  </si>
  <si>
    <t>sdelae1@ext.uber.com</t>
  </si>
  <si>
    <t>Caicedo, Erika - 7464</t>
  </si>
  <si>
    <t>ecaice6@ext.uber.com</t>
  </si>
  <si>
    <t>Nino, Carlos - 4642</t>
  </si>
  <si>
    <t>cnino10@ext.uber.com</t>
  </si>
  <si>
    <t>Mendez, Maria - 4111</t>
  </si>
  <si>
    <t>mmende51@ext.uber.com</t>
  </si>
  <si>
    <t>Esquivel, Laura - 9867</t>
  </si>
  <si>
    <t>lesqui3@ext.uber.com</t>
  </si>
  <si>
    <t>Zamora, Juan - 8978</t>
  </si>
  <si>
    <t>jzamor22@ext.uber.com</t>
  </si>
  <si>
    <t>DuqueJ, Daniel - 1582</t>
  </si>
  <si>
    <t>dduque8@ext.uber.com</t>
  </si>
  <si>
    <t>Pena, Brayan - 6032</t>
  </si>
  <si>
    <t>bpena2@ext.uber.com</t>
  </si>
  <si>
    <t>Carrillo, Julian - 2669</t>
  </si>
  <si>
    <t>jcarri23@ext.uber.com</t>
  </si>
  <si>
    <t>Chavarro, Esteban - 2404</t>
  </si>
  <si>
    <t>echava1@ext.uber.com</t>
  </si>
  <si>
    <t>Teran, Sebastian - 2476</t>
  </si>
  <si>
    <t>steran@ext.uber.com</t>
  </si>
  <si>
    <t>CortesS, Cristian - 2677</t>
  </si>
  <si>
    <t>ccorte18@ext.uber.com</t>
  </si>
  <si>
    <t>Suarez, Fabiola - 8227</t>
  </si>
  <si>
    <t>fsuare4@ext.uber.com</t>
  </si>
  <si>
    <t>Orjuela, Constanza - 6030</t>
  </si>
  <si>
    <t>corjue3@ext.uber.com</t>
  </si>
  <si>
    <t>Padilla, Cesar - 9618</t>
  </si>
  <si>
    <t>cpadil12@ext.uber.com</t>
  </si>
  <si>
    <t>Arroyo, Albani - 8249</t>
  </si>
  <si>
    <t>aarroy8@ext.uber.com</t>
  </si>
  <si>
    <t>Gacha, Johan - 2033</t>
  </si>
  <si>
    <t>jgacha2@ext.uber.com</t>
  </si>
  <si>
    <t>Bastidas, Nury - 8110</t>
  </si>
  <si>
    <t>nbasti2@ext.uber.com</t>
  </si>
  <si>
    <t>AlvarezS, Juan - 8314</t>
  </si>
  <si>
    <t>jalvar106@ext.uber.com</t>
  </si>
  <si>
    <t>Negrette, Yesmit - 9498</t>
  </si>
  <si>
    <t>ynegre1@ext.uber.com</t>
  </si>
  <si>
    <t>Castro, Diana - 0821</t>
  </si>
  <si>
    <t>dcastr35@ext.uber.com</t>
  </si>
  <si>
    <t>Chacon, Brayan - 7496</t>
  </si>
  <si>
    <t>bchaco2@ext.uber.com</t>
  </si>
  <si>
    <t>Ramirez, Yudy - 7506</t>
  </si>
  <si>
    <t>yramir23@ext.uber.com</t>
  </si>
  <si>
    <t>Jimenez, Alejandra - 7494</t>
  </si>
  <si>
    <t>ajimen56@ext.uber.com</t>
  </si>
  <si>
    <t>Vargas, Brathyan - 6626</t>
  </si>
  <si>
    <t>bvarga12@ext.uber.com</t>
  </si>
  <si>
    <t>Sarmiento, Nicole - 6901</t>
  </si>
  <si>
    <t>nsarmi7@ext.uber.com</t>
  </si>
  <si>
    <t>Garcia, Karol - 3941</t>
  </si>
  <si>
    <t>kgarci58@ext.uber.com</t>
  </si>
  <si>
    <t>Castiblanco, Juan - 3965</t>
  </si>
  <si>
    <t>jcasti110@ext.uber.com</t>
  </si>
  <si>
    <t>Devia, Laura - 3627</t>
  </si>
  <si>
    <t>ldevia@ext.uber.com</t>
  </si>
  <si>
    <t>Gutierrez, Jose - 3968</t>
  </si>
  <si>
    <t>jgutie110@ext.uber.com</t>
  </si>
  <si>
    <t>Albarracin, Fabian - 4949</t>
  </si>
  <si>
    <t>falbar@ext.uber.com</t>
  </si>
  <si>
    <t>Moyano, Karent - 6139</t>
  </si>
  <si>
    <t>kmoyan1@ext.uber.com</t>
  </si>
  <si>
    <t>Casallas, Camilo - 7620</t>
  </si>
  <si>
    <t>ccasal3@ext.uber.com</t>
  </si>
  <si>
    <t>Morales, Omar - 3629</t>
  </si>
  <si>
    <t>omoral9@ext.uber.com</t>
  </si>
  <si>
    <t>Cespedes, Jessica - 3756</t>
  </si>
  <si>
    <t>jcespe1@ext.uber.com</t>
  </si>
  <si>
    <t>MartinezA, Maria - 3961</t>
  </si>
  <si>
    <t>mmarti191@ext.uber.com</t>
  </si>
  <si>
    <t>Garzon, Jan - 3370</t>
  </si>
  <si>
    <t>jgarzo25@ext.uber.com</t>
  </si>
  <si>
    <t>Martinez, Diana - 3754</t>
  </si>
  <si>
    <t>dmarti121@ext.uber.com</t>
  </si>
  <si>
    <t>Quiroz, Geraldinne - 9036</t>
  </si>
  <si>
    <t>Llanos, Jhon</t>
  </si>
  <si>
    <t>gquiro5@ext.uber.com</t>
  </si>
  <si>
    <t>Velandia, Estefani - 9047</t>
  </si>
  <si>
    <t>evelan@ext.uber.com</t>
  </si>
  <si>
    <t>Fonseca, Yorley - 3760</t>
  </si>
  <si>
    <t>yfonse4@ext.uber.com</t>
  </si>
  <si>
    <t>Coronado, Diego - 6302</t>
  </si>
  <si>
    <t>dcoron9@ext.uber.com</t>
  </si>
  <si>
    <t>Martinez, Angelica - 7163</t>
  </si>
  <si>
    <t>amarti193@ext.uber.com</t>
  </si>
  <si>
    <t>Baez, Jonathan - 7501</t>
  </si>
  <si>
    <t>Pinzon, Juan</t>
  </si>
  <si>
    <t>jbaez9@ext.uber.com</t>
  </si>
  <si>
    <t>Hurtado, Jonathan - 4519</t>
  </si>
  <si>
    <t>jhurta21@ext.uber.com</t>
  </si>
  <si>
    <t>PenaC, Maria - 5957</t>
  </si>
  <si>
    <t>mpeaa2@ext.uber.com</t>
  </si>
  <si>
    <t>Leiva, Luz - 4818</t>
  </si>
  <si>
    <t>lleiva4@ext.uber.com</t>
  </si>
  <si>
    <t>Espinel, Daniela - 6253</t>
  </si>
  <si>
    <t>despin27@ext.uber.com</t>
  </si>
  <si>
    <t>Posada, Santiago - 4380</t>
  </si>
  <si>
    <t>sposad5@ext.uber.com</t>
  </si>
  <si>
    <t>Moreno, Sara - 9702</t>
  </si>
  <si>
    <t>smoren34@ext.uber.com</t>
  </si>
  <si>
    <t>Galvez, Amaury - 6132</t>
  </si>
  <si>
    <t>agalve9@ext.uber.com</t>
  </si>
  <si>
    <t>Artunduaga, Laura - 4379</t>
  </si>
  <si>
    <t>lartun@ext.uber.com</t>
  </si>
  <si>
    <t>Correa, Juan - 5765</t>
  </si>
  <si>
    <t>jcorre40@ext.uber.com</t>
  </si>
  <si>
    <t>Rivas, Johan - 1733</t>
  </si>
  <si>
    <t>Castaneda, Elizabeth - 4212</t>
  </si>
  <si>
    <t>ecasta9@ext.uber.com</t>
  </si>
  <si>
    <t>Prieto, Hailyn - 5489</t>
  </si>
  <si>
    <t>hpriet1@ext.uber.com</t>
  </si>
  <si>
    <t>Rodriguez, Anggie - 4193</t>
  </si>
  <si>
    <t>arodri246@ext.uber.com</t>
  </si>
  <si>
    <t>Zapata, Nicoll - 7774</t>
  </si>
  <si>
    <t>nzapat7@ext.uber.com</t>
  </si>
  <si>
    <t>Zapata, Yorman - 7773</t>
  </si>
  <si>
    <t>yzapat6@ext.uber.com</t>
  </si>
  <si>
    <t>Ladino, Johana - 5048</t>
  </si>
  <si>
    <t>jladin5@ext.uber.com</t>
  </si>
  <si>
    <t>Lara, Jerly - 5481</t>
  </si>
  <si>
    <t>jlara25@ext.uber.com</t>
  </si>
  <si>
    <t>Velasquez, Lauren - 6897</t>
  </si>
  <si>
    <t>lvelas27@ext.uber.com</t>
  </si>
  <si>
    <t>MedinaB, Juan - 6902</t>
  </si>
  <si>
    <t>jmedin47@ext.uber.com</t>
  </si>
  <si>
    <t>Galvis, Fany - 3595</t>
  </si>
  <si>
    <t>fgalvi@ext.uber.com</t>
  </si>
  <si>
    <t>Gonzalez, Santiago - 4088</t>
  </si>
  <si>
    <t>sgonza72@ext.uber.com</t>
  </si>
  <si>
    <t>Bejarano, Yennis - 7684</t>
  </si>
  <si>
    <t>ybejar1@ext.uber.com</t>
  </si>
  <si>
    <t>Sierra, Diego - 6601</t>
  </si>
  <si>
    <t>dsierr15@ext.uber.com</t>
  </si>
  <si>
    <t>Lancheros, Daniela - 6463</t>
  </si>
  <si>
    <t>dlanch3@ext.uber.com</t>
  </si>
  <si>
    <t>VargasT, Angie - 6900</t>
  </si>
  <si>
    <t>avarga58@ext.uber.com</t>
  </si>
  <si>
    <t>Piedrahita, William - 3510</t>
  </si>
  <si>
    <t>wpiedr700@ext.uber.com</t>
  </si>
  <si>
    <t>Quintero, Lady - 1991</t>
  </si>
  <si>
    <t>lquint19@ext.uber.com</t>
  </si>
  <si>
    <t>Morales, Estiben - 6606</t>
  </si>
  <si>
    <t>emoral37@ext.uber.com</t>
  </si>
  <si>
    <t>Morillo, Maria - 7515</t>
  </si>
  <si>
    <t>mmoril700@ext.uber.com</t>
  </si>
  <si>
    <t>Velasco, Juan - 3528</t>
  </si>
  <si>
    <t>jvelas47@ext.uber.com</t>
  </si>
  <si>
    <t>Santamaria, Valentina - 5465</t>
  </si>
  <si>
    <t>vsanta700@ext.uber.com</t>
  </si>
  <si>
    <t>Diaz, Maicol - 6060</t>
  </si>
  <si>
    <t>mdiaz500@ext.uber.com</t>
  </si>
  <si>
    <t>Garzon, Paula - 3509</t>
  </si>
  <si>
    <t>pgarzo700@ext.uber.com</t>
  </si>
  <si>
    <t>Andrade, Luis - 7047</t>
  </si>
  <si>
    <t>landra18@ext.uber.com</t>
  </si>
  <si>
    <t>Lozano, Jennyfer - 5445</t>
  </si>
  <si>
    <t>jlozan700@ext.uber.com</t>
  </si>
  <si>
    <t>Laverde, Lorena - 5942</t>
  </si>
  <si>
    <t>llaver700@ext.uber.com</t>
  </si>
  <si>
    <t>Bautista, Juan - 4292</t>
  </si>
  <si>
    <t>jbauti56@ext.uber.com</t>
  </si>
  <si>
    <t>Melo, Diego - 3511</t>
  </si>
  <si>
    <t>dmelo700@ext.uber.com</t>
  </si>
  <si>
    <t>Tellez, Angie - 3284</t>
  </si>
  <si>
    <t>atelle13@ext.uber.com</t>
  </si>
  <si>
    <t>RomeroV, Juan - 5709</t>
  </si>
  <si>
    <t>jromer85@ext.uber.com</t>
  </si>
  <si>
    <t>Diaz, Nicoll - 4681</t>
  </si>
  <si>
    <t>ndiaz500@ext.uber.com</t>
  </si>
  <si>
    <t>Munera, Sebastian - 5426</t>
  </si>
  <si>
    <t>smuner500@ext.uber.com</t>
  </si>
  <si>
    <t>Avendano, David - 4679</t>
  </si>
  <si>
    <t>davend500@ext.uber.com</t>
  </si>
  <si>
    <t>Atoche, Camilo - 6033</t>
  </si>
  <si>
    <t>cdela500@ext.uber.com</t>
  </si>
  <si>
    <t>Diaz, Bruno - 7494</t>
  </si>
  <si>
    <t>bdiaz500@ext.uber.com</t>
  </si>
  <si>
    <t>Urbano, Gabriel - 7402</t>
  </si>
  <si>
    <t>gurban700@ext.uber.com</t>
  </si>
  <si>
    <t>Gutierrez, Jorge - 9273</t>
  </si>
  <si>
    <t>jgutie700@ext.uber.com</t>
  </si>
  <si>
    <t>Galvis, Maryuri - 7502</t>
  </si>
  <si>
    <t>mgalvi700@ext.uber.com</t>
  </si>
  <si>
    <t>Ballen, Jonathan - 9275</t>
  </si>
  <si>
    <t>jballe700@ext.uber.com</t>
  </si>
  <si>
    <t>Guerra, Santiago - 6203</t>
  </si>
  <si>
    <t>ssuare18@ext.uber.com</t>
  </si>
  <si>
    <t>Bayona, Gabriela - 8240</t>
  </si>
  <si>
    <t>gbayon@ext.uber.com</t>
  </si>
  <si>
    <t>Bojaca, Julian - 1997</t>
  </si>
  <si>
    <t>jbojac@ext.uber.com</t>
  </si>
  <si>
    <t>Mora, Natalia - 2578</t>
  </si>
  <si>
    <t>nmora1@ext.uber.com</t>
  </si>
  <si>
    <t>GonzalezS, Juan - 7503</t>
  </si>
  <si>
    <t>jgonza235@ext.uber.com</t>
  </si>
  <si>
    <t>Rojas, Jineth - 3577</t>
  </si>
  <si>
    <t>jrojas76@ext.uber.com</t>
  </si>
  <si>
    <t>Pena, Maria - 3616</t>
  </si>
  <si>
    <t>mpeaa1@ext.uber.com</t>
  </si>
  <si>
    <t>Mosquera, Alexandra - 9876</t>
  </si>
  <si>
    <t>amosqu5@ext.uber.com</t>
  </si>
  <si>
    <t>Oses, Andres - 1447</t>
  </si>
  <si>
    <t>aoses@ext.uber.com</t>
  </si>
  <si>
    <t>Bedoya, Luisa - 8861</t>
  </si>
  <si>
    <t>lbedoy@ext.uber.com</t>
  </si>
  <si>
    <t>PerezP, Laura - 8837</t>
  </si>
  <si>
    <t>lperez74@ext.uber.com</t>
  </si>
  <si>
    <t>Mejia, Madelein - 6446</t>
  </si>
  <si>
    <t>mmejia40@ext.uber.com</t>
  </si>
  <si>
    <t>DuranL, Laura - 8218</t>
  </si>
  <si>
    <t>lduran14@ext.uber.com</t>
  </si>
  <si>
    <t>Mazo, Valentina - 9288</t>
  </si>
  <si>
    <t>vmazo@ext.uber.com</t>
  </si>
  <si>
    <t>Carrillo, Ferney - 9380</t>
  </si>
  <si>
    <t>fcarri5@ext.uber.com</t>
  </si>
  <si>
    <t>Echeverry, Juan - 3971</t>
  </si>
  <si>
    <t>jechev13@ext.uber.com</t>
  </si>
  <si>
    <t>Zamudio, Brian - 5941</t>
  </si>
  <si>
    <t>bzamud@ext.uber.com</t>
  </si>
  <si>
    <t>Perez, Natalia - 1275</t>
  </si>
  <si>
    <t>nperez22@ext.uber.com</t>
  </si>
  <si>
    <t>Cortes, Catalina - 0562</t>
  </si>
  <si>
    <t>ccorte20@ext.uber.com</t>
  </si>
  <si>
    <t>Delgado, Camilo - 9601</t>
  </si>
  <si>
    <t>cdelga17@ext.uber.com</t>
  </si>
  <si>
    <t>CastroS, Juan - 9591</t>
  </si>
  <si>
    <t>jcastr95@ext.uber.com</t>
  </si>
  <si>
    <t>Forero, Sergio - 5174</t>
  </si>
  <si>
    <t>sforer2@ext.uber.com</t>
  </si>
  <si>
    <t>Rivas, Angel - 9002</t>
  </si>
  <si>
    <t>arivas12@ext.uber.com</t>
  </si>
  <si>
    <t>TorresC, Carlos - 9600</t>
  </si>
  <si>
    <t>ctorre68@ext.uber.com</t>
  </si>
  <si>
    <t>Sanabria, Cristian - 8994</t>
  </si>
  <si>
    <t>csanab@ext.uber.com</t>
  </si>
  <si>
    <t>MorenoP, Sergio - 1729</t>
  </si>
  <si>
    <t>smoren33@ext.uber.com</t>
  </si>
  <si>
    <t>Gonzalez, Jork - 6188</t>
  </si>
  <si>
    <t>jgonza237@ext.uber.com</t>
  </si>
  <si>
    <t>Nagles, Jan - 2793</t>
  </si>
  <si>
    <t>jnagle@ext.uber.com</t>
  </si>
  <si>
    <t>Parra, Fabian - 0646</t>
  </si>
  <si>
    <t>fparra6@ext.uber.com</t>
  </si>
  <si>
    <t>Rueda, Laura - 8265</t>
  </si>
  <si>
    <t>lrueda3@ext.uber.com</t>
  </si>
  <si>
    <t>Jimenez, Oscar - 5328</t>
  </si>
  <si>
    <t>ojimen3@ext.uber.com</t>
  </si>
  <si>
    <t>Acuna, Diana - 8381</t>
  </si>
  <si>
    <t>dacuna@ext.uber.com</t>
  </si>
  <si>
    <t>Gil, Yuly - 2860</t>
  </si>
  <si>
    <t>ygil4@ext.uber.com</t>
  </si>
  <si>
    <t>Herrera, Luis - 9006</t>
  </si>
  <si>
    <t>Cardozo, Yohan</t>
  </si>
  <si>
    <t>lherre38@ext.uber.com</t>
  </si>
  <si>
    <t>Rojas, Elkin - 8694</t>
  </si>
  <si>
    <t>erojas19@ext.uber.com</t>
  </si>
  <si>
    <t>GonzalezD, Laura - 8960</t>
  </si>
  <si>
    <t>lgonza107@ext.uber.com</t>
  </si>
  <si>
    <t>Espinosa, Jaime - 8701</t>
  </si>
  <si>
    <t>jespin49@ext.uber.com</t>
  </si>
  <si>
    <t>Rojas, Catherine - 8698</t>
  </si>
  <si>
    <t>crojas30@ext.uber.com</t>
  </si>
  <si>
    <t>Villegas, Mario - 9111</t>
  </si>
  <si>
    <t>mville24@ext.uber.com</t>
  </si>
  <si>
    <t>Ardila, Alejandro - 8696</t>
  </si>
  <si>
    <t>aardil6@ext.uber.com</t>
  </si>
  <si>
    <t>Samaca, Chirly - 9106</t>
  </si>
  <si>
    <t>csamac@ext.uber.com</t>
  </si>
  <si>
    <t>Ramirez, Kevin - 8981</t>
  </si>
  <si>
    <t>kramir37@ext.uber.com</t>
  </si>
  <si>
    <t>Mesa, Andres - 8695</t>
  </si>
  <si>
    <t>amesa9@ext.uber.com</t>
  </si>
  <si>
    <t>Florez, Brayan - 4966</t>
  </si>
  <si>
    <t>Luque, Maria</t>
  </si>
  <si>
    <t>Morales, Marcos</t>
  </si>
  <si>
    <t>Vasquez, Kley</t>
  </si>
  <si>
    <t>bflore14@ext.uber.com</t>
  </si>
  <si>
    <t>PerezO, Andres - 8160</t>
  </si>
  <si>
    <t>aperez136@ext.uber.com</t>
  </si>
  <si>
    <t>Arrieta, Mateo - 5083</t>
  </si>
  <si>
    <t>marrie4@ext.uber.com</t>
  </si>
  <si>
    <t>Zuleta, Paola - 4977</t>
  </si>
  <si>
    <t>pzulet1@ext.uber.com</t>
  </si>
  <si>
    <t>Castano, Jeisson - 7830</t>
  </si>
  <si>
    <t>jcasta51@ext.uber.com</t>
  </si>
  <si>
    <t>Silva, Maria - 4952</t>
  </si>
  <si>
    <t>msilva158@ext.uber.com</t>
  </si>
  <si>
    <t>RodriguezA, Linda - 7831</t>
  </si>
  <si>
    <t>lrodri156@ext.uber.com</t>
  </si>
  <si>
    <t>Estrada, Kelly - 4987</t>
  </si>
  <si>
    <t>kestra7@ext.uber.com</t>
  </si>
  <si>
    <t>Laiseca, Luana - 7833</t>
  </si>
  <si>
    <t>llaise1@ext.uber.com</t>
  </si>
  <si>
    <t>Cuartas, Yeimy - 4979</t>
  </si>
  <si>
    <t>ycuart@ext.uber.com</t>
  </si>
  <si>
    <t>Garzon, Angie - 9637</t>
  </si>
  <si>
    <t>agarzo24@ext.uber.com</t>
  </si>
  <si>
    <t>Morales, Miguel - 3722</t>
  </si>
  <si>
    <t>mmoral72@ext.uber.com</t>
  </si>
  <si>
    <t>Gutierrez, Kevin - 7829</t>
  </si>
  <si>
    <t>kgutie17@ext.uber.com</t>
  </si>
  <si>
    <t>Castaneda, Karen - 0649</t>
  </si>
  <si>
    <t>kcasta10@ext.uber.com</t>
  </si>
  <si>
    <t>Gil, Jenny - 1236</t>
  </si>
  <si>
    <t>jgil10@ext.uber.com</t>
  </si>
  <si>
    <t>Forero, Maria - 0773</t>
  </si>
  <si>
    <t>mforer13@ext.uber.com</t>
  </si>
  <si>
    <t>Deantonio, Juan - 9662</t>
  </si>
  <si>
    <t>jdeant1@ext.uber.com</t>
  </si>
  <si>
    <t>Monroy, Marylin - 7115</t>
  </si>
  <si>
    <t>mmonro11@ext.uber.com</t>
  </si>
  <si>
    <t>Jimenez, Maria - 7119</t>
  </si>
  <si>
    <t>mjimen68@ext.uber.com</t>
  </si>
  <si>
    <t>De Sola Alzate, Luis - 8333</t>
  </si>
  <si>
    <t>lsola@ext.uber.com</t>
  </si>
  <si>
    <t>Quiroz, Jennifer - 7348</t>
  </si>
  <si>
    <t>jquiro22@ext.uber.com</t>
  </si>
  <si>
    <t>Bello, Juan - 8473</t>
  </si>
  <si>
    <t>jbello11@ext.uber.com</t>
  </si>
  <si>
    <t>Malambo, Dwilvier - 6477</t>
  </si>
  <si>
    <t>dmalam@ext.uber.com</t>
  </si>
  <si>
    <t>Chaves, Juan - 3019</t>
  </si>
  <si>
    <t>jchave59@ext.uber.com</t>
  </si>
  <si>
    <t>Hernandez, Yerson - 1530</t>
  </si>
  <si>
    <t>yherna34@ext.uber.com</t>
  </si>
  <si>
    <t>Balaguera, Anyeli - 3026</t>
  </si>
  <si>
    <t>abalag1@ext.uber.com</t>
  </si>
  <si>
    <t>Florez, Tatiana - 4524</t>
  </si>
  <si>
    <t>tflore7@ext.uber.com</t>
  </si>
  <si>
    <t>Sandoval, Jheison - 6322</t>
  </si>
  <si>
    <t>jsando21@ext.uber.com</t>
  </si>
  <si>
    <t>Sanabria, Sebastian - 3419</t>
  </si>
  <si>
    <t>ssanab9@ext.uber.com</t>
  </si>
  <si>
    <t>Gamba, Victor - 3418</t>
  </si>
  <si>
    <t>vgamba@ext.uber.com</t>
  </si>
  <si>
    <t>OrozcoP, Johan - 2741</t>
  </si>
  <si>
    <t>jorozc16@ext.uber.com</t>
  </si>
  <si>
    <t>Chavez, Nicole - 4376</t>
  </si>
  <si>
    <t>nchave8@ext.uber.com</t>
  </si>
  <si>
    <t>Mora, Andres - 2779</t>
  </si>
  <si>
    <t>amora25@ext.uber.com</t>
  </si>
  <si>
    <t>Herrera, Maria - 0225</t>
  </si>
  <si>
    <t>mherre39@ext.uber.com</t>
  </si>
  <si>
    <t>Suarez, Gabriel - 9374</t>
  </si>
  <si>
    <t>gsuare10@ext.uber.com</t>
  </si>
  <si>
    <t>Munoz, Angela - 2598</t>
  </si>
  <si>
    <t>amunoz50@ext.uber.com</t>
  </si>
  <si>
    <t>Calderon, Sergio - 4603</t>
  </si>
  <si>
    <t>scalde6@ext.uber.com</t>
  </si>
  <si>
    <t>Guzman, Jean - 9876</t>
  </si>
  <si>
    <t>jguzma50@ext.uber.com</t>
  </si>
  <si>
    <t>Lopez, Carol - 6422</t>
  </si>
  <si>
    <t>clopez86@ext.uber.com</t>
  </si>
  <si>
    <t>Yaso, Ana - 3697</t>
  </si>
  <si>
    <t>ayaso@ext.uber.com</t>
  </si>
  <si>
    <t>Reyes, David - 7609</t>
  </si>
  <si>
    <t>dreyes47@ext.uber.com</t>
  </si>
  <si>
    <t>Ronco, Cristian - 8456</t>
  </si>
  <si>
    <t>cronco@ext.uber.com</t>
  </si>
  <si>
    <t>Longa, Jhon - 0973</t>
  </si>
  <si>
    <t>jlonga1@ext.uber.com</t>
  </si>
  <si>
    <t>Murayari, Angelita - 3574</t>
  </si>
  <si>
    <t>amuray@ext.uber.com</t>
  </si>
  <si>
    <t>Rodriguez, Maria - 9192</t>
  </si>
  <si>
    <t>mrodri202@ext.uber.com</t>
  </si>
  <si>
    <t>Zapata, Juanita - 9101</t>
  </si>
  <si>
    <t>jpardo19@ext.uber.com</t>
  </si>
  <si>
    <t>Mendez, Jhonatan - 9139</t>
  </si>
  <si>
    <t>jmende66@ext.uber.com</t>
  </si>
  <si>
    <t>Zambrano, Jordan De Jesus - 9731</t>
  </si>
  <si>
    <t>jzambr8@ext.uber.com</t>
  </si>
  <si>
    <t>Sanchez, Juan - 9194</t>
  </si>
  <si>
    <t>jsanch194@ext.uber.com</t>
  </si>
  <si>
    <t>Rincon, Jeremy - 7110</t>
  </si>
  <si>
    <t>jrinco27@ext.uber.com</t>
  </si>
  <si>
    <t>Garcia, Johanna - 7546</t>
  </si>
  <si>
    <t>jgarci302@ext.uber.com</t>
  </si>
  <si>
    <t>Camargo, Jose - 9134</t>
  </si>
  <si>
    <t>jcamar32@ext.uber.com</t>
  </si>
  <si>
    <t>Castaneda, Jean - 2184</t>
  </si>
  <si>
    <t>Luna, Maria</t>
  </si>
  <si>
    <t>jcasta52@ext.uber.com</t>
  </si>
  <si>
    <t>Giraldo, Maria - 7959</t>
  </si>
  <si>
    <t>mgiral21@ext.uber.com</t>
  </si>
  <si>
    <t>Paz, Miguel - 4244</t>
  </si>
  <si>
    <t>mpaz7@ext.uber.com</t>
  </si>
  <si>
    <t>Daza, Viviana - 9382</t>
  </si>
  <si>
    <t>vdaza3@ext.uber.com</t>
  </si>
  <si>
    <t>Castillo, Camilo - 4318</t>
  </si>
  <si>
    <t>ccasti46@ext.uber.com</t>
  </si>
  <si>
    <t>DeLaOssa, Santiago - 7891</t>
  </si>
  <si>
    <t>sdelao@ext.uber.com</t>
  </si>
  <si>
    <t>Calvo, Brayan - 9431</t>
  </si>
  <si>
    <t>bcalvo3@ext.uber.com</t>
  </si>
  <si>
    <t>Gutierrez, Liquei - 1235</t>
  </si>
  <si>
    <t>lgutie41@ext.uber.com</t>
  </si>
  <si>
    <t>Ramirez, Emanuel - 9721</t>
  </si>
  <si>
    <t>eramir44@ext.uber.com</t>
  </si>
  <si>
    <t>Rincon, David - 8619</t>
  </si>
  <si>
    <t>drinco14@ext.uber.com</t>
  </si>
  <si>
    <t>Fiaga, Luis - 4120</t>
  </si>
  <si>
    <t>lfiaga@ext.uber.com</t>
  </si>
  <si>
    <t>Castellanos, Jairo - 8145</t>
  </si>
  <si>
    <t>jcaste28@ext.uber.com</t>
  </si>
  <si>
    <t>Vargas, Diego - 0773</t>
  </si>
  <si>
    <t>dvarga44@ext.uber.com</t>
  </si>
  <si>
    <t>Daza, Carol - 7525</t>
  </si>
  <si>
    <t>TorresR, Cristian</t>
  </si>
  <si>
    <t>cdaza6@ext.uber.com</t>
  </si>
  <si>
    <t>Jimenez, Mariana - 6304</t>
  </si>
  <si>
    <t>mjimen69@ext.uber.com</t>
  </si>
  <si>
    <t>Arias, Kevin - 9042</t>
  </si>
  <si>
    <t>karias4@ext.uber.com</t>
  </si>
  <si>
    <t>Cangrejo, Jhohens - 6222</t>
  </si>
  <si>
    <t>jcangr@ext.uber.com</t>
  </si>
  <si>
    <t>Gaitan, Brandon - 4463</t>
  </si>
  <si>
    <t>bgaita1@ext.uber.com</t>
  </si>
  <si>
    <t>Oliveros, Roderick - 6235</t>
  </si>
  <si>
    <t>rolive92@ext.uber.com</t>
  </si>
  <si>
    <t>Santamaria, Nicolas - 9032</t>
  </si>
  <si>
    <t>nsanta12@ext.uber.com</t>
  </si>
  <si>
    <t>Casteneda, Angel - 6301</t>
  </si>
  <si>
    <t>acaste21@ext.uber.com</t>
  </si>
  <si>
    <t>Segura, Johana - 9040</t>
  </si>
  <si>
    <t>jsegur12@ext.uber.com</t>
  </si>
  <si>
    <t>Martinez, Maritza - 9035</t>
  </si>
  <si>
    <t>mmarti197@ext.uber.com</t>
  </si>
  <si>
    <t>Soler, Carlos - 7080</t>
  </si>
  <si>
    <t>csoler1@ext.uber.com</t>
  </si>
  <si>
    <t>Cabrera, Eillen - 3015</t>
  </si>
  <si>
    <t>ecabre9@ext.uber.com</t>
  </si>
  <si>
    <t>Navarro, Ruby - 0782</t>
  </si>
  <si>
    <t>rnavar21@ext.uber.com</t>
  </si>
  <si>
    <t>Rodriguez, Harbey - 6243</t>
  </si>
  <si>
    <t>hrodri36@ext.uber.com</t>
  </si>
  <si>
    <t>Parra, Juliana - 6226</t>
  </si>
  <si>
    <t>jparra39@ext.uber.com</t>
  </si>
  <si>
    <t>Bustos, Santiago - 6221</t>
  </si>
  <si>
    <t>sbusto2@ext.uber.com</t>
  </si>
  <si>
    <t>Camelo, Jose - 6224</t>
  </si>
  <si>
    <t>jcamel2@ext.uber.com</t>
  </si>
  <si>
    <t>Amaya, David - 6303</t>
  </si>
  <si>
    <t>damaya12@ext.uber.com</t>
  </si>
  <si>
    <t>Santoyo, Cesar - 7233</t>
  </si>
  <si>
    <t>csanto135@ext.uber.com</t>
  </si>
  <si>
    <t>Briceno, Rafael - 6257</t>
  </si>
  <si>
    <t>rbrice1@ext.uber.com</t>
  </si>
  <si>
    <t>Lopez, Jean - 8310</t>
  </si>
  <si>
    <t>jlopez240@ext.uber.com</t>
  </si>
  <si>
    <t>Pacheco, Lizeth - 8259</t>
  </si>
  <si>
    <t>lpache6@ext.uber.com</t>
  </si>
  <si>
    <t>Ortega, Natalia - 8239</t>
  </si>
  <si>
    <t>norteg5@ext.uber.com</t>
  </si>
  <si>
    <t>Navarro, David - 8290</t>
  </si>
  <si>
    <t>dnavar12@ext.uber.com</t>
  </si>
  <si>
    <t>Caballero, Gabriella - 9033</t>
  </si>
  <si>
    <t>gcabal5@ext.uber.com</t>
  </si>
  <si>
    <t>Diaz, Miguel - 9227</t>
  </si>
  <si>
    <t>mdiaz81@ext.uber.com</t>
  </si>
  <si>
    <t>Rodriguez, Angie - 4436</t>
  </si>
  <si>
    <t>arodri254@ext.uber.com</t>
  </si>
  <si>
    <t>Magallanes, Yulieth - 4369</t>
  </si>
  <si>
    <t>ymagal@ext.uber.com</t>
  </si>
  <si>
    <t>Marin, Johnny - 4116</t>
  </si>
  <si>
    <t>jmarin44@ext.uber.com</t>
  </si>
  <si>
    <t>Quintero, David - 3367</t>
  </si>
  <si>
    <t>dquint23@ext.uber.com</t>
  </si>
  <si>
    <t>Canon, Brayan - 3790</t>
  </si>
  <si>
    <t>bmarti50@ext.uber.com</t>
  </si>
  <si>
    <t>Pena, Jhoan - 4478</t>
  </si>
  <si>
    <t>jpena33@ext.uber.com</t>
  </si>
  <si>
    <t>RodriguezR, Jhon - 4637</t>
  </si>
  <si>
    <t>jrodri340@ext.uber.com</t>
  </si>
  <si>
    <t>Espinel, Sabirna - 6427</t>
  </si>
  <si>
    <t>sespin15@ext.uber.com</t>
  </si>
  <si>
    <t>Ramirez, Alexander - 4381</t>
  </si>
  <si>
    <t>aramir111@ext.uber.com</t>
  </si>
  <si>
    <t>Ganan, Angie - 2756</t>
  </si>
  <si>
    <t>agaaan@ext.uber.com</t>
  </si>
  <si>
    <t>Martinez, Jhon - 3099</t>
  </si>
  <si>
    <t>jmarti281@ext.uber.com</t>
  </si>
  <si>
    <t>Velasquez, Dalia - 5470</t>
  </si>
  <si>
    <t>dvelas27@ext.uber.com</t>
  </si>
  <si>
    <t>Urdaneta, Kevin - 3815</t>
  </si>
  <si>
    <t>kurdan@ext.uber.com</t>
  </si>
  <si>
    <t>Ricaurte, Angie - 6429</t>
  </si>
  <si>
    <t>aricau4@ext.uber.com</t>
  </si>
  <si>
    <t>Florez, David - 5030</t>
  </si>
  <si>
    <t>dflore51@ext.uber.com</t>
  </si>
  <si>
    <t>Pena, Andreina - 3880</t>
  </si>
  <si>
    <t>apena11@ext.uber.com</t>
  </si>
  <si>
    <t>Angarita, Juan - 0337</t>
  </si>
  <si>
    <t>jangar6@ext.uber.com</t>
  </si>
  <si>
    <t>Villagran, Angie - 6174</t>
  </si>
  <si>
    <t>Gonzalez, Ana</t>
  </si>
  <si>
    <t>avilla106@ext.uber.com</t>
  </si>
  <si>
    <t>Rojas, Edwin - 6185</t>
  </si>
  <si>
    <t>erojas18@ext.uber.com</t>
  </si>
  <si>
    <t>Mesa, Cristian - 6180</t>
  </si>
  <si>
    <t>cmesa2@ext.uber.com</t>
  </si>
  <si>
    <t>Montoya, Jean - 6205</t>
  </si>
  <si>
    <t>jmonto31@ext.uber.com</t>
  </si>
  <si>
    <t>Aldana, Jasbleidy - 6176</t>
  </si>
  <si>
    <t>jaldan10@ext.uber.com</t>
  </si>
  <si>
    <t>Bermudez, Edvar - 6156</t>
  </si>
  <si>
    <t>ebermu3@ext.uber.com</t>
  </si>
  <si>
    <t>Lara, Geraldine - 6239</t>
  </si>
  <si>
    <t>Perea, Jordan</t>
  </si>
  <si>
    <t>glara5@ext.uber.com</t>
  </si>
  <si>
    <t>Villafane, Jonathan - 8315</t>
  </si>
  <si>
    <t>jvilla196@ext.uber.com</t>
  </si>
  <si>
    <t>Pineda, Ronny - 6233</t>
  </si>
  <si>
    <t>rpined17@ext.uber.com</t>
  </si>
  <si>
    <t>Bernal, Daniel - 6240</t>
  </si>
  <si>
    <t>dberna29@ext.uber.com</t>
  </si>
  <si>
    <t>RinconO, Maria - 6238</t>
  </si>
  <si>
    <t>mrinco12@ext.uber.com</t>
  </si>
  <si>
    <t>Galeano, Mayerly - 9283</t>
  </si>
  <si>
    <t>mgalea4@ext.uber.com</t>
  </si>
  <si>
    <t>Santamaria, Vallery - 9049</t>
  </si>
  <si>
    <t>vsanta11@ext.uber.com</t>
  </si>
  <si>
    <t>Leiva, Olga - 9043</t>
  </si>
  <si>
    <t>oleiva@ext.uber.com</t>
  </si>
  <si>
    <t>RinconC, Maria - 1176</t>
  </si>
  <si>
    <t>Rivas, Luis</t>
  </si>
  <si>
    <t>Bolivar, David - 7323</t>
  </si>
  <si>
    <t>Lopez, Diana - 8975</t>
  </si>
  <si>
    <t>dlopez93@ext.uber.com</t>
  </si>
  <si>
    <t>Bello, Lineth - 8969</t>
  </si>
  <si>
    <t>lbello3@ext.uber.com</t>
  </si>
  <si>
    <t>Velasquez, Jefrey - 8973</t>
  </si>
  <si>
    <t>Torres, Maria - 8977</t>
  </si>
  <si>
    <t>Zambrano, Juan - 8968</t>
  </si>
  <si>
    <t>jzambr9@ext.uber.com</t>
  </si>
  <si>
    <t>Diaz, Nayibe - 8974</t>
  </si>
  <si>
    <t>ndiaz22@ext.uber.com</t>
  </si>
  <si>
    <t>Rivera, Maria - 8970</t>
  </si>
  <si>
    <t>Soto, Cindy - 7318</t>
  </si>
  <si>
    <t>Sarmiento, Angela - 0287</t>
  </si>
  <si>
    <t>Infante, Jeidy - 0290</t>
  </si>
  <si>
    <t>Forero, Johan - 0561</t>
  </si>
  <si>
    <t>Ramirez, Sergio - 0288</t>
  </si>
  <si>
    <t>Delgado, Mariana - 0283</t>
  </si>
  <si>
    <t>Amezquita, Nicolas - 0306</t>
  </si>
  <si>
    <t>Rojas, Diana - 0292</t>
  </si>
  <si>
    <t>Gomez, Juan - 0295</t>
  </si>
  <si>
    <t>Gallo, Angie - 0291</t>
  </si>
  <si>
    <t>Jimenez, Yimi - 0767</t>
  </si>
  <si>
    <t>Atehortua, Khalil - 0043</t>
  </si>
  <si>
    <t>Henao, Julian</t>
  </si>
  <si>
    <t>Cuadro, Ana - 0963</t>
  </si>
  <si>
    <t>Castillo, Allison - 2202</t>
  </si>
  <si>
    <t>Gonzalez, Andres - 2162</t>
  </si>
  <si>
    <t>Sierra, Juan - 2208</t>
  </si>
  <si>
    <t>Gonzalez, Carmen - 2546</t>
  </si>
  <si>
    <t>Sanchez, Paula - 9620</t>
  </si>
  <si>
    <t>Panqueva, Angelica - 2750</t>
  </si>
  <si>
    <t>Pinzon, Jennell - 2215</t>
  </si>
  <si>
    <t>Conde, Yesica - 1449</t>
  </si>
  <si>
    <t>Borja, Alba</t>
  </si>
  <si>
    <t>Zambrano, Vicente - 2533</t>
  </si>
  <si>
    <t>RianoA, Juan - 2532</t>
  </si>
  <si>
    <t>Ortega, Sarays - 3852</t>
  </si>
  <si>
    <t>Gutierrez, Kateryn - 6321</t>
  </si>
  <si>
    <t>Nunez, Santiago - 4351</t>
  </si>
  <si>
    <t>Blanco, Angel - 4449</t>
  </si>
  <si>
    <t>Romero, Yessica - 3723</t>
  </si>
  <si>
    <t>Perez, Angie - 3682</t>
  </si>
  <si>
    <t>Campos, Candy - 5677</t>
  </si>
  <si>
    <t>Rangel, Luis - 3729</t>
  </si>
  <si>
    <t>Ordonez, Lizeth - 3272</t>
  </si>
  <si>
    <t>Reyes, Pedro - 2119</t>
  </si>
  <si>
    <t>Neva, Cristian - 6326</t>
  </si>
  <si>
    <t>Buitrago, Laura - 7038</t>
  </si>
  <si>
    <t>Gomez, Maria - 6952</t>
  </si>
  <si>
    <t>Ramirez, Jessika - 6924</t>
  </si>
  <si>
    <t>Bermudez, Gylliam - 6939</t>
  </si>
  <si>
    <t>Sarmiento, Luna - 6686</t>
  </si>
  <si>
    <t>Castillo, Luisa - 6716</t>
  </si>
  <si>
    <t>HuertasH, Jaider - 6868</t>
  </si>
  <si>
    <t>Alvarado, David - 1482</t>
  </si>
  <si>
    <t>Cubillos, Margy - 6300</t>
  </si>
  <si>
    <t>Aleman, Juan</t>
  </si>
  <si>
    <t>Velandia, Allison - 3663</t>
  </si>
  <si>
    <t>Sierra, Dayana - 5992</t>
  </si>
  <si>
    <t>Rodriguez, Stefany - 2196</t>
  </si>
  <si>
    <t>Munar, Juan - 3644</t>
  </si>
  <si>
    <t>Gomez, Karoll - 3755</t>
  </si>
  <si>
    <t>Morillo, Michelle - 3730</t>
  </si>
  <si>
    <t>Navarro, Gloria - 4553</t>
  </si>
  <si>
    <t>Moreno, Mariajose</t>
  </si>
  <si>
    <t>Fontecha, Audrick - 4561</t>
  </si>
  <si>
    <t>Delgado, Lesli - 6634</t>
  </si>
  <si>
    <t>MolinaP, Carlos - 4492</t>
  </si>
  <si>
    <t>Soto, Samuel - 4583</t>
  </si>
  <si>
    <t>Ramirez, Michelle - 4519</t>
  </si>
  <si>
    <t>mike</t>
  </si>
  <si>
    <t>Quintero, Brayan - 5492</t>
  </si>
  <si>
    <t>bquint1@ext.uber.com</t>
  </si>
  <si>
    <t>mike123</t>
  </si>
  <si>
    <t>$115.200,00</t>
  </si>
  <si>
    <t>CCMSID</t>
  </si>
  <si>
    <t>Score</t>
  </si>
  <si>
    <t>Director</t>
  </si>
  <si>
    <t>H_c</t>
  </si>
  <si>
    <t>kEY</t>
  </si>
  <si>
    <t>Score_key_1</t>
  </si>
  <si>
    <t>kEY_2</t>
  </si>
  <si>
    <t>Score_key_2</t>
  </si>
  <si>
    <t>kEY_3</t>
  </si>
  <si>
    <t>Score_key_3</t>
  </si>
  <si>
    <t>Bonus Structure</t>
  </si>
  <si>
    <t>KPI_1</t>
  </si>
  <si>
    <t>Score_1</t>
  </si>
  <si>
    <t>porcentage</t>
  </si>
  <si>
    <t>Participacion</t>
  </si>
  <si>
    <t>KPI_2</t>
  </si>
  <si>
    <t>Score_2</t>
  </si>
  <si>
    <t>KPI_3</t>
  </si>
  <si>
    <t>Score_3</t>
  </si>
  <si>
    <t>KPI_4</t>
  </si>
  <si>
    <t>Score_4</t>
  </si>
  <si>
    <t>Additional Incentive</t>
  </si>
  <si>
    <t>Score_iNC_1</t>
  </si>
  <si>
    <t>KPI_INC_2</t>
  </si>
  <si>
    <t>Score_iNC_2</t>
  </si>
  <si>
    <t>KPI_INC_3</t>
  </si>
  <si>
    <t>Score_iNC_3</t>
  </si>
  <si>
    <t>Decreased</t>
  </si>
  <si>
    <t>KPI_DEC_1</t>
  </si>
  <si>
    <t>Score_DEC_1</t>
  </si>
  <si>
    <t>KPI_DEC_2</t>
  </si>
  <si>
    <t>Score_DEC_2</t>
  </si>
  <si>
    <t>KPI_DEC_3</t>
  </si>
  <si>
    <t>Score_DEC_3</t>
  </si>
  <si>
    <t>KPI_DEC_4</t>
  </si>
  <si>
    <t>Score_DEC_4</t>
  </si>
  <si>
    <t>Chamorro, Valentina</t>
  </si>
  <si>
    <t>&lt;=5%</t>
  </si>
  <si>
    <t>&gt;= 90%</t>
  </si>
  <si>
    <t>&gt;= 92%</t>
  </si>
  <si>
    <t>&gt;= 95%</t>
  </si>
  <si>
    <t>&lt;=10</t>
  </si>
  <si>
    <t>&lt;=7%</t>
  </si>
  <si>
    <t>&lt;10</t>
  </si>
  <si>
    <t>&gt;=4</t>
  </si>
  <si>
    <t>MES</t>
  </si>
  <si>
    <t>Semana</t>
  </si>
  <si>
    <t>Email</t>
  </si>
  <si>
    <t>NombreAgente</t>
  </si>
  <si>
    <t>NombreSupervisor</t>
  </si>
  <si>
    <t>NombreACM</t>
  </si>
  <si>
    <t>SubLOB</t>
  </si>
  <si>
    <t>SubLOBSkill</t>
  </si>
  <si>
    <t>CompI</t>
  </si>
  <si>
    <t>CompII</t>
  </si>
  <si>
    <t>KPICalc</t>
  </si>
  <si>
    <t xml:space="preserve"> </t>
  </si>
  <si>
    <t xml:space="preserve">En la hoja Metricas, en la columma  x dbee ser igual al de la hoja  Incentivos en la columna F si es igual se hace el calculo teniendo en cuenta la fecha inicio y la fcha fin que estan en incentivos en las columnas  D F  en la G esta  la condicion si es mayor menor o x en la H esta el score, y en la i esta el valor, en la  y desde la j esta esto:  operador (Piso 1)         Key        Score Key        operador (Piso 2)        score_2 (Piso 2)        operador (Piso 2)        operador (Piso 3)         valor_1 (Piso 2)        valor_piso_3, segun el piso se debe calular si es mayor o menor solo si lo tiene si no  no se calcula </t>
  </si>
  <si>
    <t>25/08/2025</t>
  </si>
  <si>
    <t>Luis Benitez Carvajal</t>
  </si>
  <si>
    <t>Leonardo Parra Orjuela</t>
  </si>
  <si>
    <t>28/08/2025</t>
  </si>
  <si>
    <t>18/08/2025</t>
  </si>
  <si>
    <t>Latam U4B Phone Sales Churn13</t>
  </si>
  <si>
    <t>Csat</t>
  </si>
  <si>
    <t>29/08/2025</t>
  </si>
  <si>
    <t>28/07/2025</t>
  </si>
  <si>
    <t>David rafael Centeno padron</t>
  </si>
  <si>
    <t>#DIV/0!</t>
  </si>
  <si>
    <t>13/08/2025</t>
  </si>
  <si>
    <t>14/08/2025</t>
  </si>
  <si>
    <t>16/08/2025</t>
  </si>
  <si>
    <t>17/08/2025</t>
  </si>
  <si>
    <t>19/08/2025</t>
  </si>
  <si>
    <t>20/08/2025</t>
  </si>
  <si>
    <t>21/08/2025</t>
  </si>
  <si>
    <t>22/08/2025</t>
  </si>
  <si>
    <t>23/08/2025</t>
  </si>
  <si>
    <t>26/08/2025</t>
  </si>
  <si>
    <t>Nombre Completo</t>
  </si>
  <si>
    <t>Valor</t>
  </si>
  <si>
    <t>Spotcheck</t>
  </si>
  <si>
    <t>Account Recovery</t>
  </si>
  <si>
    <t>NA</t>
  </si>
  <si>
    <t>enero</t>
  </si>
  <si>
    <t>H</t>
  </si>
  <si>
    <t>E</t>
  </si>
  <si>
    <t>SD</t>
  </si>
  <si>
    <t>Roll</t>
  </si>
  <si>
    <t>Abs Jus</t>
  </si>
  <si>
    <t>&lt;=4%</t>
  </si>
  <si>
    <t>&gt;6%</t>
  </si>
  <si>
    <t>Q@U</t>
  </si>
  <si>
    <t>Routing Errors (Non U4B Cases)</t>
  </si>
  <si>
    <t>Handle time per ticket</t>
  </si>
  <si>
    <t>&lt;=4</t>
  </si>
  <si>
    <t>AF</t>
  </si>
  <si>
    <t>&lt;=1</t>
  </si>
  <si>
    <t>SHK Bliss</t>
  </si>
  <si>
    <t>&lt;=22%</t>
  </si>
  <si>
    <t>AHT  Loaded</t>
  </si>
  <si>
    <t>Q@U Compliance</t>
  </si>
  <si>
    <t>&gt;=90%</t>
  </si>
  <si>
    <t>&gt;0</t>
  </si>
  <si>
    <t>&lt;=20%</t>
  </si>
  <si>
    <t>&gt;9</t>
  </si>
  <si>
    <t>&lt;7%</t>
  </si>
  <si>
    <t>&lt;=7.5%</t>
  </si>
  <si>
    <t>&lt;=7.30</t>
  </si>
  <si>
    <t>SHK</t>
  </si>
  <si>
    <t>&lt;=18%</t>
  </si>
  <si>
    <t>&gt;90</t>
  </si>
  <si>
    <t>&lt;=10%</t>
  </si>
  <si>
    <t>&gt;10</t>
  </si>
  <si>
    <t>Abs Injus</t>
  </si>
  <si>
    <t>1 Star%</t>
  </si>
  <si>
    <t>&lt;=8.50%</t>
  </si>
  <si>
    <t>Compliance Q@U</t>
  </si>
  <si>
    <t>&gt;=93%</t>
  </si>
  <si>
    <t>&lt;=6.30</t>
  </si>
  <si>
    <t>SHK Tool</t>
  </si>
  <si>
    <t>&gt;=21%</t>
  </si>
  <si>
    <t>&gt;= 1</t>
  </si>
  <si>
    <t>Invalid Transfers</t>
  </si>
  <si>
    <t>&lt; 20%</t>
  </si>
  <si>
    <t>Febrero</t>
  </si>
  <si>
    <t>SHK WF</t>
  </si>
  <si>
    <t>&lt;=17%</t>
  </si>
  <si>
    <t>1 Star General%</t>
  </si>
  <si>
    <t>&lt;= 6.5%</t>
  </si>
  <si>
    <t>&gt;=7.5</t>
  </si>
  <si>
    <t>&gt;=30%</t>
  </si>
  <si>
    <t>&gt;= 9</t>
  </si>
  <si>
    <t>&gt; 1100</t>
  </si>
  <si>
    <t>Registro: para kEY desde la F a la I Bonus Structure del rango K  a la V Additional Incentive del rango X a la AF Decreased AH  a la AM, en este para Key esta bien</t>
  </si>
  <si>
    <t>Registro_pisos: Key, Rango desde la F hasta la L Bonus Structure rango dewde la M hasta la AY Additional Incentive Rango desde la BA  hasta la BI  Decreased  RAANGO BK BV</t>
  </si>
  <si>
    <t>&lt;223</t>
  </si>
  <si>
    <t>&lt;23</t>
  </si>
  <si>
    <t>CHT</t>
  </si>
  <si>
    <t>&lt;=23</t>
  </si>
  <si>
    <t>&gt;=23</t>
  </si>
  <si>
    <t>CCMS ID</t>
  </si>
  <si>
    <t>Name</t>
  </si>
  <si>
    <t>TP Email</t>
  </si>
  <si>
    <t>Account Manager</t>
  </si>
  <si>
    <t>martinez.wendy@ext.uber.com</t>
  </si>
  <si>
    <t>wendy.martinez@teleperformance.com</t>
  </si>
  <si>
    <t>Carvajal, Eliana</t>
  </si>
  <si>
    <t>Development Assistant Manager</t>
  </si>
  <si>
    <t>ecarva1@ext.uber.com</t>
  </si>
  <si>
    <t>eliana.carvajal@teleperformance.com</t>
  </si>
  <si>
    <t>Rey, Lina</t>
  </si>
  <si>
    <t>Sr Operations Manager</t>
  </si>
  <si>
    <t>lreypa@ext.uber.com</t>
  </si>
  <si>
    <t>lina.rey@teleperformance.com</t>
  </si>
  <si>
    <t>Fisco, Ivan</t>
  </si>
  <si>
    <t>Mora, Cindy</t>
  </si>
  <si>
    <t>TOPS</t>
  </si>
  <si>
    <t>ivan.fiscolondono@teleperformance.com</t>
  </si>
  <si>
    <t>Salazar, Samuel</t>
  </si>
  <si>
    <t>ssalaz@ext.uber.com</t>
  </si>
  <si>
    <t>samuel.salazarh@teleperformance.com</t>
  </si>
  <si>
    <t>Corzo, Fabian</t>
  </si>
  <si>
    <t>Mejia, Jaime</t>
  </si>
  <si>
    <t>QA</t>
  </si>
  <si>
    <t>fcorzo@ext.uber.com</t>
  </si>
  <si>
    <t>fabian.corzo@teleperformance.co</t>
  </si>
  <si>
    <t>Rojas, Maicol</t>
  </si>
  <si>
    <t>lparra1@ext.uber.com</t>
  </si>
  <si>
    <t>leonardo.parraorjuela@teleperformance.com</t>
  </si>
  <si>
    <t>Villalba, Diego</t>
  </si>
  <si>
    <t>Rojas, Jhon</t>
  </si>
  <si>
    <t>dvilla8@ext.uber.com</t>
  </si>
  <si>
    <t>diego.villalba@teleperformance.co</t>
  </si>
  <si>
    <t>Castro, Kelly</t>
  </si>
  <si>
    <t>QA Manager</t>
  </si>
  <si>
    <t>castro.kelly@ext.uber.com</t>
  </si>
  <si>
    <t>kelly.castro@teleperformance.com</t>
  </si>
  <si>
    <t>Luis, Yuleidy</t>
  </si>
  <si>
    <t>luis.yuleidy@ext.uber.com</t>
  </si>
  <si>
    <t>yuleidy.luis@teleperformance.com</t>
  </si>
  <si>
    <t>Cadena, Duvan</t>
  </si>
  <si>
    <t>dcaden@ext.uber.com</t>
  </si>
  <si>
    <t>duvan.cadena@teleperformance.com</t>
  </si>
  <si>
    <t>Reporting Analyst</t>
  </si>
  <si>
    <t>michel.ospina@teleperformance.co</t>
  </si>
  <si>
    <t>Moreno, Laura</t>
  </si>
  <si>
    <t>Pajaro, Nixon</t>
  </si>
  <si>
    <t>lmoren3@ext.uber.com</t>
  </si>
  <si>
    <t>laura.morenomora@teleperformance.co</t>
  </si>
  <si>
    <t>Jimenez, Pedro</t>
  </si>
  <si>
    <t>Garzon, Kely</t>
  </si>
  <si>
    <t>jimenez.pedro@ext.uber.com</t>
  </si>
  <si>
    <t>pedro.jimenez@teleperformance.co</t>
  </si>
  <si>
    <t>Munoz, Rosmery</t>
  </si>
  <si>
    <t>rvilla@ext.uber.com</t>
  </si>
  <si>
    <t>rosmery.villalobosm@teleperformance.co</t>
  </si>
  <si>
    <t>Sierra, Sandra</t>
  </si>
  <si>
    <t>ssierr@ext.uber.com</t>
  </si>
  <si>
    <t>sandra.sierramontano@teleperformance.co</t>
  </si>
  <si>
    <t>Santamaria, Juan</t>
  </si>
  <si>
    <t>Ferro, Felipe</t>
  </si>
  <si>
    <t>Business Development Assistant</t>
  </si>
  <si>
    <t>juan.santamariav@teleperformance.com</t>
  </si>
  <si>
    <t>mrojas4@ext.uber.com</t>
  </si>
  <si>
    <t>maicol.rojasduarte@teleperformance.com</t>
  </si>
  <si>
    <t>cbecer1@ext.uber.com</t>
  </si>
  <si>
    <t>cristhian.becerrarodriguez@teleperformance.com</t>
  </si>
  <si>
    <t>Moreras, Brigitte</t>
  </si>
  <si>
    <t>bherre1@ext.uber.com</t>
  </si>
  <si>
    <t>brigitte.herreramoreras@teleperformance.com</t>
  </si>
  <si>
    <t>Trainer</t>
  </si>
  <si>
    <t>cadria1@ext.uber.com</t>
  </si>
  <si>
    <t>Adriana.CulmaTimote@teleperformance.com</t>
  </si>
  <si>
    <t>Tellez, Oscar</t>
  </si>
  <si>
    <t>otelle@ext.uber.com</t>
  </si>
  <si>
    <t>Oscar.TellezCarranza@teleperformance.co</t>
  </si>
  <si>
    <t>RodriguezG, Jorge</t>
  </si>
  <si>
    <t>jrodri6@ext.uber.com</t>
  </si>
  <si>
    <t>Jorge.RodriguezGonzalez@teleperformance.com</t>
  </si>
  <si>
    <t>Molano, Laura</t>
  </si>
  <si>
    <t>lmolan@ext.uber.com</t>
  </si>
  <si>
    <t>laura.molano@teleperformance.co</t>
  </si>
  <si>
    <t>QA Lead</t>
  </si>
  <si>
    <t>jrojas2@ext.uber.com</t>
  </si>
  <si>
    <t>jhon.rojas@teleperformance.co</t>
  </si>
  <si>
    <t>Navarro, Yesica</t>
  </si>
  <si>
    <t>Ruiz, Edinson</t>
  </si>
  <si>
    <t>WF MC</t>
  </si>
  <si>
    <t>ynavar@ext.uber.com</t>
  </si>
  <si>
    <t>yesica.navarro@teleperformance.com</t>
  </si>
  <si>
    <t>Nieto, Juan</t>
  </si>
  <si>
    <t>Moncada, Johana</t>
  </si>
  <si>
    <t>HR Assistant</t>
  </si>
  <si>
    <t>juan.nieto@teleperformance.com</t>
  </si>
  <si>
    <t>HernandezM, Miguel</t>
  </si>
  <si>
    <t>Barrera, Alejandro</t>
  </si>
  <si>
    <t>WF Jr</t>
  </si>
  <si>
    <t>mherna12@ext.uber.com</t>
  </si>
  <si>
    <t>miguel.hernandezmurcia@teleperformance.com</t>
  </si>
  <si>
    <t>Plazas, Jenny</t>
  </si>
  <si>
    <t>jplaza1@ext.uber.com</t>
  </si>
  <si>
    <t>jenny.plazasnino@teleperformance.co</t>
  </si>
  <si>
    <t>Gomez, Ingrid</t>
  </si>
  <si>
    <t>WF Sr</t>
  </si>
  <si>
    <t>igomez@ext.uber.com</t>
  </si>
  <si>
    <t>ingrid.gomezromero@teleperformance.com</t>
  </si>
  <si>
    <t>Sanchez, Alejandra</t>
  </si>
  <si>
    <t>Mantilla, Brayan</t>
  </si>
  <si>
    <t>msanch10@ext.uber.com</t>
  </si>
  <si>
    <t>maria.sanchezespinosa@teleperformance.co</t>
  </si>
  <si>
    <t>Garcia, Sandra</t>
  </si>
  <si>
    <t>sgarci4@ext.uber.com</t>
  </si>
  <si>
    <t>sandra.garcia@teleperformance.co</t>
  </si>
  <si>
    <t>Mahecha, Angie</t>
  </si>
  <si>
    <t>amahec1@ext.uber.com</t>
  </si>
  <si>
    <t>angie.mahechaforero@teleperformance.co</t>
  </si>
  <si>
    <t>abarre3@ext.uber.com</t>
  </si>
  <si>
    <t>alejandro.barrerahurtado@teleperformance.com</t>
  </si>
  <si>
    <t>bmanti@ext.uber.com</t>
  </si>
  <si>
    <t>brayan.mantillarosero@teleperformance.co</t>
  </si>
  <si>
    <t>Diaz, Angel</t>
  </si>
  <si>
    <t>mdiaz13@ext.uber.com</t>
  </si>
  <si>
    <t>miguel.diazgallego@teleperformance.co</t>
  </si>
  <si>
    <t>Amaya, Gerardo</t>
  </si>
  <si>
    <t>gamaya2@ext.uber.com</t>
  </si>
  <si>
    <t>gerardo.amayadiaz@teleperformance.com</t>
  </si>
  <si>
    <t>Sosa, Diana</t>
  </si>
  <si>
    <t>Development  Analyst SR</t>
  </si>
  <si>
    <t>dsosa1@ext.uber.com</t>
  </si>
  <si>
    <t>diana.sosamahecha@teleperformance.com</t>
  </si>
  <si>
    <t>Cruz, Luis</t>
  </si>
  <si>
    <t>lcruz4@ext.uber.com</t>
  </si>
  <si>
    <t>luis.cruzcruz@teleperformance.co</t>
  </si>
  <si>
    <t>gayala@ext.uber.com</t>
  </si>
  <si>
    <t>giselle.ayalamaldonado@teleperformance.com</t>
  </si>
  <si>
    <t>mgonza23@ext.uber.com</t>
  </si>
  <si>
    <t>marlon.gonzalezp@teleperformance.com</t>
  </si>
  <si>
    <t>vbermu@ext.uber.com</t>
  </si>
  <si>
    <t>viviana.bermudezgonzalez@teleperformance.com</t>
  </si>
  <si>
    <t>Aldana, Karen</t>
  </si>
  <si>
    <t>kaldan@ext.uber.com</t>
  </si>
  <si>
    <t>karen.aldanacastaneda@teleperformance.co</t>
  </si>
  <si>
    <t>WF Manager</t>
  </si>
  <si>
    <t>mgarzo4@ext.uber.com</t>
  </si>
  <si>
    <t>maria.garzongamba@teleperformance.com</t>
  </si>
  <si>
    <t>Duarte, Laura</t>
  </si>
  <si>
    <t>lduart2@ext.uber.com</t>
  </si>
  <si>
    <t>laura.duartecardenas@teleperformance.co</t>
  </si>
  <si>
    <t>Marin, Maria</t>
  </si>
  <si>
    <t>mmarin5@ext.uber.com</t>
  </si>
  <si>
    <t>maria.marinmoncaleano@teleperformance.com</t>
  </si>
  <si>
    <t>Tautiva, Claudia</t>
  </si>
  <si>
    <t>ctauti@ext.uber.com</t>
  </si>
  <si>
    <t>claudia.tautivacabrera@teleperformance.co</t>
  </si>
  <si>
    <t>cjunco@ext.uber.com</t>
  </si>
  <si>
    <t>caren.juncoacuna@teleperformance.com</t>
  </si>
  <si>
    <t>Trainer Manager</t>
  </si>
  <si>
    <t>asanch17@ext.uber.com</t>
  </si>
  <si>
    <t>adrian.sanchezcolina@teleperformance.com</t>
  </si>
  <si>
    <t>FrancoS, Daniel</t>
  </si>
  <si>
    <t>dfranc9@ext.uber.com</t>
  </si>
  <si>
    <t>daniel.francosierra@teleperformance.com</t>
  </si>
  <si>
    <t>Puentes, Eliana</t>
  </si>
  <si>
    <t>epuent1@ext.uber.com</t>
  </si>
  <si>
    <t>eliana.puentesmorales@teleperformance.co</t>
  </si>
  <si>
    <t>cgonza31@ext.uber.com</t>
  </si>
  <si>
    <t>cristian.gonzalezpimienta@teleperformance.com</t>
  </si>
  <si>
    <t>Benavides, Camila</t>
  </si>
  <si>
    <t>mbenav1@ext.uber.com</t>
  </si>
  <si>
    <t>maria.benavidesc@teleperformance.com</t>
  </si>
  <si>
    <t>Acosta, Oscar</t>
  </si>
  <si>
    <t>oacost1@ext.uber.com</t>
  </si>
  <si>
    <t>oscar.acostanova@teleperformance.com</t>
  </si>
  <si>
    <t>Serrano, Laura</t>
  </si>
  <si>
    <t>lserra4@ext.uber.com</t>
  </si>
  <si>
    <t>laura.serrano@teleperformance.com</t>
  </si>
  <si>
    <t>jceli@ext.uber.com</t>
  </si>
  <si>
    <t>Juan.CeliMurillo@teleperformance.co</t>
  </si>
  <si>
    <t>Polo, Paulina</t>
  </si>
  <si>
    <t>ppolo@ext.uber.com</t>
  </si>
  <si>
    <t>Paulina.Poloponton@teleperformance.com</t>
  </si>
  <si>
    <t>Montana, Veronica</t>
  </si>
  <si>
    <t>vmonta2@ext.uber.com</t>
  </si>
  <si>
    <t>veronica.montanaespinosa@teleperformance.com</t>
  </si>
  <si>
    <t>Rodriguez, Yesica</t>
  </si>
  <si>
    <t>yrodri7@ext.uber.com</t>
  </si>
  <si>
    <t>yesica.rodriguezmendez@teleperformance.com</t>
  </si>
  <si>
    <t>Diaz, Andres</t>
  </si>
  <si>
    <t>adiaz16@ext.uber.com</t>
  </si>
  <si>
    <t>andres.diazvalderrama@teleperformance.com</t>
  </si>
  <si>
    <t>Avendano, Alejandra</t>
  </si>
  <si>
    <t>Cardona, Santiago</t>
  </si>
  <si>
    <t>HR Coordinator</t>
  </si>
  <si>
    <t>mavend@ext.uber.com</t>
  </si>
  <si>
    <t>maria.avendano@teleperformance.com</t>
  </si>
  <si>
    <t>Pinzon, Jeidy</t>
  </si>
  <si>
    <t>Salazar, Nefer</t>
  </si>
  <si>
    <t>jpinzo4@ext.uber.com</t>
  </si>
  <si>
    <t>jeidy.pinzonquevedo@teleperformance.co</t>
  </si>
  <si>
    <t>Garcia, Yesica</t>
  </si>
  <si>
    <t>ygarci11@ext.uber.com</t>
  </si>
  <si>
    <t>yesica.garciasanchez@teleperformance.co</t>
  </si>
  <si>
    <t>Petrel, Cristian</t>
  </si>
  <si>
    <t>cpetre@ext.uber.com</t>
  </si>
  <si>
    <t>cristian.petrelgalviz@teleperfomance.com</t>
  </si>
  <si>
    <t>dvarga18@ext.uber.com</t>
  </si>
  <si>
    <t>daniela.vargaslopez@teleperformance.com</t>
  </si>
  <si>
    <t>jllano3@ext.uber.com</t>
  </si>
  <si>
    <t>Jhon.LlanosFernandez@teleperformance.com</t>
  </si>
  <si>
    <t>Barrientos, Jhon</t>
  </si>
  <si>
    <t>jbarri9@ext.uber.com</t>
  </si>
  <si>
    <t>jhon.barrientosarguello@teleperformance.com</t>
  </si>
  <si>
    <t>Ardila, Valeria</t>
  </si>
  <si>
    <t>vardil@ext.uber.com</t>
  </si>
  <si>
    <t>valeria.ardilaperez@teleperformance.co</t>
  </si>
  <si>
    <t>Garavito, Oswaldo</t>
  </si>
  <si>
    <t>ogarav@ext.uber.com</t>
  </si>
  <si>
    <t>oswaldo.garavitohernandez@teleperformance.com</t>
  </si>
  <si>
    <t>Torres, Diana</t>
  </si>
  <si>
    <t>Trainer Lead</t>
  </si>
  <si>
    <t>dtorre17@ext.uber.com</t>
  </si>
  <si>
    <t>Diana.TorresDiaz@teleperformance.com</t>
  </si>
  <si>
    <t>Saza, Dayanna</t>
  </si>
  <si>
    <t>Garcia, Ingrid</t>
  </si>
  <si>
    <t>dsaza@ext.uber.com</t>
  </si>
  <si>
    <t>dayanna.sazarojas@teleperformance.com</t>
  </si>
  <si>
    <t>dgueva2@ext.uber.com</t>
  </si>
  <si>
    <t>Diego.GuevaraUrbina@teleperformance.co</t>
  </si>
  <si>
    <t>Garcia, Teresa</t>
  </si>
  <si>
    <t>mgarci58@ext.uber.com</t>
  </si>
  <si>
    <t>maria.garciapinto@teleperformance.com</t>
  </si>
  <si>
    <t>Barajas, Luis</t>
  </si>
  <si>
    <t>Tellez, Angy</t>
  </si>
  <si>
    <t>lbaraj4@ext.uber.com</t>
  </si>
  <si>
    <t>luis.barajaspaez@teleperformance.co</t>
  </si>
  <si>
    <t>Ramirez, Daniel</t>
  </si>
  <si>
    <t>dramir24@ext.uber.com</t>
  </si>
  <si>
    <t>daniel.ramirezgarcia@teleperformance.com</t>
  </si>
  <si>
    <t>nsalaz3@ext.uber.com</t>
  </si>
  <si>
    <t>nefer.salazarmendez@teleperformance.co</t>
  </si>
  <si>
    <t>Barreto, Thony</t>
  </si>
  <si>
    <t>tbarre1@ext.uber.com</t>
  </si>
  <si>
    <t>thony.barretochinchilla@teleperformance.co</t>
  </si>
  <si>
    <t>ajaram6@ext.uber.com</t>
  </si>
  <si>
    <t>angie.jaramilloarias@teleperformance.com</t>
  </si>
  <si>
    <t>mrodri83@ext.uber.com</t>
  </si>
  <si>
    <t>moises.rodriguezmoreno@teleperformance.com</t>
  </si>
  <si>
    <t>Romero, Julian</t>
  </si>
  <si>
    <t>jromer27@ext.uber.com</t>
  </si>
  <si>
    <t>julian.romerorojas@teleperformance.com</t>
  </si>
  <si>
    <t>Rodriguez, Alberto</t>
  </si>
  <si>
    <t>arodri93@ext.uber.com</t>
  </si>
  <si>
    <t>andres.rodriguezbonilla@teleperformance.com</t>
  </si>
  <si>
    <t>amejia11@ext.uber.com</t>
  </si>
  <si>
    <t>andres.mejiaherreno@teleperformance.co</t>
  </si>
  <si>
    <t>crodri68@ext.uber.com</t>
  </si>
  <si>
    <t>cristian.rodriguezgarcia@teleperformance.com</t>
  </si>
  <si>
    <t>atelle1@ext.uber.com</t>
  </si>
  <si>
    <t>angy.tellezbeltran@teleperformance.com</t>
  </si>
  <si>
    <t>Latorre, Jimena</t>
  </si>
  <si>
    <t>Romero, Sandra</t>
  </si>
  <si>
    <t>Sr Training Manager</t>
  </si>
  <si>
    <t>jlator1@ext.uber.com</t>
  </si>
  <si>
    <t>jimena.latorrepatino@teleperformance.com</t>
  </si>
  <si>
    <t>Infante, Dian</t>
  </si>
  <si>
    <t>dinfan2@ext.uber.com</t>
  </si>
  <si>
    <t>diana.infantegaviria@teleperformance.co</t>
  </si>
  <si>
    <t>Forero, Gabriel</t>
  </si>
  <si>
    <t>gforer@ext.uber.com</t>
  </si>
  <si>
    <t>forero.forerocamelo@teleperformance.com</t>
  </si>
  <si>
    <t>farias3@ext.uber.com</t>
  </si>
  <si>
    <t>fabio.ariascastano@teleperformance.com</t>
  </si>
  <si>
    <t>Mejia, Andres</t>
  </si>
  <si>
    <t>amejia12@ext.uber.com</t>
  </si>
  <si>
    <t>Andres.MejiaOsorio@teleperformance.com</t>
  </si>
  <si>
    <t>Gonzalez, Manuel</t>
  </si>
  <si>
    <t>mgonza63@ext.uber.com</t>
  </si>
  <si>
    <t>manuel.gonzalezalfonso@teleperformance.co</t>
  </si>
  <si>
    <t>ngarat@ext.uber.com</t>
  </si>
  <si>
    <t>natalia.garatejocapera@teleperformance.com</t>
  </si>
  <si>
    <t>Iglesias, Luis</t>
  </si>
  <si>
    <t>Senior Analyst Payroll</t>
  </si>
  <si>
    <t>johana.moncadasanchez@teleperformance.com</t>
  </si>
  <si>
    <t>Gutierrez, Manuel</t>
  </si>
  <si>
    <t>mgutie24@ext.uber.com</t>
  </si>
  <si>
    <t>manuel.gutierrezrodriguez@teleperformance.com</t>
  </si>
  <si>
    <t>Rojano, Mellissa</t>
  </si>
  <si>
    <t>mrojan1@ext.uber.com</t>
  </si>
  <si>
    <t>Mellissa.RojanoMojica@teleperformance.com</t>
  </si>
  <si>
    <t>Salamanca, Jhonatan</t>
  </si>
  <si>
    <t>jsalam5@ext.uber.com</t>
  </si>
  <si>
    <t>jhonatan.salamancaochoa@teleperformance.co</t>
  </si>
  <si>
    <t>Molina, Brayan</t>
  </si>
  <si>
    <t>Development Manager</t>
  </si>
  <si>
    <t>brayan.molinaescobar@teleperformance.com</t>
  </si>
  <si>
    <t>Quijano, Maria</t>
  </si>
  <si>
    <t>mquija1@ext.uber.com</t>
  </si>
  <si>
    <t>maria.quijanozamudio@teleperformance.com</t>
  </si>
  <si>
    <t>Munoz, Camilo</t>
  </si>
  <si>
    <t>cmuoz1@ext.uber.com</t>
  </si>
  <si>
    <t>cristian.munozcalderon@teleperformance.co</t>
  </si>
  <si>
    <t>Polo, Mario</t>
  </si>
  <si>
    <t>mpolo1@ext.uber.com</t>
  </si>
  <si>
    <t>mario.pologonzalez@teleperformance.com</t>
  </si>
  <si>
    <t>Miranda, Michael</t>
  </si>
  <si>
    <t>Higuera, Laura</t>
  </si>
  <si>
    <t>mmiran21@ext.uber.com</t>
  </si>
  <si>
    <t>michael.mirandaarenas@teleperformance.com</t>
  </si>
  <si>
    <t>Rincon, Mariana</t>
  </si>
  <si>
    <t>mrincn@ext.uber.com</t>
  </si>
  <si>
    <t>mariana.rinconquintero@teleperformance.co</t>
  </si>
  <si>
    <t>Global Training Manager</t>
  </si>
  <si>
    <t>sandra.romero@teleperformance.com</t>
  </si>
  <si>
    <t>Gonzalez, Andrea</t>
  </si>
  <si>
    <t>Gaitan, Juan</t>
  </si>
  <si>
    <t>Physiotherapist</t>
  </si>
  <si>
    <t>andrea.gonzalezforeeo@teleperformance.com</t>
  </si>
  <si>
    <t>Morales, Diana</t>
  </si>
  <si>
    <t>diana.moralesguio@teleperformance.com</t>
  </si>
  <si>
    <t>RamirezM, Daniela</t>
  </si>
  <si>
    <t>daniela.ramirezmasmela@teleperformance.com</t>
  </si>
  <si>
    <t>Yepes, Jonathan</t>
  </si>
  <si>
    <t>Doctor</t>
  </si>
  <si>
    <t>jhonatan.yepesjurado@teleperformance.com</t>
  </si>
  <si>
    <t>mibarr3@ext.uber.com</t>
  </si>
  <si>
    <t>maria.ibarrajoves@teleperformance.co</t>
  </si>
  <si>
    <t>Garzon, Adriana</t>
  </si>
  <si>
    <t>agarzo7@ext.uber.com</t>
  </si>
  <si>
    <t>adriana.garzongarzon@teleperformance.co</t>
  </si>
  <si>
    <t>ctorre32@ext.uber.com</t>
  </si>
  <si>
    <t>christian.torresramirez@teleperformance.com</t>
  </si>
  <si>
    <t>Bedoya, David</t>
  </si>
  <si>
    <t>dbedoy4@ext.uber.com</t>
  </si>
  <si>
    <t>david.bedoya@teleperformance.co</t>
  </si>
  <si>
    <t>Rojas, Esteban</t>
  </si>
  <si>
    <t>esteban.rojasromero@teleperformance.com</t>
  </si>
  <si>
    <t>Pena, Miguel</t>
  </si>
  <si>
    <t>mpea1@ext.uber.com</t>
  </si>
  <si>
    <t>miguel.penagarzon@teleperformance.com</t>
  </si>
  <si>
    <t>Ovalle, Edgar</t>
  </si>
  <si>
    <t>ovalle.edgar@ext.uber.com</t>
  </si>
  <si>
    <t>Edgar.OvalleCedano@teleperformance.co</t>
  </si>
  <si>
    <t>Lizarazo, Ivon</t>
  </si>
  <si>
    <t>ilizar@ext.uber.com</t>
  </si>
  <si>
    <t>Ivon.LizarazoGonzalez@teleperformance.co</t>
  </si>
  <si>
    <t>Baquero, Harold</t>
  </si>
  <si>
    <t>hbaque@ext.uber.com</t>
  </si>
  <si>
    <t>harold.baquero@teleperformance.co</t>
  </si>
  <si>
    <t>jayala7@ext.uber.com</t>
  </si>
  <si>
    <t>julian.ayalaayala@teleperformance.co</t>
  </si>
  <si>
    <t>Rincon, Gabriela</t>
  </si>
  <si>
    <t>grinco3@ext.uber.com</t>
  </si>
  <si>
    <t>gabriela.rinconleon@teleperformance.com</t>
  </si>
  <si>
    <t>MunozH, Laura</t>
  </si>
  <si>
    <t>laura.munozhernandez@teleperformance.com</t>
  </si>
  <si>
    <t>Moreno, Erika</t>
  </si>
  <si>
    <t>emoren20@ext.uber.com</t>
  </si>
  <si>
    <t>erika.morenoh@teleperformance.co</t>
  </si>
  <si>
    <t>Velosa, Leydy</t>
  </si>
  <si>
    <t>lvelos1@ext.uber.com</t>
  </si>
  <si>
    <t>leydy.velosaniino@teleperformance.com</t>
  </si>
  <si>
    <t>garzon.kely@ext.uber.com</t>
  </si>
  <si>
    <t>Kely.Garzon@teleperformance.com</t>
  </si>
  <si>
    <t>Galindo, Erika</t>
  </si>
  <si>
    <t>egalin2@ext.uber.com</t>
  </si>
  <si>
    <t>erika.galindo@teleperformance.co</t>
  </si>
  <si>
    <t>Delgado, Daisy</t>
  </si>
  <si>
    <t>ddelga@ext.uber.com</t>
  </si>
  <si>
    <t>daisy.delgadobarrios@teleperformance.co</t>
  </si>
  <si>
    <t>Triana, Angie</t>
  </si>
  <si>
    <t>atrian1@ext.uber.com</t>
  </si>
  <si>
    <t>angie.trianabuitrago@teleperformance.co</t>
  </si>
  <si>
    <t>Angel, Giuliana</t>
  </si>
  <si>
    <t>gangel4@ext.uber.com</t>
  </si>
  <si>
    <t>giuliana.angellara@teleperformance.co</t>
  </si>
  <si>
    <t>Useche, Juan</t>
  </si>
  <si>
    <t>jusech@ext.uber.com</t>
  </si>
  <si>
    <t>juan.usechefigueroa@teleperformance.co</t>
  </si>
  <si>
    <t>Guaura, Gladys</t>
  </si>
  <si>
    <t>gguaur@ext.uber.com</t>
  </si>
  <si>
    <t>gladys.guauraarango@teleperformance.co</t>
  </si>
  <si>
    <t>bamado3@ext.uber.com</t>
  </si>
  <si>
    <t>Brian.AmadorRamos@teleperformance.com</t>
  </si>
  <si>
    <t>npajar@ext.uber.com</t>
  </si>
  <si>
    <t>nixon.pajaroherazo@teleperformance.co</t>
  </si>
  <si>
    <t>Navarrete, Jefferson</t>
  </si>
  <si>
    <t>jnavar14@ext.uber.com</t>
  </si>
  <si>
    <t>jefferson.navarretezamudio@teleperformance.com</t>
  </si>
  <si>
    <t>Bracamonte, Diana</t>
  </si>
  <si>
    <t>dbraca@ext.uber.com</t>
  </si>
  <si>
    <t>diana.bracamonteromero@teleperformance.com</t>
  </si>
  <si>
    <t>Castro, Juan</t>
  </si>
  <si>
    <t>jcastr5@ext.uber.com</t>
  </si>
  <si>
    <t>juan.castropino@teleperformance.com</t>
  </si>
  <si>
    <t>agarci16@ext.uber.com</t>
  </si>
  <si>
    <t>alvaro.garciacaro@teleperformance.com</t>
  </si>
  <si>
    <t>Sanchez, Felipe</t>
  </si>
  <si>
    <t>fsanch2@ext.uber.com</t>
  </si>
  <si>
    <t>felipe.sanchezmunoz@teleperformance.com</t>
  </si>
  <si>
    <t>Jaramillo, John</t>
  </si>
  <si>
    <t>jjaram4@ext.uber.com</t>
  </si>
  <si>
    <t>john.jaramillocardenas@teleperformance.com</t>
  </si>
  <si>
    <t>Ochoa, Catalina</t>
  </si>
  <si>
    <t>catalina.ochoa@teleperformance.com</t>
  </si>
  <si>
    <t>Agudelo, Esteban</t>
  </si>
  <si>
    <t>eagude2@ext.uber.com</t>
  </si>
  <si>
    <t>esteban.agudelomonroy@teleperformance.co</t>
  </si>
  <si>
    <t>josori7@ext.uber.com</t>
  </si>
  <si>
    <t>julian.osorioosorio@teleperformance.com</t>
  </si>
  <si>
    <t>Ospina, Juan</t>
  </si>
  <si>
    <t>jospin9@ext.uber.com</t>
  </si>
  <si>
    <t>juan.ospinaosorio@teleperformance.com</t>
  </si>
  <si>
    <t>Rios, Jovan</t>
  </si>
  <si>
    <t>jrios2@ext.uber.com</t>
  </si>
  <si>
    <t>jovan.rioshoyos@teleperformance.com</t>
  </si>
  <si>
    <t>msoler@ext.uber.com</t>
  </si>
  <si>
    <t>maria.solerbeltran@teleperformance.com</t>
  </si>
  <si>
    <t>mluque4@ext.uber.com</t>
  </si>
  <si>
    <t>maria.delvalleluque@teleperformance.co</t>
  </si>
  <si>
    <t>Gorgona, Jharley</t>
  </si>
  <si>
    <t>jgorgo@ext.uber.com</t>
  </si>
  <si>
    <t>jharley.gorgonazarza@teleperformance.co</t>
  </si>
  <si>
    <t>Diaz, Diana</t>
  </si>
  <si>
    <t>diana.diazmayorga@teleperformance.com</t>
  </si>
  <si>
    <t>Sepulveda, Hader</t>
  </si>
  <si>
    <t>Arcila, Maria</t>
  </si>
  <si>
    <t>hsepul@ext.uber.com</t>
  </si>
  <si>
    <t>hader.sepulvedasepulveda@teleperformance.co</t>
  </si>
  <si>
    <t>Miranda, Maria</t>
  </si>
  <si>
    <t>mmiran17@ext.uber.com</t>
  </si>
  <si>
    <t>Maria.MirandaQuinones@teleperformance.com</t>
  </si>
  <si>
    <t>CardonaR, Juan</t>
  </si>
  <si>
    <t>jcardo23@ext.uber.com</t>
  </si>
  <si>
    <t>juan.cardonarodriguez@teleperformance.co</t>
  </si>
  <si>
    <t>Velez, Lina</t>
  </si>
  <si>
    <t>lvelez3@ext.uber.com</t>
  </si>
  <si>
    <t>lina.velezcarmona2@teleperformance.co</t>
  </si>
  <si>
    <t>Basabe, Carolina</t>
  </si>
  <si>
    <t>cbasab@ext.uber.com</t>
  </si>
  <si>
    <t>carolina.basabearenas@teleperformance.co</t>
  </si>
  <si>
    <t>EscobarH, Daniela</t>
  </si>
  <si>
    <t>descob12@ext.uber.com</t>
  </si>
  <si>
    <t>daniela.escobarhenao@teleperformance.co</t>
  </si>
  <si>
    <t>Hernandez, Rosa</t>
  </si>
  <si>
    <t>rherna27@ext.uber.com</t>
  </si>
  <si>
    <t>rosa.hernandezpimentel@teleperformance.co</t>
  </si>
  <si>
    <t>jmarti181@ext.uber.com</t>
  </si>
  <si>
    <t>julian.martinezvargas@teleperformance.com</t>
  </si>
  <si>
    <t>Arenas, Kevin</t>
  </si>
  <si>
    <t>karena2@ext.uber.com</t>
  </si>
  <si>
    <t>kevin.arenasblandon@teleperformance.co</t>
  </si>
  <si>
    <t>Calles, Yetsika</t>
  </si>
  <si>
    <t>yetsika.callesgonzalez@teleperformance.com</t>
  </si>
  <si>
    <t>lhigue@ext.uber.com</t>
  </si>
  <si>
    <t>laura.higueraherrera@teleperformance.com</t>
  </si>
  <si>
    <t>Franco, Maria</t>
  </si>
  <si>
    <t>mfranc38@ext.uber.com</t>
  </si>
  <si>
    <t>maria.francohiguera@teleperformance.com</t>
  </si>
  <si>
    <t>Buitrago, John</t>
  </si>
  <si>
    <t>jbuitr11@ext.uber.com</t>
  </si>
  <si>
    <t>john.buitragomora@teleperformance.com</t>
  </si>
  <si>
    <t>Briceno, Laura</t>
  </si>
  <si>
    <t>Jimenez, Jhoan</t>
  </si>
  <si>
    <t>POC Nomina</t>
  </si>
  <si>
    <t>laura.bricenoarango@teleperformance.com</t>
  </si>
  <si>
    <t>Romano, Natalia</t>
  </si>
  <si>
    <t>nroman5@ext.uber.com</t>
  </si>
  <si>
    <t>natalia.romanocastaneda@teleperformance.co</t>
  </si>
  <si>
    <t>Parra, Miguel</t>
  </si>
  <si>
    <t>Coordinador Nomina</t>
  </si>
  <si>
    <t>jhoan.jimenezramirez@teleperformance.com</t>
  </si>
  <si>
    <t>Bogoya, Brayan</t>
  </si>
  <si>
    <t>bbogoy@ext.uber.com</t>
  </si>
  <si>
    <t>brayan.bogoyaviasus@teleperformance.com</t>
  </si>
  <si>
    <t>Bonilla, Juliana</t>
  </si>
  <si>
    <t>jbonil9@ext.uber.com</t>
  </si>
  <si>
    <t>juliana.bonillatrujillo@teleperformance.com</t>
  </si>
  <si>
    <t>Nieto, Jorge</t>
  </si>
  <si>
    <t>jnieto16@ext.uber.com</t>
  </si>
  <si>
    <t>jorge.nietoperez@teleperformance.co</t>
  </si>
  <si>
    <t>Rodriguez, Javier</t>
  </si>
  <si>
    <t>javier.rodriguezamado@teleperformance.com</t>
  </si>
  <si>
    <t>Sarmiento, Luis</t>
  </si>
  <si>
    <t>luis.sarmientoordonez@teleperformance.com</t>
  </si>
  <si>
    <t>ParadaN, Lina</t>
  </si>
  <si>
    <t>lparad@ext.uber.com</t>
  </si>
  <si>
    <t>lina.paradanocobe@teleperformance.com</t>
  </si>
  <si>
    <t>igarci27@ext.uber.com</t>
  </si>
  <si>
    <t>ingrid.garciadiaz@teleperformance.com</t>
  </si>
  <si>
    <t>Lomeling, Camila</t>
  </si>
  <si>
    <t>clomel@ext.uber.com</t>
  </si>
  <si>
    <t>camila.lomelinglomeling@teleperformance.com</t>
  </si>
  <si>
    <t>Carrillo, Jeffer</t>
  </si>
  <si>
    <t>jcarri10@ext.uber.com</t>
  </si>
  <si>
    <t>jeffer.carrillolopez@teleperformance.co</t>
  </si>
  <si>
    <t>Moreno, Alberto</t>
  </si>
  <si>
    <t>amoren34@ext.uber.com</t>
  </si>
  <si>
    <t>alberto.morenoromero@teleperformance.co</t>
  </si>
  <si>
    <t>jhenao3@ext.uber.com</t>
  </si>
  <si>
    <t>julian.henaorodriguez@teleperformance.co</t>
  </si>
  <si>
    <t>kvasqu2@ext.uber.com</t>
  </si>
  <si>
    <t>Kley.VasquezPinzon@teleperformance.com</t>
  </si>
  <si>
    <t>Patino, Robinsson</t>
  </si>
  <si>
    <t>rpatia@ext.uber.com</t>
  </si>
  <si>
    <t>robinsson.patinoamaya@teleperformance.co</t>
  </si>
  <si>
    <t>TorresR, Laura</t>
  </si>
  <si>
    <t>Development  Analyst JR</t>
  </si>
  <si>
    <t>ltorre34@ext.uber.com</t>
  </si>
  <si>
    <t>laura.torresrojas@teleperformance.co</t>
  </si>
  <si>
    <t>Parra, Erika</t>
  </si>
  <si>
    <t>eparra6@ext.uber.com</t>
  </si>
  <si>
    <t>erika.parraaraque@teleperformance.com</t>
  </si>
  <si>
    <t>aborja5@ext.uber.com</t>
  </si>
  <si>
    <t>alba.fernandaborja@teleperformance.com</t>
  </si>
  <si>
    <t>Beltran, Sebastian</t>
  </si>
  <si>
    <t>sbeltr6@ext.uber.com</t>
  </si>
  <si>
    <t>sebastian.beltran@teleperformance.co</t>
  </si>
  <si>
    <t>RamirezG, Angie</t>
  </si>
  <si>
    <t>aramir74@ext.uber.com</t>
  </si>
  <si>
    <t>angie.ramirezgonzalez@teleperformance.co</t>
  </si>
  <si>
    <t>Diaz, Cristian</t>
  </si>
  <si>
    <t>cdiaz39@ext.uber.com</t>
  </si>
  <si>
    <t>cristian.diazcarvajal@teleperformance.co</t>
  </si>
  <si>
    <t>Cantor, Sonia</t>
  </si>
  <si>
    <t>sonia.cantorsalazar@teleperformance.com</t>
  </si>
  <si>
    <t>Gomez, Alejandro</t>
  </si>
  <si>
    <t>pgomez10@ext.uber.com</t>
  </si>
  <si>
    <t>pedro.gomezfuentes@teleperformance.com</t>
  </si>
  <si>
    <t>Ramirez, Daniela</t>
  </si>
  <si>
    <t>dramir49@ext.uber.com</t>
  </si>
  <si>
    <t>daniela.chicaramirez@teleperformance.co</t>
  </si>
  <si>
    <t>Bernal, Miguel</t>
  </si>
  <si>
    <t>mberna39@ext.uber.com</t>
  </si>
  <si>
    <t>miguel.angelbernal@teleperformance.co</t>
  </si>
  <si>
    <t>Benavides, Julio</t>
  </si>
  <si>
    <t>jbenav12@ext.uber.com</t>
  </si>
  <si>
    <t>julio.benavidesvinchira@teleperformance.co</t>
  </si>
  <si>
    <t>dmora15@ext.uber.com</t>
  </si>
  <si>
    <t>daniel.moram@teleperformance.com</t>
  </si>
  <si>
    <t>Briceno, Michael</t>
  </si>
  <si>
    <t>mbrice2@ext.uber.com</t>
  </si>
  <si>
    <t>michael.bricenobenavides@teleperformance.com</t>
  </si>
  <si>
    <t>LopezR, Laura</t>
  </si>
  <si>
    <t>llopez63@ext.uber.com</t>
  </si>
  <si>
    <t>laura.lopezreyes@teleperformance.co</t>
  </si>
  <si>
    <t>Galindo, Alejandro</t>
  </si>
  <si>
    <t>agalin9@ext.uber.com</t>
  </si>
  <si>
    <t>alejandro.galindorestrepo@teleperformance.co</t>
  </si>
  <si>
    <t>Rey, Yuliana</t>
  </si>
  <si>
    <t>yrey@ext.uber.com</t>
  </si>
  <si>
    <t>yuliana.reypuentes@teleperformance.co</t>
  </si>
  <si>
    <t>abenit10@ext.uber.com</t>
  </si>
  <si>
    <t>Alvaro.BenitezQuiceno@teleperformance.com</t>
  </si>
  <si>
    <t>Garzon, Diana</t>
  </si>
  <si>
    <t>dgarzo18@ext.uber.com</t>
  </si>
  <si>
    <t>diana.garzonavila@teleperformance.co</t>
  </si>
  <si>
    <t>Rodriguez, Alejandra</t>
  </si>
  <si>
    <t>arodri180@ext.uber.com</t>
  </si>
  <si>
    <t>alejandra.rodriguezpena@teleperformance.co</t>
  </si>
  <si>
    <t>Goyes, Lina</t>
  </si>
  <si>
    <t>lgoyes@ext.uber.com</t>
  </si>
  <si>
    <t>lina.goyeschamorro@teleperformance.co</t>
  </si>
  <si>
    <t>lferna31@ext.uber.com</t>
  </si>
  <si>
    <t>lee.fernandeznarvaez@teleperformance.com</t>
  </si>
  <si>
    <t>Caballero, Maira</t>
  </si>
  <si>
    <t>mcabal18@ext.uber.com</t>
  </si>
  <si>
    <t>maira.caballerolondono@teleperformance.com</t>
  </si>
  <si>
    <t>Rojas, Sebastian</t>
  </si>
  <si>
    <t>srojas18@ext.uber.com</t>
  </si>
  <si>
    <t>sebastian.rojassolorzano@teleperformance.com</t>
  </si>
  <si>
    <t>Colmenares, Angel</t>
  </si>
  <si>
    <t>acolme1@ext.uber.com</t>
  </si>
  <si>
    <t>angel.colmenaresrodriguez@teleperformance.com</t>
  </si>
  <si>
    <t>Sanchez, Jhon</t>
  </si>
  <si>
    <t>jsanch134@ext.uber.com</t>
  </si>
  <si>
    <t>jhon.sanchezcastillo@teleperformance.com</t>
  </si>
  <si>
    <t>Caldera, Jose</t>
  </si>
  <si>
    <t>jcalde27@ext.uber.com</t>
  </si>
  <si>
    <t>jose.calderaalvarado@teleperformance.co</t>
  </si>
  <si>
    <t>Rojas, Eukarys</t>
  </si>
  <si>
    <t>erojas12@ext.uber.com</t>
  </si>
  <si>
    <t>eukarys.rojas@teleperformance.co</t>
  </si>
  <si>
    <t>WF SR Manager</t>
  </si>
  <si>
    <t>jparra1@ext.uber.com</t>
  </si>
  <si>
    <t>jeimmy.parraaraque@teleperformance.com</t>
  </si>
  <si>
    <t>lrivas3@ext.uber.com</t>
  </si>
  <si>
    <t>luis.rivasbernal@teleperformance.co</t>
  </si>
  <si>
    <t>caceve5@ext.uber.com</t>
  </si>
  <si>
    <t>camilo.acevedorodriguez@teleperformance.com</t>
  </si>
  <si>
    <t>Porras, Oscar</t>
  </si>
  <si>
    <t>oporra@ext.uber.com</t>
  </si>
  <si>
    <t>Oscar.porrasorduy@teleperformance.com</t>
  </si>
  <si>
    <t>Salazar, Lina</t>
  </si>
  <si>
    <t>lsalaz15@ext.uber.com</t>
  </si>
  <si>
    <t>lina.salazararciniegas@teleperformance.co</t>
  </si>
  <si>
    <t>Alvarez, Jesus</t>
  </si>
  <si>
    <t>jalvar73@ext.uber.com</t>
  </si>
  <si>
    <t>jesus.alvarezgomez@teleperformance.com</t>
  </si>
  <si>
    <t>jcuerv9@ext.uber.com</t>
  </si>
  <si>
    <t>jhojan.cuervoruiz@teleperformance.co</t>
  </si>
  <si>
    <t>Samaca, Juan</t>
  </si>
  <si>
    <t>jsamac@ext.uber.com</t>
  </si>
  <si>
    <t>juan.samacabatista@teleperformance.com</t>
  </si>
  <si>
    <t>Yepes, Juan</t>
  </si>
  <si>
    <t>jyepes7@ext.uber.com</t>
  </si>
  <si>
    <t>Juan.YepesRamirez@teleperformance.co</t>
  </si>
  <si>
    <t>Querales, Valentina</t>
  </si>
  <si>
    <t>gquera@ext.uber.com</t>
  </si>
  <si>
    <t>Giannela.Querales@teleperformance.co</t>
  </si>
  <si>
    <t>slopez51@ext.uber.com</t>
  </si>
  <si>
    <t>Silvia.LopezViracacha@teleperformance.co</t>
  </si>
  <si>
    <t>Beltran, Carlos</t>
  </si>
  <si>
    <t>Sr Operation Director</t>
  </si>
  <si>
    <t>ccasti35@ext.uber.com</t>
  </si>
  <si>
    <t>carlos.castillofigueroa@teleperformance.com</t>
  </si>
  <si>
    <t>Mesa, Jorge</t>
  </si>
  <si>
    <t>jmesa12@ext.uber.com</t>
  </si>
  <si>
    <t>jorge.mesatamayo@teleperformance.com</t>
  </si>
  <si>
    <t>Bellaizan, Brayan</t>
  </si>
  <si>
    <t>bbella1@ext.uber.com</t>
  </si>
  <si>
    <t>brayan.bellaizanparra@teleperformance.com</t>
  </si>
  <si>
    <t>Suarez, Edith</t>
  </si>
  <si>
    <t>esuare14@ext.uber.com</t>
  </si>
  <si>
    <t>edith.suarezamezquita@teleperformance.com</t>
  </si>
  <si>
    <t>RodriguezB, Angel</t>
  </si>
  <si>
    <t>arodri196@ext.uber.com</t>
  </si>
  <si>
    <t>Angel.RodriguezBayona@teleperformance.co</t>
  </si>
  <si>
    <t>Garcia, Dayhan</t>
  </si>
  <si>
    <t>dgarci86@ext.uber.com</t>
  </si>
  <si>
    <t>Dayhan.GarciaGrande@teleperformance.co</t>
  </si>
  <si>
    <t>Torres, Tatiana</t>
  </si>
  <si>
    <t>ttorre2@ext.uber.com</t>
  </si>
  <si>
    <t>Tatiana.Torres@teleperformance.co</t>
  </si>
  <si>
    <t>Miranda, Cristian</t>
  </si>
  <si>
    <t>cmiran11@ext.uber.com</t>
  </si>
  <si>
    <t>Cristian.DeLeon@teleperformance.com</t>
  </si>
  <si>
    <t>nreyes16@ext.uber.com</t>
  </si>
  <si>
    <t>Nicolas.ReyesUbaque@teleperformance.com</t>
  </si>
  <si>
    <t>Chavez, Cristian</t>
  </si>
  <si>
    <t>cchave22@ext.uber.com</t>
  </si>
  <si>
    <t>Cristian.ChavezClavijo@teleperformance.co</t>
  </si>
  <si>
    <t>Vicepresidente</t>
  </si>
  <si>
    <t>Carlos.BeltranH@teleperformance.com</t>
  </si>
  <si>
    <t>Ramirez, Jose</t>
  </si>
  <si>
    <t>jramir131@ext.uber.com</t>
  </si>
  <si>
    <t>Jose.RamirezTrillos@teleperformance.co</t>
  </si>
  <si>
    <t>CortesT, David</t>
  </si>
  <si>
    <t>dcorte25@ext.uber.com</t>
  </si>
  <si>
    <t>David.CortesTorres@teleperformance.co</t>
  </si>
  <si>
    <t>fnavar4@ext.uber.com</t>
  </si>
  <si>
    <t>franklyn.navarroromero@teleperformance.com</t>
  </si>
  <si>
    <t>Rodriguez, Yheizon</t>
  </si>
  <si>
    <t>yrodri27@ext.uber.com</t>
  </si>
  <si>
    <t>Yheizon.RodriguezLlanes@teleperformance.co</t>
  </si>
  <si>
    <t>Cardona, Juan</t>
  </si>
  <si>
    <t>jcardo36@ext.uber.com</t>
  </si>
  <si>
    <t>Juan.CardonaMedina@teleperformance.co</t>
  </si>
  <si>
    <t>Cordero, Deninsson</t>
  </si>
  <si>
    <t>Global IT Manager</t>
  </si>
  <si>
    <t>dcorde2@ext.uber.com</t>
  </si>
  <si>
    <t>deninsson.corderomedina@teleperformance.com</t>
  </si>
  <si>
    <t>Soto, Marianny</t>
  </si>
  <si>
    <t>msotob@ext.uber.com</t>
  </si>
  <si>
    <t>Marianny.SotoBeltran@teleperformance.com</t>
  </si>
  <si>
    <t>Cardenas, Valentina</t>
  </si>
  <si>
    <t>vcarde4@ext.uber.com</t>
  </si>
  <si>
    <t>Valentina.CardenasLema@teleperformance.com</t>
  </si>
  <si>
    <t>mmoral56@ext.uber.com</t>
  </si>
  <si>
    <t>Marcos.MoralesMendoza@teleperformance.co</t>
  </si>
  <si>
    <t>Forero, Valeria</t>
  </si>
  <si>
    <t>vforer@ext.uber.com</t>
  </si>
  <si>
    <t>Valeria.ForeroAbello@teleperformance.com</t>
  </si>
  <si>
    <t>hgarci24@ext.uber.com</t>
  </si>
  <si>
    <t>Helmer.GarciaAcevedo@teleperformance.com</t>
  </si>
  <si>
    <t>GomezPi, Angie</t>
  </si>
  <si>
    <t>agomez89@ext.uber.com</t>
  </si>
  <si>
    <t>Angie.GomezPineda@teleperformance.co</t>
  </si>
  <si>
    <t>Fandino, Yeremy</t>
  </si>
  <si>
    <t>yfandi@ext.uber.com</t>
  </si>
  <si>
    <t>yeremy.fandinosamudio@teleperformance.com</t>
  </si>
  <si>
    <t>Doctor, Camilo</t>
  </si>
  <si>
    <t>cdocto@ext.uber.com</t>
  </si>
  <si>
    <t>Camilo.DoctorTorres@teleperformance.co</t>
  </si>
  <si>
    <t>Olaya, Paola</t>
  </si>
  <si>
    <t>polaya1@ext.uber.com</t>
  </si>
  <si>
    <t>Paola.OlayaVelez@teleperformance.co</t>
  </si>
  <si>
    <t>Lopez, Ariel</t>
  </si>
  <si>
    <t>Ariel.LopezSaavedra@teleperformance.co</t>
  </si>
  <si>
    <t>Jimenez, Wilmer</t>
  </si>
  <si>
    <t>wjimen2@ext.uber.com</t>
  </si>
  <si>
    <t>Wilmer.JimenezVasquez@teleperformance.co</t>
  </si>
  <si>
    <t>Gimenez, Valeria</t>
  </si>
  <si>
    <t>vgimen@ext.uber.com</t>
  </si>
  <si>
    <t>Valeria.Gimenez@teleperformance.co</t>
  </si>
  <si>
    <t>jperea2@ext.uber.com</t>
  </si>
  <si>
    <t>Jordan.PereaBent@teleperformance.co</t>
  </si>
  <si>
    <t>Aponte, Jose</t>
  </si>
  <si>
    <t>japont3@ext.uber.com</t>
  </si>
  <si>
    <t>Jose.AponteEscalona@teleperformance.co</t>
  </si>
  <si>
    <t>Osorio, Valentina</t>
  </si>
  <si>
    <t>vosori2@ext.uber.com</t>
  </si>
  <si>
    <t>Valentina.Osorio@teleperformance.co</t>
  </si>
  <si>
    <t>Botero, Meliza</t>
  </si>
  <si>
    <t>mboter3@ext.uber.com</t>
  </si>
  <si>
    <t>Meliza.BoteroPabon@teleperformance.com</t>
  </si>
  <si>
    <t>Romero, Cristian</t>
  </si>
  <si>
    <t>cromer26@ext.uber.com</t>
  </si>
  <si>
    <t>Cristian.RomeroRuiz@teleperformance.com</t>
  </si>
  <si>
    <t>AvilaR, Andres</t>
  </si>
  <si>
    <t>cavila21@ext.uber.com</t>
  </si>
  <si>
    <t>andres.avilaramirez@teleperformance.com</t>
  </si>
  <si>
    <t>Ramirez, Maximilian</t>
  </si>
  <si>
    <t>Reporting Coordinator</t>
  </si>
  <si>
    <t>vchamo@ext.uber.com</t>
  </si>
  <si>
    <t>Valentina.ChamorroHerrera@teleperformance.com</t>
  </si>
  <si>
    <t>marcil3@ext.uber.com</t>
  </si>
  <si>
    <t>maria.arcilajaramillo@teleperformance.com</t>
  </si>
  <si>
    <t>Garzon, Jhon</t>
  </si>
  <si>
    <t>Reporting Manager</t>
  </si>
  <si>
    <t>Maximilian.RamirezRodriguez@teleperformance.com</t>
  </si>
  <si>
    <t>Tovar, Jhonatan</t>
  </si>
  <si>
    <t>jtovar8@ext.uber.com</t>
  </si>
  <si>
    <t>Jhonatan.TovarBarrera@teleperformance.co</t>
  </si>
  <si>
    <t>jalema2@ext.uber.com</t>
  </si>
  <si>
    <t>Juan.AlemanLeal@teleperformance.co</t>
  </si>
  <si>
    <t>Rincones, Raiza</t>
  </si>
  <si>
    <t>rrinco1@ext.uber.com</t>
  </si>
  <si>
    <t>Raiza.Rincones@teleperformance.co</t>
  </si>
  <si>
    <t>Caballero, Nataly</t>
  </si>
  <si>
    <t>ncabal3@ext.uber.com</t>
  </si>
  <si>
    <t>Nataly.CaballeroBermudez@teleperformance.co</t>
  </si>
  <si>
    <t>Caicedo, Elis</t>
  </si>
  <si>
    <t>ecaice5@ext.uber.com</t>
  </si>
  <si>
    <t>Elis.CaicedoAlvarez@teleperformance.co</t>
  </si>
  <si>
    <t>eruiz26@ext.uber.com</t>
  </si>
  <si>
    <t>Edinson.ruizrodriguez@teleperformance.com</t>
  </si>
  <si>
    <t>Serna, Leidy</t>
  </si>
  <si>
    <t>lserna2@ext.uber.com</t>
  </si>
  <si>
    <t>leidy.sernaherrera@teleperformance.com</t>
  </si>
  <si>
    <t>Lopez, Anderson</t>
  </si>
  <si>
    <t>alopez134@ext.uber.com</t>
  </si>
  <si>
    <t>Anderson.LopezNieto@teleperformance.co</t>
  </si>
  <si>
    <t>Mamanche, Angie</t>
  </si>
  <si>
    <t>amaman3@ext.uber.com</t>
  </si>
  <si>
    <t>Angie.MamancheHernandez@teleperformance.co</t>
  </si>
  <si>
    <t>Mendez, Juan</t>
  </si>
  <si>
    <t>Rodriguez, Melanie</t>
  </si>
  <si>
    <t>Generalista RRHH</t>
  </si>
  <si>
    <t>ReyesP, Santiago</t>
  </si>
  <si>
    <t>sreyes26@ext.uber.com</t>
  </si>
  <si>
    <t>Santiago.ReyesPiraligua@teleperformance.co</t>
  </si>
  <si>
    <t>Bahamon, Hugo</t>
  </si>
  <si>
    <t>hbaham@ext.uber.com</t>
  </si>
  <si>
    <t>Hugo.BahamonDiaz@teleperformance.co</t>
  </si>
  <si>
    <t>Riano, Juan</t>
  </si>
  <si>
    <t>jriano4@ext.uber.com</t>
  </si>
  <si>
    <t>Juan.RianoRamirez@teleperformance.co</t>
  </si>
  <si>
    <t>Serrano, Zulma</t>
  </si>
  <si>
    <t>zserra1@ext.uber.com</t>
  </si>
  <si>
    <t>Zulma.SerranoLopez@teleperformance.com</t>
  </si>
  <si>
    <t>Diaz, Maria</t>
  </si>
  <si>
    <t>Pena, Bibian</t>
  </si>
  <si>
    <t>Analista de Seguridad</t>
  </si>
  <si>
    <t>mdiaz70@ext.uber.com</t>
  </si>
  <si>
    <t>maria.diaz@teleperformance.com</t>
  </si>
  <si>
    <t>MartinezV, Paula</t>
  </si>
  <si>
    <t>pmarta1@ext.uber.com</t>
  </si>
  <si>
    <t>paula.martinezvera@teleperformance.com</t>
  </si>
  <si>
    <t>Cano, Juliana</t>
  </si>
  <si>
    <t>jcano4@ext.uber.com</t>
  </si>
  <si>
    <t>juliana.canoquintero@teleperformance.com</t>
  </si>
  <si>
    <t>Londono, Andres</t>
  </si>
  <si>
    <t>Balcazar, Paula</t>
  </si>
  <si>
    <t>alondo9@ext.uber.com</t>
  </si>
  <si>
    <t>andres.londonovargas@teleperformance.com</t>
  </si>
  <si>
    <t>Olivero, Javier</t>
  </si>
  <si>
    <t>Cabrera, Edgar</t>
  </si>
  <si>
    <t>Support Analyst</t>
  </si>
  <si>
    <t>jolive24@ext.uber.com</t>
  </si>
  <si>
    <t>javier.olivero@teleperformance.com</t>
  </si>
  <si>
    <t>Cuervo, Santiago</t>
  </si>
  <si>
    <t>Suarez, Jennifer</t>
  </si>
  <si>
    <t>scuerv4@ext.uber.com</t>
  </si>
  <si>
    <t>santiago.cuervorojas@teleperformance.com</t>
  </si>
  <si>
    <t>Garay, Camilo</t>
  </si>
  <si>
    <t>igaray@ext.uber.com</t>
  </si>
  <si>
    <t>Ivan.Garay@teleperformance.com</t>
  </si>
  <si>
    <t>Diaz, David</t>
  </si>
  <si>
    <t>ddiaz43@ext.uber.com</t>
  </si>
  <si>
    <t>David.DiazToloza@teleperformance.com</t>
  </si>
  <si>
    <t>Pineros, Simon</t>
  </si>
  <si>
    <t>spiner1@ext.uber.com</t>
  </si>
  <si>
    <t>Simon.PinerosManjarres@teleperformance.co</t>
  </si>
  <si>
    <t>Van Otterdijk Silva, Noah</t>
  </si>
  <si>
    <t>notter@ext.uber.com</t>
  </si>
  <si>
    <t>Noah.VanOtterdijkSilva@teleperformance.co</t>
  </si>
  <si>
    <t>Caicedo, Jeiko</t>
  </si>
  <si>
    <t>jcaice10@ext.uber.com</t>
  </si>
  <si>
    <t>Jeiko.CaicedoValderrama@teleperformance.co</t>
  </si>
  <si>
    <t>Hilarion, Juan</t>
  </si>
  <si>
    <t>jhilar4@ext.uber.com</t>
  </si>
  <si>
    <t>Juan.HilarionPerez@teleperformance.co</t>
  </si>
  <si>
    <t>Diaz, Jhohan</t>
  </si>
  <si>
    <t>jdiaz103@ext.uber.com</t>
  </si>
  <si>
    <t>Jhohan.DiazCortez@teleperformance.co</t>
  </si>
  <si>
    <t>Meza, Cristian</t>
  </si>
  <si>
    <t>Torres, Laura</t>
  </si>
  <si>
    <t>cmeza2@ext.uber.com</t>
  </si>
  <si>
    <t>Cristian.MezaGamez@teleperformance.com</t>
  </si>
  <si>
    <t>Gutierrez, Juan</t>
  </si>
  <si>
    <t>Barrios, Jorge</t>
  </si>
  <si>
    <t>jgutie85@ext.uber.com</t>
  </si>
  <si>
    <t>juan.gutierrezlondono@teleperformance.com</t>
  </si>
  <si>
    <t>SalazarR, Juan</t>
  </si>
  <si>
    <t>Correa, Jeferson</t>
  </si>
  <si>
    <t>csalaz15@ext.uber.com</t>
  </si>
  <si>
    <t>juan.salazarrestrepo@teleperformance.com</t>
  </si>
  <si>
    <t>Uribe, Ana</t>
  </si>
  <si>
    <t>Mona, Diego</t>
  </si>
  <si>
    <t>Support Analyst III</t>
  </si>
  <si>
    <t>auribe2@ext.uber.com</t>
  </si>
  <si>
    <t>ana.uribeposada@teleperformance.com</t>
  </si>
  <si>
    <t>HerreraE, Brayan</t>
  </si>
  <si>
    <t>Leyton, Jayson</t>
  </si>
  <si>
    <t>Support Analyst I</t>
  </si>
  <si>
    <t>bherre4@ext.uber.com</t>
  </si>
  <si>
    <t>Brayan.HerreraEspinosa@teleperformance.com</t>
  </si>
  <si>
    <t>Reyes, Juan</t>
  </si>
  <si>
    <t>Cosme, Andres</t>
  </si>
  <si>
    <t>jreyes83@ext.uber.com</t>
  </si>
  <si>
    <t>juan.reyescarreno@teleperformance.com</t>
  </si>
  <si>
    <t>Carrillo, Sharon</t>
  </si>
  <si>
    <t>Sharon.CarrilloAlvarez@teleperformance.co</t>
  </si>
  <si>
    <t>Soto, Jon</t>
  </si>
  <si>
    <t>jsotob@ext.uber.com</t>
  </si>
  <si>
    <t>Jon.SotoBlanco@teleperformance.com</t>
  </si>
  <si>
    <t>Grajales, Mariana</t>
  </si>
  <si>
    <t>mgraja@ext.uber.com</t>
  </si>
  <si>
    <t>Mariana.GrajalesQuintero@teleperformance.co</t>
  </si>
  <si>
    <t>Obando, Sofia</t>
  </si>
  <si>
    <t>soband4@ext.uber.com</t>
  </si>
  <si>
    <t>RBL-Sofia.ObandoTapasco@teleperformance.co</t>
  </si>
  <si>
    <t>Amador, Zaira</t>
  </si>
  <si>
    <t>mluna@ext.uber.com</t>
  </si>
  <si>
    <t>maria.lunamartinez@teleperformance.com</t>
  </si>
  <si>
    <t>Pulido, Xiomara</t>
  </si>
  <si>
    <t>xpulid@ext.uber.com</t>
  </si>
  <si>
    <t>RBL-Xiomara.PulidoTorres@teleperformance.co</t>
  </si>
  <si>
    <t>GiraldoA, Daniel</t>
  </si>
  <si>
    <t>dgiral13@ext.uber.com</t>
  </si>
  <si>
    <t>RBL-Daniel.GiraldoAlvarez@teleperformance.co</t>
  </si>
  <si>
    <t>GarzonB, Jose</t>
  </si>
  <si>
    <t>Canon, Jonathan</t>
  </si>
  <si>
    <t>Technical Account Manager</t>
  </si>
  <si>
    <t>jgarzo20@ext.uber.com</t>
  </si>
  <si>
    <t>jose.garzonbaron@teleperformance.com</t>
  </si>
  <si>
    <t>Leguizamo, Camilo</t>
  </si>
  <si>
    <t>Jha, Dhananjay</t>
  </si>
  <si>
    <t>clegui3@ext.uber.com</t>
  </si>
  <si>
    <t>Camilo.LeguizamoDiaz@teleperformance.com</t>
  </si>
  <si>
    <t>Moreno, Yesid</t>
  </si>
  <si>
    <t>ymoren8@ext.uber.com</t>
  </si>
  <si>
    <t>yesid.morenoballesteros@teleperformance.com</t>
  </si>
  <si>
    <t>Bermudez, Brian</t>
  </si>
  <si>
    <t>Analista de Operaciones IT</t>
  </si>
  <si>
    <t>Londono, Luz</t>
  </si>
  <si>
    <t>Ruiz, Jorge</t>
  </si>
  <si>
    <t>ForeroL, Diana</t>
  </si>
  <si>
    <t>Paez, Milciades</t>
  </si>
  <si>
    <t>WF Director Jr</t>
  </si>
  <si>
    <t>Jorge.PereiraBermudez@teleperformance.com</t>
  </si>
  <si>
    <t>Alvarez, Pablo</t>
  </si>
  <si>
    <t>palvar10@ext.uber.com</t>
  </si>
  <si>
    <t>pablo.alvarezmolina@teleperformance.com</t>
  </si>
  <si>
    <t>Sanchez, Ana</t>
  </si>
  <si>
    <t>Torres, Cindy</t>
  </si>
  <si>
    <t>Ana.SanchezOtalvaro@teleperformance.com</t>
  </si>
  <si>
    <t>Viviescas, Jose</t>
  </si>
  <si>
    <t>jvivie1@ext.uber.com</t>
  </si>
  <si>
    <t>jose.viviescasgarzon@teleperformance.com</t>
  </si>
  <si>
    <t>Pineda, Lina</t>
  </si>
  <si>
    <t>lpined19@ext.uber.com</t>
  </si>
  <si>
    <t>RBL-Lina.PinedaTorres@teleperformance.co</t>
  </si>
  <si>
    <t>Aguiar, Mauricio</t>
  </si>
  <si>
    <t>maguia5@ext.uber.com</t>
  </si>
  <si>
    <t>Mauricio.AguiarGil@teleperformance.com</t>
  </si>
  <si>
    <t>VargasM, Jesus</t>
  </si>
  <si>
    <t>Improvement Sr Analyst</t>
  </si>
  <si>
    <t>jvarga93@ext.uber.com</t>
  </si>
  <si>
    <t xml:space="preserve">jesus.vargasmeneses@teleperformance.com </t>
  </si>
  <si>
    <t>jdiaz75@ext.uber.com</t>
  </si>
  <si>
    <t>Jimmy.DiazVillanueva@teleperformance.com</t>
  </si>
  <si>
    <t>Moreno, Edwin</t>
  </si>
  <si>
    <t>emoren35@ext.uber.com</t>
  </si>
  <si>
    <t>Edwin.morenocamacho@teleperformance.com</t>
  </si>
  <si>
    <t>Garzon, German</t>
  </si>
  <si>
    <t>Leon, Angela </t>
  </si>
  <si>
    <t>aleon18@ext.uber.com</t>
  </si>
  <si>
    <t>angela.leonsanchez@teleperformance.com</t>
  </si>
  <si>
    <t>Chacon, Carlos</t>
  </si>
  <si>
    <t>Herrera, Brayan</t>
  </si>
  <si>
    <t>Alonso, Edinson</t>
  </si>
  <si>
    <t>efuent12@ext.uber.com</t>
  </si>
  <si>
    <t>edison.alonsofuentes@teleperformance.com</t>
  </si>
  <si>
    <t>Tavera, Fredy</t>
  </si>
  <si>
    <t>Manager Financiero</t>
  </si>
  <si>
    <t>ftaver@ext.uber.com</t>
  </si>
  <si>
    <t>Fredy.TaveraRomero@teleperformance.com</t>
  </si>
  <si>
    <t>PenaQ, Angie</t>
  </si>
  <si>
    <t>Castro, Yessid</t>
  </si>
  <si>
    <t>Angie.PenaQuevedo@teleperformance.com</t>
  </si>
  <si>
    <t>Colina, Mariangela</t>
  </si>
  <si>
    <t>mcolin2@ext.uber.com</t>
  </si>
  <si>
    <t>mariangela.colinaalarcon@teleperformance.com</t>
  </si>
  <si>
    <t>ccmd id</t>
  </si>
  <si>
    <t>Agent</t>
  </si>
  <si>
    <t>Perfil</t>
  </si>
  <si>
    <t>Horas</t>
  </si>
  <si>
    <t>%salario</t>
  </si>
  <si>
    <t>Español</t>
  </si>
  <si>
    <t>WFM Analyst</t>
  </si>
  <si>
    <t xml:space="preserve">En  la  hoja Usuario en la colimna A esta el bms id de la sesion, en la b el nombre,  en la C esta el correo de la sesion D el roll  en la E la LOB, en la hoja Incentivos en la columna C esta la lob  y si s igual con la de usuarios  debe mostrar  la  tabla de esa  lob imprime  en un . log  que info tiene de esa lob del rango a a la r </t>
  </si>
  <si>
    <t>PMO Sales</t>
  </si>
  <si>
    <t>WFM Director</t>
  </si>
  <si>
    <t>WFM Assistant Manager</t>
  </si>
  <si>
    <t>agente_bi</t>
  </si>
  <si>
    <t>QA Insights LATAM PSL</t>
  </si>
  <si>
    <t>Soporte_bi</t>
  </si>
  <si>
    <t>WFM Real-Time Analyst</t>
  </si>
  <si>
    <t>QA Insights LATAM SSL</t>
  </si>
  <si>
    <t>Integrity</t>
  </si>
  <si>
    <t>ingles</t>
  </si>
  <si>
    <t>sup_esp</t>
  </si>
  <si>
    <t>Development  Analyst Sr</t>
  </si>
  <si>
    <t xml:space="preserve"> $598,500.00.</t>
  </si>
  <si>
    <t>WFM  Analyst</t>
  </si>
  <si>
    <t>agente_esp</t>
  </si>
  <si>
    <t>$420,000.00.</t>
  </si>
  <si>
    <t>Soporte_esp</t>
  </si>
  <si>
    <t>Audit</t>
  </si>
  <si>
    <t>Psychologist</t>
  </si>
  <si>
    <t>Development  Analyst Jr</t>
  </si>
  <si>
    <t>Project Manager</t>
  </si>
  <si>
    <t>Cervantes, Irina - 5875</t>
  </si>
  <si>
    <t>icerva1@ext.uber.com</t>
  </si>
  <si>
    <t>Fuquen, Deiby - 4480</t>
  </si>
  <si>
    <t>dfuque@ext.uber.com</t>
  </si>
  <si>
    <t>PulidoG, Wendy - 2415</t>
  </si>
  <si>
    <t>wpulid2@ext.uber.com</t>
  </si>
  <si>
    <t>Daza, Jonathan - 7281</t>
  </si>
  <si>
    <t>jdaza12@ext.uber.com</t>
  </si>
  <si>
    <t>Rodriguez, Paula - 7681</t>
  </si>
  <si>
    <t>prodri41@ext.uber.com</t>
  </si>
  <si>
    <t>Abril, Juanita - 1590</t>
  </si>
  <si>
    <t>jabril4@ext.uber.com</t>
  </si>
  <si>
    <t>Buitrago, Carolina - 6826</t>
  </si>
  <si>
    <t>cbuitr3@ext.uber.com</t>
  </si>
  <si>
    <t>Luy, Johan - 4380</t>
  </si>
  <si>
    <t>jluyca@ext.uber.com</t>
  </si>
  <si>
    <t>Delgado, Maria - 3282</t>
  </si>
  <si>
    <t>mdelga17@ext.uber.com</t>
  </si>
  <si>
    <t>US Phone Driver CX Eng</t>
  </si>
  <si>
    <t>Novoa, Emily - 3533</t>
  </si>
  <si>
    <t>enovoa1@ext.uber.com</t>
  </si>
  <si>
    <t>Albadan, Angie - 8268</t>
  </si>
  <si>
    <t>aalbad@ext.uber.com</t>
  </si>
  <si>
    <t>Sainea, Laura - 6091</t>
  </si>
  <si>
    <t>lsaine@ext.uber.com</t>
  </si>
  <si>
    <t>Cucunuba, Karol - 0176</t>
  </si>
  <si>
    <t>kcucun@ext.uber.com</t>
  </si>
  <si>
    <t>Rivera, Ana - 9804</t>
  </si>
  <si>
    <t>ariver55@ext.uber.com</t>
  </si>
  <si>
    <t>Romero, Maria - 6395</t>
  </si>
  <si>
    <t>mromer53@ext.uber.com</t>
  </si>
  <si>
    <t>Moncada, Jeimy - 4846</t>
  </si>
  <si>
    <t>jmonca9@ext.uber.com</t>
  </si>
  <si>
    <t>Perez, William - 0843</t>
  </si>
  <si>
    <t>wperez10@ext.uber.com</t>
  </si>
  <si>
    <t>AriasJ, Leidy - 3686</t>
  </si>
  <si>
    <t>larias19@ext.uber.com</t>
  </si>
  <si>
    <t>Hurtado, Ingry - 3679</t>
  </si>
  <si>
    <t>ihurta@ext.uber.com</t>
  </si>
  <si>
    <t>SanchezR, Juan - 3722</t>
  </si>
  <si>
    <t>jsanch177@ext.uber.com</t>
  </si>
  <si>
    <t>Florez, Juan - 4193</t>
  </si>
  <si>
    <t>jflore100@ext.uber.com</t>
  </si>
  <si>
    <t>Parra, Santiago - 3252</t>
  </si>
  <si>
    <t>sparra17@ext.uber.com</t>
  </si>
  <si>
    <t>Aguillon, Maria - 8255</t>
  </si>
  <si>
    <t>maguil35@ext.uber.com</t>
  </si>
  <si>
    <t>Urbina, Maria - 0837</t>
  </si>
  <si>
    <t>murbin1@ext.uber.com</t>
  </si>
  <si>
    <t>Sanchez, Laura - 5061</t>
  </si>
  <si>
    <t>lsanch101@ext.uber.com</t>
  </si>
  <si>
    <t>Laguna, Joan - 6379</t>
  </si>
  <si>
    <t>jlagun6@ext.uber.com</t>
  </si>
  <si>
    <t>Espitia, Angely - 6592</t>
  </si>
  <si>
    <t>aespit5@ext.uber.com</t>
  </si>
  <si>
    <t>Alvarez, Juan - 6758</t>
  </si>
  <si>
    <t>jalvar97@ext.uber.com</t>
  </si>
  <si>
    <t>Vanegas, Jahir - 9692</t>
  </si>
  <si>
    <t>jvaneg17@ext.uber.com</t>
  </si>
  <si>
    <t>Escobar, Javier - 1753</t>
  </si>
  <si>
    <t>jescob33@ext.uber.com</t>
  </si>
  <si>
    <t>Ortega, Manuela - 5360</t>
  </si>
  <si>
    <t>morteg24@ext.uber.com</t>
  </si>
  <si>
    <t>Raigoso, Maria - 9360</t>
  </si>
  <si>
    <t>mraigo2@ext.uber.com</t>
  </si>
  <si>
    <t>Riano, Angie - 8171</t>
  </si>
  <si>
    <t>ariaao@ext.uber.com</t>
  </si>
  <si>
    <t>Moreno, Dilan - 9269</t>
  </si>
  <si>
    <t>dmoren700@ext.uber.com</t>
  </si>
  <si>
    <t>Caceres, Gissell - 9598</t>
  </si>
  <si>
    <t>gcacer1@ext.uber.com</t>
  </si>
  <si>
    <t>Salgado, Everlin - 6204</t>
  </si>
  <si>
    <t>esalga4@ext.uber.com</t>
  </si>
  <si>
    <t>Mejia, Alejandra - 7771</t>
  </si>
  <si>
    <t>amejia27@ext.uber.com</t>
  </si>
  <si>
    <t>Gomez, Laura - 3415</t>
  </si>
  <si>
    <t>lgomez75@ext.uber.com</t>
  </si>
  <si>
    <t>Pena, Julio - 3024</t>
  </si>
  <si>
    <t>jpeaa4@ext.uber.com</t>
  </si>
  <si>
    <t>Delgado, Juan - 4065</t>
  </si>
  <si>
    <t>jdelga31@ext.uber.com</t>
  </si>
  <si>
    <t>Yopasa, Cristian - 8169</t>
  </si>
  <si>
    <t>cyopas@ext.uber.com</t>
  </si>
  <si>
    <t>Moreno, Jhoymar - 9687</t>
  </si>
  <si>
    <t>jmoren90@ext.uber.com</t>
  </si>
  <si>
    <t>Guerra, Daniel - 1973</t>
  </si>
  <si>
    <t>dguerr32@ext.uber.com</t>
  </si>
  <si>
    <t>Acosta, Santiago - 5224</t>
  </si>
  <si>
    <t>sacost12@ext.uber.com</t>
  </si>
  <si>
    <t>Santana, Alonso - 5955</t>
  </si>
  <si>
    <t>asanta36@ext.uber.com</t>
  </si>
  <si>
    <t>Gaitan, Carol - 6193</t>
  </si>
  <si>
    <t>cgaita2@ext.uber.com</t>
  </si>
  <si>
    <t>Salazar, Daryelys - 9046</t>
  </si>
  <si>
    <t>dsalaz16@ext.uber.com</t>
  </si>
  <si>
    <t>Hendes, Yeni - 0738</t>
  </si>
  <si>
    <t>yhende@ext.uber.com</t>
  </si>
  <si>
    <t>cochoa1@ext.uber.com</t>
  </si>
  <si>
    <t>gmurci@ext.uber.com</t>
  </si>
  <si>
    <t>Corredor, Jonathan</t>
  </si>
  <si>
    <t>jcorre30@ext.uber.com</t>
  </si>
  <si>
    <t>Martinez, Jose</t>
  </si>
  <si>
    <t>jmarti48@ext.uber.com</t>
  </si>
  <si>
    <t>Agudelo, Jhon</t>
  </si>
  <si>
    <t>jagude4@ext.uber.com</t>
  </si>
  <si>
    <t>Rubiano, Laura</t>
  </si>
  <si>
    <t>lrubia@ext.uber.com</t>
  </si>
  <si>
    <t>lgalvi2@ext.uber.com</t>
  </si>
  <si>
    <t>Serna, Yeisson</t>
  </si>
  <si>
    <t>yserna@ext.uber.com</t>
  </si>
  <si>
    <t>smejia6@ext.uber.com</t>
  </si>
  <si>
    <t>Bolanos, Mayra</t>
  </si>
  <si>
    <t>mbolao@ext.uber.com</t>
  </si>
  <si>
    <t>Hernandez, Luz</t>
  </si>
  <si>
    <t>lherna26@ext.uber.com</t>
  </si>
  <si>
    <t>Ayala, Rosa</t>
  </si>
  <si>
    <t>rayala@ext.uber.com</t>
  </si>
  <si>
    <t>Pineda, Felipe</t>
  </si>
  <si>
    <t>mpined10@ext.uber.com</t>
  </si>
  <si>
    <t>Oviedo, Mauricio</t>
  </si>
  <si>
    <t>movied3@ext.uber.com</t>
  </si>
  <si>
    <t>Lasso, Jhoan</t>
  </si>
  <si>
    <t>jlasso2@ext.uber.com</t>
  </si>
  <si>
    <t>jayala6@ext.uber.com</t>
  </si>
  <si>
    <t>Corzo, Victor</t>
  </si>
  <si>
    <t>vcorzo@ext.uber.com</t>
  </si>
  <si>
    <t>GiraldoP, Erika</t>
  </si>
  <si>
    <t>egiral2@ext.uber.com</t>
  </si>
  <si>
    <t>Salgado, Lina</t>
  </si>
  <si>
    <t>lsalga2@ext.uber.com</t>
  </si>
  <si>
    <t>Jaramillo, Leonor</t>
  </si>
  <si>
    <t>ljaram5@ext.uber.com</t>
  </si>
  <si>
    <t>psabog@ext.uber.com</t>
  </si>
  <si>
    <t>hvirgu@ext.uber.com</t>
  </si>
  <si>
    <t>Celis, Juan</t>
  </si>
  <si>
    <t>jcelis5@ext.uber.com</t>
  </si>
  <si>
    <t>Vallejo, Lina</t>
  </si>
  <si>
    <t>lvalle6@ext.uber.com</t>
  </si>
  <si>
    <t>Nunez, Gian</t>
  </si>
  <si>
    <t>gnuaez@ext.uber.com</t>
  </si>
  <si>
    <t>esuare9@ext.uber.com</t>
  </si>
  <si>
    <t>Jimenez, Angie</t>
  </si>
  <si>
    <t>ajimen36@ext.uber.com</t>
  </si>
  <si>
    <t>Onatra, Aldair</t>
  </si>
  <si>
    <t>aherre33@ext.uber.com</t>
  </si>
  <si>
    <t>Cortes, Willian</t>
  </si>
  <si>
    <t>wcorte@ext.uber.com</t>
  </si>
  <si>
    <t>Camacho, Juan</t>
  </si>
  <si>
    <t>jcamac15@ext.uber.com</t>
  </si>
  <si>
    <t>dgrana5@ext.uber.com</t>
  </si>
  <si>
    <t>Ibanez, Jonathan</t>
  </si>
  <si>
    <t>jibane9@ext.uber.com</t>
  </si>
  <si>
    <t>Pacheco, Yulieth</t>
  </si>
  <si>
    <t>Ramos, Yady</t>
  </si>
  <si>
    <t>yramos6@ext.uber.com</t>
  </si>
  <si>
    <t>Mendoza, Lucas</t>
  </si>
  <si>
    <t>lgomez64@ext.uber.com</t>
  </si>
  <si>
    <t>Monroy, Fabian</t>
  </si>
  <si>
    <t>fmonro2@ext.uber.com</t>
  </si>
  <si>
    <t>Acevedo, Mauricio</t>
  </si>
  <si>
    <t>maceve13@ext.uber.com</t>
  </si>
  <si>
    <t>jpinzo16@ext.uber.com</t>
  </si>
  <si>
    <t>Perez, Juan</t>
  </si>
  <si>
    <t>jperez127@ext.uber.com</t>
  </si>
  <si>
    <t>aruiz48@ext.uber.com</t>
  </si>
  <si>
    <t>RodriguezO, Heidy</t>
  </si>
  <si>
    <t>hrodri26@ext.uber.com</t>
  </si>
  <si>
    <t>Diaz, Monica</t>
  </si>
  <si>
    <t>mdiazb@ext.uber.com</t>
  </si>
  <si>
    <t>LopezP, Daniel</t>
  </si>
  <si>
    <t>dlopez73@ext.uber.com</t>
  </si>
  <si>
    <t>Cuellar, William</t>
  </si>
  <si>
    <t>wcuell@ext.uber.com</t>
  </si>
  <si>
    <t>agonza166@ext.uber.com</t>
  </si>
  <si>
    <t>Bernal, Juliana</t>
  </si>
  <si>
    <t>jberna70@ext.uber.com</t>
  </si>
  <si>
    <t>Guasca, Bryan</t>
  </si>
  <si>
    <t>bguasc@ext.uber.com</t>
  </si>
  <si>
    <t>dolave@ext.uber.com</t>
  </si>
  <si>
    <t>Guerrero, Daniel</t>
  </si>
  <si>
    <t>dguerr25@ext.uber.com</t>
  </si>
  <si>
    <t>Vergara, Andres</t>
  </si>
  <si>
    <t>averga16@ext.uber.com</t>
  </si>
  <si>
    <t>Castillo, Tammy</t>
  </si>
  <si>
    <t>tcasti9@ext.uber.com</t>
  </si>
  <si>
    <t>dlaver1@ext.uber.com</t>
  </si>
  <si>
    <t>Lopez, Giovanny</t>
  </si>
  <si>
    <t>glopez50@ext.uber.com</t>
  </si>
  <si>
    <t>Gonzalez, Jesus</t>
  </si>
  <si>
    <t>jgonza195@ext.uber.com</t>
  </si>
  <si>
    <t>Alonso, Paula</t>
  </si>
  <si>
    <t>palons1@ext.uber.com</t>
  </si>
  <si>
    <t>Gonzalez, Jeffer</t>
  </si>
  <si>
    <t>jgonza212@ext.uber.com</t>
  </si>
  <si>
    <t>Mendoza, Lorena</t>
  </si>
  <si>
    <t>lmendo26@ext.uber.com</t>
  </si>
  <si>
    <t>Ravelo, Johely</t>
  </si>
  <si>
    <t>jravel2@ext.uber.com</t>
  </si>
  <si>
    <t>Tellez, Zaira</t>
  </si>
  <si>
    <t>ztelle2@ext.uber.com</t>
  </si>
  <si>
    <t>Lopez, Kevin</t>
  </si>
  <si>
    <t>klopez48@ext.uber.com</t>
  </si>
  <si>
    <t>La Espriella, Santiago</t>
  </si>
  <si>
    <t>sdelae@ext.uber.com</t>
  </si>
  <si>
    <t>AlfonsoP, Jhon</t>
  </si>
  <si>
    <t>Anaya, Andres</t>
  </si>
  <si>
    <t>aanaya4@ext.uber.com</t>
  </si>
  <si>
    <t>Burbano, Sebastian</t>
  </si>
  <si>
    <t>sburba@ext.uber.com</t>
  </si>
  <si>
    <t>Ramirez, Julieth</t>
  </si>
  <si>
    <t>jramir148@ext.uber.com</t>
  </si>
  <si>
    <t>mmoren50@ext.uber.com</t>
  </si>
  <si>
    <t>Canoa, Daily</t>
  </si>
  <si>
    <t>dcanoa@ext.uber.com</t>
  </si>
  <si>
    <t>Cosma, Jose</t>
  </si>
  <si>
    <t>jcosma@ext.uber.com</t>
  </si>
  <si>
    <t>Rios, Sebastian</t>
  </si>
  <si>
    <t>srios5@ext.uber.com</t>
  </si>
  <si>
    <t>Castillo, Jinna</t>
  </si>
  <si>
    <t>jcasti107@ext.uber.com</t>
  </si>
  <si>
    <t>Malpica, Oscar</t>
  </si>
  <si>
    <t>omalpi@ext.uber.com</t>
  </si>
  <si>
    <t>Guerrero, Paula</t>
  </si>
  <si>
    <t>pguerr12@ext.uber.com</t>
  </si>
  <si>
    <t>Mateus, Sharik</t>
  </si>
  <si>
    <t>smateu2@ext.uber.com</t>
  </si>
  <si>
    <t>Chaparro, Laura</t>
  </si>
  <si>
    <t>lchapa5@ext.uber.com</t>
  </si>
  <si>
    <t>Serna, Julian</t>
  </si>
  <si>
    <t>jserna12@ext.uber.com</t>
  </si>
  <si>
    <t>Simanca, Solanyi</t>
  </si>
  <si>
    <t>ssiman1@ext.uber.com</t>
  </si>
  <si>
    <t>Conde, Santiago</t>
  </si>
  <si>
    <t>sconde3@ext.uber.com</t>
  </si>
  <si>
    <t>Londono, Sharick</t>
  </si>
  <si>
    <t>slondo6@ext.uber.com</t>
  </si>
  <si>
    <t>ycardo5@ext.uber.com</t>
  </si>
  <si>
    <t>Pantano, Erika</t>
  </si>
  <si>
    <t>epanto@ext.uber.com</t>
  </si>
  <si>
    <t>Fonseca, William</t>
  </si>
  <si>
    <t>wfonse@ext.uber.com</t>
  </si>
  <si>
    <t>Areiza, Mariana</t>
  </si>
  <si>
    <t>Avendano, Dany</t>
  </si>
  <si>
    <t>davend3@ext.uber.com</t>
  </si>
  <si>
    <t>Otalvaro, Cristian</t>
  </si>
  <si>
    <t>cotalv@ext.uber.com</t>
  </si>
  <si>
    <t>Contreras, Bryan</t>
  </si>
  <si>
    <t>bcontr5@ext.uber.com</t>
  </si>
  <si>
    <t>Ardila, Wendy</t>
  </si>
  <si>
    <t>wardil@ext.uber.com</t>
  </si>
  <si>
    <t>aherna178@ext.uber.com</t>
  </si>
  <si>
    <t>Pena, Leidy</t>
  </si>
  <si>
    <t>lpena16@ext.uber.com</t>
  </si>
  <si>
    <t>Valbuena, Luz</t>
  </si>
  <si>
    <t>lvalbu3@ext.uber.com</t>
  </si>
  <si>
    <t>Contreras, Diana</t>
  </si>
  <si>
    <t>dcontr15@ext.uber.com</t>
  </si>
  <si>
    <t>MontoyaH, Brayan</t>
  </si>
  <si>
    <t>bmonto3@ext.uber.com</t>
  </si>
  <si>
    <t>Penagos, Lyda</t>
  </si>
  <si>
    <t>eardil2@ext.uber.com</t>
  </si>
  <si>
    <t>dmarti12@ext.uber.com</t>
  </si>
  <si>
    <t>Cubillos, Ingrid</t>
  </si>
  <si>
    <t>icubil@ext.uber.com</t>
  </si>
  <si>
    <t>Moreno, Camilo</t>
  </si>
  <si>
    <t>cmoren40@ext.uber.com</t>
  </si>
  <si>
    <t>Barbosa, Maria</t>
  </si>
  <si>
    <t>mbarbo25@ext.uber.com</t>
  </si>
  <si>
    <t>mrodri23@ext.uber.com</t>
  </si>
  <si>
    <t>Sup</t>
  </si>
  <si>
    <t>eboter@ext.uber.com</t>
  </si>
  <si>
    <t>fcardo4@ext.uber.com</t>
  </si>
  <si>
    <t>lbenit@ext.uber.com</t>
  </si>
  <si>
    <t>Brito, Yuri</t>
  </si>
  <si>
    <t>ybrito@ext.uber.com</t>
  </si>
  <si>
    <t>areym@ext.uber.com</t>
  </si>
  <si>
    <t>amarqu2@ext.uber.com</t>
  </si>
  <si>
    <t>lrodri32@ext.uber.com</t>
  </si>
  <si>
    <t>raguir@ext.uber.com</t>
  </si>
  <si>
    <t>sarias1@ext.uber.com</t>
  </si>
  <si>
    <t>cherna10@ext.uber.com</t>
  </si>
  <si>
    <t>egutie5@ext.uber.com</t>
  </si>
  <si>
    <t>Medina, Sebastian</t>
  </si>
  <si>
    <t>smedin2@ext.uber.com</t>
  </si>
  <si>
    <t>hsepul1@ext.uber.com</t>
  </si>
  <si>
    <t>rguasc@ext.uber.com</t>
  </si>
  <si>
    <t>Orozco, Johan</t>
  </si>
  <si>
    <t>jorozc6@ext.uber.com</t>
  </si>
  <si>
    <t>jbeltr8@ext.uber.com</t>
  </si>
  <si>
    <t>yquint3@ext.uber.com</t>
  </si>
  <si>
    <t>jtrian2@ext.uber.com</t>
  </si>
  <si>
    <t>wlopez8@ext.uber.com</t>
  </si>
  <si>
    <t>ccano@ext.uber.com</t>
  </si>
  <si>
    <t>rbejar@ext.uber.com</t>
  </si>
  <si>
    <t>tsierr@ext.uber.com</t>
  </si>
  <si>
    <t>kmejia@ext.uber.com</t>
  </si>
  <si>
    <t>dgalea1@ext.uber.com</t>
  </si>
  <si>
    <t>jcasti33@ext.uber.com</t>
  </si>
  <si>
    <t>msoto11@ext.uber.com</t>
  </si>
  <si>
    <t>jramos23@ext.uber.com</t>
  </si>
  <si>
    <t>csosa3@ext.uber.com</t>
  </si>
  <si>
    <t>jlozad3@ext.uber.com</t>
  </si>
  <si>
    <t>elasso@ext.uber.com</t>
  </si>
  <si>
    <t>dortiz9@ext.uber.com</t>
  </si>
  <si>
    <t>mlopez65@ext.uber.com</t>
  </si>
  <si>
    <t>Perez, Daybelis</t>
  </si>
  <si>
    <t>dperez43@ext.uber.com</t>
  </si>
  <si>
    <t>kortiz12@ext.uber.com</t>
  </si>
  <si>
    <t>ymoren3@ext.uber.com</t>
  </si>
  <si>
    <t>movall3@ext.uber.com</t>
  </si>
  <si>
    <t>jcabre18@ext.uber.com</t>
  </si>
  <si>
    <t>sgutie7@ext.uber.com</t>
  </si>
  <si>
    <t>jcarre6@ext.uber.com</t>
  </si>
  <si>
    <t>Gonzalez, Yorledy</t>
  </si>
  <si>
    <t>ygonza9@ext.uber.com</t>
  </si>
  <si>
    <t>jrodri164@ext.uber.com</t>
  </si>
  <si>
    <t>Bayona, Diana</t>
  </si>
  <si>
    <t>Hernandez, Saul</t>
  </si>
  <si>
    <t>sherna33@ext.uber.com</t>
  </si>
  <si>
    <t>kchave4@ext.uber.com</t>
  </si>
  <si>
    <t>fardil@ext.uber.com</t>
  </si>
  <si>
    <t>mchiqu2@ext.uber.com</t>
  </si>
  <si>
    <t>nherna24@ext.uber.com</t>
  </si>
  <si>
    <t>nmacha1@ext.uber.com</t>
  </si>
  <si>
    <t>gacost2@ext.uber.com</t>
  </si>
  <si>
    <t>yflore6@ext.uber.com</t>
  </si>
  <si>
    <t>jparra23@ext.uber.com</t>
  </si>
  <si>
    <t>siderr@ext.uber.com</t>
  </si>
  <si>
    <t>Marquez, Angie</t>
  </si>
  <si>
    <t>amarqu21@ext.uber.com</t>
  </si>
  <si>
    <t>dchanc@ext.uber.com</t>
  </si>
  <si>
    <t>mestep1@ext.uber.com</t>
  </si>
  <si>
    <t>bsamac@ext.uber.com</t>
  </si>
  <si>
    <t>ngarzo3@ext.uber.com</t>
  </si>
  <si>
    <t>lladin@ext.uber.com</t>
  </si>
  <si>
    <t>jmarti172@ext.uber.com</t>
  </si>
  <si>
    <t>jurrut@ext.uber.com</t>
  </si>
  <si>
    <t>Rojas, Katherin</t>
  </si>
  <si>
    <t>krojas9@ext.uber.com</t>
  </si>
  <si>
    <t>gperez22@ext.uber.com</t>
  </si>
  <si>
    <t>jriver15@ext.uber.com</t>
  </si>
  <si>
    <t>cperni@ext.uber.com</t>
  </si>
  <si>
    <t>aquera@ext.uber.com</t>
  </si>
  <si>
    <t>aperal9@ext.uber.com</t>
  </si>
  <si>
    <t>acano11@ext.uber.com</t>
  </si>
  <si>
    <t>cmusku@ext.uber.com</t>
  </si>
  <si>
    <t>bmedin5@ext.uber.com</t>
  </si>
  <si>
    <t>calber5@ext.uber.com</t>
  </si>
  <si>
    <t>cmarul@ext.uber.com</t>
  </si>
  <si>
    <t>mmoren33@ext.uber.com</t>
  </si>
  <si>
    <t>Cubillos, Elizabet</t>
  </si>
  <si>
    <t>laguil19@ext.uber.com</t>
  </si>
  <si>
    <t>ybravo@ext.uber.com</t>
  </si>
  <si>
    <t>ssanch39@ext.uber.com</t>
  </si>
  <si>
    <t>lrobay2@ext.uber.com</t>
  </si>
  <si>
    <t>ncuest1@ext.uber.com</t>
  </si>
  <si>
    <t>jherre31@ext.uber.com</t>
  </si>
  <si>
    <t>kchedr@ext.uber.com</t>
  </si>
  <si>
    <t>jrodri251@ext.uber.com</t>
  </si>
  <si>
    <t>egaita2@ext.uber.com</t>
  </si>
  <si>
    <t>ecamar4@ext.uber.com</t>
  </si>
  <si>
    <t>mjaime6@ext.uber.com</t>
  </si>
  <si>
    <t>aapont1@ext.uber.com</t>
  </si>
  <si>
    <t>mmunoz21@ext.uber.com</t>
  </si>
  <si>
    <t>ffonta@ext.uber.com</t>
  </si>
  <si>
    <t>spadil5@ext.uber.com</t>
  </si>
  <si>
    <t>Arismendi, Maria</t>
  </si>
  <si>
    <t>marism2@ext.uber.com</t>
  </si>
  <si>
    <t>jsoche@ext.uber.com</t>
  </si>
  <si>
    <t>spolo1@ext.uber.com</t>
  </si>
  <si>
    <t>gmadri1@ext.uber.com</t>
  </si>
  <si>
    <t>dherre9@ext.uber.com</t>
  </si>
  <si>
    <t>jcampo22@ext.uber.com</t>
  </si>
  <si>
    <t>acasta23@ext.uber.com</t>
  </si>
  <si>
    <t>grinco5@ext.uber.com</t>
  </si>
  <si>
    <t>kcorzo2@ext.uber.com</t>
  </si>
  <si>
    <t>dvega5@ext.uber.com</t>
  </si>
  <si>
    <t>SuarezR, Maria</t>
  </si>
  <si>
    <t>msuare24@ext.uber.com</t>
  </si>
  <si>
    <t>srodri88@ext.uber.com</t>
  </si>
  <si>
    <t>jleonp@ext.uber.com</t>
  </si>
  <si>
    <t>sescob11@ext.uber.com</t>
  </si>
  <si>
    <t>dmonte23@ext.uber.com</t>
  </si>
  <si>
    <t>lcarom@ext.uber.com</t>
  </si>
  <si>
    <t>cmuaet@ext.uber.com</t>
  </si>
  <si>
    <t>mcarre13@ext.uber.com</t>
  </si>
  <si>
    <t>storre33@ext.uber.com</t>
  </si>
  <si>
    <t>acorte50@ext.uber.com</t>
  </si>
  <si>
    <t>jruiz63@ext.uber.com</t>
  </si>
  <si>
    <t>dramir72@ext.uber.com</t>
  </si>
  <si>
    <t>lrodri121@ext.uber.com</t>
  </si>
  <si>
    <t>mmoren45@ext.uber.com</t>
  </si>
  <si>
    <t>lmanci1@ext.uber.com</t>
  </si>
  <si>
    <t>mrojas58@ext.uber.com</t>
  </si>
  <si>
    <t>ntorre19@ext.uber.com</t>
  </si>
  <si>
    <t>atelle8@ext.uber.com</t>
  </si>
  <si>
    <t>ncardo8@ext.uber.com</t>
  </si>
  <si>
    <t>aochoa18@ext.uber.com</t>
  </si>
  <si>
    <t>cpelae2@ext.uber.com</t>
  </si>
  <si>
    <t>nplaza5@ext.uber.com</t>
  </si>
  <si>
    <t>jurrea4@ext.uber.com</t>
  </si>
  <si>
    <t>gsalgu@ext.uber.com</t>
  </si>
  <si>
    <t>jtruji12@ext.uber.com</t>
  </si>
  <si>
    <t>arios18@ext.uber.com</t>
  </si>
  <si>
    <t>jcorre34@ext.uber.com</t>
  </si>
  <si>
    <t>avasqu24@ext.uber.com</t>
  </si>
  <si>
    <t>arodri214@ext.uber.com</t>
  </si>
  <si>
    <t>ngarci44@ext.uber.com</t>
  </si>
  <si>
    <t>xleon@ext.uber.com</t>
  </si>
  <si>
    <t>dcente@ext.uber.com</t>
  </si>
  <si>
    <t>eperez56@ext.uber.com</t>
  </si>
  <si>
    <t>vcolor2@ext.uber.com</t>
  </si>
  <si>
    <t>Borja, Jose</t>
  </si>
  <si>
    <t>dsalam5@ext.uber.com</t>
  </si>
  <si>
    <t>cmayor2@ext.uber.com</t>
  </si>
  <si>
    <t>layala6@ext.uber.com</t>
  </si>
  <si>
    <t>mcapot1@ext.uber.com</t>
  </si>
  <si>
    <t>Salario_Base</t>
  </si>
  <si>
    <t>%_Bono</t>
  </si>
  <si>
    <t>timet</t>
  </si>
  <si>
    <t>PVE</t>
  </si>
  <si>
    <t>%</t>
  </si>
  <si>
    <t>% Participación</t>
  </si>
  <si>
    <t>Si el agente tiene 92 se paga  72.000,00</t>
  </si>
  <si>
    <t>Si el agente tiene 4.5 se paga 192000</t>
  </si>
  <si>
    <t>Solo se suma los valore ede 100% y ese es la suma del 30 %  o x del salario</t>
  </si>
  <si>
    <t>consumer</t>
  </si>
  <si>
    <t>SUM of CompI</t>
  </si>
  <si>
    <t>SUM of CompII</t>
  </si>
  <si>
    <t>fnl</t>
  </si>
  <si>
    <t>Suma total</t>
  </si>
  <si>
    <t>1s Ibito, Laura - 4615</t>
  </si>
  <si>
    <t>2s Omana, Juan - 196</t>
  </si>
  <si>
    <t>3s GarciaO, Juan - 1414</t>
  </si>
  <si>
    <t>Maps CX:</t>
  </si>
  <si>
    <t>1S Lagos, David - 1561</t>
  </si>
  <si>
    <t>2S Barrero, Javier - 6163</t>
  </si>
  <si>
    <t>3S CortesC, Daniel - 8887</t>
  </si>
  <si>
    <t>Total Bono</t>
  </si>
  <si>
    <t>Comentario</t>
  </si>
  <si>
    <t>Usuario que Disputa</t>
  </si>
  <si>
    <t>Correo Usuario</t>
  </si>
  <si>
    <t>Septiembre</t>
  </si>
  <si>
    <t>sdf</t>
  </si>
  <si>
    <t>hpñaas</t>
  </si>
  <si>
    <t>HOLAAA</t>
  </si>
  <si>
    <t>sdfsdfsdfsdfsdfsdfsdfsdf</t>
  </si>
  <si>
    <t>sdfsdfsfdsdfsdf</t>
  </si>
  <si>
    <t>sdfsdfsdf</t>
  </si>
  <si>
    <t>dfg</t>
  </si>
  <si>
    <t>este es disputa</t>
  </si>
  <si>
    <t>Mikenet11</t>
  </si>
  <si>
    <t>erer</t>
  </si>
  <si>
    <t>ertertertert</t>
  </si>
  <si>
    <t>ertertertertertert</t>
  </si>
  <si>
    <t>hola no ganas bono</t>
  </si>
  <si>
    <t>sdfsfsdfsdfsd</t>
  </si>
  <si>
    <t>si gana jhjkhkjhkjhk</t>
  </si>
  <si>
    <t>Nombre Agente</t>
  </si>
  <si>
    <t>Bono Aprobado</t>
  </si>
  <si>
    <t>Fecha Aprobación</t>
  </si>
  <si>
    <t>Usuario Aprobador</t>
  </si>
  <si>
    <t>Correo Aprobador</t>
  </si>
  <si>
    <t>Fecha_registro</t>
  </si>
  <si>
    <t>Mes_estructura</t>
  </si>
  <si>
    <t>Registrado por</t>
  </si>
  <si>
    <t>Activo</t>
  </si>
  <si>
    <t>Marzo</t>
  </si>
  <si>
    <t>holaaaaaaaaa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</si>
</sst>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yyyy-mm-dd h:mm:ss"/>
    <numFmt numFmtId="165" formatCode="$#,##0.00"/>
    <numFmt numFmtId="166" formatCode="m/d/yyyy h:mm:ss"/>
    <numFmt numFmtId="167" formatCode="dd/mm/yyyy"/>
    <numFmt numFmtId="168" formatCode="dd/mm/yyyy hh:mm:ss"/>
    <numFmt numFmtId="169" formatCode="mm/dd/yyyy"/>
    <numFmt numFmtId="170" formatCode="#,##0&quot;$&quot;"/>
    <numFmt numFmtId="171" formatCode="&quot;$&quot;#,##0"/>
    <numFmt numFmtId="172" formatCode="&quot;$&quot;#,##0.00"/>
    <numFmt numFmtId="173" formatCode="M/d/yyyy"/>
    <numFmt numFmtId="174" formatCode="mm/dd/yyyy h:mm"/>
    <numFmt numFmtId="175" formatCode="0.0000%"/>
    <numFmt numFmtId="176" formatCode="0.0%"/>
    <numFmt numFmtId="177" formatCode="0.000%"/>
    <numFmt numFmtId="178" formatCode="D/M/YYYY"/>
    <numFmt numFmtId="179" formatCode="#,##0.00;(#,##0.00)"/>
    <numFmt numFmtId="180" formatCode="0.0"/>
    <numFmt numFmtId="181" formatCode="0.00&quot;%&quot;"/>
    <numFmt numFmtId="182" formatCode="yyyy-mm-dd"/>
  </numFmts>
  <fonts count="25">
    <font>
      <sz val="10.0"/>
      <color rgb="FF000000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9.0"/>
      <color rgb="FF000000"/>
      <name val="Arial"/>
    </font>
    <font>
      <sz val="12.0"/>
      <color rgb="FFFFFFFF"/>
      <name val="Arial"/>
    </font>
    <font>
      <sz val="12.0"/>
      <color rgb="FF000000"/>
      <name val="Arial"/>
    </font>
    <font>
      <sz val="12.0"/>
      <color rgb="FF000000"/>
      <name val="Calibri"/>
    </font>
    <font>
      <sz val="12.0"/>
      <color rgb="FFFFFFFF"/>
      <name val="Calibri"/>
    </font>
    <font>
      <color rgb="FF3C4043"/>
      <name val="Roboto Mono"/>
    </font>
    <font>
      <color rgb="FF5F6368"/>
      <name val="Roboto Mono"/>
    </font>
    <font>
      <sz val="8.0"/>
      <color theme="1"/>
      <name val="Arial"/>
    </font>
    <font>
      <b/>
      <sz val="8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color theme="1"/>
      <name val="Arial"/>
    </font>
    <font>
      <color rgb="FFFFFFFF"/>
      <name val="Calibri"/>
    </font>
    <font>
      <b/>
      <sz val="11.0"/>
      <color rgb="FF375623"/>
      <name val="Calibri"/>
    </font>
    <font>
      <sz val="12.0"/>
      <color rgb="FF555555"/>
      <name val="&quot;Segoe UI&quot;"/>
    </font>
    <font>
      <b/>
      <sz val="12.0"/>
      <color rgb="FF856404"/>
      <name val="&quot;Segoe UI&quot;"/>
    </font>
    <font>
      <sz val="12.0"/>
      <color rgb="FF000000"/>
      <name val="&quot;Segoe UI&quot;"/>
    </font>
    <font>
      <b/>
      <color rgb="FF155724"/>
      <name val="Calibri"/>
      <scheme val="minor"/>
    </font>
    <font>
      <b/>
      <color rgb="FF155724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  <fill>
      <patternFill patternType="solid">
        <fgColor rgb="FF3498DB"/>
        <bgColor rgb="FF3498DB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C0E6F5"/>
        <bgColor rgb="FFC0E6F5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FFF3CD"/>
        <bgColor rgb="FFFFF3CD"/>
      </patternFill>
    </fill>
    <fill>
      <patternFill patternType="solid">
        <fgColor rgb="FFFFF9E6"/>
        <bgColor rgb="FFFFF9E6"/>
      </patternFill>
    </fill>
    <fill>
      <patternFill patternType="solid">
        <fgColor rgb="FF28A745"/>
        <bgColor rgb="FF28A745"/>
      </patternFill>
    </fill>
    <fill>
      <patternFill patternType="solid">
        <fgColor rgb="FFD4EDDA"/>
        <bgColor rgb="FFD4EDDA"/>
      </patternFill>
    </fill>
  </fills>
  <borders count="9">
    <border/>
    <border>
      <left/>
      <right/>
      <top/>
      <bottom/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right style="thin">
        <color rgb="FF000000"/>
      </right>
      <bottom style="thin">
        <color rgb="FF000000"/>
      </bottom>
    </border>
    <border>
      <bottom style="medium">
        <color rgb="FFDEE2E6"/>
      </bottom>
    </border>
    <border>
      <bottom style="thin">
        <color rgb="FFEEEEE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5" fontId="6" numFmtId="0" xfId="0" applyFill="1" applyFont="1"/>
    <xf borderId="0" fillId="6" fontId="7" numFmtId="166" xfId="0" applyAlignment="1" applyFill="1" applyFont="1" applyNumberFormat="1">
      <alignment horizontal="center" vertical="bottom"/>
    </xf>
    <xf borderId="0" fillId="6" fontId="7" numFmtId="0" xfId="0" applyAlignment="1" applyFon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8" fontId="9" numFmtId="0" xfId="0" applyAlignment="1" applyFont="1">
      <alignment horizontal="center"/>
    </xf>
    <xf borderId="0" fillId="9" fontId="9" numFmtId="0" xfId="0" applyAlignment="1" applyFill="1" applyFont="1">
      <alignment horizontal="center"/>
    </xf>
    <xf borderId="0" fillId="6" fontId="10" numFmtId="0" xfId="0" applyAlignment="1" applyFont="1">
      <alignment horizontal="center"/>
    </xf>
    <xf borderId="0" fillId="0" fontId="1" numFmtId="166" xfId="0" applyFont="1" applyNumberFormat="1"/>
    <xf borderId="0" fillId="0" fontId="1" numFmtId="169" xfId="0" applyFont="1" applyNumberFormat="1"/>
    <xf borderId="0" fillId="0" fontId="1" numFmtId="170" xfId="0" applyFont="1" applyNumberFormat="1"/>
    <xf borderId="0" fillId="10" fontId="11" numFmtId="166" xfId="0" applyFill="1" applyFont="1" applyNumberFormat="1"/>
    <xf borderId="0" fillId="10" fontId="11" numFmtId="0" xfId="0" applyFont="1"/>
    <xf borderId="0" fillId="10" fontId="12" numFmtId="0" xfId="0" applyFont="1"/>
    <xf borderId="1" fillId="11" fontId="13" numFmtId="0" xfId="0" applyAlignment="1" applyBorder="1" applyFill="1" applyFont="1">
      <alignment readingOrder="0" vertical="bottom"/>
    </xf>
    <xf borderId="1" fillId="11" fontId="13" numFmtId="0" xfId="0" applyAlignment="1" applyBorder="1" applyFont="1">
      <alignment vertical="bottom"/>
    </xf>
    <xf borderId="1" fillId="12" fontId="14" numFmtId="0" xfId="0" applyAlignment="1" applyBorder="1" applyFill="1" applyFont="1">
      <alignment vertical="bottom"/>
    </xf>
    <xf borderId="0" fillId="11" fontId="13" numFmtId="0" xfId="0" applyAlignment="1" applyFont="1">
      <alignment vertical="bottom"/>
    </xf>
    <xf borderId="0" fillId="12" fontId="14" numFmtId="0" xfId="0" applyAlignment="1" applyFont="1">
      <alignment vertical="bottom"/>
    </xf>
    <xf borderId="0" fillId="13" fontId="13" numFmtId="0" xfId="0" applyAlignment="1" applyFill="1" applyFont="1">
      <alignment horizontal="right" vertical="bottom"/>
    </xf>
    <xf borderId="1" fillId="13" fontId="13" numFmtId="0" xfId="0" applyAlignment="1" applyBorder="1" applyFont="1">
      <alignment vertical="bottom"/>
    </xf>
    <xf borderId="0" fillId="14" fontId="13" numFmtId="0" xfId="0" applyAlignment="1" applyFill="1" applyFont="1">
      <alignment horizontal="right" vertical="bottom"/>
    </xf>
    <xf borderId="1" fillId="14" fontId="13" numFmtId="0" xfId="0" applyAlignment="1" applyBorder="1" applyFont="1">
      <alignment vertical="bottom"/>
    </xf>
    <xf borderId="0" fillId="0" fontId="2" numFmtId="0" xfId="0" applyFont="1"/>
    <xf borderId="0" fillId="0" fontId="2" numFmtId="0" xfId="0" applyFont="1"/>
    <xf borderId="0" fillId="0" fontId="1" numFmtId="0" xfId="0" applyAlignment="1" applyFont="1">
      <alignment vertical="bottom"/>
    </xf>
    <xf borderId="1" fillId="14" fontId="13" numFmtId="0" xfId="0" applyAlignment="1" applyBorder="1" applyFont="1">
      <alignment readingOrder="0" vertical="bottom"/>
    </xf>
    <xf borderId="1" fillId="13" fontId="13" numFmtId="0" xfId="0" applyAlignment="1" applyBorder="1" applyFont="1">
      <alignment readingOrder="0" vertical="bottom"/>
    </xf>
    <xf borderId="0" fillId="14" fontId="13" numFmtId="0" xfId="0" applyAlignment="1" applyFont="1">
      <alignment vertical="bottom"/>
    </xf>
    <xf borderId="0" fillId="13" fontId="13" numFmtId="0" xfId="0" applyAlignment="1" applyFont="1">
      <alignment vertical="bottom"/>
    </xf>
    <xf borderId="0" fillId="13" fontId="15" numFmtId="0" xfId="0" applyAlignment="1" applyFont="1">
      <alignment vertical="bottom"/>
    </xf>
    <xf borderId="0" fillId="14" fontId="15" numFmtId="0" xfId="0" applyAlignment="1" applyFont="1">
      <alignment vertical="bottom"/>
    </xf>
    <xf borderId="0" fillId="15" fontId="1" numFmtId="0" xfId="0" applyFill="1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7" fontId="1" numFmtId="0" xfId="0" applyAlignment="1" applyFont="1">
      <alignment vertical="bottom"/>
    </xf>
    <xf borderId="0" fillId="16" fontId="1" numFmtId="0" xfId="0" applyAlignment="1" applyFill="1" applyFont="1">
      <alignment vertical="bottom"/>
    </xf>
    <xf borderId="0" fillId="5" fontId="1" numFmtId="0" xfId="0" applyAlignment="1" applyFont="1">
      <alignment vertical="bottom"/>
    </xf>
    <xf borderId="0" fillId="17" fontId="1" numFmtId="0" xfId="0" applyAlignment="1" applyFill="1" applyFont="1">
      <alignment readingOrder="0" vertical="bottom"/>
    </xf>
    <xf borderId="0" fillId="17" fontId="1" numFmtId="0" xfId="0" applyAlignment="1" applyFont="1">
      <alignment vertical="bottom"/>
    </xf>
    <xf borderId="0" fillId="18" fontId="1" numFmtId="0" xfId="0" applyAlignment="1" applyFill="1" applyFont="1">
      <alignment vertical="bottom"/>
    </xf>
    <xf borderId="0" fillId="19" fontId="1" numFmtId="0" xfId="0" applyAlignment="1" applyFill="1" applyFont="1">
      <alignment vertical="bottom"/>
    </xf>
    <xf borderId="0" fillId="15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2" fillId="20" fontId="4" numFmtId="0" xfId="0" applyAlignment="1" applyBorder="1" applyFill="1" applyFont="1">
      <alignment shrinkToFit="0" vertical="bottom" wrapText="0"/>
    </xf>
    <xf borderId="0" fillId="0" fontId="1" numFmtId="9" xfId="0" applyAlignment="1" applyFont="1" applyNumberFormat="1">
      <alignment readingOrder="0" vertical="bottom"/>
    </xf>
    <xf borderId="0" fillId="0" fontId="1" numFmtId="9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" numFmtId="171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71" xfId="0" applyAlignment="1" applyFont="1" applyNumberFormat="1">
      <alignment horizontal="right" vertical="bottom"/>
    </xf>
    <xf borderId="0" fillId="0" fontId="1" numFmtId="9" xfId="0" applyAlignment="1" applyFont="1" applyNumberFormat="1">
      <alignment vertical="bottom"/>
    </xf>
    <xf borderId="0" fillId="0" fontId="1" numFmtId="9" xfId="0" applyFont="1" applyNumberFormat="1"/>
    <xf borderId="1" fillId="13" fontId="13" numFmtId="0" xfId="0" applyAlignment="1" applyBorder="1" applyFont="1">
      <alignment vertical="bottom"/>
    </xf>
    <xf borderId="1" fillId="13" fontId="13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0" fontId="1" numFmtId="172" xfId="0" applyAlignment="1" applyFont="1" applyNumberFormat="1">
      <alignment horizontal="right" vertical="bottom"/>
    </xf>
    <xf borderId="0" fillId="13" fontId="1" numFmtId="0" xfId="0" applyAlignment="1" applyFont="1">
      <alignment vertical="bottom"/>
    </xf>
    <xf borderId="0" fillId="21" fontId="1" numFmtId="0" xfId="0" applyAlignment="1" applyFill="1" applyFont="1">
      <alignment vertical="bottom"/>
    </xf>
    <xf borderId="0" fillId="22" fontId="1" numFmtId="0" xfId="0" applyAlignment="1" applyFill="1" applyFont="1">
      <alignment vertical="bottom"/>
    </xf>
    <xf borderId="0" fillId="22" fontId="1" numFmtId="0" xfId="0" applyAlignment="1" applyFont="1">
      <alignment horizontal="right" vertical="bottom"/>
    </xf>
    <xf borderId="0" fillId="23" fontId="1" numFmtId="0" xfId="0" applyAlignment="1" applyFill="1" applyFont="1">
      <alignment vertical="bottom"/>
    </xf>
    <xf borderId="0" fillId="23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7" fontId="1" numFmtId="0" xfId="0" applyAlignment="1" applyFont="1">
      <alignment vertical="bottom"/>
    </xf>
    <xf borderId="0" fillId="16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17" fontId="1" numFmtId="0" xfId="0" applyAlignment="1" applyFont="1">
      <alignment vertical="bottom"/>
    </xf>
    <xf borderId="0" fillId="18" fontId="1" numFmtId="0" xfId="0" applyAlignment="1" applyFont="1">
      <alignment vertical="bottom"/>
    </xf>
    <xf borderId="0" fillId="19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21" fontId="1" numFmtId="0" xfId="0" applyAlignment="1" applyFont="1">
      <alignment vertical="bottom"/>
    </xf>
    <xf borderId="0" fillId="22" fontId="1" numFmtId="0" xfId="0" applyAlignment="1" applyFont="1">
      <alignment vertical="bottom"/>
    </xf>
    <xf borderId="0" fillId="22" fontId="1" numFmtId="0" xfId="0" applyAlignment="1" applyFont="1">
      <alignment horizontal="right" vertical="bottom"/>
    </xf>
    <xf borderId="0" fillId="23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13" fontId="1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11" fontId="1" numFmtId="0" xfId="0" applyAlignment="1" applyFont="1">
      <alignment horizontal="right"/>
    </xf>
    <xf borderId="0" fillId="11" fontId="1" numFmtId="173" xfId="0" applyAlignment="1" applyFont="1" applyNumberFormat="1">
      <alignment horizontal="right"/>
    </xf>
    <xf borderId="0" fillId="11" fontId="1" numFmtId="0" xfId="0" applyFont="1"/>
    <xf borderId="0" fillId="13" fontId="1" numFmtId="169" xfId="0" applyAlignment="1" applyFont="1" applyNumberFormat="1">
      <alignment horizontal="right"/>
    </xf>
    <xf borderId="0" fillId="13" fontId="1" numFmtId="0" xfId="0" applyAlignment="1" applyFont="1">
      <alignment horizontal="right"/>
    </xf>
    <xf borderId="0" fillId="13" fontId="1" numFmtId="0" xfId="0" applyFont="1"/>
    <xf borderId="0" fillId="14" fontId="1" numFmtId="0" xfId="0" applyAlignment="1" applyFont="1">
      <alignment horizontal="right"/>
    </xf>
    <xf borderId="0" fillId="14" fontId="1" numFmtId="173" xfId="0" applyAlignment="1" applyFont="1" applyNumberFormat="1">
      <alignment horizontal="right"/>
    </xf>
    <xf borderId="2" fillId="14" fontId="5" numFmtId="0" xfId="0" applyAlignment="1" applyBorder="1" applyFont="1">
      <alignment shrinkToFit="0" vertical="bottom" wrapText="0"/>
    </xf>
    <xf borderId="2" fillId="14" fontId="4" numFmtId="0" xfId="0" applyAlignment="1" applyBorder="1" applyFont="1">
      <alignment shrinkToFit="0" vertical="bottom" wrapText="0"/>
    </xf>
    <xf borderId="2" fillId="14" fontId="5" numFmtId="0" xfId="0" applyAlignment="1" applyBorder="1" applyFont="1">
      <alignment horizontal="right" shrinkToFit="0" vertical="bottom" wrapText="0"/>
    </xf>
    <xf borderId="2" fillId="14" fontId="4" numFmtId="0" xfId="0" applyAlignment="1" applyBorder="1" applyFont="1">
      <alignment horizontal="right" shrinkToFit="0" vertical="bottom" wrapText="0"/>
    </xf>
    <xf borderId="3" fillId="14" fontId="4" numFmtId="0" xfId="0" applyAlignment="1" applyBorder="1" applyFont="1">
      <alignment horizontal="right" shrinkToFit="0" vertical="bottom" wrapText="0"/>
    </xf>
    <xf borderId="0" fillId="13" fontId="1" numFmtId="173" xfId="0" applyAlignment="1" applyFont="1" applyNumberFormat="1">
      <alignment horizontal="right"/>
    </xf>
    <xf borderId="2" fillId="13" fontId="5" numFmtId="0" xfId="0" applyAlignment="1" applyBorder="1" applyFont="1">
      <alignment shrinkToFit="0" vertical="bottom" wrapText="0"/>
    </xf>
    <xf borderId="2" fillId="13" fontId="4" numFmtId="0" xfId="0" applyAlignment="1" applyBorder="1" applyFont="1">
      <alignment shrinkToFit="0" vertical="bottom" wrapText="0"/>
    </xf>
    <xf borderId="2" fillId="13" fontId="4" numFmtId="0" xfId="0" applyAlignment="1" applyBorder="1" applyFont="1">
      <alignment horizontal="right" shrinkToFit="0" vertical="bottom" wrapText="0"/>
    </xf>
    <xf borderId="3" fillId="13" fontId="4" numFmtId="0" xfId="0" applyAlignment="1" applyBorder="1" applyFont="1">
      <alignment horizontal="right" shrinkToFit="0" vertical="bottom" wrapText="0"/>
    </xf>
    <xf borderId="4" fillId="13" fontId="4" numFmtId="169" xfId="0" applyAlignment="1" applyBorder="1" applyFont="1" applyNumberFormat="1">
      <alignment horizontal="right" shrinkToFit="0" vertical="bottom" wrapText="0"/>
    </xf>
    <xf borderId="2" fillId="13" fontId="4" numFmtId="169" xfId="0" applyAlignment="1" applyBorder="1" applyFont="1" applyNumberFormat="1">
      <alignment horizontal="right" shrinkToFit="0" vertical="bottom" wrapText="0"/>
    </xf>
    <xf borderId="4" fillId="20" fontId="4" numFmtId="169" xfId="0" applyAlignment="1" applyBorder="1" applyFont="1" applyNumberFormat="1">
      <alignment horizontal="right" shrinkToFit="0" vertical="bottom" wrapText="0"/>
    </xf>
    <xf borderId="2" fillId="20" fontId="4" numFmtId="0" xfId="0" applyAlignment="1" applyBorder="1" applyFont="1">
      <alignment horizontal="right" shrinkToFit="0" vertical="bottom" wrapText="0"/>
    </xf>
    <xf borderId="2" fillId="20" fontId="4" numFmtId="169" xfId="0" applyAlignment="1" applyBorder="1" applyFont="1" applyNumberFormat="1">
      <alignment horizontal="right" shrinkToFit="0" vertical="bottom" wrapText="0"/>
    </xf>
    <xf borderId="3" fillId="20" fontId="4" numFmtId="0" xfId="0" applyAlignment="1" applyBorder="1" applyFont="1">
      <alignment horizontal="right" shrinkToFit="0" vertical="bottom" wrapText="0"/>
    </xf>
    <xf borderId="3" fillId="20" fontId="4" numFmtId="0" xfId="0" applyAlignment="1" applyBorder="1" applyFont="1">
      <alignment shrinkToFit="0" vertical="bottom" wrapText="0"/>
    </xf>
    <xf borderId="3" fillId="13" fontId="4" numFmtId="0" xfId="0" applyAlignment="1" applyBorder="1" applyFont="1">
      <alignment shrinkToFit="0" vertical="bottom" wrapText="0"/>
    </xf>
    <xf borderId="2" fillId="20" fontId="5" numFmtId="0" xfId="0" applyAlignment="1" applyBorder="1" applyFont="1">
      <alignment horizontal="right" shrinkToFit="0" vertical="bottom" wrapText="0"/>
    </xf>
    <xf borderId="3" fillId="20" fontId="5" numFmtId="0" xfId="0" applyAlignment="1" applyBorder="1" applyFont="1">
      <alignment horizontal="right" shrinkToFit="0" vertical="bottom" wrapText="0"/>
    </xf>
    <xf borderId="2" fillId="20" fontId="4" numFmtId="173" xfId="0" applyAlignment="1" applyBorder="1" applyFont="1" applyNumberFormat="1">
      <alignment horizontal="right" shrinkToFit="0" vertical="bottom" wrapText="0"/>
    </xf>
    <xf borderId="2" fillId="13" fontId="4" numFmtId="173" xfId="0" applyAlignment="1" applyBorder="1" applyFont="1" applyNumberFormat="1">
      <alignment horizontal="right" shrinkToFit="0" vertical="bottom" wrapText="0"/>
    </xf>
    <xf borderId="4" fillId="14" fontId="4" numFmtId="169" xfId="0" applyAlignment="1" applyBorder="1" applyFont="1" applyNumberFormat="1">
      <alignment horizontal="right" shrinkToFit="0" vertical="bottom" wrapText="0"/>
    </xf>
    <xf borderId="2" fillId="14" fontId="4" numFmtId="173" xfId="0" applyAlignment="1" applyBorder="1" applyFont="1" applyNumberFormat="1">
      <alignment horizontal="right" shrinkToFit="0" vertical="bottom" wrapText="0"/>
    </xf>
    <xf borderId="2" fillId="14" fontId="4" numFmtId="169" xfId="0" applyAlignment="1" applyBorder="1" applyFont="1" applyNumberFormat="1">
      <alignment horizontal="right" shrinkToFit="0" vertical="bottom" wrapText="0"/>
    </xf>
    <xf borderId="4" fillId="13" fontId="4" numFmtId="174" xfId="0" applyAlignment="1" applyBorder="1" applyFont="1" applyNumberFormat="1">
      <alignment horizontal="right" shrinkToFit="0" vertical="bottom" wrapText="0"/>
    </xf>
    <xf borderId="4" fillId="20" fontId="4" numFmtId="174" xfId="0" applyAlignment="1" applyBorder="1" applyFont="1" applyNumberFormat="1">
      <alignment horizontal="right" shrinkToFit="0" vertical="bottom" wrapText="0"/>
    </xf>
    <xf borderId="0" fillId="21" fontId="1" numFmtId="9" xfId="0" applyAlignment="1" applyFont="1" applyNumberFormat="1">
      <alignment horizontal="right" vertical="bottom"/>
    </xf>
    <xf borderId="0" fillId="22" fontId="1" numFmtId="9" xfId="0" applyAlignment="1" applyFont="1" applyNumberFormat="1">
      <alignment horizontal="right" vertical="bottom"/>
    </xf>
    <xf borderId="0" fillId="23" fontId="1" numFmtId="9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175" xfId="0" applyAlignment="1" applyFont="1" applyNumberFormat="1">
      <alignment vertical="bottom"/>
    </xf>
    <xf borderId="0" fillId="0" fontId="1" numFmtId="176" xfId="0" applyAlignment="1" applyFont="1" applyNumberFormat="1">
      <alignment horizontal="right" vertical="bottom"/>
    </xf>
    <xf borderId="0" fillId="0" fontId="1" numFmtId="175" xfId="0" applyAlignment="1" applyFont="1" applyNumberFormat="1">
      <alignment horizontal="right" vertical="bottom"/>
    </xf>
    <xf borderId="0" fillId="0" fontId="1" numFmtId="177" xfId="0" applyAlignment="1" applyFont="1" applyNumberFormat="1">
      <alignment vertical="bottom"/>
    </xf>
    <xf borderId="0" fillId="0" fontId="1" numFmtId="176" xfId="0" applyAlignment="1" applyFont="1" applyNumberFormat="1">
      <alignment vertical="bottom"/>
    </xf>
    <xf borderId="0" fillId="13" fontId="1" numFmtId="0" xfId="0" applyAlignment="1" applyFont="1">
      <alignment vertical="bottom"/>
    </xf>
    <xf borderId="1" fillId="12" fontId="13" numFmtId="0" xfId="0" applyAlignment="1" applyBorder="1" applyFont="1">
      <alignment vertical="bottom"/>
    </xf>
    <xf borderId="0" fillId="12" fontId="13" numFmtId="0" xfId="0" applyAlignment="1" applyFont="1">
      <alignment vertical="bottom"/>
    </xf>
    <xf borderId="0" fillId="13" fontId="13" numFmtId="178" xfId="0" applyAlignment="1" applyFont="1" applyNumberFormat="1">
      <alignment vertical="bottom"/>
    </xf>
    <xf borderId="0" fillId="14" fontId="13" numFmtId="178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6" fontId="18" numFmtId="0" xfId="0" applyAlignment="1" applyFont="1">
      <alignment horizontal="center"/>
    </xf>
    <xf borderId="0" fillId="0" fontId="17" numFmtId="0" xfId="0" applyAlignment="1" applyFont="1">
      <alignment vertical="bottom"/>
    </xf>
    <xf borderId="0" fillId="0" fontId="2" numFmtId="172" xfId="0" applyAlignment="1" applyFont="1" applyNumberForma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172" xfId="0" applyFont="1" applyNumberFormat="1"/>
    <xf borderId="5" fillId="24" fontId="19" numFmtId="172" xfId="0" applyAlignment="1" applyBorder="1" applyFill="1" applyFont="1" applyNumberFormat="1">
      <alignment horizontal="center" vertical="bottom"/>
    </xf>
    <xf borderId="0" fillId="0" fontId="1" numFmtId="172" xfId="0" applyAlignment="1" applyFont="1" applyNumberFormat="1">
      <alignment readingOrder="0"/>
    </xf>
    <xf borderId="0" fillId="0" fontId="2" numFmtId="4" xfId="0" applyFont="1" applyNumberFormat="1"/>
    <xf borderId="0" fillId="0" fontId="2" numFmtId="172" xfId="0" applyFont="1" applyNumberFormat="1"/>
    <xf borderId="0" fillId="0" fontId="2" numFmtId="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6" fillId="10" fontId="20" numFmtId="0" xfId="0" applyAlignment="1" applyBorder="1" applyFont="1">
      <alignment horizontal="left" readingOrder="0"/>
    </xf>
    <xf borderId="6" fillId="25" fontId="21" numFmtId="0" xfId="0" applyAlignment="1" applyBorder="1" applyFill="1" applyFont="1">
      <alignment horizontal="left" readingOrder="0"/>
    </xf>
    <xf borderId="7" fillId="5" fontId="22" numFmtId="0" xfId="0" applyAlignment="1" applyBorder="1" applyFont="1">
      <alignment readingOrder="0"/>
    </xf>
    <xf borderId="7" fillId="5" fontId="22" numFmtId="9" xfId="0" applyAlignment="1" applyBorder="1" applyFont="1" applyNumberFormat="1">
      <alignment readingOrder="0"/>
    </xf>
    <xf borderId="7" fillId="26" fontId="8" numFmtId="9" xfId="0" applyAlignment="1" applyBorder="1" applyFill="1" applyFont="1" applyNumberFormat="1">
      <alignment horizontal="center" readingOrder="0"/>
    </xf>
    <xf borderId="0" fillId="0" fontId="2" numFmtId="179" xfId="0" applyFont="1" applyNumberFormat="1"/>
    <xf borderId="7" fillId="26" fontId="22" numFmtId="9" xfId="0" applyAlignment="1" applyBorder="1" applyFont="1" applyNumberFormat="1">
      <alignment horizontal="center" readingOrder="0"/>
    </xf>
    <xf borderId="0" fillId="0" fontId="1" numFmtId="180" xfId="0" applyFont="1" applyNumberFormat="1"/>
    <xf borderId="8" fillId="0" fontId="2" numFmtId="168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8" fillId="0" fontId="2" numFmtId="165" xfId="0" applyAlignment="1" applyBorder="1" applyFont="1" applyNumberFormat="1">
      <alignment readingOrder="0"/>
    </xf>
    <xf borderId="0" fillId="27" fontId="3" numFmtId="0" xfId="0" applyAlignment="1" applyFill="1" applyFont="1">
      <alignment horizontal="center" readingOrder="0" shrinkToFit="0" wrapText="1"/>
    </xf>
    <xf borderId="8" fillId="10" fontId="2" numFmtId="0" xfId="0" applyAlignment="1" applyBorder="1" applyFont="1">
      <alignment readingOrder="0"/>
    </xf>
    <xf borderId="8" fillId="10" fontId="2" numFmtId="165" xfId="0" applyAlignment="1" applyBorder="1" applyFont="1" applyNumberFormat="1">
      <alignment readingOrder="0"/>
    </xf>
    <xf borderId="8" fillId="10" fontId="2" numFmtId="168" xfId="0" applyAlignment="1" applyBorder="1" applyFont="1" applyNumberFormat="1">
      <alignment readingOrder="0"/>
    </xf>
    <xf borderId="8" fillId="10" fontId="17" numFmtId="0" xfId="0" applyAlignment="1" applyBorder="1" applyFont="1">
      <alignment horizontal="right" readingOrder="0" vertical="bottom"/>
    </xf>
    <xf borderId="8" fillId="28" fontId="23" numFmtId="0" xfId="0" applyAlignment="1" applyBorder="1" applyFill="1" applyFont="1">
      <alignment horizontal="center" readingOrder="0"/>
    </xf>
    <xf borderId="8" fillId="5" fontId="1" numFmtId="0" xfId="0" applyAlignment="1" applyBorder="1" applyFont="1">
      <alignment readingOrder="0"/>
    </xf>
    <xf borderId="8" fillId="5" fontId="2" numFmtId="0" xfId="0" applyAlignment="1" applyBorder="1" applyFont="1">
      <alignment readingOrder="0"/>
    </xf>
    <xf borderId="8" fillId="5" fontId="17" numFmtId="0" xfId="0" applyAlignment="1" applyBorder="1" applyFont="1">
      <alignment readingOrder="0" vertical="bottom"/>
    </xf>
    <xf borderId="8" fillId="5" fontId="17" numFmtId="0" xfId="0" applyAlignment="1" applyBorder="1" applyFont="1">
      <alignment horizontal="right" readingOrder="0" vertical="bottom"/>
    </xf>
    <xf borderId="8" fillId="5" fontId="17" numFmtId="165" xfId="0" applyAlignment="1" applyBorder="1" applyFont="1" applyNumberFormat="1">
      <alignment horizontal="right" readingOrder="0" vertical="bottom"/>
    </xf>
    <xf borderId="8" fillId="5" fontId="17" numFmtId="168" xfId="0" applyAlignment="1" applyBorder="1" applyFont="1" applyNumberFormat="1">
      <alignment readingOrder="0" vertical="bottom"/>
    </xf>
    <xf borderId="8" fillId="28" fontId="24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right" vertical="bottom"/>
    </xf>
    <xf borderId="8" fillId="10" fontId="1" numFmtId="0" xfId="0" applyAlignment="1" applyBorder="1" applyFont="1">
      <alignment readingOrder="0"/>
    </xf>
    <xf borderId="8" fillId="10" fontId="17" numFmtId="0" xfId="0" applyAlignment="1" applyBorder="1" applyFont="1">
      <alignment readingOrder="0" vertical="bottom"/>
    </xf>
    <xf borderId="8" fillId="10" fontId="17" numFmtId="165" xfId="0" applyAlignment="1" applyBorder="1" applyFont="1" applyNumberFormat="1">
      <alignment horizontal="right" readingOrder="0" vertical="bottom"/>
    </xf>
    <xf borderId="8" fillId="10" fontId="17" numFmtId="168" xfId="0" applyAlignment="1" applyBorder="1" applyFont="1" applyNumberFormat="1">
      <alignment readingOrder="0" vertical="bottom"/>
    </xf>
    <xf borderId="8" fillId="10" fontId="17" numFmtId="165" xfId="0" applyAlignment="1" applyBorder="1" applyFont="1" applyNumberFormat="1">
      <alignment readingOrder="0" vertical="bottom"/>
    </xf>
    <xf borderId="8" fillId="5" fontId="17" numFmtId="165" xfId="0" applyAlignment="1" applyBorder="1" applyFont="1" applyNumberFormat="1">
      <alignment readingOrder="0" vertical="bottom"/>
    </xf>
    <xf borderId="8" fillId="5" fontId="2" numFmtId="165" xfId="0" applyAlignment="1" applyBorder="1" applyFont="1" applyNumberFormat="1">
      <alignment readingOrder="0"/>
    </xf>
    <xf borderId="8" fillId="5" fontId="2" numFmtId="168" xfId="0" applyAlignment="1" applyBorder="1" applyFont="1" applyNumberFormat="1">
      <alignment readingOrder="0"/>
    </xf>
    <xf borderId="8" fillId="0" fontId="2" numFmtId="181" xfId="0" applyAlignment="1" applyBorder="1" applyFont="1" applyNumberFormat="1">
      <alignment readingOrder="0"/>
    </xf>
    <xf borderId="8" fillId="0" fontId="2" numFmtId="18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47625</xdr:colOff>
      <xdr:row>5</xdr:row>
      <xdr:rowOff>85725</xdr:rowOff>
    </xdr:from>
    <xdr:ext cx="4381500" cy="2895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R1191" sheet="Metricas"/>
  </cacheSource>
  <cacheFields>
    <cacheField name="MES">
      <sharedItems containsDate="1" containsBlank="1" containsMixedTypes="1">
        <d v="2025-01-08T00:00:00Z"/>
        <s v="28/08/2025"/>
        <s v="29/08/2025"/>
        <m/>
      </sharedItems>
    </cacheField>
    <cacheField name="Semana">
      <sharedItems containsDate="1" containsBlank="1" containsMixedTypes="1">
        <s v="25/08/2025"/>
        <s v="18/08/2025"/>
        <d v="2025-11-08T00:00:00Z"/>
        <s v="28/07/2025"/>
        <d v="2025-04-08T00:00:00Z"/>
        <m/>
      </sharedItems>
    </cacheField>
    <cacheField name="Fecha">
      <sharedItems containsDate="1" containsBlank="1" containsMixedTypes="1">
        <s v="25/08/2025"/>
        <s v="28/08/2025"/>
        <s v="29/08/2025"/>
        <d v="2025-02-08T00:00:00Z"/>
        <d v="2025-03-08T00:00:00Z"/>
        <d v="2025-04-08T00:00:00Z"/>
        <d v="2025-05-08T00:00:00Z"/>
        <d v="2025-06-08T00:00:00Z"/>
        <d v="2025-07-08T00:00:00Z"/>
        <d v="2025-08-08T00:00:00Z"/>
        <d v="2025-09-08T00:00:00Z"/>
        <d v="2025-10-08T00:00:00Z"/>
        <d v="2025-11-08T00:00:00Z"/>
        <d v="2025-12-08T00:00:00Z"/>
        <s v="13/08/2025"/>
        <s v="14/08/2025"/>
        <s v="16/08/2025"/>
        <s v="17/08/2025"/>
        <s v="18/08/2025"/>
        <s v="19/08/2025"/>
        <s v="20/08/2025"/>
        <s v="21/08/2025"/>
        <s v="22/08/2025"/>
        <s v="23/08/2025"/>
        <s v="26/08/2025"/>
        <m/>
      </sharedItems>
    </cacheField>
    <cacheField name="Email" numFmtId="0">
      <sharedItems containsBlank="1">
        <s v="narias5@ext.uber.com"/>
        <s v="mospin@ext.uber.com"/>
        <m/>
      </sharedItems>
    </cacheField>
    <cacheField name="CCMSID" numFmtId="0">
      <sharedItems containsString="0" containsBlank="1" containsNumber="1" containsInteger="1">
        <n v="5388863.0"/>
        <n v="1270458.0"/>
        <m/>
      </sharedItems>
    </cacheField>
    <cacheField name="NombreAgente" numFmtId="0">
      <sharedItems containsString="0" containsBlank="1" containsNumber="1" containsInteger="1">
        <n v="0.0"/>
        <m/>
      </sharedItems>
    </cacheField>
    <cacheField name="NombreSupervisor" numFmtId="0">
      <sharedItems containsBlank="1">
        <s v="Luis Benitez Carvajal"/>
        <s v="David rafael Centeno padron"/>
        <m/>
      </sharedItems>
    </cacheField>
    <cacheField name="NombreACM" numFmtId="0">
      <sharedItems containsBlank="1">
        <s v="Leonardo Parra Orjuela"/>
        <m/>
      </sharedItems>
    </cacheField>
    <cacheField name="SubLOB">
      <sharedItems containsBlank="1" containsMixedTypes="1" containsNumber="1" containsInteger="1">
        <s v="US Spa Earner Acc/Pay"/>
        <s v="Latam U4B Phone Sales Churn12"/>
        <s v="Latam U4B Phone Sales Churn13"/>
        <n v="12.0"/>
        <m/>
      </sharedItems>
    </cacheField>
    <cacheField name="SubLOBSkill" numFmtId="0">
      <sharedItems containsBlank="1">
        <s v="US Spa Earner Acc/Pay"/>
        <s v="Latam U4B Phone Sales Churn13"/>
        <m/>
      </sharedItems>
    </cacheField>
    <cacheField name="KPI" numFmtId="0">
      <sharedItems containsBlank="1">
        <s v="Quality@Uber"/>
        <s v="Csat"/>
        <s v="TPH"/>
        <m/>
        <s v="Abandon_Percentage"/>
        <s v="Skips_Percentage"/>
        <s v="Total_Views_Volume"/>
        <s v="ATRR"/>
        <s v="AHT"/>
        <s v="Tickets_Solved_Volume"/>
        <s v="FCR"/>
        <s v="1_Stars_Percentage"/>
        <s v="ABS Injus"/>
        <s v="Invalid_Transfers_Percentage"/>
      </sharedItems>
    </cacheField>
    <cacheField name="CompI" numFmtId="0">
      <sharedItems containsString="0" containsBlank="1" containsNumber="1">
        <n v="100.0"/>
        <n v="38.0"/>
        <n v="147.0"/>
        <n v="132.0"/>
        <n v="127.0"/>
        <n v="122.0"/>
        <n v="0.0"/>
        <n v="2.0"/>
        <n v="10500.0"/>
        <n v="138.0"/>
        <n v="97.0"/>
        <n v="3.0"/>
        <n v="0.37"/>
        <n v="0.58"/>
        <n v="1.0"/>
        <n v="81.0"/>
        <n v="3500.0"/>
        <n v="303.51"/>
        <n v="7.0"/>
        <n v="300.0"/>
        <n v="900.0"/>
        <n v="58.0"/>
        <n v="8.25"/>
        <n v="9400.0"/>
        <n v="1300.0"/>
        <n v="61.0"/>
        <n v="8.0"/>
        <n v="2400.0"/>
        <n v="4700.0"/>
        <n v="4.0"/>
        <n v="0.64"/>
        <n v="91.0"/>
        <n v="2100.0"/>
        <n v="3300.0"/>
        <n v="1400.0"/>
        <n v="1500.0"/>
        <n v="19100.0"/>
        <n v="1200.0"/>
        <n v="104.0"/>
        <n v="1000.0"/>
        <n v="4800.0"/>
        <n v="0.07"/>
        <n v="372.51"/>
        <n v="700.0"/>
        <n v="38300.0"/>
        <n v="0.1"/>
        <n v="358.52"/>
        <n v="70.0"/>
        <n v="86.0"/>
        <n v="1100.0"/>
        <n v="5.0"/>
        <n v="94.0"/>
        <n v="118.0"/>
        <n v="7400.0"/>
        <n v="417.42"/>
        <n v="8300.0"/>
        <n v="3000.0"/>
        <n v="52.0"/>
        <n v="400.0"/>
        <n v="9800.0"/>
        <n v="77.78"/>
        <n v="6.98"/>
        <n v="0.92"/>
        <n v="168.84"/>
        <n v="5100.0"/>
        <n v="4500.0"/>
        <n v="0.02"/>
        <n v="500.0"/>
        <n v="74.0"/>
        <n v="0.27"/>
        <n v="0.35"/>
        <n v="1.03"/>
        <n v="37.0"/>
        <n v="6.0"/>
        <n v="6.7"/>
        <n v="0.32"/>
        <n v="17.0"/>
        <n v="200.0"/>
        <n v="8100.0"/>
        <n v="3700.0"/>
        <n v="1.25"/>
        <n v="333.46"/>
        <n v="101.0"/>
        <n v="9000.0"/>
        <n v="6300.0"/>
        <n v="6400.0"/>
        <n v="83.0"/>
        <n v="3.97"/>
        <n v="0.13"/>
        <n v="8200.0"/>
        <n v="0.42"/>
        <n v="2000.0"/>
        <n v="480.76"/>
        <n v="5600.0"/>
        <n v="2600.0"/>
        <n v="14900.0"/>
        <n v="2.15"/>
        <n v="37500.0"/>
        <n v="2500.0"/>
        <n v="2.34"/>
        <n v="1.2"/>
        <n v="11.07"/>
        <n v="600.0"/>
        <n v="102.0"/>
        <n v="139.0"/>
        <n v="4600.0"/>
        <n v="520.32"/>
        <n v="131.0"/>
        <n v="162.0"/>
        <n v="4400.0"/>
        <n v="12800.0"/>
        <n v="126.0"/>
        <n v="87.0"/>
        <n v="469.68"/>
        <n v="0.53"/>
        <n v="1.07"/>
        <n v="12000.0"/>
        <n v="110.0"/>
        <n v="26.0"/>
        <n v="5900.0"/>
        <n v="47.0"/>
        <n v="174.5"/>
        <n v="46.0"/>
        <n v="64.0"/>
        <n v="108.0"/>
        <n v="0.57"/>
        <n v="3.93"/>
        <n v="5.38"/>
        <n v="0.97"/>
        <n v="1800.0"/>
        <n v="800.0"/>
        <n v="299.23"/>
        <n v="76.0"/>
        <n v="1900.0"/>
        <n v="4.63"/>
        <n v="63.0"/>
        <n v="142.0"/>
        <n v="1.5"/>
        <n v="389.16"/>
        <n v="6800.0"/>
        <n v="3900.0"/>
        <n v="2800.0"/>
        <n v="531.79"/>
        <n v="448.91"/>
        <n v="62100.0"/>
        <n v="0.05"/>
        <n v="10800.0"/>
        <n v="55.0"/>
        <n v="0.72"/>
        <n v="99.0"/>
        <n v="484.63"/>
        <n v="184.0"/>
        <n v="0.67"/>
        <n v="12700.0"/>
        <n v="0.03"/>
        <n v="229.0"/>
        <n v="143.0"/>
        <n v="535.33"/>
        <n v="0.08"/>
        <n v="0.38"/>
        <n v="390.27"/>
        <n v="2700.0"/>
        <n v="43.0"/>
        <n v="15700.0"/>
        <n v="10.0"/>
        <n v="8900.0"/>
        <n v="54.0"/>
        <n v="5000.0"/>
        <n v="0.28"/>
        <n v="11.0"/>
        <n v="181.34"/>
        <n v="1600.0"/>
        <n v="0.68"/>
        <n v="391.04"/>
        <n v="89.0"/>
        <n v="6700.0"/>
        <n v="3.7"/>
        <n v="18.0"/>
        <n v="222.46"/>
        <n v="11300.0"/>
        <n v="2200.0"/>
        <n v="13900.0"/>
        <n v="80.0"/>
        <n v="3400.0"/>
        <n v="13300.0"/>
        <n v="4900.0"/>
        <n v="121.0"/>
        <n v="199.0"/>
        <n v="5200.0"/>
        <n v="172.0"/>
        <n v="6000.0"/>
        <m/>
      </sharedItems>
    </cacheField>
    <cacheField name="CompII" numFmtId="0">
      <sharedItems containsString="0" containsBlank="1" containsNumber="1">
        <n v="1.0"/>
        <n v="0.846833333"/>
        <n v="5.876"/>
        <n v="5.626666667"/>
        <n v="6.250333333"/>
        <n v="5.9885"/>
        <n v="0.009666667"/>
        <n v="7.0"/>
        <n v="108.0"/>
        <n v="2.0"/>
        <n v="3.0"/>
        <m/>
        <n v="184.0"/>
        <n v="151.0"/>
        <n v="6.517333333"/>
        <n v="0.0"/>
        <n v="5.0585"/>
        <n v="81.0"/>
        <n v="16.0"/>
        <n v="0.011333333"/>
        <n v="8.5"/>
        <n v="0.1375"/>
        <n v="168.0"/>
        <n v="0.006166667"/>
        <n v="35.0"/>
        <n v="0.010666667"/>
        <n v="32.0"/>
        <n v="102.0"/>
        <n v="8.0"/>
        <n v="104.0"/>
        <n v="21.0"/>
        <n v="97.0"/>
        <n v="14.0"/>
        <n v="4.0"/>
        <n v="15.0"/>
        <n v="267.0"/>
        <n v="217.0"/>
        <n v="6.2085"/>
        <n v="12.0"/>
        <n v="19.0"/>
        <n v="36.0"/>
        <n v="76.0"/>
        <n v="23.0"/>
        <n v="0.001166667"/>
        <n v="7.5"/>
        <n v="91.0"/>
        <n v="724.0"/>
        <n v="86.0"/>
        <n v="107.0"/>
        <n v="5.975333333"/>
        <n v="0.116333333"/>
        <n v="22.0"/>
        <n v="11.0"/>
        <n v="73.0"/>
        <n v="0.061666667"/>
        <n v="0.001666667"/>
        <n v="118.0"/>
        <n v="6.957"/>
        <n v="142.0"/>
        <n v="20.0"/>
        <n v="52.0"/>
        <n v="2.814"/>
        <n v="0.015333333"/>
        <n v="181.0"/>
        <n v="95.0"/>
        <n v="66.0"/>
        <n v="0.017166667"/>
        <n v="10.0"/>
        <n v="0.066166667"/>
        <n v="0.111666667"/>
        <n v="0.005833333"/>
        <n v="6.0"/>
        <n v="0.002166667"/>
        <n v="85.0"/>
        <n v="3.33333E-4"/>
        <n v="136.0"/>
        <n v="70.0"/>
        <n v="0.035833333"/>
        <n v="101.0"/>
        <n v="90.0"/>
        <n v="5.0E-4"/>
        <n v="131.0"/>
        <n v="0.005333333"/>
        <n v="138.0"/>
        <n v="25.0"/>
        <n v="0.039"/>
        <n v="84.0"/>
        <n v="26.0"/>
        <n v="256.0"/>
        <n v="0.020833333"/>
        <n v="0.0045"/>
        <n v="863.0"/>
        <n v="8.012666667"/>
        <n v="49.0"/>
        <n v="24.0"/>
        <n v="0.02"/>
        <n v="9.0"/>
        <n v="0.007"/>
        <n v="0.1845"/>
        <n v="106.0"/>
        <n v="8.672"/>
        <n v="167.0"/>
        <n v="246.0"/>
        <n v="130.0"/>
        <n v="126.0"/>
        <n v="201.0"/>
        <n v="47.0"/>
        <n v="7.828"/>
        <n v="59.0"/>
        <n v="39.0"/>
        <n v="2.908333333"/>
        <n v="111.0"/>
        <n v="0.0095"/>
        <n v="6.486"/>
        <n v="0.0655"/>
        <n v="5.0"/>
        <n v="18.0"/>
        <n v="0.025"/>
        <n v="56.0"/>
        <n v="0.008833333"/>
        <n v="232.0"/>
        <n v="0.016166667"/>
        <n v="0.017833333"/>
        <n v="144.0"/>
        <n v="110.0"/>
        <n v="205.0"/>
        <n v="43.0"/>
        <n v="99.0"/>
        <n v="121.0"/>
        <n v="1324.0"/>
        <n v="8.33333E-4"/>
        <n v="190.0"/>
        <n v="203.0"/>
        <n v="13.0"/>
        <n v="172.0"/>
        <n v="0.012"/>
        <n v="8.863166667"/>
        <n v="8.077166667"/>
        <n v="224.0"/>
        <n v="0.011166667"/>
        <n v="143.0"/>
        <n v="8.922166667"/>
        <n v="83.0"/>
        <n v="3.022333333"/>
        <n v="281.0"/>
        <n v="152.0"/>
        <n v="6.5045"/>
        <n v="127.0"/>
        <n v="0.006333333"/>
        <n v="80.0"/>
        <n v="3.707666667"/>
        <n v="158.0"/>
        <n v="5.557666667"/>
        <n v="245.0"/>
        <n v="0.089666667"/>
        <n v="4.987166667"/>
        <n v="0.077166667"/>
        <n v="7.481833333"/>
        <n v="0.001333333"/>
        <n v="0.004666667"/>
      </sharedItems>
    </cacheField>
    <cacheField name="KPICalc" numFmtId="0">
      <sharedItems containsString="0" containsBlank="1" containsNumber="1">
        <n v="100.0"/>
        <n v="44.87305648"/>
        <n v="25.01701838"/>
        <n v="23.45971564"/>
        <n v="20.31891632"/>
        <n v="20.3723804"/>
        <n v="0.0"/>
        <n v="2.0"/>
        <n v="57.06521739"/>
        <n v="138.0"/>
        <n v="14.88338789"/>
        <n v="3.0"/>
        <m/>
        <n v="1.0"/>
        <n v="16.01265197"/>
        <n v="43.20987654"/>
        <n v="3.747037037"/>
        <n v="7.0"/>
        <n v="18.75"/>
        <n v="8.333333333"/>
        <n v="3.625"/>
        <n v="81.0"/>
        <n v="8.25"/>
        <n v="7.272727273"/>
        <n v="55.95238095"/>
        <n v="6.25"/>
        <n v="8.609271523"/>
        <n v="3.8125"/>
        <n v="8.0"/>
        <n v="75.0"/>
        <n v="9.375"/>
        <n v="46.07843137"/>
        <n v="97.0"/>
        <n v="4.0"/>
        <n v="91.0"/>
        <n v="34.02061856"/>
        <n v="71.53558052"/>
        <n v="14.42307692"/>
        <n v="43.31797235"/>
        <n v="14.65732464"/>
        <n v="104.0"/>
        <n v="52.63157895"/>
        <n v="63.15789474"/>
        <n v="4.347826087"/>
        <n v="4.093516484"/>
        <n v="4.52173913"/>
        <n v="52.90055249"/>
        <n v="4.168837209"/>
        <n v="4.666666667"/>
        <n v="14.39250251"/>
        <n v="13.69863014"/>
        <n v="5.0"/>
        <n v="4.086956522"/>
        <n v="118.0"/>
        <n v="62.71186441"/>
        <n v="16.96133391"/>
        <n v="3.537457627"/>
        <n v="58.45070423"/>
        <n v="15.0"/>
        <n v="57.69230769"/>
        <n v="18.4790334"/>
        <n v="3.703703704"/>
        <n v="65.2173913"/>
        <n v="54.14364641"/>
        <n v="77.78"/>
        <n v="0.92"/>
        <n v="2.803738318"/>
        <n v="52.0"/>
        <n v="3.246923077"/>
        <n v="53.68421053"/>
        <n v="52.3255814"/>
        <n v="6.666666667"/>
        <n v="7.575757576"/>
        <n v="4.625"/>
        <n v="3.7"/>
        <n v="6.0"/>
        <n v="15.11335013"/>
        <n v="17.0"/>
        <n v="2.352941176"/>
        <n v="59.55882353"/>
        <n v="52.85714286"/>
        <n v="27.90697674"/>
        <n v="3.301584158"/>
        <n v="101.0"/>
        <n v="48.09160305"/>
        <n v="63.36633663"/>
        <n v="30.0"/>
        <n v="83.0"/>
        <n v="3.97"/>
        <n v="13.63636364"/>
        <n v="59.42028986"/>
        <n v="3.483768116"/>
        <n v="50.0"/>
        <n v="66.66666667"/>
        <n v="58.203125"/>
        <n v="2.15"/>
        <n v="61.0"/>
        <n v="43.45307068"/>
        <n v="17.22273068"/>
        <n v="51.02040816"/>
        <n v="12.5"/>
        <n v="4.25"/>
        <n v="139.0"/>
        <n v="43.39622642"/>
        <n v="3.971908397"/>
        <n v="15.10608856"/>
        <n v="2.994011976"/>
        <n v="131.0"/>
        <n v="162.0"/>
        <n v="33.33333333"/>
        <n v="57.89473684"/>
        <n v="52.03252033"/>
        <n v="126.0"/>
        <n v="127.0"/>
        <n v="3.954545455"/>
        <n v="3.727619048"/>
        <n v="0.535"/>
        <n v="59.70149254"/>
        <n v="110.0"/>
        <n v="2.307692308"/>
        <n v="2.127659574"/>
        <n v="16.09606541"/>
        <n v="56.66666667"/>
        <n v="4.333333333"/>
        <n v="3.523809524"/>
        <n v="47.0"/>
        <n v="16.16045845"/>
        <n v="3.712765957"/>
        <n v="46.0"/>
        <n v="2.702702703"/>
        <n v="4.571428571"/>
        <n v="108.0"/>
        <n v="16.9596053"/>
        <n v="3.93"/>
        <n v="15.26717557"/>
        <n v="1.793333333"/>
        <n v="3.937236842"/>
        <n v="60.29411765"/>
        <n v="76.0"/>
        <n v="33.92857143"/>
        <n v="4.63"/>
        <n v="3.9375"/>
        <n v="142.0"/>
        <n v="48.0"/>
        <n v="1.293103448"/>
        <n v="112.1495327"/>
        <n v="1.388888889"/>
        <n v="3.537818182"/>
        <n v="61.81818182"/>
        <n v="15.234375"/>
        <n v="2.926829268"/>
        <n v="3000.0"/>
        <n v="65.11627907"/>
        <n v="5.371616162"/>
        <n v="3.71"/>
        <n v="46.90332326"/>
        <n v="3.157894737"/>
        <n v="53.20197044"/>
        <n v="4.230769231"/>
        <n v="0.02"/>
        <n v="7.692307692"/>
        <n v="11.16982267"/>
        <n v="4.107033898"/>
        <n v="184.0"/>
        <n v="14.60908322"/>
        <n v="56.69642857"/>
        <n v="3.916666667"/>
        <n v="4.636363636"/>
        <n v="229.0"/>
        <n v="143.0"/>
        <n v="3.743566434"/>
        <n v="47.55244755"/>
        <n v="16.02749706"/>
        <n v="4.702048193"/>
        <n v="57.44680851"/>
        <n v="43.0"/>
        <n v="8.602624903"/>
        <n v="55.87188612"/>
        <n v="10.0"/>
        <n v="1.25"/>
        <n v="58.55263158"/>
        <n v="12.76039665"/>
        <n v="4.153846154"/>
        <n v="60.24096386"/>
        <n v="3.666666667"/>
        <n v="6.974615385"/>
        <n v="61.53846154"/>
        <n v="26.0"/>
        <n v="99.0"/>
        <n v="4.031340206"/>
        <n v="49.45054945"/>
        <n v="89.0"/>
        <n v="83.75"/>
        <n v="86.0"/>
        <n v="4.5"/>
        <n v="3.178"/>
        <n v="70.0"/>
        <n v="18.87979862"/>
        <n v="71.51898734"/>
        <n v="18.17309422"/>
        <n v="2.797202797"/>
        <n v="23.15789474"/>
        <n v="56.73469388"/>
        <n v="4.210526316"/>
        <n v="58.73015873"/>
        <n v="72.34042553"/>
        <n v="33.45724907"/>
        <n v="15.23911373"/>
        <n v="12.95896328"/>
        <n v="14.28571429"/>
        <n v="51.953125"/>
        <n v="40.49586777"/>
        <n v="121.0"/>
        <n v="199.0"/>
        <n v="16.17250674"/>
        <n v="52.52525253"/>
        <n v="172.0"/>
        <n v="50.84745763"/>
      </sharedItems>
    </cacheField>
    <cacheField name=" ">
      <sharedItems containsBlank="1" containsMixedTypes="1" containsNumber="1">
        <m/>
        <n v="0.0"/>
        <s v="#DIV/0!"/>
        <n v="57.06521739"/>
        <n v="14.88338789"/>
        <n v="16.01265197"/>
        <n v="43.20987654"/>
        <n v="3.747037037"/>
        <n v="18.75"/>
        <n v="8.333333333"/>
        <n v="3.625"/>
        <n v="8.25"/>
        <n v="7.272727273"/>
        <n v="55.95238095"/>
        <n v="6.25"/>
        <n v="8.609271523"/>
        <n v="3.8125"/>
        <n v="75.0"/>
        <n v="9.375"/>
        <n v="46.07843137"/>
        <n v="100.0"/>
        <n v="34.02061856"/>
        <n v="71.53558052"/>
        <n v="14.42307692"/>
        <n v="43.31797235"/>
        <n v="14.65732464"/>
        <n v="52.63157895"/>
        <n v="63.15789474"/>
        <n v="4.347826087"/>
        <n v="4.093516484"/>
        <n v="4.52173913"/>
        <n v="52.90055249"/>
        <n v="4.168837209"/>
        <n v="4.666666667"/>
        <n v="14.39250251"/>
        <n v="13.69863014"/>
        <n v="5.0"/>
        <n v="4.086956522"/>
        <n v="62.71186441"/>
        <n v="16.96133391"/>
        <n v="3.537457627"/>
        <n v="58.45070423"/>
        <n v="15.0"/>
        <n v="57.69230769"/>
        <n v="18.4790334"/>
        <n v="3.703703704"/>
        <n v="65.2173913"/>
        <n v="54.14364641"/>
        <n v="77.78"/>
        <n v="0.92"/>
        <n v="2.803738318"/>
        <n v="3.246923077"/>
        <n v="53.68421053"/>
        <n v="52.3255814"/>
        <n v="6.666666667"/>
        <n v="7.575757576"/>
        <n v="4.625"/>
        <n v="3.7"/>
        <n v="15.11335013"/>
        <n v="2.352941176"/>
        <n v="59.55882353"/>
        <n v="52.85714286"/>
        <n v="27.90697674"/>
        <n v="3.301584158"/>
        <n v="48.09160305"/>
        <n v="63.36633663"/>
        <n v="30.0"/>
        <n v="3.97"/>
        <n v="13.63636364"/>
        <n v="59.42028986"/>
        <n v="3.483768116"/>
        <n v="50.0"/>
        <n v="66.66666667"/>
        <n v="58.203125"/>
        <n v="2.15"/>
        <n v="43.45307068"/>
        <n v="17.22273068"/>
        <n v="51.02040816"/>
        <n v="12.5"/>
        <n v="4.25"/>
        <n v="43.39622642"/>
        <n v="3.971908397"/>
        <n v="15.10608856"/>
        <n v="2.994011976"/>
        <n v="33.33333333"/>
        <n v="57.89473684"/>
        <n v="52.03252033"/>
        <n v="3.954545455"/>
        <n v="3.727619048"/>
        <n v="0.535"/>
        <n v="59.70149254"/>
        <n v="2.307692308"/>
        <n v="2.127659574"/>
        <n v="16.09606541"/>
        <n v="56.66666667"/>
        <n v="4.333333333"/>
        <n v="3.523809524"/>
        <n v="16.16045845"/>
        <n v="3.712765957"/>
        <n v="2.702702703"/>
        <n v="4.571428571"/>
        <n v="16.9596053"/>
        <n v="3.93"/>
        <n v="15.26717557"/>
        <n v="1.793333333"/>
        <n v="2.0"/>
        <n v="3.937236842"/>
        <n v="60.29411765"/>
        <n v="33.92857143"/>
        <n v="4.63"/>
        <n v="3.9375"/>
        <n v="48.0"/>
        <n v="1.293103448"/>
        <n v="112.1495327"/>
        <n v="1.388888889"/>
        <n v="3.537818182"/>
        <n v="61.81818182"/>
        <n v="15.234375"/>
        <n v="2.926829268"/>
        <n v="3000.0"/>
        <n v="65.11627907"/>
        <n v="5.371616162"/>
        <n v="3.71"/>
        <n v="46.90332326"/>
        <n v="3.157894737"/>
        <n v="53.20197044"/>
        <n v="4.230769231"/>
        <n v="0.02"/>
        <n v="7.692307692"/>
        <n v="11.16982267"/>
        <n v="4.107033898"/>
        <n v="14.60908322"/>
        <n v="56.69642857"/>
        <n v="3.916666667"/>
        <n v="4.636363636"/>
        <n v="3.743566434"/>
        <n v="47.55244755"/>
        <n v="16.02749706"/>
        <n v="4.702048193"/>
        <n v="57.44680851"/>
        <n v="8.602624903"/>
        <n v="55.87188612"/>
        <n v="1.25"/>
        <n v="58.55263158"/>
        <n v="12.76039665"/>
        <n v="4.153846154"/>
        <n v="60.24096386"/>
        <n v="3.666666667"/>
        <n v="6.974615385"/>
        <n v="61.53846154"/>
        <n v="4.031340206"/>
        <n v="49.45054945"/>
        <n v="83.75"/>
        <n v="4.5"/>
        <n v="3.178"/>
        <n v="18.87979862"/>
        <n v="71.51898734"/>
        <n v="18.17309422"/>
        <n v="2.797202797"/>
        <n v="23.15789474"/>
        <n v="56.73469388"/>
        <n v="4.210526316"/>
        <n v="58.73015873"/>
        <n v="72.34042553"/>
        <n v="33.45724907"/>
        <n v="15.23911373"/>
        <n v="12.95896328"/>
        <n v="14.28571429"/>
        <n v="51.953125"/>
        <n v="40.49586777"/>
        <n v="16.17250674"/>
        <n v="52.52525253"/>
        <n v="50.84745763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En la hoja Metricas, en la columma  x dbee ser igual al de la hoja  Incentivos en la columna F si es igual se hace el calculo teniendo en cuenta la fecha inicio y la fcha fin que estan en incentivos en las columnas  D F  en la G esta  la condicion si es mayor menor o x en la H esta el score, y en la i esta el valor, en la  y desde la j esta esto:  operador (Piso 1)         Key        Score Key        operador (Piso 2)        score_2 (Piso 2)        operador (Piso 2)        operador (Piso 3)         valor_1 (Piso 2)        valor_piso_3, segun el piso se debe calular si es mayor o menor solo si lo tiene si no  no se calcula 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 29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C5" firstHeaderRow="0" firstDataRow="2" firstDataCol="0" rowPageCount="1" colPageCount="1"/>
  <pivotFields>
    <pivotField name="MES" compact="0" outline="0" multipleItemSelectionAllowed="1" showAll="0">
      <items>
        <item x="0"/>
        <item x="1"/>
        <item x="2"/>
        <item x="3"/>
        <item t="default"/>
      </items>
    </pivotField>
    <pivotField name="Seman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mail" axis="axisRow" compact="0" outline="0" multipleItemSelectionAllowed="1" showAll="0" sortType="ascending">
      <items>
        <item x="2"/>
        <item x="1"/>
        <item h="1" x="0"/>
        <item t="default"/>
      </items>
    </pivotField>
    <pivotField name="CCMSID" compact="0" outline="0" multipleItemSelectionAllowed="1" showAll="0">
      <items>
        <item x="0"/>
        <item x="1"/>
        <item x="2"/>
        <item t="default"/>
      </items>
    </pivotField>
    <pivotField name="NombreAgente" compact="0" outline="0" multipleItemSelectionAllowed="1" showAll="0">
      <items>
        <item x="0"/>
        <item x="1"/>
        <item t="default"/>
      </items>
    </pivotField>
    <pivotField name="NombreSupervisor" compact="0" outline="0" multipleItemSelectionAllowed="1" showAll="0">
      <items>
        <item x="0"/>
        <item x="1"/>
        <item x="2"/>
        <item t="default"/>
      </items>
    </pivotField>
    <pivotField name="NombreACM" compact="0" outline="0" multipleItemSelectionAllowed="1" showAll="0">
      <items>
        <item x="0"/>
        <item x="1"/>
        <item t="default"/>
      </items>
    </pivotField>
    <pivotField name="SubLO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LOBSkill" compact="0" outline="0" multipleItemSelectionAllowed="1" showAll="0">
      <items>
        <item x="0"/>
        <item x="1"/>
        <item x="2"/>
        <item t="default"/>
      </items>
    </pivotField>
    <pivotField name="KPI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name="Comp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mpI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KPICal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En la hoja Metricas, en la columma  x dbee ser igual al de la hoja  Incentivos en la columna F si es igual se hace el calculo teniendo en cuenta la fecha inicio y la fcha fin que estan en incentivos en las columnas  D F  en la G esta  la condicion si es mayor menor o x en la H esta el score, y en la i esta el valor, en la  y desde la j esta esto:  operador (Piso 1)         Key        Score Key        operador (Piso 2)        score_2 (Piso 2)        operador (Piso 2)        operador (Piso 3)         valor_1 (Piso 2)        valor_piso_3, segun el piso se debe calular si es mayor o menor solo si lo tiene si no  no se calcula 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pageFields>
    <pageField fld="10"/>
  </pageFields>
  <dataFields>
    <dataField name="SUM of CompI" fld="11" baseField="0"/>
    <dataField name="SUM of CompII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2">
        <v>45911.47638888889</v>
      </c>
      <c r="B3" s="1" t="s">
        <v>2</v>
      </c>
      <c r="C3" s="1" t="s">
        <v>3</v>
      </c>
      <c r="D3" s="1" t="s">
        <v>4</v>
      </c>
      <c r="E3" s="1" t="s">
        <v>5</v>
      </c>
      <c r="G3" s="1" t="s">
        <v>6</v>
      </c>
      <c r="I3" s="1">
        <v>5.0</v>
      </c>
      <c r="J3" s="1">
        <v>5.0</v>
      </c>
      <c r="K3" s="1" t="s">
        <v>7</v>
      </c>
      <c r="L3" s="1" t="s">
        <v>8</v>
      </c>
      <c r="M3" s="1">
        <v>34.0</v>
      </c>
      <c r="N3" s="1">
        <v>34.0</v>
      </c>
    </row>
    <row r="4" ht="15.75" customHeight="1">
      <c r="A4" s="2">
        <v>45924.497708333336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9</v>
      </c>
      <c r="G4" s="1" t="s">
        <v>6</v>
      </c>
      <c r="I4" s="1">
        <v>30.0</v>
      </c>
      <c r="J4" s="1">
        <v>30.0</v>
      </c>
      <c r="K4" s="1" t="s">
        <v>7</v>
      </c>
      <c r="L4" s="1" t="s">
        <v>8</v>
      </c>
      <c r="M4" s="1">
        <v>34.0</v>
      </c>
      <c r="N4" s="1">
        <v>34.0</v>
      </c>
    </row>
    <row r="5" ht="15.75" customHeight="1">
      <c r="A5" s="2">
        <v>45925.47045138889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10</v>
      </c>
      <c r="G5" s="1" t="s">
        <v>6</v>
      </c>
      <c r="I5" s="1">
        <v>30.0</v>
      </c>
      <c r="J5" s="1">
        <v>30.0</v>
      </c>
      <c r="K5" s="1" t="s">
        <v>11</v>
      </c>
      <c r="L5" s="1" t="s">
        <v>8</v>
      </c>
      <c r="M5" s="1">
        <v>50.0</v>
      </c>
      <c r="N5" s="1">
        <v>50.0</v>
      </c>
    </row>
    <row r="6" ht="15.75" customHeight="1">
      <c r="A6" s="2">
        <v>45925.47045138889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10</v>
      </c>
      <c r="G6" s="1" t="s">
        <v>6</v>
      </c>
      <c r="I6" s="1">
        <v>30.0</v>
      </c>
      <c r="J6" s="1">
        <v>30.0</v>
      </c>
      <c r="K6" s="1" t="s">
        <v>12</v>
      </c>
      <c r="L6" s="1" t="s">
        <v>8</v>
      </c>
      <c r="M6" s="1">
        <v>10.0</v>
      </c>
      <c r="N6" s="1">
        <v>10.0</v>
      </c>
    </row>
    <row r="7" ht="15.75" customHeight="1">
      <c r="A7" s="2">
        <v>45925.489756944444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13</v>
      </c>
      <c r="G7" s="1" t="s">
        <v>6</v>
      </c>
      <c r="I7" s="1">
        <v>5.0</v>
      </c>
      <c r="J7" s="1">
        <v>5.0</v>
      </c>
      <c r="K7" s="1" t="s">
        <v>7</v>
      </c>
      <c r="L7" s="1" t="s">
        <v>8</v>
      </c>
      <c r="M7" s="1">
        <v>34.0</v>
      </c>
      <c r="N7" s="1">
        <v>34.0</v>
      </c>
    </row>
    <row r="8" ht="15.75" customHeight="1">
      <c r="A8" s="2">
        <v>45925.4965625</v>
      </c>
      <c r="B8" s="1" t="s">
        <v>2</v>
      </c>
      <c r="C8" s="1" t="s">
        <v>3</v>
      </c>
      <c r="D8" s="1" t="s">
        <v>4</v>
      </c>
      <c r="E8" s="1" t="s">
        <v>5</v>
      </c>
      <c r="G8" s="1" t="s">
        <v>6</v>
      </c>
      <c r="I8" s="1">
        <v>30.0</v>
      </c>
      <c r="J8" s="1">
        <v>30.0</v>
      </c>
      <c r="K8" s="1" t="s">
        <v>7</v>
      </c>
      <c r="L8" s="1" t="s">
        <v>14</v>
      </c>
      <c r="M8" s="1">
        <v>50.0</v>
      </c>
      <c r="N8" s="1">
        <v>50.0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</row>
    <row r="2">
      <c r="A2" s="3">
        <v>2116682.0</v>
      </c>
      <c r="B2" s="3" t="s">
        <v>28</v>
      </c>
      <c r="C2" s="3" t="s">
        <v>13</v>
      </c>
      <c r="D2" s="4">
        <v>1.0</v>
      </c>
      <c r="E2" s="5">
        <v>1600000.0</v>
      </c>
      <c r="F2" s="3" t="s">
        <v>29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M2" s="6">
        <v>46046.842685185184</v>
      </c>
    </row>
    <row r="3">
      <c r="A3" s="3">
        <v>2816053.0</v>
      </c>
      <c r="B3" s="3" t="s">
        <v>30</v>
      </c>
      <c r="C3" s="3" t="s">
        <v>13</v>
      </c>
      <c r="D3" s="4">
        <v>1.0</v>
      </c>
      <c r="E3" s="5">
        <v>1600000.0</v>
      </c>
      <c r="F3" s="3" t="s">
        <v>29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M3" s="6">
        <v>46046.842685185184</v>
      </c>
    </row>
    <row r="4">
      <c r="A4" s="3">
        <v>3195695.0</v>
      </c>
      <c r="B4" s="3" t="s">
        <v>31</v>
      </c>
      <c r="C4" s="3" t="s">
        <v>13</v>
      </c>
      <c r="D4" s="4">
        <v>1.0</v>
      </c>
      <c r="E4" s="5">
        <v>1600000.0</v>
      </c>
      <c r="F4" s="3" t="s">
        <v>29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M4" s="6">
        <v>46046.842685185184</v>
      </c>
    </row>
    <row r="5">
      <c r="A5" s="3">
        <v>3460648.0</v>
      </c>
      <c r="B5" s="3" t="s">
        <v>32</v>
      </c>
      <c r="C5" s="3" t="s">
        <v>13</v>
      </c>
      <c r="D5" s="4">
        <v>1.0</v>
      </c>
      <c r="E5" s="5">
        <v>1600000.0</v>
      </c>
      <c r="F5" s="3" t="s">
        <v>29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M5" s="6">
        <v>46046.842685185184</v>
      </c>
    </row>
    <row r="6">
      <c r="A6" s="3">
        <v>3524085.0</v>
      </c>
      <c r="B6" s="3" t="s">
        <v>33</v>
      </c>
      <c r="C6" s="3" t="s">
        <v>13</v>
      </c>
      <c r="D6" s="4">
        <v>1.0</v>
      </c>
      <c r="E6" s="5">
        <v>1600000.0</v>
      </c>
      <c r="F6" s="3" t="s">
        <v>29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M6" s="6">
        <v>46046.842685185184</v>
      </c>
    </row>
    <row r="7">
      <c r="A7" s="3">
        <v>3570218.0</v>
      </c>
      <c r="B7" s="3" t="s">
        <v>34</v>
      </c>
      <c r="C7" s="3" t="s">
        <v>13</v>
      </c>
      <c r="D7" s="4">
        <v>1.0</v>
      </c>
      <c r="E7" s="5">
        <v>1600000.0</v>
      </c>
      <c r="F7" s="3" t="s">
        <v>29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M7" s="6">
        <v>46046.842685185184</v>
      </c>
    </row>
    <row r="8">
      <c r="A8" s="3">
        <v>3924273.0</v>
      </c>
      <c r="B8" s="3" t="s">
        <v>35</v>
      </c>
      <c r="C8" s="3" t="s">
        <v>13</v>
      </c>
      <c r="D8" s="4">
        <v>1.0</v>
      </c>
      <c r="E8" s="5">
        <v>1600000.0</v>
      </c>
      <c r="F8" s="3" t="s">
        <v>29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M8" s="6">
        <v>46046.842685185184</v>
      </c>
    </row>
    <row r="9">
      <c r="A9" s="3">
        <v>4734515.0</v>
      </c>
      <c r="B9" s="3" t="s">
        <v>36</v>
      </c>
      <c r="C9" s="3" t="s">
        <v>13</v>
      </c>
      <c r="D9" s="4">
        <v>1.0</v>
      </c>
      <c r="E9" s="5">
        <v>1600000.0</v>
      </c>
      <c r="F9" s="3" t="s">
        <v>29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M9" s="6">
        <v>46046.842685185184</v>
      </c>
    </row>
    <row r="10">
      <c r="A10" s="3">
        <v>4747160.0</v>
      </c>
      <c r="B10" s="3" t="s">
        <v>37</v>
      </c>
      <c r="C10" s="3" t="s">
        <v>13</v>
      </c>
      <c r="D10" s="4">
        <v>1.0</v>
      </c>
      <c r="E10" s="5">
        <v>1600000.0</v>
      </c>
      <c r="F10" s="3" t="s">
        <v>29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M10" s="6">
        <v>46046.842685185184</v>
      </c>
    </row>
    <row r="11">
      <c r="A11" s="3">
        <v>5021467.0</v>
      </c>
      <c r="B11" s="3" t="s">
        <v>38</v>
      </c>
      <c r="C11" s="3" t="s">
        <v>13</v>
      </c>
      <c r="D11" s="4">
        <v>1.0</v>
      </c>
      <c r="E11" s="5">
        <v>1600000.0</v>
      </c>
      <c r="F11" s="3" t="s">
        <v>29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M11" s="6">
        <v>46046.842685185184</v>
      </c>
    </row>
    <row r="12">
      <c r="A12" s="3">
        <v>5021481.0</v>
      </c>
      <c r="B12" s="3" t="s">
        <v>39</v>
      </c>
      <c r="C12" s="3" t="s">
        <v>13</v>
      </c>
      <c r="D12" s="4">
        <v>1.0</v>
      </c>
      <c r="E12" s="5">
        <v>1600000.0</v>
      </c>
      <c r="F12" s="3" t="s">
        <v>29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M12" s="6">
        <v>46046.842685185184</v>
      </c>
    </row>
    <row r="13">
      <c r="A13" s="3">
        <v>5031967.0</v>
      </c>
      <c r="B13" s="3" t="s">
        <v>40</v>
      </c>
      <c r="C13" s="3" t="s">
        <v>13</v>
      </c>
      <c r="D13" s="4">
        <v>1.0</v>
      </c>
      <c r="E13" s="5">
        <v>1600000.0</v>
      </c>
      <c r="F13" s="3" t="s">
        <v>29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M13" s="6">
        <v>46046.842685185184</v>
      </c>
    </row>
    <row r="14">
      <c r="A14" s="3">
        <v>5051677.0</v>
      </c>
      <c r="B14" s="3" t="s">
        <v>41</v>
      </c>
      <c r="C14" s="3" t="s">
        <v>13</v>
      </c>
      <c r="D14" s="4">
        <v>1.0</v>
      </c>
      <c r="E14" s="5">
        <v>1600000.0</v>
      </c>
      <c r="F14" s="3" t="s">
        <v>29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M14" s="6">
        <v>46046.842685185184</v>
      </c>
    </row>
    <row r="15">
      <c r="A15" s="3">
        <v>5072596.0</v>
      </c>
      <c r="B15" s="3" t="s">
        <v>42</v>
      </c>
      <c r="C15" s="3" t="s">
        <v>13</v>
      </c>
      <c r="D15" s="4">
        <v>1.0</v>
      </c>
      <c r="E15" s="5">
        <v>1600000.0</v>
      </c>
      <c r="F15" s="3" t="s">
        <v>29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M15" s="6">
        <v>46046.842685185184</v>
      </c>
    </row>
    <row r="16">
      <c r="A16" s="3">
        <v>5134626.0</v>
      </c>
      <c r="B16" s="3" t="s">
        <v>43</v>
      </c>
      <c r="C16" s="3" t="s">
        <v>13</v>
      </c>
      <c r="D16" s="4">
        <v>1.0</v>
      </c>
      <c r="E16" s="5">
        <v>1600000.0</v>
      </c>
      <c r="F16" s="3" t="s">
        <v>29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M16" s="6">
        <v>46046.842685185184</v>
      </c>
    </row>
    <row r="17">
      <c r="A17" s="3">
        <v>5161496.0</v>
      </c>
      <c r="B17" s="3" t="s">
        <v>44</v>
      </c>
      <c r="C17" s="3" t="s">
        <v>13</v>
      </c>
      <c r="D17" s="4">
        <v>1.0</v>
      </c>
      <c r="E17" s="5">
        <v>1600000.0</v>
      </c>
      <c r="F17" s="3" t="s">
        <v>29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M17" s="6">
        <v>46046.842685185184</v>
      </c>
    </row>
    <row r="18">
      <c r="A18" s="3">
        <v>5320998.0</v>
      </c>
      <c r="B18" s="3" t="s">
        <v>45</v>
      </c>
      <c r="C18" s="3" t="s">
        <v>13</v>
      </c>
      <c r="D18" s="4">
        <v>1.0</v>
      </c>
      <c r="E18" s="5">
        <v>1600000.0</v>
      </c>
      <c r="F18" s="3" t="s">
        <v>29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M18" s="6">
        <v>46046.842685185184</v>
      </c>
    </row>
    <row r="19">
      <c r="A19" s="3">
        <v>5321003.0</v>
      </c>
      <c r="B19" s="3" t="s">
        <v>46</v>
      </c>
      <c r="C19" s="3" t="s">
        <v>13</v>
      </c>
      <c r="D19" s="4">
        <v>1.0</v>
      </c>
      <c r="E19" s="5">
        <v>1600000.0</v>
      </c>
      <c r="F19" s="3" t="s">
        <v>29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M19" s="6">
        <v>46046.842685185184</v>
      </c>
    </row>
    <row r="20">
      <c r="A20" s="3">
        <v>5321006.0</v>
      </c>
      <c r="B20" s="3" t="s">
        <v>47</v>
      </c>
      <c r="C20" s="3" t="s">
        <v>13</v>
      </c>
      <c r="D20" s="4">
        <v>1.0</v>
      </c>
      <c r="E20" s="5">
        <v>1600000.0</v>
      </c>
      <c r="F20" s="3" t="s">
        <v>29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M20" s="6">
        <v>46046.842685185184</v>
      </c>
    </row>
    <row r="21">
      <c r="A21" s="3">
        <v>5327776.0</v>
      </c>
      <c r="B21" s="3" t="s">
        <v>48</v>
      </c>
      <c r="C21" s="3" t="s">
        <v>13</v>
      </c>
      <c r="D21" s="4">
        <v>1.0</v>
      </c>
      <c r="E21" s="5">
        <v>1600000.0</v>
      </c>
      <c r="F21" s="3" t="s">
        <v>29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M21" s="6">
        <v>46046.842685185184</v>
      </c>
    </row>
    <row r="22">
      <c r="A22" s="3">
        <v>5327778.0</v>
      </c>
      <c r="B22" s="3" t="s">
        <v>49</v>
      </c>
      <c r="C22" s="3" t="s">
        <v>13</v>
      </c>
      <c r="D22" s="4">
        <v>1.0</v>
      </c>
      <c r="E22" s="5">
        <v>1600000.0</v>
      </c>
      <c r="F22" s="3" t="s">
        <v>29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M22" s="6">
        <v>46046.842685185184</v>
      </c>
    </row>
    <row r="23">
      <c r="A23" s="3">
        <v>5331414.0</v>
      </c>
      <c r="B23" s="3" t="s">
        <v>50</v>
      </c>
      <c r="C23" s="3" t="s">
        <v>13</v>
      </c>
      <c r="D23" s="4">
        <v>1.0</v>
      </c>
      <c r="E23" s="5">
        <v>1600000.0</v>
      </c>
      <c r="F23" s="3" t="s">
        <v>29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M23" s="6">
        <v>46046.842685185184</v>
      </c>
    </row>
    <row r="24">
      <c r="A24" s="3">
        <v>5333582.0</v>
      </c>
      <c r="B24" s="3" t="s">
        <v>51</v>
      </c>
      <c r="C24" s="3" t="s">
        <v>13</v>
      </c>
      <c r="D24" s="4">
        <v>1.0</v>
      </c>
      <c r="E24" s="5">
        <v>1600000.0</v>
      </c>
      <c r="F24" s="3" t="s">
        <v>29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M24" s="6">
        <v>46046.842685185184</v>
      </c>
    </row>
    <row r="25">
      <c r="A25" s="3">
        <v>5333703.0</v>
      </c>
      <c r="B25" s="3" t="s">
        <v>52</v>
      </c>
      <c r="C25" s="3" t="s">
        <v>13</v>
      </c>
      <c r="D25" s="4">
        <v>1.0</v>
      </c>
      <c r="E25" s="5">
        <v>1600000.0</v>
      </c>
      <c r="F25" s="3" t="s">
        <v>29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M25" s="6">
        <v>46046.842685185184</v>
      </c>
    </row>
    <row r="26">
      <c r="A26" s="3">
        <v>5334615.0</v>
      </c>
      <c r="B26" s="3" t="s">
        <v>53</v>
      </c>
      <c r="C26" s="3" t="s">
        <v>13</v>
      </c>
      <c r="D26" s="4">
        <v>1.0</v>
      </c>
      <c r="E26" s="5">
        <v>1600000.0</v>
      </c>
      <c r="F26" s="3" t="s">
        <v>29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M26" s="6">
        <v>46046.842685185184</v>
      </c>
    </row>
    <row r="27">
      <c r="A27" s="3">
        <v>5346664.0</v>
      </c>
      <c r="B27" s="3" t="s">
        <v>54</v>
      </c>
      <c r="C27" s="3" t="s">
        <v>13</v>
      </c>
      <c r="D27" s="4">
        <v>1.0</v>
      </c>
      <c r="E27" s="5">
        <v>1600000.0</v>
      </c>
      <c r="F27" s="3" t="s">
        <v>29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M27" s="6">
        <v>46046.842685185184</v>
      </c>
    </row>
    <row r="28">
      <c r="A28" s="3">
        <v>5349458.0</v>
      </c>
      <c r="B28" s="3" t="s">
        <v>55</v>
      </c>
      <c r="C28" s="3" t="s">
        <v>13</v>
      </c>
      <c r="D28" s="4">
        <v>1.0</v>
      </c>
      <c r="E28" s="5">
        <v>1600000.0</v>
      </c>
      <c r="F28" s="3" t="s">
        <v>29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M28" s="6">
        <v>46046.842685185184</v>
      </c>
    </row>
    <row r="29">
      <c r="A29" s="3">
        <v>5349465.0</v>
      </c>
      <c r="B29" s="3" t="s">
        <v>56</v>
      </c>
      <c r="C29" s="3" t="s">
        <v>13</v>
      </c>
      <c r="D29" s="4">
        <v>1.0</v>
      </c>
      <c r="E29" s="5">
        <v>1600000.0</v>
      </c>
      <c r="F29" s="3" t="s">
        <v>29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M29" s="6">
        <v>46046.842685185184</v>
      </c>
    </row>
    <row r="30">
      <c r="A30" s="3">
        <v>5367498.0</v>
      </c>
      <c r="B30" s="3" t="s">
        <v>57</v>
      </c>
      <c r="C30" s="3" t="s">
        <v>13</v>
      </c>
      <c r="D30" s="4">
        <v>1.0</v>
      </c>
      <c r="E30" s="5">
        <v>1600000.0</v>
      </c>
      <c r="F30" s="3" t="s">
        <v>29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M30" s="6">
        <v>46046.842685185184</v>
      </c>
    </row>
    <row r="31">
      <c r="A31" s="3">
        <v>5369454.0</v>
      </c>
      <c r="B31" s="3" t="s">
        <v>58</v>
      </c>
      <c r="C31" s="3" t="s">
        <v>13</v>
      </c>
      <c r="D31" s="4">
        <v>1.0</v>
      </c>
      <c r="E31" s="5">
        <v>1600000.0</v>
      </c>
      <c r="F31" s="3" t="s">
        <v>29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M31" s="6">
        <v>46046.842685185184</v>
      </c>
    </row>
    <row r="32">
      <c r="A32" s="3">
        <v>5388863.0</v>
      </c>
      <c r="B32" s="3" t="s">
        <v>59</v>
      </c>
      <c r="C32" s="3" t="s">
        <v>13</v>
      </c>
      <c r="D32" s="4">
        <v>1.0</v>
      </c>
      <c r="E32" s="5">
        <v>1600000.0</v>
      </c>
      <c r="F32" s="3" t="s">
        <v>29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M32" s="6">
        <v>46046.842685185184</v>
      </c>
    </row>
    <row r="33">
      <c r="A33" s="3">
        <v>5426155.0</v>
      </c>
      <c r="B33" s="3" t="s">
        <v>60</v>
      </c>
      <c r="C33" s="3" t="s">
        <v>13</v>
      </c>
      <c r="D33" s="4">
        <v>1.0</v>
      </c>
      <c r="E33" s="5">
        <v>1600000.0</v>
      </c>
      <c r="F33" s="3" t="s">
        <v>29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M33" s="6">
        <v>46046.842685185184</v>
      </c>
    </row>
    <row r="34">
      <c r="A34" s="3">
        <v>5437184.0</v>
      </c>
      <c r="B34" s="3" t="s">
        <v>61</v>
      </c>
      <c r="C34" s="3" t="s">
        <v>13</v>
      </c>
      <c r="D34" s="4">
        <v>1.0</v>
      </c>
      <c r="E34" s="5">
        <v>1600000.0</v>
      </c>
      <c r="F34" s="3" t="s">
        <v>29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M34" s="6">
        <v>46046.842685185184</v>
      </c>
    </row>
    <row r="35">
      <c r="A35" s="3">
        <v>5438085.0</v>
      </c>
      <c r="B35" s="3" t="s">
        <v>62</v>
      </c>
      <c r="C35" s="3" t="s">
        <v>13</v>
      </c>
      <c r="D35" s="4">
        <v>1.0</v>
      </c>
      <c r="E35" s="5">
        <v>1600000.0</v>
      </c>
      <c r="F35" s="3" t="s">
        <v>29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M35" s="6">
        <v>46046.842685185184</v>
      </c>
    </row>
    <row r="36">
      <c r="A36" s="3">
        <v>5438244.0</v>
      </c>
      <c r="B36" s="3" t="s">
        <v>63</v>
      </c>
      <c r="C36" s="3" t="s">
        <v>13</v>
      </c>
      <c r="D36" s="4">
        <v>1.0</v>
      </c>
      <c r="E36" s="5">
        <v>1600000.0</v>
      </c>
      <c r="F36" s="3" t="s">
        <v>29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M36" s="6">
        <v>46046.842685185184</v>
      </c>
    </row>
    <row r="37">
      <c r="A37" s="3">
        <v>5439879.0</v>
      </c>
      <c r="B37" s="3" t="s">
        <v>64</v>
      </c>
      <c r="C37" s="3" t="s">
        <v>13</v>
      </c>
      <c r="D37" s="4">
        <v>1.0</v>
      </c>
      <c r="E37" s="5">
        <v>1600000.0</v>
      </c>
      <c r="F37" s="3" t="s">
        <v>29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M37" s="6">
        <v>46046.842685185184</v>
      </c>
    </row>
    <row r="38">
      <c r="A38" s="3">
        <v>5439948.0</v>
      </c>
      <c r="B38" s="3" t="s">
        <v>65</v>
      </c>
      <c r="C38" s="3" t="s">
        <v>13</v>
      </c>
      <c r="D38" s="4">
        <v>1.0</v>
      </c>
      <c r="E38" s="5">
        <v>1600000.0</v>
      </c>
      <c r="F38" s="3" t="s">
        <v>29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M38" s="6">
        <v>46046.842685185184</v>
      </c>
    </row>
    <row r="39">
      <c r="A39" s="3">
        <v>5492754.0</v>
      </c>
      <c r="B39" s="3" t="s">
        <v>66</v>
      </c>
      <c r="C39" s="3" t="s">
        <v>13</v>
      </c>
      <c r="D39" s="4">
        <v>1.0</v>
      </c>
      <c r="E39" s="5">
        <v>1600000.0</v>
      </c>
      <c r="F39" s="3" t="s">
        <v>29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M39" s="6">
        <v>46046.842685185184</v>
      </c>
    </row>
    <row r="40">
      <c r="A40" s="3">
        <v>5528028.0</v>
      </c>
      <c r="B40" s="3" t="s">
        <v>67</v>
      </c>
      <c r="C40" s="3" t="s">
        <v>13</v>
      </c>
      <c r="D40" s="4">
        <v>1.0</v>
      </c>
      <c r="E40" s="5">
        <v>1600000.0</v>
      </c>
      <c r="F40" s="3" t="s">
        <v>29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M40" s="6">
        <v>46046.842685185184</v>
      </c>
    </row>
    <row r="41">
      <c r="A41" s="3">
        <v>5533585.0</v>
      </c>
      <c r="B41" s="3" t="s">
        <v>68</v>
      </c>
      <c r="C41" s="3" t="s">
        <v>13</v>
      </c>
      <c r="D41" s="4">
        <v>1.0</v>
      </c>
      <c r="E41" s="5">
        <v>1600000.0</v>
      </c>
      <c r="F41" s="3" t="s">
        <v>29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M41" s="6">
        <v>46046.842685185184</v>
      </c>
    </row>
    <row r="42">
      <c r="A42" s="3">
        <v>5546274.0</v>
      </c>
      <c r="B42" s="3" t="s">
        <v>69</v>
      </c>
      <c r="C42" s="3" t="s">
        <v>13</v>
      </c>
      <c r="D42" s="4">
        <v>1.0</v>
      </c>
      <c r="E42" s="5">
        <v>1600000.0</v>
      </c>
      <c r="F42" s="3" t="s">
        <v>29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M42" s="6">
        <v>46046.842685185184</v>
      </c>
    </row>
    <row r="43">
      <c r="A43" s="3">
        <v>5651744.0</v>
      </c>
      <c r="B43" s="3" t="s">
        <v>70</v>
      </c>
      <c r="C43" s="3" t="s">
        <v>13</v>
      </c>
      <c r="D43" s="4">
        <v>1.0</v>
      </c>
      <c r="E43" s="5">
        <v>1600000.0</v>
      </c>
      <c r="F43" s="3" t="s">
        <v>29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M43" s="6">
        <v>46046.842685185184</v>
      </c>
    </row>
    <row r="44">
      <c r="A44" s="3">
        <v>5651748.0</v>
      </c>
      <c r="B44" s="3" t="s">
        <v>71</v>
      </c>
      <c r="C44" s="3" t="s">
        <v>13</v>
      </c>
      <c r="D44" s="4">
        <v>1.0</v>
      </c>
      <c r="E44" s="5">
        <v>1600000.0</v>
      </c>
      <c r="F44" s="3" t="s">
        <v>29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M44" s="6">
        <v>46046.842685185184</v>
      </c>
    </row>
    <row r="45">
      <c r="A45" s="3" t="s">
        <v>72</v>
      </c>
      <c r="C45" s="3" t="s">
        <v>13</v>
      </c>
      <c r="D45" s="4">
        <v>1.0</v>
      </c>
      <c r="E45" s="7"/>
      <c r="G45" s="7"/>
      <c r="H45" s="7"/>
      <c r="I45" s="7"/>
      <c r="J45" s="7"/>
      <c r="K45" s="5">
        <v>0.0</v>
      </c>
      <c r="M45" s="6">
        <v>46046.842685185184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73</v>
      </c>
      <c r="B1" s="3" t="s">
        <v>74</v>
      </c>
      <c r="C1" s="3" t="s">
        <v>75</v>
      </c>
      <c r="D1" s="3" t="s">
        <v>15</v>
      </c>
      <c r="E1" s="3" t="s">
        <v>16</v>
      </c>
      <c r="F1" s="3" t="s">
        <v>17</v>
      </c>
      <c r="G1" s="3" t="s">
        <v>76</v>
      </c>
      <c r="H1" s="3" t="s">
        <v>77</v>
      </c>
    </row>
    <row r="2">
      <c r="A2" s="8">
        <v>45979.74965023148</v>
      </c>
      <c r="B2" s="3" t="s">
        <v>78</v>
      </c>
      <c r="C2" s="3" t="s">
        <v>79</v>
      </c>
      <c r="D2" s="3">
        <v>5546192.0</v>
      </c>
      <c r="E2" s="3" t="s">
        <v>80</v>
      </c>
      <c r="F2" s="3" t="s">
        <v>81</v>
      </c>
      <c r="G2" s="3" t="s">
        <v>82</v>
      </c>
      <c r="H2" s="3" t="s">
        <v>83</v>
      </c>
    </row>
    <row r="3">
      <c r="A3" s="8">
        <v>45979.753961180555</v>
      </c>
      <c r="B3" s="3" t="s">
        <v>78</v>
      </c>
      <c r="C3" s="3" t="s">
        <v>79</v>
      </c>
      <c r="D3" s="3">
        <v>5320995.0</v>
      </c>
      <c r="E3" s="3" t="s">
        <v>84</v>
      </c>
      <c r="F3" s="3" t="s">
        <v>81</v>
      </c>
      <c r="G3" s="3" t="s">
        <v>85</v>
      </c>
      <c r="H3" s="3" t="s">
        <v>86</v>
      </c>
    </row>
    <row r="4">
      <c r="A4" s="8">
        <v>45990.825258055556</v>
      </c>
      <c r="B4" s="3" t="s">
        <v>78</v>
      </c>
      <c r="C4" s="3" t="s">
        <v>79</v>
      </c>
      <c r="D4" s="3">
        <v>2164860.0</v>
      </c>
      <c r="E4" s="3" t="s">
        <v>87</v>
      </c>
      <c r="F4" s="3" t="s">
        <v>81</v>
      </c>
      <c r="G4" s="3" t="s">
        <v>82</v>
      </c>
      <c r="H4" s="3" t="s">
        <v>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3" max="13" width="22.29"/>
  </cols>
  <sheetData>
    <row r="1">
      <c r="A1" s="9" t="s">
        <v>89</v>
      </c>
      <c r="B1" s="9" t="s">
        <v>15</v>
      </c>
      <c r="C1" s="9" t="s">
        <v>16</v>
      </c>
      <c r="D1" s="9" t="s">
        <v>17</v>
      </c>
      <c r="E1" s="9" t="s">
        <v>90</v>
      </c>
      <c r="F1" s="9" t="s">
        <v>91</v>
      </c>
      <c r="G1" s="9" t="s">
        <v>92</v>
      </c>
      <c r="H1" s="9" t="s">
        <v>93</v>
      </c>
      <c r="I1" s="9" t="s">
        <v>76</v>
      </c>
      <c r="J1" s="9" t="s">
        <v>94</v>
      </c>
      <c r="K1" s="9" t="s">
        <v>95</v>
      </c>
      <c r="L1" s="9" t="s">
        <v>96</v>
      </c>
      <c r="M1" s="9" t="s">
        <v>97</v>
      </c>
    </row>
    <row r="2">
      <c r="A2" s="4">
        <v>9.0</v>
      </c>
      <c r="B2" s="3">
        <v>5546192.0</v>
      </c>
      <c r="C2" s="3" t="s">
        <v>80</v>
      </c>
      <c r="D2" s="3" t="s">
        <v>81</v>
      </c>
      <c r="E2" s="10" t="s">
        <v>98</v>
      </c>
      <c r="F2" s="3" t="s">
        <v>99</v>
      </c>
      <c r="G2" s="3" t="s">
        <v>100</v>
      </c>
      <c r="H2" s="3" t="s">
        <v>83</v>
      </c>
      <c r="I2" s="3" t="s">
        <v>82</v>
      </c>
      <c r="J2" s="5">
        <v>0.0</v>
      </c>
      <c r="K2" s="3" t="s">
        <v>79</v>
      </c>
      <c r="L2" s="11">
        <v>45979.749618877315</v>
      </c>
      <c r="M2" s="3" t="s">
        <v>83</v>
      </c>
    </row>
    <row r="3">
      <c r="A3" s="4">
        <v>3.0</v>
      </c>
      <c r="B3" s="3">
        <v>5320995.0</v>
      </c>
      <c r="C3" s="3" t="s">
        <v>84</v>
      </c>
      <c r="D3" s="3" t="s">
        <v>13</v>
      </c>
      <c r="E3" s="10" t="s">
        <v>101</v>
      </c>
      <c r="F3" s="3" t="s">
        <v>99</v>
      </c>
      <c r="G3" s="3" t="s">
        <v>102</v>
      </c>
      <c r="H3" s="3" t="s">
        <v>86</v>
      </c>
      <c r="I3" s="3" t="s">
        <v>85</v>
      </c>
      <c r="J3" s="5">
        <v>1.0E8</v>
      </c>
      <c r="K3" s="3" t="s">
        <v>79</v>
      </c>
      <c r="L3" s="11">
        <v>45979.753929432874</v>
      </c>
      <c r="M3" s="3" t="s">
        <v>103</v>
      </c>
    </row>
    <row r="4">
      <c r="A4" s="4">
        <v>8.0</v>
      </c>
      <c r="B4" s="3">
        <v>2164860.0</v>
      </c>
      <c r="C4" s="3" t="s">
        <v>87</v>
      </c>
      <c r="D4" s="3" t="s">
        <v>81</v>
      </c>
      <c r="E4" s="10" t="s">
        <v>104</v>
      </c>
      <c r="F4" s="3" t="s">
        <v>99</v>
      </c>
      <c r="G4" s="3" t="s">
        <v>100</v>
      </c>
      <c r="H4" s="3" t="s">
        <v>88</v>
      </c>
      <c r="I4" s="3" t="s">
        <v>82</v>
      </c>
      <c r="J4" s="5">
        <v>0.0</v>
      </c>
      <c r="K4" s="3" t="s">
        <v>79</v>
      </c>
      <c r="L4" s="11">
        <v>45990.82524063658</v>
      </c>
      <c r="M4" s="3" t="s">
        <v>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</cols>
  <sheetData>
    <row r="1">
      <c r="A1" s="12" t="s">
        <v>105</v>
      </c>
      <c r="B1" s="12" t="s">
        <v>106</v>
      </c>
      <c r="C1" s="12" t="s">
        <v>107</v>
      </c>
      <c r="D1" s="12" t="s">
        <v>15</v>
      </c>
      <c r="E1" s="12" t="s">
        <v>16</v>
      </c>
      <c r="F1" s="12" t="s">
        <v>108</v>
      </c>
      <c r="G1" s="12" t="s">
        <v>109</v>
      </c>
      <c r="H1" s="12" t="s">
        <v>75</v>
      </c>
      <c r="I1" s="12" t="s">
        <v>110</v>
      </c>
    </row>
    <row r="2">
      <c r="A2" s="8">
        <v>45970.73427398148</v>
      </c>
      <c r="B2" s="3" t="s">
        <v>111</v>
      </c>
      <c r="C2" s="4">
        <v>1.0</v>
      </c>
      <c r="D2" s="3">
        <v>4364806.0</v>
      </c>
      <c r="E2" s="3" t="s">
        <v>112</v>
      </c>
      <c r="F2" s="3" t="s">
        <v>81</v>
      </c>
      <c r="G2" s="3" t="s">
        <v>113</v>
      </c>
      <c r="H2" s="3" t="s">
        <v>79</v>
      </c>
      <c r="I2" s="3" t="s">
        <v>114</v>
      </c>
    </row>
    <row r="3">
      <c r="A3" s="8">
        <v>45970.73427398148</v>
      </c>
      <c r="B3" s="3" t="s">
        <v>111</v>
      </c>
      <c r="C3" s="4">
        <v>1.0</v>
      </c>
      <c r="D3" s="3">
        <v>5321000.0</v>
      </c>
      <c r="E3" s="3" t="s">
        <v>115</v>
      </c>
      <c r="F3" s="3" t="s">
        <v>81</v>
      </c>
      <c r="G3" s="3" t="s">
        <v>113</v>
      </c>
      <c r="H3" s="3" t="s">
        <v>79</v>
      </c>
      <c r="I3" s="3" t="s">
        <v>114</v>
      </c>
    </row>
    <row r="4">
      <c r="A4" s="8">
        <v>45988.77409215277</v>
      </c>
      <c r="B4" s="3" t="s">
        <v>111</v>
      </c>
      <c r="C4" s="4">
        <v>1.0</v>
      </c>
      <c r="D4" s="3">
        <v>5321006.0</v>
      </c>
      <c r="E4" s="3" t="s">
        <v>47</v>
      </c>
      <c r="F4" s="3" t="s">
        <v>81</v>
      </c>
      <c r="G4" s="3" t="s">
        <v>13</v>
      </c>
      <c r="H4" s="3" t="s">
        <v>79</v>
      </c>
      <c r="I4" s="3" t="s">
        <v>114</v>
      </c>
    </row>
    <row r="5">
      <c r="A5" s="8">
        <v>45988.77409215277</v>
      </c>
      <c r="B5" s="3" t="s">
        <v>111</v>
      </c>
      <c r="C5" s="4">
        <v>1.0</v>
      </c>
      <c r="D5" s="3">
        <v>5546192.0</v>
      </c>
      <c r="E5" s="3" t="s">
        <v>80</v>
      </c>
      <c r="F5" s="3" t="s">
        <v>81</v>
      </c>
      <c r="G5" s="3" t="s">
        <v>116</v>
      </c>
      <c r="H5" s="3" t="s">
        <v>79</v>
      </c>
      <c r="I5" s="3" t="s">
        <v>114</v>
      </c>
    </row>
    <row r="6">
      <c r="A6" s="8">
        <v>45990.807050648145</v>
      </c>
      <c r="B6" s="3" t="s">
        <v>111</v>
      </c>
      <c r="C6" s="4">
        <v>1.0</v>
      </c>
      <c r="D6" s="3">
        <v>5651744.0</v>
      </c>
      <c r="E6" s="3" t="s">
        <v>70</v>
      </c>
      <c r="F6" s="3" t="s">
        <v>81</v>
      </c>
      <c r="G6" s="3" t="s">
        <v>13</v>
      </c>
      <c r="H6" s="3" t="s">
        <v>79</v>
      </c>
      <c r="I6" s="3" t="s">
        <v>114</v>
      </c>
    </row>
    <row r="7">
      <c r="A7" s="8">
        <v>45990.807050648145</v>
      </c>
      <c r="B7" s="3" t="s">
        <v>111</v>
      </c>
      <c r="C7" s="4">
        <v>1.0</v>
      </c>
      <c r="D7" s="3">
        <v>5086059.0</v>
      </c>
      <c r="E7" s="3" t="s">
        <v>117</v>
      </c>
      <c r="F7" s="3" t="s">
        <v>81</v>
      </c>
      <c r="G7" s="3" t="s">
        <v>118</v>
      </c>
      <c r="H7" s="3" t="s">
        <v>79</v>
      </c>
      <c r="I7" s="3" t="s">
        <v>114</v>
      </c>
    </row>
    <row r="8">
      <c r="A8" s="8">
        <v>46033.402919722226</v>
      </c>
      <c r="B8" s="3" t="s">
        <v>111</v>
      </c>
      <c r="C8" s="4">
        <v>1.0</v>
      </c>
      <c r="D8" s="3">
        <v>3628777.0</v>
      </c>
      <c r="E8" s="3" t="s">
        <v>119</v>
      </c>
      <c r="F8" s="3" t="s">
        <v>120</v>
      </c>
      <c r="G8" s="3" t="s">
        <v>121</v>
      </c>
      <c r="H8" s="3" t="s">
        <v>79</v>
      </c>
      <c r="I8" s="3" t="s">
        <v>114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105</v>
      </c>
      <c r="B1" s="12" t="s">
        <v>15</v>
      </c>
      <c r="C1" s="12" t="s">
        <v>16</v>
      </c>
      <c r="D1" s="12" t="s">
        <v>122</v>
      </c>
      <c r="E1" s="12" t="s">
        <v>123</v>
      </c>
      <c r="F1" s="12" t="s">
        <v>124</v>
      </c>
      <c r="G1" s="12" t="s">
        <v>107</v>
      </c>
      <c r="H1" s="12" t="s">
        <v>75</v>
      </c>
      <c r="I1" s="12" t="s">
        <v>125</v>
      </c>
      <c r="J1" s="12" t="s">
        <v>126</v>
      </c>
    </row>
    <row r="2">
      <c r="A2" s="11"/>
      <c r="J2" s="10"/>
    </row>
    <row r="3">
      <c r="A3" s="11"/>
      <c r="J3" s="10"/>
    </row>
    <row r="4">
      <c r="A4" s="11"/>
      <c r="J4" s="10"/>
    </row>
    <row r="5">
      <c r="A5" s="11"/>
      <c r="J5" s="10"/>
    </row>
    <row r="6">
      <c r="A6" s="11"/>
      <c r="J6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127</v>
      </c>
      <c r="B1" s="13" t="s">
        <v>15</v>
      </c>
      <c r="C1" s="13" t="s">
        <v>16</v>
      </c>
      <c r="D1" s="13" t="s">
        <v>122</v>
      </c>
      <c r="E1" s="13" t="s">
        <v>128</v>
      </c>
      <c r="F1" s="13" t="s">
        <v>106</v>
      </c>
      <c r="G1" s="13" t="s">
        <v>107</v>
      </c>
      <c r="H1" s="13" t="s">
        <v>75</v>
      </c>
    </row>
    <row r="2">
      <c r="A2" s="8">
        <v>45968.81821861111</v>
      </c>
      <c r="B2" s="3">
        <v>5388841.0</v>
      </c>
      <c r="C2" s="3" t="s">
        <v>129</v>
      </c>
      <c r="D2" s="3" t="s">
        <v>81</v>
      </c>
      <c r="E2" s="3" t="s">
        <v>13</v>
      </c>
      <c r="F2" s="3" t="s">
        <v>111</v>
      </c>
      <c r="G2" s="4">
        <v>1.0</v>
      </c>
      <c r="H2" s="3" t="s">
        <v>79</v>
      </c>
    </row>
    <row r="3">
      <c r="A3" s="8">
        <v>45969.25176755787</v>
      </c>
      <c r="B3" s="3">
        <v>5546192.0</v>
      </c>
      <c r="C3" s="3" t="s">
        <v>80</v>
      </c>
      <c r="D3" s="3" t="s">
        <v>81</v>
      </c>
      <c r="E3" s="3" t="s">
        <v>116</v>
      </c>
      <c r="F3" s="3" t="s">
        <v>111</v>
      </c>
      <c r="G3" s="4">
        <v>1.0</v>
      </c>
      <c r="H3" s="3" t="s">
        <v>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127</v>
      </c>
      <c r="B1" s="14" t="s">
        <v>124</v>
      </c>
      <c r="C1" s="14" t="s">
        <v>130</v>
      </c>
      <c r="D1" s="14" t="s">
        <v>15</v>
      </c>
      <c r="E1" s="14" t="s">
        <v>16</v>
      </c>
      <c r="F1" s="14" t="s">
        <v>17</v>
      </c>
      <c r="G1" s="14" t="s">
        <v>131</v>
      </c>
      <c r="H1" s="14" t="s">
        <v>132</v>
      </c>
      <c r="I1" s="14" t="s">
        <v>125</v>
      </c>
    </row>
    <row r="2">
      <c r="A2" s="8">
        <v>45970.72402865741</v>
      </c>
      <c r="B2" s="3" t="s">
        <v>111</v>
      </c>
      <c r="C2" s="3" t="s">
        <v>7</v>
      </c>
      <c r="D2" s="3">
        <v>5388841.0</v>
      </c>
      <c r="E2" s="3" t="s">
        <v>129</v>
      </c>
      <c r="F2" s="3" t="s">
        <v>81</v>
      </c>
      <c r="G2" s="4">
        <v>194820.12</v>
      </c>
      <c r="H2" s="4">
        <v>1.0</v>
      </c>
      <c r="I2" s="3" t="s">
        <v>133</v>
      </c>
    </row>
    <row r="3">
      <c r="A3" s="8">
        <v>45970.724029907404</v>
      </c>
      <c r="B3" s="3" t="s">
        <v>111</v>
      </c>
      <c r="C3" s="3" t="s">
        <v>7</v>
      </c>
      <c r="D3" s="3">
        <v>2644855.0</v>
      </c>
      <c r="E3" s="3" t="s">
        <v>134</v>
      </c>
      <c r="F3" s="3" t="s">
        <v>81</v>
      </c>
      <c r="G3" s="4">
        <v>194820.12</v>
      </c>
      <c r="H3" s="4">
        <v>2.0</v>
      </c>
      <c r="I3" s="3" t="s">
        <v>133</v>
      </c>
    </row>
    <row r="4">
      <c r="A4" s="8">
        <v>45970.724032025464</v>
      </c>
      <c r="B4" s="3" t="s">
        <v>111</v>
      </c>
      <c r="C4" s="3" t="s">
        <v>7</v>
      </c>
      <c r="D4" s="3">
        <v>5360362.0</v>
      </c>
      <c r="E4" s="3" t="s">
        <v>135</v>
      </c>
      <c r="F4" s="3" t="s">
        <v>81</v>
      </c>
      <c r="G4" s="4">
        <v>194820.12</v>
      </c>
      <c r="H4" s="4">
        <v>3.0</v>
      </c>
      <c r="I4" s="3" t="s">
        <v>133</v>
      </c>
    </row>
    <row r="5">
      <c r="A5" s="8">
        <v>45970.72403409722</v>
      </c>
      <c r="B5" s="3" t="s">
        <v>111</v>
      </c>
      <c r="C5" s="3" t="s">
        <v>7</v>
      </c>
      <c r="D5" s="3">
        <v>2816053.0</v>
      </c>
      <c r="E5" s="3" t="s">
        <v>30</v>
      </c>
      <c r="F5" s="3" t="s">
        <v>13</v>
      </c>
      <c r="G5" s="4">
        <v>146115.09</v>
      </c>
      <c r="H5" s="4">
        <v>4.0</v>
      </c>
      <c r="I5" s="3" t="s">
        <v>133</v>
      </c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136</v>
      </c>
    </row>
    <row r="2" ht="15.75" customHeight="1">
      <c r="A2" s="1" t="s">
        <v>137</v>
      </c>
    </row>
    <row r="3" ht="15.75" customHeight="1">
      <c r="A3" s="2">
        <v>45925.47059027778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10</v>
      </c>
      <c r="G3" s="1" t="s">
        <v>6</v>
      </c>
      <c r="I3" s="1">
        <v>30.0</v>
      </c>
      <c r="J3" s="1">
        <v>30.0</v>
      </c>
      <c r="K3" s="1" t="s">
        <v>138</v>
      </c>
      <c r="L3" s="1" t="s">
        <v>8</v>
      </c>
      <c r="M3" s="1">
        <v>100.0</v>
      </c>
      <c r="N3" s="1">
        <v>100.0</v>
      </c>
    </row>
    <row r="4" ht="15.75" customHeight="1">
      <c r="A4" s="2">
        <v>45925.479733796295</v>
      </c>
      <c r="B4" s="1" t="s">
        <v>2</v>
      </c>
      <c r="C4" s="1" t="s">
        <v>3</v>
      </c>
      <c r="D4" s="1" t="s">
        <v>4</v>
      </c>
      <c r="E4" s="1" t="s">
        <v>5</v>
      </c>
      <c r="G4" s="1" t="s">
        <v>6</v>
      </c>
      <c r="I4" s="1">
        <v>5.0</v>
      </c>
      <c r="J4" s="1">
        <v>5.0</v>
      </c>
      <c r="K4" s="1" t="s">
        <v>7</v>
      </c>
      <c r="L4" s="1" t="s">
        <v>8</v>
      </c>
      <c r="M4" s="1">
        <v>34.0</v>
      </c>
      <c r="N4" s="1">
        <v>34.0</v>
      </c>
    </row>
    <row r="5" ht="15.75" customHeight="1">
      <c r="A5" s="2">
        <v>45925.49313657408</v>
      </c>
      <c r="B5" s="1" t="s">
        <v>2</v>
      </c>
      <c r="C5" s="1" t="s">
        <v>3</v>
      </c>
      <c r="D5" s="1" t="s">
        <v>4</v>
      </c>
      <c r="E5" s="1" t="s">
        <v>5</v>
      </c>
      <c r="G5" s="1" t="s">
        <v>6</v>
      </c>
      <c r="I5" s="1">
        <v>5.0</v>
      </c>
      <c r="J5" s="1">
        <v>5.0</v>
      </c>
      <c r="K5" s="1" t="s">
        <v>7</v>
      </c>
      <c r="L5" s="1" t="s">
        <v>8</v>
      </c>
      <c r="M5" s="1">
        <v>78.0</v>
      </c>
      <c r="N5" s="1">
        <v>78.0</v>
      </c>
    </row>
    <row r="6" ht="15.75" customHeight="1">
      <c r="A6" s="2">
        <v>45925.49462962963</v>
      </c>
      <c r="B6" s="1" t="s">
        <v>2</v>
      </c>
      <c r="C6" s="1" t="s">
        <v>3</v>
      </c>
      <c r="D6" s="1" t="s">
        <v>4</v>
      </c>
      <c r="E6" s="1" t="s">
        <v>5</v>
      </c>
      <c r="G6" s="1" t="s">
        <v>6</v>
      </c>
      <c r="I6" s="1">
        <v>30.0</v>
      </c>
      <c r="J6" s="1">
        <v>30.0</v>
      </c>
      <c r="K6" s="1" t="s">
        <v>7</v>
      </c>
      <c r="L6" s="1" t="s">
        <v>8</v>
      </c>
      <c r="M6" s="1">
        <v>78.0</v>
      </c>
      <c r="N6" s="1">
        <v>78.0</v>
      </c>
    </row>
    <row r="7" ht="15.75" customHeight="1">
      <c r="A7" s="2">
        <v>45925.49469907407</v>
      </c>
      <c r="B7" s="1" t="s">
        <v>2</v>
      </c>
      <c r="C7" s="1" t="s">
        <v>3</v>
      </c>
      <c r="D7" s="1" t="s">
        <v>4</v>
      </c>
      <c r="E7" s="1" t="s">
        <v>5</v>
      </c>
      <c r="G7" s="1" t="s">
        <v>6</v>
      </c>
      <c r="I7" s="1">
        <v>30.0</v>
      </c>
      <c r="J7" s="1">
        <v>30.0</v>
      </c>
      <c r="K7" s="1" t="s">
        <v>7</v>
      </c>
      <c r="L7" s="1" t="s">
        <v>8</v>
      </c>
      <c r="M7" s="1">
        <v>78.0</v>
      </c>
      <c r="N7" s="1">
        <v>78.0</v>
      </c>
    </row>
    <row r="8" ht="15.75" customHeight="1">
      <c r="A8" s="2">
        <v>45925.49475694444</v>
      </c>
      <c r="B8" s="1" t="s">
        <v>2</v>
      </c>
      <c r="C8" s="1" t="s">
        <v>3</v>
      </c>
      <c r="D8" s="1" t="s">
        <v>4</v>
      </c>
      <c r="E8" s="1" t="s">
        <v>5</v>
      </c>
      <c r="G8" s="1" t="s">
        <v>6</v>
      </c>
      <c r="I8" s="1">
        <v>30.0</v>
      </c>
      <c r="J8" s="1">
        <v>30.0</v>
      </c>
      <c r="K8" s="1" t="s">
        <v>7</v>
      </c>
      <c r="L8" s="1" t="s">
        <v>8</v>
      </c>
      <c r="M8" s="1">
        <v>50.0</v>
      </c>
      <c r="N8" s="1">
        <v>50.0</v>
      </c>
    </row>
    <row r="9" ht="15.75" customHeight="1">
      <c r="A9" s="2">
        <v>45925.49668981481</v>
      </c>
      <c r="B9" s="1" t="s">
        <v>2</v>
      </c>
      <c r="C9" s="1" t="s">
        <v>3</v>
      </c>
      <c r="D9" s="1" t="s">
        <v>4</v>
      </c>
      <c r="E9" s="1" t="s">
        <v>5</v>
      </c>
      <c r="G9" s="1" t="s">
        <v>6</v>
      </c>
      <c r="I9" s="1">
        <v>30.0</v>
      </c>
      <c r="J9" s="1">
        <v>30.0</v>
      </c>
      <c r="K9" s="1" t="s">
        <v>139</v>
      </c>
      <c r="L9" s="1" t="s">
        <v>8</v>
      </c>
      <c r="M9" s="1">
        <v>30.0</v>
      </c>
      <c r="N9" s="1">
        <v>30.0</v>
      </c>
    </row>
    <row r="10" ht="15.75" customHeight="1">
      <c r="A10" s="2">
        <v>45925.64199074074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13</v>
      </c>
      <c r="G10" s="1" t="s">
        <v>6</v>
      </c>
      <c r="I10" s="1">
        <v>30.0</v>
      </c>
      <c r="J10" s="1">
        <v>30.0</v>
      </c>
      <c r="K10" s="1" t="s">
        <v>138</v>
      </c>
      <c r="L10" s="1" t="s">
        <v>8</v>
      </c>
      <c r="M10" s="1">
        <v>20.0</v>
      </c>
      <c r="N10" s="1">
        <v>20.0</v>
      </c>
    </row>
    <row r="11" ht="15.75" customHeight="1">
      <c r="A11" s="2">
        <v>45925.64538194444</v>
      </c>
      <c r="B11" s="1" t="s">
        <v>2</v>
      </c>
      <c r="C11" s="1" t="s">
        <v>3</v>
      </c>
      <c r="D11" s="1" t="s">
        <v>4</v>
      </c>
      <c r="E11" s="1" t="s">
        <v>5</v>
      </c>
      <c r="G11" s="1" t="s">
        <v>6</v>
      </c>
      <c r="I11" s="1">
        <v>30.0</v>
      </c>
      <c r="J11" s="1">
        <v>30.0</v>
      </c>
      <c r="K11" s="1" t="s">
        <v>7</v>
      </c>
      <c r="L11" s="1" t="s">
        <v>8</v>
      </c>
      <c r="M11" s="1">
        <v>20.0</v>
      </c>
      <c r="N11" s="1">
        <v>20.0</v>
      </c>
    </row>
    <row r="12" ht="15.75" customHeight="1">
      <c r="A12" s="2">
        <v>45925.645578703705</v>
      </c>
      <c r="B12" s="1" t="s">
        <v>2</v>
      </c>
      <c r="C12" s="1" t="s">
        <v>3</v>
      </c>
      <c r="D12" s="1" t="s">
        <v>4</v>
      </c>
      <c r="E12" s="1" t="s">
        <v>5</v>
      </c>
      <c r="G12" s="1" t="s">
        <v>6</v>
      </c>
      <c r="I12" s="1">
        <v>30.0</v>
      </c>
      <c r="J12" s="1">
        <v>30.0</v>
      </c>
      <c r="K12" s="1" t="s">
        <v>7</v>
      </c>
      <c r="L12" s="1" t="s">
        <v>8</v>
      </c>
      <c r="M12" s="1">
        <v>20.0</v>
      </c>
      <c r="N12" s="1">
        <v>20.0</v>
      </c>
    </row>
    <row r="13" ht="15.75" customHeight="1">
      <c r="A13" s="2">
        <v>45925.64686342593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13</v>
      </c>
      <c r="G13" s="1" t="s">
        <v>6</v>
      </c>
      <c r="I13" s="1">
        <v>30.0</v>
      </c>
      <c r="J13" s="1">
        <v>30.0</v>
      </c>
      <c r="K13" s="1" t="s">
        <v>7</v>
      </c>
      <c r="L13" s="1" t="s">
        <v>8</v>
      </c>
      <c r="M13" s="1">
        <v>20.0</v>
      </c>
      <c r="N13" s="1">
        <v>20.0</v>
      </c>
    </row>
    <row r="14" ht="15.75" customHeight="1">
      <c r="A14" s="2">
        <v>45925.654699074075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13</v>
      </c>
      <c r="G14" s="1" t="s">
        <v>6</v>
      </c>
      <c r="I14" s="1">
        <v>30.0</v>
      </c>
      <c r="J14" s="1">
        <v>30.0</v>
      </c>
      <c r="K14" s="1" t="s">
        <v>7</v>
      </c>
      <c r="L14" s="1" t="s">
        <v>8</v>
      </c>
      <c r="M14" s="1">
        <v>20.0</v>
      </c>
      <c r="N14" s="1">
        <v>20.0</v>
      </c>
    </row>
    <row r="15" ht="15.75" customHeight="1">
      <c r="A15" s="2">
        <v>45925.65528935185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13</v>
      </c>
      <c r="G15" s="1" t="s">
        <v>6</v>
      </c>
      <c r="I15" s="1">
        <v>30.0</v>
      </c>
      <c r="J15" s="1">
        <v>30.0</v>
      </c>
      <c r="K15" s="1" t="s">
        <v>7</v>
      </c>
      <c r="L15" s="1" t="s">
        <v>8</v>
      </c>
      <c r="M15" s="1">
        <v>20.0</v>
      </c>
      <c r="N15" s="1">
        <v>20.0</v>
      </c>
    </row>
    <row r="16" ht="15.75" customHeight="1">
      <c r="A16" s="2">
        <v>45925.65586805555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13</v>
      </c>
      <c r="G16" s="1" t="s">
        <v>6</v>
      </c>
      <c r="I16" s="1">
        <v>5.0</v>
      </c>
      <c r="J16" s="1">
        <v>5.0</v>
      </c>
      <c r="K16" s="1" t="s">
        <v>7</v>
      </c>
      <c r="L16" s="1" t="s">
        <v>8</v>
      </c>
      <c r="M16" s="1">
        <v>23.0</v>
      </c>
      <c r="N16" s="1">
        <v>23.0</v>
      </c>
    </row>
    <row r="17" ht="15.75" customHeight="1">
      <c r="A17" s="2">
        <v>45925.65721064815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13</v>
      </c>
      <c r="G17" s="1" t="s">
        <v>6</v>
      </c>
      <c r="I17" s="1">
        <v>30.0</v>
      </c>
      <c r="J17" s="1">
        <v>30.0</v>
      </c>
      <c r="K17" s="1" t="s">
        <v>7</v>
      </c>
      <c r="L17" s="1" t="s">
        <v>8</v>
      </c>
      <c r="M17" s="1">
        <v>23.0</v>
      </c>
      <c r="N17" s="1">
        <v>23.0</v>
      </c>
    </row>
    <row r="18" ht="15.75" customHeight="1">
      <c r="A18" s="2">
        <v>45925.65744212963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13</v>
      </c>
      <c r="G18" s="1" t="s">
        <v>6</v>
      </c>
      <c r="I18" s="1">
        <v>30.0</v>
      </c>
      <c r="J18" s="1">
        <v>30.0</v>
      </c>
      <c r="K18" s="1" t="s">
        <v>7</v>
      </c>
      <c r="L18" s="1" t="s">
        <v>8</v>
      </c>
      <c r="M18" s="1">
        <v>20.0</v>
      </c>
      <c r="N18" s="1">
        <v>20.0</v>
      </c>
    </row>
    <row r="19" ht="15.75" customHeight="1">
      <c r="A19" s="2">
        <v>45925.661087962966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13</v>
      </c>
      <c r="G19" s="1" t="s">
        <v>6</v>
      </c>
      <c r="I19" s="1">
        <v>30.0</v>
      </c>
      <c r="J19" s="1">
        <v>30.0</v>
      </c>
      <c r="K19" s="1" t="s">
        <v>7</v>
      </c>
      <c r="L19" s="1" t="s">
        <v>8</v>
      </c>
      <c r="M19" s="1">
        <v>20.0</v>
      </c>
      <c r="N19" s="1">
        <v>20.0</v>
      </c>
    </row>
    <row r="20" ht="15.75" customHeight="1">
      <c r="A20" s="2">
        <v>45925.662314814814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13</v>
      </c>
      <c r="G20" s="1" t="s">
        <v>140</v>
      </c>
      <c r="I20" s="1">
        <v>30.0</v>
      </c>
      <c r="J20" s="1">
        <v>30.0</v>
      </c>
      <c r="K20" s="1" t="s">
        <v>141</v>
      </c>
      <c r="L20" s="1" t="s">
        <v>8</v>
      </c>
      <c r="M20" s="1">
        <v>34.0</v>
      </c>
      <c r="N20" s="1">
        <v>34.0</v>
      </c>
    </row>
    <row r="21" ht="15.75" customHeight="1">
      <c r="A21" s="2">
        <v>45925.66672453703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13</v>
      </c>
      <c r="G21" s="1" t="s">
        <v>6</v>
      </c>
      <c r="I21" s="1">
        <v>30.0</v>
      </c>
      <c r="J21" s="1">
        <v>30.0</v>
      </c>
      <c r="K21" s="1" t="s">
        <v>7</v>
      </c>
      <c r="L21" s="1" t="s">
        <v>8</v>
      </c>
      <c r="M21" s="1">
        <v>20.0</v>
      </c>
      <c r="N21" s="1">
        <v>20.0</v>
      </c>
    </row>
    <row r="22" ht="15.75" customHeight="1">
      <c r="A22" s="2">
        <v>45925.66884259259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10</v>
      </c>
      <c r="G22" s="1" t="s">
        <v>6</v>
      </c>
      <c r="I22" s="1">
        <v>30.0</v>
      </c>
      <c r="J22" s="1">
        <v>30.0</v>
      </c>
      <c r="K22" s="1" t="s">
        <v>7</v>
      </c>
      <c r="L22" s="1" t="s">
        <v>8</v>
      </c>
      <c r="M22" s="1">
        <v>20.0</v>
      </c>
      <c r="N22" s="1">
        <v>20.0</v>
      </c>
    </row>
    <row r="23" ht="15.75" customHeight="1">
      <c r="A23" s="2">
        <v>45925.671111111114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13</v>
      </c>
      <c r="G23" s="1" t="s">
        <v>6</v>
      </c>
      <c r="I23" s="1">
        <v>30.0</v>
      </c>
      <c r="J23" s="1">
        <v>30.0</v>
      </c>
      <c r="K23" s="1" t="s">
        <v>7</v>
      </c>
      <c r="L23" s="1" t="s">
        <v>8</v>
      </c>
      <c r="M23" s="1">
        <v>20.0</v>
      </c>
      <c r="N23" s="1">
        <v>20.0</v>
      </c>
    </row>
    <row r="24" ht="15.75" customHeight="1">
      <c r="A24" s="2">
        <v>45925.678877314815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13</v>
      </c>
      <c r="G24" s="1" t="s">
        <v>6</v>
      </c>
      <c r="I24" s="1">
        <v>30.0</v>
      </c>
      <c r="J24" s="1">
        <v>30.0</v>
      </c>
      <c r="K24" s="1" t="s">
        <v>7</v>
      </c>
      <c r="L24" s="1" t="s">
        <v>8</v>
      </c>
      <c r="M24" s="1">
        <v>30.0</v>
      </c>
      <c r="N24" s="1">
        <v>30.0</v>
      </c>
    </row>
    <row r="25" ht="15.75" customHeight="1">
      <c r="A25" s="2">
        <v>45925.68070601852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13</v>
      </c>
      <c r="G25" s="1" t="s">
        <v>6</v>
      </c>
      <c r="I25" s="1">
        <v>30.0</v>
      </c>
      <c r="J25" s="1">
        <v>30.0</v>
      </c>
      <c r="K25" s="1" t="s">
        <v>7</v>
      </c>
      <c r="L25" s="1" t="s">
        <v>8</v>
      </c>
      <c r="M25" s="1">
        <v>20.0</v>
      </c>
      <c r="N25" s="1">
        <v>20.0</v>
      </c>
    </row>
    <row r="26" ht="15.75" customHeight="1">
      <c r="A26" s="2">
        <v>45925.70148148148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10</v>
      </c>
      <c r="G26" s="1" t="s">
        <v>6</v>
      </c>
      <c r="I26" s="1">
        <v>30.0</v>
      </c>
      <c r="J26" s="1">
        <v>30.0</v>
      </c>
      <c r="K26" s="1" t="s">
        <v>7</v>
      </c>
      <c r="L26" s="1" t="s">
        <v>8</v>
      </c>
      <c r="M26" s="1">
        <v>30.0</v>
      </c>
      <c r="N26" s="1">
        <v>30.0</v>
      </c>
    </row>
    <row r="27" ht="15.75" customHeight="1">
      <c r="A27" s="2">
        <v>45925.70505787037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13</v>
      </c>
      <c r="G27" s="1" t="s">
        <v>6</v>
      </c>
      <c r="I27" s="1">
        <v>30.0</v>
      </c>
      <c r="J27" s="1">
        <v>30.0</v>
      </c>
      <c r="K27" s="1" t="s">
        <v>7</v>
      </c>
      <c r="L27" s="1" t="s">
        <v>8</v>
      </c>
      <c r="M27" s="1">
        <v>20.0</v>
      </c>
      <c r="N27" s="1">
        <v>20.0</v>
      </c>
    </row>
    <row r="28" ht="15.75" customHeight="1">
      <c r="A28" s="2">
        <v>45926.38762731481</v>
      </c>
      <c r="B28" s="1" t="s">
        <v>2</v>
      </c>
      <c r="C28" s="1" t="s">
        <v>3</v>
      </c>
      <c r="D28" s="1" t="s">
        <v>4</v>
      </c>
      <c r="E28" s="1" t="s">
        <v>5</v>
      </c>
      <c r="F28" s="1" t="s">
        <v>13</v>
      </c>
      <c r="G28" s="1" t="s">
        <v>6</v>
      </c>
      <c r="I28" s="1">
        <v>30.0</v>
      </c>
      <c r="J28" s="1">
        <v>30.0</v>
      </c>
      <c r="K28" s="1" t="s">
        <v>7</v>
      </c>
      <c r="L28" s="1" t="s">
        <v>8</v>
      </c>
      <c r="M28" s="1">
        <v>20.0</v>
      </c>
      <c r="N28" s="1">
        <v>20.0</v>
      </c>
    </row>
    <row r="29" ht="15.75" customHeight="1">
      <c r="A29" s="2">
        <v>45926.39826388889</v>
      </c>
      <c r="B29" s="1" t="s">
        <v>2</v>
      </c>
      <c r="C29" s="1" t="s">
        <v>3</v>
      </c>
      <c r="D29" s="1" t="s">
        <v>4</v>
      </c>
      <c r="E29" s="1" t="s">
        <v>5</v>
      </c>
      <c r="G29" s="1" t="s">
        <v>6</v>
      </c>
      <c r="I29" s="1">
        <v>30.0</v>
      </c>
      <c r="J29" s="1">
        <v>30.0</v>
      </c>
      <c r="K29" s="1" t="s">
        <v>7</v>
      </c>
      <c r="L29" s="1" t="s">
        <v>8</v>
      </c>
      <c r="M29" s="1">
        <v>20.0</v>
      </c>
      <c r="N29" s="1">
        <v>20.0</v>
      </c>
    </row>
    <row r="30" ht="15.75" customHeight="1">
      <c r="A30" s="2">
        <v>45926.445289351854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13</v>
      </c>
      <c r="G30" s="1" t="s">
        <v>6</v>
      </c>
      <c r="I30" s="1">
        <v>30.0</v>
      </c>
      <c r="J30" s="1">
        <v>30.0</v>
      </c>
      <c r="K30" s="1" t="s">
        <v>7</v>
      </c>
      <c r="L30" s="1" t="s">
        <v>8</v>
      </c>
      <c r="M30" s="1">
        <v>10.0</v>
      </c>
      <c r="N30" s="1">
        <v>10.0</v>
      </c>
    </row>
    <row r="31" ht="15.75" customHeight="1">
      <c r="A31" s="2">
        <v>45926.446909722225</v>
      </c>
      <c r="B31" s="1" t="s">
        <v>2</v>
      </c>
      <c r="C31" s="1" t="s">
        <v>3</v>
      </c>
      <c r="D31" s="1" t="s">
        <v>4</v>
      </c>
      <c r="E31" s="1" t="s">
        <v>5</v>
      </c>
      <c r="F31" s="1" t="s">
        <v>13</v>
      </c>
      <c r="G31" s="1" t="s">
        <v>6</v>
      </c>
      <c r="I31" s="1">
        <v>30.0</v>
      </c>
      <c r="J31" s="1">
        <v>30.0</v>
      </c>
      <c r="K31" s="1" t="s">
        <v>7</v>
      </c>
      <c r="L31" s="1" t="s">
        <v>8</v>
      </c>
      <c r="M31" s="1">
        <v>10.0</v>
      </c>
      <c r="N31" s="1">
        <v>10.0</v>
      </c>
    </row>
    <row r="32" ht="15.75" customHeight="1">
      <c r="A32" s="2">
        <v>45926.47755787037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13</v>
      </c>
      <c r="G32" s="1" t="s">
        <v>6</v>
      </c>
      <c r="I32" s="1">
        <v>30.0</v>
      </c>
      <c r="J32" s="1">
        <v>30.0</v>
      </c>
      <c r="K32" s="1" t="s">
        <v>7</v>
      </c>
      <c r="L32" s="1" t="s">
        <v>8</v>
      </c>
      <c r="M32" s="1">
        <v>20.0</v>
      </c>
      <c r="N32" s="1">
        <v>20.0</v>
      </c>
    </row>
    <row r="33" ht="15.75" customHeight="1">
      <c r="A33" s="2">
        <v>45926.544328703705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13</v>
      </c>
      <c r="G33" s="1" t="s">
        <v>6</v>
      </c>
      <c r="I33" s="1">
        <v>30.0</v>
      </c>
      <c r="J33" s="1">
        <v>30.0</v>
      </c>
      <c r="K33" s="1" t="s">
        <v>7</v>
      </c>
      <c r="L33" s="1" t="s">
        <v>8</v>
      </c>
      <c r="M33" s="1">
        <v>20.0</v>
      </c>
      <c r="N33" s="1">
        <v>20.0</v>
      </c>
    </row>
    <row r="34" ht="15.75" customHeight="1">
      <c r="A34" s="2">
        <v>45926.570972222224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13</v>
      </c>
      <c r="G34" s="1" t="s">
        <v>6</v>
      </c>
      <c r="I34" s="1">
        <v>30.0</v>
      </c>
      <c r="J34" s="1">
        <v>30.0</v>
      </c>
      <c r="K34" s="1" t="s">
        <v>7</v>
      </c>
      <c r="L34" s="1" t="s">
        <v>8</v>
      </c>
      <c r="M34" s="1">
        <v>23.0</v>
      </c>
      <c r="N34" s="1">
        <v>23.0</v>
      </c>
    </row>
    <row r="35" ht="15.75" customHeight="1">
      <c r="A35" s="2">
        <v>45926.65335648148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13</v>
      </c>
      <c r="G35" s="1" t="s">
        <v>6</v>
      </c>
      <c r="I35" s="1">
        <v>30.0</v>
      </c>
      <c r="J35" s="1">
        <v>30.0</v>
      </c>
      <c r="K35" s="1" t="s">
        <v>7</v>
      </c>
      <c r="L35" s="1" t="s">
        <v>8</v>
      </c>
      <c r="M35" s="1">
        <v>10.0</v>
      </c>
      <c r="N35" s="1">
        <v>10.0</v>
      </c>
    </row>
    <row r="36" ht="15.75" customHeight="1">
      <c r="A36" s="2">
        <v>45926.65335648148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13</v>
      </c>
      <c r="G36" s="1" t="s">
        <v>6</v>
      </c>
      <c r="I36" s="1">
        <v>30.0</v>
      </c>
      <c r="J36" s="1">
        <v>30.0</v>
      </c>
      <c r="K36" s="1" t="s">
        <v>142</v>
      </c>
      <c r="L36" s="1" t="s">
        <v>8</v>
      </c>
      <c r="M36" s="1">
        <v>10.0</v>
      </c>
      <c r="N36" s="1">
        <v>10.0</v>
      </c>
    </row>
    <row r="37" ht="15.75" customHeight="1">
      <c r="A37" s="2">
        <v>45926.664560185185</v>
      </c>
      <c r="B37" s="1" t="s">
        <v>2</v>
      </c>
      <c r="C37" s="1" t="s">
        <v>3</v>
      </c>
      <c r="D37" s="1" t="s">
        <v>4</v>
      </c>
      <c r="E37" s="1" t="s">
        <v>5</v>
      </c>
      <c r="F37" s="1" t="s">
        <v>9</v>
      </c>
      <c r="G37" s="1" t="s">
        <v>6</v>
      </c>
      <c r="I37" s="1">
        <v>30.0</v>
      </c>
      <c r="J37" s="1">
        <v>30.0</v>
      </c>
      <c r="K37" s="1" t="s">
        <v>7</v>
      </c>
      <c r="L37" s="1" t="s">
        <v>8</v>
      </c>
      <c r="M37" s="1">
        <v>34.0</v>
      </c>
      <c r="N37" s="1">
        <v>34.0</v>
      </c>
    </row>
    <row r="38" ht="15.75" customHeight="1">
      <c r="A38" s="2">
        <v>45926.668541666666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13</v>
      </c>
      <c r="G38" s="1" t="s">
        <v>6</v>
      </c>
      <c r="I38" s="1">
        <v>30.0</v>
      </c>
      <c r="J38" s="1">
        <v>30.0</v>
      </c>
      <c r="K38" s="1" t="s">
        <v>7</v>
      </c>
      <c r="L38" s="1" t="s">
        <v>8</v>
      </c>
      <c r="M38" s="1">
        <v>34.0</v>
      </c>
      <c r="N38" s="1">
        <v>34.0</v>
      </c>
    </row>
    <row r="39" ht="15.75" customHeight="1">
      <c r="A39" s="2">
        <v>45926.669803240744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143</v>
      </c>
      <c r="G39" s="1" t="s">
        <v>6</v>
      </c>
      <c r="I39" s="1">
        <v>30.0</v>
      </c>
      <c r="J39" s="1">
        <v>30.0</v>
      </c>
      <c r="K39" s="1" t="s">
        <v>7</v>
      </c>
      <c r="L39" s="1" t="s">
        <v>8</v>
      </c>
      <c r="M39" s="1">
        <v>23.0</v>
      </c>
      <c r="N39" s="1">
        <v>23.0</v>
      </c>
    </row>
    <row r="40" ht="15.75" customHeight="1">
      <c r="A40" s="2">
        <v>45926.670798611114</v>
      </c>
      <c r="B40" s="1" t="s">
        <v>2</v>
      </c>
      <c r="C40" s="1" t="s">
        <v>3</v>
      </c>
      <c r="D40" s="1" t="s">
        <v>4</v>
      </c>
      <c r="E40" s="1" t="s">
        <v>5</v>
      </c>
      <c r="F40" s="1" t="s">
        <v>143</v>
      </c>
      <c r="G40" s="1" t="s">
        <v>6</v>
      </c>
      <c r="I40" s="1">
        <v>30.0</v>
      </c>
      <c r="J40" s="1">
        <v>30.0</v>
      </c>
      <c r="K40" s="1" t="s">
        <v>7</v>
      </c>
      <c r="L40" s="1" t="s">
        <v>8</v>
      </c>
      <c r="M40" s="1">
        <v>23.0</v>
      </c>
      <c r="N40" s="1">
        <v>23.0</v>
      </c>
    </row>
    <row r="41" ht="15.75" customHeight="1">
      <c r="A41" s="2">
        <v>45926.675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13</v>
      </c>
      <c r="G41" s="1" t="s">
        <v>6</v>
      </c>
      <c r="I41" s="1">
        <v>30.0</v>
      </c>
      <c r="J41" s="1">
        <v>30.0</v>
      </c>
      <c r="K41" s="1" t="s">
        <v>7</v>
      </c>
      <c r="L41" s="1" t="s">
        <v>8</v>
      </c>
      <c r="M41" s="1">
        <v>3.0</v>
      </c>
      <c r="N41" s="1">
        <v>3.0</v>
      </c>
    </row>
    <row r="42" ht="15.75" customHeight="1">
      <c r="A42" s="2">
        <v>45926.6784375</v>
      </c>
      <c r="B42" s="1" t="s">
        <v>2</v>
      </c>
      <c r="C42" s="1" t="s">
        <v>3</v>
      </c>
      <c r="D42" s="1" t="s">
        <v>4</v>
      </c>
      <c r="E42" s="1" t="s">
        <v>5</v>
      </c>
      <c r="F42" s="1" t="s">
        <v>13</v>
      </c>
      <c r="G42" s="1" t="s">
        <v>6</v>
      </c>
      <c r="I42" s="1">
        <v>5.0</v>
      </c>
      <c r="J42" s="1">
        <v>5.0</v>
      </c>
      <c r="K42" s="1" t="s">
        <v>7</v>
      </c>
      <c r="L42" s="1" t="s">
        <v>8</v>
      </c>
      <c r="M42" s="1">
        <v>34.0</v>
      </c>
      <c r="N42" s="1">
        <v>34.0</v>
      </c>
    </row>
    <row r="43" ht="15.75" customHeight="1">
      <c r="A43" s="2">
        <v>45926.68090277778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13</v>
      </c>
      <c r="G43" s="1" t="s">
        <v>6</v>
      </c>
      <c r="I43" s="1">
        <v>30.0</v>
      </c>
      <c r="J43" s="1">
        <v>30.0</v>
      </c>
      <c r="K43" s="1" t="s">
        <v>7</v>
      </c>
      <c r="L43" s="1" t="s">
        <v>8</v>
      </c>
      <c r="M43" s="1">
        <v>34.0</v>
      </c>
      <c r="N43" s="1">
        <v>34.0</v>
      </c>
    </row>
    <row r="44" ht="15.75" customHeight="1">
      <c r="A44" s="2">
        <v>45926.68355324074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13</v>
      </c>
      <c r="G44" s="1" t="s">
        <v>6</v>
      </c>
      <c r="I44" s="1">
        <v>30.0</v>
      </c>
      <c r="J44" s="1">
        <v>30.0</v>
      </c>
      <c r="K44" s="1" t="s">
        <v>7</v>
      </c>
      <c r="L44" s="1" t="s">
        <v>8</v>
      </c>
      <c r="M44" s="1">
        <v>12.0</v>
      </c>
      <c r="N44" s="1">
        <v>12.0</v>
      </c>
    </row>
    <row r="45" ht="15.75" customHeight="1">
      <c r="A45" s="2">
        <v>45926.68565972222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13</v>
      </c>
      <c r="G45" s="1" t="s">
        <v>6</v>
      </c>
      <c r="I45" s="1">
        <v>30.0</v>
      </c>
      <c r="J45" s="1">
        <v>30.0</v>
      </c>
      <c r="K45" s="1" t="s">
        <v>7</v>
      </c>
      <c r="L45" s="1" t="s">
        <v>8</v>
      </c>
      <c r="M45" s="1">
        <v>34.0</v>
      </c>
      <c r="N45" s="1">
        <v>34.0</v>
      </c>
    </row>
    <row r="46" ht="15.75" customHeight="1">
      <c r="A46" s="2">
        <v>45929.31351851852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13</v>
      </c>
      <c r="G46" s="1" t="s">
        <v>6</v>
      </c>
      <c r="I46" s="1">
        <v>30.0</v>
      </c>
      <c r="J46" s="1">
        <v>30.0</v>
      </c>
      <c r="K46" s="1" t="s">
        <v>7</v>
      </c>
      <c r="L46" s="1" t="s">
        <v>8</v>
      </c>
      <c r="M46" s="1">
        <v>20.0</v>
      </c>
      <c r="N46" s="1">
        <v>20.0</v>
      </c>
    </row>
    <row r="47" ht="15.75" customHeight="1">
      <c r="A47" s="2">
        <v>45929.34585648148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13</v>
      </c>
      <c r="G47" s="1" t="s">
        <v>6</v>
      </c>
      <c r="I47" s="1">
        <v>30.0</v>
      </c>
      <c r="J47" s="1">
        <v>30.0</v>
      </c>
      <c r="K47" s="1" t="s">
        <v>7</v>
      </c>
      <c r="L47" s="1" t="s">
        <v>8</v>
      </c>
      <c r="M47" s="1">
        <v>34.0</v>
      </c>
      <c r="N47" s="1">
        <v>34.0</v>
      </c>
    </row>
    <row r="48" ht="15.75" customHeight="1">
      <c r="A48" s="2">
        <v>45929.361122685186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13</v>
      </c>
      <c r="G48" s="1" t="s">
        <v>6</v>
      </c>
      <c r="I48" s="1">
        <v>30.0</v>
      </c>
      <c r="J48" s="1">
        <v>30.0</v>
      </c>
      <c r="K48" s="1" t="s">
        <v>7</v>
      </c>
      <c r="L48" s="1" t="s">
        <v>8</v>
      </c>
      <c r="M48" s="1">
        <v>10.0</v>
      </c>
      <c r="N48" s="1">
        <v>10.0</v>
      </c>
    </row>
    <row r="49" ht="15.75" customHeight="1">
      <c r="A49" s="2">
        <v>45929.493055555555</v>
      </c>
      <c r="B49" s="1" t="s">
        <v>2</v>
      </c>
      <c r="C49" s="1" t="s">
        <v>3</v>
      </c>
      <c r="D49" s="1" t="s">
        <v>4</v>
      </c>
      <c r="E49" s="1" t="s">
        <v>5</v>
      </c>
      <c r="F49" s="1" t="s">
        <v>13</v>
      </c>
      <c r="G49" s="1" t="s">
        <v>6</v>
      </c>
      <c r="I49" s="1">
        <v>30.0</v>
      </c>
      <c r="J49" s="1">
        <v>30.0</v>
      </c>
      <c r="K49" s="1" t="s">
        <v>7</v>
      </c>
      <c r="L49" s="1" t="s">
        <v>8</v>
      </c>
      <c r="M49" s="1">
        <v>10.0</v>
      </c>
      <c r="N49" s="1">
        <v>10.0</v>
      </c>
    </row>
    <row r="50" ht="15.75" customHeight="1">
      <c r="A50" s="2">
        <v>45929.50109953704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13</v>
      </c>
      <c r="G50" s="1" t="s">
        <v>6</v>
      </c>
      <c r="I50" s="1">
        <v>30.0</v>
      </c>
      <c r="J50" s="1">
        <v>30.0</v>
      </c>
      <c r="K50" s="1" t="s">
        <v>7</v>
      </c>
      <c r="L50" s="1" t="s">
        <v>8</v>
      </c>
      <c r="M50" s="1">
        <v>30.0</v>
      </c>
      <c r="N50" s="1">
        <v>30.0</v>
      </c>
    </row>
    <row r="51" ht="15.75" customHeight="1">
      <c r="A51" s="2">
        <v>45929.51731481482</v>
      </c>
      <c r="B51" s="1" t="s">
        <v>2</v>
      </c>
      <c r="C51" s="1" t="s">
        <v>3</v>
      </c>
      <c r="D51" s="1" t="s">
        <v>4</v>
      </c>
      <c r="E51" s="1" t="s">
        <v>5</v>
      </c>
      <c r="F51" s="1" t="s">
        <v>13</v>
      </c>
      <c r="G51" s="1" t="s">
        <v>6</v>
      </c>
      <c r="I51" s="1">
        <v>30.0</v>
      </c>
      <c r="J51" s="1">
        <v>30.0</v>
      </c>
      <c r="K51" s="1" t="s">
        <v>7</v>
      </c>
      <c r="L51" s="1" t="s">
        <v>8</v>
      </c>
      <c r="M51" s="1">
        <v>10.0</v>
      </c>
      <c r="N51" s="1">
        <v>10.0</v>
      </c>
    </row>
    <row r="52" ht="15.75" customHeight="1">
      <c r="A52" s="2">
        <v>45929.51731481482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13</v>
      </c>
      <c r="G52" s="1" t="s">
        <v>6</v>
      </c>
      <c r="I52" s="1">
        <v>30.0</v>
      </c>
      <c r="J52" s="1">
        <v>30.0</v>
      </c>
      <c r="K52" s="1" t="s">
        <v>12</v>
      </c>
      <c r="L52" s="1" t="s">
        <v>8</v>
      </c>
      <c r="M52" s="1">
        <v>10.0</v>
      </c>
      <c r="N52" s="1">
        <v>10.0</v>
      </c>
    </row>
    <row r="53" ht="15.75" customHeight="1">
      <c r="A53" s="2">
        <v>45929.5237037037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13</v>
      </c>
      <c r="G53" s="1" t="s">
        <v>6</v>
      </c>
      <c r="I53" s="1">
        <v>30.0</v>
      </c>
      <c r="J53" s="1">
        <v>30.0</v>
      </c>
      <c r="K53" s="1" t="s">
        <v>7</v>
      </c>
      <c r="L53" s="1" t="s">
        <v>8</v>
      </c>
      <c r="M53" s="1">
        <v>10.0</v>
      </c>
      <c r="N53" s="1">
        <v>10.0</v>
      </c>
    </row>
    <row r="54" ht="15.75" customHeight="1">
      <c r="A54" s="2">
        <v>45929.5237037037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13</v>
      </c>
      <c r="G54" s="1" t="s">
        <v>6</v>
      </c>
      <c r="I54" s="1">
        <v>30.0</v>
      </c>
      <c r="J54" s="1">
        <v>30.0</v>
      </c>
      <c r="K54" s="1" t="s">
        <v>142</v>
      </c>
      <c r="L54" s="1" t="s">
        <v>8</v>
      </c>
      <c r="M54" s="1">
        <v>10.0</v>
      </c>
      <c r="N54" s="1">
        <v>10.0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54.71"/>
    <col customWidth="1" min="4" max="4" width="14.43"/>
    <col customWidth="1" min="5" max="5" width="26.29"/>
    <col customWidth="1" min="6" max="6" width="14.43"/>
  </cols>
  <sheetData>
    <row r="1" ht="15.75" customHeight="1">
      <c r="A1" s="1" t="s">
        <v>144</v>
      </c>
      <c r="B1" s="15"/>
      <c r="C1" s="15" t="s">
        <v>130</v>
      </c>
      <c r="D1" s="16" t="s">
        <v>145</v>
      </c>
    </row>
    <row r="2" ht="15.75" customHeight="1">
      <c r="A2" s="15" t="s">
        <v>7</v>
      </c>
      <c r="B2" s="15"/>
      <c r="C2" s="15" t="s">
        <v>7</v>
      </c>
      <c r="D2" s="16" t="s">
        <v>146</v>
      </c>
      <c r="F2" s="17"/>
    </row>
    <row r="3" ht="15.75" customHeight="1">
      <c r="A3" s="15" t="s">
        <v>147</v>
      </c>
      <c r="B3" s="15"/>
      <c r="C3" s="15" t="s">
        <v>148</v>
      </c>
      <c r="D3" s="15"/>
      <c r="F3" s="17"/>
    </row>
    <row r="4" ht="15.75" customHeight="1">
      <c r="A4" s="15" t="s">
        <v>149</v>
      </c>
      <c r="B4" s="15"/>
      <c r="C4" s="15" t="s">
        <v>150</v>
      </c>
      <c r="D4" s="15"/>
      <c r="F4" s="17"/>
    </row>
    <row r="5" ht="15.75" customHeight="1">
      <c r="A5" s="15" t="s">
        <v>11</v>
      </c>
      <c r="B5" s="15"/>
      <c r="C5" s="15" t="s">
        <v>147</v>
      </c>
      <c r="D5" s="16" t="s">
        <v>146</v>
      </c>
      <c r="F5" s="17"/>
    </row>
    <row r="6" ht="15.75" customHeight="1">
      <c r="A6" s="15" t="s">
        <v>151</v>
      </c>
      <c r="B6" s="15"/>
      <c r="C6" s="15" t="s">
        <v>152</v>
      </c>
      <c r="D6" s="15"/>
      <c r="F6" s="17"/>
    </row>
    <row r="7" ht="15.75" customHeight="1">
      <c r="A7" s="15" t="s">
        <v>153</v>
      </c>
      <c r="B7" s="15"/>
      <c r="C7" s="15" t="s">
        <v>149</v>
      </c>
      <c r="D7" s="16" t="s">
        <v>146</v>
      </c>
      <c r="F7" s="17"/>
    </row>
    <row r="8" ht="15.75" customHeight="1">
      <c r="A8" s="15" t="s">
        <v>154</v>
      </c>
      <c r="B8" s="15"/>
      <c r="C8" s="15" t="s">
        <v>11</v>
      </c>
      <c r="D8" s="16" t="s">
        <v>146</v>
      </c>
      <c r="F8" s="17"/>
    </row>
    <row r="9" ht="15.75" customHeight="1">
      <c r="A9" s="15" t="s">
        <v>155</v>
      </c>
      <c r="B9" s="15"/>
      <c r="C9" s="15" t="s">
        <v>151</v>
      </c>
      <c r="D9" s="16" t="s">
        <v>146</v>
      </c>
      <c r="F9" s="17"/>
    </row>
    <row r="10" ht="15.75" customHeight="1">
      <c r="A10" s="15" t="s">
        <v>156</v>
      </c>
      <c r="B10" s="15"/>
      <c r="C10" s="15" t="s">
        <v>157</v>
      </c>
      <c r="D10" s="15"/>
      <c r="F10" s="17"/>
    </row>
    <row r="11" ht="15.75" customHeight="1">
      <c r="A11" s="15" t="s">
        <v>158</v>
      </c>
      <c r="B11" s="15"/>
      <c r="C11" s="15" t="s">
        <v>153</v>
      </c>
      <c r="D11" s="16" t="s">
        <v>146</v>
      </c>
      <c r="F11" s="17"/>
    </row>
    <row r="12" ht="15.75" customHeight="1">
      <c r="A12" s="15" t="s">
        <v>12</v>
      </c>
      <c r="B12" s="15"/>
      <c r="C12" s="15" t="s">
        <v>159</v>
      </c>
      <c r="D12" s="15"/>
      <c r="F12" s="17"/>
    </row>
    <row r="13" ht="15.75" customHeight="1">
      <c r="A13" s="15" t="s">
        <v>138</v>
      </c>
      <c r="B13" s="15"/>
      <c r="C13" s="15" t="s">
        <v>154</v>
      </c>
      <c r="D13" s="16" t="s">
        <v>146</v>
      </c>
      <c r="F13" s="17"/>
    </row>
    <row r="14" ht="15.75" customHeight="1">
      <c r="A14" s="15" t="s">
        <v>160</v>
      </c>
      <c r="B14" s="15"/>
      <c r="C14" s="15" t="s">
        <v>161</v>
      </c>
      <c r="D14" s="15"/>
      <c r="F14" s="17"/>
    </row>
    <row r="15" ht="15.75" customHeight="1">
      <c r="A15" s="15" t="s">
        <v>142</v>
      </c>
      <c r="B15" s="15"/>
      <c r="C15" s="15" t="s">
        <v>162</v>
      </c>
      <c r="D15" s="15"/>
      <c r="F15" s="17"/>
    </row>
    <row r="16" ht="15.75" customHeight="1">
      <c r="A16" s="15" t="s">
        <v>163</v>
      </c>
      <c r="B16" s="15"/>
      <c r="C16" s="15" t="s">
        <v>164</v>
      </c>
      <c r="D16" s="15"/>
      <c r="F16" s="17"/>
    </row>
    <row r="17" ht="15.75" customHeight="1">
      <c r="A17" s="15" t="s">
        <v>139</v>
      </c>
      <c r="B17" s="15"/>
      <c r="C17" s="15" t="s">
        <v>165</v>
      </c>
      <c r="D17" s="15"/>
      <c r="F17" s="17"/>
    </row>
    <row r="18" ht="15.75" customHeight="1">
      <c r="A18" s="15"/>
      <c r="B18" s="15"/>
      <c r="C18" s="15" t="s">
        <v>166</v>
      </c>
      <c r="D18" s="15"/>
      <c r="F18" s="17"/>
    </row>
    <row r="19" ht="15.75" customHeight="1">
      <c r="A19" s="15"/>
      <c r="B19" s="15"/>
      <c r="C19" s="15" t="s">
        <v>167</v>
      </c>
      <c r="D19" s="15"/>
      <c r="F19" s="17"/>
    </row>
    <row r="20" ht="15.75" customHeight="1">
      <c r="A20" s="15"/>
      <c r="B20" s="15"/>
      <c r="C20" s="15" t="s">
        <v>168</v>
      </c>
      <c r="D20" s="15"/>
      <c r="F20" s="17"/>
    </row>
    <row r="21" ht="15.75" customHeight="1">
      <c r="A21" s="15"/>
      <c r="B21" s="15"/>
      <c r="C21" s="15" t="s">
        <v>155</v>
      </c>
      <c r="D21" s="16" t="s">
        <v>146</v>
      </c>
      <c r="F21" s="17"/>
    </row>
    <row r="22" ht="15.75" customHeight="1">
      <c r="A22" s="15"/>
      <c r="B22" s="15"/>
      <c r="C22" s="15" t="s">
        <v>169</v>
      </c>
      <c r="D22" s="15"/>
      <c r="F22" s="17"/>
    </row>
    <row r="23" ht="15.75" customHeight="1">
      <c r="A23" s="15"/>
      <c r="B23" s="15"/>
      <c r="C23" s="15" t="s">
        <v>170</v>
      </c>
      <c r="D23" s="15"/>
      <c r="F23" s="17"/>
    </row>
    <row r="24" ht="15.75" customHeight="1">
      <c r="A24" s="15"/>
      <c r="B24" s="15"/>
      <c r="C24" s="15" t="s">
        <v>156</v>
      </c>
      <c r="D24" s="16" t="s">
        <v>146</v>
      </c>
      <c r="F24" s="17"/>
    </row>
    <row r="25" ht="15.75" customHeight="1">
      <c r="A25" s="15"/>
      <c r="B25" s="15"/>
      <c r="C25" s="15" t="s">
        <v>171</v>
      </c>
      <c r="D25" s="15"/>
      <c r="F25" s="17"/>
    </row>
    <row r="26" ht="15.75" customHeight="1">
      <c r="A26" s="15"/>
      <c r="B26" s="15"/>
      <c r="C26" s="15" t="s">
        <v>172</v>
      </c>
      <c r="D26" s="15"/>
      <c r="F26" s="17"/>
    </row>
    <row r="27" ht="15.75" customHeight="1">
      <c r="A27" s="15"/>
      <c r="B27" s="15"/>
      <c r="C27" s="15" t="s">
        <v>173</v>
      </c>
      <c r="D27" s="15"/>
      <c r="F27" s="17"/>
    </row>
    <row r="28" ht="15.75" customHeight="1">
      <c r="A28" s="15"/>
      <c r="B28" s="15"/>
      <c r="C28" s="15" t="s">
        <v>158</v>
      </c>
      <c r="D28" s="16" t="s">
        <v>146</v>
      </c>
      <c r="F28" s="17"/>
    </row>
    <row r="29" ht="15.75" customHeight="1">
      <c r="A29" s="15"/>
      <c r="B29" s="15"/>
      <c r="C29" s="15" t="s">
        <v>174</v>
      </c>
      <c r="D29" s="15"/>
      <c r="F29" s="17"/>
    </row>
    <row r="30" ht="15.75" customHeight="1">
      <c r="A30" s="15"/>
      <c r="B30" s="15"/>
      <c r="C30" s="15" t="s">
        <v>175</v>
      </c>
      <c r="D30" s="15"/>
      <c r="F30" s="17"/>
    </row>
    <row r="31" ht="15.75" customHeight="1">
      <c r="A31" s="15"/>
      <c r="B31" s="15"/>
      <c r="C31" s="15" t="s">
        <v>176</v>
      </c>
      <c r="D31" s="15"/>
      <c r="F31" s="17"/>
    </row>
    <row r="32" ht="15.75" customHeight="1">
      <c r="A32" s="15"/>
      <c r="B32" s="15"/>
      <c r="C32" s="15" t="s">
        <v>177</v>
      </c>
      <c r="D32" s="15"/>
      <c r="F32" s="17"/>
    </row>
    <row r="33" ht="15.75" customHeight="1">
      <c r="A33" s="15"/>
      <c r="B33" s="15"/>
      <c r="C33" s="15" t="s">
        <v>178</v>
      </c>
      <c r="D33" s="15"/>
      <c r="F33" s="17"/>
    </row>
    <row r="34" ht="15.75" customHeight="1">
      <c r="A34" s="15"/>
      <c r="B34" s="15"/>
      <c r="C34" s="15" t="s">
        <v>12</v>
      </c>
      <c r="D34" s="16" t="s">
        <v>146</v>
      </c>
      <c r="F34" s="17"/>
    </row>
    <row r="35" ht="15.75" customHeight="1">
      <c r="A35" s="15"/>
      <c r="B35" s="15"/>
      <c r="C35" s="15" t="s">
        <v>179</v>
      </c>
      <c r="D35" s="15"/>
      <c r="F35" s="17"/>
    </row>
    <row r="36" ht="15.75" customHeight="1">
      <c r="A36" s="15"/>
      <c r="B36" s="15"/>
      <c r="C36" s="15" t="s">
        <v>180</v>
      </c>
      <c r="D36" s="15"/>
      <c r="F36" s="17"/>
    </row>
    <row r="37" ht="15.75" customHeight="1">
      <c r="A37" s="15"/>
      <c r="B37" s="15"/>
      <c r="C37" s="15" t="s">
        <v>181</v>
      </c>
      <c r="D37" s="15"/>
      <c r="F37" s="17"/>
    </row>
    <row r="38" ht="15.75" customHeight="1">
      <c r="A38" s="15"/>
      <c r="B38" s="15"/>
      <c r="C38" s="15" t="s">
        <v>138</v>
      </c>
      <c r="D38" s="16" t="s">
        <v>146</v>
      </c>
      <c r="F38" s="17"/>
    </row>
    <row r="39" ht="15.75" customHeight="1">
      <c r="A39" s="15"/>
      <c r="B39" s="15"/>
      <c r="C39" s="15" t="s">
        <v>182</v>
      </c>
      <c r="D39" s="15"/>
      <c r="F39" s="17"/>
    </row>
    <row r="40" ht="15.75" customHeight="1">
      <c r="A40" s="1"/>
      <c r="B40" s="1"/>
      <c r="C40" s="1" t="s">
        <v>160</v>
      </c>
      <c r="D40" s="16" t="s">
        <v>146</v>
      </c>
      <c r="F40" s="17"/>
    </row>
    <row r="41" ht="15.75" customHeight="1">
      <c r="A41" s="15"/>
      <c r="B41" s="15"/>
      <c r="C41" s="15" t="s">
        <v>183</v>
      </c>
      <c r="D41" s="15"/>
      <c r="F41" s="17"/>
    </row>
    <row r="42" ht="15.75" customHeight="1">
      <c r="A42" s="15"/>
      <c r="B42" s="15"/>
      <c r="C42" s="15" t="s">
        <v>184</v>
      </c>
      <c r="D42" s="15"/>
      <c r="F42" s="17"/>
    </row>
    <row r="43" ht="15.75" customHeight="1">
      <c r="A43" s="15"/>
      <c r="B43" s="15"/>
      <c r="C43" s="15" t="s">
        <v>185</v>
      </c>
      <c r="D43" s="15"/>
      <c r="F43" s="17"/>
    </row>
    <row r="44" ht="15.75" customHeight="1">
      <c r="A44" s="15"/>
      <c r="B44" s="15"/>
      <c r="C44" s="15" t="s">
        <v>142</v>
      </c>
      <c r="D44" s="16" t="s">
        <v>146</v>
      </c>
      <c r="F44" s="17"/>
    </row>
    <row r="45" ht="15.75" customHeight="1">
      <c r="A45" s="15"/>
      <c r="B45" s="15"/>
      <c r="C45" s="15" t="s">
        <v>163</v>
      </c>
      <c r="D45" s="16" t="s">
        <v>146</v>
      </c>
      <c r="F45" s="17"/>
    </row>
    <row r="46" ht="15.75" customHeight="1">
      <c r="A46" s="15"/>
      <c r="B46" s="15"/>
      <c r="C46" s="15" t="s">
        <v>139</v>
      </c>
      <c r="D46" s="16" t="s">
        <v>146</v>
      </c>
      <c r="F46" s="17"/>
    </row>
    <row r="47" ht="15.75" customHeight="1">
      <c r="A47" s="15"/>
      <c r="B47" s="15"/>
      <c r="C47" s="15" t="s">
        <v>186</v>
      </c>
      <c r="D47" s="15"/>
      <c r="F47" s="17"/>
    </row>
    <row r="48" ht="15.75" customHeight="1">
      <c r="A48" s="15"/>
      <c r="B48" s="15"/>
      <c r="C48" s="15" t="s">
        <v>187</v>
      </c>
      <c r="D48" s="15"/>
      <c r="F48" s="17"/>
    </row>
    <row r="49" ht="15.75" customHeight="1">
      <c r="A49" s="15"/>
      <c r="B49" s="15"/>
      <c r="C49" s="15" t="s">
        <v>188</v>
      </c>
      <c r="D49" s="15"/>
      <c r="F49" s="17"/>
    </row>
    <row r="50" ht="15.75" customHeight="1">
      <c r="A50" s="15"/>
      <c r="B50" s="15"/>
      <c r="C50" s="15" t="s">
        <v>189</v>
      </c>
      <c r="D50" s="15"/>
      <c r="F50" s="17"/>
    </row>
    <row r="51" ht="15.75" customHeight="1">
      <c r="D51" s="15"/>
      <c r="F51" s="17"/>
    </row>
    <row r="52" ht="15.75" customHeight="1">
      <c r="D52" s="15"/>
      <c r="F52" s="17"/>
    </row>
    <row r="53" ht="15.75" customHeight="1">
      <c r="D53" s="15"/>
      <c r="F53" s="17"/>
    </row>
    <row r="54" ht="15.75" customHeight="1">
      <c r="D54" s="15"/>
      <c r="F54" s="17"/>
    </row>
    <row r="55" ht="15.75" customHeight="1">
      <c r="D55" s="15"/>
      <c r="F55" s="17"/>
    </row>
    <row r="56" ht="15.75" customHeight="1">
      <c r="A56" s="15"/>
      <c r="B56" s="15"/>
      <c r="C56" s="15"/>
      <c r="D56" s="15"/>
      <c r="F56" s="17"/>
    </row>
    <row r="57" ht="15.75" customHeight="1">
      <c r="A57" s="15"/>
      <c r="B57" s="15"/>
      <c r="C57" s="15"/>
      <c r="D57" s="15"/>
      <c r="F57" s="17"/>
    </row>
    <row r="58" ht="15.75" customHeight="1">
      <c r="A58" s="15"/>
      <c r="B58" s="15"/>
      <c r="C58" s="15"/>
      <c r="D58" s="15"/>
      <c r="F58" s="17"/>
    </row>
    <row r="59" ht="15.75" customHeight="1">
      <c r="A59" s="15"/>
      <c r="B59" s="15"/>
      <c r="C59" s="15"/>
      <c r="D59" s="15"/>
      <c r="F59" s="17"/>
    </row>
    <row r="60" ht="15.75" customHeight="1">
      <c r="A60" s="15"/>
      <c r="B60" s="15"/>
      <c r="C60" s="15"/>
      <c r="D60" s="15"/>
      <c r="F60" s="17"/>
    </row>
    <row r="61" ht="15.75" customHeight="1">
      <c r="A61" s="15"/>
      <c r="B61" s="15"/>
      <c r="C61" s="15"/>
      <c r="D61" s="15"/>
      <c r="F61" s="17"/>
    </row>
    <row r="62" ht="15.75" customHeight="1">
      <c r="A62" s="15"/>
      <c r="B62" s="15"/>
      <c r="C62" s="15"/>
      <c r="D62" s="15"/>
      <c r="F62" s="17"/>
    </row>
    <row r="63" ht="15.75" customHeight="1">
      <c r="A63" s="15"/>
      <c r="B63" s="15"/>
      <c r="C63" s="15"/>
      <c r="D63" s="15"/>
      <c r="F63" s="17"/>
    </row>
    <row r="64" ht="15.75" customHeight="1">
      <c r="A64" s="15"/>
      <c r="B64" s="15"/>
      <c r="C64" s="15"/>
      <c r="D64" s="15"/>
      <c r="F64" s="17"/>
    </row>
    <row r="65" ht="15.75" customHeight="1">
      <c r="A65" s="15"/>
      <c r="B65" s="15"/>
      <c r="C65" s="15"/>
      <c r="D65" s="15"/>
      <c r="F65" s="17"/>
    </row>
    <row r="66" ht="15.75" customHeight="1">
      <c r="A66" s="15"/>
      <c r="B66" s="15"/>
      <c r="C66" s="15"/>
      <c r="D66" s="15"/>
      <c r="F66" s="17"/>
    </row>
    <row r="67" ht="15.75" customHeight="1">
      <c r="A67" s="15"/>
      <c r="B67" s="15"/>
      <c r="C67" s="15"/>
      <c r="D67" s="15"/>
      <c r="F67" s="17"/>
    </row>
    <row r="68" ht="15.75" customHeight="1">
      <c r="A68" s="15"/>
      <c r="B68" s="15"/>
      <c r="C68" s="15"/>
      <c r="D68" s="15"/>
      <c r="F68" s="17"/>
    </row>
    <row r="69" ht="15.75" customHeight="1">
      <c r="A69" s="15"/>
      <c r="B69" s="15"/>
      <c r="C69" s="15"/>
      <c r="D69" s="15"/>
      <c r="F69" s="17"/>
    </row>
    <row r="70" ht="15.75" customHeight="1">
      <c r="A70" s="15"/>
      <c r="B70" s="15"/>
      <c r="C70" s="15"/>
      <c r="D70" s="15"/>
      <c r="F70" s="17"/>
    </row>
    <row r="71" ht="15.75" customHeight="1">
      <c r="A71" s="15"/>
      <c r="B71" s="15"/>
      <c r="C71" s="15"/>
      <c r="D71" s="15"/>
      <c r="F71" s="17"/>
    </row>
    <row r="72" ht="15.75" customHeight="1">
      <c r="A72" s="15"/>
      <c r="B72" s="15"/>
      <c r="C72" s="15"/>
      <c r="D72" s="15"/>
      <c r="F72" s="17"/>
    </row>
    <row r="73" ht="15.75" customHeight="1">
      <c r="A73" s="15"/>
      <c r="B73" s="15"/>
      <c r="C73" s="15"/>
      <c r="D73" s="15"/>
      <c r="F73" s="17"/>
    </row>
    <row r="74" ht="15.75" customHeight="1">
      <c r="A74" s="15"/>
      <c r="B74" s="15"/>
      <c r="C74" s="15"/>
      <c r="D74" s="15"/>
      <c r="F74" s="17"/>
    </row>
    <row r="75" ht="15.75" customHeight="1">
      <c r="A75" s="15"/>
      <c r="B75" s="15"/>
      <c r="C75" s="15"/>
      <c r="D75" s="15"/>
      <c r="F75" s="17"/>
    </row>
    <row r="76" ht="15.75" customHeight="1">
      <c r="A76" s="15"/>
      <c r="B76" s="15"/>
      <c r="C76" s="15"/>
      <c r="D76" s="15"/>
      <c r="F76" s="17"/>
    </row>
    <row r="77" ht="15.75" customHeight="1">
      <c r="A77" s="15"/>
      <c r="B77" s="15"/>
      <c r="C77" s="15"/>
      <c r="D77" s="15"/>
      <c r="F77" s="17"/>
    </row>
    <row r="78" ht="15.75" customHeight="1">
      <c r="A78" s="15"/>
      <c r="B78" s="15"/>
      <c r="C78" s="15"/>
      <c r="D78" s="15"/>
      <c r="F78" s="17"/>
    </row>
    <row r="79" ht="15.75" customHeight="1">
      <c r="A79" s="15"/>
      <c r="B79" s="15"/>
      <c r="C79" s="15"/>
      <c r="D79" s="15"/>
      <c r="F79" s="17"/>
    </row>
    <row r="80" ht="15.75" customHeight="1">
      <c r="A80" s="15"/>
      <c r="B80" s="15"/>
      <c r="C80" s="15"/>
      <c r="D80" s="15"/>
      <c r="F80" s="17"/>
    </row>
    <row r="81" ht="15.75" customHeight="1">
      <c r="A81" s="15"/>
      <c r="B81" s="15"/>
      <c r="C81" s="15"/>
      <c r="D81" s="15"/>
      <c r="F81" s="17"/>
    </row>
    <row r="82" ht="15.75" customHeight="1">
      <c r="A82" s="15"/>
      <c r="B82" s="15"/>
      <c r="C82" s="15"/>
      <c r="D82" s="15"/>
      <c r="F82" s="17"/>
    </row>
    <row r="83" ht="15.75" customHeight="1">
      <c r="A83" s="15"/>
      <c r="B83" s="15"/>
      <c r="C83" s="15"/>
      <c r="D83" s="15"/>
      <c r="F83" s="17"/>
    </row>
    <row r="84" ht="15.75" customHeight="1">
      <c r="A84" s="15"/>
      <c r="B84" s="15"/>
      <c r="C84" s="15"/>
      <c r="D84" s="15"/>
      <c r="F84" s="17"/>
    </row>
    <row r="85" ht="15.75" customHeight="1">
      <c r="A85" s="15"/>
      <c r="B85" s="15"/>
      <c r="C85" s="15"/>
      <c r="D85" s="15"/>
      <c r="F85" s="17"/>
    </row>
    <row r="86" ht="15.75" customHeight="1">
      <c r="A86" s="15"/>
      <c r="B86" s="15"/>
      <c r="C86" s="15"/>
      <c r="D86" s="15"/>
      <c r="F86" s="17"/>
    </row>
    <row r="87" ht="15.75" customHeight="1">
      <c r="A87" s="15"/>
      <c r="B87" s="15"/>
      <c r="C87" s="15"/>
      <c r="D87" s="15"/>
      <c r="F87" s="17"/>
    </row>
    <row r="88" ht="15.75" customHeight="1">
      <c r="A88" s="15"/>
      <c r="B88" s="15"/>
      <c r="C88" s="15"/>
      <c r="D88" s="15"/>
      <c r="F88" s="17"/>
    </row>
    <row r="89" ht="15.75" customHeight="1">
      <c r="A89" s="15"/>
      <c r="B89" s="15"/>
      <c r="C89" s="15"/>
      <c r="D89" s="15"/>
      <c r="F89" s="17"/>
    </row>
    <row r="90" ht="15.75" customHeight="1">
      <c r="A90" s="15"/>
      <c r="B90" s="15"/>
      <c r="C90" s="15"/>
      <c r="D90" s="15"/>
      <c r="F90" s="17"/>
    </row>
    <row r="91" ht="15.75" customHeight="1">
      <c r="A91" s="15"/>
      <c r="B91" s="15"/>
      <c r="C91" s="15"/>
      <c r="D91" s="15"/>
      <c r="F91" s="17"/>
    </row>
    <row r="92" ht="15.75" customHeight="1">
      <c r="A92" s="15"/>
      <c r="B92" s="15"/>
      <c r="C92" s="15"/>
      <c r="D92" s="15"/>
      <c r="F92" s="17"/>
    </row>
    <row r="93" ht="15.75" customHeight="1">
      <c r="A93" s="15"/>
      <c r="B93" s="15"/>
      <c r="C93" s="15"/>
      <c r="D93" s="15"/>
      <c r="F93" s="17"/>
    </row>
    <row r="94" ht="15.75" customHeight="1">
      <c r="A94" s="15"/>
      <c r="B94" s="15"/>
      <c r="C94" s="15"/>
      <c r="D94" s="15"/>
      <c r="F94" s="17"/>
    </row>
    <row r="95" ht="15.75" customHeight="1">
      <c r="A95" s="15"/>
      <c r="B95" s="15"/>
      <c r="C95" s="15"/>
      <c r="D95" s="15"/>
      <c r="F95" s="17"/>
    </row>
    <row r="96" ht="15.75" customHeight="1">
      <c r="A96" s="15"/>
      <c r="B96" s="15"/>
      <c r="C96" s="15"/>
      <c r="D96" s="15"/>
      <c r="F96" s="17"/>
    </row>
    <row r="97" ht="15.75" customHeight="1">
      <c r="A97" s="15"/>
      <c r="B97" s="15"/>
      <c r="C97" s="15"/>
      <c r="D97" s="15"/>
      <c r="F97" s="17"/>
    </row>
    <row r="98" ht="15.75" customHeight="1">
      <c r="A98" s="15"/>
      <c r="B98" s="15"/>
      <c r="C98" s="15"/>
      <c r="D98" s="15"/>
      <c r="F98" s="17"/>
    </row>
    <row r="99" ht="15.75" customHeight="1">
      <c r="A99" s="15"/>
      <c r="B99" s="15"/>
      <c r="C99" s="15"/>
      <c r="D99" s="15"/>
      <c r="F99" s="17"/>
    </row>
    <row r="100" ht="15.75" customHeight="1">
      <c r="A100" s="15"/>
      <c r="B100" s="15"/>
      <c r="C100" s="15"/>
      <c r="D100" s="15"/>
      <c r="F100" s="17"/>
    </row>
    <row r="101" ht="15.75" customHeight="1">
      <c r="A101" s="15"/>
      <c r="B101" s="15"/>
      <c r="C101" s="15"/>
      <c r="D101" s="15"/>
      <c r="F101" s="17"/>
    </row>
    <row r="102" ht="15.75" customHeight="1">
      <c r="A102" s="15"/>
      <c r="B102" s="15"/>
      <c r="C102" s="15"/>
      <c r="D102" s="15"/>
      <c r="F102" s="17"/>
    </row>
    <row r="103" ht="15.75" customHeight="1">
      <c r="A103" s="15"/>
      <c r="B103" s="15"/>
      <c r="C103" s="15"/>
      <c r="D103" s="15"/>
      <c r="F103" s="17"/>
    </row>
    <row r="104" ht="15.75" customHeight="1">
      <c r="A104" s="15"/>
      <c r="B104" s="15"/>
      <c r="C104" s="15"/>
      <c r="D104" s="15"/>
      <c r="F104" s="17"/>
    </row>
    <row r="105" ht="15.75" customHeight="1">
      <c r="A105" s="15"/>
      <c r="B105" s="15"/>
      <c r="C105" s="15"/>
      <c r="D105" s="15"/>
      <c r="F105" s="17"/>
    </row>
    <row r="106" ht="15.75" customHeight="1">
      <c r="A106" s="15"/>
      <c r="B106" s="15"/>
      <c r="C106" s="15"/>
      <c r="D106" s="15"/>
      <c r="F106" s="17"/>
    </row>
    <row r="107" ht="15.75" customHeight="1">
      <c r="A107" s="15"/>
      <c r="B107" s="15"/>
      <c r="C107" s="15"/>
      <c r="D107" s="15"/>
      <c r="F107" s="17"/>
    </row>
    <row r="108" ht="15.75" customHeight="1">
      <c r="A108" s="15"/>
      <c r="B108" s="15"/>
      <c r="C108" s="15"/>
      <c r="D108" s="15"/>
      <c r="F108" s="17"/>
    </row>
    <row r="109" ht="15.75" customHeight="1">
      <c r="A109" s="15"/>
      <c r="B109" s="15"/>
      <c r="C109" s="15"/>
      <c r="D109" s="15"/>
      <c r="F109" s="17"/>
    </row>
    <row r="110" ht="15.75" customHeight="1">
      <c r="A110" s="15"/>
      <c r="B110" s="15"/>
      <c r="C110" s="15"/>
      <c r="D110" s="15"/>
      <c r="F110" s="17"/>
    </row>
    <row r="111" ht="15.75" customHeight="1">
      <c r="A111" s="15"/>
      <c r="B111" s="15"/>
      <c r="C111" s="15"/>
      <c r="D111" s="15"/>
      <c r="F111" s="17"/>
    </row>
    <row r="112" ht="15.75" customHeight="1">
      <c r="A112" s="15"/>
      <c r="B112" s="15"/>
      <c r="C112" s="15"/>
      <c r="D112" s="15"/>
      <c r="F112" s="17"/>
    </row>
    <row r="113" ht="15.75" customHeight="1">
      <c r="A113" s="15"/>
      <c r="B113" s="15"/>
      <c r="C113" s="15"/>
      <c r="D113" s="15"/>
      <c r="F113" s="17"/>
    </row>
    <row r="114" ht="15.75" customHeight="1">
      <c r="A114" s="15"/>
      <c r="B114" s="15"/>
      <c r="C114" s="15"/>
      <c r="D114" s="15"/>
      <c r="F114" s="17"/>
    </row>
    <row r="115" ht="15.75" customHeight="1">
      <c r="A115" s="15"/>
      <c r="B115" s="15"/>
      <c r="C115" s="15"/>
      <c r="D115" s="15"/>
      <c r="F115" s="17"/>
    </row>
    <row r="116" ht="15.75" customHeight="1">
      <c r="A116" s="15"/>
      <c r="B116" s="15"/>
      <c r="C116" s="15"/>
      <c r="D116" s="15"/>
      <c r="F116" s="17"/>
    </row>
    <row r="117" ht="15.75" customHeight="1">
      <c r="A117" s="15"/>
      <c r="B117" s="15"/>
      <c r="C117" s="15"/>
      <c r="D117" s="15"/>
      <c r="F117" s="17"/>
    </row>
    <row r="118" ht="15.75" customHeight="1">
      <c r="A118" s="15"/>
      <c r="B118" s="15"/>
      <c r="C118" s="15"/>
      <c r="D118" s="15"/>
      <c r="F118" s="17"/>
    </row>
    <row r="119" ht="15.75" customHeight="1">
      <c r="A119" s="15"/>
      <c r="B119" s="15"/>
      <c r="C119" s="15"/>
      <c r="D119" s="15"/>
      <c r="F119" s="17"/>
    </row>
    <row r="120" ht="15.75" customHeight="1">
      <c r="A120" s="15"/>
      <c r="B120" s="15"/>
      <c r="C120" s="15"/>
      <c r="D120" s="15"/>
      <c r="F120" s="17"/>
    </row>
    <row r="121" ht="15.75" customHeight="1">
      <c r="A121" s="15"/>
      <c r="B121" s="15"/>
      <c r="C121" s="15"/>
      <c r="D121" s="15"/>
      <c r="F121" s="17"/>
    </row>
    <row r="122" ht="15.75" customHeight="1">
      <c r="A122" s="15"/>
      <c r="B122" s="15"/>
      <c r="C122" s="15"/>
      <c r="D122" s="15"/>
      <c r="F122" s="17"/>
    </row>
    <row r="123" ht="15.75" customHeight="1">
      <c r="A123" s="15"/>
      <c r="B123" s="15"/>
      <c r="C123" s="15"/>
      <c r="D123" s="15"/>
      <c r="F123" s="17"/>
    </row>
    <row r="124" ht="15.75" customHeight="1">
      <c r="A124" s="15"/>
      <c r="B124" s="15"/>
      <c r="C124" s="15"/>
      <c r="D124" s="15"/>
      <c r="F124" s="17"/>
    </row>
    <row r="125" ht="15.75" customHeight="1">
      <c r="A125" s="15"/>
      <c r="B125" s="15"/>
      <c r="C125" s="15"/>
      <c r="D125" s="15"/>
      <c r="F125" s="17"/>
    </row>
    <row r="126" ht="15.75" customHeight="1">
      <c r="A126" s="15"/>
      <c r="B126" s="15"/>
      <c r="C126" s="15"/>
      <c r="D126" s="15"/>
      <c r="F126" s="17"/>
    </row>
    <row r="127" ht="15.75" customHeight="1">
      <c r="A127" s="15"/>
      <c r="B127" s="15"/>
      <c r="C127" s="15"/>
      <c r="D127" s="15"/>
      <c r="F127" s="17"/>
    </row>
    <row r="128" ht="15.75" customHeight="1">
      <c r="A128" s="15"/>
      <c r="B128" s="15"/>
      <c r="C128" s="15"/>
      <c r="D128" s="15"/>
      <c r="F128" s="17"/>
    </row>
    <row r="129" ht="15.75" customHeight="1">
      <c r="A129" s="15"/>
      <c r="B129" s="15"/>
      <c r="C129" s="15"/>
      <c r="D129" s="15"/>
      <c r="F129" s="17"/>
    </row>
    <row r="130" ht="15.75" customHeight="1">
      <c r="A130" s="15"/>
      <c r="B130" s="15"/>
      <c r="C130" s="15"/>
      <c r="D130" s="15"/>
      <c r="F130" s="17"/>
    </row>
    <row r="131" ht="15.75" customHeight="1">
      <c r="A131" s="15"/>
      <c r="B131" s="15"/>
      <c r="C131" s="15"/>
      <c r="D131" s="15"/>
      <c r="F131" s="17"/>
    </row>
    <row r="132" ht="15.75" customHeight="1">
      <c r="A132" s="15"/>
      <c r="B132" s="15"/>
      <c r="C132" s="15"/>
      <c r="D132" s="15"/>
      <c r="F132" s="17"/>
    </row>
    <row r="133" ht="15.75" customHeight="1">
      <c r="A133" s="15"/>
      <c r="B133" s="15"/>
      <c r="C133" s="15"/>
      <c r="D133" s="15"/>
      <c r="F133" s="17"/>
    </row>
    <row r="134" ht="15.75" customHeight="1">
      <c r="A134" s="15"/>
      <c r="B134" s="15"/>
      <c r="C134" s="15"/>
      <c r="D134" s="15"/>
      <c r="F134" s="17"/>
    </row>
    <row r="135" ht="15.75" customHeight="1">
      <c r="A135" s="15"/>
      <c r="B135" s="15"/>
      <c r="C135" s="15"/>
      <c r="D135" s="15"/>
      <c r="F135" s="17"/>
    </row>
    <row r="136" ht="15.75" customHeight="1">
      <c r="A136" s="15"/>
      <c r="B136" s="15"/>
      <c r="C136" s="15"/>
      <c r="D136" s="15"/>
      <c r="F136" s="17"/>
    </row>
    <row r="137" ht="15.75" customHeight="1">
      <c r="A137" s="15"/>
      <c r="B137" s="15"/>
      <c r="C137" s="15"/>
      <c r="D137" s="15"/>
      <c r="F137" s="17"/>
    </row>
    <row r="138" ht="15.75" customHeight="1">
      <c r="A138" s="15"/>
      <c r="B138" s="15"/>
      <c r="C138" s="15"/>
      <c r="D138" s="15"/>
      <c r="F138" s="17"/>
    </row>
    <row r="139" ht="15.75" customHeight="1">
      <c r="A139" s="15"/>
      <c r="B139" s="15"/>
      <c r="C139" s="15"/>
      <c r="D139" s="15"/>
      <c r="F139" s="17"/>
    </row>
    <row r="140" ht="15.75" customHeight="1">
      <c r="A140" s="15"/>
      <c r="B140" s="15"/>
      <c r="C140" s="15"/>
      <c r="D140" s="15"/>
      <c r="F140" s="17"/>
    </row>
    <row r="141" ht="15.75" customHeight="1">
      <c r="A141" s="15"/>
      <c r="B141" s="15"/>
      <c r="C141" s="15"/>
      <c r="D141" s="15"/>
      <c r="F141" s="17"/>
    </row>
    <row r="142" ht="15.75" customHeight="1">
      <c r="A142" s="15"/>
      <c r="B142" s="15"/>
      <c r="C142" s="15"/>
      <c r="D142" s="15"/>
      <c r="F142" s="17"/>
    </row>
    <row r="143" ht="15.75" customHeight="1">
      <c r="A143" s="15"/>
      <c r="B143" s="15"/>
      <c r="C143" s="15"/>
      <c r="D143" s="15"/>
      <c r="F143" s="17"/>
    </row>
    <row r="144" ht="15.75" customHeight="1">
      <c r="A144" s="15"/>
      <c r="B144" s="15"/>
      <c r="C144" s="15"/>
      <c r="D144" s="15"/>
      <c r="F144" s="17"/>
    </row>
    <row r="145" ht="15.75" customHeight="1">
      <c r="A145" s="15"/>
      <c r="B145" s="15"/>
      <c r="C145" s="15"/>
      <c r="D145" s="15"/>
      <c r="F145" s="17"/>
    </row>
    <row r="146" ht="15.75" customHeight="1">
      <c r="A146" s="15"/>
      <c r="B146" s="15"/>
      <c r="C146" s="15"/>
      <c r="D146" s="15"/>
      <c r="F146" s="17"/>
    </row>
    <row r="147" ht="15.75" customHeight="1">
      <c r="A147" s="15"/>
      <c r="B147" s="15"/>
      <c r="C147" s="15"/>
      <c r="D147" s="15"/>
      <c r="F147" s="17"/>
    </row>
    <row r="148" ht="15.75" customHeight="1">
      <c r="A148" s="15"/>
      <c r="B148" s="15"/>
      <c r="C148" s="15"/>
      <c r="D148" s="15"/>
      <c r="F148" s="17"/>
    </row>
    <row r="149" ht="15.75" customHeight="1">
      <c r="A149" s="15"/>
      <c r="B149" s="15"/>
      <c r="C149" s="15"/>
      <c r="D149" s="15"/>
      <c r="F149" s="17"/>
    </row>
    <row r="150" ht="15.75" customHeight="1">
      <c r="A150" s="15"/>
      <c r="B150" s="15"/>
      <c r="C150" s="15"/>
      <c r="D150" s="15"/>
      <c r="F150" s="17"/>
    </row>
    <row r="151" ht="15.75" customHeight="1">
      <c r="A151" s="15"/>
      <c r="B151" s="15"/>
      <c r="C151" s="15"/>
      <c r="D151" s="15"/>
      <c r="F151" s="17"/>
    </row>
    <row r="152" ht="15.75" customHeight="1">
      <c r="A152" s="15"/>
      <c r="B152" s="15"/>
      <c r="C152" s="15"/>
      <c r="D152" s="15"/>
      <c r="F152" s="17"/>
    </row>
    <row r="153" ht="15.75" customHeight="1">
      <c r="A153" s="15"/>
      <c r="B153" s="15"/>
      <c r="C153" s="15"/>
      <c r="D153" s="15"/>
      <c r="F153" s="17"/>
    </row>
    <row r="154" ht="15.75" customHeight="1">
      <c r="A154" s="15"/>
      <c r="B154" s="15"/>
      <c r="C154" s="15"/>
      <c r="D154" s="15"/>
      <c r="F154" s="17"/>
    </row>
    <row r="155" ht="15.75" customHeight="1">
      <c r="A155" s="15"/>
      <c r="B155" s="15"/>
      <c r="C155" s="15"/>
      <c r="D155" s="15"/>
      <c r="F155" s="17"/>
    </row>
    <row r="156" ht="15.75" customHeight="1">
      <c r="A156" s="15"/>
      <c r="B156" s="15"/>
      <c r="C156" s="15"/>
      <c r="D156" s="15"/>
      <c r="F156" s="17"/>
    </row>
    <row r="157" ht="15.75" customHeight="1">
      <c r="A157" s="15"/>
      <c r="B157" s="15"/>
      <c r="C157" s="15"/>
      <c r="D157" s="15"/>
      <c r="F157" s="17"/>
    </row>
    <row r="158" ht="15.75" customHeight="1">
      <c r="A158" s="15"/>
      <c r="B158" s="15"/>
      <c r="C158" s="15"/>
      <c r="D158" s="15"/>
      <c r="F158" s="17"/>
    </row>
    <row r="159" ht="15.75" customHeight="1">
      <c r="A159" s="15"/>
      <c r="B159" s="15"/>
      <c r="C159" s="15"/>
      <c r="D159" s="15"/>
      <c r="F159" s="17"/>
    </row>
    <row r="160" ht="15.75" customHeight="1">
      <c r="A160" s="15"/>
      <c r="B160" s="15"/>
      <c r="C160" s="15"/>
      <c r="D160" s="15"/>
      <c r="F160" s="17"/>
    </row>
    <row r="161" ht="15.75" customHeight="1">
      <c r="A161" s="15"/>
      <c r="B161" s="15"/>
      <c r="C161" s="15"/>
      <c r="D161" s="15"/>
      <c r="F161" s="17"/>
    </row>
    <row r="162" ht="15.75" customHeight="1">
      <c r="A162" s="15"/>
      <c r="B162" s="15"/>
      <c r="C162" s="15"/>
      <c r="D162" s="15"/>
      <c r="F162" s="17"/>
    </row>
    <row r="163" ht="15.75" customHeight="1">
      <c r="A163" s="15"/>
      <c r="B163" s="15"/>
      <c r="C163" s="15"/>
      <c r="D163" s="15"/>
      <c r="F163" s="17"/>
    </row>
    <row r="164" ht="15.75" customHeight="1">
      <c r="A164" s="15"/>
      <c r="B164" s="15"/>
      <c r="C164" s="15"/>
      <c r="D164" s="15"/>
      <c r="F164" s="17"/>
    </row>
    <row r="165" ht="15.75" customHeight="1">
      <c r="A165" s="15"/>
      <c r="B165" s="15"/>
      <c r="C165" s="15"/>
      <c r="D165" s="15"/>
      <c r="F165" s="17"/>
    </row>
    <row r="166" ht="15.75" customHeight="1">
      <c r="A166" s="15"/>
      <c r="B166" s="15"/>
      <c r="C166" s="15"/>
      <c r="D166" s="15"/>
      <c r="F166" s="17"/>
    </row>
    <row r="167" ht="15.75" customHeight="1">
      <c r="A167" s="15"/>
      <c r="B167" s="15"/>
      <c r="C167" s="15"/>
      <c r="D167" s="15"/>
      <c r="F167" s="17"/>
    </row>
    <row r="168" ht="15.75" customHeight="1">
      <c r="A168" s="15"/>
      <c r="B168" s="15"/>
      <c r="C168" s="15"/>
      <c r="D168" s="15"/>
      <c r="F168" s="17"/>
    </row>
    <row r="169" ht="15.75" customHeight="1">
      <c r="A169" s="15"/>
      <c r="B169" s="15"/>
      <c r="C169" s="15"/>
      <c r="D169" s="15"/>
      <c r="F169" s="17"/>
    </row>
    <row r="170" ht="15.75" customHeight="1">
      <c r="A170" s="15"/>
      <c r="B170" s="15"/>
      <c r="C170" s="15"/>
      <c r="D170" s="15"/>
      <c r="F170" s="17"/>
    </row>
    <row r="171" ht="15.75" customHeight="1">
      <c r="A171" s="15"/>
      <c r="B171" s="15"/>
      <c r="C171" s="15"/>
      <c r="D171" s="15"/>
      <c r="F171" s="17"/>
    </row>
    <row r="172" ht="15.75" customHeight="1">
      <c r="A172" s="15"/>
      <c r="B172" s="15"/>
      <c r="C172" s="15"/>
      <c r="D172" s="15"/>
      <c r="F172" s="17"/>
    </row>
    <row r="173" ht="15.75" customHeight="1">
      <c r="A173" s="15"/>
      <c r="B173" s="15"/>
      <c r="C173" s="15"/>
      <c r="D173" s="15"/>
      <c r="F173" s="17"/>
    </row>
    <row r="174" ht="15.75" customHeight="1">
      <c r="A174" s="15"/>
      <c r="B174" s="15"/>
      <c r="C174" s="15"/>
      <c r="D174" s="15"/>
      <c r="F174" s="17"/>
    </row>
    <row r="175" ht="15.75" customHeight="1">
      <c r="A175" s="15"/>
      <c r="B175" s="15"/>
      <c r="C175" s="15"/>
      <c r="D175" s="15"/>
      <c r="F175" s="17"/>
    </row>
    <row r="176" ht="15.75" customHeight="1">
      <c r="A176" s="15"/>
      <c r="B176" s="15"/>
      <c r="C176" s="15"/>
      <c r="D176" s="15"/>
      <c r="F176" s="17"/>
    </row>
    <row r="177" ht="15.75" customHeight="1">
      <c r="A177" s="15"/>
      <c r="B177" s="15"/>
      <c r="C177" s="15"/>
      <c r="D177" s="15"/>
      <c r="F177" s="17"/>
    </row>
    <row r="178" ht="15.75" customHeight="1">
      <c r="A178" s="15"/>
      <c r="B178" s="15"/>
      <c r="C178" s="15"/>
      <c r="D178" s="15"/>
      <c r="F178" s="17"/>
    </row>
    <row r="179" ht="15.75" customHeight="1">
      <c r="A179" s="15"/>
      <c r="B179" s="15"/>
      <c r="C179" s="15"/>
      <c r="D179" s="15"/>
      <c r="F179" s="17"/>
    </row>
    <row r="180" ht="15.75" customHeight="1">
      <c r="A180" s="15"/>
      <c r="B180" s="15"/>
      <c r="C180" s="15"/>
      <c r="D180" s="15"/>
      <c r="F180" s="17"/>
    </row>
    <row r="181" ht="15.75" customHeight="1">
      <c r="A181" s="15"/>
      <c r="B181" s="15"/>
      <c r="C181" s="15"/>
      <c r="D181" s="15"/>
      <c r="F181" s="17"/>
    </row>
    <row r="182" ht="15.75" customHeight="1">
      <c r="A182" s="15"/>
      <c r="B182" s="15"/>
      <c r="C182" s="15"/>
      <c r="D182" s="15"/>
      <c r="F182" s="17"/>
    </row>
    <row r="183" ht="15.75" customHeight="1">
      <c r="A183" s="15"/>
      <c r="B183" s="15"/>
      <c r="C183" s="15"/>
      <c r="D183" s="15"/>
      <c r="F183" s="17"/>
    </row>
    <row r="184" ht="15.75" customHeight="1">
      <c r="A184" s="15"/>
      <c r="B184" s="15"/>
      <c r="C184" s="15"/>
      <c r="D184" s="15"/>
      <c r="F184" s="17"/>
    </row>
    <row r="185" ht="15.75" customHeight="1">
      <c r="A185" s="15"/>
      <c r="B185" s="15"/>
      <c r="C185" s="15"/>
      <c r="D185" s="15"/>
      <c r="F185" s="17"/>
    </row>
    <row r="186" ht="15.75" customHeight="1">
      <c r="A186" s="15"/>
      <c r="B186" s="15"/>
      <c r="C186" s="15"/>
      <c r="D186" s="15"/>
      <c r="F186" s="17"/>
    </row>
    <row r="187" ht="15.75" customHeight="1">
      <c r="A187" s="15"/>
      <c r="B187" s="15"/>
      <c r="C187" s="15"/>
      <c r="D187" s="15"/>
      <c r="F187" s="17"/>
    </row>
    <row r="188" ht="15.75" customHeight="1">
      <c r="A188" s="15"/>
      <c r="B188" s="15"/>
      <c r="C188" s="15"/>
      <c r="D188" s="15"/>
      <c r="F188" s="17"/>
    </row>
    <row r="189" ht="15.75" customHeight="1">
      <c r="A189" s="15"/>
      <c r="B189" s="15"/>
      <c r="C189" s="15"/>
      <c r="D189" s="15"/>
      <c r="F189" s="17"/>
    </row>
    <row r="190" ht="15.75" customHeight="1">
      <c r="A190" s="15"/>
      <c r="B190" s="15"/>
      <c r="C190" s="15"/>
      <c r="D190" s="15"/>
      <c r="F190" s="17"/>
    </row>
    <row r="191" ht="15.75" customHeight="1">
      <c r="A191" s="15"/>
      <c r="B191" s="15"/>
      <c r="C191" s="15"/>
      <c r="D191" s="15"/>
      <c r="F191" s="17"/>
    </row>
    <row r="192" ht="15.75" customHeight="1">
      <c r="A192" s="15"/>
      <c r="B192" s="15"/>
      <c r="C192" s="15"/>
      <c r="D192" s="15"/>
      <c r="F192" s="17"/>
    </row>
    <row r="193" ht="15.75" customHeight="1">
      <c r="A193" s="15"/>
      <c r="B193" s="15"/>
      <c r="C193" s="15"/>
      <c r="D193" s="15"/>
      <c r="F193" s="17"/>
    </row>
    <row r="194" ht="15.75" customHeight="1">
      <c r="A194" s="15"/>
      <c r="B194" s="15"/>
      <c r="C194" s="15"/>
      <c r="D194" s="15"/>
      <c r="F194" s="17"/>
    </row>
    <row r="195" ht="15.75" customHeight="1">
      <c r="A195" s="15"/>
      <c r="B195" s="15"/>
      <c r="C195" s="15"/>
      <c r="D195" s="15"/>
      <c r="F195" s="17"/>
    </row>
    <row r="196" ht="15.75" customHeight="1">
      <c r="A196" s="15"/>
      <c r="B196" s="15"/>
      <c r="C196" s="15"/>
      <c r="D196" s="15"/>
      <c r="F196" s="17"/>
    </row>
    <row r="197" ht="15.75" customHeight="1">
      <c r="A197" s="15"/>
      <c r="B197" s="15"/>
      <c r="C197" s="15"/>
      <c r="D197" s="15"/>
      <c r="F197" s="17"/>
    </row>
    <row r="198" ht="15.75" customHeight="1">
      <c r="A198" s="15"/>
      <c r="B198" s="15"/>
      <c r="C198" s="15"/>
      <c r="D198" s="15"/>
      <c r="F198" s="17"/>
    </row>
    <row r="199" ht="15.75" customHeight="1">
      <c r="A199" s="15"/>
      <c r="B199" s="15"/>
      <c r="C199" s="15"/>
      <c r="D199" s="15"/>
      <c r="F199" s="17"/>
    </row>
    <row r="200" ht="15.75" customHeight="1">
      <c r="A200" s="15"/>
      <c r="B200" s="15"/>
      <c r="C200" s="15"/>
      <c r="D200" s="15"/>
      <c r="F200" s="17"/>
    </row>
    <row r="201" ht="15.75" customHeight="1">
      <c r="A201" s="15"/>
      <c r="B201" s="15"/>
      <c r="C201" s="15"/>
      <c r="D201" s="15"/>
      <c r="F201" s="17"/>
    </row>
    <row r="202" ht="15.75" customHeight="1">
      <c r="A202" s="15"/>
      <c r="B202" s="15"/>
      <c r="C202" s="15"/>
      <c r="D202" s="15"/>
      <c r="F202" s="17"/>
    </row>
    <row r="203" ht="15.75" customHeight="1">
      <c r="A203" s="15"/>
      <c r="B203" s="15"/>
      <c r="C203" s="15"/>
      <c r="D203" s="15"/>
      <c r="F203" s="17"/>
    </row>
    <row r="204" ht="15.75" customHeight="1">
      <c r="A204" s="15"/>
      <c r="B204" s="15"/>
      <c r="C204" s="15"/>
      <c r="D204" s="15"/>
      <c r="F204" s="17"/>
    </row>
    <row r="205" ht="15.75" customHeight="1">
      <c r="A205" s="15"/>
      <c r="B205" s="15"/>
      <c r="C205" s="15"/>
      <c r="D205" s="15"/>
      <c r="F205" s="17"/>
    </row>
    <row r="206" ht="15.75" customHeight="1">
      <c r="A206" s="15"/>
      <c r="B206" s="15"/>
      <c r="C206" s="15"/>
      <c r="D206" s="15"/>
      <c r="F206" s="17"/>
    </row>
    <row r="207" ht="15.75" customHeight="1">
      <c r="A207" s="15"/>
      <c r="B207" s="15"/>
      <c r="C207" s="15"/>
      <c r="D207" s="15"/>
      <c r="F207" s="17"/>
    </row>
    <row r="208" ht="15.75" customHeight="1">
      <c r="A208" s="15"/>
      <c r="B208" s="15"/>
      <c r="C208" s="15"/>
      <c r="D208" s="15"/>
      <c r="F208" s="17"/>
    </row>
    <row r="209" ht="15.75" customHeight="1">
      <c r="A209" s="15"/>
      <c r="B209" s="15"/>
      <c r="C209" s="15"/>
      <c r="D209" s="15"/>
      <c r="F209" s="17"/>
    </row>
    <row r="210" ht="15.75" customHeight="1">
      <c r="A210" s="15"/>
      <c r="B210" s="15"/>
      <c r="C210" s="15"/>
      <c r="D210" s="15"/>
      <c r="F210" s="17"/>
    </row>
    <row r="211" ht="15.75" customHeight="1">
      <c r="A211" s="15"/>
      <c r="B211" s="15"/>
      <c r="C211" s="15"/>
      <c r="D211" s="15"/>
      <c r="F211" s="17"/>
    </row>
    <row r="212" ht="15.75" customHeight="1">
      <c r="A212" s="15"/>
      <c r="B212" s="15"/>
      <c r="C212" s="15"/>
      <c r="D212" s="15"/>
      <c r="F212" s="17"/>
    </row>
    <row r="213" ht="15.75" customHeight="1">
      <c r="A213" s="15"/>
      <c r="B213" s="15"/>
      <c r="C213" s="15"/>
      <c r="D213" s="15"/>
      <c r="F213" s="17"/>
    </row>
    <row r="214" ht="15.75" customHeight="1">
      <c r="A214" s="15"/>
      <c r="B214" s="15"/>
      <c r="C214" s="15"/>
      <c r="D214" s="15"/>
      <c r="F214" s="17"/>
    </row>
    <row r="215" ht="15.75" customHeight="1">
      <c r="A215" s="15"/>
      <c r="B215" s="15"/>
      <c r="C215" s="15"/>
      <c r="D215" s="15"/>
      <c r="F215" s="17"/>
    </row>
    <row r="216" ht="15.75" customHeight="1">
      <c r="A216" s="15"/>
      <c r="B216" s="15"/>
      <c r="C216" s="15"/>
      <c r="D216" s="15"/>
      <c r="F216" s="17"/>
    </row>
    <row r="217" ht="15.75" customHeight="1">
      <c r="A217" s="15"/>
      <c r="B217" s="15"/>
      <c r="C217" s="15"/>
      <c r="D217" s="15"/>
      <c r="F217" s="17"/>
    </row>
    <row r="218" ht="15.75" customHeight="1">
      <c r="A218" s="15"/>
      <c r="B218" s="15"/>
      <c r="C218" s="15"/>
      <c r="D218" s="15"/>
      <c r="F218" s="17"/>
    </row>
    <row r="219" ht="15.75" customHeight="1">
      <c r="A219" s="15"/>
      <c r="B219" s="15"/>
      <c r="C219" s="15"/>
      <c r="D219" s="15"/>
      <c r="F219" s="17"/>
    </row>
    <row r="220" ht="15.75" customHeight="1">
      <c r="A220" s="15"/>
      <c r="B220" s="15"/>
      <c r="C220" s="15"/>
      <c r="D220" s="15"/>
      <c r="F220" s="17"/>
    </row>
    <row r="221" ht="15.75" customHeight="1">
      <c r="A221" s="15"/>
      <c r="B221" s="15"/>
      <c r="C221" s="15"/>
      <c r="D221" s="15"/>
      <c r="F221" s="17"/>
    </row>
    <row r="222" ht="15.75" customHeight="1">
      <c r="A222" s="15"/>
      <c r="B222" s="15"/>
      <c r="C222" s="15"/>
      <c r="D222" s="15"/>
      <c r="F222" s="17"/>
    </row>
    <row r="223" ht="15.75" customHeight="1">
      <c r="A223" s="15"/>
      <c r="B223" s="15"/>
      <c r="C223" s="15"/>
      <c r="D223" s="15"/>
      <c r="F223" s="17"/>
    </row>
    <row r="224" ht="15.75" customHeight="1">
      <c r="A224" s="15"/>
      <c r="B224" s="15"/>
      <c r="C224" s="15"/>
      <c r="D224" s="15"/>
      <c r="F224" s="17"/>
    </row>
    <row r="225" ht="15.75" customHeight="1">
      <c r="A225" s="15"/>
      <c r="B225" s="15"/>
      <c r="C225" s="15"/>
      <c r="D225" s="15"/>
      <c r="F225" s="17"/>
    </row>
    <row r="226" ht="15.75" customHeight="1">
      <c r="A226" s="15"/>
      <c r="B226" s="15"/>
      <c r="C226" s="15"/>
      <c r="D226" s="15"/>
      <c r="F226" s="17"/>
    </row>
    <row r="227" ht="15.75" customHeight="1">
      <c r="A227" s="15"/>
      <c r="B227" s="15"/>
      <c r="C227" s="15"/>
      <c r="D227" s="15"/>
      <c r="F227" s="17"/>
    </row>
    <row r="228" ht="15.75" customHeight="1">
      <c r="A228" s="15"/>
      <c r="B228" s="15"/>
      <c r="C228" s="15"/>
      <c r="D228" s="15"/>
      <c r="F228" s="17"/>
    </row>
    <row r="229" ht="15.75" customHeight="1">
      <c r="A229" s="15"/>
      <c r="B229" s="15"/>
      <c r="C229" s="15"/>
      <c r="D229" s="15"/>
      <c r="F229" s="17"/>
    </row>
    <row r="230" ht="15.75" customHeight="1">
      <c r="A230" s="15"/>
      <c r="B230" s="15"/>
      <c r="C230" s="15"/>
      <c r="D230" s="15"/>
      <c r="F230" s="17"/>
    </row>
    <row r="231" ht="15.75" customHeight="1">
      <c r="A231" s="15"/>
      <c r="B231" s="15"/>
      <c r="C231" s="15"/>
      <c r="D231" s="15"/>
      <c r="F231" s="17"/>
    </row>
    <row r="232" ht="15.75" customHeight="1">
      <c r="A232" s="15"/>
      <c r="B232" s="15"/>
      <c r="C232" s="15"/>
      <c r="D232" s="15"/>
      <c r="F232" s="17"/>
    </row>
    <row r="233" ht="15.75" customHeight="1">
      <c r="A233" s="15"/>
      <c r="B233" s="15"/>
      <c r="C233" s="15"/>
      <c r="D233" s="15"/>
      <c r="F233" s="17"/>
    </row>
    <row r="234" ht="15.75" customHeight="1">
      <c r="A234" s="15"/>
      <c r="B234" s="15"/>
      <c r="C234" s="15"/>
      <c r="D234" s="15"/>
      <c r="F234" s="17"/>
    </row>
    <row r="235" ht="15.75" customHeight="1">
      <c r="A235" s="15"/>
      <c r="B235" s="15"/>
      <c r="C235" s="15"/>
      <c r="D235" s="15"/>
      <c r="F235" s="17"/>
    </row>
    <row r="236" ht="15.75" customHeight="1">
      <c r="A236" s="15"/>
      <c r="B236" s="15"/>
      <c r="C236" s="15"/>
      <c r="D236" s="15"/>
      <c r="F236" s="17"/>
    </row>
    <row r="237" ht="15.75" customHeight="1">
      <c r="A237" s="15"/>
      <c r="B237" s="15"/>
      <c r="C237" s="15"/>
      <c r="D237" s="15"/>
      <c r="F237" s="17"/>
    </row>
    <row r="238" ht="15.75" customHeight="1">
      <c r="A238" s="15"/>
      <c r="B238" s="15"/>
      <c r="C238" s="15"/>
      <c r="D238" s="15"/>
      <c r="F238" s="17"/>
    </row>
    <row r="239" ht="15.75" customHeight="1">
      <c r="A239" s="15"/>
      <c r="B239" s="15"/>
      <c r="C239" s="15"/>
      <c r="D239" s="15"/>
      <c r="F239" s="17"/>
    </row>
    <row r="240" ht="15.75" customHeight="1">
      <c r="A240" s="15"/>
      <c r="B240" s="15"/>
      <c r="C240" s="15"/>
      <c r="D240" s="15"/>
      <c r="F240" s="17"/>
    </row>
    <row r="241" ht="15.75" customHeight="1">
      <c r="A241" s="15"/>
      <c r="B241" s="15"/>
      <c r="C241" s="15"/>
      <c r="D241" s="15"/>
      <c r="F241" s="17"/>
    </row>
    <row r="242" ht="15.75" customHeight="1">
      <c r="A242" s="15"/>
      <c r="B242" s="15"/>
      <c r="C242" s="15"/>
      <c r="D242" s="15"/>
      <c r="F242" s="17"/>
    </row>
    <row r="243" ht="15.75" customHeight="1">
      <c r="A243" s="15"/>
      <c r="B243" s="15"/>
      <c r="C243" s="15"/>
      <c r="D243" s="15"/>
      <c r="F243" s="17"/>
    </row>
    <row r="244" ht="15.75" customHeight="1">
      <c r="A244" s="15"/>
      <c r="B244" s="15"/>
      <c r="C244" s="15"/>
      <c r="D244" s="15"/>
      <c r="F244" s="17"/>
    </row>
    <row r="245" ht="15.75" customHeight="1">
      <c r="A245" s="15"/>
      <c r="B245" s="15"/>
      <c r="C245" s="15"/>
      <c r="D245" s="15"/>
      <c r="F245" s="17"/>
    </row>
    <row r="246" ht="15.75" customHeight="1">
      <c r="A246" s="15"/>
      <c r="B246" s="15"/>
      <c r="C246" s="15"/>
      <c r="D246" s="15"/>
      <c r="F246" s="17"/>
    </row>
    <row r="247" ht="15.75" customHeight="1">
      <c r="A247" s="15"/>
      <c r="B247" s="15"/>
      <c r="C247" s="15"/>
      <c r="D247" s="15"/>
      <c r="F247" s="17"/>
    </row>
    <row r="248" ht="15.75" customHeight="1">
      <c r="A248" s="15"/>
      <c r="B248" s="15"/>
      <c r="C248" s="15"/>
      <c r="D248" s="15"/>
      <c r="F248" s="17"/>
    </row>
    <row r="249" ht="15.75" customHeight="1">
      <c r="A249" s="15"/>
      <c r="B249" s="15"/>
      <c r="C249" s="15"/>
      <c r="D249" s="15"/>
      <c r="F249" s="17"/>
    </row>
    <row r="250" ht="15.75" customHeight="1">
      <c r="A250" s="15"/>
      <c r="B250" s="15"/>
      <c r="C250" s="15"/>
      <c r="D250" s="15"/>
      <c r="F250" s="17"/>
    </row>
    <row r="251" ht="15.75" customHeight="1">
      <c r="A251" s="15"/>
      <c r="B251" s="15"/>
      <c r="C251" s="15"/>
      <c r="D251" s="15"/>
      <c r="F251" s="17"/>
    </row>
    <row r="252" ht="15.75" customHeight="1">
      <c r="A252" s="15"/>
      <c r="B252" s="15"/>
      <c r="C252" s="15"/>
      <c r="D252" s="15"/>
      <c r="F252" s="17"/>
    </row>
    <row r="253" ht="15.75" customHeight="1">
      <c r="A253" s="15"/>
      <c r="B253" s="15"/>
      <c r="C253" s="15"/>
      <c r="D253" s="15"/>
      <c r="F253" s="17"/>
    </row>
    <row r="254" ht="15.75" customHeight="1">
      <c r="A254" s="15"/>
      <c r="B254" s="15"/>
      <c r="C254" s="15"/>
      <c r="D254" s="15"/>
      <c r="F254" s="17"/>
    </row>
    <row r="255" ht="15.75" customHeight="1">
      <c r="A255" s="15"/>
      <c r="B255" s="15"/>
      <c r="C255" s="15"/>
      <c r="D255" s="15"/>
      <c r="F255" s="17"/>
    </row>
    <row r="256" ht="15.75" customHeight="1">
      <c r="A256" s="15"/>
      <c r="B256" s="15"/>
      <c r="C256" s="15"/>
      <c r="D256" s="15"/>
      <c r="F256" s="17"/>
    </row>
    <row r="257" ht="15.75" customHeight="1">
      <c r="A257" s="15"/>
      <c r="B257" s="15"/>
      <c r="C257" s="15"/>
      <c r="D257" s="15"/>
      <c r="F257" s="17"/>
    </row>
    <row r="258" ht="15.75" customHeight="1">
      <c r="A258" s="15"/>
      <c r="B258" s="15"/>
      <c r="C258" s="15"/>
      <c r="D258" s="15"/>
      <c r="F258" s="17"/>
    </row>
    <row r="259" ht="15.75" customHeight="1">
      <c r="A259" s="15"/>
      <c r="B259" s="15"/>
      <c r="C259" s="15"/>
      <c r="D259" s="15"/>
      <c r="F259" s="17"/>
    </row>
    <row r="260" ht="15.75" customHeight="1">
      <c r="A260" s="15"/>
      <c r="B260" s="15"/>
      <c r="C260" s="15"/>
      <c r="D260" s="15"/>
      <c r="F260" s="17"/>
    </row>
    <row r="261" ht="15.75" customHeight="1">
      <c r="A261" s="15"/>
      <c r="B261" s="15"/>
      <c r="C261" s="15"/>
      <c r="D261" s="15"/>
      <c r="F261" s="17"/>
    </row>
    <row r="262" ht="15.75" customHeight="1">
      <c r="A262" s="15"/>
      <c r="B262" s="15"/>
      <c r="C262" s="15"/>
      <c r="D262" s="15"/>
      <c r="F262" s="17"/>
    </row>
    <row r="263" ht="15.75" customHeight="1">
      <c r="A263" s="15"/>
      <c r="B263" s="15"/>
      <c r="C263" s="15"/>
      <c r="D263" s="15"/>
      <c r="F263" s="17"/>
    </row>
    <row r="264" ht="15.75" customHeight="1">
      <c r="A264" s="15"/>
      <c r="B264" s="15"/>
      <c r="C264" s="15"/>
      <c r="D264" s="15"/>
      <c r="F264" s="17"/>
    </row>
    <row r="265" ht="15.75" customHeight="1">
      <c r="A265" s="15"/>
      <c r="B265" s="15"/>
      <c r="C265" s="15"/>
      <c r="D265" s="15"/>
      <c r="F265" s="17"/>
    </row>
    <row r="266" ht="15.75" customHeight="1">
      <c r="A266" s="15"/>
      <c r="B266" s="15"/>
      <c r="C266" s="15"/>
      <c r="D266" s="15"/>
      <c r="F266" s="17"/>
    </row>
    <row r="267" ht="15.75" customHeight="1">
      <c r="A267" s="15"/>
      <c r="B267" s="15"/>
      <c r="C267" s="15"/>
      <c r="D267" s="15"/>
      <c r="F267" s="17"/>
    </row>
    <row r="268" ht="15.75" customHeight="1">
      <c r="A268" s="15"/>
      <c r="B268" s="15"/>
      <c r="C268" s="15"/>
      <c r="D268" s="15"/>
      <c r="F268" s="17"/>
    </row>
    <row r="269" ht="15.75" customHeight="1">
      <c r="A269" s="15"/>
      <c r="B269" s="15"/>
      <c r="C269" s="15"/>
      <c r="D269" s="15"/>
      <c r="F269" s="17"/>
    </row>
    <row r="270" ht="15.75" customHeight="1">
      <c r="A270" s="15"/>
      <c r="B270" s="15"/>
      <c r="C270" s="15"/>
      <c r="D270" s="15"/>
      <c r="F270" s="17"/>
    </row>
    <row r="271" ht="15.75" customHeight="1">
      <c r="A271" s="15"/>
      <c r="B271" s="15"/>
      <c r="C271" s="15"/>
      <c r="D271" s="15"/>
      <c r="F271" s="17"/>
    </row>
    <row r="272" ht="15.75" customHeight="1">
      <c r="A272" s="15"/>
      <c r="B272" s="15"/>
      <c r="C272" s="15"/>
      <c r="D272" s="15"/>
      <c r="F272" s="17"/>
    </row>
    <row r="273" ht="15.75" customHeight="1">
      <c r="A273" s="15"/>
      <c r="B273" s="15"/>
      <c r="C273" s="15"/>
      <c r="D273" s="15"/>
      <c r="F273" s="17"/>
    </row>
    <row r="274" ht="15.75" customHeight="1">
      <c r="A274" s="15"/>
      <c r="B274" s="15"/>
      <c r="C274" s="15"/>
      <c r="D274" s="15"/>
      <c r="F274" s="17"/>
    </row>
    <row r="275" ht="15.75" customHeight="1">
      <c r="A275" s="15"/>
      <c r="B275" s="15"/>
      <c r="C275" s="15"/>
      <c r="D275" s="15"/>
      <c r="F275" s="17"/>
    </row>
    <row r="276" ht="15.75" customHeight="1">
      <c r="A276" s="15"/>
      <c r="B276" s="15"/>
      <c r="C276" s="15"/>
      <c r="D276" s="15"/>
      <c r="F276" s="17"/>
    </row>
    <row r="277" ht="15.75" customHeight="1">
      <c r="A277" s="15"/>
      <c r="B277" s="15"/>
      <c r="C277" s="15"/>
      <c r="D277" s="15"/>
      <c r="F277" s="17"/>
    </row>
    <row r="278" ht="15.75" customHeight="1">
      <c r="A278" s="15"/>
      <c r="B278" s="15"/>
      <c r="C278" s="15"/>
      <c r="D278" s="15"/>
      <c r="F278" s="17"/>
    </row>
    <row r="279" ht="15.75" customHeight="1">
      <c r="A279" s="15"/>
      <c r="B279" s="15"/>
      <c r="C279" s="15"/>
      <c r="D279" s="15"/>
      <c r="F279" s="17"/>
    </row>
    <row r="280" ht="15.75" customHeight="1">
      <c r="A280" s="15"/>
      <c r="B280" s="15"/>
      <c r="C280" s="15"/>
      <c r="D280" s="15"/>
      <c r="F280" s="17"/>
    </row>
    <row r="281" ht="15.75" customHeight="1">
      <c r="A281" s="15"/>
      <c r="B281" s="15"/>
      <c r="C281" s="15"/>
      <c r="D281" s="15"/>
      <c r="F281" s="17"/>
    </row>
    <row r="282" ht="15.75" customHeight="1">
      <c r="A282" s="15"/>
      <c r="B282" s="15"/>
      <c r="C282" s="15"/>
      <c r="D282" s="15"/>
      <c r="F282" s="17"/>
    </row>
    <row r="283" ht="15.75" customHeight="1">
      <c r="A283" s="15"/>
      <c r="B283" s="15"/>
      <c r="C283" s="15"/>
      <c r="D283" s="15"/>
      <c r="F283" s="17"/>
    </row>
    <row r="284" ht="15.75" customHeight="1">
      <c r="A284" s="15"/>
      <c r="B284" s="15"/>
      <c r="C284" s="15"/>
      <c r="D284" s="15"/>
      <c r="F284" s="17"/>
    </row>
    <row r="285" ht="15.75" customHeight="1">
      <c r="A285" s="15"/>
      <c r="B285" s="15"/>
      <c r="C285" s="15"/>
      <c r="D285" s="15"/>
      <c r="F285" s="17"/>
    </row>
    <row r="286" ht="15.75" customHeight="1">
      <c r="A286" s="15"/>
      <c r="B286" s="15"/>
      <c r="C286" s="15"/>
      <c r="D286" s="15"/>
      <c r="F286" s="17"/>
    </row>
    <row r="287" ht="15.75" customHeight="1">
      <c r="A287" s="15"/>
      <c r="B287" s="15"/>
      <c r="C287" s="15"/>
      <c r="D287" s="15"/>
      <c r="F287" s="17"/>
    </row>
    <row r="288" ht="15.75" customHeight="1">
      <c r="A288" s="15"/>
      <c r="B288" s="15"/>
      <c r="C288" s="15"/>
      <c r="D288" s="15"/>
      <c r="F288" s="17"/>
    </row>
    <row r="289" ht="15.75" customHeight="1">
      <c r="A289" s="15"/>
      <c r="B289" s="15"/>
      <c r="C289" s="15"/>
      <c r="D289" s="15"/>
      <c r="F289" s="17"/>
    </row>
    <row r="290" ht="15.75" customHeight="1">
      <c r="A290" s="15"/>
      <c r="B290" s="15"/>
      <c r="C290" s="15"/>
      <c r="D290" s="15"/>
      <c r="F290" s="17"/>
    </row>
    <row r="291" ht="15.75" customHeight="1">
      <c r="A291" s="15"/>
      <c r="B291" s="15"/>
      <c r="C291" s="15"/>
      <c r="D291" s="15"/>
      <c r="F291" s="17"/>
    </row>
    <row r="292" ht="15.75" customHeight="1">
      <c r="A292" s="15"/>
      <c r="B292" s="15"/>
      <c r="C292" s="15"/>
      <c r="D292" s="15"/>
      <c r="F292" s="17"/>
    </row>
    <row r="293" ht="15.75" customHeight="1">
      <c r="A293" s="15"/>
      <c r="B293" s="15"/>
      <c r="C293" s="15"/>
      <c r="D293" s="15"/>
      <c r="F293" s="17"/>
    </row>
    <row r="294" ht="15.75" customHeight="1">
      <c r="A294" s="15"/>
      <c r="B294" s="15"/>
      <c r="C294" s="15"/>
      <c r="D294" s="15"/>
      <c r="F294" s="17"/>
    </row>
    <row r="295" ht="15.75" customHeight="1">
      <c r="A295" s="15"/>
      <c r="B295" s="15"/>
      <c r="C295" s="15"/>
      <c r="D295" s="15"/>
      <c r="F295" s="17"/>
    </row>
    <row r="296" ht="15.75" customHeight="1">
      <c r="A296" s="15"/>
      <c r="B296" s="15"/>
      <c r="C296" s="15"/>
      <c r="D296" s="15"/>
      <c r="F296" s="17"/>
    </row>
    <row r="297" ht="15.75" customHeight="1">
      <c r="A297" s="15"/>
      <c r="B297" s="15"/>
      <c r="C297" s="15"/>
      <c r="D297" s="15"/>
      <c r="F297" s="17"/>
    </row>
    <row r="298" ht="15.75" customHeight="1">
      <c r="A298" s="15"/>
      <c r="B298" s="15"/>
      <c r="C298" s="15"/>
      <c r="D298" s="15"/>
      <c r="F298" s="17"/>
    </row>
    <row r="299" ht="15.75" customHeight="1">
      <c r="A299" s="15"/>
      <c r="B299" s="15"/>
      <c r="C299" s="15"/>
      <c r="D299" s="15"/>
      <c r="F299" s="17"/>
    </row>
    <row r="300" ht="15.75" customHeight="1">
      <c r="A300" s="15"/>
      <c r="B300" s="15"/>
      <c r="C300" s="15"/>
      <c r="D300" s="15"/>
      <c r="F300" s="17"/>
    </row>
    <row r="301" ht="15.75" customHeight="1">
      <c r="A301" s="15"/>
      <c r="B301" s="15"/>
      <c r="C301" s="15"/>
      <c r="D301" s="15"/>
      <c r="F301" s="17"/>
    </row>
    <row r="302" ht="15.75" customHeight="1">
      <c r="A302" s="15"/>
      <c r="B302" s="15"/>
      <c r="C302" s="15"/>
      <c r="D302" s="15"/>
      <c r="F302" s="17"/>
    </row>
    <row r="303" ht="15.75" customHeight="1">
      <c r="A303" s="15"/>
      <c r="B303" s="15"/>
      <c r="C303" s="15"/>
      <c r="D303" s="15"/>
      <c r="F303" s="17"/>
    </row>
    <row r="304" ht="15.75" customHeight="1">
      <c r="A304" s="15"/>
      <c r="B304" s="15"/>
      <c r="C304" s="15"/>
      <c r="D304" s="15"/>
      <c r="F304" s="17"/>
    </row>
    <row r="305" ht="15.75" customHeight="1">
      <c r="A305" s="15"/>
      <c r="B305" s="15"/>
      <c r="C305" s="15"/>
      <c r="D305" s="15"/>
      <c r="F305" s="17"/>
    </row>
    <row r="306" ht="15.75" customHeight="1">
      <c r="A306" s="15"/>
      <c r="B306" s="15"/>
      <c r="C306" s="15"/>
      <c r="D306" s="15"/>
      <c r="F306" s="17"/>
    </row>
    <row r="307" ht="15.75" customHeight="1">
      <c r="A307" s="15"/>
      <c r="B307" s="15"/>
      <c r="C307" s="15"/>
      <c r="D307" s="15"/>
      <c r="F307" s="17"/>
    </row>
    <row r="308" ht="15.75" customHeight="1">
      <c r="A308" s="15"/>
      <c r="B308" s="15"/>
      <c r="C308" s="15"/>
      <c r="D308" s="15"/>
      <c r="F308" s="17"/>
    </row>
    <row r="309" ht="15.75" customHeight="1">
      <c r="A309" s="15"/>
      <c r="B309" s="15"/>
      <c r="C309" s="15"/>
      <c r="D309" s="15"/>
      <c r="F309" s="17"/>
    </row>
    <row r="310" ht="15.75" customHeight="1">
      <c r="A310" s="15"/>
      <c r="B310" s="15"/>
      <c r="C310" s="15"/>
      <c r="D310" s="15"/>
      <c r="F310" s="17"/>
    </row>
    <row r="311" ht="15.75" customHeight="1">
      <c r="A311" s="15"/>
      <c r="B311" s="15"/>
      <c r="C311" s="15"/>
      <c r="D311" s="15"/>
      <c r="F311" s="17"/>
    </row>
    <row r="312" ht="15.75" customHeight="1">
      <c r="A312" s="15"/>
      <c r="B312" s="15"/>
      <c r="C312" s="15"/>
      <c r="D312" s="15"/>
      <c r="F312" s="17"/>
    </row>
    <row r="313" ht="15.75" customHeight="1">
      <c r="A313" s="15"/>
      <c r="B313" s="15"/>
      <c r="C313" s="15"/>
      <c r="D313" s="15"/>
      <c r="F313" s="17"/>
    </row>
    <row r="314" ht="15.75" customHeight="1">
      <c r="A314" s="15"/>
      <c r="B314" s="15"/>
      <c r="C314" s="15"/>
      <c r="D314" s="15"/>
      <c r="F314" s="17"/>
    </row>
    <row r="315" ht="15.75" customHeight="1">
      <c r="A315" s="15"/>
      <c r="B315" s="15"/>
      <c r="C315" s="15"/>
      <c r="D315" s="15"/>
      <c r="F315" s="17"/>
    </row>
    <row r="316" ht="15.75" customHeight="1">
      <c r="A316" s="15"/>
      <c r="B316" s="15"/>
      <c r="C316" s="15"/>
      <c r="D316" s="15"/>
      <c r="F316" s="17"/>
    </row>
    <row r="317" ht="15.75" customHeight="1">
      <c r="A317" s="15"/>
      <c r="B317" s="15"/>
      <c r="C317" s="15"/>
      <c r="D317" s="15"/>
      <c r="F317" s="17"/>
    </row>
    <row r="318" ht="15.75" customHeight="1">
      <c r="A318" s="15"/>
      <c r="B318" s="15"/>
      <c r="C318" s="15"/>
      <c r="D318" s="15"/>
      <c r="F318" s="17"/>
    </row>
    <row r="319" ht="15.75" customHeight="1">
      <c r="A319" s="15"/>
      <c r="B319" s="15"/>
      <c r="C319" s="15"/>
      <c r="D319" s="15"/>
      <c r="F319" s="17"/>
    </row>
    <row r="320" ht="15.75" customHeight="1">
      <c r="A320" s="15"/>
      <c r="B320" s="15"/>
      <c r="C320" s="15"/>
      <c r="D320" s="15"/>
      <c r="F320" s="17"/>
    </row>
    <row r="321" ht="15.75" customHeight="1">
      <c r="A321" s="15"/>
      <c r="B321" s="15"/>
      <c r="C321" s="15"/>
      <c r="D321" s="15"/>
      <c r="F321" s="17"/>
    </row>
    <row r="322" ht="15.75" customHeight="1">
      <c r="A322" s="15"/>
      <c r="B322" s="15"/>
      <c r="C322" s="15"/>
      <c r="D322" s="15"/>
      <c r="F322" s="17"/>
    </row>
    <row r="323" ht="15.75" customHeight="1">
      <c r="A323" s="15"/>
      <c r="B323" s="15"/>
      <c r="C323" s="15"/>
      <c r="D323" s="15"/>
      <c r="F323" s="17"/>
    </row>
    <row r="324" ht="15.75" customHeight="1">
      <c r="A324" s="15"/>
      <c r="B324" s="15"/>
      <c r="C324" s="15"/>
      <c r="D324" s="15"/>
      <c r="F324" s="17"/>
    </row>
    <row r="325" ht="15.75" customHeight="1">
      <c r="A325" s="15"/>
      <c r="B325" s="15"/>
      <c r="C325" s="15"/>
      <c r="D325" s="15"/>
      <c r="F325" s="17"/>
    </row>
    <row r="326" ht="15.75" customHeight="1">
      <c r="A326" s="15"/>
      <c r="B326" s="15"/>
      <c r="C326" s="15"/>
      <c r="D326" s="15"/>
      <c r="F326" s="17"/>
    </row>
    <row r="327" ht="15.75" customHeight="1">
      <c r="A327" s="15"/>
      <c r="B327" s="15"/>
      <c r="C327" s="15"/>
      <c r="D327" s="15"/>
      <c r="F327" s="17"/>
    </row>
    <row r="328" ht="15.75" customHeight="1">
      <c r="A328" s="15"/>
      <c r="B328" s="15"/>
      <c r="C328" s="15"/>
      <c r="D328" s="15"/>
      <c r="F328" s="17"/>
    </row>
    <row r="329" ht="15.75" customHeight="1">
      <c r="A329" s="15"/>
      <c r="B329" s="15"/>
      <c r="C329" s="15"/>
      <c r="D329" s="15"/>
      <c r="F329" s="17"/>
    </row>
    <row r="330" ht="15.75" customHeight="1">
      <c r="A330" s="15"/>
      <c r="B330" s="15"/>
      <c r="C330" s="15"/>
      <c r="D330" s="15"/>
      <c r="F330" s="17"/>
    </row>
    <row r="331" ht="15.75" customHeight="1">
      <c r="A331" s="15"/>
      <c r="B331" s="15"/>
      <c r="C331" s="15"/>
      <c r="D331" s="15"/>
      <c r="F331" s="17"/>
    </row>
    <row r="332" ht="15.75" customHeight="1">
      <c r="A332" s="15"/>
      <c r="B332" s="15"/>
      <c r="C332" s="15"/>
      <c r="D332" s="15"/>
      <c r="F332" s="17"/>
    </row>
    <row r="333" ht="15.75" customHeight="1">
      <c r="A333" s="15"/>
      <c r="B333" s="15"/>
      <c r="C333" s="15"/>
      <c r="D333" s="15"/>
      <c r="F333" s="17"/>
    </row>
    <row r="334" ht="15.75" customHeight="1">
      <c r="A334" s="15"/>
      <c r="B334" s="15"/>
      <c r="C334" s="15"/>
      <c r="D334" s="15"/>
      <c r="F334" s="17"/>
    </row>
    <row r="335" ht="15.75" customHeight="1">
      <c r="A335" s="15"/>
      <c r="B335" s="15"/>
      <c r="C335" s="15"/>
      <c r="D335" s="15"/>
      <c r="F335" s="17"/>
    </row>
    <row r="336" ht="15.75" customHeight="1">
      <c r="A336" s="15"/>
      <c r="B336" s="15"/>
      <c r="C336" s="15"/>
      <c r="D336" s="15"/>
      <c r="F336" s="17"/>
    </row>
    <row r="337" ht="15.75" customHeight="1">
      <c r="A337" s="15"/>
      <c r="B337" s="15"/>
      <c r="C337" s="15"/>
      <c r="D337" s="15"/>
      <c r="F337" s="17"/>
    </row>
    <row r="338" ht="15.75" customHeight="1">
      <c r="A338" s="15"/>
      <c r="B338" s="15"/>
      <c r="C338" s="15"/>
      <c r="D338" s="15"/>
      <c r="F338" s="17"/>
    </row>
    <row r="339" ht="15.75" customHeight="1">
      <c r="A339" s="15"/>
      <c r="B339" s="15"/>
      <c r="C339" s="15"/>
      <c r="D339" s="15"/>
      <c r="F339" s="17"/>
    </row>
    <row r="340" ht="15.75" customHeight="1">
      <c r="A340" s="15"/>
      <c r="B340" s="15"/>
      <c r="C340" s="15"/>
      <c r="D340" s="15"/>
      <c r="F340" s="17"/>
    </row>
    <row r="341" ht="15.75" customHeight="1">
      <c r="A341" s="15"/>
      <c r="B341" s="15"/>
      <c r="C341" s="15"/>
      <c r="D341" s="15"/>
      <c r="F341" s="17"/>
    </row>
    <row r="342" ht="15.75" customHeight="1">
      <c r="A342" s="15"/>
      <c r="B342" s="15"/>
      <c r="C342" s="15"/>
      <c r="D342" s="15"/>
      <c r="F342" s="17"/>
    </row>
    <row r="343" ht="15.75" customHeight="1">
      <c r="A343" s="15"/>
      <c r="B343" s="15"/>
      <c r="C343" s="15"/>
      <c r="D343" s="15"/>
      <c r="F343" s="17"/>
    </row>
    <row r="344" ht="15.75" customHeight="1">
      <c r="A344" s="15"/>
      <c r="B344" s="15"/>
      <c r="C344" s="15"/>
      <c r="D344" s="15"/>
      <c r="F344" s="17"/>
    </row>
    <row r="345" ht="15.75" customHeight="1">
      <c r="A345" s="15"/>
      <c r="B345" s="15"/>
      <c r="C345" s="15"/>
      <c r="D345" s="15"/>
      <c r="F345" s="17"/>
    </row>
    <row r="346" ht="15.75" customHeight="1">
      <c r="A346" s="15"/>
      <c r="B346" s="15"/>
      <c r="C346" s="15"/>
      <c r="D346" s="15"/>
      <c r="F346" s="17"/>
    </row>
    <row r="347" ht="15.75" customHeight="1">
      <c r="A347" s="15"/>
      <c r="B347" s="15"/>
      <c r="C347" s="15"/>
      <c r="D347" s="15"/>
      <c r="F347" s="17"/>
    </row>
    <row r="348" ht="15.75" customHeight="1">
      <c r="A348" s="15"/>
      <c r="B348" s="15"/>
      <c r="C348" s="15"/>
      <c r="D348" s="15"/>
      <c r="F348" s="17"/>
    </row>
    <row r="349" ht="15.75" customHeight="1">
      <c r="A349" s="15"/>
      <c r="B349" s="15"/>
      <c r="C349" s="15"/>
      <c r="D349" s="15"/>
      <c r="F349" s="17"/>
    </row>
    <row r="350" ht="15.75" customHeight="1">
      <c r="A350" s="15"/>
      <c r="B350" s="15"/>
      <c r="C350" s="15"/>
      <c r="D350" s="15"/>
      <c r="F350" s="17"/>
    </row>
    <row r="351" ht="15.75" customHeight="1">
      <c r="A351" s="15"/>
      <c r="B351" s="15"/>
      <c r="C351" s="15"/>
      <c r="D351" s="15"/>
      <c r="F351" s="17"/>
    </row>
    <row r="352" ht="15.75" customHeight="1">
      <c r="A352" s="15"/>
      <c r="B352" s="15"/>
      <c r="C352" s="15"/>
      <c r="D352" s="15"/>
      <c r="F352" s="17"/>
    </row>
    <row r="353" ht="15.75" customHeight="1">
      <c r="A353" s="15"/>
      <c r="B353" s="15"/>
      <c r="C353" s="15"/>
      <c r="D353" s="15"/>
      <c r="F353" s="17"/>
    </row>
    <row r="354" ht="15.75" customHeight="1">
      <c r="A354" s="15"/>
      <c r="B354" s="15"/>
      <c r="C354" s="15"/>
      <c r="D354" s="15"/>
      <c r="F354" s="17"/>
    </row>
    <row r="355" ht="15.75" customHeight="1">
      <c r="A355" s="15"/>
      <c r="B355" s="15"/>
      <c r="C355" s="15"/>
      <c r="D355" s="15"/>
      <c r="F355" s="17"/>
    </row>
    <row r="356" ht="15.75" customHeight="1">
      <c r="A356" s="15"/>
      <c r="B356" s="15"/>
      <c r="C356" s="15"/>
      <c r="D356" s="15"/>
      <c r="F356" s="17"/>
    </row>
    <row r="357" ht="15.75" customHeight="1">
      <c r="A357" s="15"/>
      <c r="B357" s="15"/>
      <c r="C357" s="15"/>
      <c r="D357" s="15"/>
      <c r="F357" s="17"/>
    </row>
    <row r="358" ht="15.75" customHeight="1">
      <c r="A358" s="15"/>
      <c r="B358" s="15"/>
      <c r="C358" s="15"/>
      <c r="D358" s="15"/>
      <c r="F358" s="17"/>
    </row>
    <row r="359" ht="15.75" customHeight="1">
      <c r="A359" s="15"/>
      <c r="B359" s="15"/>
      <c r="C359" s="15"/>
      <c r="D359" s="15"/>
      <c r="F359" s="17"/>
    </row>
    <row r="360" ht="15.75" customHeight="1">
      <c r="A360" s="15"/>
      <c r="B360" s="15"/>
      <c r="C360" s="15"/>
      <c r="D360" s="15"/>
      <c r="F360" s="17"/>
    </row>
    <row r="361" ht="15.75" customHeight="1">
      <c r="A361" s="15"/>
      <c r="B361" s="15"/>
      <c r="C361" s="15"/>
      <c r="D361" s="15"/>
      <c r="F361" s="17"/>
    </row>
    <row r="362" ht="15.75" customHeight="1">
      <c r="A362" s="15"/>
      <c r="B362" s="15"/>
      <c r="C362" s="15"/>
      <c r="D362" s="15"/>
      <c r="F362" s="17"/>
    </row>
    <row r="363" ht="15.75" customHeight="1">
      <c r="A363" s="15"/>
      <c r="B363" s="15"/>
      <c r="C363" s="15"/>
      <c r="D363" s="15"/>
      <c r="F363" s="17"/>
    </row>
    <row r="364" ht="15.75" customHeight="1">
      <c r="A364" s="15"/>
      <c r="B364" s="15"/>
      <c r="C364" s="15"/>
      <c r="D364" s="15"/>
      <c r="F364" s="17"/>
    </row>
    <row r="365" ht="15.75" customHeight="1">
      <c r="A365" s="15"/>
      <c r="B365" s="15"/>
      <c r="C365" s="15"/>
      <c r="D365" s="15"/>
      <c r="F365" s="17"/>
    </row>
    <row r="366" ht="15.75" customHeight="1">
      <c r="A366" s="15"/>
      <c r="B366" s="15"/>
      <c r="C366" s="15"/>
      <c r="D366" s="15"/>
      <c r="F366" s="17"/>
    </row>
    <row r="367" ht="15.75" customHeight="1">
      <c r="A367" s="15"/>
      <c r="B367" s="15"/>
      <c r="C367" s="15"/>
      <c r="D367" s="15"/>
      <c r="F367" s="17"/>
    </row>
    <row r="368" ht="15.75" customHeight="1">
      <c r="A368" s="15"/>
      <c r="B368" s="15"/>
      <c r="C368" s="15"/>
      <c r="D368" s="15"/>
      <c r="F368" s="17"/>
    </row>
    <row r="369" ht="15.75" customHeight="1">
      <c r="A369" s="15"/>
      <c r="B369" s="15"/>
      <c r="C369" s="15"/>
      <c r="D369" s="15"/>
      <c r="F369" s="17"/>
    </row>
    <row r="370" ht="15.75" customHeight="1">
      <c r="A370" s="15"/>
      <c r="B370" s="15"/>
      <c r="C370" s="15"/>
      <c r="D370" s="15"/>
      <c r="F370" s="17"/>
    </row>
    <row r="371" ht="15.75" customHeight="1">
      <c r="A371" s="15"/>
      <c r="B371" s="15"/>
      <c r="C371" s="15"/>
      <c r="D371" s="15"/>
      <c r="F371" s="17"/>
    </row>
    <row r="372" ht="15.75" customHeight="1">
      <c r="A372" s="15"/>
      <c r="B372" s="15"/>
      <c r="C372" s="15"/>
      <c r="D372" s="15"/>
      <c r="F372" s="17"/>
    </row>
    <row r="373" ht="15.75" customHeight="1">
      <c r="A373" s="15"/>
      <c r="B373" s="15"/>
      <c r="C373" s="15"/>
      <c r="D373" s="15"/>
      <c r="F373" s="17"/>
    </row>
    <row r="374" ht="15.75" customHeight="1">
      <c r="A374" s="15"/>
      <c r="B374" s="15"/>
      <c r="C374" s="15"/>
      <c r="D374" s="15"/>
      <c r="F374" s="17"/>
    </row>
    <row r="375" ht="15.75" customHeight="1">
      <c r="A375" s="15"/>
      <c r="B375" s="15"/>
      <c r="C375" s="15"/>
      <c r="D375" s="15"/>
      <c r="F375" s="17"/>
    </row>
    <row r="376" ht="15.75" customHeight="1">
      <c r="A376" s="15"/>
      <c r="B376" s="15"/>
      <c r="C376" s="15"/>
      <c r="D376" s="15"/>
      <c r="F376" s="17"/>
    </row>
    <row r="377" ht="15.75" customHeight="1">
      <c r="A377" s="15"/>
      <c r="B377" s="15"/>
      <c r="C377" s="15"/>
      <c r="D377" s="15"/>
      <c r="F377" s="17"/>
    </row>
    <row r="378" ht="15.75" customHeight="1">
      <c r="A378" s="15"/>
      <c r="B378" s="15"/>
      <c r="C378" s="15"/>
      <c r="D378" s="15"/>
      <c r="F378" s="17"/>
    </row>
    <row r="379" ht="15.75" customHeight="1">
      <c r="A379" s="15"/>
      <c r="B379" s="15"/>
      <c r="C379" s="15"/>
      <c r="D379" s="15"/>
      <c r="F379" s="17"/>
    </row>
    <row r="380" ht="15.75" customHeight="1">
      <c r="A380" s="15"/>
      <c r="B380" s="15"/>
      <c r="C380" s="15"/>
      <c r="D380" s="15"/>
      <c r="F380" s="17"/>
    </row>
    <row r="381" ht="15.75" customHeight="1">
      <c r="A381" s="15"/>
      <c r="B381" s="15"/>
      <c r="C381" s="15"/>
      <c r="D381" s="15"/>
      <c r="F381" s="17"/>
    </row>
    <row r="382" ht="15.75" customHeight="1">
      <c r="A382" s="15"/>
      <c r="B382" s="15"/>
      <c r="C382" s="15"/>
      <c r="D382" s="15"/>
      <c r="F382" s="17"/>
    </row>
    <row r="383" ht="15.75" customHeight="1">
      <c r="A383" s="15"/>
      <c r="B383" s="15"/>
      <c r="C383" s="15"/>
      <c r="D383" s="15"/>
      <c r="F383" s="17"/>
    </row>
    <row r="384" ht="15.75" customHeight="1">
      <c r="A384" s="15"/>
      <c r="B384" s="15"/>
      <c r="C384" s="15"/>
      <c r="D384" s="15"/>
      <c r="F384" s="17"/>
    </row>
    <row r="385" ht="15.75" customHeight="1">
      <c r="A385" s="15"/>
      <c r="B385" s="15"/>
      <c r="C385" s="15"/>
      <c r="D385" s="15"/>
      <c r="F385" s="17"/>
    </row>
    <row r="386" ht="15.75" customHeight="1">
      <c r="A386" s="15"/>
      <c r="B386" s="15"/>
      <c r="C386" s="15"/>
      <c r="D386" s="15"/>
      <c r="F386" s="17"/>
    </row>
    <row r="387" ht="15.75" customHeight="1">
      <c r="A387" s="15"/>
      <c r="B387" s="15"/>
      <c r="C387" s="15"/>
      <c r="D387" s="15"/>
      <c r="F387" s="17"/>
    </row>
    <row r="388" ht="15.75" customHeight="1">
      <c r="A388" s="15"/>
      <c r="B388" s="15"/>
      <c r="C388" s="15"/>
      <c r="D388" s="15"/>
      <c r="F388" s="17"/>
    </row>
    <row r="389" ht="15.75" customHeight="1">
      <c r="A389" s="15"/>
      <c r="B389" s="15"/>
      <c r="C389" s="15"/>
      <c r="D389" s="15"/>
      <c r="F389" s="17"/>
    </row>
    <row r="390" ht="15.75" customHeight="1">
      <c r="A390" s="15"/>
      <c r="B390" s="15"/>
      <c r="C390" s="15"/>
      <c r="D390" s="15"/>
      <c r="F390" s="17"/>
    </row>
    <row r="391" ht="15.75" customHeight="1">
      <c r="A391" s="15"/>
      <c r="B391" s="15"/>
      <c r="C391" s="15"/>
      <c r="D391" s="15"/>
      <c r="F391" s="17"/>
    </row>
    <row r="392" ht="15.75" customHeight="1">
      <c r="A392" s="15"/>
      <c r="B392" s="15"/>
      <c r="C392" s="15"/>
      <c r="D392" s="15"/>
      <c r="F392" s="17"/>
    </row>
    <row r="393" ht="15.75" customHeight="1">
      <c r="A393" s="15"/>
      <c r="B393" s="15"/>
      <c r="C393" s="15"/>
      <c r="D393" s="15"/>
      <c r="F393" s="17"/>
    </row>
    <row r="394" ht="15.75" customHeight="1">
      <c r="A394" s="15"/>
      <c r="B394" s="15"/>
      <c r="C394" s="15"/>
      <c r="D394" s="15"/>
      <c r="F394" s="17"/>
    </row>
    <row r="395" ht="15.75" customHeight="1">
      <c r="A395" s="15"/>
      <c r="B395" s="15"/>
      <c r="C395" s="15"/>
      <c r="D395" s="15"/>
      <c r="F395" s="17"/>
    </row>
    <row r="396" ht="15.75" customHeight="1">
      <c r="A396" s="15"/>
      <c r="B396" s="15"/>
      <c r="C396" s="15"/>
      <c r="D396" s="15"/>
      <c r="F396" s="17"/>
    </row>
    <row r="397" ht="15.75" customHeight="1">
      <c r="A397" s="15"/>
      <c r="B397" s="15"/>
      <c r="C397" s="15"/>
      <c r="D397" s="15"/>
      <c r="F397" s="17"/>
    </row>
    <row r="398" ht="15.75" customHeight="1">
      <c r="A398" s="15"/>
      <c r="B398" s="15"/>
      <c r="C398" s="15"/>
      <c r="D398" s="15"/>
      <c r="F398" s="17"/>
    </row>
    <row r="399" ht="15.75" customHeight="1">
      <c r="A399" s="15"/>
      <c r="B399" s="15"/>
      <c r="C399" s="15"/>
      <c r="D399" s="15"/>
      <c r="F399" s="17"/>
    </row>
    <row r="400" ht="15.75" customHeight="1">
      <c r="A400" s="15"/>
      <c r="B400" s="15"/>
      <c r="C400" s="15"/>
      <c r="D400" s="15"/>
      <c r="F400" s="17"/>
    </row>
    <row r="401" ht="15.75" customHeight="1">
      <c r="A401" s="15"/>
      <c r="B401" s="15"/>
      <c r="C401" s="15"/>
      <c r="D401" s="15"/>
      <c r="F401" s="17"/>
    </row>
    <row r="402" ht="15.75" customHeight="1">
      <c r="A402" s="15"/>
      <c r="B402" s="15"/>
      <c r="C402" s="15"/>
      <c r="D402" s="15"/>
      <c r="F402" s="17"/>
    </row>
    <row r="403" ht="15.75" customHeight="1">
      <c r="A403" s="15"/>
      <c r="B403" s="15"/>
      <c r="C403" s="15"/>
      <c r="D403" s="15"/>
      <c r="F403" s="17"/>
    </row>
    <row r="404" ht="15.75" customHeight="1">
      <c r="A404" s="15"/>
      <c r="B404" s="15"/>
      <c r="C404" s="15"/>
      <c r="D404" s="15"/>
      <c r="F404" s="17"/>
    </row>
    <row r="405" ht="15.75" customHeight="1">
      <c r="A405" s="15"/>
      <c r="B405" s="15"/>
      <c r="C405" s="15"/>
      <c r="D405" s="15"/>
      <c r="F405" s="17"/>
    </row>
    <row r="406" ht="15.75" customHeight="1">
      <c r="A406" s="15"/>
      <c r="B406" s="15"/>
      <c r="C406" s="15"/>
      <c r="D406" s="15"/>
      <c r="F406" s="17"/>
    </row>
    <row r="407" ht="15.75" customHeight="1">
      <c r="A407" s="15"/>
      <c r="B407" s="15"/>
      <c r="C407" s="15"/>
      <c r="D407" s="15"/>
      <c r="F407" s="17"/>
    </row>
    <row r="408" ht="15.75" customHeight="1">
      <c r="A408" s="15"/>
      <c r="B408" s="15"/>
      <c r="C408" s="15"/>
      <c r="D408" s="15"/>
      <c r="F408" s="17"/>
    </row>
    <row r="409" ht="15.75" customHeight="1">
      <c r="A409" s="15"/>
      <c r="B409" s="15"/>
      <c r="C409" s="15"/>
      <c r="D409" s="15"/>
      <c r="F409" s="17"/>
    </row>
    <row r="410" ht="15.75" customHeight="1">
      <c r="A410" s="15"/>
      <c r="B410" s="15"/>
      <c r="C410" s="15"/>
      <c r="D410" s="15"/>
      <c r="F410" s="17"/>
    </row>
    <row r="411" ht="15.75" customHeight="1">
      <c r="A411" s="15"/>
      <c r="B411" s="15"/>
      <c r="C411" s="15"/>
      <c r="D411" s="15"/>
      <c r="F411" s="17"/>
    </row>
    <row r="412" ht="15.75" customHeight="1">
      <c r="A412" s="15"/>
      <c r="B412" s="15"/>
      <c r="C412" s="15"/>
      <c r="D412" s="15"/>
      <c r="F412" s="17"/>
    </row>
    <row r="413" ht="15.75" customHeight="1">
      <c r="A413" s="15"/>
      <c r="B413" s="15"/>
      <c r="C413" s="15"/>
      <c r="D413" s="15"/>
      <c r="F413" s="17"/>
    </row>
    <row r="414" ht="15.75" customHeight="1">
      <c r="A414" s="15"/>
      <c r="B414" s="15"/>
      <c r="C414" s="15"/>
      <c r="D414" s="15"/>
      <c r="F414" s="17"/>
    </row>
    <row r="415" ht="15.75" customHeight="1">
      <c r="A415" s="15"/>
      <c r="B415" s="15"/>
      <c r="C415" s="15"/>
      <c r="D415" s="15"/>
      <c r="F415" s="17"/>
    </row>
    <row r="416" ht="15.75" customHeight="1">
      <c r="A416" s="15"/>
      <c r="B416" s="15"/>
      <c r="C416" s="15"/>
      <c r="D416" s="15"/>
      <c r="F416" s="17"/>
    </row>
    <row r="417" ht="15.75" customHeight="1">
      <c r="A417" s="15"/>
      <c r="B417" s="15"/>
      <c r="C417" s="15"/>
      <c r="D417" s="15"/>
      <c r="F417" s="17"/>
    </row>
    <row r="418" ht="15.75" customHeight="1">
      <c r="A418" s="15"/>
      <c r="B418" s="15"/>
      <c r="C418" s="15"/>
      <c r="D418" s="15"/>
      <c r="F418" s="17"/>
    </row>
    <row r="419" ht="15.75" customHeight="1">
      <c r="A419" s="15"/>
      <c r="B419" s="15"/>
      <c r="C419" s="15"/>
      <c r="D419" s="15"/>
      <c r="F419" s="17"/>
    </row>
    <row r="420" ht="15.75" customHeight="1">
      <c r="A420" s="15"/>
      <c r="B420" s="15"/>
      <c r="C420" s="15"/>
      <c r="D420" s="15"/>
      <c r="F420" s="17"/>
    </row>
    <row r="421" ht="15.75" customHeight="1">
      <c r="A421" s="15"/>
      <c r="B421" s="15"/>
      <c r="C421" s="15"/>
      <c r="D421" s="15"/>
      <c r="F421" s="17"/>
    </row>
    <row r="422" ht="15.75" customHeight="1">
      <c r="A422" s="15"/>
      <c r="B422" s="15"/>
      <c r="C422" s="15"/>
      <c r="D422" s="15"/>
      <c r="F422" s="17"/>
    </row>
    <row r="423" ht="15.75" customHeight="1">
      <c r="A423" s="15"/>
      <c r="B423" s="15"/>
      <c r="C423" s="15"/>
      <c r="D423" s="15"/>
      <c r="F423" s="17"/>
    </row>
    <row r="424" ht="15.75" customHeight="1">
      <c r="A424" s="15"/>
      <c r="B424" s="15"/>
      <c r="C424" s="15"/>
      <c r="D424" s="15"/>
      <c r="F424" s="17"/>
    </row>
    <row r="425" ht="15.75" customHeight="1">
      <c r="A425" s="15"/>
      <c r="B425" s="15"/>
      <c r="C425" s="15"/>
      <c r="D425" s="15"/>
      <c r="F425" s="17"/>
    </row>
    <row r="426" ht="15.75" customHeight="1">
      <c r="A426" s="15"/>
      <c r="B426" s="15"/>
      <c r="C426" s="15"/>
      <c r="D426" s="15"/>
      <c r="F426" s="17"/>
    </row>
    <row r="427" ht="15.75" customHeight="1">
      <c r="A427" s="15"/>
      <c r="B427" s="15"/>
      <c r="C427" s="15"/>
      <c r="D427" s="15"/>
      <c r="F427" s="17"/>
    </row>
    <row r="428" ht="15.75" customHeight="1">
      <c r="A428" s="15"/>
      <c r="B428" s="15"/>
      <c r="C428" s="15"/>
      <c r="D428" s="15"/>
      <c r="F428" s="17"/>
    </row>
    <row r="429" ht="15.75" customHeight="1">
      <c r="A429" s="15"/>
      <c r="B429" s="15"/>
      <c r="C429" s="15"/>
      <c r="D429" s="15"/>
      <c r="F429" s="17"/>
    </row>
    <row r="430" ht="15.75" customHeight="1">
      <c r="A430" s="15"/>
      <c r="B430" s="15"/>
      <c r="C430" s="15"/>
      <c r="D430" s="15"/>
      <c r="F430" s="17"/>
    </row>
    <row r="431" ht="15.75" customHeight="1">
      <c r="A431" s="15"/>
      <c r="B431" s="15"/>
      <c r="C431" s="15"/>
      <c r="D431" s="15"/>
      <c r="F431" s="17"/>
    </row>
    <row r="432" ht="15.75" customHeight="1">
      <c r="A432" s="15"/>
      <c r="B432" s="15"/>
      <c r="C432" s="15"/>
      <c r="D432" s="15"/>
      <c r="F432" s="17"/>
    </row>
    <row r="433" ht="15.75" customHeight="1">
      <c r="A433" s="15"/>
      <c r="B433" s="15"/>
      <c r="C433" s="15"/>
      <c r="D433" s="15"/>
      <c r="F433" s="17"/>
    </row>
    <row r="434" ht="15.75" customHeight="1">
      <c r="A434" s="15"/>
      <c r="B434" s="15"/>
      <c r="C434" s="15"/>
      <c r="D434" s="15"/>
      <c r="F434" s="17"/>
    </row>
    <row r="435" ht="15.75" customHeight="1">
      <c r="A435" s="15"/>
      <c r="B435" s="15"/>
      <c r="C435" s="15"/>
      <c r="D435" s="15"/>
      <c r="F435" s="17"/>
    </row>
    <row r="436" ht="15.75" customHeight="1">
      <c r="A436" s="15"/>
      <c r="B436" s="15"/>
      <c r="C436" s="15"/>
      <c r="D436" s="15"/>
      <c r="F436" s="17"/>
    </row>
    <row r="437" ht="15.75" customHeight="1">
      <c r="A437" s="15"/>
      <c r="B437" s="15"/>
      <c r="C437" s="15"/>
      <c r="D437" s="15"/>
      <c r="F437" s="17"/>
    </row>
    <row r="438" ht="15.75" customHeight="1">
      <c r="A438" s="15"/>
      <c r="B438" s="15"/>
      <c r="C438" s="15"/>
      <c r="D438" s="15"/>
      <c r="F438" s="17"/>
    </row>
    <row r="439" ht="15.75" customHeight="1">
      <c r="A439" s="15"/>
      <c r="B439" s="15"/>
      <c r="C439" s="15"/>
      <c r="D439" s="15"/>
      <c r="F439" s="17"/>
    </row>
    <row r="440" ht="15.75" customHeight="1">
      <c r="A440" s="15"/>
      <c r="B440" s="15"/>
      <c r="C440" s="15"/>
      <c r="D440" s="15"/>
      <c r="F440" s="17"/>
    </row>
    <row r="441" ht="15.75" customHeight="1">
      <c r="A441" s="15"/>
      <c r="B441" s="15"/>
      <c r="C441" s="15"/>
      <c r="D441" s="15"/>
      <c r="F441" s="17"/>
    </row>
    <row r="442" ht="15.75" customHeight="1">
      <c r="A442" s="15"/>
      <c r="B442" s="15"/>
      <c r="C442" s="15"/>
      <c r="D442" s="15"/>
      <c r="F442" s="17"/>
    </row>
    <row r="443" ht="15.75" customHeight="1">
      <c r="A443" s="15"/>
      <c r="B443" s="15"/>
      <c r="C443" s="15"/>
      <c r="D443" s="15"/>
      <c r="F443" s="17"/>
    </row>
    <row r="444" ht="15.75" customHeight="1">
      <c r="A444" s="15"/>
      <c r="B444" s="15"/>
      <c r="C444" s="15"/>
      <c r="D444" s="15"/>
      <c r="F444" s="17"/>
    </row>
    <row r="445" ht="15.75" customHeight="1">
      <c r="A445" s="15"/>
      <c r="B445" s="15"/>
      <c r="C445" s="15"/>
      <c r="D445" s="15"/>
      <c r="F445" s="17"/>
    </row>
    <row r="446" ht="15.75" customHeight="1">
      <c r="A446" s="15"/>
      <c r="B446" s="15"/>
      <c r="C446" s="15"/>
      <c r="D446" s="15"/>
      <c r="F446" s="17"/>
    </row>
    <row r="447" ht="15.75" customHeight="1">
      <c r="A447" s="15"/>
      <c r="B447" s="15"/>
      <c r="C447" s="15"/>
      <c r="D447" s="15"/>
      <c r="F447" s="17"/>
    </row>
    <row r="448" ht="15.75" customHeight="1">
      <c r="A448" s="15"/>
      <c r="B448" s="15"/>
      <c r="C448" s="15"/>
      <c r="D448" s="15"/>
      <c r="F448" s="17"/>
    </row>
    <row r="449" ht="15.75" customHeight="1">
      <c r="A449" s="15"/>
      <c r="B449" s="15"/>
      <c r="C449" s="15"/>
      <c r="D449" s="15"/>
      <c r="F449" s="17"/>
    </row>
    <row r="450" ht="15.75" customHeight="1">
      <c r="A450" s="15"/>
      <c r="B450" s="15"/>
      <c r="C450" s="15"/>
      <c r="D450" s="15"/>
      <c r="F450" s="17"/>
    </row>
    <row r="451" ht="15.75" customHeight="1">
      <c r="A451" s="15"/>
      <c r="B451" s="15"/>
      <c r="C451" s="15"/>
      <c r="D451" s="15"/>
      <c r="F451" s="17"/>
    </row>
    <row r="452" ht="15.75" customHeight="1">
      <c r="A452" s="15"/>
      <c r="B452" s="15"/>
      <c r="C452" s="15"/>
      <c r="D452" s="15"/>
      <c r="F452" s="17"/>
    </row>
    <row r="453" ht="15.75" customHeight="1">
      <c r="A453" s="15"/>
      <c r="B453" s="15"/>
      <c r="C453" s="15"/>
      <c r="D453" s="15"/>
      <c r="F453" s="17"/>
    </row>
    <row r="454" ht="15.75" customHeight="1">
      <c r="A454" s="15"/>
      <c r="B454" s="15"/>
      <c r="C454" s="15"/>
      <c r="D454" s="15"/>
      <c r="F454" s="17"/>
    </row>
    <row r="455" ht="15.75" customHeight="1">
      <c r="A455" s="15"/>
      <c r="B455" s="15"/>
      <c r="C455" s="15"/>
      <c r="D455" s="15"/>
      <c r="F455" s="17"/>
    </row>
    <row r="456" ht="15.75" customHeight="1">
      <c r="A456" s="15"/>
      <c r="B456" s="15"/>
      <c r="C456" s="15"/>
      <c r="D456" s="15"/>
      <c r="F456" s="17"/>
    </row>
    <row r="457" ht="15.75" customHeight="1">
      <c r="A457" s="15"/>
      <c r="B457" s="15"/>
      <c r="C457" s="15"/>
      <c r="D457" s="15"/>
      <c r="F457" s="17"/>
    </row>
    <row r="458" ht="15.75" customHeight="1">
      <c r="A458" s="15"/>
      <c r="B458" s="15"/>
      <c r="C458" s="15"/>
      <c r="D458" s="15"/>
      <c r="F458" s="17"/>
    </row>
    <row r="459" ht="15.75" customHeight="1">
      <c r="A459" s="15"/>
      <c r="B459" s="15"/>
      <c r="C459" s="15"/>
      <c r="D459" s="15"/>
      <c r="F459" s="17"/>
    </row>
    <row r="460" ht="15.75" customHeight="1">
      <c r="A460" s="15"/>
      <c r="B460" s="15"/>
      <c r="C460" s="15"/>
      <c r="D460" s="15"/>
      <c r="F460" s="17"/>
    </row>
    <row r="461" ht="15.75" customHeight="1">
      <c r="A461" s="15"/>
      <c r="B461" s="15"/>
      <c r="C461" s="15"/>
      <c r="D461" s="15"/>
      <c r="F461" s="17"/>
    </row>
    <row r="462" ht="15.75" customHeight="1">
      <c r="A462" s="15"/>
      <c r="B462" s="15"/>
      <c r="C462" s="15"/>
      <c r="D462" s="15"/>
      <c r="F462" s="17"/>
    </row>
    <row r="463" ht="15.75" customHeight="1">
      <c r="A463" s="15"/>
      <c r="B463" s="15"/>
      <c r="C463" s="15"/>
      <c r="D463" s="15"/>
      <c r="F463" s="17"/>
    </row>
    <row r="464" ht="15.75" customHeight="1">
      <c r="A464" s="15"/>
      <c r="B464" s="15"/>
      <c r="C464" s="15"/>
      <c r="D464" s="15"/>
      <c r="F464" s="17"/>
    </row>
    <row r="465" ht="15.75" customHeight="1">
      <c r="A465" s="15"/>
      <c r="B465" s="15"/>
      <c r="C465" s="15"/>
      <c r="D465" s="15"/>
      <c r="F465" s="17"/>
    </row>
    <row r="466" ht="15.75" customHeight="1">
      <c r="A466" s="15"/>
      <c r="B466" s="15"/>
      <c r="C466" s="15"/>
      <c r="D466" s="15"/>
      <c r="F466" s="17"/>
    </row>
    <row r="467" ht="15.75" customHeight="1">
      <c r="A467" s="15"/>
      <c r="B467" s="15"/>
      <c r="C467" s="15"/>
      <c r="D467" s="15"/>
      <c r="F467" s="17"/>
    </row>
    <row r="468" ht="15.75" customHeight="1">
      <c r="A468" s="15"/>
      <c r="B468" s="15"/>
      <c r="C468" s="15"/>
      <c r="D468" s="15"/>
      <c r="F468" s="17"/>
    </row>
    <row r="469" ht="15.75" customHeight="1">
      <c r="A469" s="15"/>
      <c r="B469" s="15"/>
      <c r="C469" s="15"/>
      <c r="D469" s="15"/>
      <c r="F469" s="17"/>
    </row>
    <row r="470" ht="15.75" customHeight="1">
      <c r="A470" s="15"/>
      <c r="B470" s="15"/>
      <c r="C470" s="15"/>
      <c r="D470" s="15"/>
      <c r="F470" s="17"/>
    </row>
    <row r="471" ht="15.75" customHeight="1">
      <c r="A471" s="15"/>
      <c r="B471" s="15"/>
      <c r="C471" s="15"/>
      <c r="D471" s="15"/>
      <c r="F471" s="17"/>
    </row>
    <row r="472" ht="15.75" customHeight="1">
      <c r="A472" s="15"/>
      <c r="B472" s="15"/>
      <c r="C472" s="15"/>
      <c r="D472" s="15"/>
      <c r="F472" s="17"/>
    </row>
    <row r="473" ht="15.75" customHeight="1">
      <c r="A473" s="15"/>
      <c r="B473" s="15"/>
      <c r="C473" s="15"/>
      <c r="D473" s="15"/>
      <c r="F473" s="17"/>
    </row>
    <row r="474" ht="15.75" customHeight="1">
      <c r="A474" s="15"/>
      <c r="B474" s="15"/>
      <c r="C474" s="15"/>
      <c r="D474" s="15"/>
      <c r="F474" s="17"/>
    </row>
    <row r="475" ht="15.75" customHeight="1">
      <c r="A475" s="15"/>
      <c r="B475" s="15"/>
      <c r="C475" s="15"/>
      <c r="D475" s="15"/>
      <c r="F475" s="17"/>
    </row>
    <row r="476" ht="15.75" customHeight="1">
      <c r="A476" s="15"/>
      <c r="B476" s="15"/>
      <c r="C476" s="15"/>
      <c r="D476" s="15"/>
      <c r="F476" s="17"/>
    </row>
    <row r="477" ht="15.75" customHeight="1">
      <c r="A477" s="15"/>
      <c r="B477" s="15"/>
      <c r="C477" s="15"/>
      <c r="D477" s="15"/>
      <c r="F477" s="17"/>
    </row>
    <row r="478" ht="15.75" customHeight="1">
      <c r="A478" s="15"/>
      <c r="B478" s="15"/>
      <c r="C478" s="15"/>
      <c r="D478" s="15"/>
      <c r="F478" s="17"/>
    </row>
    <row r="479" ht="15.75" customHeight="1">
      <c r="A479" s="15"/>
      <c r="B479" s="15"/>
      <c r="C479" s="15"/>
      <c r="D479" s="15"/>
      <c r="F479" s="17"/>
    </row>
    <row r="480" ht="15.75" customHeight="1">
      <c r="A480" s="15"/>
      <c r="B480" s="15"/>
      <c r="C480" s="15"/>
      <c r="D480" s="15"/>
      <c r="F480" s="17"/>
    </row>
    <row r="481" ht="15.75" customHeight="1">
      <c r="A481" s="15"/>
      <c r="B481" s="15"/>
      <c r="C481" s="15"/>
      <c r="D481" s="15"/>
      <c r="F481" s="17"/>
    </row>
    <row r="482" ht="15.75" customHeight="1">
      <c r="A482" s="15"/>
      <c r="B482" s="15"/>
      <c r="C482" s="15"/>
      <c r="D482" s="15"/>
      <c r="F482" s="17"/>
    </row>
    <row r="483" ht="15.75" customHeight="1">
      <c r="A483" s="15"/>
      <c r="B483" s="15"/>
      <c r="C483" s="15"/>
      <c r="D483" s="15"/>
      <c r="F483" s="17"/>
    </row>
    <row r="484" ht="15.75" customHeight="1">
      <c r="A484" s="15"/>
      <c r="B484" s="15"/>
      <c r="C484" s="15"/>
      <c r="D484" s="15"/>
      <c r="F484" s="17"/>
    </row>
    <row r="485" ht="15.75" customHeight="1">
      <c r="A485" s="15"/>
      <c r="B485" s="15"/>
      <c r="C485" s="15"/>
      <c r="D485" s="15"/>
      <c r="F485" s="17"/>
    </row>
    <row r="486" ht="15.75" customHeight="1">
      <c r="A486" s="15"/>
      <c r="B486" s="15"/>
      <c r="C486" s="15"/>
      <c r="D486" s="15"/>
      <c r="F486" s="17"/>
    </row>
    <row r="487" ht="15.75" customHeight="1">
      <c r="A487" s="15"/>
      <c r="B487" s="15"/>
      <c r="C487" s="15"/>
      <c r="D487" s="15"/>
      <c r="F487" s="17"/>
    </row>
    <row r="488" ht="15.75" customHeight="1">
      <c r="A488" s="15"/>
      <c r="B488" s="15"/>
      <c r="C488" s="15"/>
      <c r="D488" s="15"/>
      <c r="F488" s="17"/>
    </row>
    <row r="489" ht="15.75" customHeight="1">
      <c r="A489" s="15"/>
      <c r="B489" s="15"/>
      <c r="C489" s="15"/>
      <c r="D489" s="15"/>
      <c r="F489" s="17"/>
    </row>
    <row r="490" ht="15.75" customHeight="1">
      <c r="A490" s="15"/>
      <c r="B490" s="15"/>
      <c r="C490" s="15"/>
      <c r="D490" s="15"/>
      <c r="F490" s="17"/>
    </row>
    <row r="491" ht="15.75" customHeight="1">
      <c r="A491" s="15"/>
      <c r="B491" s="15"/>
      <c r="C491" s="15"/>
      <c r="D491" s="15"/>
      <c r="F491" s="17"/>
    </row>
    <row r="492" ht="15.75" customHeight="1">
      <c r="A492" s="15"/>
      <c r="B492" s="15"/>
      <c r="C492" s="15"/>
      <c r="D492" s="15"/>
      <c r="F492" s="17"/>
    </row>
    <row r="493" ht="15.75" customHeight="1">
      <c r="A493" s="15"/>
      <c r="B493" s="15"/>
      <c r="C493" s="15"/>
      <c r="D493" s="15"/>
      <c r="F493" s="17"/>
    </row>
    <row r="494" ht="15.75" customHeight="1">
      <c r="A494" s="15"/>
      <c r="B494" s="15"/>
      <c r="C494" s="15"/>
      <c r="D494" s="15"/>
      <c r="F494" s="17"/>
    </row>
    <row r="495" ht="15.75" customHeight="1">
      <c r="A495" s="15"/>
      <c r="B495" s="15"/>
      <c r="C495" s="15"/>
      <c r="D495" s="15"/>
      <c r="F495" s="17"/>
    </row>
    <row r="496" ht="15.75" customHeight="1">
      <c r="A496" s="15"/>
      <c r="B496" s="15"/>
      <c r="C496" s="15"/>
      <c r="D496" s="15"/>
      <c r="F496" s="17"/>
    </row>
    <row r="497" ht="15.75" customHeight="1">
      <c r="A497" s="15"/>
      <c r="B497" s="15"/>
      <c r="C497" s="15"/>
      <c r="D497" s="15"/>
      <c r="F497" s="17"/>
    </row>
    <row r="498" ht="15.75" customHeight="1">
      <c r="A498" s="15"/>
      <c r="B498" s="15"/>
      <c r="C498" s="15"/>
      <c r="D498" s="15"/>
      <c r="F498" s="17"/>
    </row>
    <row r="499" ht="15.75" customHeight="1">
      <c r="A499" s="15"/>
      <c r="B499" s="15"/>
      <c r="C499" s="15"/>
      <c r="D499" s="15"/>
      <c r="F499" s="17"/>
    </row>
    <row r="500" ht="15.75" customHeight="1">
      <c r="A500" s="15"/>
      <c r="B500" s="15"/>
      <c r="C500" s="15"/>
      <c r="D500" s="15"/>
      <c r="F500" s="17"/>
    </row>
    <row r="501" ht="15.75" customHeight="1">
      <c r="A501" s="15"/>
      <c r="B501" s="15"/>
      <c r="C501" s="15"/>
      <c r="D501" s="15"/>
      <c r="F501" s="17"/>
    </row>
    <row r="502" ht="15.75" customHeight="1">
      <c r="A502" s="15"/>
      <c r="B502" s="15"/>
      <c r="C502" s="15"/>
      <c r="D502" s="15"/>
      <c r="F502" s="17"/>
    </row>
    <row r="503" ht="15.75" customHeight="1">
      <c r="A503" s="15"/>
      <c r="B503" s="15"/>
      <c r="C503" s="15"/>
      <c r="D503" s="15"/>
      <c r="F503" s="17"/>
    </row>
    <row r="504" ht="15.75" customHeight="1">
      <c r="A504" s="15"/>
      <c r="B504" s="15"/>
      <c r="C504" s="15"/>
      <c r="D504" s="15"/>
      <c r="F504" s="17"/>
    </row>
    <row r="505" ht="15.75" customHeight="1">
      <c r="A505" s="15"/>
      <c r="B505" s="15"/>
      <c r="C505" s="15"/>
      <c r="D505" s="15"/>
      <c r="F505" s="17"/>
    </row>
    <row r="506" ht="15.75" customHeight="1">
      <c r="A506" s="15"/>
      <c r="B506" s="15"/>
      <c r="C506" s="15"/>
      <c r="D506" s="15"/>
      <c r="F506" s="17"/>
    </row>
    <row r="507" ht="15.75" customHeight="1">
      <c r="A507" s="15"/>
      <c r="B507" s="15"/>
      <c r="C507" s="15"/>
      <c r="D507" s="15"/>
      <c r="F507" s="17"/>
    </row>
    <row r="508" ht="15.75" customHeight="1">
      <c r="A508" s="15"/>
      <c r="B508" s="15"/>
      <c r="C508" s="15"/>
      <c r="D508" s="15"/>
      <c r="F508" s="17"/>
    </row>
    <row r="509" ht="15.75" customHeight="1">
      <c r="A509" s="15"/>
      <c r="B509" s="15"/>
      <c r="C509" s="15"/>
      <c r="D509" s="15"/>
      <c r="F509" s="17"/>
    </row>
    <row r="510" ht="15.75" customHeight="1">
      <c r="A510" s="15"/>
      <c r="B510" s="15"/>
      <c r="C510" s="15"/>
      <c r="D510" s="15"/>
      <c r="F510" s="17"/>
    </row>
    <row r="511" ht="15.75" customHeight="1">
      <c r="A511" s="15"/>
      <c r="B511" s="15"/>
      <c r="C511" s="15"/>
      <c r="D511" s="15"/>
      <c r="F511" s="17"/>
    </row>
    <row r="512" ht="15.75" customHeight="1">
      <c r="A512" s="15"/>
      <c r="B512" s="15"/>
      <c r="C512" s="15"/>
      <c r="D512" s="15"/>
      <c r="F512" s="17"/>
    </row>
    <row r="513" ht="15.75" customHeight="1">
      <c r="A513" s="15"/>
      <c r="B513" s="15"/>
      <c r="C513" s="15"/>
      <c r="D513" s="15"/>
      <c r="F513" s="17"/>
    </row>
    <row r="514" ht="15.75" customHeight="1">
      <c r="A514" s="15"/>
      <c r="B514" s="15"/>
      <c r="C514" s="15"/>
      <c r="D514" s="15"/>
      <c r="F514" s="17"/>
    </row>
    <row r="515" ht="15.75" customHeight="1">
      <c r="A515" s="15"/>
      <c r="B515" s="15"/>
      <c r="C515" s="15"/>
      <c r="D515" s="15"/>
      <c r="F515" s="17"/>
    </row>
    <row r="516" ht="15.75" customHeight="1">
      <c r="A516" s="15"/>
      <c r="B516" s="15"/>
      <c r="C516" s="15"/>
      <c r="D516" s="15"/>
      <c r="F516" s="17"/>
    </row>
    <row r="517" ht="15.75" customHeight="1">
      <c r="A517" s="15"/>
      <c r="B517" s="15"/>
      <c r="C517" s="15"/>
      <c r="D517" s="15"/>
      <c r="F517" s="17"/>
    </row>
    <row r="518" ht="15.75" customHeight="1">
      <c r="A518" s="15"/>
      <c r="B518" s="15"/>
      <c r="C518" s="15"/>
      <c r="D518" s="15"/>
      <c r="F518" s="17"/>
    </row>
    <row r="519" ht="15.75" customHeight="1">
      <c r="A519" s="15"/>
      <c r="B519" s="15"/>
      <c r="C519" s="15"/>
      <c r="D519" s="15"/>
      <c r="F519" s="17"/>
    </row>
    <row r="520" ht="15.75" customHeight="1">
      <c r="A520" s="15"/>
      <c r="B520" s="15"/>
      <c r="C520" s="15"/>
      <c r="D520" s="15"/>
      <c r="F520" s="17"/>
    </row>
    <row r="521" ht="15.75" customHeight="1">
      <c r="A521" s="15"/>
      <c r="B521" s="15"/>
      <c r="C521" s="15"/>
      <c r="D521" s="15"/>
      <c r="F521" s="17"/>
    </row>
    <row r="522" ht="15.75" customHeight="1">
      <c r="A522" s="15"/>
      <c r="B522" s="15"/>
      <c r="C522" s="15"/>
      <c r="D522" s="15"/>
      <c r="F522" s="17"/>
    </row>
    <row r="523" ht="15.75" customHeight="1">
      <c r="A523" s="15"/>
      <c r="B523" s="15"/>
      <c r="C523" s="15"/>
      <c r="D523" s="15"/>
      <c r="F523" s="17"/>
    </row>
    <row r="524" ht="15.75" customHeight="1">
      <c r="A524" s="15"/>
      <c r="B524" s="15"/>
      <c r="C524" s="15"/>
      <c r="D524" s="15"/>
      <c r="F524" s="17"/>
    </row>
    <row r="525" ht="15.75" customHeight="1">
      <c r="A525" s="15"/>
      <c r="B525" s="15"/>
      <c r="C525" s="15"/>
      <c r="D525" s="15"/>
      <c r="F525" s="17"/>
    </row>
    <row r="526" ht="15.75" customHeight="1">
      <c r="A526" s="15"/>
      <c r="B526" s="15"/>
      <c r="C526" s="15"/>
      <c r="D526" s="15"/>
      <c r="F526" s="17"/>
    </row>
    <row r="527" ht="15.75" customHeight="1">
      <c r="A527" s="15"/>
      <c r="B527" s="15"/>
      <c r="C527" s="15"/>
      <c r="D527" s="15"/>
      <c r="F527" s="17"/>
    </row>
    <row r="528" ht="15.75" customHeight="1">
      <c r="A528" s="15"/>
      <c r="B528" s="15"/>
      <c r="C528" s="15"/>
      <c r="D528" s="15"/>
      <c r="F528" s="17"/>
    </row>
    <row r="529" ht="15.75" customHeight="1">
      <c r="A529" s="15"/>
      <c r="B529" s="15"/>
      <c r="C529" s="15"/>
      <c r="D529" s="15"/>
      <c r="F529" s="17"/>
    </row>
    <row r="530" ht="15.75" customHeight="1">
      <c r="A530" s="15"/>
      <c r="B530" s="15"/>
      <c r="C530" s="15"/>
      <c r="D530" s="15"/>
      <c r="F530" s="17"/>
    </row>
    <row r="531" ht="15.75" customHeight="1">
      <c r="A531" s="15"/>
      <c r="B531" s="15"/>
      <c r="C531" s="15"/>
      <c r="D531" s="15"/>
      <c r="F531" s="17"/>
    </row>
    <row r="532" ht="15.75" customHeight="1">
      <c r="A532" s="15"/>
      <c r="B532" s="15"/>
      <c r="C532" s="15"/>
      <c r="D532" s="15"/>
      <c r="F532" s="17"/>
    </row>
    <row r="533" ht="15.75" customHeight="1">
      <c r="A533" s="15"/>
      <c r="B533" s="15"/>
      <c r="C533" s="15"/>
      <c r="D533" s="15"/>
      <c r="F533" s="17"/>
    </row>
    <row r="534" ht="15.75" customHeight="1">
      <c r="A534" s="15"/>
      <c r="B534" s="15"/>
      <c r="C534" s="15"/>
      <c r="D534" s="15"/>
      <c r="F534" s="17"/>
    </row>
    <row r="535" ht="15.75" customHeight="1">
      <c r="A535" s="15"/>
      <c r="B535" s="15"/>
      <c r="C535" s="15"/>
      <c r="D535" s="15"/>
      <c r="F535" s="17"/>
    </row>
    <row r="536" ht="15.75" customHeight="1">
      <c r="A536" s="15"/>
      <c r="B536" s="15"/>
      <c r="C536" s="15"/>
      <c r="D536" s="15"/>
      <c r="F536" s="17"/>
    </row>
    <row r="537" ht="15.75" customHeight="1">
      <c r="A537" s="15"/>
      <c r="B537" s="15"/>
      <c r="C537" s="15"/>
      <c r="D537" s="15"/>
      <c r="F537" s="17"/>
    </row>
    <row r="538" ht="15.75" customHeight="1">
      <c r="A538" s="15"/>
      <c r="B538" s="15"/>
      <c r="C538" s="15"/>
      <c r="D538" s="15"/>
      <c r="F538" s="17"/>
    </row>
    <row r="539" ht="15.75" customHeight="1">
      <c r="A539" s="15"/>
      <c r="B539" s="15"/>
      <c r="C539" s="15"/>
      <c r="D539" s="15"/>
      <c r="F539" s="17"/>
    </row>
    <row r="540" ht="15.75" customHeight="1">
      <c r="A540" s="15"/>
      <c r="B540" s="15"/>
      <c r="C540" s="15"/>
      <c r="D540" s="15"/>
      <c r="F540" s="17"/>
    </row>
    <row r="541" ht="15.75" customHeight="1">
      <c r="A541" s="15"/>
      <c r="B541" s="15"/>
      <c r="C541" s="15"/>
      <c r="D541" s="15"/>
      <c r="F541" s="17"/>
    </row>
    <row r="542" ht="15.75" customHeight="1">
      <c r="A542" s="15"/>
      <c r="B542" s="15"/>
      <c r="C542" s="15"/>
      <c r="D542" s="15"/>
      <c r="F542" s="17"/>
    </row>
    <row r="543" ht="15.75" customHeight="1">
      <c r="A543" s="15"/>
      <c r="B543" s="15"/>
      <c r="C543" s="15"/>
      <c r="D543" s="15"/>
      <c r="F543" s="17"/>
    </row>
    <row r="544" ht="15.75" customHeight="1">
      <c r="A544" s="15"/>
      <c r="B544" s="15"/>
      <c r="C544" s="15"/>
      <c r="D544" s="15"/>
      <c r="F544" s="17"/>
    </row>
    <row r="545" ht="15.75" customHeight="1">
      <c r="A545" s="15"/>
      <c r="B545" s="15"/>
      <c r="C545" s="15"/>
      <c r="D545" s="15"/>
      <c r="F545" s="17"/>
    </row>
    <row r="546" ht="15.75" customHeight="1">
      <c r="A546" s="15"/>
      <c r="B546" s="15"/>
      <c r="C546" s="15"/>
      <c r="D546" s="15"/>
      <c r="F546" s="17"/>
    </row>
    <row r="547" ht="15.75" customHeight="1">
      <c r="A547" s="15"/>
      <c r="B547" s="15"/>
      <c r="C547" s="15"/>
      <c r="D547" s="15"/>
      <c r="F547" s="17"/>
    </row>
    <row r="548" ht="15.75" customHeight="1">
      <c r="A548" s="15"/>
      <c r="B548" s="15"/>
      <c r="C548" s="15"/>
      <c r="D548" s="15"/>
      <c r="F548" s="17"/>
    </row>
    <row r="549" ht="15.75" customHeight="1">
      <c r="A549" s="15"/>
      <c r="B549" s="15"/>
      <c r="C549" s="15"/>
      <c r="D549" s="15"/>
      <c r="F549" s="17"/>
    </row>
    <row r="550" ht="15.75" customHeight="1">
      <c r="A550" s="15"/>
      <c r="B550" s="15"/>
      <c r="C550" s="15"/>
      <c r="D550" s="15"/>
      <c r="F550" s="17"/>
    </row>
    <row r="551" ht="15.75" customHeight="1">
      <c r="A551" s="15"/>
      <c r="B551" s="15"/>
      <c r="C551" s="15"/>
      <c r="D551" s="15"/>
      <c r="F551" s="17"/>
    </row>
    <row r="552" ht="15.75" customHeight="1">
      <c r="A552" s="15"/>
      <c r="B552" s="15"/>
      <c r="C552" s="15"/>
      <c r="D552" s="15"/>
      <c r="F552" s="17"/>
    </row>
    <row r="553" ht="15.75" customHeight="1">
      <c r="A553" s="15"/>
      <c r="B553" s="15"/>
      <c r="C553" s="15"/>
      <c r="D553" s="15"/>
      <c r="F553" s="17"/>
    </row>
    <row r="554" ht="15.75" customHeight="1">
      <c r="A554" s="15"/>
      <c r="B554" s="15"/>
      <c r="C554" s="15"/>
      <c r="D554" s="15"/>
      <c r="F554" s="17"/>
    </row>
    <row r="555" ht="15.75" customHeight="1">
      <c r="A555" s="15"/>
      <c r="B555" s="15"/>
      <c r="C555" s="15"/>
      <c r="D555" s="15"/>
      <c r="F555" s="17"/>
    </row>
    <row r="556" ht="15.75" customHeight="1">
      <c r="A556" s="15"/>
      <c r="B556" s="15"/>
      <c r="C556" s="15"/>
      <c r="D556" s="15"/>
      <c r="F556" s="17"/>
    </row>
    <row r="557" ht="15.75" customHeight="1">
      <c r="A557" s="15"/>
      <c r="B557" s="15"/>
      <c r="C557" s="15"/>
      <c r="D557" s="15"/>
      <c r="F557" s="17"/>
    </row>
    <row r="558" ht="15.75" customHeight="1">
      <c r="A558" s="15"/>
      <c r="B558" s="15"/>
      <c r="C558" s="15"/>
      <c r="D558" s="15"/>
      <c r="F558" s="17"/>
    </row>
    <row r="559" ht="15.75" customHeight="1">
      <c r="A559" s="15"/>
      <c r="B559" s="15"/>
      <c r="C559" s="15"/>
      <c r="D559" s="15"/>
      <c r="F559" s="17"/>
    </row>
    <row r="560" ht="15.75" customHeight="1">
      <c r="A560" s="15"/>
      <c r="B560" s="15"/>
      <c r="C560" s="15"/>
      <c r="D560" s="15"/>
      <c r="F560" s="17"/>
    </row>
    <row r="561" ht="15.75" customHeight="1">
      <c r="A561" s="15"/>
      <c r="B561" s="15"/>
      <c r="C561" s="15"/>
      <c r="D561" s="15"/>
      <c r="F561" s="17"/>
    </row>
    <row r="562" ht="15.75" customHeight="1">
      <c r="A562" s="15"/>
      <c r="B562" s="15"/>
      <c r="C562" s="15"/>
      <c r="D562" s="15"/>
      <c r="F562" s="17"/>
    </row>
    <row r="563" ht="15.75" customHeight="1">
      <c r="A563" s="15"/>
      <c r="B563" s="15"/>
      <c r="C563" s="15"/>
      <c r="D563" s="15"/>
      <c r="F563" s="17"/>
    </row>
    <row r="564" ht="15.75" customHeight="1">
      <c r="A564" s="15"/>
      <c r="B564" s="15"/>
      <c r="C564" s="15"/>
      <c r="D564" s="15"/>
      <c r="F564" s="17"/>
    </row>
    <row r="565" ht="15.75" customHeight="1">
      <c r="A565" s="15"/>
      <c r="B565" s="15"/>
      <c r="C565" s="15"/>
      <c r="D565" s="15"/>
      <c r="F565" s="17"/>
    </row>
    <row r="566" ht="15.75" customHeight="1">
      <c r="A566" s="15"/>
      <c r="B566" s="15"/>
      <c r="C566" s="15"/>
      <c r="D566" s="15"/>
      <c r="F566" s="17"/>
    </row>
    <row r="567" ht="15.75" customHeight="1">
      <c r="A567" s="15"/>
      <c r="B567" s="15"/>
      <c r="C567" s="15"/>
      <c r="D567" s="15"/>
      <c r="F567" s="17"/>
    </row>
    <row r="568" ht="15.75" customHeight="1">
      <c r="A568" s="15"/>
      <c r="B568" s="15"/>
      <c r="C568" s="15"/>
      <c r="D568" s="15"/>
      <c r="F568" s="17"/>
    </row>
    <row r="569" ht="15.75" customHeight="1">
      <c r="A569" s="15"/>
      <c r="B569" s="15"/>
      <c r="C569" s="15"/>
      <c r="D569" s="15"/>
      <c r="F569" s="17"/>
    </row>
    <row r="570" ht="15.75" customHeight="1">
      <c r="A570" s="15"/>
      <c r="B570" s="15"/>
      <c r="C570" s="15"/>
      <c r="D570" s="15"/>
      <c r="F570" s="17"/>
    </row>
    <row r="571" ht="15.75" customHeight="1">
      <c r="A571" s="15"/>
      <c r="B571" s="15"/>
      <c r="C571" s="15"/>
      <c r="D571" s="15"/>
      <c r="F571" s="17"/>
    </row>
    <row r="572" ht="15.75" customHeight="1">
      <c r="A572" s="15"/>
      <c r="B572" s="15"/>
      <c r="C572" s="15"/>
      <c r="D572" s="15"/>
      <c r="F572" s="17"/>
    </row>
    <row r="573" ht="15.75" customHeight="1">
      <c r="A573" s="15"/>
      <c r="B573" s="15"/>
      <c r="C573" s="15"/>
      <c r="D573" s="15"/>
      <c r="F573" s="17"/>
    </row>
    <row r="574" ht="15.75" customHeight="1">
      <c r="A574" s="15"/>
      <c r="B574" s="15"/>
      <c r="C574" s="15"/>
      <c r="D574" s="15"/>
      <c r="F574" s="17"/>
    </row>
    <row r="575" ht="15.75" customHeight="1">
      <c r="A575" s="15"/>
      <c r="B575" s="15"/>
      <c r="C575" s="15"/>
      <c r="D575" s="15"/>
      <c r="F575" s="17"/>
    </row>
    <row r="576" ht="15.75" customHeight="1">
      <c r="A576" s="15"/>
      <c r="B576" s="15"/>
      <c r="C576" s="15"/>
      <c r="D576" s="15"/>
      <c r="F576" s="17"/>
    </row>
    <row r="577" ht="15.75" customHeight="1">
      <c r="A577" s="15"/>
      <c r="B577" s="15"/>
      <c r="C577" s="15"/>
      <c r="D577" s="15"/>
      <c r="F577" s="17"/>
    </row>
    <row r="578" ht="15.75" customHeight="1">
      <c r="A578" s="15"/>
      <c r="B578" s="15"/>
      <c r="C578" s="15"/>
      <c r="D578" s="15"/>
      <c r="F578" s="17"/>
    </row>
    <row r="579" ht="15.75" customHeight="1">
      <c r="A579" s="15"/>
      <c r="B579" s="15"/>
      <c r="C579" s="15"/>
      <c r="D579" s="15"/>
      <c r="F579" s="17"/>
    </row>
    <row r="580" ht="15.75" customHeight="1">
      <c r="A580" s="15"/>
      <c r="B580" s="15"/>
      <c r="C580" s="15"/>
      <c r="D580" s="15"/>
      <c r="F580" s="17"/>
    </row>
    <row r="581" ht="15.75" customHeight="1">
      <c r="A581" s="15"/>
      <c r="B581" s="15"/>
      <c r="C581" s="15"/>
      <c r="D581" s="15"/>
      <c r="F581" s="17"/>
    </row>
    <row r="582" ht="15.75" customHeight="1">
      <c r="A582" s="15"/>
      <c r="B582" s="15"/>
      <c r="C582" s="15"/>
      <c r="D582" s="15"/>
      <c r="F582" s="17"/>
    </row>
    <row r="583" ht="15.75" customHeight="1">
      <c r="A583" s="15"/>
      <c r="B583" s="15"/>
      <c r="C583" s="15"/>
      <c r="D583" s="15"/>
      <c r="F583" s="17"/>
    </row>
    <row r="584" ht="15.75" customHeight="1">
      <c r="A584" s="15"/>
      <c r="B584" s="15"/>
      <c r="C584" s="15"/>
      <c r="D584" s="15"/>
      <c r="F584" s="17"/>
    </row>
    <row r="585" ht="15.75" customHeight="1">
      <c r="A585" s="15"/>
      <c r="B585" s="15"/>
      <c r="C585" s="15"/>
      <c r="D585" s="15"/>
      <c r="F585" s="17"/>
    </row>
    <row r="586" ht="15.75" customHeight="1">
      <c r="A586" s="15"/>
      <c r="B586" s="15"/>
      <c r="C586" s="15"/>
      <c r="D586" s="15"/>
      <c r="F586" s="17"/>
    </row>
    <row r="587" ht="15.75" customHeight="1">
      <c r="A587" s="15"/>
      <c r="B587" s="15"/>
      <c r="C587" s="15"/>
      <c r="D587" s="15"/>
      <c r="F587" s="17"/>
    </row>
    <row r="588" ht="15.75" customHeight="1">
      <c r="A588" s="15"/>
      <c r="B588" s="15"/>
      <c r="C588" s="15"/>
      <c r="D588" s="15"/>
      <c r="F588" s="17"/>
    </row>
    <row r="589" ht="15.75" customHeight="1">
      <c r="A589" s="15"/>
      <c r="B589" s="15"/>
      <c r="C589" s="15"/>
      <c r="D589" s="15"/>
      <c r="F589" s="17"/>
    </row>
    <row r="590" ht="15.75" customHeight="1">
      <c r="A590" s="15"/>
      <c r="B590" s="15"/>
      <c r="C590" s="15"/>
      <c r="D590" s="15"/>
      <c r="F590" s="17"/>
    </row>
    <row r="591" ht="15.75" customHeight="1">
      <c r="A591" s="15"/>
      <c r="B591" s="15"/>
      <c r="C591" s="15"/>
      <c r="D591" s="15"/>
      <c r="F591" s="17"/>
    </row>
    <row r="592" ht="15.75" customHeight="1">
      <c r="A592" s="15"/>
      <c r="B592" s="15"/>
      <c r="C592" s="15"/>
      <c r="D592" s="15"/>
      <c r="F592" s="17"/>
    </row>
    <row r="593" ht="15.75" customHeight="1">
      <c r="A593" s="15"/>
      <c r="B593" s="15"/>
      <c r="C593" s="15"/>
      <c r="D593" s="15"/>
      <c r="F593" s="17"/>
    </row>
    <row r="594" ht="15.75" customHeight="1">
      <c r="A594" s="15"/>
      <c r="B594" s="15"/>
      <c r="C594" s="15"/>
      <c r="D594" s="15"/>
      <c r="F594" s="17"/>
    </row>
    <row r="595" ht="15.75" customHeight="1">
      <c r="A595" s="15"/>
      <c r="B595" s="15"/>
      <c r="C595" s="15"/>
      <c r="D595" s="15"/>
      <c r="F595" s="17"/>
    </row>
    <row r="596" ht="15.75" customHeight="1">
      <c r="A596" s="15"/>
      <c r="B596" s="15"/>
      <c r="C596" s="15"/>
      <c r="D596" s="15"/>
      <c r="F596" s="17"/>
    </row>
    <row r="597" ht="15.75" customHeight="1">
      <c r="A597" s="15"/>
      <c r="B597" s="15"/>
      <c r="C597" s="15"/>
      <c r="D597" s="15"/>
      <c r="F597" s="17"/>
    </row>
    <row r="598" ht="15.75" customHeight="1">
      <c r="A598" s="15"/>
      <c r="B598" s="15"/>
      <c r="C598" s="15"/>
      <c r="D598" s="15"/>
      <c r="F598" s="17"/>
    </row>
    <row r="599" ht="15.75" customHeight="1">
      <c r="A599" s="15"/>
      <c r="B599" s="15"/>
      <c r="C599" s="15"/>
      <c r="D599" s="15"/>
      <c r="F599" s="17"/>
    </row>
    <row r="600" ht="15.75" customHeight="1">
      <c r="A600" s="15"/>
      <c r="B600" s="15"/>
      <c r="C600" s="15"/>
      <c r="D600" s="15"/>
      <c r="F600" s="17"/>
    </row>
    <row r="601" ht="15.75" customHeight="1">
      <c r="A601" s="15"/>
      <c r="B601" s="15"/>
      <c r="C601" s="15"/>
      <c r="D601" s="15"/>
      <c r="F601" s="17"/>
    </row>
    <row r="602" ht="15.75" customHeight="1">
      <c r="A602" s="15"/>
      <c r="B602" s="15"/>
      <c r="C602" s="15"/>
      <c r="D602" s="15"/>
      <c r="F602" s="17"/>
    </row>
    <row r="603" ht="15.75" customHeight="1">
      <c r="A603" s="15"/>
      <c r="B603" s="15"/>
      <c r="C603" s="15"/>
      <c r="D603" s="15"/>
      <c r="F603" s="17"/>
    </row>
    <row r="604" ht="15.75" customHeight="1">
      <c r="A604" s="15"/>
      <c r="B604" s="15"/>
      <c r="C604" s="15"/>
      <c r="D604" s="15"/>
      <c r="F604" s="17"/>
    </row>
    <row r="605" ht="15.75" customHeight="1">
      <c r="A605" s="15"/>
      <c r="B605" s="15"/>
      <c r="C605" s="15"/>
      <c r="D605" s="15"/>
      <c r="F605" s="17"/>
    </row>
    <row r="606" ht="15.75" customHeight="1">
      <c r="A606" s="15"/>
      <c r="B606" s="15"/>
      <c r="C606" s="15"/>
      <c r="D606" s="15"/>
      <c r="F606" s="17"/>
    </row>
    <row r="607" ht="15.75" customHeight="1">
      <c r="A607" s="15"/>
      <c r="B607" s="15"/>
      <c r="C607" s="15"/>
      <c r="D607" s="15"/>
      <c r="F607" s="17"/>
    </row>
    <row r="608" ht="15.75" customHeight="1">
      <c r="A608" s="15"/>
      <c r="B608" s="15"/>
      <c r="C608" s="15"/>
      <c r="D608" s="15"/>
      <c r="F608" s="17"/>
    </row>
    <row r="609" ht="15.75" customHeight="1">
      <c r="A609" s="15"/>
      <c r="B609" s="15"/>
      <c r="C609" s="15"/>
      <c r="D609" s="15"/>
      <c r="F609" s="17"/>
    </row>
    <row r="610" ht="15.75" customHeight="1">
      <c r="A610" s="15"/>
      <c r="B610" s="15"/>
      <c r="C610" s="15"/>
      <c r="D610" s="15"/>
      <c r="F610" s="17"/>
    </row>
    <row r="611" ht="15.75" customHeight="1">
      <c r="A611" s="15"/>
      <c r="B611" s="15"/>
      <c r="C611" s="15"/>
      <c r="D611" s="15"/>
      <c r="F611" s="17"/>
    </row>
    <row r="612" ht="15.75" customHeight="1">
      <c r="A612" s="15"/>
      <c r="B612" s="15"/>
      <c r="C612" s="15"/>
      <c r="D612" s="15"/>
      <c r="F612" s="17"/>
    </row>
    <row r="613" ht="15.75" customHeight="1">
      <c r="A613" s="15"/>
      <c r="B613" s="15"/>
      <c r="C613" s="15"/>
      <c r="D613" s="15"/>
      <c r="F613" s="17"/>
    </row>
    <row r="614" ht="15.75" customHeight="1">
      <c r="A614" s="15"/>
      <c r="B614" s="15"/>
      <c r="C614" s="15"/>
      <c r="D614" s="15"/>
      <c r="F614" s="17"/>
    </row>
    <row r="615" ht="15.75" customHeight="1">
      <c r="A615" s="15"/>
      <c r="B615" s="15"/>
      <c r="C615" s="15"/>
      <c r="D615" s="15"/>
      <c r="F615" s="17"/>
    </row>
    <row r="616" ht="15.75" customHeight="1">
      <c r="A616" s="15"/>
      <c r="B616" s="15"/>
      <c r="C616" s="15"/>
      <c r="D616" s="15"/>
      <c r="F616" s="17"/>
    </row>
    <row r="617" ht="15.75" customHeight="1">
      <c r="A617" s="15"/>
      <c r="B617" s="15"/>
      <c r="C617" s="15"/>
      <c r="D617" s="15"/>
      <c r="F617" s="17"/>
    </row>
    <row r="618" ht="15.75" customHeight="1">
      <c r="A618" s="15"/>
      <c r="B618" s="15"/>
      <c r="C618" s="15"/>
      <c r="D618" s="15"/>
      <c r="F618" s="17"/>
    </row>
    <row r="619" ht="15.75" customHeight="1">
      <c r="A619" s="15"/>
      <c r="B619" s="15"/>
      <c r="C619" s="15"/>
      <c r="D619" s="15"/>
      <c r="F619" s="17"/>
    </row>
    <row r="620" ht="15.75" customHeight="1">
      <c r="A620" s="15"/>
      <c r="B620" s="15"/>
      <c r="C620" s="15"/>
      <c r="D620" s="15"/>
      <c r="F620" s="17"/>
    </row>
    <row r="621" ht="15.75" customHeight="1">
      <c r="A621" s="15"/>
      <c r="B621" s="15"/>
      <c r="C621" s="15"/>
      <c r="D621" s="15"/>
      <c r="F621" s="17"/>
    </row>
    <row r="622" ht="15.75" customHeight="1">
      <c r="A622" s="15"/>
      <c r="B622" s="15"/>
      <c r="C622" s="15"/>
      <c r="D622" s="15"/>
      <c r="F622" s="17"/>
    </row>
    <row r="623" ht="15.75" customHeight="1">
      <c r="A623" s="15"/>
      <c r="B623" s="15"/>
      <c r="C623" s="15"/>
      <c r="D623" s="15"/>
      <c r="F623" s="17"/>
    </row>
    <row r="624" ht="15.75" customHeight="1">
      <c r="A624" s="15"/>
      <c r="B624" s="15"/>
      <c r="C624" s="15"/>
      <c r="D624" s="15"/>
      <c r="F624" s="17"/>
    </row>
    <row r="625" ht="15.75" customHeight="1">
      <c r="A625" s="15"/>
      <c r="B625" s="15"/>
      <c r="C625" s="15"/>
      <c r="D625" s="15"/>
      <c r="F625" s="17"/>
    </row>
    <row r="626" ht="15.75" customHeight="1">
      <c r="A626" s="15"/>
      <c r="B626" s="15"/>
      <c r="C626" s="15"/>
      <c r="D626" s="15"/>
      <c r="F626" s="17"/>
    </row>
    <row r="627" ht="15.75" customHeight="1">
      <c r="A627" s="15"/>
      <c r="B627" s="15"/>
      <c r="C627" s="15"/>
      <c r="D627" s="15"/>
      <c r="F627" s="17"/>
    </row>
    <row r="628" ht="15.75" customHeight="1">
      <c r="A628" s="15"/>
      <c r="B628" s="15"/>
      <c r="C628" s="15"/>
      <c r="D628" s="15"/>
      <c r="F628" s="17"/>
    </row>
    <row r="629" ht="15.75" customHeight="1">
      <c r="A629" s="15"/>
      <c r="B629" s="15"/>
      <c r="C629" s="15"/>
      <c r="D629" s="15"/>
      <c r="F629" s="17"/>
    </row>
    <row r="630" ht="15.75" customHeight="1">
      <c r="A630" s="15"/>
      <c r="B630" s="15"/>
      <c r="C630" s="15"/>
      <c r="D630" s="15"/>
      <c r="F630" s="17"/>
    </row>
    <row r="631" ht="15.75" customHeight="1">
      <c r="A631" s="15"/>
      <c r="B631" s="15"/>
      <c r="C631" s="15"/>
      <c r="D631" s="15"/>
      <c r="F631" s="17"/>
    </row>
    <row r="632" ht="15.75" customHeight="1">
      <c r="A632" s="15"/>
      <c r="B632" s="15"/>
      <c r="C632" s="15"/>
      <c r="D632" s="15"/>
      <c r="F632" s="17"/>
    </row>
    <row r="633" ht="15.75" customHeight="1">
      <c r="A633" s="15"/>
      <c r="B633" s="15"/>
      <c r="C633" s="15"/>
      <c r="D633" s="15"/>
      <c r="F633" s="17"/>
    </row>
    <row r="634" ht="15.75" customHeight="1">
      <c r="A634" s="15"/>
      <c r="B634" s="15"/>
      <c r="C634" s="15"/>
      <c r="D634" s="15"/>
      <c r="F634" s="17"/>
    </row>
    <row r="635" ht="15.75" customHeight="1">
      <c r="A635" s="15"/>
      <c r="B635" s="15"/>
      <c r="C635" s="15"/>
      <c r="D635" s="15"/>
      <c r="F635" s="17"/>
    </row>
    <row r="636" ht="15.75" customHeight="1">
      <c r="A636" s="15"/>
      <c r="B636" s="15"/>
      <c r="C636" s="15"/>
      <c r="D636" s="15"/>
      <c r="F636" s="17"/>
    </row>
    <row r="637" ht="15.75" customHeight="1">
      <c r="A637" s="15"/>
      <c r="B637" s="15"/>
      <c r="C637" s="15"/>
      <c r="D637" s="15"/>
      <c r="F637" s="17"/>
    </row>
    <row r="638" ht="15.75" customHeight="1">
      <c r="A638" s="15"/>
      <c r="B638" s="15"/>
      <c r="C638" s="15"/>
      <c r="D638" s="15"/>
      <c r="F638" s="17"/>
    </row>
    <row r="639" ht="15.75" customHeight="1">
      <c r="A639" s="15"/>
      <c r="B639" s="15"/>
      <c r="C639" s="15"/>
      <c r="D639" s="15"/>
      <c r="F639" s="17"/>
    </row>
    <row r="640" ht="15.75" customHeight="1">
      <c r="A640" s="15"/>
      <c r="B640" s="15"/>
      <c r="C640" s="15"/>
      <c r="D640" s="15"/>
      <c r="F640" s="17"/>
    </row>
    <row r="641" ht="15.75" customHeight="1">
      <c r="A641" s="15"/>
      <c r="B641" s="15"/>
      <c r="C641" s="15"/>
      <c r="D641" s="15"/>
      <c r="F641" s="17"/>
    </row>
    <row r="642" ht="15.75" customHeight="1">
      <c r="A642" s="15"/>
      <c r="B642" s="15"/>
      <c r="C642" s="15"/>
      <c r="D642" s="15"/>
      <c r="F642" s="17"/>
    </row>
    <row r="643" ht="15.75" customHeight="1">
      <c r="A643" s="15"/>
      <c r="B643" s="15"/>
      <c r="C643" s="15"/>
      <c r="D643" s="15"/>
      <c r="F643" s="17"/>
    </row>
    <row r="644" ht="15.75" customHeight="1">
      <c r="A644" s="15"/>
      <c r="B644" s="15"/>
      <c r="C644" s="15"/>
      <c r="D644" s="15"/>
      <c r="F644" s="17"/>
    </row>
    <row r="645" ht="15.75" customHeight="1">
      <c r="A645" s="15"/>
      <c r="B645" s="15"/>
      <c r="C645" s="15"/>
      <c r="D645" s="15"/>
      <c r="F645" s="17"/>
    </row>
    <row r="646" ht="15.75" customHeight="1">
      <c r="A646" s="15"/>
      <c r="B646" s="15"/>
      <c r="C646" s="15"/>
      <c r="D646" s="15"/>
      <c r="F646" s="17"/>
    </row>
    <row r="647" ht="15.75" customHeight="1">
      <c r="A647" s="15"/>
      <c r="B647" s="15"/>
      <c r="C647" s="15"/>
      <c r="D647" s="15"/>
      <c r="F647" s="17"/>
    </row>
    <row r="648" ht="15.75" customHeight="1">
      <c r="A648" s="15"/>
      <c r="B648" s="15"/>
      <c r="C648" s="15"/>
      <c r="D648" s="15"/>
      <c r="F648" s="17"/>
    </row>
    <row r="649" ht="15.75" customHeight="1">
      <c r="A649" s="15"/>
      <c r="B649" s="15"/>
      <c r="C649" s="15"/>
      <c r="D649" s="15"/>
      <c r="F649" s="17"/>
    </row>
    <row r="650" ht="15.75" customHeight="1">
      <c r="A650" s="15"/>
      <c r="B650" s="15"/>
      <c r="C650" s="15"/>
      <c r="D650" s="15"/>
      <c r="F650" s="17"/>
    </row>
    <row r="651" ht="15.75" customHeight="1">
      <c r="A651" s="15"/>
      <c r="B651" s="15"/>
      <c r="C651" s="15"/>
      <c r="D651" s="15"/>
      <c r="F651" s="17"/>
    </row>
    <row r="652" ht="15.75" customHeight="1">
      <c r="A652" s="15"/>
      <c r="B652" s="15"/>
      <c r="C652" s="15"/>
      <c r="D652" s="15"/>
      <c r="F652" s="17"/>
    </row>
    <row r="653" ht="15.75" customHeight="1">
      <c r="A653" s="15"/>
      <c r="B653" s="15"/>
      <c r="C653" s="15"/>
      <c r="D653" s="15"/>
      <c r="F653" s="17"/>
    </row>
    <row r="654" ht="15.75" customHeight="1">
      <c r="A654" s="15"/>
      <c r="B654" s="15"/>
      <c r="C654" s="15"/>
      <c r="D654" s="15"/>
      <c r="F654" s="17"/>
    </row>
    <row r="655" ht="15.75" customHeight="1">
      <c r="A655" s="15"/>
      <c r="B655" s="15"/>
      <c r="C655" s="15"/>
      <c r="D655" s="15"/>
      <c r="F655" s="17"/>
    </row>
    <row r="656" ht="15.75" customHeight="1">
      <c r="A656" s="15"/>
      <c r="B656" s="15"/>
      <c r="C656" s="15"/>
      <c r="D656" s="15"/>
      <c r="F656" s="17"/>
    </row>
    <row r="657" ht="15.75" customHeight="1">
      <c r="A657" s="15"/>
      <c r="B657" s="15"/>
      <c r="C657" s="15"/>
      <c r="D657" s="15"/>
      <c r="F657" s="17"/>
    </row>
    <row r="658" ht="15.75" customHeight="1">
      <c r="A658" s="15"/>
      <c r="B658" s="15"/>
      <c r="C658" s="15"/>
      <c r="D658" s="15"/>
      <c r="F658" s="17"/>
    </row>
    <row r="659" ht="15.75" customHeight="1">
      <c r="A659" s="15"/>
      <c r="B659" s="15"/>
      <c r="C659" s="15"/>
      <c r="D659" s="15"/>
      <c r="F659" s="17"/>
    </row>
    <row r="660" ht="15.75" customHeight="1">
      <c r="A660" s="15"/>
      <c r="B660" s="15"/>
      <c r="C660" s="15"/>
      <c r="D660" s="15"/>
      <c r="F660" s="17"/>
    </row>
    <row r="661" ht="15.75" customHeight="1">
      <c r="A661" s="15"/>
      <c r="B661" s="15"/>
      <c r="C661" s="15"/>
      <c r="D661" s="15"/>
      <c r="F661" s="17"/>
    </row>
    <row r="662" ht="15.75" customHeight="1">
      <c r="A662" s="15"/>
      <c r="B662" s="15"/>
      <c r="C662" s="15"/>
      <c r="D662" s="15"/>
      <c r="F662" s="17"/>
    </row>
    <row r="663" ht="15.75" customHeight="1">
      <c r="A663" s="15"/>
      <c r="B663" s="15"/>
      <c r="C663" s="15"/>
      <c r="D663" s="15"/>
      <c r="F663" s="17"/>
    </row>
    <row r="664" ht="15.75" customHeight="1">
      <c r="A664" s="15"/>
      <c r="B664" s="15"/>
      <c r="C664" s="15"/>
      <c r="D664" s="15"/>
      <c r="F664" s="17"/>
    </row>
    <row r="665" ht="15.75" customHeight="1">
      <c r="A665" s="15"/>
      <c r="B665" s="15"/>
      <c r="C665" s="15"/>
      <c r="D665" s="15"/>
      <c r="F665" s="17"/>
    </row>
    <row r="666" ht="15.75" customHeight="1">
      <c r="A666" s="15"/>
      <c r="B666" s="15"/>
      <c r="C666" s="15"/>
      <c r="D666" s="15"/>
      <c r="F666" s="17"/>
    </row>
    <row r="667" ht="15.75" customHeight="1">
      <c r="A667" s="15"/>
      <c r="B667" s="15"/>
      <c r="C667" s="15"/>
      <c r="D667" s="15"/>
      <c r="F667" s="17"/>
    </row>
    <row r="668" ht="15.75" customHeight="1">
      <c r="A668" s="15"/>
      <c r="B668" s="15"/>
      <c r="C668" s="15"/>
      <c r="D668" s="15"/>
      <c r="F668" s="17"/>
    </row>
    <row r="669" ht="15.75" customHeight="1">
      <c r="A669" s="15"/>
      <c r="B669" s="15"/>
      <c r="C669" s="15"/>
      <c r="D669" s="15"/>
      <c r="F669" s="17"/>
    </row>
    <row r="670" ht="15.75" customHeight="1">
      <c r="A670" s="15"/>
      <c r="B670" s="15"/>
      <c r="C670" s="15"/>
      <c r="D670" s="15"/>
      <c r="F670" s="17"/>
    </row>
    <row r="671" ht="15.75" customHeight="1">
      <c r="A671" s="15"/>
      <c r="B671" s="15"/>
      <c r="C671" s="15"/>
      <c r="D671" s="15"/>
      <c r="F671" s="17"/>
    </row>
    <row r="672" ht="15.75" customHeight="1">
      <c r="A672" s="15"/>
      <c r="B672" s="15"/>
      <c r="C672" s="15"/>
      <c r="D672" s="15"/>
      <c r="F672" s="17"/>
    </row>
    <row r="673" ht="15.75" customHeight="1">
      <c r="A673" s="15"/>
      <c r="B673" s="15"/>
      <c r="C673" s="15"/>
      <c r="D673" s="15"/>
      <c r="F673" s="17"/>
    </row>
    <row r="674" ht="15.75" customHeight="1">
      <c r="A674" s="15"/>
      <c r="B674" s="15"/>
      <c r="C674" s="15"/>
      <c r="D674" s="15"/>
      <c r="F674" s="17"/>
    </row>
    <row r="675" ht="15.75" customHeight="1">
      <c r="A675" s="15"/>
      <c r="B675" s="15"/>
      <c r="C675" s="15"/>
      <c r="D675" s="15"/>
      <c r="F675" s="17"/>
    </row>
    <row r="676" ht="15.75" customHeight="1">
      <c r="A676" s="15"/>
      <c r="B676" s="15"/>
      <c r="C676" s="15"/>
      <c r="D676" s="15"/>
      <c r="F676" s="17"/>
    </row>
    <row r="677" ht="15.75" customHeight="1">
      <c r="A677" s="15"/>
      <c r="B677" s="15"/>
      <c r="C677" s="15"/>
      <c r="D677" s="15"/>
      <c r="F677" s="17"/>
    </row>
    <row r="678" ht="15.75" customHeight="1">
      <c r="A678" s="15"/>
      <c r="B678" s="15"/>
      <c r="C678" s="15"/>
      <c r="D678" s="15"/>
      <c r="F678" s="17"/>
    </row>
    <row r="679" ht="15.75" customHeight="1">
      <c r="A679" s="15"/>
      <c r="B679" s="15"/>
      <c r="C679" s="15"/>
      <c r="D679" s="15"/>
      <c r="F679" s="17"/>
    </row>
    <row r="680" ht="15.75" customHeight="1">
      <c r="A680" s="15"/>
      <c r="B680" s="15"/>
      <c r="C680" s="15"/>
      <c r="D680" s="15"/>
      <c r="F680" s="17"/>
    </row>
    <row r="681" ht="15.75" customHeight="1">
      <c r="A681" s="15"/>
      <c r="B681" s="15"/>
      <c r="C681" s="15"/>
      <c r="D681" s="15"/>
      <c r="F681" s="17"/>
    </row>
    <row r="682" ht="15.75" customHeight="1">
      <c r="A682" s="15"/>
      <c r="B682" s="15"/>
      <c r="C682" s="15"/>
      <c r="D682" s="15"/>
      <c r="F682" s="17"/>
    </row>
    <row r="683" ht="15.75" customHeight="1">
      <c r="A683" s="15"/>
      <c r="B683" s="15"/>
      <c r="C683" s="15"/>
      <c r="D683" s="15"/>
      <c r="F683" s="17"/>
    </row>
    <row r="684" ht="15.75" customHeight="1">
      <c r="A684" s="15"/>
      <c r="B684" s="15"/>
      <c r="C684" s="15"/>
      <c r="D684" s="15"/>
      <c r="F684" s="17"/>
    </row>
    <row r="685" ht="15.75" customHeight="1">
      <c r="A685" s="15"/>
      <c r="B685" s="15"/>
      <c r="C685" s="15"/>
      <c r="D685" s="15"/>
      <c r="F685" s="17"/>
    </row>
    <row r="686" ht="15.75" customHeight="1">
      <c r="A686" s="15"/>
      <c r="B686" s="15"/>
      <c r="C686" s="15"/>
      <c r="D686" s="15"/>
      <c r="F686" s="17"/>
    </row>
    <row r="687" ht="15.75" customHeight="1">
      <c r="A687" s="15"/>
      <c r="B687" s="15"/>
      <c r="C687" s="15"/>
      <c r="D687" s="15"/>
      <c r="F687" s="17"/>
    </row>
    <row r="688" ht="15.75" customHeight="1">
      <c r="A688" s="15"/>
      <c r="B688" s="15"/>
      <c r="C688" s="15"/>
      <c r="D688" s="15"/>
      <c r="F688" s="17"/>
    </row>
    <row r="689" ht="15.75" customHeight="1">
      <c r="A689" s="15"/>
      <c r="B689" s="15"/>
      <c r="C689" s="15"/>
      <c r="D689" s="15"/>
      <c r="F689" s="17"/>
    </row>
    <row r="690" ht="15.75" customHeight="1">
      <c r="A690" s="15"/>
      <c r="B690" s="15"/>
      <c r="C690" s="15"/>
      <c r="D690" s="15"/>
      <c r="F690" s="17"/>
    </row>
    <row r="691" ht="15.75" customHeight="1">
      <c r="A691" s="15"/>
      <c r="B691" s="15"/>
      <c r="C691" s="15"/>
      <c r="D691" s="15"/>
      <c r="F691" s="17"/>
    </row>
    <row r="692" ht="15.75" customHeight="1">
      <c r="A692" s="15"/>
      <c r="B692" s="15"/>
      <c r="C692" s="15"/>
      <c r="D692" s="15"/>
      <c r="F692" s="17"/>
    </row>
    <row r="693" ht="15.75" customHeight="1">
      <c r="A693" s="15"/>
      <c r="B693" s="15"/>
      <c r="C693" s="15"/>
      <c r="D693" s="15"/>
      <c r="F693" s="17"/>
    </row>
    <row r="694" ht="15.75" customHeight="1">
      <c r="A694" s="15"/>
      <c r="B694" s="15"/>
      <c r="C694" s="15"/>
      <c r="D694" s="15"/>
      <c r="F694" s="17"/>
    </row>
    <row r="695" ht="15.75" customHeight="1">
      <c r="A695" s="15"/>
      <c r="B695" s="15"/>
      <c r="C695" s="15"/>
      <c r="D695" s="15"/>
      <c r="F695" s="17"/>
    </row>
    <row r="696" ht="15.75" customHeight="1">
      <c r="A696" s="15"/>
      <c r="B696" s="15"/>
      <c r="C696" s="15"/>
      <c r="D696" s="15"/>
      <c r="F696" s="17"/>
    </row>
    <row r="697" ht="15.75" customHeight="1">
      <c r="A697" s="15"/>
      <c r="B697" s="15"/>
      <c r="C697" s="15"/>
      <c r="D697" s="15"/>
      <c r="F697" s="17"/>
    </row>
    <row r="698" ht="15.75" customHeight="1">
      <c r="A698" s="15"/>
      <c r="B698" s="15"/>
      <c r="C698" s="15"/>
      <c r="D698" s="15"/>
      <c r="F698" s="17"/>
    </row>
    <row r="699" ht="15.75" customHeight="1">
      <c r="A699" s="15"/>
      <c r="B699" s="15"/>
      <c r="C699" s="15"/>
      <c r="D699" s="15"/>
      <c r="F699" s="17"/>
    </row>
    <row r="700" ht="15.75" customHeight="1">
      <c r="A700" s="15"/>
      <c r="B700" s="15"/>
      <c r="C700" s="15"/>
      <c r="D700" s="15"/>
      <c r="F700" s="17"/>
    </row>
    <row r="701" ht="15.75" customHeight="1">
      <c r="A701" s="15"/>
      <c r="B701" s="15"/>
      <c r="C701" s="15"/>
      <c r="D701" s="15"/>
      <c r="F701" s="17"/>
    </row>
    <row r="702" ht="15.75" customHeight="1">
      <c r="A702" s="15"/>
      <c r="B702" s="15"/>
      <c r="C702" s="15"/>
      <c r="D702" s="15"/>
      <c r="F702" s="17"/>
    </row>
    <row r="703" ht="15.75" customHeight="1">
      <c r="A703" s="15"/>
      <c r="B703" s="15"/>
      <c r="C703" s="15"/>
      <c r="D703" s="15"/>
      <c r="F703" s="17"/>
    </row>
    <row r="704" ht="15.75" customHeight="1">
      <c r="A704" s="15"/>
      <c r="B704" s="15"/>
      <c r="C704" s="15"/>
      <c r="D704" s="15"/>
      <c r="F704" s="17"/>
    </row>
    <row r="705" ht="15.75" customHeight="1">
      <c r="A705" s="15"/>
      <c r="B705" s="15"/>
      <c r="C705" s="15"/>
      <c r="D705" s="15"/>
      <c r="F705" s="17"/>
    </row>
    <row r="706" ht="15.75" customHeight="1">
      <c r="A706" s="15"/>
      <c r="B706" s="15"/>
      <c r="C706" s="15"/>
      <c r="D706" s="15"/>
      <c r="F706" s="17"/>
    </row>
    <row r="707" ht="15.75" customHeight="1">
      <c r="A707" s="15"/>
      <c r="B707" s="15"/>
      <c r="C707" s="15"/>
      <c r="D707" s="15"/>
      <c r="F707" s="17"/>
    </row>
    <row r="708" ht="15.75" customHeight="1">
      <c r="A708" s="15"/>
      <c r="B708" s="15"/>
      <c r="C708" s="15"/>
      <c r="D708" s="15"/>
      <c r="F708" s="17"/>
    </row>
    <row r="709" ht="15.75" customHeight="1">
      <c r="A709" s="15"/>
      <c r="B709" s="15"/>
      <c r="C709" s="15"/>
      <c r="D709" s="15"/>
      <c r="F709" s="17"/>
    </row>
    <row r="710" ht="15.75" customHeight="1">
      <c r="A710" s="15"/>
      <c r="B710" s="15"/>
      <c r="C710" s="15"/>
      <c r="D710" s="15"/>
      <c r="F710" s="17"/>
    </row>
    <row r="711" ht="15.75" customHeight="1">
      <c r="A711" s="15"/>
      <c r="B711" s="15"/>
      <c r="C711" s="15"/>
      <c r="D711" s="15"/>
      <c r="F711" s="17"/>
    </row>
    <row r="712" ht="15.75" customHeight="1">
      <c r="A712" s="15"/>
      <c r="B712" s="15"/>
      <c r="C712" s="15"/>
      <c r="D712" s="15"/>
      <c r="F712" s="17"/>
    </row>
    <row r="713" ht="15.75" customHeight="1">
      <c r="A713" s="15"/>
      <c r="B713" s="15"/>
      <c r="C713" s="15"/>
      <c r="D713" s="15"/>
      <c r="F713" s="17"/>
    </row>
    <row r="714" ht="15.75" customHeight="1">
      <c r="A714" s="15"/>
      <c r="B714" s="15"/>
      <c r="C714" s="15"/>
      <c r="D714" s="15"/>
      <c r="F714" s="17"/>
    </row>
    <row r="715" ht="15.75" customHeight="1">
      <c r="A715" s="15"/>
      <c r="B715" s="15"/>
      <c r="C715" s="15"/>
      <c r="D715" s="15"/>
      <c r="F715" s="17"/>
    </row>
    <row r="716" ht="15.75" customHeight="1">
      <c r="A716" s="15"/>
      <c r="B716" s="15"/>
      <c r="C716" s="15"/>
      <c r="D716" s="15"/>
      <c r="F716" s="17"/>
    </row>
    <row r="717" ht="15.75" customHeight="1">
      <c r="A717" s="15"/>
      <c r="B717" s="15"/>
      <c r="C717" s="15"/>
      <c r="D717" s="15"/>
      <c r="F717" s="17"/>
    </row>
    <row r="718" ht="15.75" customHeight="1">
      <c r="A718" s="15"/>
      <c r="B718" s="15"/>
      <c r="C718" s="15"/>
      <c r="D718" s="15"/>
      <c r="F718" s="17"/>
    </row>
    <row r="719" ht="15.75" customHeight="1">
      <c r="A719" s="15"/>
      <c r="B719" s="15"/>
      <c r="C719" s="15"/>
      <c r="D719" s="15"/>
      <c r="F719" s="17"/>
    </row>
    <row r="720" ht="15.75" customHeight="1">
      <c r="A720" s="15"/>
      <c r="B720" s="15"/>
      <c r="C720" s="15"/>
      <c r="D720" s="15"/>
      <c r="F720" s="17"/>
    </row>
    <row r="721" ht="15.75" customHeight="1">
      <c r="A721" s="15"/>
      <c r="B721" s="15"/>
      <c r="C721" s="15"/>
      <c r="D721" s="15"/>
      <c r="F721" s="17"/>
    </row>
    <row r="722" ht="15.75" customHeight="1">
      <c r="A722" s="15"/>
      <c r="B722" s="15"/>
      <c r="C722" s="15"/>
      <c r="D722" s="15"/>
      <c r="F722" s="17"/>
    </row>
    <row r="723" ht="15.75" customHeight="1">
      <c r="A723" s="15"/>
      <c r="B723" s="15"/>
      <c r="C723" s="15"/>
      <c r="D723" s="15"/>
      <c r="F723" s="17"/>
    </row>
    <row r="724" ht="15.75" customHeight="1">
      <c r="A724" s="15"/>
      <c r="B724" s="15"/>
      <c r="C724" s="15"/>
      <c r="D724" s="15"/>
      <c r="F724" s="17"/>
    </row>
    <row r="725" ht="15.75" customHeight="1">
      <c r="A725" s="15"/>
      <c r="B725" s="15"/>
      <c r="C725" s="15"/>
      <c r="D725" s="15"/>
      <c r="F725" s="17"/>
    </row>
    <row r="726" ht="15.75" customHeight="1">
      <c r="A726" s="15"/>
      <c r="B726" s="15"/>
      <c r="C726" s="15"/>
      <c r="D726" s="15"/>
      <c r="F726" s="17"/>
    </row>
    <row r="727" ht="15.75" customHeight="1">
      <c r="A727" s="15"/>
      <c r="B727" s="15"/>
      <c r="C727" s="15"/>
      <c r="D727" s="15"/>
      <c r="F727" s="17"/>
    </row>
    <row r="728" ht="15.75" customHeight="1">
      <c r="A728" s="15"/>
      <c r="B728" s="15"/>
      <c r="C728" s="15"/>
      <c r="D728" s="15"/>
      <c r="F728" s="17"/>
    </row>
    <row r="729" ht="15.75" customHeight="1">
      <c r="A729" s="15"/>
      <c r="B729" s="15"/>
      <c r="C729" s="15"/>
      <c r="D729" s="15"/>
      <c r="F729" s="17"/>
    </row>
    <row r="730" ht="15.75" customHeight="1">
      <c r="A730" s="15"/>
      <c r="B730" s="15"/>
      <c r="C730" s="15"/>
      <c r="D730" s="15"/>
      <c r="F730" s="17"/>
    </row>
    <row r="731" ht="15.75" customHeight="1">
      <c r="A731" s="15"/>
      <c r="B731" s="15"/>
      <c r="C731" s="15"/>
      <c r="D731" s="15"/>
      <c r="F731" s="17"/>
    </row>
    <row r="732" ht="15.75" customHeight="1">
      <c r="A732" s="15"/>
      <c r="B732" s="15"/>
      <c r="C732" s="15"/>
      <c r="D732" s="15"/>
      <c r="F732" s="17"/>
    </row>
    <row r="733" ht="15.75" customHeight="1">
      <c r="A733" s="15"/>
      <c r="B733" s="15"/>
      <c r="C733" s="15"/>
      <c r="D733" s="15"/>
      <c r="F733" s="17"/>
    </row>
    <row r="734" ht="15.75" customHeight="1">
      <c r="A734" s="15"/>
      <c r="B734" s="15"/>
      <c r="C734" s="15"/>
      <c r="D734" s="15"/>
      <c r="F734" s="17"/>
    </row>
    <row r="735" ht="15.75" customHeight="1">
      <c r="A735" s="15"/>
      <c r="B735" s="15"/>
      <c r="C735" s="15"/>
      <c r="D735" s="15"/>
      <c r="F735" s="17"/>
    </row>
    <row r="736" ht="15.75" customHeight="1">
      <c r="A736" s="15"/>
      <c r="B736" s="15"/>
      <c r="C736" s="15"/>
      <c r="D736" s="15"/>
      <c r="F736" s="17"/>
    </row>
    <row r="737" ht="15.75" customHeight="1">
      <c r="A737" s="15"/>
      <c r="B737" s="15"/>
      <c r="C737" s="15"/>
      <c r="D737" s="15"/>
      <c r="F737" s="17"/>
    </row>
    <row r="738" ht="15.75" customHeight="1">
      <c r="A738" s="15"/>
      <c r="B738" s="15"/>
      <c r="C738" s="15"/>
      <c r="D738" s="15"/>
      <c r="F738" s="17"/>
    </row>
    <row r="739" ht="15.75" customHeight="1">
      <c r="A739" s="15"/>
      <c r="B739" s="15"/>
      <c r="C739" s="15"/>
      <c r="D739" s="15"/>
      <c r="F739" s="17"/>
    </row>
    <row r="740" ht="15.75" customHeight="1">
      <c r="A740" s="15"/>
      <c r="B740" s="15"/>
      <c r="C740" s="15"/>
      <c r="D740" s="15"/>
      <c r="F740" s="17"/>
    </row>
    <row r="741" ht="15.75" customHeight="1">
      <c r="A741" s="15"/>
      <c r="B741" s="15"/>
      <c r="C741" s="15"/>
      <c r="D741" s="15"/>
      <c r="F741" s="17"/>
    </row>
    <row r="742" ht="15.75" customHeight="1">
      <c r="A742" s="15"/>
      <c r="B742" s="15"/>
      <c r="C742" s="15"/>
      <c r="D742" s="15"/>
      <c r="F742" s="17"/>
    </row>
    <row r="743" ht="15.75" customHeight="1">
      <c r="A743" s="15"/>
      <c r="B743" s="15"/>
      <c r="C743" s="15"/>
      <c r="D743" s="15"/>
      <c r="F743" s="17"/>
    </row>
    <row r="744" ht="15.75" customHeight="1">
      <c r="A744" s="15"/>
      <c r="B744" s="15"/>
      <c r="C744" s="15"/>
      <c r="D744" s="15"/>
      <c r="F744" s="17"/>
    </row>
    <row r="745" ht="15.75" customHeight="1">
      <c r="A745" s="15"/>
      <c r="B745" s="15"/>
      <c r="C745" s="15"/>
      <c r="D745" s="15"/>
      <c r="F745" s="17"/>
    </row>
    <row r="746" ht="15.75" customHeight="1">
      <c r="A746" s="15"/>
      <c r="B746" s="15"/>
      <c r="C746" s="15"/>
      <c r="D746" s="15"/>
      <c r="F746" s="17"/>
    </row>
    <row r="747" ht="15.75" customHeight="1">
      <c r="A747" s="15"/>
      <c r="B747" s="15"/>
      <c r="C747" s="15"/>
      <c r="D747" s="15"/>
      <c r="F747" s="17"/>
    </row>
    <row r="748" ht="15.75" customHeight="1">
      <c r="A748" s="15"/>
      <c r="B748" s="15"/>
      <c r="C748" s="15"/>
      <c r="D748" s="15"/>
      <c r="F748" s="17"/>
    </row>
    <row r="749" ht="15.75" customHeight="1">
      <c r="A749" s="15"/>
      <c r="B749" s="15"/>
      <c r="C749" s="15"/>
      <c r="D749" s="15"/>
      <c r="F749" s="17"/>
    </row>
    <row r="750" ht="15.75" customHeight="1">
      <c r="A750" s="15"/>
      <c r="B750" s="15"/>
      <c r="C750" s="15"/>
      <c r="D750" s="15"/>
      <c r="F750" s="17"/>
    </row>
    <row r="751" ht="15.75" customHeight="1">
      <c r="A751" s="15"/>
      <c r="B751" s="15"/>
      <c r="C751" s="15"/>
      <c r="D751" s="15"/>
      <c r="F751" s="17"/>
    </row>
    <row r="752" ht="15.75" customHeight="1">
      <c r="A752" s="15"/>
      <c r="B752" s="15"/>
      <c r="C752" s="15"/>
      <c r="D752" s="15"/>
      <c r="F752" s="17"/>
    </row>
    <row r="753" ht="15.75" customHeight="1">
      <c r="A753" s="15"/>
      <c r="B753" s="15"/>
      <c r="C753" s="15"/>
      <c r="D753" s="15"/>
      <c r="F753" s="17"/>
    </row>
    <row r="754" ht="15.75" customHeight="1">
      <c r="A754" s="15"/>
      <c r="B754" s="15"/>
      <c r="C754" s="15"/>
      <c r="D754" s="15"/>
      <c r="F754" s="17"/>
    </row>
    <row r="755" ht="15.75" customHeight="1">
      <c r="A755" s="15"/>
      <c r="B755" s="15"/>
      <c r="C755" s="15"/>
      <c r="D755" s="15"/>
      <c r="F755" s="17"/>
    </row>
    <row r="756" ht="15.75" customHeight="1">
      <c r="A756" s="15"/>
      <c r="B756" s="15"/>
      <c r="C756" s="15"/>
      <c r="D756" s="15"/>
      <c r="F756" s="17"/>
    </row>
    <row r="757" ht="15.75" customHeight="1">
      <c r="A757" s="15"/>
      <c r="B757" s="15"/>
      <c r="C757" s="15"/>
      <c r="D757" s="15"/>
      <c r="F757" s="17"/>
    </row>
    <row r="758" ht="15.75" customHeight="1">
      <c r="A758" s="15"/>
      <c r="B758" s="15"/>
      <c r="C758" s="15"/>
      <c r="D758" s="15"/>
      <c r="F758" s="17"/>
    </row>
    <row r="759" ht="15.75" customHeight="1">
      <c r="A759" s="15"/>
      <c r="B759" s="15"/>
      <c r="C759" s="15"/>
      <c r="D759" s="15"/>
      <c r="F759" s="17"/>
    </row>
    <row r="760" ht="15.75" customHeight="1">
      <c r="A760" s="15"/>
      <c r="B760" s="15"/>
      <c r="C760" s="15"/>
      <c r="D760" s="15"/>
      <c r="F760" s="17"/>
    </row>
    <row r="761" ht="15.75" customHeight="1">
      <c r="A761" s="15"/>
      <c r="B761" s="15"/>
      <c r="C761" s="15"/>
      <c r="D761" s="15"/>
      <c r="F761" s="17"/>
    </row>
    <row r="762" ht="15.75" customHeight="1">
      <c r="A762" s="15"/>
      <c r="B762" s="15"/>
      <c r="C762" s="15"/>
      <c r="D762" s="15"/>
      <c r="F762" s="17"/>
    </row>
    <row r="763" ht="15.75" customHeight="1">
      <c r="A763" s="15"/>
      <c r="B763" s="15"/>
      <c r="C763" s="15"/>
      <c r="D763" s="15"/>
      <c r="F763" s="17"/>
    </row>
    <row r="764" ht="15.75" customHeight="1">
      <c r="A764" s="15"/>
      <c r="B764" s="15"/>
      <c r="C764" s="15"/>
      <c r="D764" s="15"/>
      <c r="F764" s="17"/>
    </row>
    <row r="765" ht="15.75" customHeight="1">
      <c r="A765" s="15"/>
      <c r="B765" s="15"/>
      <c r="C765" s="15"/>
      <c r="D765" s="15"/>
      <c r="F765" s="17"/>
    </row>
    <row r="766" ht="15.75" customHeight="1">
      <c r="A766" s="15"/>
      <c r="B766" s="15"/>
      <c r="C766" s="15"/>
      <c r="D766" s="15"/>
      <c r="F766" s="17"/>
    </row>
    <row r="767" ht="15.75" customHeight="1">
      <c r="A767" s="15"/>
      <c r="B767" s="15"/>
      <c r="C767" s="15"/>
      <c r="D767" s="15"/>
      <c r="F767" s="17"/>
    </row>
    <row r="768" ht="15.75" customHeight="1">
      <c r="A768" s="15"/>
      <c r="B768" s="15"/>
      <c r="C768" s="15"/>
      <c r="D768" s="15"/>
      <c r="F768" s="17"/>
    </row>
    <row r="769" ht="15.75" customHeight="1">
      <c r="A769" s="15"/>
      <c r="B769" s="15"/>
      <c r="C769" s="15"/>
      <c r="D769" s="15"/>
      <c r="F769" s="17"/>
    </row>
    <row r="770" ht="15.75" customHeight="1">
      <c r="A770" s="15"/>
      <c r="B770" s="15"/>
      <c r="C770" s="15"/>
      <c r="D770" s="15"/>
      <c r="F770" s="17"/>
    </row>
    <row r="771" ht="15.75" customHeight="1">
      <c r="A771" s="15"/>
      <c r="B771" s="15"/>
      <c r="C771" s="15"/>
      <c r="D771" s="15"/>
      <c r="F771" s="17"/>
    </row>
    <row r="772" ht="15.75" customHeight="1">
      <c r="A772" s="15"/>
      <c r="B772" s="15"/>
      <c r="C772" s="15"/>
      <c r="D772" s="15"/>
      <c r="F772" s="17"/>
    </row>
    <row r="773" ht="15.75" customHeight="1">
      <c r="A773" s="15"/>
      <c r="B773" s="15"/>
      <c r="C773" s="15"/>
      <c r="D773" s="15"/>
      <c r="F773" s="17"/>
    </row>
    <row r="774" ht="15.75" customHeight="1">
      <c r="A774" s="15"/>
      <c r="B774" s="15"/>
      <c r="C774" s="15"/>
      <c r="D774" s="15"/>
      <c r="F774" s="17"/>
    </row>
    <row r="775" ht="15.75" customHeight="1">
      <c r="A775" s="15"/>
      <c r="B775" s="15"/>
      <c r="C775" s="15"/>
      <c r="D775" s="15"/>
      <c r="F775" s="17"/>
    </row>
    <row r="776" ht="15.75" customHeight="1">
      <c r="A776" s="15"/>
      <c r="B776" s="15"/>
      <c r="C776" s="15"/>
      <c r="D776" s="15"/>
      <c r="F776" s="17"/>
    </row>
    <row r="777" ht="15.75" customHeight="1">
      <c r="A777" s="15"/>
      <c r="B777" s="15"/>
      <c r="C777" s="15"/>
      <c r="D777" s="15"/>
      <c r="F777" s="17"/>
    </row>
    <row r="778" ht="15.75" customHeight="1">
      <c r="A778" s="15"/>
      <c r="B778" s="15"/>
      <c r="C778" s="15"/>
      <c r="D778" s="15"/>
      <c r="F778" s="17"/>
    </row>
    <row r="779" ht="15.75" customHeight="1">
      <c r="A779" s="15"/>
      <c r="B779" s="15"/>
      <c r="C779" s="15"/>
      <c r="D779" s="15"/>
      <c r="F779" s="17"/>
    </row>
    <row r="780" ht="15.75" customHeight="1">
      <c r="A780" s="15"/>
      <c r="B780" s="15"/>
      <c r="C780" s="15"/>
      <c r="D780" s="15"/>
      <c r="F780" s="17"/>
    </row>
    <row r="781" ht="15.75" customHeight="1">
      <c r="A781" s="15"/>
      <c r="B781" s="15"/>
      <c r="C781" s="15"/>
      <c r="D781" s="15"/>
      <c r="F781" s="17"/>
    </row>
    <row r="782" ht="15.75" customHeight="1">
      <c r="A782" s="15"/>
      <c r="B782" s="15"/>
      <c r="C782" s="15"/>
      <c r="D782" s="15"/>
      <c r="F782" s="17"/>
    </row>
    <row r="783" ht="15.75" customHeight="1">
      <c r="A783" s="15"/>
      <c r="B783" s="15"/>
      <c r="C783" s="15"/>
      <c r="D783" s="15"/>
      <c r="F783" s="17"/>
    </row>
    <row r="784" ht="15.75" customHeight="1">
      <c r="A784" s="15"/>
      <c r="B784" s="15"/>
      <c r="C784" s="15"/>
      <c r="D784" s="15"/>
      <c r="F784" s="17"/>
    </row>
    <row r="785" ht="15.75" customHeight="1">
      <c r="A785" s="15"/>
      <c r="B785" s="15"/>
      <c r="C785" s="15"/>
      <c r="D785" s="15"/>
      <c r="F785" s="17"/>
    </row>
    <row r="786" ht="15.75" customHeight="1">
      <c r="A786" s="15"/>
      <c r="B786" s="15"/>
      <c r="C786" s="15"/>
      <c r="D786" s="15"/>
      <c r="F786" s="17"/>
    </row>
    <row r="787" ht="15.75" customHeight="1">
      <c r="A787" s="15"/>
      <c r="B787" s="15"/>
      <c r="C787" s="15"/>
      <c r="D787" s="15"/>
      <c r="F787" s="17"/>
    </row>
    <row r="788" ht="15.75" customHeight="1">
      <c r="A788" s="15"/>
      <c r="B788" s="15"/>
      <c r="C788" s="15"/>
      <c r="D788" s="15"/>
      <c r="F788" s="17"/>
    </row>
    <row r="789" ht="15.75" customHeight="1">
      <c r="A789" s="15"/>
      <c r="B789" s="15"/>
      <c r="C789" s="15"/>
      <c r="D789" s="15"/>
      <c r="F789" s="17"/>
    </row>
    <row r="790" ht="15.75" customHeight="1">
      <c r="A790" s="15"/>
      <c r="B790" s="15"/>
      <c r="C790" s="15"/>
      <c r="D790" s="15"/>
      <c r="F790" s="17"/>
    </row>
    <row r="791" ht="15.75" customHeight="1">
      <c r="A791" s="15"/>
      <c r="B791" s="15"/>
      <c r="C791" s="15"/>
      <c r="D791" s="15"/>
      <c r="F791" s="17"/>
    </row>
    <row r="792" ht="15.75" customHeight="1">
      <c r="A792" s="15"/>
      <c r="B792" s="15"/>
      <c r="C792" s="15"/>
      <c r="D792" s="15"/>
      <c r="F792" s="17"/>
    </row>
    <row r="793" ht="15.75" customHeight="1">
      <c r="A793" s="15"/>
      <c r="B793" s="15"/>
      <c r="C793" s="15"/>
      <c r="D793" s="15"/>
      <c r="F793" s="17"/>
    </row>
    <row r="794" ht="15.75" customHeight="1">
      <c r="A794" s="15"/>
      <c r="B794" s="15"/>
      <c r="C794" s="15"/>
      <c r="D794" s="15"/>
      <c r="F794" s="17"/>
    </row>
    <row r="795" ht="15.75" customHeight="1">
      <c r="A795" s="15"/>
      <c r="B795" s="15"/>
      <c r="C795" s="15"/>
      <c r="D795" s="15"/>
      <c r="F795" s="17"/>
    </row>
    <row r="796" ht="15.75" customHeight="1">
      <c r="A796" s="15"/>
      <c r="B796" s="15"/>
      <c r="C796" s="15"/>
      <c r="D796" s="15"/>
      <c r="F796" s="17"/>
    </row>
    <row r="797" ht="15.75" customHeight="1">
      <c r="A797" s="15"/>
      <c r="B797" s="15"/>
      <c r="C797" s="15"/>
      <c r="D797" s="15"/>
      <c r="F797" s="17"/>
    </row>
    <row r="798" ht="15.75" customHeight="1">
      <c r="A798" s="15"/>
      <c r="B798" s="15"/>
      <c r="C798" s="15"/>
      <c r="D798" s="15"/>
      <c r="F798" s="17"/>
    </row>
    <row r="799" ht="15.75" customHeight="1">
      <c r="A799" s="15"/>
      <c r="B799" s="15"/>
      <c r="C799" s="15"/>
      <c r="D799" s="15"/>
      <c r="F799" s="17"/>
    </row>
    <row r="800" ht="15.75" customHeight="1">
      <c r="A800" s="15"/>
      <c r="B800" s="15"/>
      <c r="C800" s="15"/>
      <c r="D800" s="15"/>
      <c r="F800" s="17"/>
    </row>
    <row r="801" ht="15.75" customHeight="1">
      <c r="A801" s="15"/>
      <c r="B801" s="15"/>
      <c r="C801" s="15"/>
      <c r="D801" s="15"/>
      <c r="F801" s="17"/>
    </row>
    <row r="802" ht="15.75" customHeight="1">
      <c r="A802" s="15"/>
      <c r="B802" s="15"/>
      <c r="C802" s="15"/>
      <c r="D802" s="15"/>
      <c r="F802" s="17"/>
    </row>
    <row r="803" ht="15.75" customHeight="1">
      <c r="A803" s="15"/>
      <c r="B803" s="15"/>
      <c r="C803" s="15"/>
      <c r="D803" s="15"/>
      <c r="F803" s="17"/>
    </row>
    <row r="804" ht="15.75" customHeight="1">
      <c r="A804" s="15"/>
      <c r="B804" s="15"/>
      <c r="C804" s="15"/>
      <c r="D804" s="15"/>
      <c r="F804" s="17"/>
    </row>
    <row r="805" ht="15.75" customHeight="1">
      <c r="A805" s="15"/>
      <c r="B805" s="15"/>
      <c r="C805" s="15"/>
      <c r="D805" s="15"/>
      <c r="F805" s="17"/>
    </row>
    <row r="806" ht="15.75" customHeight="1">
      <c r="A806" s="15"/>
      <c r="B806" s="15"/>
      <c r="C806" s="15"/>
      <c r="D806" s="15"/>
      <c r="F806" s="17"/>
    </row>
    <row r="807" ht="15.75" customHeight="1">
      <c r="A807" s="15"/>
      <c r="B807" s="15"/>
      <c r="C807" s="15"/>
      <c r="D807" s="15"/>
      <c r="F807" s="17"/>
    </row>
    <row r="808" ht="15.75" customHeight="1">
      <c r="A808" s="15"/>
      <c r="B808" s="15"/>
      <c r="C808" s="15"/>
      <c r="D808" s="15"/>
      <c r="F808" s="17"/>
    </row>
    <row r="809" ht="15.75" customHeight="1">
      <c r="A809" s="15"/>
      <c r="B809" s="15"/>
      <c r="C809" s="15"/>
      <c r="D809" s="15"/>
      <c r="F809" s="17"/>
    </row>
    <row r="810" ht="15.75" customHeight="1">
      <c r="A810" s="15"/>
      <c r="B810" s="15"/>
      <c r="C810" s="15"/>
      <c r="D810" s="15"/>
      <c r="F810" s="17"/>
    </row>
    <row r="811" ht="15.75" customHeight="1">
      <c r="A811" s="15"/>
      <c r="B811" s="15"/>
      <c r="C811" s="15"/>
      <c r="D811" s="15"/>
      <c r="F811" s="17"/>
    </row>
    <row r="812" ht="15.75" customHeight="1">
      <c r="A812" s="15"/>
      <c r="B812" s="15"/>
      <c r="C812" s="15"/>
      <c r="D812" s="15"/>
      <c r="F812" s="17"/>
    </row>
    <row r="813" ht="15.75" customHeight="1">
      <c r="A813" s="15"/>
      <c r="B813" s="15"/>
      <c r="C813" s="15"/>
      <c r="D813" s="15"/>
      <c r="F813" s="17"/>
    </row>
    <row r="814" ht="15.75" customHeight="1">
      <c r="A814" s="15"/>
      <c r="B814" s="15"/>
      <c r="C814" s="15"/>
      <c r="D814" s="15"/>
      <c r="F814" s="17"/>
    </row>
    <row r="815" ht="15.75" customHeight="1">
      <c r="A815" s="15"/>
      <c r="B815" s="15"/>
      <c r="C815" s="15"/>
      <c r="D815" s="15"/>
      <c r="F815" s="17"/>
    </row>
    <row r="816" ht="15.75" customHeight="1">
      <c r="A816" s="15"/>
      <c r="B816" s="15"/>
      <c r="C816" s="15"/>
      <c r="D816" s="15"/>
      <c r="F816" s="17"/>
    </row>
    <row r="817" ht="15.75" customHeight="1">
      <c r="A817" s="15"/>
      <c r="B817" s="15"/>
      <c r="C817" s="15"/>
      <c r="D817" s="15"/>
      <c r="F817" s="17"/>
    </row>
    <row r="818" ht="15.75" customHeight="1">
      <c r="A818" s="15"/>
      <c r="B818" s="15"/>
      <c r="C818" s="15"/>
      <c r="D818" s="15"/>
      <c r="F818" s="17"/>
    </row>
    <row r="819" ht="15.75" customHeight="1">
      <c r="A819" s="15"/>
      <c r="B819" s="15"/>
      <c r="C819" s="15"/>
      <c r="D819" s="15"/>
      <c r="F819" s="17"/>
    </row>
    <row r="820" ht="15.75" customHeight="1">
      <c r="A820" s="15"/>
      <c r="B820" s="15"/>
      <c r="C820" s="15"/>
      <c r="D820" s="15"/>
      <c r="F820" s="17"/>
    </row>
    <row r="821" ht="15.75" customHeight="1">
      <c r="A821" s="15"/>
      <c r="B821" s="15"/>
      <c r="C821" s="15"/>
      <c r="D821" s="15"/>
      <c r="F821" s="17"/>
    </row>
    <row r="822" ht="15.75" customHeight="1">
      <c r="A822" s="15"/>
      <c r="B822" s="15"/>
      <c r="C822" s="15"/>
      <c r="D822" s="15"/>
      <c r="F822" s="17"/>
    </row>
    <row r="823" ht="15.75" customHeight="1">
      <c r="A823" s="15"/>
      <c r="B823" s="15"/>
      <c r="C823" s="15"/>
      <c r="D823" s="15"/>
      <c r="F823" s="17"/>
    </row>
    <row r="824" ht="15.75" customHeight="1">
      <c r="A824" s="15"/>
      <c r="B824" s="15"/>
      <c r="C824" s="15"/>
      <c r="D824" s="15"/>
      <c r="F824" s="17"/>
    </row>
    <row r="825" ht="15.75" customHeight="1">
      <c r="A825" s="15"/>
      <c r="B825" s="15"/>
      <c r="C825" s="15"/>
      <c r="D825" s="15"/>
      <c r="F825" s="17"/>
    </row>
    <row r="826" ht="15.75" customHeight="1">
      <c r="A826" s="15"/>
      <c r="B826" s="15"/>
      <c r="C826" s="15"/>
      <c r="D826" s="15"/>
      <c r="F826" s="17"/>
    </row>
    <row r="827" ht="15.75" customHeight="1">
      <c r="A827" s="15"/>
      <c r="B827" s="15"/>
      <c r="C827" s="15"/>
      <c r="D827" s="15"/>
      <c r="F827" s="17"/>
    </row>
    <row r="828" ht="15.75" customHeight="1">
      <c r="A828" s="15"/>
      <c r="B828" s="15"/>
      <c r="C828" s="15"/>
      <c r="D828" s="15"/>
      <c r="F828" s="17"/>
    </row>
    <row r="829" ht="15.75" customHeight="1">
      <c r="A829" s="15"/>
      <c r="B829" s="15"/>
      <c r="C829" s="15"/>
      <c r="D829" s="15"/>
      <c r="F829" s="17"/>
    </row>
    <row r="830" ht="15.75" customHeight="1">
      <c r="A830" s="15"/>
      <c r="B830" s="15"/>
      <c r="C830" s="15"/>
      <c r="D830" s="15"/>
      <c r="F830" s="17"/>
    </row>
    <row r="831" ht="15.75" customHeight="1">
      <c r="A831" s="15"/>
      <c r="B831" s="15"/>
      <c r="C831" s="15"/>
      <c r="D831" s="15"/>
      <c r="F831" s="17"/>
    </row>
    <row r="832" ht="15.75" customHeight="1">
      <c r="A832" s="15"/>
      <c r="B832" s="15"/>
      <c r="C832" s="15"/>
      <c r="D832" s="15"/>
      <c r="F832" s="17"/>
    </row>
    <row r="833" ht="15.75" customHeight="1">
      <c r="A833" s="15"/>
      <c r="B833" s="15"/>
      <c r="C833" s="15"/>
      <c r="D833" s="15"/>
      <c r="F833" s="17"/>
    </row>
    <row r="834" ht="15.75" customHeight="1">
      <c r="A834" s="15"/>
      <c r="B834" s="15"/>
      <c r="C834" s="15"/>
      <c r="D834" s="15"/>
      <c r="F834" s="17"/>
    </row>
    <row r="835" ht="15.75" customHeight="1">
      <c r="A835" s="15"/>
      <c r="B835" s="15"/>
      <c r="C835" s="15"/>
      <c r="D835" s="15"/>
      <c r="F835" s="17"/>
    </row>
    <row r="836" ht="15.75" customHeight="1">
      <c r="A836" s="15"/>
      <c r="B836" s="15"/>
      <c r="C836" s="15"/>
      <c r="D836" s="15"/>
      <c r="F836" s="17"/>
    </row>
    <row r="837" ht="15.75" customHeight="1">
      <c r="A837" s="15"/>
      <c r="B837" s="15"/>
      <c r="C837" s="15"/>
      <c r="D837" s="15"/>
      <c r="F837" s="17"/>
    </row>
    <row r="838" ht="15.75" customHeight="1">
      <c r="A838" s="15"/>
      <c r="B838" s="15"/>
      <c r="C838" s="15"/>
      <c r="D838" s="15"/>
      <c r="F838" s="17"/>
    </row>
    <row r="839" ht="15.75" customHeight="1">
      <c r="A839" s="15"/>
      <c r="B839" s="15"/>
      <c r="C839" s="15"/>
      <c r="D839" s="15"/>
      <c r="F839" s="17"/>
    </row>
    <row r="840" ht="15.75" customHeight="1">
      <c r="A840" s="15"/>
      <c r="B840" s="15"/>
      <c r="C840" s="15"/>
      <c r="D840" s="15"/>
      <c r="F840" s="17"/>
    </row>
    <row r="841" ht="15.75" customHeight="1">
      <c r="A841" s="15"/>
      <c r="B841" s="15"/>
      <c r="C841" s="15"/>
      <c r="D841" s="15"/>
      <c r="F841" s="17"/>
    </row>
    <row r="842" ht="15.75" customHeight="1">
      <c r="A842" s="15"/>
      <c r="B842" s="15"/>
      <c r="C842" s="15"/>
      <c r="D842" s="15"/>
      <c r="F842" s="17"/>
    </row>
    <row r="843" ht="15.75" customHeight="1">
      <c r="A843" s="15"/>
      <c r="B843" s="15"/>
      <c r="C843" s="15"/>
      <c r="D843" s="15"/>
      <c r="F843" s="17"/>
    </row>
    <row r="844" ht="15.75" customHeight="1">
      <c r="D844" s="15"/>
      <c r="F844" s="17"/>
    </row>
    <row r="845" ht="15.75" customHeight="1">
      <c r="D845" s="15"/>
      <c r="F845" s="17"/>
    </row>
    <row r="846" ht="15.75" customHeight="1">
      <c r="D846" s="15"/>
      <c r="F846" s="17"/>
    </row>
    <row r="847" ht="15.75" customHeight="1">
      <c r="D847" s="16"/>
      <c r="F847" s="17"/>
    </row>
    <row r="848" ht="15.75" customHeight="1">
      <c r="D848" s="16"/>
      <c r="F848" s="17"/>
    </row>
    <row r="849" ht="15.75" customHeight="1">
      <c r="D849" s="15"/>
      <c r="F849" s="17"/>
    </row>
    <row r="850" ht="15.75" customHeight="1">
      <c r="D850" s="15"/>
      <c r="F850" s="17"/>
    </row>
    <row r="851" ht="15.75" customHeight="1">
      <c r="F851" s="17"/>
    </row>
    <row r="852" ht="15.75" customHeight="1">
      <c r="F852" s="17"/>
    </row>
    <row r="853" ht="15.75" customHeight="1">
      <c r="F853" s="17"/>
    </row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A1000" s="1"/>
      <c r="B1000" s="1"/>
      <c r="C1000" s="1" t="s">
        <v>190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4.43"/>
    <col customWidth="1" min="3" max="3" width="33.14"/>
    <col customWidth="1" min="4" max="5" width="14.43"/>
    <col customWidth="1" min="6" max="6" width="21.43"/>
    <col customWidth="1" min="7" max="7" width="29.86"/>
    <col customWidth="1" min="8" max="9" width="22.43"/>
    <col customWidth="1" min="10" max="10" width="19.43"/>
    <col customWidth="1" min="11" max="11" width="24.14"/>
    <col customWidth="1" min="12" max="12" width="15.29"/>
    <col customWidth="1" min="13" max="13" width="24.57"/>
    <col customWidth="1" min="14" max="14" width="15.71"/>
    <col customWidth="1" min="15" max="15" width="21.86"/>
    <col customWidth="1" min="16" max="16" width="16.29"/>
    <col customWidth="1" min="17" max="17" width="16.0"/>
  </cols>
  <sheetData>
    <row r="1" ht="15.75" customHeight="1">
      <c r="A1" s="18" t="s">
        <v>191</v>
      </c>
      <c r="B1" s="19" t="s">
        <v>192</v>
      </c>
      <c r="C1" s="19" t="s">
        <v>17</v>
      </c>
      <c r="D1" s="19" t="s">
        <v>193</v>
      </c>
      <c r="E1" s="19" t="s">
        <v>194</v>
      </c>
      <c r="F1" s="19" t="s">
        <v>195</v>
      </c>
      <c r="G1" s="19" t="s">
        <v>196</v>
      </c>
      <c r="H1" s="19" t="s">
        <v>197</v>
      </c>
      <c r="I1" s="19" t="s">
        <v>198</v>
      </c>
      <c r="J1" s="20" t="s">
        <v>199</v>
      </c>
      <c r="K1" s="20" t="s">
        <v>200</v>
      </c>
      <c r="L1" s="20" t="s">
        <v>201</v>
      </c>
      <c r="M1" s="21" t="s">
        <v>202</v>
      </c>
      <c r="N1" s="22" t="s">
        <v>203</v>
      </c>
      <c r="O1" s="21" t="s">
        <v>204</v>
      </c>
      <c r="P1" s="23" t="s">
        <v>205</v>
      </c>
      <c r="Q1" s="23" t="s">
        <v>206</v>
      </c>
      <c r="R1" s="23" t="s">
        <v>207</v>
      </c>
      <c r="S1" s="24" t="s">
        <v>208</v>
      </c>
      <c r="T1" s="24" t="s">
        <v>16</v>
      </c>
      <c r="U1" s="24"/>
      <c r="V1" s="24"/>
      <c r="W1" s="24"/>
      <c r="X1" s="24"/>
      <c r="Y1" s="24"/>
      <c r="Z1" s="24"/>
      <c r="AA1" s="24"/>
      <c r="AB1" s="24"/>
      <c r="AC1" s="24"/>
    </row>
    <row r="2" ht="15.75" customHeight="1">
      <c r="A2" s="25">
        <v>45901.43879810185</v>
      </c>
      <c r="B2" s="1">
        <v>345.0</v>
      </c>
      <c r="C2" s="1" t="s">
        <v>209</v>
      </c>
      <c r="D2" s="26">
        <v>45665.0</v>
      </c>
      <c r="E2" s="1" t="s">
        <v>210</v>
      </c>
      <c r="F2" s="1" t="s">
        <v>7</v>
      </c>
      <c r="G2" s="1" t="s">
        <v>211</v>
      </c>
      <c r="H2" s="1">
        <v>7.0</v>
      </c>
      <c r="I2" s="27">
        <v>10000.0</v>
      </c>
      <c r="J2" s="1" t="s">
        <v>211</v>
      </c>
      <c r="K2" s="1" t="s">
        <v>147</v>
      </c>
      <c r="L2" s="1">
        <v>10.0</v>
      </c>
      <c r="S2" s="1">
        <v>1270458.0</v>
      </c>
      <c r="T2" s="1" t="s">
        <v>3</v>
      </c>
    </row>
    <row r="3" ht="15.75" customHeight="1">
      <c r="A3" s="28">
        <v>45902.65274310185</v>
      </c>
      <c r="B3" s="1" t="s">
        <v>88</v>
      </c>
      <c r="C3" s="1" t="s">
        <v>209</v>
      </c>
      <c r="D3" s="26">
        <v>45938.0</v>
      </c>
      <c r="E3" s="1" t="s">
        <v>210</v>
      </c>
      <c r="F3" s="1" t="s">
        <v>139</v>
      </c>
      <c r="G3" s="1" t="s">
        <v>212</v>
      </c>
      <c r="H3" s="1">
        <v>6.0</v>
      </c>
      <c r="I3" s="1">
        <v>20000.0</v>
      </c>
      <c r="J3" s="1" t="s">
        <v>212</v>
      </c>
      <c r="K3" s="1" t="s">
        <v>142</v>
      </c>
      <c r="L3" s="1">
        <v>400.0</v>
      </c>
      <c r="S3" s="1">
        <v>1270458.0</v>
      </c>
      <c r="T3" s="1" t="s">
        <v>3</v>
      </c>
    </row>
    <row r="4" ht="15.75" customHeight="1"/>
    <row r="5" ht="15.75" customHeight="1"/>
    <row r="6" ht="15.75" customHeight="1"/>
    <row r="7" ht="15.75" customHeight="1">
      <c r="A7" s="29"/>
    </row>
    <row r="8" ht="15.75" customHeight="1"/>
    <row r="9" ht="15.75" customHeight="1">
      <c r="A9" s="29"/>
    </row>
    <row r="10" ht="15.75" customHeight="1">
      <c r="A10" s="29"/>
    </row>
    <row r="11" ht="15.75" customHeight="1">
      <c r="A11" s="29"/>
    </row>
    <row r="12" ht="15.75" customHeight="1">
      <c r="A12" s="30"/>
    </row>
    <row r="13" ht="15.75" customHeight="1">
      <c r="A13" s="30"/>
    </row>
    <row r="14" ht="15.75" customHeight="1">
      <c r="A14" s="30"/>
    </row>
    <row r="15" ht="15.75" customHeight="1">
      <c r="A15" s="30"/>
    </row>
    <row r="16" ht="15.75" customHeight="1">
      <c r="A16" s="29"/>
    </row>
    <row r="17" ht="15.75" customHeight="1">
      <c r="A17" s="29"/>
    </row>
    <row r="18" ht="15.75" customHeight="1">
      <c r="A18" s="29"/>
    </row>
    <row r="19" ht="15.75" customHeight="1">
      <c r="A19" s="29"/>
    </row>
    <row r="20" ht="15.75" customHeight="1">
      <c r="A20" s="29"/>
    </row>
    <row r="21" ht="15.75" customHeight="1">
      <c r="A21" s="29"/>
    </row>
    <row r="22" ht="15.75" customHeight="1">
      <c r="A22" s="29"/>
    </row>
    <row r="23" ht="15.75" customHeight="1">
      <c r="A23" s="29"/>
    </row>
    <row r="24" ht="15.75" customHeight="1">
      <c r="A24" s="29"/>
    </row>
    <row r="25" ht="15.75" customHeight="1">
      <c r="A25" s="29"/>
    </row>
    <row r="26" ht="15.75" customHeight="1">
      <c r="A26" s="2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8.0"/>
    <col customWidth="1" min="3" max="3" width="16.71"/>
    <col customWidth="1" min="4" max="6" width="14.43"/>
    <col customWidth="1" min="13" max="13" width="24.86"/>
  </cols>
  <sheetData>
    <row r="1" ht="15.75" customHeight="1">
      <c r="A1" s="31" t="s">
        <v>213</v>
      </c>
      <c r="B1" s="32" t="s">
        <v>17</v>
      </c>
      <c r="C1" s="32" t="s">
        <v>214</v>
      </c>
      <c r="D1" s="33" t="s">
        <v>215</v>
      </c>
      <c r="E1" s="34" t="s">
        <v>216</v>
      </c>
      <c r="F1" s="34" t="s">
        <v>217</v>
      </c>
      <c r="G1" s="34" t="s">
        <v>218</v>
      </c>
      <c r="H1" s="33" t="s">
        <v>219</v>
      </c>
      <c r="I1" s="35" t="s">
        <v>220</v>
      </c>
      <c r="J1" s="3" t="s">
        <v>221</v>
      </c>
    </row>
    <row r="2" ht="15.75" hidden="1" customHeight="1">
      <c r="A2" s="36">
        <v>728954.0</v>
      </c>
      <c r="B2" s="37" t="s">
        <v>222</v>
      </c>
      <c r="C2" s="37" t="s">
        <v>223</v>
      </c>
      <c r="D2" s="37" t="s">
        <v>224</v>
      </c>
      <c r="E2" s="37" t="s">
        <v>225</v>
      </c>
      <c r="F2" s="37" t="s">
        <v>226</v>
      </c>
      <c r="G2" s="37" t="s">
        <v>227</v>
      </c>
      <c r="H2" s="37" t="s">
        <v>228</v>
      </c>
      <c r="I2" s="37" t="s">
        <v>229</v>
      </c>
    </row>
    <row r="3" ht="15.75" hidden="1" customHeight="1">
      <c r="A3" s="38">
        <v>3773140.0</v>
      </c>
      <c r="B3" s="39" t="s">
        <v>222</v>
      </c>
      <c r="C3" s="39" t="s">
        <v>230</v>
      </c>
      <c r="D3" s="39" t="s">
        <v>224</v>
      </c>
      <c r="E3" s="39" t="s">
        <v>225</v>
      </c>
      <c r="F3" s="39" t="s">
        <v>226</v>
      </c>
      <c r="G3" s="39" t="s">
        <v>227</v>
      </c>
      <c r="H3" s="39" t="s">
        <v>231</v>
      </c>
      <c r="I3" s="39" t="s">
        <v>229</v>
      </c>
    </row>
    <row r="4" ht="15.75" hidden="1" customHeight="1">
      <c r="A4" s="36">
        <v>752718.0</v>
      </c>
      <c r="B4" s="37" t="s">
        <v>232</v>
      </c>
      <c r="C4" s="37" t="s">
        <v>233</v>
      </c>
      <c r="D4" s="37" t="s">
        <v>234</v>
      </c>
      <c r="E4" s="37" t="s">
        <v>235</v>
      </c>
      <c r="F4" s="37" t="s">
        <v>226</v>
      </c>
      <c r="G4" s="37" t="s">
        <v>227</v>
      </c>
      <c r="H4" s="37" t="s">
        <v>236</v>
      </c>
      <c r="I4" s="37" t="s">
        <v>229</v>
      </c>
    </row>
    <row r="5" ht="15.75" hidden="1" customHeight="1">
      <c r="A5" s="38">
        <v>4737226.0</v>
      </c>
      <c r="B5" s="39" t="s">
        <v>222</v>
      </c>
      <c r="C5" s="39" t="s">
        <v>237</v>
      </c>
      <c r="D5" s="39" t="s">
        <v>224</v>
      </c>
      <c r="E5" s="39" t="s">
        <v>225</v>
      </c>
      <c r="F5" s="39" t="s">
        <v>226</v>
      </c>
      <c r="G5" s="39" t="s">
        <v>227</v>
      </c>
      <c r="H5" s="39" t="s">
        <v>238</v>
      </c>
      <c r="I5" s="39" t="s">
        <v>229</v>
      </c>
    </row>
    <row r="6" ht="15.75" hidden="1" customHeight="1">
      <c r="A6" s="36">
        <v>801763.0</v>
      </c>
      <c r="B6" s="37" t="s">
        <v>239</v>
      </c>
      <c r="C6" s="37" t="s">
        <v>240</v>
      </c>
      <c r="D6" s="37" t="s">
        <v>224</v>
      </c>
      <c r="E6" s="37" t="s">
        <v>241</v>
      </c>
      <c r="F6" s="37" t="s">
        <v>242</v>
      </c>
      <c r="G6" s="37" t="s">
        <v>227</v>
      </c>
      <c r="H6" s="37" t="s">
        <v>243</v>
      </c>
      <c r="I6" s="37" t="s">
        <v>229</v>
      </c>
    </row>
    <row r="7" ht="15.75" hidden="1" customHeight="1">
      <c r="A7" s="38">
        <v>5538879.0</v>
      </c>
      <c r="B7" s="39" t="s">
        <v>222</v>
      </c>
      <c r="C7" s="39" t="s">
        <v>244</v>
      </c>
      <c r="D7" s="39" t="s">
        <v>224</v>
      </c>
      <c r="E7" s="39" t="s">
        <v>225</v>
      </c>
      <c r="F7" s="39" t="s">
        <v>226</v>
      </c>
      <c r="G7" s="39" t="s">
        <v>227</v>
      </c>
      <c r="H7" s="39" t="s">
        <v>245</v>
      </c>
      <c r="I7" s="39" t="s">
        <v>229</v>
      </c>
    </row>
    <row r="8" ht="15.75" hidden="1" customHeight="1">
      <c r="A8" s="36">
        <v>951124.0</v>
      </c>
      <c r="B8" s="37" t="s">
        <v>246</v>
      </c>
      <c r="C8" s="37" t="s">
        <v>247</v>
      </c>
      <c r="D8" s="37" t="s">
        <v>224</v>
      </c>
      <c r="E8" s="37" t="s">
        <v>248</v>
      </c>
      <c r="F8" s="37" t="s">
        <v>249</v>
      </c>
      <c r="G8" s="37" t="s">
        <v>250</v>
      </c>
      <c r="H8" s="37" t="s">
        <v>251</v>
      </c>
      <c r="I8" s="37" t="s">
        <v>229</v>
      </c>
    </row>
    <row r="9" ht="15.75" hidden="1" customHeight="1">
      <c r="A9" s="38">
        <v>4727234.0</v>
      </c>
      <c r="B9" s="39" t="s">
        <v>222</v>
      </c>
      <c r="C9" s="39" t="s">
        <v>252</v>
      </c>
      <c r="D9" s="39" t="s">
        <v>224</v>
      </c>
      <c r="E9" s="39" t="s">
        <v>225</v>
      </c>
      <c r="F9" s="39" t="s">
        <v>226</v>
      </c>
      <c r="G9" s="39" t="s">
        <v>227</v>
      </c>
      <c r="H9" s="39" t="s">
        <v>253</v>
      </c>
      <c r="I9" s="39" t="s">
        <v>229</v>
      </c>
    </row>
    <row r="10" ht="15.75" hidden="1" customHeight="1">
      <c r="A10" s="36">
        <v>1204240.0</v>
      </c>
      <c r="B10" s="37" t="s">
        <v>254</v>
      </c>
      <c r="C10" s="37" t="s">
        <v>255</v>
      </c>
      <c r="D10" s="37" t="s">
        <v>224</v>
      </c>
      <c r="E10" s="37" t="s">
        <v>256</v>
      </c>
      <c r="F10" s="37" t="s">
        <v>257</v>
      </c>
      <c r="G10" s="37" t="s">
        <v>258</v>
      </c>
      <c r="H10" s="37" t="s">
        <v>259</v>
      </c>
      <c r="I10" s="37" t="s">
        <v>260</v>
      </c>
    </row>
    <row r="11" ht="15.75" hidden="1" customHeight="1">
      <c r="A11" s="38">
        <v>4756641.0</v>
      </c>
      <c r="B11" s="39" t="s">
        <v>222</v>
      </c>
      <c r="C11" s="39" t="s">
        <v>261</v>
      </c>
      <c r="D11" s="39" t="s">
        <v>224</v>
      </c>
      <c r="E11" s="39" t="s">
        <v>225</v>
      </c>
      <c r="F11" s="39" t="s">
        <v>226</v>
      </c>
      <c r="G11" s="39" t="s">
        <v>227</v>
      </c>
      <c r="H11" s="39" t="s">
        <v>262</v>
      </c>
      <c r="I11" s="39" t="s">
        <v>229</v>
      </c>
    </row>
    <row r="12" ht="15.75" hidden="1" customHeight="1">
      <c r="A12" s="36">
        <v>1289223.0</v>
      </c>
      <c r="B12" s="37" t="s">
        <v>263</v>
      </c>
      <c r="C12" s="37" t="s">
        <v>264</v>
      </c>
      <c r="D12" s="37" t="s">
        <v>224</v>
      </c>
      <c r="E12" s="37" t="s">
        <v>265</v>
      </c>
      <c r="F12" s="37" t="s">
        <v>266</v>
      </c>
      <c r="G12" s="37" t="s">
        <v>250</v>
      </c>
      <c r="H12" s="37" t="s">
        <v>267</v>
      </c>
      <c r="I12" s="37" t="s">
        <v>229</v>
      </c>
    </row>
    <row r="13" ht="15.75" hidden="1" customHeight="1">
      <c r="A13" s="38">
        <v>4968715.0</v>
      </c>
      <c r="B13" s="39" t="s">
        <v>222</v>
      </c>
      <c r="C13" s="39" t="s">
        <v>268</v>
      </c>
      <c r="D13" s="39" t="s">
        <v>269</v>
      </c>
      <c r="E13" s="39" t="s">
        <v>225</v>
      </c>
      <c r="F13" s="39" t="s">
        <v>226</v>
      </c>
      <c r="G13" s="39" t="s">
        <v>227</v>
      </c>
      <c r="H13" s="39" t="s">
        <v>270</v>
      </c>
      <c r="I13" s="39" t="s">
        <v>229</v>
      </c>
    </row>
    <row r="14" ht="15.75" hidden="1" customHeight="1">
      <c r="A14" s="36">
        <v>1351571.0</v>
      </c>
      <c r="B14" s="37" t="s">
        <v>254</v>
      </c>
      <c r="C14" s="37" t="s">
        <v>271</v>
      </c>
      <c r="D14" s="37" t="s">
        <v>224</v>
      </c>
      <c r="E14" s="37" t="s">
        <v>272</v>
      </c>
      <c r="F14" s="37" t="s">
        <v>257</v>
      </c>
      <c r="G14" s="37" t="s">
        <v>258</v>
      </c>
      <c r="H14" s="37" t="s">
        <v>273</v>
      </c>
      <c r="I14" s="37" t="s">
        <v>260</v>
      </c>
    </row>
    <row r="15" ht="15.75" hidden="1" customHeight="1">
      <c r="A15" s="38">
        <v>5804610.0</v>
      </c>
      <c r="B15" s="39" t="s">
        <v>222</v>
      </c>
      <c r="C15" s="39" t="s">
        <v>274</v>
      </c>
      <c r="D15" s="39" t="s">
        <v>224</v>
      </c>
      <c r="E15" s="39" t="s">
        <v>225</v>
      </c>
      <c r="F15" s="39" t="s">
        <v>226</v>
      </c>
      <c r="G15" s="39" t="s">
        <v>227</v>
      </c>
      <c r="H15" s="39" t="s">
        <v>275</v>
      </c>
      <c r="I15" s="39" t="s">
        <v>229</v>
      </c>
    </row>
    <row r="16" ht="15.75" hidden="1" customHeight="1">
      <c r="A16" s="36">
        <v>1780877.0</v>
      </c>
      <c r="B16" s="37" t="s">
        <v>276</v>
      </c>
      <c r="C16" s="37" t="s">
        <v>277</v>
      </c>
      <c r="D16" s="37" t="s">
        <v>224</v>
      </c>
      <c r="E16" s="37" t="s">
        <v>278</v>
      </c>
      <c r="F16" s="37" t="s">
        <v>257</v>
      </c>
      <c r="G16" s="37" t="s">
        <v>258</v>
      </c>
      <c r="H16" s="37" t="s">
        <v>279</v>
      </c>
      <c r="I16" s="37" t="s">
        <v>260</v>
      </c>
    </row>
    <row r="17" ht="15.75" hidden="1" customHeight="1">
      <c r="A17" s="38">
        <v>5044697.0</v>
      </c>
      <c r="B17" s="39" t="s">
        <v>222</v>
      </c>
      <c r="C17" s="39" t="s">
        <v>280</v>
      </c>
      <c r="D17" s="39" t="s">
        <v>224</v>
      </c>
      <c r="E17" s="39" t="s">
        <v>225</v>
      </c>
      <c r="F17" s="39" t="s">
        <v>226</v>
      </c>
      <c r="G17" s="39" t="s">
        <v>227</v>
      </c>
      <c r="H17" s="39" t="s">
        <v>281</v>
      </c>
      <c r="I17" s="39" t="s">
        <v>229</v>
      </c>
    </row>
    <row r="18" ht="15.75" hidden="1" customHeight="1">
      <c r="A18" s="36">
        <v>1843950.0</v>
      </c>
      <c r="B18" s="37" t="s">
        <v>118</v>
      </c>
      <c r="C18" s="37" t="s">
        <v>282</v>
      </c>
      <c r="D18" s="37" t="s">
        <v>224</v>
      </c>
      <c r="E18" s="37" t="s">
        <v>283</v>
      </c>
      <c r="F18" s="37" t="s">
        <v>284</v>
      </c>
      <c r="G18" s="37" t="s">
        <v>285</v>
      </c>
      <c r="H18" s="37" t="s">
        <v>286</v>
      </c>
      <c r="I18" s="37" t="s">
        <v>260</v>
      </c>
    </row>
    <row r="19" ht="15.75" hidden="1" customHeight="1">
      <c r="A19" s="38">
        <v>5052848.0</v>
      </c>
      <c r="B19" s="39" t="s">
        <v>222</v>
      </c>
      <c r="C19" s="39" t="s">
        <v>287</v>
      </c>
      <c r="D19" s="39" t="s">
        <v>224</v>
      </c>
      <c r="E19" s="39" t="s">
        <v>225</v>
      </c>
      <c r="F19" s="39" t="s">
        <v>226</v>
      </c>
      <c r="G19" s="39" t="s">
        <v>227</v>
      </c>
      <c r="H19" s="39" t="s">
        <v>288</v>
      </c>
      <c r="I19" s="39" t="s">
        <v>229</v>
      </c>
    </row>
    <row r="20" ht="15.75" hidden="1" customHeight="1">
      <c r="A20" s="36">
        <v>1924474.0</v>
      </c>
      <c r="B20" s="37" t="s">
        <v>289</v>
      </c>
      <c r="C20" s="37" t="s">
        <v>290</v>
      </c>
      <c r="D20" s="37" t="s">
        <v>224</v>
      </c>
      <c r="E20" s="37" t="s">
        <v>291</v>
      </c>
      <c r="F20" s="37" t="s">
        <v>292</v>
      </c>
      <c r="G20" s="37" t="s">
        <v>293</v>
      </c>
      <c r="H20" s="37" t="s">
        <v>294</v>
      </c>
      <c r="I20" s="37" t="s">
        <v>229</v>
      </c>
    </row>
    <row r="21" ht="15.75" hidden="1" customHeight="1">
      <c r="A21" s="38">
        <v>5803434.0</v>
      </c>
      <c r="B21" s="39" t="s">
        <v>222</v>
      </c>
      <c r="C21" s="39" t="s">
        <v>295</v>
      </c>
      <c r="D21" s="39" t="s">
        <v>224</v>
      </c>
      <c r="E21" s="39" t="s">
        <v>225</v>
      </c>
      <c r="F21" s="39" t="s">
        <v>226</v>
      </c>
      <c r="G21" s="39" t="s">
        <v>227</v>
      </c>
      <c r="H21" s="39" t="s">
        <v>296</v>
      </c>
      <c r="I21" s="39" t="s">
        <v>229</v>
      </c>
    </row>
    <row r="22" ht="15.75" hidden="1" customHeight="1">
      <c r="A22" s="36">
        <v>1999004.0</v>
      </c>
      <c r="B22" s="37" t="s">
        <v>297</v>
      </c>
      <c r="C22" s="37" t="s">
        <v>298</v>
      </c>
      <c r="D22" s="37" t="s">
        <v>224</v>
      </c>
      <c r="E22" s="37" t="s">
        <v>299</v>
      </c>
      <c r="F22" s="37" t="s">
        <v>300</v>
      </c>
      <c r="G22" s="37" t="s">
        <v>301</v>
      </c>
      <c r="H22" s="37" t="s">
        <v>302</v>
      </c>
      <c r="I22" s="37" t="s">
        <v>229</v>
      </c>
    </row>
    <row r="23" ht="15.75" hidden="1" customHeight="1">
      <c r="A23" s="38">
        <v>5538520.0</v>
      </c>
      <c r="B23" s="39" t="s">
        <v>222</v>
      </c>
      <c r="C23" s="39" t="s">
        <v>303</v>
      </c>
      <c r="D23" s="39" t="s">
        <v>224</v>
      </c>
      <c r="E23" s="39" t="s">
        <v>225</v>
      </c>
      <c r="F23" s="39" t="s">
        <v>226</v>
      </c>
      <c r="G23" s="39" t="s">
        <v>227</v>
      </c>
      <c r="H23" s="39" t="s">
        <v>304</v>
      </c>
      <c r="I23" s="39" t="s">
        <v>229</v>
      </c>
    </row>
    <row r="24" ht="15.75" hidden="1" customHeight="1">
      <c r="A24" s="36">
        <v>1999005.0</v>
      </c>
      <c r="B24" s="37" t="s">
        <v>297</v>
      </c>
      <c r="C24" s="37" t="s">
        <v>305</v>
      </c>
      <c r="D24" s="37" t="s">
        <v>224</v>
      </c>
      <c r="E24" s="37" t="s">
        <v>299</v>
      </c>
      <c r="F24" s="37" t="s">
        <v>300</v>
      </c>
      <c r="G24" s="37" t="s">
        <v>301</v>
      </c>
      <c r="H24" s="37" t="s">
        <v>306</v>
      </c>
      <c r="I24" s="37" t="s">
        <v>229</v>
      </c>
    </row>
    <row r="25" ht="15.75" hidden="1" customHeight="1">
      <c r="A25" s="38">
        <v>5927127.0</v>
      </c>
      <c r="B25" s="39" t="s">
        <v>222</v>
      </c>
      <c r="C25" s="39" t="s">
        <v>307</v>
      </c>
      <c r="D25" s="39" t="s">
        <v>224</v>
      </c>
      <c r="E25" s="39" t="s">
        <v>225</v>
      </c>
      <c r="F25" s="39" t="s">
        <v>226</v>
      </c>
      <c r="G25" s="39" t="s">
        <v>227</v>
      </c>
      <c r="H25" s="39" t="s">
        <v>308</v>
      </c>
      <c r="I25" s="39" t="s">
        <v>229</v>
      </c>
    </row>
    <row r="26" ht="15.75" hidden="1" customHeight="1">
      <c r="A26" s="36">
        <v>2015461.0</v>
      </c>
      <c r="B26" s="37" t="s">
        <v>309</v>
      </c>
      <c r="C26" s="37" t="s">
        <v>310</v>
      </c>
      <c r="D26" s="37" t="s">
        <v>224</v>
      </c>
      <c r="E26" s="37" t="s">
        <v>311</v>
      </c>
      <c r="F26" s="37" t="s">
        <v>312</v>
      </c>
      <c r="G26" s="37" t="s">
        <v>258</v>
      </c>
      <c r="H26" s="37" t="s">
        <v>313</v>
      </c>
      <c r="I26" s="37" t="s">
        <v>260</v>
      </c>
    </row>
    <row r="27" ht="15.75" hidden="1" customHeight="1">
      <c r="A27" s="38">
        <v>5926111.0</v>
      </c>
      <c r="B27" s="39" t="s">
        <v>222</v>
      </c>
      <c r="C27" s="39" t="s">
        <v>314</v>
      </c>
      <c r="D27" s="39" t="s">
        <v>224</v>
      </c>
      <c r="E27" s="39" t="s">
        <v>225</v>
      </c>
      <c r="F27" s="39" t="s">
        <v>226</v>
      </c>
      <c r="G27" s="39" t="s">
        <v>227</v>
      </c>
      <c r="H27" s="39" t="s">
        <v>315</v>
      </c>
      <c r="I27" s="39" t="s">
        <v>229</v>
      </c>
    </row>
    <row r="28" ht="15.75" hidden="1" customHeight="1">
      <c r="A28" s="36">
        <v>2022938.0</v>
      </c>
      <c r="B28" s="37" t="s">
        <v>316</v>
      </c>
      <c r="C28" s="37" t="s">
        <v>317</v>
      </c>
      <c r="D28" s="37" t="s">
        <v>224</v>
      </c>
      <c r="E28" s="37" t="s">
        <v>318</v>
      </c>
      <c r="F28" s="37" t="s">
        <v>293</v>
      </c>
      <c r="G28" s="37" t="s">
        <v>319</v>
      </c>
      <c r="H28" s="37" t="s">
        <v>320</v>
      </c>
      <c r="I28" s="37" t="s">
        <v>229</v>
      </c>
    </row>
    <row r="29" ht="15.75" hidden="1" customHeight="1">
      <c r="A29" s="38">
        <v>5804197.0</v>
      </c>
      <c r="B29" s="39" t="s">
        <v>222</v>
      </c>
      <c r="C29" s="39" t="s">
        <v>321</v>
      </c>
      <c r="D29" s="39" t="s">
        <v>224</v>
      </c>
      <c r="E29" s="39" t="s">
        <v>225</v>
      </c>
      <c r="F29" s="39" t="s">
        <v>226</v>
      </c>
      <c r="G29" s="39" t="s">
        <v>227</v>
      </c>
      <c r="H29" s="39" t="s">
        <v>322</v>
      </c>
      <c r="I29" s="39" t="s">
        <v>229</v>
      </c>
    </row>
    <row r="30" ht="15.75" hidden="1" customHeight="1">
      <c r="A30" s="36">
        <v>2030739.0</v>
      </c>
      <c r="B30" s="37" t="s">
        <v>323</v>
      </c>
      <c r="C30" s="37" t="s">
        <v>324</v>
      </c>
      <c r="D30" s="37" t="s">
        <v>224</v>
      </c>
      <c r="E30" s="37" t="s">
        <v>325</v>
      </c>
      <c r="F30" s="37" t="s">
        <v>326</v>
      </c>
      <c r="G30" s="37" t="s">
        <v>327</v>
      </c>
      <c r="H30" s="37" t="s">
        <v>328</v>
      </c>
      <c r="I30" s="37" t="s">
        <v>229</v>
      </c>
    </row>
    <row r="31" ht="15.75" hidden="1" customHeight="1">
      <c r="A31" s="38">
        <v>5694885.0</v>
      </c>
      <c r="B31" s="39" t="s">
        <v>329</v>
      </c>
      <c r="C31" s="39" t="s">
        <v>330</v>
      </c>
      <c r="D31" s="39" t="s">
        <v>331</v>
      </c>
      <c r="E31" s="39" t="s">
        <v>332</v>
      </c>
      <c r="F31" s="39" t="s">
        <v>333</v>
      </c>
      <c r="G31" s="39" t="s">
        <v>301</v>
      </c>
      <c r="H31" s="39" t="s">
        <v>334</v>
      </c>
      <c r="I31" s="39" t="s">
        <v>229</v>
      </c>
    </row>
    <row r="32" ht="15.75" hidden="1" customHeight="1">
      <c r="A32" s="36">
        <v>2096488.0</v>
      </c>
      <c r="B32" s="37" t="s">
        <v>246</v>
      </c>
      <c r="C32" s="37" t="s">
        <v>335</v>
      </c>
      <c r="D32" s="37" t="s">
        <v>224</v>
      </c>
      <c r="E32" s="37" t="s">
        <v>336</v>
      </c>
      <c r="F32" s="37" t="s">
        <v>249</v>
      </c>
      <c r="G32" s="37" t="s">
        <v>250</v>
      </c>
      <c r="H32" s="37" t="s">
        <v>337</v>
      </c>
      <c r="I32" s="37" t="s">
        <v>229</v>
      </c>
    </row>
    <row r="33" ht="15.75" hidden="1" customHeight="1">
      <c r="A33" s="38">
        <v>3442227.0</v>
      </c>
      <c r="B33" s="39" t="s">
        <v>329</v>
      </c>
      <c r="C33" s="39" t="s">
        <v>338</v>
      </c>
      <c r="D33" s="39" t="s">
        <v>224</v>
      </c>
      <c r="E33" s="39" t="s">
        <v>332</v>
      </c>
      <c r="F33" s="39" t="s">
        <v>333</v>
      </c>
      <c r="G33" s="39" t="s">
        <v>301</v>
      </c>
      <c r="H33" s="39" t="s">
        <v>339</v>
      </c>
      <c r="I33" s="39" t="s">
        <v>229</v>
      </c>
    </row>
    <row r="34" ht="15.75" customHeight="1">
      <c r="A34" s="36">
        <v>2116682.0</v>
      </c>
      <c r="B34" s="37" t="s">
        <v>13</v>
      </c>
      <c r="C34" s="37" t="s">
        <v>28</v>
      </c>
      <c r="D34" s="37" t="s">
        <v>224</v>
      </c>
      <c r="E34" s="37" t="s">
        <v>340</v>
      </c>
      <c r="F34" s="37" t="s">
        <v>341</v>
      </c>
      <c r="G34" s="39" t="s">
        <v>3</v>
      </c>
      <c r="H34" s="37" t="s">
        <v>342</v>
      </c>
      <c r="I34" s="37" t="s">
        <v>260</v>
      </c>
    </row>
    <row r="35" ht="15.75" hidden="1" customHeight="1">
      <c r="A35" s="38">
        <v>5440068.0</v>
      </c>
      <c r="B35" s="39" t="s">
        <v>329</v>
      </c>
      <c r="C35" s="39" t="s">
        <v>343</v>
      </c>
      <c r="D35" s="39" t="s">
        <v>224</v>
      </c>
      <c r="E35" s="39" t="s">
        <v>332</v>
      </c>
      <c r="F35" s="39" t="s">
        <v>333</v>
      </c>
      <c r="G35" s="39" t="s">
        <v>301</v>
      </c>
      <c r="H35" s="39" t="s">
        <v>344</v>
      </c>
      <c r="I35" s="39" t="s">
        <v>229</v>
      </c>
    </row>
    <row r="36" ht="15.75" hidden="1" customHeight="1">
      <c r="A36" s="36">
        <v>2116701.0</v>
      </c>
      <c r="B36" s="37" t="s">
        <v>331</v>
      </c>
      <c r="C36" s="37" t="s">
        <v>345</v>
      </c>
      <c r="D36" s="37" t="s">
        <v>346</v>
      </c>
      <c r="E36" s="37" t="s">
        <v>347</v>
      </c>
      <c r="F36" s="37" t="s">
        <v>348</v>
      </c>
      <c r="G36" s="37" t="s">
        <v>349</v>
      </c>
      <c r="H36" s="37" t="s">
        <v>350</v>
      </c>
      <c r="I36" s="37" t="s">
        <v>229</v>
      </c>
    </row>
    <row r="37" ht="15.75" hidden="1" customHeight="1">
      <c r="A37" s="38">
        <v>5444246.0</v>
      </c>
      <c r="B37" s="39" t="s">
        <v>329</v>
      </c>
      <c r="C37" s="39" t="s">
        <v>351</v>
      </c>
      <c r="D37" s="39" t="s">
        <v>224</v>
      </c>
      <c r="E37" s="39" t="s">
        <v>332</v>
      </c>
      <c r="F37" s="39" t="s">
        <v>333</v>
      </c>
      <c r="G37" s="39" t="s">
        <v>301</v>
      </c>
      <c r="H37" s="39" t="s">
        <v>352</v>
      </c>
      <c r="I37" s="39" t="s">
        <v>229</v>
      </c>
    </row>
    <row r="38" ht="15.75" hidden="1" customHeight="1">
      <c r="A38" s="36">
        <v>2164857.0</v>
      </c>
      <c r="B38" s="37" t="s">
        <v>254</v>
      </c>
      <c r="C38" s="37" t="s">
        <v>353</v>
      </c>
      <c r="D38" s="37" t="s">
        <v>224</v>
      </c>
      <c r="E38" s="37" t="s">
        <v>256</v>
      </c>
      <c r="F38" s="37" t="s">
        <v>257</v>
      </c>
      <c r="G38" s="37" t="s">
        <v>258</v>
      </c>
      <c r="H38" s="37" t="s">
        <v>354</v>
      </c>
      <c r="I38" s="37" t="s">
        <v>260</v>
      </c>
    </row>
    <row r="39" ht="15.75" hidden="1" customHeight="1">
      <c r="A39" s="38">
        <v>4665286.0</v>
      </c>
      <c r="B39" s="39" t="s">
        <v>329</v>
      </c>
      <c r="C39" s="39" t="s">
        <v>355</v>
      </c>
      <c r="D39" s="39" t="s">
        <v>234</v>
      </c>
      <c r="E39" s="39" t="s">
        <v>332</v>
      </c>
      <c r="F39" s="39" t="s">
        <v>333</v>
      </c>
      <c r="G39" s="39" t="s">
        <v>301</v>
      </c>
      <c r="H39" s="39" t="s">
        <v>356</v>
      </c>
      <c r="I39" s="39" t="s">
        <v>229</v>
      </c>
    </row>
    <row r="40" ht="15.75" hidden="1" customHeight="1">
      <c r="A40" s="36">
        <v>2164860.0</v>
      </c>
      <c r="B40" s="37" t="s">
        <v>81</v>
      </c>
      <c r="C40" s="37" t="s">
        <v>87</v>
      </c>
      <c r="D40" s="37" t="s">
        <v>331</v>
      </c>
      <c r="E40" s="37" t="s">
        <v>357</v>
      </c>
      <c r="F40" s="37" t="s">
        <v>341</v>
      </c>
      <c r="G40" s="37" t="s">
        <v>3</v>
      </c>
      <c r="H40" s="37" t="s">
        <v>358</v>
      </c>
      <c r="I40" s="37" t="s">
        <v>260</v>
      </c>
      <c r="J40" s="1">
        <v>42.0</v>
      </c>
    </row>
    <row r="41" ht="15.75" hidden="1" customHeight="1">
      <c r="A41" s="38">
        <v>5363195.0</v>
      </c>
      <c r="B41" s="39" t="s">
        <v>329</v>
      </c>
      <c r="C41" s="39" t="s">
        <v>359</v>
      </c>
      <c r="D41" s="39" t="s">
        <v>224</v>
      </c>
      <c r="E41" s="39" t="s">
        <v>332</v>
      </c>
      <c r="F41" s="39" t="s">
        <v>333</v>
      </c>
      <c r="G41" s="39" t="s">
        <v>301</v>
      </c>
      <c r="H41" s="39" t="s">
        <v>360</v>
      </c>
      <c r="I41" s="39" t="s">
        <v>229</v>
      </c>
    </row>
    <row r="42" ht="15.75" hidden="1" customHeight="1">
      <c r="A42" s="36">
        <v>2167116.0</v>
      </c>
      <c r="B42" s="37" t="s">
        <v>361</v>
      </c>
      <c r="C42" s="37" t="s">
        <v>362</v>
      </c>
      <c r="D42" s="37" t="s">
        <v>224</v>
      </c>
      <c r="E42" s="37" t="s">
        <v>311</v>
      </c>
      <c r="F42" s="37" t="s">
        <v>312</v>
      </c>
      <c r="G42" s="37" t="s">
        <v>258</v>
      </c>
      <c r="H42" s="37" t="s">
        <v>363</v>
      </c>
      <c r="I42" s="37" t="s">
        <v>260</v>
      </c>
    </row>
    <row r="43" ht="15.75" hidden="1" customHeight="1">
      <c r="A43" s="38">
        <v>4721496.0</v>
      </c>
      <c r="B43" s="39" t="s">
        <v>329</v>
      </c>
      <c r="C43" s="39" t="s">
        <v>364</v>
      </c>
      <c r="D43" s="39" t="s">
        <v>224</v>
      </c>
      <c r="E43" s="39" t="s">
        <v>332</v>
      </c>
      <c r="F43" s="39" t="s">
        <v>333</v>
      </c>
      <c r="G43" s="39" t="s">
        <v>301</v>
      </c>
      <c r="H43" s="39" t="s">
        <v>365</v>
      </c>
      <c r="I43" s="39" t="s">
        <v>229</v>
      </c>
    </row>
    <row r="44" ht="15.75" hidden="1" customHeight="1">
      <c r="A44" s="36">
        <v>2172302.0</v>
      </c>
      <c r="B44" s="37" t="s">
        <v>297</v>
      </c>
      <c r="C44" s="37" t="s">
        <v>366</v>
      </c>
      <c r="D44" s="37" t="s">
        <v>224</v>
      </c>
      <c r="E44" s="37" t="s">
        <v>299</v>
      </c>
      <c r="F44" s="37" t="s">
        <v>300</v>
      </c>
      <c r="G44" s="37" t="s">
        <v>301</v>
      </c>
      <c r="H44" s="37" t="s">
        <v>367</v>
      </c>
      <c r="I44" s="37" t="s">
        <v>229</v>
      </c>
    </row>
    <row r="45" ht="15.75" hidden="1" customHeight="1">
      <c r="A45" s="38">
        <v>4941896.0</v>
      </c>
      <c r="B45" s="39" t="s">
        <v>329</v>
      </c>
      <c r="C45" s="39" t="s">
        <v>368</v>
      </c>
      <c r="D45" s="39" t="s">
        <v>224</v>
      </c>
      <c r="E45" s="39" t="s">
        <v>332</v>
      </c>
      <c r="F45" s="39" t="s">
        <v>333</v>
      </c>
      <c r="G45" s="39" t="s">
        <v>301</v>
      </c>
      <c r="H45" s="39" t="s">
        <v>369</v>
      </c>
      <c r="I45" s="39" t="s">
        <v>229</v>
      </c>
    </row>
    <row r="46" ht="15.75" hidden="1" customHeight="1">
      <c r="A46" s="36">
        <v>2185277.0</v>
      </c>
      <c r="B46" s="37" t="s">
        <v>254</v>
      </c>
      <c r="C46" s="37" t="s">
        <v>370</v>
      </c>
      <c r="D46" s="37" t="s">
        <v>224</v>
      </c>
      <c r="E46" s="37" t="s">
        <v>272</v>
      </c>
      <c r="F46" s="37" t="s">
        <v>257</v>
      </c>
      <c r="G46" s="37" t="s">
        <v>258</v>
      </c>
      <c r="H46" s="37" t="s">
        <v>371</v>
      </c>
      <c r="I46" s="37" t="s">
        <v>260</v>
      </c>
    </row>
    <row r="47" ht="15.75" hidden="1" customHeight="1">
      <c r="A47" s="38">
        <v>5364019.0</v>
      </c>
      <c r="B47" s="39" t="s">
        <v>329</v>
      </c>
      <c r="C47" s="39" t="s">
        <v>372</v>
      </c>
      <c r="D47" s="39" t="s">
        <v>224</v>
      </c>
      <c r="E47" s="39" t="s">
        <v>332</v>
      </c>
      <c r="F47" s="39" t="s">
        <v>333</v>
      </c>
      <c r="G47" s="39" t="s">
        <v>301</v>
      </c>
      <c r="H47" s="39" t="s">
        <v>373</v>
      </c>
      <c r="I47" s="39" t="s">
        <v>229</v>
      </c>
    </row>
    <row r="48" ht="15.75" hidden="1" customHeight="1">
      <c r="A48" s="36">
        <v>2190483.0</v>
      </c>
      <c r="B48" s="37" t="s">
        <v>374</v>
      </c>
      <c r="C48" s="37" t="s">
        <v>375</v>
      </c>
      <c r="D48" s="37" t="s">
        <v>224</v>
      </c>
      <c r="E48" s="37" t="s">
        <v>376</v>
      </c>
      <c r="F48" s="37" t="s">
        <v>377</v>
      </c>
      <c r="G48" s="37" t="s">
        <v>327</v>
      </c>
      <c r="H48" s="37" t="s">
        <v>378</v>
      </c>
      <c r="I48" s="37" t="s">
        <v>229</v>
      </c>
    </row>
    <row r="49" ht="15.75" hidden="1" customHeight="1">
      <c r="A49" s="38">
        <v>5694881.0</v>
      </c>
      <c r="B49" s="39" t="s">
        <v>329</v>
      </c>
      <c r="C49" s="39" t="s">
        <v>379</v>
      </c>
      <c r="D49" s="39" t="s">
        <v>224</v>
      </c>
      <c r="E49" s="39" t="s">
        <v>332</v>
      </c>
      <c r="F49" s="39" t="s">
        <v>333</v>
      </c>
      <c r="G49" s="39" t="s">
        <v>301</v>
      </c>
      <c r="H49" s="39" t="s">
        <v>380</v>
      </c>
      <c r="I49" s="39" t="s">
        <v>229</v>
      </c>
    </row>
    <row r="50" ht="15.75" hidden="1" customHeight="1">
      <c r="A50" s="36">
        <v>2201415.0</v>
      </c>
      <c r="B50" s="37" t="s">
        <v>116</v>
      </c>
      <c r="C50" s="37" t="s">
        <v>381</v>
      </c>
      <c r="D50" s="37" t="s">
        <v>269</v>
      </c>
      <c r="E50" s="37" t="s">
        <v>357</v>
      </c>
      <c r="F50" s="37" t="s">
        <v>341</v>
      </c>
      <c r="G50" s="37" t="s">
        <v>3</v>
      </c>
      <c r="H50" s="37" t="s">
        <v>382</v>
      </c>
      <c r="I50" s="37" t="s">
        <v>260</v>
      </c>
      <c r="J50" s="1">
        <v>42.0</v>
      </c>
      <c r="L50" s="40" t="s">
        <v>81</v>
      </c>
      <c r="M50" s="41" t="s">
        <v>81</v>
      </c>
    </row>
    <row r="51" ht="15.75" hidden="1" customHeight="1">
      <c r="A51" s="38">
        <v>5442779.0</v>
      </c>
      <c r="B51" s="39" t="s">
        <v>329</v>
      </c>
      <c r="C51" s="39" t="s">
        <v>383</v>
      </c>
      <c r="D51" s="39" t="s">
        <v>224</v>
      </c>
      <c r="E51" s="39" t="s">
        <v>332</v>
      </c>
      <c r="F51" s="39" t="s">
        <v>333</v>
      </c>
      <c r="G51" s="39" t="s">
        <v>301</v>
      </c>
      <c r="H51" s="39" t="s">
        <v>384</v>
      </c>
      <c r="I51" s="39" t="s">
        <v>229</v>
      </c>
    </row>
    <row r="52" ht="15.75" hidden="1" customHeight="1">
      <c r="A52" s="36">
        <v>2218922.0</v>
      </c>
      <c r="B52" s="37" t="s">
        <v>385</v>
      </c>
      <c r="C52" s="37" t="s">
        <v>386</v>
      </c>
      <c r="D52" s="37" t="s">
        <v>224</v>
      </c>
      <c r="E52" s="37" t="s">
        <v>387</v>
      </c>
      <c r="F52" s="37" t="s">
        <v>300</v>
      </c>
      <c r="G52" s="37" t="s">
        <v>301</v>
      </c>
      <c r="H52" s="37" t="s">
        <v>388</v>
      </c>
      <c r="I52" s="37" t="s">
        <v>229</v>
      </c>
    </row>
    <row r="53" ht="15.75" hidden="1" customHeight="1">
      <c r="A53" s="38">
        <v>5929864.0</v>
      </c>
      <c r="B53" s="39" t="s">
        <v>329</v>
      </c>
      <c r="C53" s="39" t="s">
        <v>389</v>
      </c>
      <c r="D53" s="39" t="s">
        <v>224</v>
      </c>
      <c r="E53" s="39" t="s">
        <v>332</v>
      </c>
      <c r="F53" s="39" t="s">
        <v>333</v>
      </c>
      <c r="G53" s="39" t="s">
        <v>301</v>
      </c>
      <c r="H53" s="39" t="s">
        <v>390</v>
      </c>
      <c r="I53" s="39" t="s">
        <v>229</v>
      </c>
    </row>
    <row r="54" ht="15.75" hidden="1" customHeight="1">
      <c r="A54" s="36">
        <v>2225563.0</v>
      </c>
      <c r="B54" s="37" t="s">
        <v>391</v>
      </c>
      <c r="C54" s="37" t="s">
        <v>392</v>
      </c>
      <c r="D54" s="37" t="s">
        <v>224</v>
      </c>
      <c r="E54" s="37" t="s">
        <v>393</v>
      </c>
      <c r="F54" s="37" t="s">
        <v>249</v>
      </c>
      <c r="G54" s="37" t="s">
        <v>250</v>
      </c>
      <c r="H54" s="37" t="s">
        <v>394</v>
      </c>
      <c r="I54" s="37" t="s">
        <v>229</v>
      </c>
    </row>
    <row r="55" ht="15.75" hidden="1" customHeight="1">
      <c r="A55" s="38">
        <v>5899595.0</v>
      </c>
      <c r="B55" s="39" t="s">
        <v>329</v>
      </c>
      <c r="C55" s="39" t="s">
        <v>395</v>
      </c>
      <c r="D55" s="39" t="s">
        <v>224</v>
      </c>
      <c r="E55" s="39" t="s">
        <v>332</v>
      </c>
      <c r="F55" s="39" t="s">
        <v>333</v>
      </c>
      <c r="G55" s="39" t="s">
        <v>301</v>
      </c>
      <c r="H55" s="39" t="s">
        <v>396</v>
      </c>
      <c r="I55" s="39" t="s">
        <v>229</v>
      </c>
    </row>
    <row r="56" ht="15.75" hidden="1" customHeight="1">
      <c r="A56" s="36">
        <v>2240540.0</v>
      </c>
      <c r="B56" s="37" t="s">
        <v>246</v>
      </c>
      <c r="C56" s="37" t="s">
        <v>397</v>
      </c>
      <c r="D56" s="37" t="s">
        <v>224</v>
      </c>
      <c r="E56" s="37" t="s">
        <v>248</v>
      </c>
      <c r="F56" s="37" t="s">
        <v>249</v>
      </c>
      <c r="G56" s="37" t="s">
        <v>250</v>
      </c>
      <c r="H56" s="37" t="s">
        <v>398</v>
      </c>
      <c r="I56" s="37" t="s">
        <v>229</v>
      </c>
    </row>
    <row r="57" ht="15.75" hidden="1" customHeight="1">
      <c r="A57" s="38">
        <v>5976425.0</v>
      </c>
      <c r="B57" s="39" t="s">
        <v>329</v>
      </c>
      <c r="C57" s="39" t="s">
        <v>399</v>
      </c>
      <c r="D57" s="39" t="s">
        <v>224</v>
      </c>
      <c r="E57" s="39" t="s">
        <v>332</v>
      </c>
      <c r="F57" s="39" t="s">
        <v>333</v>
      </c>
      <c r="G57" s="39" t="s">
        <v>301</v>
      </c>
      <c r="H57" s="39" t="s">
        <v>400</v>
      </c>
      <c r="I57" s="39" t="s">
        <v>229</v>
      </c>
    </row>
    <row r="58" ht="15.75" hidden="1" customHeight="1">
      <c r="A58" s="36">
        <v>2248847.0</v>
      </c>
      <c r="B58" s="37" t="s">
        <v>401</v>
      </c>
      <c r="C58" s="37" t="s">
        <v>402</v>
      </c>
      <c r="D58" s="37" t="s">
        <v>224</v>
      </c>
      <c r="E58" s="37" t="s">
        <v>403</v>
      </c>
      <c r="F58" s="37" t="s">
        <v>377</v>
      </c>
      <c r="G58" s="37" t="s">
        <v>327</v>
      </c>
      <c r="H58" s="37" t="s">
        <v>404</v>
      </c>
      <c r="I58" s="37" t="s">
        <v>229</v>
      </c>
    </row>
    <row r="59" ht="15.75" hidden="1" customHeight="1">
      <c r="A59" s="38">
        <v>5364315.0</v>
      </c>
      <c r="B59" s="39" t="s">
        <v>329</v>
      </c>
      <c r="C59" s="39" t="s">
        <v>405</v>
      </c>
      <c r="D59" s="39" t="s">
        <v>224</v>
      </c>
      <c r="E59" s="39" t="s">
        <v>332</v>
      </c>
      <c r="F59" s="39" t="s">
        <v>333</v>
      </c>
      <c r="G59" s="39" t="s">
        <v>301</v>
      </c>
      <c r="H59" s="39" t="s">
        <v>406</v>
      </c>
      <c r="I59" s="39" t="s">
        <v>229</v>
      </c>
    </row>
    <row r="60" ht="15.75" hidden="1" customHeight="1">
      <c r="A60" s="36">
        <v>2258969.0</v>
      </c>
      <c r="B60" s="37" t="s">
        <v>116</v>
      </c>
      <c r="C60" s="37" t="s">
        <v>407</v>
      </c>
      <c r="D60" s="37" t="s">
        <v>224</v>
      </c>
      <c r="E60" s="37" t="s">
        <v>408</v>
      </c>
      <c r="F60" s="37" t="s">
        <v>341</v>
      </c>
      <c r="G60" s="37" t="s">
        <v>3</v>
      </c>
      <c r="H60" s="37" t="s">
        <v>409</v>
      </c>
      <c r="I60" s="37" t="s">
        <v>260</v>
      </c>
      <c r="J60" s="1">
        <v>42.0</v>
      </c>
      <c r="L60" s="40" t="s">
        <v>116</v>
      </c>
      <c r="M60" s="41" t="s">
        <v>113</v>
      </c>
    </row>
    <row r="61" ht="15.75" hidden="1" customHeight="1">
      <c r="A61" s="38">
        <v>5141712.0</v>
      </c>
      <c r="B61" s="39" t="s">
        <v>329</v>
      </c>
      <c r="C61" s="39" t="s">
        <v>410</v>
      </c>
      <c r="D61" s="39" t="s">
        <v>224</v>
      </c>
      <c r="E61" s="39" t="s">
        <v>332</v>
      </c>
      <c r="F61" s="39" t="s">
        <v>333</v>
      </c>
      <c r="G61" s="39" t="s">
        <v>301</v>
      </c>
      <c r="H61" s="39" t="s">
        <v>411</v>
      </c>
      <c r="I61" s="39" t="s">
        <v>229</v>
      </c>
    </row>
    <row r="62" ht="15.75" hidden="1" customHeight="1">
      <c r="A62" s="36">
        <v>2259318.0</v>
      </c>
      <c r="B62" s="37" t="s">
        <v>412</v>
      </c>
      <c r="C62" s="37" t="s">
        <v>413</v>
      </c>
      <c r="D62" s="37" t="s">
        <v>224</v>
      </c>
      <c r="E62" s="37" t="s">
        <v>414</v>
      </c>
      <c r="F62" s="37" t="s">
        <v>3</v>
      </c>
      <c r="G62" s="37" t="s">
        <v>3</v>
      </c>
      <c r="H62" s="37" t="s">
        <v>415</v>
      </c>
      <c r="I62" s="37" t="s">
        <v>260</v>
      </c>
      <c r="J62" s="1">
        <v>42.0</v>
      </c>
      <c r="L62" s="40" t="s">
        <v>116</v>
      </c>
      <c r="M62" s="41" t="s">
        <v>416</v>
      </c>
    </row>
    <row r="63" ht="15.75" hidden="1" customHeight="1">
      <c r="A63" s="38">
        <v>5533583.0</v>
      </c>
      <c r="B63" s="39" t="s">
        <v>329</v>
      </c>
      <c r="C63" s="39" t="s">
        <v>417</v>
      </c>
      <c r="D63" s="39" t="s">
        <v>224</v>
      </c>
      <c r="E63" s="39" t="s">
        <v>332</v>
      </c>
      <c r="F63" s="39" t="s">
        <v>333</v>
      </c>
      <c r="G63" s="39" t="s">
        <v>301</v>
      </c>
      <c r="H63" s="39" t="s">
        <v>418</v>
      </c>
      <c r="I63" s="39" t="s">
        <v>229</v>
      </c>
    </row>
    <row r="64" ht="15.75" hidden="1" customHeight="1">
      <c r="A64" s="36">
        <v>2269452.0</v>
      </c>
      <c r="B64" s="37" t="s">
        <v>113</v>
      </c>
      <c r="C64" s="37" t="s">
        <v>419</v>
      </c>
      <c r="D64" s="37" t="s">
        <v>224</v>
      </c>
      <c r="E64" s="37" t="s">
        <v>420</v>
      </c>
      <c r="F64" s="37" t="s">
        <v>421</v>
      </c>
      <c r="G64" s="37" t="s">
        <v>227</v>
      </c>
      <c r="H64" s="37" t="s">
        <v>422</v>
      </c>
      <c r="I64" s="37" t="s">
        <v>260</v>
      </c>
      <c r="J64" s="41" t="str">
        <f t="array" ref="J64:J65">UNIQUE(I64:I2629)</f>
        <v>Rebel US&amp;C</v>
      </c>
    </row>
    <row r="65" ht="15.75" hidden="1" customHeight="1">
      <c r="A65" s="38">
        <v>5898201.0</v>
      </c>
      <c r="B65" s="39" t="s">
        <v>329</v>
      </c>
      <c r="C65" s="39" t="s">
        <v>423</v>
      </c>
      <c r="D65" s="39" t="s">
        <v>224</v>
      </c>
      <c r="E65" s="39" t="s">
        <v>332</v>
      </c>
      <c r="F65" s="39" t="s">
        <v>333</v>
      </c>
      <c r="G65" s="39" t="s">
        <v>301</v>
      </c>
      <c r="H65" s="39" t="s">
        <v>424</v>
      </c>
      <c r="I65" s="39" t="s">
        <v>229</v>
      </c>
      <c r="J65" s="41" t="s">
        <v>229</v>
      </c>
    </row>
    <row r="66" ht="15.75" hidden="1" customHeight="1">
      <c r="A66" s="36">
        <v>2269729.0</v>
      </c>
      <c r="B66" s="37" t="s">
        <v>425</v>
      </c>
      <c r="C66" s="37" t="s">
        <v>426</v>
      </c>
      <c r="D66" s="37" t="s">
        <v>224</v>
      </c>
      <c r="E66" s="37" t="s">
        <v>427</v>
      </c>
      <c r="F66" s="37" t="s">
        <v>312</v>
      </c>
      <c r="G66" s="37" t="s">
        <v>3</v>
      </c>
      <c r="H66" s="37" t="s">
        <v>428</v>
      </c>
      <c r="I66" s="37" t="s">
        <v>260</v>
      </c>
    </row>
    <row r="67" ht="15.75" hidden="1" customHeight="1">
      <c r="A67" s="38">
        <v>2275797.0</v>
      </c>
      <c r="B67" s="39" t="s">
        <v>412</v>
      </c>
      <c r="C67" s="39" t="s">
        <v>429</v>
      </c>
      <c r="D67" s="39" t="s">
        <v>224</v>
      </c>
      <c r="E67" s="39" t="s">
        <v>430</v>
      </c>
      <c r="F67" s="39" t="s">
        <v>3</v>
      </c>
      <c r="G67" s="39" t="s">
        <v>3</v>
      </c>
      <c r="H67" s="39" t="s">
        <v>431</v>
      </c>
      <c r="I67" s="39" t="s">
        <v>260</v>
      </c>
      <c r="J67" s="1">
        <v>42.0</v>
      </c>
      <c r="L67" s="40" t="s">
        <v>412</v>
      </c>
      <c r="M67" s="40" t="s">
        <v>432</v>
      </c>
    </row>
    <row r="68" ht="15.75" hidden="1" customHeight="1">
      <c r="A68" s="36">
        <v>3999849.0</v>
      </c>
      <c r="B68" s="37" t="s">
        <v>232</v>
      </c>
      <c r="C68" s="37" t="s">
        <v>433</v>
      </c>
      <c r="D68" s="37" t="s">
        <v>224</v>
      </c>
      <c r="E68" s="37" t="s">
        <v>235</v>
      </c>
      <c r="F68" s="37" t="s">
        <v>226</v>
      </c>
      <c r="G68" s="37" t="s">
        <v>227</v>
      </c>
      <c r="H68" s="37" t="s">
        <v>434</v>
      </c>
      <c r="I68" s="37" t="s">
        <v>229</v>
      </c>
    </row>
    <row r="69" ht="15.75" hidden="1" customHeight="1">
      <c r="A69" s="38">
        <v>2282732.0</v>
      </c>
      <c r="B69" s="39" t="s">
        <v>435</v>
      </c>
      <c r="C69" s="39" t="s">
        <v>436</v>
      </c>
      <c r="D69" s="39" t="s">
        <v>224</v>
      </c>
      <c r="E69" s="39" t="s">
        <v>437</v>
      </c>
      <c r="F69" s="39" t="s">
        <v>226</v>
      </c>
      <c r="G69" s="39" t="s">
        <v>227</v>
      </c>
      <c r="H69" s="39" t="s">
        <v>438</v>
      </c>
      <c r="I69" s="39" t="s">
        <v>229</v>
      </c>
    </row>
    <row r="70" ht="15.75" hidden="1" customHeight="1">
      <c r="A70" s="36">
        <v>4012123.0</v>
      </c>
      <c r="B70" s="37" t="s">
        <v>232</v>
      </c>
      <c r="C70" s="37" t="s">
        <v>439</v>
      </c>
      <c r="D70" s="37" t="s">
        <v>224</v>
      </c>
      <c r="E70" s="37" t="s">
        <v>235</v>
      </c>
      <c r="F70" s="37" t="s">
        <v>226</v>
      </c>
      <c r="G70" s="37" t="s">
        <v>227</v>
      </c>
      <c r="H70" s="37" t="s">
        <v>440</v>
      </c>
      <c r="I70" s="37" t="s">
        <v>229</v>
      </c>
    </row>
    <row r="71" ht="15.75" hidden="1" customHeight="1">
      <c r="A71" s="38">
        <v>2292985.0</v>
      </c>
      <c r="B71" s="39" t="s">
        <v>441</v>
      </c>
      <c r="C71" s="39" t="s">
        <v>442</v>
      </c>
      <c r="D71" s="39" t="s">
        <v>224</v>
      </c>
      <c r="E71" s="39" t="s">
        <v>443</v>
      </c>
      <c r="F71" s="39" t="s">
        <v>257</v>
      </c>
      <c r="G71" s="39" t="s">
        <v>258</v>
      </c>
      <c r="H71" s="39" t="s">
        <v>444</v>
      </c>
      <c r="I71" s="39" t="s">
        <v>260</v>
      </c>
    </row>
    <row r="72" ht="15.75" hidden="1" customHeight="1">
      <c r="A72" s="36">
        <v>4085665.0</v>
      </c>
      <c r="B72" s="37" t="s">
        <v>232</v>
      </c>
      <c r="C72" s="37" t="s">
        <v>445</v>
      </c>
      <c r="D72" s="37" t="s">
        <v>224</v>
      </c>
      <c r="E72" s="37" t="s">
        <v>235</v>
      </c>
      <c r="F72" s="37" t="s">
        <v>226</v>
      </c>
      <c r="G72" s="37" t="s">
        <v>227</v>
      </c>
      <c r="H72" s="37" t="s">
        <v>446</v>
      </c>
      <c r="I72" s="37" t="s">
        <v>229</v>
      </c>
    </row>
    <row r="73" ht="15.75" hidden="1" customHeight="1">
      <c r="A73" s="38">
        <v>2306026.0</v>
      </c>
      <c r="B73" s="39" t="s">
        <v>263</v>
      </c>
      <c r="C73" s="39" t="s">
        <v>447</v>
      </c>
      <c r="D73" s="39" t="s">
        <v>224</v>
      </c>
      <c r="E73" s="39" t="s">
        <v>265</v>
      </c>
      <c r="F73" s="39" t="s">
        <v>266</v>
      </c>
      <c r="G73" s="39" t="s">
        <v>250</v>
      </c>
      <c r="H73" s="39" t="s">
        <v>448</v>
      </c>
      <c r="I73" s="39" t="s">
        <v>229</v>
      </c>
    </row>
    <row r="74" ht="15.75" hidden="1" customHeight="1">
      <c r="A74" s="36">
        <v>5538526.0</v>
      </c>
      <c r="B74" s="37" t="s">
        <v>232</v>
      </c>
      <c r="C74" s="37" t="s">
        <v>449</v>
      </c>
      <c r="D74" s="37" t="s">
        <v>234</v>
      </c>
      <c r="E74" s="37" t="s">
        <v>235</v>
      </c>
      <c r="F74" s="37" t="s">
        <v>226</v>
      </c>
      <c r="G74" s="37" t="s">
        <v>227</v>
      </c>
      <c r="H74" s="37" t="s">
        <v>450</v>
      </c>
      <c r="I74" s="37" t="s">
        <v>229</v>
      </c>
    </row>
    <row r="75" ht="15.75" hidden="1" customHeight="1">
      <c r="A75" s="38">
        <v>2307854.0</v>
      </c>
      <c r="B75" s="39" t="s">
        <v>276</v>
      </c>
      <c r="C75" s="39" t="s">
        <v>451</v>
      </c>
      <c r="D75" s="39" t="s">
        <v>224</v>
      </c>
      <c r="E75" s="39" t="s">
        <v>278</v>
      </c>
      <c r="F75" s="39" t="s">
        <v>257</v>
      </c>
      <c r="G75" s="39" t="s">
        <v>258</v>
      </c>
      <c r="H75" s="39" t="s">
        <v>452</v>
      </c>
      <c r="I75" s="39" t="s">
        <v>260</v>
      </c>
    </row>
    <row r="76" ht="15.75" hidden="1" customHeight="1">
      <c r="A76" s="36">
        <v>5051900.0</v>
      </c>
      <c r="B76" s="37" t="s">
        <v>232</v>
      </c>
      <c r="C76" s="37" t="s">
        <v>453</v>
      </c>
      <c r="D76" s="37" t="s">
        <v>224</v>
      </c>
      <c r="E76" s="37" t="s">
        <v>235</v>
      </c>
      <c r="F76" s="37" t="s">
        <v>226</v>
      </c>
      <c r="G76" s="37" t="s">
        <v>227</v>
      </c>
      <c r="H76" s="37" t="s">
        <v>454</v>
      </c>
      <c r="I76" s="37" t="s">
        <v>229</v>
      </c>
    </row>
    <row r="77" ht="15.75" hidden="1" customHeight="1">
      <c r="A77" s="38">
        <v>5361494.0</v>
      </c>
      <c r="B77" s="39" t="s">
        <v>232</v>
      </c>
      <c r="C77" s="39" t="s">
        <v>455</v>
      </c>
      <c r="D77" s="39" t="s">
        <v>269</v>
      </c>
      <c r="E77" s="39" t="s">
        <v>235</v>
      </c>
      <c r="F77" s="39" t="s">
        <v>226</v>
      </c>
      <c r="G77" s="39" t="s">
        <v>227</v>
      </c>
      <c r="H77" s="39" t="s">
        <v>456</v>
      </c>
      <c r="I77" s="39" t="s">
        <v>229</v>
      </c>
    </row>
    <row r="78" ht="15.75" hidden="1" customHeight="1">
      <c r="A78" s="36">
        <v>2384414.0</v>
      </c>
      <c r="B78" s="37" t="s">
        <v>457</v>
      </c>
      <c r="C78" s="37" t="s">
        <v>458</v>
      </c>
      <c r="D78" s="37" t="s">
        <v>224</v>
      </c>
      <c r="E78" s="37" t="s">
        <v>459</v>
      </c>
      <c r="F78" s="37" t="s">
        <v>292</v>
      </c>
      <c r="G78" s="37" t="s">
        <v>293</v>
      </c>
      <c r="H78" s="37" t="s">
        <v>460</v>
      </c>
      <c r="I78" s="37" t="s">
        <v>229</v>
      </c>
    </row>
    <row r="79" ht="15.75" hidden="1" customHeight="1">
      <c r="A79" s="38">
        <v>5828718.0</v>
      </c>
      <c r="B79" s="39" t="s">
        <v>232</v>
      </c>
      <c r="C79" s="39" t="s">
        <v>461</v>
      </c>
      <c r="D79" s="39" t="s">
        <v>224</v>
      </c>
      <c r="E79" s="39" t="s">
        <v>235</v>
      </c>
      <c r="F79" s="39" t="s">
        <v>226</v>
      </c>
      <c r="G79" s="39" t="s">
        <v>227</v>
      </c>
      <c r="H79" s="39" t="s">
        <v>462</v>
      </c>
      <c r="I79" s="39" t="s">
        <v>229</v>
      </c>
    </row>
    <row r="80" ht="15.75" hidden="1" customHeight="1">
      <c r="A80" s="36">
        <v>2430545.0</v>
      </c>
      <c r="B80" s="37" t="s">
        <v>401</v>
      </c>
      <c r="C80" s="37" t="s">
        <v>463</v>
      </c>
      <c r="D80" s="37" t="s">
        <v>224</v>
      </c>
      <c r="E80" s="37" t="s">
        <v>403</v>
      </c>
      <c r="F80" s="37" t="s">
        <v>377</v>
      </c>
      <c r="G80" s="37" t="s">
        <v>327</v>
      </c>
      <c r="H80" s="37" t="s">
        <v>464</v>
      </c>
      <c r="I80" s="37" t="s">
        <v>229</v>
      </c>
    </row>
    <row r="81" ht="15.75" hidden="1" customHeight="1">
      <c r="A81" s="38">
        <v>5132848.0</v>
      </c>
      <c r="B81" s="39" t="s">
        <v>232</v>
      </c>
      <c r="C81" s="39" t="s">
        <v>465</v>
      </c>
      <c r="D81" s="39" t="s">
        <v>224</v>
      </c>
      <c r="E81" s="39" t="s">
        <v>235</v>
      </c>
      <c r="F81" s="39" t="s">
        <v>226</v>
      </c>
      <c r="G81" s="39" t="s">
        <v>227</v>
      </c>
      <c r="H81" s="39" t="s">
        <v>466</v>
      </c>
      <c r="I81" s="39" t="s">
        <v>229</v>
      </c>
    </row>
    <row r="82" ht="15.75" hidden="1" customHeight="1">
      <c r="A82" s="36">
        <v>2452237.0</v>
      </c>
      <c r="B82" s="37" t="s">
        <v>467</v>
      </c>
      <c r="C82" s="37" t="s">
        <v>468</v>
      </c>
      <c r="D82" s="37" t="s">
        <v>224</v>
      </c>
      <c r="E82" s="37" t="s">
        <v>469</v>
      </c>
      <c r="F82" s="37" t="s">
        <v>470</v>
      </c>
      <c r="G82" s="37" t="s">
        <v>327</v>
      </c>
      <c r="H82" s="37" t="s">
        <v>471</v>
      </c>
      <c r="I82" s="37" t="s">
        <v>229</v>
      </c>
    </row>
    <row r="83" ht="15.75" hidden="1" customHeight="1">
      <c r="A83" s="38">
        <v>5141502.0</v>
      </c>
      <c r="B83" s="39" t="s">
        <v>232</v>
      </c>
      <c r="C83" s="39" t="s">
        <v>472</v>
      </c>
      <c r="D83" s="39" t="s">
        <v>224</v>
      </c>
      <c r="E83" s="39" t="s">
        <v>235</v>
      </c>
      <c r="F83" s="39" t="s">
        <v>226</v>
      </c>
      <c r="G83" s="39" t="s">
        <v>227</v>
      </c>
      <c r="H83" s="39" t="s">
        <v>473</v>
      </c>
      <c r="I83" s="39" t="s">
        <v>229</v>
      </c>
    </row>
    <row r="84" ht="15.75" hidden="1" customHeight="1">
      <c r="A84" s="36">
        <v>2455514.0</v>
      </c>
      <c r="B84" s="37" t="s">
        <v>276</v>
      </c>
      <c r="C84" s="37" t="s">
        <v>474</v>
      </c>
      <c r="D84" s="37" t="s">
        <v>269</v>
      </c>
      <c r="E84" s="37" t="s">
        <v>278</v>
      </c>
      <c r="F84" s="37" t="s">
        <v>257</v>
      </c>
      <c r="G84" s="37" t="s">
        <v>258</v>
      </c>
      <c r="H84" s="37" t="s">
        <v>475</v>
      </c>
      <c r="I84" s="37" t="s">
        <v>260</v>
      </c>
    </row>
    <row r="85" ht="15.75" hidden="1" customHeight="1">
      <c r="A85" s="38">
        <v>5181985.0</v>
      </c>
      <c r="B85" s="39" t="s">
        <v>232</v>
      </c>
      <c r="C85" s="39" t="s">
        <v>476</v>
      </c>
      <c r="D85" s="39" t="s">
        <v>224</v>
      </c>
      <c r="E85" s="39" t="s">
        <v>235</v>
      </c>
      <c r="F85" s="39" t="s">
        <v>226</v>
      </c>
      <c r="G85" s="39" t="s">
        <v>227</v>
      </c>
      <c r="H85" s="39" t="s">
        <v>477</v>
      </c>
      <c r="I85" s="39" t="s">
        <v>229</v>
      </c>
    </row>
    <row r="86" ht="15.75" hidden="1" customHeight="1">
      <c r="A86" s="36">
        <v>2570479.0</v>
      </c>
      <c r="B86" s="37" t="s">
        <v>478</v>
      </c>
      <c r="C86" s="37" t="s">
        <v>479</v>
      </c>
      <c r="D86" s="37" t="s">
        <v>224</v>
      </c>
      <c r="E86" s="37" t="s">
        <v>480</v>
      </c>
      <c r="F86" s="37" t="s">
        <v>481</v>
      </c>
      <c r="G86" s="37" t="s">
        <v>293</v>
      </c>
      <c r="H86" s="37" t="s">
        <v>482</v>
      </c>
      <c r="I86" s="37" t="s">
        <v>229</v>
      </c>
    </row>
    <row r="87" ht="15.75" hidden="1" customHeight="1">
      <c r="A87" s="38">
        <v>5182004.0</v>
      </c>
      <c r="B87" s="39" t="s">
        <v>232</v>
      </c>
      <c r="C87" s="39" t="s">
        <v>483</v>
      </c>
      <c r="D87" s="39" t="s">
        <v>224</v>
      </c>
      <c r="E87" s="39" t="s">
        <v>235</v>
      </c>
      <c r="F87" s="39" t="s">
        <v>226</v>
      </c>
      <c r="G87" s="39" t="s">
        <v>227</v>
      </c>
      <c r="H87" s="39" t="s">
        <v>484</v>
      </c>
      <c r="I87" s="39" t="s">
        <v>229</v>
      </c>
    </row>
    <row r="88" ht="15.75" hidden="1" customHeight="1">
      <c r="A88" s="36">
        <v>2587731.0</v>
      </c>
      <c r="B88" s="37" t="s">
        <v>485</v>
      </c>
      <c r="C88" s="37" t="s">
        <v>486</v>
      </c>
      <c r="D88" s="37" t="s">
        <v>224</v>
      </c>
      <c r="E88" s="37" t="s">
        <v>487</v>
      </c>
      <c r="F88" s="37" t="s">
        <v>470</v>
      </c>
      <c r="G88" s="37" t="s">
        <v>327</v>
      </c>
      <c r="H88" s="37" t="s">
        <v>488</v>
      </c>
      <c r="I88" s="37" t="s">
        <v>229</v>
      </c>
    </row>
    <row r="89" ht="15.75" hidden="1" customHeight="1">
      <c r="A89" s="38">
        <v>5363335.0</v>
      </c>
      <c r="B89" s="39" t="s">
        <v>232</v>
      </c>
      <c r="C89" s="39" t="s">
        <v>489</v>
      </c>
      <c r="D89" s="39" t="s">
        <v>224</v>
      </c>
      <c r="E89" s="39" t="s">
        <v>235</v>
      </c>
      <c r="F89" s="39" t="s">
        <v>226</v>
      </c>
      <c r="G89" s="39" t="s">
        <v>227</v>
      </c>
      <c r="H89" s="39" t="s">
        <v>490</v>
      </c>
      <c r="I89" s="39" t="s">
        <v>229</v>
      </c>
    </row>
    <row r="90" ht="15.75" hidden="1" customHeight="1">
      <c r="A90" s="36">
        <v>2621136.0</v>
      </c>
      <c r="B90" s="37" t="s">
        <v>491</v>
      </c>
      <c r="C90" s="37" t="s">
        <v>492</v>
      </c>
      <c r="D90" s="37" t="s">
        <v>224</v>
      </c>
      <c r="E90" s="37" t="s">
        <v>493</v>
      </c>
      <c r="F90" s="37" t="s">
        <v>494</v>
      </c>
      <c r="G90" s="37" t="s">
        <v>227</v>
      </c>
      <c r="H90" s="37" t="s">
        <v>495</v>
      </c>
      <c r="I90" s="37" t="s">
        <v>260</v>
      </c>
    </row>
    <row r="91" ht="15.75" hidden="1" customHeight="1">
      <c r="A91" s="38">
        <v>5508870.0</v>
      </c>
      <c r="B91" s="39" t="s">
        <v>232</v>
      </c>
      <c r="C91" s="39" t="s">
        <v>496</v>
      </c>
      <c r="D91" s="39" t="s">
        <v>224</v>
      </c>
      <c r="E91" s="39" t="s">
        <v>235</v>
      </c>
      <c r="F91" s="39" t="s">
        <v>226</v>
      </c>
      <c r="G91" s="39" t="s">
        <v>227</v>
      </c>
      <c r="H91" s="39" t="s">
        <v>497</v>
      </c>
      <c r="I91" s="39" t="s">
        <v>229</v>
      </c>
    </row>
    <row r="92" ht="15.75" hidden="1" customHeight="1">
      <c r="A92" s="36">
        <v>2634994.0</v>
      </c>
      <c r="B92" s="37" t="s">
        <v>232</v>
      </c>
      <c r="C92" s="37" t="s">
        <v>498</v>
      </c>
      <c r="D92" s="37" t="s">
        <v>224</v>
      </c>
      <c r="E92" s="37" t="s">
        <v>499</v>
      </c>
      <c r="F92" s="37" t="s">
        <v>226</v>
      </c>
      <c r="G92" s="37" t="s">
        <v>227</v>
      </c>
      <c r="H92" s="37" t="s">
        <v>500</v>
      </c>
      <c r="I92" s="37" t="s">
        <v>229</v>
      </c>
    </row>
    <row r="93" ht="15.75" hidden="1" customHeight="1">
      <c r="A93" s="38">
        <v>5753861.0</v>
      </c>
      <c r="B93" s="39" t="s">
        <v>232</v>
      </c>
      <c r="C93" s="39" t="s">
        <v>501</v>
      </c>
      <c r="D93" s="39" t="s">
        <v>224</v>
      </c>
      <c r="E93" s="39" t="s">
        <v>235</v>
      </c>
      <c r="F93" s="39" t="s">
        <v>226</v>
      </c>
      <c r="G93" s="39" t="s">
        <v>227</v>
      </c>
      <c r="H93" s="39" t="s">
        <v>502</v>
      </c>
      <c r="I93" s="39" t="s">
        <v>229</v>
      </c>
    </row>
    <row r="94" ht="15.75" hidden="1" customHeight="1">
      <c r="A94" s="36">
        <v>5926207.0</v>
      </c>
      <c r="B94" s="37" t="s">
        <v>232</v>
      </c>
      <c r="C94" s="37" t="s">
        <v>503</v>
      </c>
      <c r="D94" s="37" t="s">
        <v>224</v>
      </c>
      <c r="E94" s="37" t="s">
        <v>235</v>
      </c>
      <c r="F94" s="37" t="s">
        <v>226</v>
      </c>
      <c r="G94" s="37" t="s">
        <v>227</v>
      </c>
      <c r="H94" s="37" t="s">
        <v>504</v>
      </c>
      <c r="I94" s="37" t="s">
        <v>229</v>
      </c>
    </row>
    <row r="95" ht="15.75" hidden="1" customHeight="1">
      <c r="A95" s="38">
        <v>2644855.0</v>
      </c>
      <c r="B95" s="37" t="s">
        <v>81</v>
      </c>
      <c r="C95" s="39" t="s">
        <v>134</v>
      </c>
      <c r="D95" s="39" t="s">
        <v>224</v>
      </c>
      <c r="E95" s="39" t="s">
        <v>357</v>
      </c>
      <c r="F95" s="42" t="s">
        <v>3</v>
      </c>
      <c r="G95" s="39" t="s">
        <v>3</v>
      </c>
      <c r="H95" s="39" t="s">
        <v>505</v>
      </c>
      <c r="I95" s="39" t="s">
        <v>260</v>
      </c>
      <c r="J95" s="1">
        <v>42.0</v>
      </c>
      <c r="L95" s="40" t="s">
        <v>412</v>
      </c>
      <c r="M95" s="40" t="s">
        <v>506</v>
      </c>
    </row>
    <row r="96" ht="15.75" hidden="1" customHeight="1">
      <c r="A96" s="36">
        <v>4386514.0</v>
      </c>
      <c r="B96" s="37" t="s">
        <v>232</v>
      </c>
      <c r="C96" s="37" t="s">
        <v>507</v>
      </c>
      <c r="D96" s="37" t="s">
        <v>224</v>
      </c>
      <c r="E96" s="37" t="s">
        <v>235</v>
      </c>
      <c r="F96" s="37" t="s">
        <v>226</v>
      </c>
      <c r="G96" s="37" t="s">
        <v>227</v>
      </c>
      <c r="H96" s="37" t="s">
        <v>508</v>
      </c>
      <c r="I96" s="37" t="s">
        <v>229</v>
      </c>
    </row>
    <row r="97" ht="15.75" hidden="1" customHeight="1">
      <c r="A97" s="38">
        <v>2704721.0</v>
      </c>
      <c r="B97" s="39" t="s">
        <v>506</v>
      </c>
      <c r="C97" s="39" t="s">
        <v>509</v>
      </c>
      <c r="D97" s="39" t="s">
        <v>224</v>
      </c>
      <c r="E97" s="39" t="s">
        <v>510</v>
      </c>
      <c r="F97" s="39" t="s">
        <v>284</v>
      </c>
      <c r="G97" s="39" t="s">
        <v>3</v>
      </c>
      <c r="H97" s="39" t="s">
        <v>511</v>
      </c>
      <c r="I97" s="39" t="s">
        <v>260</v>
      </c>
      <c r="J97" s="1">
        <v>42.0</v>
      </c>
      <c r="L97" s="40" t="s">
        <v>81</v>
      </c>
    </row>
    <row r="98" ht="15.75" hidden="1" customHeight="1">
      <c r="A98" s="36">
        <v>5743772.0</v>
      </c>
      <c r="B98" s="37" t="s">
        <v>232</v>
      </c>
      <c r="C98" s="37" t="s">
        <v>512</v>
      </c>
      <c r="D98" s="37" t="s">
        <v>224</v>
      </c>
      <c r="E98" s="37" t="s">
        <v>235</v>
      </c>
      <c r="F98" s="37" t="s">
        <v>226</v>
      </c>
      <c r="G98" s="37" t="s">
        <v>227</v>
      </c>
      <c r="H98" s="37" t="s">
        <v>513</v>
      </c>
      <c r="I98" s="37" t="s">
        <v>229</v>
      </c>
    </row>
    <row r="99" ht="15.75" hidden="1" customHeight="1">
      <c r="A99" s="38">
        <v>2768293.0</v>
      </c>
      <c r="B99" s="39" t="s">
        <v>514</v>
      </c>
      <c r="C99" s="39" t="s">
        <v>515</v>
      </c>
      <c r="D99" s="39" t="s">
        <v>224</v>
      </c>
      <c r="E99" s="39" t="s">
        <v>387</v>
      </c>
      <c r="F99" s="39" t="s">
        <v>300</v>
      </c>
      <c r="G99" s="39" t="s">
        <v>301</v>
      </c>
      <c r="H99" s="39" t="s">
        <v>516</v>
      </c>
      <c r="I99" s="39" t="s">
        <v>229</v>
      </c>
    </row>
    <row r="100" ht="15.75" hidden="1" customHeight="1">
      <c r="A100" s="36">
        <v>5486538.0</v>
      </c>
      <c r="B100" s="37" t="s">
        <v>232</v>
      </c>
      <c r="C100" s="37" t="s">
        <v>517</v>
      </c>
      <c r="D100" s="37" t="s">
        <v>224</v>
      </c>
      <c r="E100" s="37" t="s">
        <v>235</v>
      </c>
      <c r="F100" s="37" t="s">
        <v>226</v>
      </c>
      <c r="G100" s="37" t="s">
        <v>227</v>
      </c>
      <c r="H100" s="37" t="s">
        <v>518</v>
      </c>
      <c r="I100" s="37" t="s">
        <v>229</v>
      </c>
    </row>
    <row r="101" ht="15.75" customHeight="1">
      <c r="A101" s="38">
        <v>2816053.0</v>
      </c>
      <c r="B101" s="39" t="s">
        <v>13</v>
      </c>
      <c r="C101" s="39" t="s">
        <v>30</v>
      </c>
      <c r="D101" s="39" t="s">
        <v>224</v>
      </c>
      <c r="E101" s="39" t="s">
        <v>340</v>
      </c>
      <c r="F101" s="39" t="s">
        <v>341</v>
      </c>
      <c r="G101" s="39" t="s">
        <v>3</v>
      </c>
      <c r="H101" s="39" t="s">
        <v>519</v>
      </c>
      <c r="I101" s="39" t="s">
        <v>260</v>
      </c>
      <c r="J101" s="1">
        <v>42.0</v>
      </c>
      <c r="L101" s="40" t="s">
        <v>506</v>
      </c>
    </row>
    <row r="102" ht="15.75" hidden="1" customHeight="1">
      <c r="A102" s="36">
        <v>4499084.0</v>
      </c>
      <c r="B102" s="37" t="s">
        <v>232</v>
      </c>
      <c r="C102" s="37" t="s">
        <v>520</v>
      </c>
      <c r="D102" s="37" t="s">
        <v>224</v>
      </c>
      <c r="E102" s="37" t="s">
        <v>235</v>
      </c>
      <c r="F102" s="37" t="s">
        <v>226</v>
      </c>
      <c r="G102" s="37" t="s">
        <v>227</v>
      </c>
      <c r="H102" s="37" t="s">
        <v>521</v>
      </c>
      <c r="I102" s="37" t="s">
        <v>229</v>
      </c>
    </row>
    <row r="103" ht="15.75" hidden="1" customHeight="1">
      <c r="A103" s="38">
        <v>2912072.0</v>
      </c>
      <c r="B103" s="39" t="s">
        <v>522</v>
      </c>
      <c r="C103" s="39" t="s">
        <v>523</v>
      </c>
      <c r="D103" s="39" t="s">
        <v>224</v>
      </c>
      <c r="E103" s="39" t="s">
        <v>524</v>
      </c>
      <c r="F103" s="39" t="s">
        <v>470</v>
      </c>
      <c r="G103" s="39" t="s">
        <v>327</v>
      </c>
      <c r="H103" s="39" t="s">
        <v>525</v>
      </c>
      <c r="I103" s="39" t="s">
        <v>229</v>
      </c>
    </row>
    <row r="104" ht="15.75" hidden="1" customHeight="1">
      <c r="A104" s="36">
        <v>4898296.0</v>
      </c>
      <c r="B104" s="37" t="s">
        <v>526</v>
      </c>
      <c r="C104" s="37" t="s">
        <v>527</v>
      </c>
      <c r="D104" s="37" t="s">
        <v>224</v>
      </c>
      <c r="E104" s="37" t="s">
        <v>528</v>
      </c>
      <c r="F104" s="37" t="s">
        <v>326</v>
      </c>
      <c r="G104" s="37" t="s">
        <v>327</v>
      </c>
      <c r="H104" s="37" t="s">
        <v>529</v>
      </c>
      <c r="I104" s="37" t="s">
        <v>229</v>
      </c>
    </row>
    <row r="105" ht="15.75" hidden="1" customHeight="1">
      <c r="A105" s="38">
        <v>2956647.0</v>
      </c>
      <c r="B105" s="39" t="s">
        <v>530</v>
      </c>
      <c r="C105" s="39" t="s">
        <v>531</v>
      </c>
      <c r="D105" s="39" t="s">
        <v>224</v>
      </c>
      <c r="E105" s="39" t="s">
        <v>532</v>
      </c>
      <c r="F105" s="39" t="s">
        <v>533</v>
      </c>
      <c r="G105" s="39" t="s">
        <v>250</v>
      </c>
      <c r="H105" s="39" t="s">
        <v>534</v>
      </c>
      <c r="I105" s="39" t="s">
        <v>229</v>
      </c>
    </row>
    <row r="106" ht="15.75" hidden="1" customHeight="1">
      <c r="A106" s="36">
        <v>5906006.0</v>
      </c>
      <c r="B106" s="37" t="s">
        <v>526</v>
      </c>
      <c r="C106" s="37" t="s">
        <v>535</v>
      </c>
      <c r="D106" s="37" t="s">
        <v>224</v>
      </c>
      <c r="E106" s="37" t="s">
        <v>528</v>
      </c>
      <c r="F106" s="37" t="s">
        <v>326</v>
      </c>
      <c r="G106" s="37" t="s">
        <v>327</v>
      </c>
      <c r="H106" s="37" t="s">
        <v>536</v>
      </c>
      <c r="I106" s="37" t="s">
        <v>229</v>
      </c>
    </row>
    <row r="107" ht="15.75" hidden="1" customHeight="1">
      <c r="A107" s="38">
        <v>2987885.0</v>
      </c>
      <c r="B107" s="39" t="s">
        <v>537</v>
      </c>
      <c r="C107" s="39" t="s">
        <v>538</v>
      </c>
      <c r="D107" s="39" t="s">
        <v>224</v>
      </c>
      <c r="E107" s="39" t="s">
        <v>539</v>
      </c>
      <c r="F107" s="39" t="s">
        <v>540</v>
      </c>
      <c r="G107" s="39" t="s">
        <v>541</v>
      </c>
      <c r="H107" s="39" t="s">
        <v>542</v>
      </c>
      <c r="I107" s="39" t="s">
        <v>229</v>
      </c>
    </row>
    <row r="108" ht="15.75" hidden="1" customHeight="1">
      <c r="A108" s="36">
        <v>5847297.0</v>
      </c>
      <c r="B108" s="37" t="s">
        <v>526</v>
      </c>
      <c r="C108" s="37" t="s">
        <v>543</v>
      </c>
      <c r="D108" s="37" t="s">
        <v>224</v>
      </c>
      <c r="E108" s="37" t="s">
        <v>528</v>
      </c>
      <c r="F108" s="37" t="s">
        <v>326</v>
      </c>
      <c r="G108" s="37" t="s">
        <v>327</v>
      </c>
      <c r="H108" s="37" t="s">
        <v>544</v>
      </c>
      <c r="I108" s="37" t="s">
        <v>229</v>
      </c>
    </row>
    <row r="109" ht="15.75" hidden="1" customHeight="1">
      <c r="A109" s="38">
        <v>3024170.0</v>
      </c>
      <c r="B109" s="39" t="s">
        <v>374</v>
      </c>
      <c r="C109" s="39" t="s">
        <v>545</v>
      </c>
      <c r="D109" s="39" t="s">
        <v>224</v>
      </c>
      <c r="E109" s="39" t="s">
        <v>376</v>
      </c>
      <c r="F109" s="39" t="s">
        <v>377</v>
      </c>
      <c r="G109" s="39" t="s">
        <v>327</v>
      </c>
      <c r="H109" s="39" t="s">
        <v>546</v>
      </c>
      <c r="I109" s="39" t="s">
        <v>229</v>
      </c>
    </row>
    <row r="110" ht="15.75" hidden="1" customHeight="1">
      <c r="A110" s="36">
        <v>5867460.0</v>
      </c>
      <c r="B110" s="37" t="s">
        <v>526</v>
      </c>
      <c r="C110" s="37" t="s">
        <v>547</v>
      </c>
      <c r="D110" s="37" t="s">
        <v>224</v>
      </c>
      <c r="E110" s="37" t="s">
        <v>528</v>
      </c>
      <c r="F110" s="37" t="s">
        <v>326</v>
      </c>
      <c r="G110" s="37" t="s">
        <v>327</v>
      </c>
      <c r="H110" s="37" t="s">
        <v>548</v>
      </c>
      <c r="I110" s="37" t="s">
        <v>229</v>
      </c>
    </row>
    <row r="111" ht="15.75" hidden="1" customHeight="1">
      <c r="A111" s="38">
        <v>3046244.0</v>
      </c>
      <c r="B111" s="39" t="s">
        <v>549</v>
      </c>
      <c r="C111" s="39" t="s">
        <v>550</v>
      </c>
      <c r="D111" s="39" t="s">
        <v>224</v>
      </c>
      <c r="E111" s="39" t="s">
        <v>551</v>
      </c>
      <c r="F111" s="39" t="s">
        <v>494</v>
      </c>
      <c r="G111" s="39" t="s">
        <v>227</v>
      </c>
      <c r="H111" s="39" t="s">
        <v>552</v>
      </c>
      <c r="I111" s="39" t="s">
        <v>260</v>
      </c>
    </row>
    <row r="112" ht="15.75" hidden="1" customHeight="1">
      <c r="A112" s="36">
        <v>3171770.0</v>
      </c>
      <c r="B112" s="37" t="s">
        <v>526</v>
      </c>
      <c r="C112" s="37" t="s">
        <v>553</v>
      </c>
      <c r="D112" s="37" t="s">
        <v>224</v>
      </c>
      <c r="E112" s="37" t="s">
        <v>528</v>
      </c>
      <c r="F112" s="37" t="s">
        <v>326</v>
      </c>
      <c r="G112" s="37" t="s">
        <v>327</v>
      </c>
      <c r="H112" s="37" t="s">
        <v>554</v>
      </c>
      <c r="I112" s="37" t="s">
        <v>229</v>
      </c>
    </row>
    <row r="113" ht="15.75" hidden="1" customHeight="1">
      <c r="A113" s="38">
        <v>3050288.0</v>
      </c>
      <c r="B113" s="39" t="s">
        <v>555</v>
      </c>
      <c r="C113" s="39" t="s">
        <v>556</v>
      </c>
      <c r="D113" s="39" t="s">
        <v>224</v>
      </c>
      <c r="E113" s="39" t="s">
        <v>557</v>
      </c>
      <c r="F113" s="39" t="s">
        <v>558</v>
      </c>
      <c r="G113" s="39" t="s">
        <v>541</v>
      </c>
      <c r="H113" s="39" t="s">
        <v>559</v>
      </c>
      <c r="I113" s="39" t="s">
        <v>229</v>
      </c>
    </row>
    <row r="114" ht="15.75" hidden="1" customHeight="1">
      <c r="A114" s="36">
        <v>5898225.0</v>
      </c>
      <c r="B114" s="37" t="s">
        <v>526</v>
      </c>
      <c r="C114" s="37" t="s">
        <v>560</v>
      </c>
      <c r="D114" s="37" t="s">
        <v>224</v>
      </c>
      <c r="E114" s="37" t="s">
        <v>528</v>
      </c>
      <c r="F114" s="37" t="s">
        <v>326</v>
      </c>
      <c r="G114" s="37" t="s">
        <v>327</v>
      </c>
      <c r="H114" s="37" t="s">
        <v>561</v>
      </c>
      <c r="I114" s="37" t="s">
        <v>229</v>
      </c>
    </row>
    <row r="115" ht="15.75" hidden="1" customHeight="1">
      <c r="A115" s="38">
        <v>3052449.0</v>
      </c>
      <c r="B115" s="39" t="s">
        <v>361</v>
      </c>
      <c r="C115" s="39" t="s">
        <v>562</v>
      </c>
      <c r="D115" s="39" t="s">
        <v>331</v>
      </c>
      <c r="E115" s="39" t="s">
        <v>563</v>
      </c>
      <c r="F115" s="39" t="s">
        <v>312</v>
      </c>
      <c r="G115" s="39" t="s">
        <v>258</v>
      </c>
      <c r="H115" s="39" t="s">
        <v>564</v>
      </c>
      <c r="I115" s="39" t="s">
        <v>260</v>
      </c>
    </row>
    <row r="116" ht="15.75" hidden="1" customHeight="1">
      <c r="A116" s="36">
        <v>5362775.0</v>
      </c>
      <c r="B116" s="37" t="s">
        <v>526</v>
      </c>
      <c r="C116" s="37" t="s">
        <v>565</v>
      </c>
      <c r="D116" s="37" t="s">
        <v>224</v>
      </c>
      <c r="E116" s="37" t="s">
        <v>528</v>
      </c>
      <c r="F116" s="37" t="s">
        <v>326</v>
      </c>
      <c r="G116" s="37" t="s">
        <v>327</v>
      </c>
      <c r="H116" s="37" t="s">
        <v>566</v>
      </c>
      <c r="I116" s="37" t="s">
        <v>229</v>
      </c>
    </row>
    <row r="117" ht="15.75" hidden="1" customHeight="1">
      <c r="A117" s="38">
        <v>3053672.0</v>
      </c>
      <c r="B117" s="39" t="s">
        <v>567</v>
      </c>
      <c r="C117" s="39" t="s">
        <v>568</v>
      </c>
      <c r="D117" s="39" t="s">
        <v>224</v>
      </c>
      <c r="E117" s="39" t="s">
        <v>403</v>
      </c>
      <c r="F117" s="39" t="s">
        <v>377</v>
      </c>
      <c r="G117" s="39" t="s">
        <v>327</v>
      </c>
      <c r="H117" s="39" t="s">
        <v>569</v>
      </c>
      <c r="I117" s="39" t="s">
        <v>229</v>
      </c>
    </row>
    <row r="118" ht="15.75" hidden="1" customHeight="1">
      <c r="A118" s="36">
        <v>5070244.0</v>
      </c>
      <c r="B118" s="37" t="s">
        <v>526</v>
      </c>
      <c r="C118" s="37" t="s">
        <v>570</v>
      </c>
      <c r="D118" s="37" t="s">
        <v>224</v>
      </c>
      <c r="E118" s="37" t="s">
        <v>528</v>
      </c>
      <c r="F118" s="37" t="s">
        <v>326</v>
      </c>
      <c r="G118" s="37" t="s">
        <v>327</v>
      </c>
      <c r="H118" s="37" t="s">
        <v>571</v>
      </c>
      <c r="I118" s="37" t="s">
        <v>229</v>
      </c>
    </row>
    <row r="119" ht="15.75" hidden="1" customHeight="1">
      <c r="A119" s="38">
        <v>3061299.0</v>
      </c>
      <c r="B119" s="39" t="s">
        <v>491</v>
      </c>
      <c r="C119" s="39" t="s">
        <v>572</v>
      </c>
      <c r="D119" s="39" t="s">
        <v>224</v>
      </c>
      <c r="E119" s="39" t="s">
        <v>573</v>
      </c>
      <c r="F119" s="39" t="s">
        <v>494</v>
      </c>
      <c r="G119" s="39" t="s">
        <v>227</v>
      </c>
      <c r="H119" s="39" t="s">
        <v>574</v>
      </c>
      <c r="I119" s="39" t="s">
        <v>260</v>
      </c>
    </row>
    <row r="120" ht="15.75" hidden="1" customHeight="1">
      <c r="A120" s="36">
        <v>5673355.0</v>
      </c>
      <c r="B120" s="37" t="s">
        <v>526</v>
      </c>
      <c r="C120" s="37" t="s">
        <v>575</v>
      </c>
      <c r="D120" s="37" t="s">
        <v>224</v>
      </c>
      <c r="E120" s="37" t="s">
        <v>528</v>
      </c>
      <c r="F120" s="37" t="s">
        <v>326</v>
      </c>
      <c r="G120" s="37" t="s">
        <v>327</v>
      </c>
      <c r="H120" s="37" t="s">
        <v>576</v>
      </c>
      <c r="I120" s="37" t="s">
        <v>229</v>
      </c>
    </row>
    <row r="121" ht="15.75" hidden="1" customHeight="1">
      <c r="A121" s="38">
        <v>3066276.0</v>
      </c>
      <c r="B121" s="39" t="s">
        <v>537</v>
      </c>
      <c r="C121" s="39" t="s">
        <v>577</v>
      </c>
      <c r="D121" s="39" t="s">
        <v>224</v>
      </c>
      <c r="E121" s="39" t="s">
        <v>578</v>
      </c>
      <c r="F121" s="39" t="s">
        <v>540</v>
      </c>
      <c r="G121" s="39" t="s">
        <v>541</v>
      </c>
      <c r="H121" s="39" t="s">
        <v>579</v>
      </c>
      <c r="I121" s="39" t="s">
        <v>229</v>
      </c>
    </row>
    <row r="122" ht="15.75" hidden="1" customHeight="1">
      <c r="A122" s="36">
        <v>5111294.0</v>
      </c>
      <c r="B122" s="37" t="s">
        <v>526</v>
      </c>
      <c r="C122" s="37" t="s">
        <v>580</v>
      </c>
      <c r="D122" s="37" t="s">
        <v>224</v>
      </c>
      <c r="E122" s="37" t="s">
        <v>528</v>
      </c>
      <c r="F122" s="37" t="s">
        <v>326</v>
      </c>
      <c r="G122" s="37" t="s">
        <v>327</v>
      </c>
      <c r="H122" s="37" t="s">
        <v>581</v>
      </c>
      <c r="I122" s="37" t="s">
        <v>229</v>
      </c>
    </row>
    <row r="123" ht="15.75" hidden="1" customHeight="1">
      <c r="A123" s="38">
        <v>3070802.0</v>
      </c>
      <c r="B123" s="39" t="s">
        <v>323</v>
      </c>
      <c r="C123" s="39" t="s">
        <v>582</v>
      </c>
      <c r="D123" s="39" t="s">
        <v>224</v>
      </c>
      <c r="E123" s="39" t="s">
        <v>583</v>
      </c>
      <c r="F123" s="39" t="s">
        <v>326</v>
      </c>
      <c r="G123" s="39" t="s">
        <v>327</v>
      </c>
      <c r="H123" s="39" t="s">
        <v>584</v>
      </c>
      <c r="I123" s="39" t="s">
        <v>229</v>
      </c>
    </row>
    <row r="124" ht="15.75" hidden="1" customHeight="1">
      <c r="A124" s="36">
        <v>5122063.0</v>
      </c>
      <c r="B124" s="37" t="s">
        <v>526</v>
      </c>
      <c r="C124" s="37" t="s">
        <v>585</v>
      </c>
      <c r="D124" s="37" t="s">
        <v>224</v>
      </c>
      <c r="E124" s="37" t="s">
        <v>528</v>
      </c>
      <c r="F124" s="37" t="s">
        <v>326</v>
      </c>
      <c r="G124" s="37" t="s">
        <v>327</v>
      </c>
      <c r="H124" s="37" t="s">
        <v>586</v>
      </c>
      <c r="I124" s="37" t="s">
        <v>229</v>
      </c>
    </row>
    <row r="125" ht="15.75" hidden="1" customHeight="1">
      <c r="A125" s="38">
        <v>3070804.0</v>
      </c>
      <c r="B125" s="39" t="s">
        <v>587</v>
      </c>
      <c r="C125" s="39" t="s">
        <v>588</v>
      </c>
      <c r="D125" s="39" t="s">
        <v>224</v>
      </c>
      <c r="E125" s="39" t="s">
        <v>248</v>
      </c>
      <c r="F125" s="39" t="s">
        <v>249</v>
      </c>
      <c r="G125" s="39" t="s">
        <v>250</v>
      </c>
      <c r="H125" s="39" t="s">
        <v>589</v>
      </c>
      <c r="I125" s="39" t="s">
        <v>229</v>
      </c>
    </row>
    <row r="126" ht="15.75" hidden="1" customHeight="1">
      <c r="A126" s="36">
        <v>5284107.0</v>
      </c>
      <c r="B126" s="37" t="s">
        <v>526</v>
      </c>
      <c r="C126" s="37" t="s">
        <v>590</v>
      </c>
      <c r="D126" s="37" t="s">
        <v>224</v>
      </c>
      <c r="E126" s="37" t="s">
        <v>528</v>
      </c>
      <c r="F126" s="37" t="s">
        <v>326</v>
      </c>
      <c r="G126" s="37" t="s">
        <v>327</v>
      </c>
      <c r="H126" s="37" t="s">
        <v>591</v>
      </c>
      <c r="I126" s="37" t="s">
        <v>229</v>
      </c>
    </row>
    <row r="127" ht="15.75" hidden="1" customHeight="1">
      <c r="A127" s="38">
        <v>3070810.0</v>
      </c>
      <c r="B127" s="39" t="s">
        <v>592</v>
      </c>
      <c r="C127" s="39" t="s">
        <v>593</v>
      </c>
      <c r="D127" s="39" t="s">
        <v>224</v>
      </c>
      <c r="E127" s="39" t="s">
        <v>393</v>
      </c>
      <c r="F127" s="39" t="s">
        <v>249</v>
      </c>
      <c r="G127" s="39" t="s">
        <v>250</v>
      </c>
      <c r="H127" s="39" t="s">
        <v>594</v>
      </c>
      <c r="I127" s="39" t="s">
        <v>229</v>
      </c>
    </row>
    <row r="128" ht="15.75" hidden="1" customHeight="1">
      <c r="A128" s="36">
        <v>5361584.0</v>
      </c>
      <c r="B128" s="37" t="s">
        <v>526</v>
      </c>
      <c r="C128" s="37" t="s">
        <v>595</v>
      </c>
      <c r="D128" s="37" t="s">
        <v>224</v>
      </c>
      <c r="E128" s="37" t="s">
        <v>528</v>
      </c>
      <c r="F128" s="37" t="s">
        <v>326</v>
      </c>
      <c r="G128" s="37" t="s">
        <v>327</v>
      </c>
      <c r="H128" s="37" t="s">
        <v>596</v>
      </c>
      <c r="I128" s="37" t="s">
        <v>229</v>
      </c>
    </row>
    <row r="129" ht="15.75" hidden="1" customHeight="1">
      <c r="A129" s="38">
        <v>3070813.0</v>
      </c>
      <c r="B129" s="39" t="s">
        <v>246</v>
      </c>
      <c r="C129" s="39" t="s">
        <v>597</v>
      </c>
      <c r="D129" s="39" t="s">
        <v>224</v>
      </c>
      <c r="E129" s="39" t="s">
        <v>598</v>
      </c>
      <c r="F129" s="39" t="s">
        <v>249</v>
      </c>
      <c r="G129" s="39" t="s">
        <v>250</v>
      </c>
      <c r="H129" s="39" t="s">
        <v>599</v>
      </c>
      <c r="I129" s="39" t="s">
        <v>229</v>
      </c>
    </row>
    <row r="130" ht="15.75" hidden="1" customHeight="1">
      <c r="A130" s="36">
        <v>5694994.0</v>
      </c>
      <c r="B130" s="37" t="s">
        <v>526</v>
      </c>
      <c r="C130" s="37" t="s">
        <v>600</v>
      </c>
      <c r="D130" s="37" t="s">
        <v>224</v>
      </c>
      <c r="E130" s="37" t="s">
        <v>528</v>
      </c>
      <c r="F130" s="37" t="s">
        <v>326</v>
      </c>
      <c r="G130" s="37" t="s">
        <v>327</v>
      </c>
      <c r="H130" s="37" t="s">
        <v>601</v>
      </c>
      <c r="I130" s="37" t="s">
        <v>229</v>
      </c>
    </row>
    <row r="131" ht="15.75" hidden="1" customHeight="1">
      <c r="A131" s="38">
        <v>3070828.0</v>
      </c>
      <c r="B131" s="39" t="s">
        <v>587</v>
      </c>
      <c r="C131" s="39" t="s">
        <v>602</v>
      </c>
      <c r="D131" s="39" t="s">
        <v>224</v>
      </c>
      <c r="E131" s="39" t="s">
        <v>336</v>
      </c>
      <c r="F131" s="39" t="s">
        <v>249</v>
      </c>
      <c r="G131" s="39" t="s">
        <v>250</v>
      </c>
      <c r="H131" s="39" t="s">
        <v>603</v>
      </c>
      <c r="I131" s="39" t="s">
        <v>229</v>
      </c>
    </row>
    <row r="132" ht="15.75" hidden="1" customHeight="1">
      <c r="A132" s="36">
        <v>5707237.0</v>
      </c>
      <c r="B132" s="37" t="s">
        <v>526</v>
      </c>
      <c r="C132" s="37" t="s">
        <v>604</v>
      </c>
      <c r="D132" s="37" t="s">
        <v>224</v>
      </c>
      <c r="E132" s="37" t="s">
        <v>528</v>
      </c>
      <c r="F132" s="37" t="s">
        <v>326</v>
      </c>
      <c r="G132" s="37" t="s">
        <v>327</v>
      </c>
      <c r="H132" s="37" t="s">
        <v>605</v>
      </c>
      <c r="I132" s="37" t="s">
        <v>229</v>
      </c>
    </row>
    <row r="133" ht="15.75" hidden="1" customHeight="1">
      <c r="A133" s="38">
        <v>3075981.0</v>
      </c>
      <c r="B133" s="39" t="s">
        <v>514</v>
      </c>
      <c r="C133" s="39" t="s">
        <v>606</v>
      </c>
      <c r="D133" s="39" t="s">
        <v>224</v>
      </c>
      <c r="E133" s="39" t="s">
        <v>387</v>
      </c>
      <c r="F133" s="39" t="s">
        <v>300</v>
      </c>
      <c r="G133" s="39" t="s">
        <v>301</v>
      </c>
      <c r="H133" s="39" t="s">
        <v>607</v>
      </c>
      <c r="I133" s="39" t="s">
        <v>229</v>
      </c>
    </row>
    <row r="134" ht="15.75" hidden="1" customHeight="1">
      <c r="A134" s="36">
        <v>5771575.0</v>
      </c>
      <c r="B134" s="37" t="s">
        <v>526</v>
      </c>
      <c r="C134" s="37" t="s">
        <v>608</v>
      </c>
      <c r="D134" s="37" t="s">
        <v>224</v>
      </c>
      <c r="E134" s="37" t="s">
        <v>528</v>
      </c>
      <c r="F134" s="37" t="s">
        <v>326</v>
      </c>
      <c r="G134" s="37" t="s">
        <v>327</v>
      </c>
      <c r="H134" s="37" t="s">
        <v>609</v>
      </c>
      <c r="I134" s="37" t="s">
        <v>229</v>
      </c>
    </row>
    <row r="135" ht="15.75" hidden="1" customHeight="1">
      <c r="A135" s="38">
        <v>3083590.0</v>
      </c>
      <c r="B135" s="39" t="s">
        <v>297</v>
      </c>
      <c r="C135" s="39" t="s">
        <v>610</v>
      </c>
      <c r="D135" s="39" t="s">
        <v>224</v>
      </c>
      <c r="E135" s="39" t="s">
        <v>299</v>
      </c>
      <c r="F135" s="39" t="s">
        <v>300</v>
      </c>
      <c r="G135" s="39" t="s">
        <v>301</v>
      </c>
      <c r="H135" s="39" t="s">
        <v>611</v>
      </c>
      <c r="I135" s="39" t="s">
        <v>229</v>
      </c>
    </row>
    <row r="136" ht="15.75" hidden="1" customHeight="1">
      <c r="A136" s="36">
        <v>5534880.0</v>
      </c>
      <c r="B136" s="37" t="s">
        <v>526</v>
      </c>
      <c r="C136" s="37" t="s">
        <v>612</v>
      </c>
      <c r="D136" s="37" t="s">
        <v>224</v>
      </c>
      <c r="E136" s="37" t="s">
        <v>528</v>
      </c>
      <c r="F136" s="37" t="s">
        <v>326</v>
      </c>
      <c r="G136" s="37" t="s">
        <v>327</v>
      </c>
      <c r="H136" s="37" t="s">
        <v>613</v>
      </c>
      <c r="I136" s="37" t="s">
        <v>229</v>
      </c>
    </row>
    <row r="137" ht="15.75" hidden="1" customHeight="1">
      <c r="A137" s="38">
        <v>3083610.0</v>
      </c>
      <c r="B137" s="39" t="s">
        <v>385</v>
      </c>
      <c r="C137" s="39" t="s">
        <v>614</v>
      </c>
      <c r="D137" s="39" t="s">
        <v>224</v>
      </c>
      <c r="E137" s="39" t="s">
        <v>387</v>
      </c>
      <c r="F137" s="39" t="s">
        <v>300</v>
      </c>
      <c r="G137" s="39" t="s">
        <v>301</v>
      </c>
      <c r="H137" s="39" t="s">
        <v>615</v>
      </c>
      <c r="I137" s="39" t="s">
        <v>229</v>
      </c>
    </row>
    <row r="138" ht="15.75" hidden="1" customHeight="1">
      <c r="A138" s="36">
        <v>5906073.0</v>
      </c>
      <c r="B138" s="37" t="s">
        <v>526</v>
      </c>
      <c r="C138" s="37" t="s">
        <v>616</v>
      </c>
      <c r="D138" s="37" t="s">
        <v>224</v>
      </c>
      <c r="E138" s="37" t="s">
        <v>528</v>
      </c>
      <c r="F138" s="37" t="s">
        <v>326</v>
      </c>
      <c r="G138" s="37" t="s">
        <v>327</v>
      </c>
      <c r="H138" s="37" t="s">
        <v>617</v>
      </c>
      <c r="I138" s="37" t="s">
        <v>229</v>
      </c>
    </row>
    <row r="139" ht="15.75" hidden="1" customHeight="1">
      <c r="A139" s="38">
        <v>5867463.0</v>
      </c>
      <c r="B139" s="39" t="s">
        <v>526</v>
      </c>
      <c r="C139" s="39" t="s">
        <v>618</v>
      </c>
      <c r="D139" s="39" t="s">
        <v>224</v>
      </c>
      <c r="E139" s="39" t="s">
        <v>528</v>
      </c>
      <c r="F139" s="39" t="s">
        <v>326</v>
      </c>
      <c r="G139" s="39" t="s">
        <v>327</v>
      </c>
      <c r="H139" s="39" t="s">
        <v>619</v>
      </c>
      <c r="I139" s="39" t="s">
        <v>229</v>
      </c>
    </row>
    <row r="140" ht="15.75" hidden="1" customHeight="1">
      <c r="A140" s="36">
        <v>3101495.0</v>
      </c>
      <c r="B140" s="37" t="s">
        <v>587</v>
      </c>
      <c r="C140" s="37" t="s">
        <v>620</v>
      </c>
      <c r="D140" s="37" t="s">
        <v>224</v>
      </c>
      <c r="E140" s="37" t="s">
        <v>336</v>
      </c>
      <c r="F140" s="37" t="s">
        <v>249</v>
      </c>
      <c r="G140" s="37" t="s">
        <v>250</v>
      </c>
      <c r="H140" s="37" t="s">
        <v>621</v>
      </c>
      <c r="I140" s="37" t="s">
        <v>229</v>
      </c>
    </row>
    <row r="141" ht="15.75" hidden="1" customHeight="1">
      <c r="A141" s="38">
        <v>5906075.0</v>
      </c>
      <c r="B141" s="39" t="s">
        <v>526</v>
      </c>
      <c r="C141" s="39" t="s">
        <v>622</v>
      </c>
      <c r="D141" s="39" t="s">
        <v>224</v>
      </c>
      <c r="E141" s="39" t="s">
        <v>528</v>
      </c>
      <c r="F141" s="39" t="s">
        <v>326</v>
      </c>
      <c r="G141" s="39" t="s">
        <v>327</v>
      </c>
      <c r="H141" s="39" t="s">
        <v>623</v>
      </c>
      <c r="I141" s="39" t="s">
        <v>229</v>
      </c>
    </row>
    <row r="142" ht="15.75" hidden="1" customHeight="1">
      <c r="A142" s="36">
        <v>3101825.0</v>
      </c>
      <c r="B142" s="37" t="s">
        <v>116</v>
      </c>
      <c r="C142" s="37" t="s">
        <v>624</v>
      </c>
      <c r="D142" s="37" t="s">
        <v>224</v>
      </c>
      <c r="E142" s="37" t="s">
        <v>408</v>
      </c>
      <c r="F142" s="37" t="s">
        <v>341</v>
      </c>
      <c r="G142" s="37" t="s">
        <v>3</v>
      </c>
      <c r="H142" s="37" t="s">
        <v>625</v>
      </c>
      <c r="I142" s="37" t="s">
        <v>260</v>
      </c>
      <c r="J142" s="1">
        <v>42.0</v>
      </c>
      <c r="L142" s="40" t="s">
        <v>13</v>
      </c>
    </row>
    <row r="143" ht="15.75" hidden="1" customHeight="1">
      <c r="A143" s="38">
        <v>5439888.0</v>
      </c>
      <c r="B143" s="39" t="s">
        <v>526</v>
      </c>
      <c r="C143" s="39" t="s">
        <v>626</v>
      </c>
      <c r="D143" s="39" t="s">
        <v>224</v>
      </c>
      <c r="E143" s="39" t="s">
        <v>528</v>
      </c>
      <c r="F143" s="39" t="s">
        <v>326</v>
      </c>
      <c r="G143" s="39" t="s">
        <v>327</v>
      </c>
      <c r="H143" s="39" t="s">
        <v>627</v>
      </c>
      <c r="I143" s="39" t="s">
        <v>229</v>
      </c>
    </row>
    <row r="144" ht="15.75" hidden="1" customHeight="1">
      <c r="A144" s="36">
        <v>3104166.0</v>
      </c>
      <c r="B144" s="37" t="s">
        <v>391</v>
      </c>
      <c r="C144" s="37" t="s">
        <v>628</v>
      </c>
      <c r="D144" s="37" t="s">
        <v>224</v>
      </c>
      <c r="E144" s="37" t="s">
        <v>393</v>
      </c>
      <c r="F144" s="37" t="s">
        <v>249</v>
      </c>
      <c r="G144" s="37" t="s">
        <v>250</v>
      </c>
      <c r="H144" s="37" t="s">
        <v>629</v>
      </c>
      <c r="I144" s="37" t="s">
        <v>229</v>
      </c>
    </row>
    <row r="145" ht="15.75" hidden="1" customHeight="1">
      <c r="A145" s="38">
        <v>3671369.0</v>
      </c>
      <c r="B145" s="39" t="s">
        <v>239</v>
      </c>
      <c r="C145" s="39" t="s">
        <v>630</v>
      </c>
      <c r="D145" s="39" t="s">
        <v>224</v>
      </c>
      <c r="E145" s="39" t="s">
        <v>241</v>
      </c>
      <c r="F145" s="39" t="s">
        <v>242</v>
      </c>
      <c r="G145" s="39" t="s">
        <v>227</v>
      </c>
      <c r="H145" s="39" t="s">
        <v>631</v>
      </c>
      <c r="I145" s="39" t="s">
        <v>229</v>
      </c>
    </row>
    <row r="146" ht="15.75" hidden="1" customHeight="1">
      <c r="A146" s="36">
        <v>3112109.0</v>
      </c>
      <c r="B146" s="37" t="s">
        <v>632</v>
      </c>
      <c r="C146" s="37" t="s">
        <v>633</v>
      </c>
      <c r="D146" s="37" t="s">
        <v>224</v>
      </c>
      <c r="E146" s="37" t="s">
        <v>634</v>
      </c>
      <c r="F146" s="37" t="s">
        <v>257</v>
      </c>
      <c r="G146" s="37" t="s">
        <v>258</v>
      </c>
      <c r="H146" s="37" t="s">
        <v>635</v>
      </c>
      <c r="I146" s="37" t="s">
        <v>260</v>
      </c>
    </row>
    <row r="147" ht="15.75" hidden="1" customHeight="1">
      <c r="A147" s="38">
        <v>3754441.0</v>
      </c>
      <c r="B147" s="39" t="s">
        <v>239</v>
      </c>
      <c r="C147" s="39" t="s">
        <v>636</v>
      </c>
      <c r="D147" s="39" t="s">
        <v>224</v>
      </c>
      <c r="E147" s="39" t="s">
        <v>241</v>
      </c>
      <c r="F147" s="39" t="s">
        <v>242</v>
      </c>
      <c r="G147" s="39" t="s">
        <v>227</v>
      </c>
      <c r="H147" s="39" t="s">
        <v>637</v>
      </c>
      <c r="I147" s="39" t="s">
        <v>229</v>
      </c>
    </row>
    <row r="148" ht="15.75" hidden="1" customHeight="1">
      <c r="A148" s="36">
        <v>3115262.0</v>
      </c>
      <c r="B148" s="37" t="s">
        <v>323</v>
      </c>
      <c r="C148" s="37" t="s">
        <v>638</v>
      </c>
      <c r="D148" s="37" t="s">
        <v>224</v>
      </c>
      <c r="E148" s="37" t="s">
        <v>325</v>
      </c>
      <c r="F148" s="37" t="s">
        <v>326</v>
      </c>
      <c r="G148" s="37" t="s">
        <v>327</v>
      </c>
      <c r="H148" s="37" t="s">
        <v>639</v>
      </c>
      <c r="I148" s="37" t="s">
        <v>229</v>
      </c>
    </row>
    <row r="149" ht="15.75" hidden="1" customHeight="1">
      <c r="A149" s="38">
        <v>3866230.0</v>
      </c>
      <c r="B149" s="39" t="s">
        <v>239</v>
      </c>
      <c r="C149" s="39" t="s">
        <v>640</v>
      </c>
      <c r="D149" s="39" t="s">
        <v>234</v>
      </c>
      <c r="E149" s="39" t="s">
        <v>241</v>
      </c>
      <c r="F149" s="39" t="s">
        <v>242</v>
      </c>
      <c r="G149" s="39" t="s">
        <v>227</v>
      </c>
      <c r="H149" s="39" t="s">
        <v>641</v>
      </c>
      <c r="I149" s="39" t="s">
        <v>229</v>
      </c>
    </row>
    <row r="150" ht="15.75" hidden="1" customHeight="1">
      <c r="A150" s="36">
        <v>3123300.0</v>
      </c>
      <c r="B150" s="37" t="s">
        <v>121</v>
      </c>
      <c r="C150" s="37" t="s">
        <v>642</v>
      </c>
      <c r="D150" s="37" t="s">
        <v>224</v>
      </c>
      <c r="E150" s="37" t="s">
        <v>643</v>
      </c>
      <c r="F150" s="37" t="s">
        <v>644</v>
      </c>
      <c r="G150" s="37" t="s">
        <v>3</v>
      </c>
      <c r="H150" s="37" t="s">
        <v>645</v>
      </c>
      <c r="I150" s="37" t="s">
        <v>260</v>
      </c>
      <c r="J150" s="1">
        <v>42.0</v>
      </c>
      <c r="L150" s="40" t="s">
        <v>116</v>
      </c>
    </row>
    <row r="151" ht="15.75" hidden="1" customHeight="1">
      <c r="A151" s="38">
        <v>4093815.0</v>
      </c>
      <c r="B151" s="39" t="s">
        <v>239</v>
      </c>
      <c r="C151" s="39" t="s">
        <v>646</v>
      </c>
      <c r="D151" s="39" t="s">
        <v>224</v>
      </c>
      <c r="E151" s="39" t="s">
        <v>241</v>
      </c>
      <c r="F151" s="39" t="s">
        <v>242</v>
      </c>
      <c r="G151" s="39" t="s">
        <v>227</v>
      </c>
      <c r="H151" s="39" t="s">
        <v>647</v>
      </c>
      <c r="I151" s="39" t="s">
        <v>229</v>
      </c>
    </row>
    <row r="152" ht="15.75" hidden="1" customHeight="1">
      <c r="A152" s="36">
        <v>3125870.0</v>
      </c>
      <c r="B152" s="37" t="s">
        <v>526</v>
      </c>
      <c r="C152" s="37" t="s">
        <v>648</v>
      </c>
      <c r="D152" s="37" t="s">
        <v>224</v>
      </c>
      <c r="E152" s="37" t="s">
        <v>649</v>
      </c>
      <c r="F152" s="37" t="s">
        <v>326</v>
      </c>
      <c r="G152" s="37" t="s">
        <v>327</v>
      </c>
      <c r="H152" s="37" t="s">
        <v>650</v>
      </c>
      <c r="I152" s="37" t="s">
        <v>229</v>
      </c>
    </row>
    <row r="153" ht="15.75" hidden="1" customHeight="1">
      <c r="A153" s="38">
        <v>5197890.0</v>
      </c>
      <c r="B153" s="39" t="s">
        <v>239</v>
      </c>
      <c r="C153" s="39" t="s">
        <v>651</v>
      </c>
      <c r="D153" s="39" t="s">
        <v>224</v>
      </c>
      <c r="E153" s="39" t="s">
        <v>241</v>
      </c>
      <c r="F153" s="39" t="s">
        <v>242</v>
      </c>
      <c r="G153" s="39" t="s">
        <v>227</v>
      </c>
      <c r="H153" s="39" t="s">
        <v>652</v>
      </c>
      <c r="I153" s="39" t="s">
        <v>229</v>
      </c>
    </row>
    <row r="154" ht="15.75" hidden="1" customHeight="1">
      <c r="A154" s="36">
        <v>3129228.0</v>
      </c>
      <c r="B154" s="37" t="s">
        <v>425</v>
      </c>
      <c r="C154" s="37" t="s">
        <v>653</v>
      </c>
      <c r="D154" s="37" t="s">
        <v>224</v>
      </c>
      <c r="E154" s="37" t="s">
        <v>427</v>
      </c>
      <c r="F154" s="37" t="s">
        <v>312</v>
      </c>
      <c r="G154" s="37" t="s">
        <v>3</v>
      </c>
      <c r="H154" s="37" t="s">
        <v>654</v>
      </c>
      <c r="I154" s="37" t="s">
        <v>260</v>
      </c>
    </row>
    <row r="155" ht="15.75" hidden="1" customHeight="1">
      <c r="A155" s="38">
        <v>5102517.0</v>
      </c>
      <c r="B155" s="39" t="s">
        <v>239</v>
      </c>
      <c r="C155" s="39" t="s">
        <v>655</v>
      </c>
      <c r="D155" s="39" t="s">
        <v>269</v>
      </c>
      <c r="E155" s="39" t="s">
        <v>241</v>
      </c>
      <c r="F155" s="39" t="s">
        <v>242</v>
      </c>
      <c r="G155" s="39" t="s">
        <v>227</v>
      </c>
      <c r="H155" s="39" t="s">
        <v>656</v>
      </c>
      <c r="I155" s="39" t="s">
        <v>229</v>
      </c>
    </row>
    <row r="156" ht="15.75" hidden="1" customHeight="1">
      <c r="A156" s="36">
        <v>3139193.0</v>
      </c>
      <c r="B156" s="37" t="s">
        <v>522</v>
      </c>
      <c r="C156" s="37" t="s">
        <v>657</v>
      </c>
      <c r="D156" s="37" t="s">
        <v>224</v>
      </c>
      <c r="E156" s="37" t="s">
        <v>658</v>
      </c>
      <c r="F156" s="37" t="s">
        <v>470</v>
      </c>
      <c r="G156" s="37" t="s">
        <v>327</v>
      </c>
      <c r="H156" s="37" t="s">
        <v>659</v>
      </c>
      <c r="I156" s="37" t="s">
        <v>229</v>
      </c>
    </row>
    <row r="157" ht="15.75" hidden="1" customHeight="1">
      <c r="A157" s="38">
        <v>5103634.0</v>
      </c>
      <c r="B157" s="39" t="s">
        <v>239</v>
      </c>
      <c r="C157" s="39" t="s">
        <v>660</v>
      </c>
      <c r="D157" s="39" t="s">
        <v>224</v>
      </c>
      <c r="E157" s="39" t="s">
        <v>241</v>
      </c>
      <c r="F157" s="39" t="s">
        <v>242</v>
      </c>
      <c r="G157" s="39" t="s">
        <v>227</v>
      </c>
      <c r="H157" s="39" t="s">
        <v>661</v>
      </c>
      <c r="I157" s="39" t="s">
        <v>229</v>
      </c>
    </row>
    <row r="158" ht="15.75" hidden="1" customHeight="1">
      <c r="A158" s="36">
        <v>3144705.0</v>
      </c>
      <c r="B158" s="37" t="s">
        <v>522</v>
      </c>
      <c r="C158" s="37" t="s">
        <v>662</v>
      </c>
      <c r="D158" s="37" t="s">
        <v>224</v>
      </c>
      <c r="E158" s="37" t="s">
        <v>658</v>
      </c>
      <c r="F158" s="37" t="s">
        <v>470</v>
      </c>
      <c r="G158" s="37" t="s">
        <v>327</v>
      </c>
      <c r="H158" s="37" t="s">
        <v>663</v>
      </c>
      <c r="I158" s="37" t="s">
        <v>229</v>
      </c>
    </row>
    <row r="159" ht="15.75" hidden="1" customHeight="1">
      <c r="A159" s="38">
        <v>4755132.0</v>
      </c>
      <c r="B159" s="39" t="s">
        <v>239</v>
      </c>
      <c r="C159" s="39" t="s">
        <v>664</v>
      </c>
      <c r="D159" s="39" t="s">
        <v>224</v>
      </c>
      <c r="E159" s="39" t="s">
        <v>241</v>
      </c>
      <c r="F159" s="39" t="s">
        <v>242</v>
      </c>
      <c r="G159" s="39" t="s">
        <v>227</v>
      </c>
      <c r="H159" s="39" t="s">
        <v>665</v>
      </c>
      <c r="I159" s="39" t="s">
        <v>229</v>
      </c>
    </row>
    <row r="160" ht="15.75" hidden="1" customHeight="1">
      <c r="A160" s="36">
        <v>3144719.0</v>
      </c>
      <c r="B160" s="37" t="s">
        <v>526</v>
      </c>
      <c r="C160" s="37" t="s">
        <v>666</v>
      </c>
      <c r="D160" s="37" t="s">
        <v>224</v>
      </c>
      <c r="E160" s="37" t="s">
        <v>667</v>
      </c>
      <c r="F160" s="37" t="s">
        <v>326</v>
      </c>
      <c r="G160" s="37" t="s">
        <v>327</v>
      </c>
      <c r="H160" s="37" t="s">
        <v>668</v>
      </c>
      <c r="I160" s="37" t="s">
        <v>229</v>
      </c>
    </row>
    <row r="161" ht="15.75" hidden="1" customHeight="1">
      <c r="A161" s="38">
        <v>5508880.0</v>
      </c>
      <c r="B161" s="39" t="s">
        <v>239</v>
      </c>
      <c r="C161" s="39" t="s">
        <v>669</v>
      </c>
      <c r="D161" s="39" t="s">
        <v>224</v>
      </c>
      <c r="E161" s="39" t="s">
        <v>241</v>
      </c>
      <c r="F161" s="39" t="s">
        <v>242</v>
      </c>
      <c r="G161" s="39" t="s">
        <v>227</v>
      </c>
      <c r="H161" s="39" t="s">
        <v>670</v>
      </c>
      <c r="I161" s="39" t="s">
        <v>229</v>
      </c>
    </row>
    <row r="162" ht="15.75" hidden="1" customHeight="1">
      <c r="A162" s="36">
        <v>3144735.0</v>
      </c>
      <c r="B162" s="37" t="s">
        <v>485</v>
      </c>
      <c r="C162" s="37" t="s">
        <v>671</v>
      </c>
      <c r="D162" s="37" t="s">
        <v>224</v>
      </c>
      <c r="E162" s="37" t="s">
        <v>672</v>
      </c>
      <c r="F162" s="37" t="s">
        <v>470</v>
      </c>
      <c r="G162" s="37" t="s">
        <v>327</v>
      </c>
      <c r="H162" s="37" t="s">
        <v>673</v>
      </c>
      <c r="I162" s="37" t="s">
        <v>229</v>
      </c>
    </row>
    <row r="163" ht="15.75" hidden="1" customHeight="1">
      <c r="A163" s="38">
        <v>4827401.0</v>
      </c>
      <c r="B163" s="39" t="s">
        <v>239</v>
      </c>
      <c r="C163" s="39" t="s">
        <v>674</v>
      </c>
      <c r="D163" s="39" t="s">
        <v>224</v>
      </c>
      <c r="E163" s="39" t="s">
        <v>241</v>
      </c>
      <c r="F163" s="39" t="s">
        <v>242</v>
      </c>
      <c r="G163" s="39" t="s">
        <v>227</v>
      </c>
      <c r="H163" s="39" t="s">
        <v>675</v>
      </c>
      <c r="I163" s="39" t="s">
        <v>229</v>
      </c>
    </row>
    <row r="164" ht="15.75" hidden="1" customHeight="1">
      <c r="A164" s="36">
        <v>3147908.0</v>
      </c>
      <c r="B164" s="37" t="s">
        <v>676</v>
      </c>
      <c r="C164" s="37" t="s">
        <v>677</v>
      </c>
      <c r="D164" s="37" t="s">
        <v>224</v>
      </c>
      <c r="E164" s="37" t="s">
        <v>678</v>
      </c>
      <c r="F164" s="37" t="s">
        <v>679</v>
      </c>
      <c r="G164" s="37" t="s">
        <v>301</v>
      </c>
      <c r="H164" s="37" t="s">
        <v>680</v>
      </c>
      <c r="I164" s="37" t="s">
        <v>229</v>
      </c>
    </row>
    <row r="165" ht="15.75" hidden="1" customHeight="1">
      <c r="A165" s="38">
        <v>5611095.0</v>
      </c>
      <c r="B165" s="39" t="s">
        <v>239</v>
      </c>
      <c r="C165" s="39" t="s">
        <v>681</v>
      </c>
      <c r="D165" s="39" t="s">
        <v>224</v>
      </c>
      <c r="E165" s="39" t="s">
        <v>241</v>
      </c>
      <c r="F165" s="39" t="s">
        <v>242</v>
      </c>
      <c r="G165" s="39" t="s">
        <v>227</v>
      </c>
      <c r="H165" s="39" t="s">
        <v>682</v>
      </c>
      <c r="I165" s="39" t="s">
        <v>229</v>
      </c>
    </row>
    <row r="166" ht="15.75" hidden="1" customHeight="1">
      <c r="A166" s="36">
        <v>3150056.0</v>
      </c>
      <c r="B166" s="37" t="s">
        <v>506</v>
      </c>
      <c r="C166" s="37" t="s">
        <v>683</v>
      </c>
      <c r="D166" s="37" t="s">
        <v>224</v>
      </c>
      <c r="E166" s="37" t="s">
        <v>510</v>
      </c>
      <c r="F166" s="37" t="s">
        <v>284</v>
      </c>
      <c r="G166" s="37" t="s">
        <v>3</v>
      </c>
      <c r="H166" s="37" t="s">
        <v>684</v>
      </c>
      <c r="I166" s="37" t="s">
        <v>260</v>
      </c>
      <c r="J166" s="1">
        <v>42.0</v>
      </c>
      <c r="L166" s="40" t="s">
        <v>121</v>
      </c>
    </row>
    <row r="167" ht="15.75" hidden="1" customHeight="1">
      <c r="A167" s="38">
        <v>5926036.0</v>
      </c>
      <c r="B167" s="39" t="s">
        <v>239</v>
      </c>
      <c r="C167" s="39" t="s">
        <v>685</v>
      </c>
      <c r="D167" s="39" t="s">
        <v>224</v>
      </c>
      <c r="E167" s="39" t="s">
        <v>241</v>
      </c>
      <c r="F167" s="39" t="s">
        <v>242</v>
      </c>
      <c r="G167" s="39" t="s">
        <v>227</v>
      </c>
      <c r="H167" s="39" t="s">
        <v>686</v>
      </c>
      <c r="I167" s="39" t="s">
        <v>229</v>
      </c>
    </row>
    <row r="168" ht="15.75" hidden="1" customHeight="1">
      <c r="A168" s="36">
        <v>3150082.0</v>
      </c>
      <c r="B168" s="37" t="s">
        <v>432</v>
      </c>
      <c r="C168" s="37" t="s">
        <v>687</v>
      </c>
      <c r="D168" s="37" t="s">
        <v>224</v>
      </c>
      <c r="E168" s="37" t="s">
        <v>408</v>
      </c>
      <c r="F168" s="37" t="s">
        <v>341</v>
      </c>
      <c r="G168" s="37" t="s">
        <v>3</v>
      </c>
      <c r="H168" s="37" t="s">
        <v>688</v>
      </c>
      <c r="I168" s="37" t="s">
        <v>260</v>
      </c>
      <c r="J168" s="1">
        <v>42.0</v>
      </c>
      <c r="L168" s="40" t="s">
        <v>506</v>
      </c>
    </row>
    <row r="169" ht="15.75" hidden="1" customHeight="1">
      <c r="A169" s="38">
        <v>5332101.0</v>
      </c>
      <c r="B169" s="39" t="s">
        <v>239</v>
      </c>
      <c r="C169" s="39" t="s">
        <v>689</v>
      </c>
      <c r="D169" s="39" t="s">
        <v>224</v>
      </c>
      <c r="E169" s="39" t="s">
        <v>241</v>
      </c>
      <c r="F169" s="39" t="s">
        <v>242</v>
      </c>
      <c r="G169" s="39" t="s">
        <v>227</v>
      </c>
      <c r="H169" s="39" t="s">
        <v>690</v>
      </c>
      <c r="I169" s="39" t="s">
        <v>229</v>
      </c>
    </row>
    <row r="170" ht="15.75" hidden="1" customHeight="1">
      <c r="A170" s="36">
        <v>3150088.0</v>
      </c>
      <c r="B170" s="37" t="s">
        <v>401</v>
      </c>
      <c r="C170" s="37" t="s">
        <v>691</v>
      </c>
      <c r="D170" s="37" t="s">
        <v>224</v>
      </c>
      <c r="E170" s="37" t="s">
        <v>403</v>
      </c>
      <c r="F170" s="37" t="s">
        <v>377</v>
      </c>
      <c r="G170" s="37" t="s">
        <v>327</v>
      </c>
      <c r="H170" s="37" t="s">
        <v>692</v>
      </c>
      <c r="I170" s="37" t="s">
        <v>229</v>
      </c>
    </row>
    <row r="171" ht="15.75" hidden="1" customHeight="1">
      <c r="A171" s="38">
        <v>5538413.0</v>
      </c>
      <c r="B171" s="39" t="s">
        <v>239</v>
      </c>
      <c r="C171" s="39" t="s">
        <v>693</v>
      </c>
      <c r="D171" s="39" t="s">
        <v>224</v>
      </c>
      <c r="E171" s="39" t="s">
        <v>241</v>
      </c>
      <c r="F171" s="39" t="s">
        <v>242</v>
      </c>
      <c r="G171" s="39" t="s">
        <v>227</v>
      </c>
      <c r="H171" s="39" t="s">
        <v>694</v>
      </c>
      <c r="I171" s="39" t="s">
        <v>229</v>
      </c>
    </row>
    <row r="172" ht="15.75" hidden="1" customHeight="1">
      <c r="A172" s="36">
        <v>3150380.0</v>
      </c>
      <c r="B172" s="37" t="s">
        <v>695</v>
      </c>
      <c r="C172" s="37" t="s">
        <v>696</v>
      </c>
      <c r="D172" s="37" t="s">
        <v>224</v>
      </c>
      <c r="E172" s="37" t="s">
        <v>697</v>
      </c>
      <c r="F172" s="37" t="s">
        <v>698</v>
      </c>
      <c r="G172" s="37" t="s">
        <v>541</v>
      </c>
      <c r="H172" s="37" t="s">
        <v>699</v>
      </c>
      <c r="I172" s="37" t="s">
        <v>229</v>
      </c>
    </row>
    <row r="173" ht="15.75" hidden="1" customHeight="1">
      <c r="A173" s="38">
        <v>5616321.0</v>
      </c>
      <c r="B173" s="39" t="s">
        <v>239</v>
      </c>
      <c r="C173" s="39" t="s">
        <v>700</v>
      </c>
      <c r="D173" s="39" t="s">
        <v>224</v>
      </c>
      <c r="E173" s="39" t="s">
        <v>241</v>
      </c>
      <c r="F173" s="39" t="s">
        <v>242</v>
      </c>
      <c r="G173" s="39" t="s">
        <v>227</v>
      </c>
      <c r="H173" s="39" t="s">
        <v>701</v>
      </c>
      <c r="I173" s="39" t="s">
        <v>229</v>
      </c>
    </row>
    <row r="174" ht="15.75" hidden="1" customHeight="1">
      <c r="A174" s="36">
        <v>3155793.0</v>
      </c>
      <c r="B174" s="37" t="s">
        <v>485</v>
      </c>
      <c r="C174" s="37" t="s">
        <v>702</v>
      </c>
      <c r="D174" s="37" t="s">
        <v>224</v>
      </c>
      <c r="E174" s="37" t="s">
        <v>487</v>
      </c>
      <c r="F174" s="37" t="s">
        <v>470</v>
      </c>
      <c r="G174" s="37" t="s">
        <v>327</v>
      </c>
      <c r="H174" s="37" t="s">
        <v>703</v>
      </c>
      <c r="I174" s="37" t="s">
        <v>229</v>
      </c>
    </row>
    <row r="175" ht="15.75" hidden="1" customHeight="1">
      <c r="A175" s="38">
        <v>5804395.0</v>
      </c>
      <c r="B175" s="39" t="s">
        <v>239</v>
      </c>
      <c r="C175" s="39" t="s">
        <v>704</v>
      </c>
      <c r="D175" s="39" t="s">
        <v>224</v>
      </c>
      <c r="E175" s="39" t="s">
        <v>241</v>
      </c>
      <c r="F175" s="39" t="s">
        <v>242</v>
      </c>
      <c r="G175" s="39" t="s">
        <v>227</v>
      </c>
      <c r="H175" s="39" t="s">
        <v>705</v>
      </c>
      <c r="I175" s="39" t="s">
        <v>229</v>
      </c>
    </row>
    <row r="176" ht="15.75" hidden="1" customHeight="1">
      <c r="A176" s="36">
        <v>3159760.0</v>
      </c>
      <c r="B176" s="37" t="s">
        <v>485</v>
      </c>
      <c r="C176" s="37" t="s">
        <v>706</v>
      </c>
      <c r="D176" s="37" t="s">
        <v>224</v>
      </c>
      <c r="E176" s="37" t="s">
        <v>672</v>
      </c>
      <c r="F176" s="37" t="s">
        <v>470</v>
      </c>
      <c r="G176" s="37" t="s">
        <v>327</v>
      </c>
      <c r="H176" s="37" t="s">
        <v>707</v>
      </c>
      <c r="I176" s="37" t="s">
        <v>229</v>
      </c>
    </row>
    <row r="177" ht="15.75" hidden="1" customHeight="1">
      <c r="A177" s="38">
        <v>5458108.0</v>
      </c>
      <c r="B177" s="39" t="s">
        <v>239</v>
      </c>
      <c r="C177" s="39" t="s">
        <v>708</v>
      </c>
      <c r="D177" s="39" t="s">
        <v>224</v>
      </c>
      <c r="E177" s="39" t="s">
        <v>241</v>
      </c>
      <c r="F177" s="39" t="s">
        <v>242</v>
      </c>
      <c r="G177" s="39" t="s">
        <v>227</v>
      </c>
      <c r="H177" s="39" t="s">
        <v>709</v>
      </c>
      <c r="I177" s="39" t="s">
        <v>229</v>
      </c>
    </row>
    <row r="178" ht="15.75" hidden="1" customHeight="1">
      <c r="A178" s="36">
        <v>3159907.0</v>
      </c>
      <c r="B178" s="37" t="s">
        <v>478</v>
      </c>
      <c r="C178" s="37" t="s">
        <v>710</v>
      </c>
      <c r="D178" s="37" t="s">
        <v>224</v>
      </c>
      <c r="E178" s="37" t="s">
        <v>711</v>
      </c>
      <c r="F178" s="37" t="s">
        <v>481</v>
      </c>
      <c r="G178" s="37" t="s">
        <v>293</v>
      </c>
      <c r="H178" s="37" t="s">
        <v>712</v>
      </c>
      <c r="I178" s="37" t="s">
        <v>229</v>
      </c>
    </row>
    <row r="179" ht="15.75" hidden="1" customHeight="1">
      <c r="A179" s="38">
        <v>5047169.0</v>
      </c>
      <c r="B179" s="39" t="s">
        <v>239</v>
      </c>
      <c r="C179" s="39" t="s">
        <v>713</v>
      </c>
      <c r="D179" s="39" t="s">
        <v>224</v>
      </c>
      <c r="E179" s="39" t="s">
        <v>241</v>
      </c>
      <c r="F179" s="39" t="s">
        <v>242</v>
      </c>
      <c r="G179" s="39" t="s">
        <v>227</v>
      </c>
      <c r="H179" s="39" t="s">
        <v>714</v>
      </c>
      <c r="I179" s="39" t="s">
        <v>229</v>
      </c>
    </row>
    <row r="180" ht="15.75" hidden="1" customHeight="1">
      <c r="A180" s="36">
        <v>3160386.0</v>
      </c>
      <c r="B180" s="37" t="s">
        <v>276</v>
      </c>
      <c r="C180" s="37" t="s">
        <v>715</v>
      </c>
      <c r="D180" s="37" t="s">
        <v>224</v>
      </c>
      <c r="E180" s="37" t="s">
        <v>634</v>
      </c>
      <c r="F180" s="37" t="s">
        <v>257</v>
      </c>
      <c r="G180" s="37" t="s">
        <v>258</v>
      </c>
      <c r="H180" s="37" t="s">
        <v>716</v>
      </c>
      <c r="I180" s="37" t="s">
        <v>260</v>
      </c>
    </row>
    <row r="181" ht="15.75" hidden="1" customHeight="1">
      <c r="A181" s="38">
        <v>5361509.0</v>
      </c>
      <c r="B181" s="39" t="s">
        <v>239</v>
      </c>
      <c r="C181" s="39" t="s">
        <v>717</v>
      </c>
      <c r="D181" s="39" t="s">
        <v>224</v>
      </c>
      <c r="E181" s="39" t="s">
        <v>241</v>
      </c>
      <c r="F181" s="39" t="s">
        <v>242</v>
      </c>
      <c r="G181" s="39" t="s">
        <v>227</v>
      </c>
      <c r="H181" s="39" t="s">
        <v>718</v>
      </c>
      <c r="I181" s="39" t="s">
        <v>229</v>
      </c>
    </row>
    <row r="182" ht="15.75" hidden="1" customHeight="1">
      <c r="A182" s="36">
        <v>4417493.0</v>
      </c>
      <c r="B182" s="37" t="s">
        <v>239</v>
      </c>
      <c r="C182" s="37" t="s">
        <v>719</v>
      </c>
      <c r="D182" s="37" t="s">
        <v>224</v>
      </c>
      <c r="E182" s="37" t="s">
        <v>241</v>
      </c>
      <c r="F182" s="37" t="s">
        <v>242</v>
      </c>
      <c r="G182" s="37" t="s">
        <v>227</v>
      </c>
      <c r="H182" s="37" t="s">
        <v>720</v>
      </c>
      <c r="I182" s="37" t="s">
        <v>229</v>
      </c>
    </row>
    <row r="183" ht="15.75" hidden="1" customHeight="1">
      <c r="A183" s="38">
        <v>5702857.0</v>
      </c>
      <c r="B183" s="39" t="s">
        <v>289</v>
      </c>
      <c r="C183" s="39" t="s">
        <v>721</v>
      </c>
      <c r="D183" s="39" t="s">
        <v>224</v>
      </c>
      <c r="E183" s="39" t="s">
        <v>722</v>
      </c>
      <c r="F183" s="39" t="s">
        <v>292</v>
      </c>
      <c r="G183" s="39" t="s">
        <v>293</v>
      </c>
      <c r="H183" s="39" t="s">
        <v>723</v>
      </c>
      <c r="I183" s="39" t="s">
        <v>229</v>
      </c>
    </row>
    <row r="184" ht="15.75" hidden="1" customHeight="1">
      <c r="A184" s="36">
        <v>3193947.0</v>
      </c>
      <c r="B184" s="37" t="s">
        <v>724</v>
      </c>
      <c r="C184" s="37" t="s">
        <v>725</v>
      </c>
      <c r="D184" s="37" t="s">
        <v>224</v>
      </c>
      <c r="E184" s="37" t="s">
        <v>726</v>
      </c>
      <c r="F184" s="37" t="s">
        <v>266</v>
      </c>
      <c r="G184" s="37" t="s">
        <v>250</v>
      </c>
      <c r="H184" s="37" t="s">
        <v>727</v>
      </c>
      <c r="I184" s="37" t="s">
        <v>229</v>
      </c>
    </row>
    <row r="185" ht="15.75" hidden="1" customHeight="1">
      <c r="A185" s="38">
        <v>4485955.0</v>
      </c>
      <c r="B185" s="39" t="s">
        <v>289</v>
      </c>
      <c r="C185" s="39" t="s">
        <v>728</v>
      </c>
      <c r="D185" s="39" t="s">
        <v>224</v>
      </c>
      <c r="E185" s="39" t="s">
        <v>722</v>
      </c>
      <c r="F185" s="39" t="s">
        <v>292</v>
      </c>
      <c r="G185" s="39" t="s">
        <v>293</v>
      </c>
      <c r="H185" s="39" t="s">
        <v>729</v>
      </c>
      <c r="I185" s="39" t="s">
        <v>229</v>
      </c>
    </row>
    <row r="186" ht="15.75" hidden="1" customHeight="1">
      <c r="A186" s="36">
        <v>3194171.0</v>
      </c>
      <c r="B186" s="37" t="s">
        <v>246</v>
      </c>
      <c r="C186" s="37" t="s">
        <v>730</v>
      </c>
      <c r="D186" s="37" t="s">
        <v>224</v>
      </c>
      <c r="E186" s="37" t="s">
        <v>248</v>
      </c>
      <c r="F186" s="37" t="s">
        <v>249</v>
      </c>
      <c r="G186" s="37" t="s">
        <v>250</v>
      </c>
      <c r="H186" s="37" t="s">
        <v>731</v>
      </c>
      <c r="I186" s="37" t="s">
        <v>229</v>
      </c>
    </row>
    <row r="187" ht="15.75" hidden="1" customHeight="1">
      <c r="A187" s="38">
        <v>4766392.0</v>
      </c>
      <c r="B187" s="39" t="s">
        <v>289</v>
      </c>
      <c r="C187" s="39" t="s">
        <v>732</v>
      </c>
      <c r="D187" s="39" t="s">
        <v>224</v>
      </c>
      <c r="E187" s="39" t="s">
        <v>722</v>
      </c>
      <c r="F187" s="39" t="s">
        <v>292</v>
      </c>
      <c r="G187" s="39" t="s">
        <v>293</v>
      </c>
      <c r="H187" s="39" t="s">
        <v>733</v>
      </c>
      <c r="I187" s="39" t="s">
        <v>229</v>
      </c>
    </row>
    <row r="188" ht="15.75" hidden="1" customHeight="1">
      <c r="A188" s="36">
        <v>3194289.0</v>
      </c>
      <c r="B188" s="37" t="s">
        <v>297</v>
      </c>
      <c r="C188" s="37" t="s">
        <v>734</v>
      </c>
      <c r="D188" s="37" t="s">
        <v>224</v>
      </c>
      <c r="E188" s="37" t="s">
        <v>299</v>
      </c>
      <c r="F188" s="37" t="s">
        <v>300</v>
      </c>
      <c r="G188" s="37" t="s">
        <v>301</v>
      </c>
      <c r="H188" s="37" t="s">
        <v>735</v>
      </c>
      <c r="I188" s="37" t="s">
        <v>229</v>
      </c>
    </row>
    <row r="189" ht="15.75" hidden="1" customHeight="1">
      <c r="A189" s="38">
        <v>4684312.0</v>
      </c>
      <c r="B189" s="39" t="s">
        <v>289</v>
      </c>
      <c r="C189" s="39" t="s">
        <v>736</v>
      </c>
      <c r="D189" s="39" t="s">
        <v>224</v>
      </c>
      <c r="E189" s="39" t="s">
        <v>722</v>
      </c>
      <c r="F189" s="39" t="s">
        <v>292</v>
      </c>
      <c r="G189" s="39" t="s">
        <v>293</v>
      </c>
      <c r="H189" s="39" t="s">
        <v>737</v>
      </c>
      <c r="I189" s="39" t="s">
        <v>229</v>
      </c>
    </row>
    <row r="190" ht="15.75" hidden="1" customHeight="1">
      <c r="A190" s="36">
        <v>3195290.0</v>
      </c>
      <c r="B190" s="37" t="s">
        <v>738</v>
      </c>
      <c r="C190" s="37" t="s">
        <v>739</v>
      </c>
      <c r="D190" s="37" t="s">
        <v>224</v>
      </c>
      <c r="E190" s="37" t="s">
        <v>740</v>
      </c>
      <c r="F190" s="37" t="s">
        <v>533</v>
      </c>
      <c r="G190" s="37" t="s">
        <v>250</v>
      </c>
      <c r="H190" s="37" t="s">
        <v>741</v>
      </c>
      <c r="I190" s="37" t="s">
        <v>229</v>
      </c>
    </row>
    <row r="191" ht="15.75" hidden="1" customHeight="1">
      <c r="A191" s="38">
        <v>5481708.0</v>
      </c>
      <c r="B191" s="39" t="s">
        <v>289</v>
      </c>
      <c r="C191" s="39" t="s">
        <v>742</v>
      </c>
      <c r="D191" s="39" t="s">
        <v>224</v>
      </c>
      <c r="E191" s="39" t="s">
        <v>722</v>
      </c>
      <c r="F191" s="39" t="s">
        <v>292</v>
      </c>
      <c r="G191" s="39" t="s">
        <v>293</v>
      </c>
      <c r="H191" s="39" t="s">
        <v>743</v>
      </c>
      <c r="I191" s="39" t="s">
        <v>229</v>
      </c>
    </row>
    <row r="192" ht="15.75" customHeight="1">
      <c r="A192" s="36">
        <v>3195695.0</v>
      </c>
      <c r="B192" s="37" t="s">
        <v>13</v>
      </c>
      <c r="C192" s="37" t="s">
        <v>31</v>
      </c>
      <c r="D192" s="37" t="s">
        <v>224</v>
      </c>
      <c r="E192" s="37" t="s">
        <v>357</v>
      </c>
      <c r="F192" s="37" t="s">
        <v>341</v>
      </c>
      <c r="G192" s="37" t="s">
        <v>3</v>
      </c>
      <c r="H192" s="37" t="s">
        <v>744</v>
      </c>
      <c r="I192" s="37" t="s">
        <v>260</v>
      </c>
      <c r="J192" s="1">
        <v>42.0</v>
      </c>
      <c r="L192" s="40" t="s">
        <v>432</v>
      </c>
    </row>
    <row r="193" ht="15.75" hidden="1" customHeight="1">
      <c r="A193" s="38">
        <v>4961379.0</v>
      </c>
      <c r="B193" s="39" t="s">
        <v>289</v>
      </c>
      <c r="C193" s="39" t="s">
        <v>745</v>
      </c>
      <c r="D193" s="39" t="s">
        <v>224</v>
      </c>
      <c r="E193" s="39" t="s">
        <v>722</v>
      </c>
      <c r="F193" s="39" t="s">
        <v>292</v>
      </c>
      <c r="G193" s="39" t="s">
        <v>293</v>
      </c>
      <c r="H193" s="39" t="s">
        <v>746</v>
      </c>
      <c r="I193" s="39" t="s">
        <v>229</v>
      </c>
    </row>
    <row r="194" ht="15.75" hidden="1" customHeight="1">
      <c r="A194" s="36">
        <v>3227012.0</v>
      </c>
      <c r="B194" s="37" t="s">
        <v>297</v>
      </c>
      <c r="C194" s="37" t="s">
        <v>747</v>
      </c>
      <c r="D194" s="37" t="s">
        <v>224</v>
      </c>
      <c r="E194" s="37" t="s">
        <v>299</v>
      </c>
      <c r="F194" s="37" t="s">
        <v>300</v>
      </c>
      <c r="G194" s="37" t="s">
        <v>301</v>
      </c>
      <c r="H194" s="37" t="s">
        <v>748</v>
      </c>
      <c r="I194" s="37" t="s">
        <v>229</v>
      </c>
    </row>
    <row r="195" ht="15.75" hidden="1" customHeight="1">
      <c r="A195" s="38">
        <v>5016450.0</v>
      </c>
      <c r="B195" s="39" t="s">
        <v>289</v>
      </c>
      <c r="C195" s="39" t="s">
        <v>749</v>
      </c>
      <c r="D195" s="39" t="s">
        <v>224</v>
      </c>
      <c r="E195" s="39" t="s">
        <v>722</v>
      </c>
      <c r="F195" s="39" t="s">
        <v>292</v>
      </c>
      <c r="G195" s="39" t="s">
        <v>293</v>
      </c>
      <c r="H195" s="39" t="s">
        <v>750</v>
      </c>
      <c r="I195" s="39" t="s">
        <v>229</v>
      </c>
    </row>
    <row r="196" ht="15.75" hidden="1" customHeight="1">
      <c r="A196" s="36">
        <v>3235609.0</v>
      </c>
      <c r="B196" s="37" t="s">
        <v>254</v>
      </c>
      <c r="C196" s="37" t="s">
        <v>751</v>
      </c>
      <c r="D196" s="37" t="s">
        <v>224</v>
      </c>
      <c r="E196" s="37" t="s">
        <v>443</v>
      </c>
      <c r="F196" s="37" t="s">
        <v>257</v>
      </c>
      <c r="G196" s="37" t="s">
        <v>258</v>
      </c>
      <c r="H196" s="37" t="s">
        <v>752</v>
      </c>
      <c r="I196" s="37" t="s">
        <v>260</v>
      </c>
    </row>
    <row r="197" ht="15.75" hidden="1" customHeight="1">
      <c r="A197" s="38">
        <v>5702878.0</v>
      </c>
      <c r="B197" s="39" t="s">
        <v>289</v>
      </c>
      <c r="C197" s="39" t="s">
        <v>753</v>
      </c>
      <c r="D197" s="39" t="s">
        <v>224</v>
      </c>
      <c r="E197" s="39" t="s">
        <v>722</v>
      </c>
      <c r="F197" s="39" t="s">
        <v>292</v>
      </c>
      <c r="G197" s="39" t="s">
        <v>293</v>
      </c>
      <c r="H197" s="39" t="s">
        <v>754</v>
      </c>
      <c r="I197" s="39" t="s">
        <v>229</v>
      </c>
    </row>
    <row r="198" ht="15.75" hidden="1" customHeight="1">
      <c r="A198" s="36">
        <v>3242300.0</v>
      </c>
      <c r="B198" s="37" t="s">
        <v>514</v>
      </c>
      <c r="C198" s="37" t="s">
        <v>755</v>
      </c>
      <c r="D198" s="37" t="s">
        <v>224</v>
      </c>
      <c r="E198" s="37" t="s">
        <v>756</v>
      </c>
      <c r="F198" s="37" t="s">
        <v>300</v>
      </c>
      <c r="G198" s="37" t="s">
        <v>301</v>
      </c>
      <c r="H198" s="37" t="s">
        <v>757</v>
      </c>
      <c r="I198" s="37" t="s">
        <v>229</v>
      </c>
    </row>
    <row r="199" ht="15.75" hidden="1" customHeight="1">
      <c r="A199" s="38">
        <v>5141768.0</v>
      </c>
      <c r="B199" s="39" t="s">
        <v>289</v>
      </c>
      <c r="C199" s="39" t="s">
        <v>758</v>
      </c>
      <c r="D199" s="39" t="s">
        <v>224</v>
      </c>
      <c r="E199" s="39" t="s">
        <v>722</v>
      </c>
      <c r="F199" s="39" t="s">
        <v>292</v>
      </c>
      <c r="G199" s="39" t="s">
        <v>293</v>
      </c>
      <c r="H199" s="39" t="s">
        <v>759</v>
      </c>
      <c r="I199" s="39" t="s">
        <v>229</v>
      </c>
    </row>
    <row r="200" ht="15.75" hidden="1" customHeight="1">
      <c r="A200" s="36">
        <v>3249291.0</v>
      </c>
      <c r="B200" s="37" t="s">
        <v>316</v>
      </c>
      <c r="C200" s="37" t="s">
        <v>760</v>
      </c>
      <c r="D200" s="37" t="s">
        <v>224</v>
      </c>
      <c r="E200" s="37" t="s">
        <v>761</v>
      </c>
      <c r="F200" s="37" t="s">
        <v>293</v>
      </c>
      <c r="G200" s="37" t="s">
        <v>319</v>
      </c>
      <c r="H200" s="37" t="s">
        <v>762</v>
      </c>
      <c r="I200" s="37" t="s">
        <v>229</v>
      </c>
    </row>
    <row r="201" ht="15.75" hidden="1" customHeight="1">
      <c r="A201" s="38">
        <v>5141507.0</v>
      </c>
      <c r="B201" s="39" t="s">
        <v>289</v>
      </c>
      <c r="C201" s="39" t="s">
        <v>763</v>
      </c>
      <c r="D201" s="39" t="s">
        <v>224</v>
      </c>
      <c r="E201" s="39" t="s">
        <v>722</v>
      </c>
      <c r="F201" s="39" t="s">
        <v>292</v>
      </c>
      <c r="G201" s="39" t="s">
        <v>293</v>
      </c>
      <c r="H201" s="39" t="s">
        <v>764</v>
      </c>
      <c r="I201" s="39" t="s">
        <v>229</v>
      </c>
    </row>
    <row r="202" ht="15.75" hidden="1" customHeight="1">
      <c r="A202" s="36">
        <v>3252711.0</v>
      </c>
      <c r="B202" s="37" t="s">
        <v>514</v>
      </c>
      <c r="C202" s="37" t="s">
        <v>765</v>
      </c>
      <c r="D202" s="37" t="s">
        <v>224</v>
      </c>
      <c r="E202" s="37" t="s">
        <v>756</v>
      </c>
      <c r="F202" s="37" t="s">
        <v>300</v>
      </c>
      <c r="G202" s="37" t="s">
        <v>301</v>
      </c>
      <c r="H202" s="37" t="s">
        <v>766</v>
      </c>
      <c r="I202" s="37" t="s">
        <v>229</v>
      </c>
    </row>
    <row r="203" ht="15.75" hidden="1" customHeight="1">
      <c r="A203" s="38">
        <v>5311826.0</v>
      </c>
      <c r="B203" s="39" t="s">
        <v>289</v>
      </c>
      <c r="C203" s="39" t="s">
        <v>767</v>
      </c>
      <c r="D203" s="39" t="s">
        <v>224</v>
      </c>
      <c r="E203" s="39" t="s">
        <v>722</v>
      </c>
      <c r="F203" s="39" t="s">
        <v>292</v>
      </c>
      <c r="G203" s="39" t="s">
        <v>293</v>
      </c>
      <c r="H203" s="39" t="s">
        <v>768</v>
      </c>
      <c r="I203" s="39" t="s">
        <v>229</v>
      </c>
    </row>
    <row r="204" ht="15.75" hidden="1" customHeight="1">
      <c r="A204" s="36">
        <v>3252818.0</v>
      </c>
      <c r="B204" s="37" t="s">
        <v>514</v>
      </c>
      <c r="C204" s="37" t="s">
        <v>769</v>
      </c>
      <c r="D204" s="37" t="s">
        <v>224</v>
      </c>
      <c r="E204" s="37" t="s">
        <v>756</v>
      </c>
      <c r="F204" s="37" t="s">
        <v>300</v>
      </c>
      <c r="G204" s="37" t="s">
        <v>301</v>
      </c>
      <c r="H204" s="37" t="s">
        <v>770</v>
      </c>
      <c r="I204" s="37" t="s">
        <v>229</v>
      </c>
    </row>
    <row r="205" ht="15.75" hidden="1" customHeight="1">
      <c r="A205" s="38">
        <v>5484161.0</v>
      </c>
      <c r="B205" s="39" t="s">
        <v>289</v>
      </c>
      <c r="C205" s="39" t="s">
        <v>771</v>
      </c>
      <c r="D205" s="39" t="s">
        <v>224</v>
      </c>
      <c r="E205" s="39" t="s">
        <v>722</v>
      </c>
      <c r="F205" s="39" t="s">
        <v>292</v>
      </c>
      <c r="G205" s="39" t="s">
        <v>293</v>
      </c>
      <c r="H205" s="39" t="s">
        <v>772</v>
      </c>
      <c r="I205" s="39" t="s">
        <v>229</v>
      </c>
    </row>
    <row r="206" ht="15.75" hidden="1" customHeight="1">
      <c r="A206" s="36">
        <v>3265405.0</v>
      </c>
      <c r="B206" s="37" t="s">
        <v>289</v>
      </c>
      <c r="C206" s="37" t="s">
        <v>773</v>
      </c>
      <c r="D206" s="37" t="s">
        <v>234</v>
      </c>
      <c r="E206" s="37" t="s">
        <v>291</v>
      </c>
      <c r="F206" s="37" t="s">
        <v>292</v>
      </c>
      <c r="G206" s="37" t="s">
        <v>293</v>
      </c>
      <c r="H206" s="37" t="s">
        <v>774</v>
      </c>
      <c r="I206" s="37" t="s">
        <v>229</v>
      </c>
    </row>
    <row r="207" ht="15.75" hidden="1" customHeight="1">
      <c r="A207" s="38">
        <v>5482829.0</v>
      </c>
      <c r="B207" s="39" t="s">
        <v>289</v>
      </c>
      <c r="C207" s="39" t="s">
        <v>775</v>
      </c>
      <c r="D207" s="39" t="s">
        <v>224</v>
      </c>
      <c r="E207" s="39" t="s">
        <v>722</v>
      </c>
      <c r="F207" s="39" t="s">
        <v>292</v>
      </c>
      <c r="G207" s="39" t="s">
        <v>293</v>
      </c>
      <c r="H207" s="39" t="s">
        <v>776</v>
      </c>
      <c r="I207" s="39" t="s">
        <v>229</v>
      </c>
    </row>
    <row r="208" ht="15.75" hidden="1" customHeight="1">
      <c r="A208" s="36">
        <v>3267568.0</v>
      </c>
      <c r="B208" s="37" t="s">
        <v>297</v>
      </c>
      <c r="C208" s="37" t="s">
        <v>777</v>
      </c>
      <c r="D208" s="37" t="s">
        <v>224</v>
      </c>
      <c r="E208" s="37" t="s">
        <v>299</v>
      </c>
      <c r="F208" s="37" t="s">
        <v>300</v>
      </c>
      <c r="G208" s="37" t="s">
        <v>301</v>
      </c>
      <c r="H208" s="37" t="s">
        <v>778</v>
      </c>
      <c r="I208" s="37" t="s">
        <v>229</v>
      </c>
    </row>
    <row r="209" ht="15.75" hidden="1" customHeight="1">
      <c r="A209" s="38">
        <v>5491912.0</v>
      </c>
      <c r="B209" s="39" t="s">
        <v>289</v>
      </c>
      <c r="C209" s="39" t="s">
        <v>779</v>
      </c>
      <c r="D209" s="39" t="s">
        <v>224</v>
      </c>
      <c r="E209" s="39" t="s">
        <v>722</v>
      </c>
      <c r="F209" s="39" t="s">
        <v>292</v>
      </c>
      <c r="G209" s="39" t="s">
        <v>293</v>
      </c>
      <c r="H209" s="39" t="s">
        <v>780</v>
      </c>
      <c r="I209" s="39" t="s">
        <v>229</v>
      </c>
    </row>
    <row r="210" ht="15.75" hidden="1" customHeight="1">
      <c r="A210" s="36">
        <v>3271041.0</v>
      </c>
      <c r="B210" s="37" t="s">
        <v>738</v>
      </c>
      <c r="C210" s="37" t="s">
        <v>781</v>
      </c>
      <c r="D210" s="37" t="s">
        <v>224</v>
      </c>
      <c r="E210" s="37" t="s">
        <v>532</v>
      </c>
      <c r="F210" s="37" t="s">
        <v>533</v>
      </c>
      <c r="G210" s="37" t="s">
        <v>250</v>
      </c>
      <c r="H210" s="37" t="s">
        <v>782</v>
      </c>
      <c r="I210" s="37" t="s">
        <v>229</v>
      </c>
    </row>
    <row r="211" ht="15.75" hidden="1" customHeight="1">
      <c r="A211" s="38">
        <v>5491918.0</v>
      </c>
      <c r="B211" s="39" t="s">
        <v>289</v>
      </c>
      <c r="C211" s="39" t="s">
        <v>783</v>
      </c>
      <c r="D211" s="39" t="s">
        <v>224</v>
      </c>
      <c r="E211" s="39" t="s">
        <v>722</v>
      </c>
      <c r="F211" s="39" t="s">
        <v>292</v>
      </c>
      <c r="G211" s="39" t="s">
        <v>293</v>
      </c>
      <c r="H211" s="39" t="s">
        <v>784</v>
      </c>
      <c r="I211" s="39" t="s">
        <v>229</v>
      </c>
    </row>
    <row r="212" ht="15.75" hidden="1" customHeight="1">
      <c r="A212" s="36">
        <v>3276210.0</v>
      </c>
      <c r="B212" s="37" t="s">
        <v>555</v>
      </c>
      <c r="C212" s="37" t="s">
        <v>785</v>
      </c>
      <c r="D212" s="37" t="s">
        <v>224</v>
      </c>
      <c r="E212" s="37" t="s">
        <v>557</v>
      </c>
      <c r="F212" s="37" t="s">
        <v>558</v>
      </c>
      <c r="G212" s="37" t="s">
        <v>541</v>
      </c>
      <c r="H212" s="37" t="s">
        <v>786</v>
      </c>
      <c r="I212" s="37" t="s">
        <v>229</v>
      </c>
    </row>
    <row r="213" ht="15.75" hidden="1" customHeight="1">
      <c r="A213" s="38">
        <v>5987330.0</v>
      </c>
      <c r="B213" s="39" t="s">
        <v>289</v>
      </c>
      <c r="C213" s="39" t="s">
        <v>787</v>
      </c>
      <c r="D213" s="39" t="s">
        <v>224</v>
      </c>
      <c r="E213" s="39" t="s">
        <v>722</v>
      </c>
      <c r="F213" s="39" t="s">
        <v>292</v>
      </c>
      <c r="G213" s="39" t="s">
        <v>293</v>
      </c>
      <c r="H213" s="39" t="s">
        <v>788</v>
      </c>
      <c r="I213" s="39" t="s">
        <v>229</v>
      </c>
    </row>
    <row r="214" ht="15.75" hidden="1" customHeight="1">
      <c r="A214" s="36">
        <v>3278344.0</v>
      </c>
      <c r="B214" s="37" t="s">
        <v>232</v>
      </c>
      <c r="C214" s="37" t="s">
        <v>789</v>
      </c>
      <c r="D214" s="37" t="s">
        <v>234</v>
      </c>
      <c r="E214" s="37" t="s">
        <v>790</v>
      </c>
      <c r="F214" s="37" t="s">
        <v>226</v>
      </c>
      <c r="G214" s="37" t="s">
        <v>227</v>
      </c>
      <c r="H214" s="37" t="s">
        <v>791</v>
      </c>
      <c r="I214" s="37" t="s">
        <v>229</v>
      </c>
    </row>
    <row r="215" ht="15.75" hidden="1" customHeight="1">
      <c r="A215" s="38">
        <v>5804713.0</v>
      </c>
      <c r="B215" s="39" t="s">
        <v>289</v>
      </c>
      <c r="C215" s="39" t="s">
        <v>792</v>
      </c>
      <c r="D215" s="39" t="s">
        <v>224</v>
      </c>
      <c r="E215" s="39" t="s">
        <v>722</v>
      </c>
      <c r="F215" s="39" t="s">
        <v>292</v>
      </c>
      <c r="G215" s="39" t="s">
        <v>293</v>
      </c>
      <c r="H215" s="39" t="s">
        <v>793</v>
      </c>
      <c r="I215" s="39" t="s">
        <v>229</v>
      </c>
    </row>
    <row r="216" ht="15.75" hidden="1" customHeight="1">
      <c r="A216" s="36">
        <v>3278512.0</v>
      </c>
      <c r="B216" s="37" t="s">
        <v>794</v>
      </c>
      <c r="C216" s="37" t="s">
        <v>795</v>
      </c>
      <c r="D216" s="37" t="s">
        <v>224</v>
      </c>
      <c r="E216" s="37" t="s">
        <v>796</v>
      </c>
      <c r="F216" s="37" t="s">
        <v>293</v>
      </c>
      <c r="G216" s="37" t="s">
        <v>319</v>
      </c>
      <c r="H216" s="37" t="s">
        <v>797</v>
      </c>
      <c r="I216" s="37" t="s">
        <v>229</v>
      </c>
    </row>
    <row r="217" ht="15.75" hidden="1" customHeight="1">
      <c r="A217" s="38">
        <v>5017778.0</v>
      </c>
      <c r="B217" s="39" t="s">
        <v>289</v>
      </c>
      <c r="C217" s="39" t="s">
        <v>798</v>
      </c>
      <c r="D217" s="39" t="s">
        <v>224</v>
      </c>
      <c r="E217" s="39" t="s">
        <v>722</v>
      </c>
      <c r="F217" s="39" t="s">
        <v>292</v>
      </c>
      <c r="G217" s="39" t="s">
        <v>293</v>
      </c>
      <c r="H217" s="39" t="s">
        <v>799</v>
      </c>
      <c r="I217" s="39" t="s">
        <v>229</v>
      </c>
    </row>
    <row r="218" ht="15.75" hidden="1" customHeight="1">
      <c r="A218" s="36">
        <v>3280150.0</v>
      </c>
      <c r="B218" s="37" t="s">
        <v>800</v>
      </c>
      <c r="C218" s="37" t="s">
        <v>801</v>
      </c>
      <c r="D218" s="37" t="s">
        <v>234</v>
      </c>
      <c r="E218" s="37" t="s">
        <v>802</v>
      </c>
      <c r="F218" s="37" t="s">
        <v>333</v>
      </c>
      <c r="G218" s="37" t="s">
        <v>301</v>
      </c>
      <c r="H218" s="37" t="s">
        <v>803</v>
      </c>
      <c r="I218" s="37" t="s">
        <v>229</v>
      </c>
    </row>
    <row r="219" ht="15.75" hidden="1" customHeight="1">
      <c r="A219" s="38">
        <v>5141778.0</v>
      </c>
      <c r="B219" s="39" t="s">
        <v>289</v>
      </c>
      <c r="C219" s="39" t="s">
        <v>804</v>
      </c>
      <c r="D219" s="39" t="s">
        <v>224</v>
      </c>
      <c r="E219" s="39" t="s">
        <v>722</v>
      </c>
      <c r="F219" s="39" t="s">
        <v>292</v>
      </c>
      <c r="G219" s="39" t="s">
        <v>293</v>
      </c>
      <c r="H219" s="39" t="s">
        <v>805</v>
      </c>
      <c r="I219" s="39" t="s">
        <v>229</v>
      </c>
    </row>
    <row r="220" ht="15.75" hidden="1" customHeight="1">
      <c r="A220" s="36">
        <v>3297242.0</v>
      </c>
      <c r="B220" s="37" t="s">
        <v>806</v>
      </c>
      <c r="C220" s="37" t="s">
        <v>807</v>
      </c>
      <c r="D220" s="37" t="s">
        <v>224</v>
      </c>
      <c r="E220" s="37" t="s">
        <v>278</v>
      </c>
      <c r="F220" s="37" t="s">
        <v>257</v>
      </c>
      <c r="G220" s="37" t="s">
        <v>258</v>
      </c>
      <c r="H220" s="37" t="s">
        <v>808</v>
      </c>
      <c r="I220" s="37" t="s">
        <v>260</v>
      </c>
    </row>
    <row r="221" ht="15.75" hidden="1" customHeight="1">
      <c r="A221" s="38">
        <v>5142916.0</v>
      </c>
      <c r="B221" s="39" t="s">
        <v>289</v>
      </c>
      <c r="C221" s="39" t="s">
        <v>809</v>
      </c>
      <c r="D221" s="39" t="s">
        <v>331</v>
      </c>
      <c r="E221" s="39" t="s">
        <v>722</v>
      </c>
      <c r="F221" s="39" t="s">
        <v>292</v>
      </c>
      <c r="G221" s="39" t="s">
        <v>293</v>
      </c>
      <c r="H221" s="39" t="s">
        <v>810</v>
      </c>
      <c r="I221" s="39" t="s">
        <v>229</v>
      </c>
    </row>
    <row r="222" ht="15.75" hidden="1" customHeight="1">
      <c r="A222" s="36">
        <v>3305729.0</v>
      </c>
      <c r="B222" s="37" t="s">
        <v>116</v>
      </c>
      <c r="C222" s="37" t="s">
        <v>811</v>
      </c>
      <c r="D222" s="37" t="s">
        <v>224</v>
      </c>
      <c r="E222" s="37" t="s">
        <v>408</v>
      </c>
      <c r="F222" s="37" t="s">
        <v>341</v>
      </c>
      <c r="G222" s="37" t="s">
        <v>3</v>
      </c>
      <c r="H222" s="37" t="s">
        <v>812</v>
      </c>
      <c r="I222" s="37" t="s">
        <v>260</v>
      </c>
      <c r="J222" s="1">
        <v>42.0</v>
      </c>
      <c r="L222" s="40" t="s">
        <v>13</v>
      </c>
    </row>
    <row r="223" ht="15.75" hidden="1" customHeight="1">
      <c r="A223" s="38">
        <v>3320842.0</v>
      </c>
      <c r="B223" s="39" t="s">
        <v>813</v>
      </c>
      <c r="C223" s="39" t="s">
        <v>814</v>
      </c>
      <c r="D223" s="39" t="s">
        <v>224</v>
      </c>
      <c r="E223" s="39" t="s">
        <v>815</v>
      </c>
      <c r="F223" s="39" t="s">
        <v>679</v>
      </c>
      <c r="G223" s="39" t="s">
        <v>301</v>
      </c>
      <c r="H223" s="39" t="s">
        <v>816</v>
      </c>
      <c r="I223" s="39" t="s">
        <v>229</v>
      </c>
    </row>
    <row r="224" ht="15.75" hidden="1" customHeight="1">
      <c r="A224" s="36">
        <v>3321242.0</v>
      </c>
      <c r="B224" s="37" t="s">
        <v>276</v>
      </c>
      <c r="C224" s="37" t="s">
        <v>817</v>
      </c>
      <c r="D224" s="37" t="s">
        <v>224</v>
      </c>
      <c r="E224" s="37" t="s">
        <v>278</v>
      </c>
      <c r="F224" s="37" t="s">
        <v>257</v>
      </c>
      <c r="G224" s="37" t="s">
        <v>258</v>
      </c>
      <c r="H224" s="37" t="s">
        <v>818</v>
      </c>
      <c r="I224" s="37" t="s">
        <v>260</v>
      </c>
    </row>
    <row r="225" ht="15.75" hidden="1" customHeight="1">
      <c r="A225" s="38">
        <v>5163132.0</v>
      </c>
      <c r="B225" s="39" t="s">
        <v>246</v>
      </c>
      <c r="C225" s="39" t="s">
        <v>819</v>
      </c>
      <c r="D225" s="39" t="s">
        <v>224</v>
      </c>
      <c r="E225" s="39" t="s">
        <v>248</v>
      </c>
      <c r="F225" s="39" t="s">
        <v>249</v>
      </c>
      <c r="G225" s="39" t="s">
        <v>250</v>
      </c>
      <c r="H225" s="39" t="s">
        <v>820</v>
      </c>
      <c r="I225" s="39" t="s">
        <v>229</v>
      </c>
    </row>
    <row r="226" ht="15.75" hidden="1" customHeight="1">
      <c r="A226" s="36">
        <v>3323328.0</v>
      </c>
      <c r="B226" s="37" t="s">
        <v>821</v>
      </c>
      <c r="C226" s="37" t="s">
        <v>822</v>
      </c>
      <c r="D226" s="37" t="s">
        <v>224</v>
      </c>
      <c r="E226" s="37" t="s">
        <v>299</v>
      </c>
      <c r="F226" s="37" t="s">
        <v>300</v>
      </c>
      <c r="G226" s="37" t="s">
        <v>301</v>
      </c>
      <c r="H226" s="37" t="s">
        <v>823</v>
      </c>
      <c r="I226" s="37" t="s">
        <v>229</v>
      </c>
    </row>
    <row r="227" ht="15.75" hidden="1" customHeight="1">
      <c r="A227" s="38">
        <v>3323392.0</v>
      </c>
      <c r="B227" s="39" t="s">
        <v>522</v>
      </c>
      <c r="C227" s="39" t="s">
        <v>824</v>
      </c>
      <c r="D227" s="39" t="s">
        <v>224</v>
      </c>
      <c r="E227" s="39" t="s">
        <v>524</v>
      </c>
      <c r="F227" s="39" t="s">
        <v>470</v>
      </c>
      <c r="G227" s="39" t="s">
        <v>327</v>
      </c>
      <c r="H227" s="39" t="s">
        <v>825</v>
      </c>
      <c r="I227" s="39" t="s">
        <v>229</v>
      </c>
    </row>
    <row r="228" ht="15.75" hidden="1" customHeight="1">
      <c r="A228" s="36">
        <v>5284876.0</v>
      </c>
      <c r="B228" s="37" t="s">
        <v>246</v>
      </c>
      <c r="C228" s="37" t="s">
        <v>826</v>
      </c>
      <c r="D228" s="37" t="s">
        <v>224</v>
      </c>
      <c r="E228" s="37" t="s">
        <v>248</v>
      </c>
      <c r="F228" s="37" t="s">
        <v>249</v>
      </c>
      <c r="G228" s="37" t="s">
        <v>250</v>
      </c>
      <c r="H228" s="37" t="s">
        <v>827</v>
      </c>
      <c r="I228" s="37" t="s">
        <v>229</v>
      </c>
    </row>
    <row r="229" ht="15.75" hidden="1" customHeight="1">
      <c r="A229" s="38">
        <v>3333790.0</v>
      </c>
      <c r="B229" s="39" t="s">
        <v>425</v>
      </c>
      <c r="C229" s="39" t="s">
        <v>828</v>
      </c>
      <c r="D229" s="39" t="s">
        <v>224</v>
      </c>
      <c r="E229" s="39" t="s">
        <v>427</v>
      </c>
      <c r="F229" s="39" t="s">
        <v>312</v>
      </c>
      <c r="G229" s="37" t="s">
        <v>3</v>
      </c>
      <c r="H229" s="39" t="s">
        <v>829</v>
      </c>
      <c r="I229" s="39" t="s">
        <v>260</v>
      </c>
    </row>
    <row r="230" ht="15.75" hidden="1" customHeight="1">
      <c r="A230" s="36">
        <v>3340535.0</v>
      </c>
      <c r="B230" s="37" t="s">
        <v>506</v>
      </c>
      <c r="C230" s="37" t="s">
        <v>830</v>
      </c>
      <c r="D230" s="37" t="s">
        <v>224</v>
      </c>
      <c r="E230" s="37" t="s">
        <v>831</v>
      </c>
      <c r="F230" s="37" t="s">
        <v>284</v>
      </c>
      <c r="G230" s="37" t="s">
        <v>3</v>
      </c>
      <c r="H230" s="37" t="s">
        <v>832</v>
      </c>
      <c r="I230" s="37" t="s">
        <v>260</v>
      </c>
      <c r="J230" s="1">
        <v>42.0</v>
      </c>
      <c r="L230" s="40" t="s">
        <v>116</v>
      </c>
    </row>
    <row r="231" ht="15.75" hidden="1" customHeight="1">
      <c r="A231" s="38">
        <v>5383619.0</v>
      </c>
      <c r="B231" s="39" t="s">
        <v>246</v>
      </c>
      <c r="C231" s="39" t="s">
        <v>833</v>
      </c>
      <c r="D231" s="39" t="s">
        <v>224</v>
      </c>
      <c r="E231" s="39" t="s">
        <v>248</v>
      </c>
      <c r="F231" s="39" t="s">
        <v>249</v>
      </c>
      <c r="G231" s="39" t="s">
        <v>250</v>
      </c>
      <c r="H231" s="39" t="s">
        <v>834</v>
      </c>
      <c r="I231" s="39" t="s">
        <v>229</v>
      </c>
    </row>
    <row r="232" ht="15.75" hidden="1" customHeight="1">
      <c r="A232" s="36">
        <v>3347350.0</v>
      </c>
      <c r="B232" s="37" t="s">
        <v>835</v>
      </c>
      <c r="C232" s="37" t="s">
        <v>836</v>
      </c>
      <c r="D232" s="37" t="s">
        <v>224</v>
      </c>
      <c r="E232" s="37" t="s">
        <v>837</v>
      </c>
      <c r="F232" s="37" t="s">
        <v>377</v>
      </c>
      <c r="G232" s="37" t="s">
        <v>327</v>
      </c>
      <c r="H232" s="37" t="s">
        <v>838</v>
      </c>
      <c r="I232" s="37" t="s">
        <v>229</v>
      </c>
    </row>
    <row r="233" ht="15.75" hidden="1" customHeight="1">
      <c r="A233" s="38">
        <v>5275203.0</v>
      </c>
      <c r="B233" s="39" t="s">
        <v>246</v>
      </c>
      <c r="C233" s="39" t="s">
        <v>839</v>
      </c>
      <c r="D233" s="39" t="s">
        <v>224</v>
      </c>
      <c r="E233" s="39" t="s">
        <v>248</v>
      </c>
      <c r="F233" s="39" t="s">
        <v>249</v>
      </c>
      <c r="G233" s="39" t="s">
        <v>250</v>
      </c>
      <c r="H233" s="39" t="s">
        <v>840</v>
      </c>
      <c r="I233" s="39" t="s">
        <v>229</v>
      </c>
    </row>
    <row r="234" ht="15.75" hidden="1" customHeight="1">
      <c r="A234" s="36">
        <v>3384037.0</v>
      </c>
      <c r="B234" s="37" t="s">
        <v>841</v>
      </c>
      <c r="C234" s="37" t="s">
        <v>842</v>
      </c>
      <c r="D234" s="37" t="s">
        <v>224</v>
      </c>
      <c r="E234" s="37" t="s">
        <v>843</v>
      </c>
      <c r="F234" s="37" t="s">
        <v>242</v>
      </c>
      <c r="G234" s="37" t="s">
        <v>227</v>
      </c>
      <c r="H234" s="37" t="s">
        <v>844</v>
      </c>
      <c r="I234" s="37" t="s">
        <v>229</v>
      </c>
    </row>
    <row r="235" ht="15.75" hidden="1" customHeight="1">
      <c r="A235" s="38">
        <v>5295602.0</v>
      </c>
      <c r="B235" s="39" t="s">
        <v>587</v>
      </c>
      <c r="C235" s="39" t="s">
        <v>845</v>
      </c>
      <c r="D235" s="39" t="s">
        <v>224</v>
      </c>
      <c r="E235" s="39" t="s">
        <v>248</v>
      </c>
      <c r="F235" s="39" t="s">
        <v>249</v>
      </c>
      <c r="G235" s="39" t="s">
        <v>250</v>
      </c>
      <c r="H235" s="39" t="s">
        <v>846</v>
      </c>
      <c r="I235" s="39" t="s">
        <v>229</v>
      </c>
    </row>
    <row r="236" ht="15.75" hidden="1" customHeight="1">
      <c r="A236" s="36">
        <v>3386571.0</v>
      </c>
      <c r="B236" s="37" t="s">
        <v>847</v>
      </c>
      <c r="C236" s="37" t="s">
        <v>848</v>
      </c>
      <c r="D236" s="37" t="s">
        <v>224</v>
      </c>
      <c r="E236" s="37" t="s">
        <v>849</v>
      </c>
      <c r="F236" s="37" t="s">
        <v>333</v>
      </c>
      <c r="G236" s="37" t="s">
        <v>301</v>
      </c>
      <c r="H236" s="37" t="s">
        <v>850</v>
      </c>
      <c r="I236" s="37" t="s">
        <v>229</v>
      </c>
    </row>
    <row r="237" ht="15.75" hidden="1" customHeight="1">
      <c r="A237" s="38">
        <v>5278046.0</v>
      </c>
      <c r="B237" s="39" t="s">
        <v>246</v>
      </c>
      <c r="C237" s="39" t="s">
        <v>851</v>
      </c>
      <c r="D237" s="39" t="s">
        <v>224</v>
      </c>
      <c r="E237" s="39" t="s">
        <v>248</v>
      </c>
      <c r="F237" s="39" t="s">
        <v>249</v>
      </c>
      <c r="G237" s="39" t="s">
        <v>250</v>
      </c>
      <c r="H237" s="39" t="s">
        <v>852</v>
      </c>
      <c r="I237" s="39" t="s">
        <v>229</v>
      </c>
    </row>
    <row r="238" ht="15.75" hidden="1" customHeight="1">
      <c r="A238" s="36">
        <v>3410052.0</v>
      </c>
      <c r="B238" s="37" t="s">
        <v>853</v>
      </c>
      <c r="C238" s="37" t="s">
        <v>854</v>
      </c>
      <c r="D238" s="37" t="s">
        <v>331</v>
      </c>
      <c r="E238" s="37" t="s">
        <v>855</v>
      </c>
      <c r="F238" s="37" t="s">
        <v>249</v>
      </c>
      <c r="G238" s="37" t="s">
        <v>250</v>
      </c>
      <c r="H238" s="37" t="s">
        <v>856</v>
      </c>
      <c r="I238" s="37" t="s">
        <v>229</v>
      </c>
    </row>
    <row r="239" ht="15.75" hidden="1" customHeight="1">
      <c r="A239" s="38">
        <v>5135722.0</v>
      </c>
      <c r="B239" s="39" t="s">
        <v>246</v>
      </c>
      <c r="C239" s="39" t="s">
        <v>857</v>
      </c>
      <c r="D239" s="39" t="s">
        <v>224</v>
      </c>
      <c r="E239" s="39" t="s">
        <v>248</v>
      </c>
      <c r="F239" s="39" t="s">
        <v>249</v>
      </c>
      <c r="G239" s="39" t="s">
        <v>250</v>
      </c>
      <c r="H239" s="39" t="s">
        <v>858</v>
      </c>
      <c r="I239" s="39" t="s">
        <v>229</v>
      </c>
    </row>
    <row r="240" ht="15.75" hidden="1" customHeight="1">
      <c r="A240" s="36">
        <v>3426611.0</v>
      </c>
      <c r="B240" s="37" t="s">
        <v>374</v>
      </c>
      <c r="C240" s="37" t="s">
        <v>859</v>
      </c>
      <c r="D240" s="37" t="s">
        <v>224</v>
      </c>
      <c r="E240" s="37" t="s">
        <v>376</v>
      </c>
      <c r="F240" s="37" t="s">
        <v>377</v>
      </c>
      <c r="G240" s="37" t="s">
        <v>327</v>
      </c>
      <c r="H240" s="37" t="s">
        <v>860</v>
      </c>
      <c r="I240" s="37" t="s">
        <v>229</v>
      </c>
    </row>
    <row r="241" ht="15.75" hidden="1" customHeight="1">
      <c r="A241" s="38">
        <v>4981955.0</v>
      </c>
      <c r="B241" s="39" t="s">
        <v>246</v>
      </c>
      <c r="C241" s="39" t="s">
        <v>861</v>
      </c>
      <c r="D241" s="39" t="s">
        <v>224</v>
      </c>
      <c r="E241" s="39" t="s">
        <v>248</v>
      </c>
      <c r="F241" s="39" t="s">
        <v>249</v>
      </c>
      <c r="G241" s="39" t="s">
        <v>250</v>
      </c>
      <c r="H241" s="39" t="s">
        <v>862</v>
      </c>
      <c r="I241" s="39" t="s">
        <v>229</v>
      </c>
    </row>
    <row r="242" ht="15.75" hidden="1" customHeight="1">
      <c r="A242" s="36">
        <v>3430414.0</v>
      </c>
      <c r="B242" s="37" t="s">
        <v>514</v>
      </c>
      <c r="C242" s="37" t="s">
        <v>863</v>
      </c>
      <c r="D242" s="37" t="s">
        <v>224</v>
      </c>
      <c r="E242" s="37" t="s">
        <v>387</v>
      </c>
      <c r="F242" s="37" t="s">
        <v>300</v>
      </c>
      <c r="G242" s="37" t="s">
        <v>301</v>
      </c>
      <c r="H242" s="37" t="s">
        <v>864</v>
      </c>
      <c r="I242" s="37" t="s">
        <v>229</v>
      </c>
    </row>
    <row r="243" ht="15.75" hidden="1" customHeight="1">
      <c r="A243" s="38">
        <v>5480700.0</v>
      </c>
      <c r="B243" s="39" t="s">
        <v>246</v>
      </c>
      <c r="C243" s="39" t="s">
        <v>865</v>
      </c>
      <c r="D243" s="39" t="s">
        <v>224</v>
      </c>
      <c r="E243" s="39" t="s">
        <v>248</v>
      </c>
      <c r="F243" s="39" t="s">
        <v>249</v>
      </c>
      <c r="G243" s="39" t="s">
        <v>250</v>
      </c>
      <c r="H243" s="39" t="s">
        <v>866</v>
      </c>
      <c r="I243" s="39" t="s">
        <v>229</v>
      </c>
    </row>
    <row r="244" ht="15.75" hidden="1" customHeight="1">
      <c r="A244" s="36">
        <v>3436672.0</v>
      </c>
      <c r="B244" s="37" t="s">
        <v>120</v>
      </c>
      <c r="C244" s="37" t="s">
        <v>867</v>
      </c>
      <c r="D244" s="37" t="s">
        <v>224</v>
      </c>
      <c r="E244" s="37" t="s">
        <v>868</v>
      </c>
      <c r="F244" s="37" t="s">
        <v>644</v>
      </c>
      <c r="G244" s="37" t="s">
        <v>3</v>
      </c>
      <c r="H244" s="37" t="s">
        <v>869</v>
      </c>
      <c r="I244" s="37" t="s">
        <v>260</v>
      </c>
      <c r="J244" s="1">
        <v>42.0</v>
      </c>
      <c r="L244" s="40" t="s">
        <v>506</v>
      </c>
    </row>
    <row r="245" ht="15.75" hidden="1" customHeight="1">
      <c r="A245" s="38">
        <v>6028152.0</v>
      </c>
      <c r="B245" s="39" t="s">
        <v>246</v>
      </c>
      <c r="C245" s="39" t="s">
        <v>870</v>
      </c>
      <c r="D245" s="39" t="s">
        <v>224</v>
      </c>
      <c r="E245" s="39" t="s">
        <v>248</v>
      </c>
      <c r="F245" s="39" t="s">
        <v>249</v>
      </c>
      <c r="G245" s="39" t="s">
        <v>250</v>
      </c>
      <c r="H245" s="39" t="s">
        <v>871</v>
      </c>
      <c r="I245" s="39" t="s">
        <v>229</v>
      </c>
    </row>
    <row r="246" ht="15.75" hidden="1" customHeight="1">
      <c r="A246" s="36">
        <v>5658369.0</v>
      </c>
      <c r="B246" s="37" t="s">
        <v>246</v>
      </c>
      <c r="C246" s="37" t="s">
        <v>872</v>
      </c>
      <c r="D246" s="37" t="s">
        <v>224</v>
      </c>
      <c r="E246" s="37" t="s">
        <v>248</v>
      </c>
      <c r="F246" s="37" t="s">
        <v>249</v>
      </c>
      <c r="G246" s="37" t="s">
        <v>250</v>
      </c>
      <c r="H246" s="37" t="s">
        <v>873</v>
      </c>
      <c r="I246" s="37" t="s">
        <v>229</v>
      </c>
    </row>
    <row r="247" ht="15.75" hidden="1" customHeight="1">
      <c r="A247" s="38">
        <v>3452133.0</v>
      </c>
      <c r="B247" s="39" t="s">
        <v>361</v>
      </c>
      <c r="C247" s="39" t="s">
        <v>874</v>
      </c>
      <c r="D247" s="39" t="s">
        <v>224</v>
      </c>
      <c r="E247" s="39" t="s">
        <v>875</v>
      </c>
      <c r="F247" s="39" t="s">
        <v>312</v>
      </c>
      <c r="G247" s="39" t="s">
        <v>258</v>
      </c>
      <c r="H247" s="39" t="s">
        <v>876</v>
      </c>
      <c r="I247" s="39" t="s">
        <v>260</v>
      </c>
    </row>
    <row r="248" ht="15.75" hidden="1" customHeight="1">
      <c r="A248" s="36">
        <v>5887108.0</v>
      </c>
      <c r="B248" s="37" t="s">
        <v>246</v>
      </c>
      <c r="C248" s="37" t="s">
        <v>877</v>
      </c>
      <c r="D248" s="37" t="s">
        <v>224</v>
      </c>
      <c r="E248" s="37" t="s">
        <v>248</v>
      </c>
      <c r="F248" s="37" t="s">
        <v>249</v>
      </c>
      <c r="G248" s="37" t="s">
        <v>250</v>
      </c>
      <c r="H248" s="37" t="s">
        <v>878</v>
      </c>
      <c r="I248" s="37" t="s">
        <v>229</v>
      </c>
    </row>
    <row r="249" ht="15.75" customHeight="1">
      <c r="A249" s="38">
        <v>3460648.0</v>
      </c>
      <c r="B249" s="39" t="s">
        <v>13</v>
      </c>
      <c r="C249" s="39" t="s">
        <v>32</v>
      </c>
      <c r="D249" s="39" t="s">
        <v>269</v>
      </c>
      <c r="E249" s="39" t="s">
        <v>357</v>
      </c>
      <c r="F249" s="39" t="s">
        <v>341</v>
      </c>
      <c r="G249" s="39" t="s">
        <v>3</v>
      </c>
      <c r="H249" s="39" t="s">
        <v>879</v>
      </c>
      <c r="I249" s="39" t="s">
        <v>260</v>
      </c>
      <c r="J249" s="1">
        <v>42.0</v>
      </c>
      <c r="L249" s="40" t="s">
        <v>120</v>
      </c>
    </row>
    <row r="250" ht="15.75" hidden="1" customHeight="1">
      <c r="A250" s="36">
        <v>3686107.0</v>
      </c>
      <c r="B250" s="37" t="s">
        <v>246</v>
      </c>
      <c r="C250" s="37" t="s">
        <v>880</v>
      </c>
      <c r="D250" s="37" t="s">
        <v>224</v>
      </c>
      <c r="E250" s="37" t="s">
        <v>248</v>
      </c>
      <c r="F250" s="37" t="s">
        <v>249</v>
      </c>
      <c r="G250" s="37" t="s">
        <v>250</v>
      </c>
      <c r="H250" s="37" t="s">
        <v>881</v>
      </c>
      <c r="I250" s="37" t="s">
        <v>229</v>
      </c>
    </row>
    <row r="251" ht="15.75" hidden="1" customHeight="1">
      <c r="A251" s="38">
        <v>3475529.0</v>
      </c>
      <c r="B251" s="39" t="s">
        <v>506</v>
      </c>
      <c r="C251" s="39" t="s">
        <v>882</v>
      </c>
      <c r="D251" s="39" t="s">
        <v>224</v>
      </c>
      <c r="E251" s="39" t="s">
        <v>831</v>
      </c>
      <c r="F251" s="39" t="s">
        <v>284</v>
      </c>
      <c r="G251" s="39" t="s">
        <v>3</v>
      </c>
      <c r="H251" s="39" t="s">
        <v>883</v>
      </c>
      <c r="I251" s="39" t="s">
        <v>260</v>
      </c>
      <c r="J251" s="1">
        <v>42.0</v>
      </c>
      <c r="L251" s="40" t="s">
        <v>13</v>
      </c>
    </row>
    <row r="252" ht="15.75" hidden="1" customHeight="1">
      <c r="A252" s="36">
        <v>5361594.0</v>
      </c>
      <c r="B252" s="37" t="s">
        <v>118</v>
      </c>
      <c r="C252" s="37" t="s">
        <v>884</v>
      </c>
      <c r="D252" s="37" t="s">
        <v>224</v>
      </c>
      <c r="E252" s="37" t="s">
        <v>283</v>
      </c>
      <c r="F252" s="37" t="s">
        <v>284</v>
      </c>
      <c r="G252" s="37" t="s">
        <v>3</v>
      </c>
      <c r="H252" s="37" t="s">
        <v>885</v>
      </c>
      <c r="I252" s="37" t="s">
        <v>260</v>
      </c>
      <c r="J252" s="1">
        <v>42.0</v>
      </c>
      <c r="L252" s="40" t="s">
        <v>506</v>
      </c>
    </row>
    <row r="253" ht="15.75" hidden="1" customHeight="1">
      <c r="A253" s="38">
        <v>3475530.0</v>
      </c>
      <c r="B253" s="39" t="s">
        <v>514</v>
      </c>
      <c r="C253" s="39" t="s">
        <v>886</v>
      </c>
      <c r="D253" s="39" t="s">
        <v>224</v>
      </c>
      <c r="E253" s="39" t="s">
        <v>387</v>
      </c>
      <c r="F253" s="39" t="s">
        <v>300</v>
      </c>
      <c r="G253" s="39" t="s">
        <v>301</v>
      </c>
      <c r="H253" s="39" t="s">
        <v>887</v>
      </c>
      <c r="I253" s="39" t="s">
        <v>229</v>
      </c>
    </row>
    <row r="254" ht="15.75" hidden="1" customHeight="1">
      <c r="A254" s="36">
        <v>5987600.0</v>
      </c>
      <c r="B254" s="37" t="s">
        <v>118</v>
      </c>
      <c r="C254" s="37" t="s">
        <v>888</v>
      </c>
      <c r="D254" s="37" t="s">
        <v>224</v>
      </c>
      <c r="E254" s="37" t="s">
        <v>283</v>
      </c>
      <c r="F254" s="37" t="s">
        <v>284</v>
      </c>
      <c r="G254" s="37" t="s">
        <v>3</v>
      </c>
      <c r="H254" s="37" t="s">
        <v>889</v>
      </c>
      <c r="I254" s="37" t="s">
        <v>260</v>
      </c>
      <c r="J254" s="1">
        <v>42.0</v>
      </c>
      <c r="L254" s="40" t="s">
        <v>118</v>
      </c>
    </row>
    <row r="255" ht="15.75" hidden="1" customHeight="1">
      <c r="A255" s="38">
        <v>3492793.0</v>
      </c>
      <c r="B255" s="39" t="s">
        <v>276</v>
      </c>
      <c r="C255" s="39" t="s">
        <v>890</v>
      </c>
      <c r="D255" s="39" t="s">
        <v>224</v>
      </c>
      <c r="E255" s="39" t="s">
        <v>891</v>
      </c>
      <c r="F255" s="39" t="s">
        <v>257</v>
      </c>
      <c r="G255" s="39" t="s">
        <v>258</v>
      </c>
      <c r="H255" s="39" t="s">
        <v>892</v>
      </c>
      <c r="I255" s="39" t="s">
        <v>260</v>
      </c>
    </row>
    <row r="256" ht="15.75" hidden="1" customHeight="1">
      <c r="A256" s="36">
        <v>5165915.0</v>
      </c>
      <c r="B256" s="37" t="s">
        <v>118</v>
      </c>
      <c r="C256" s="37" t="s">
        <v>893</v>
      </c>
      <c r="D256" s="37" t="s">
        <v>224</v>
      </c>
      <c r="E256" s="37" t="s">
        <v>283</v>
      </c>
      <c r="F256" s="37" t="s">
        <v>284</v>
      </c>
      <c r="G256" s="37" t="s">
        <v>3</v>
      </c>
      <c r="H256" s="37" t="s">
        <v>894</v>
      </c>
      <c r="I256" s="37" t="s">
        <v>260</v>
      </c>
      <c r="J256" s="1">
        <v>42.0</v>
      </c>
      <c r="L256" s="40" t="s">
        <v>118</v>
      </c>
    </row>
    <row r="257" ht="15.75" hidden="1" customHeight="1">
      <c r="A257" s="38">
        <v>3497700.0</v>
      </c>
      <c r="B257" s="39" t="s">
        <v>361</v>
      </c>
      <c r="C257" s="39" t="s">
        <v>895</v>
      </c>
      <c r="D257" s="39" t="s">
        <v>224</v>
      </c>
      <c r="E257" s="39" t="s">
        <v>563</v>
      </c>
      <c r="F257" s="39" t="s">
        <v>312</v>
      </c>
      <c r="G257" s="39" t="s">
        <v>258</v>
      </c>
      <c r="H257" s="39" t="s">
        <v>896</v>
      </c>
      <c r="I257" s="39" t="s">
        <v>260</v>
      </c>
    </row>
    <row r="258" ht="15.75" hidden="1" customHeight="1">
      <c r="A258" s="36">
        <v>5655606.0</v>
      </c>
      <c r="B258" s="37" t="s">
        <v>118</v>
      </c>
      <c r="C258" s="37" t="s">
        <v>897</v>
      </c>
      <c r="D258" s="37" t="s">
        <v>331</v>
      </c>
      <c r="E258" s="37" t="s">
        <v>283</v>
      </c>
      <c r="F258" s="37" t="s">
        <v>284</v>
      </c>
      <c r="G258" s="37" t="s">
        <v>3</v>
      </c>
      <c r="H258" s="37" t="s">
        <v>898</v>
      </c>
      <c r="I258" s="37" t="s">
        <v>260</v>
      </c>
      <c r="J258" s="1">
        <v>42.0</v>
      </c>
      <c r="L258" s="40" t="s">
        <v>118</v>
      </c>
    </row>
    <row r="259" ht="15.75" hidden="1" customHeight="1">
      <c r="A259" s="38">
        <v>3501555.0</v>
      </c>
      <c r="B259" s="39" t="s">
        <v>506</v>
      </c>
      <c r="C259" s="39" t="s">
        <v>899</v>
      </c>
      <c r="D259" s="39" t="s">
        <v>331</v>
      </c>
      <c r="E259" s="39" t="s">
        <v>831</v>
      </c>
      <c r="F259" s="39" t="s">
        <v>284</v>
      </c>
      <c r="G259" s="39" t="s">
        <v>3</v>
      </c>
      <c r="H259" s="39" t="s">
        <v>900</v>
      </c>
      <c r="I259" s="39" t="s">
        <v>260</v>
      </c>
      <c r="J259" s="1">
        <v>42.0</v>
      </c>
      <c r="L259" s="40" t="s">
        <v>118</v>
      </c>
    </row>
    <row r="260" ht="15.75" hidden="1" customHeight="1">
      <c r="A260" s="36">
        <v>4513909.0</v>
      </c>
      <c r="B260" s="37" t="s">
        <v>118</v>
      </c>
      <c r="C260" s="37" t="s">
        <v>901</v>
      </c>
      <c r="D260" s="37" t="s">
        <v>224</v>
      </c>
      <c r="E260" s="37" t="s">
        <v>283</v>
      </c>
      <c r="F260" s="37" t="s">
        <v>284</v>
      </c>
      <c r="G260" s="37" t="s">
        <v>3</v>
      </c>
      <c r="H260" s="37" t="s">
        <v>902</v>
      </c>
      <c r="I260" s="37" t="s">
        <v>260</v>
      </c>
      <c r="J260" s="1">
        <v>42.0</v>
      </c>
      <c r="L260" s="40" t="s">
        <v>506</v>
      </c>
    </row>
    <row r="261" ht="15.75" hidden="1" customHeight="1">
      <c r="A261" s="38">
        <v>3508824.0</v>
      </c>
      <c r="B261" s="39" t="s">
        <v>514</v>
      </c>
      <c r="C261" s="39" t="s">
        <v>903</v>
      </c>
      <c r="D261" s="39" t="s">
        <v>224</v>
      </c>
      <c r="E261" s="39" t="s">
        <v>387</v>
      </c>
      <c r="F261" s="39" t="s">
        <v>300</v>
      </c>
      <c r="G261" s="39" t="s">
        <v>301</v>
      </c>
      <c r="H261" s="39" t="s">
        <v>904</v>
      </c>
      <c r="I261" s="39" t="s">
        <v>229</v>
      </c>
    </row>
    <row r="262" ht="15.75" hidden="1" customHeight="1">
      <c r="A262" s="36">
        <v>5645398.0</v>
      </c>
      <c r="B262" s="37" t="s">
        <v>118</v>
      </c>
      <c r="C262" s="37" t="s">
        <v>905</v>
      </c>
      <c r="D262" s="37" t="s">
        <v>224</v>
      </c>
      <c r="E262" s="37" t="s">
        <v>283</v>
      </c>
      <c r="F262" s="37" t="s">
        <v>284</v>
      </c>
      <c r="G262" s="37" t="s">
        <v>3</v>
      </c>
      <c r="H262" s="37" t="s">
        <v>906</v>
      </c>
      <c r="I262" s="37" t="s">
        <v>260</v>
      </c>
      <c r="J262" s="1">
        <v>42.0</v>
      </c>
      <c r="L262" s="40" t="s">
        <v>118</v>
      </c>
    </row>
    <row r="263" ht="15.75" hidden="1" customHeight="1">
      <c r="A263" s="38">
        <v>3510466.0</v>
      </c>
      <c r="B263" s="39" t="s">
        <v>907</v>
      </c>
      <c r="C263" s="39" t="s">
        <v>908</v>
      </c>
      <c r="D263" s="39" t="s">
        <v>224</v>
      </c>
      <c r="E263" s="39" t="s">
        <v>272</v>
      </c>
      <c r="F263" s="39" t="s">
        <v>257</v>
      </c>
      <c r="G263" s="39" t="s">
        <v>258</v>
      </c>
      <c r="H263" s="39" t="s">
        <v>909</v>
      </c>
      <c r="I263" s="39" t="s">
        <v>260</v>
      </c>
    </row>
    <row r="264" ht="15.75" hidden="1" customHeight="1">
      <c r="A264" s="36">
        <v>4737998.0</v>
      </c>
      <c r="B264" s="37" t="s">
        <v>118</v>
      </c>
      <c r="C264" s="37" t="s">
        <v>910</v>
      </c>
      <c r="D264" s="37" t="s">
        <v>269</v>
      </c>
      <c r="E264" s="37" t="s">
        <v>283</v>
      </c>
      <c r="F264" s="37" t="s">
        <v>284</v>
      </c>
      <c r="G264" s="37" t="s">
        <v>3</v>
      </c>
      <c r="H264" s="37" t="s">
        <v>911</v>
      </c>
      <c r="I264" s="37" t="s">
        <v>260</v>
      </c>
      <c r="J264" s="1">
        <v>42.0</v>
      </c>
      <c r="L264" s="40" t="s">
        <v>118</v>
      </c>
    </row>
    <row r="265" ht="15.75" hidden="1" customHeight="1">
      <c r="A265" s="38">
        <v>3512423.0</v>
      </c>
      <c r="B265" s="39" t="s">
        <v>514</v>
      </c>
      <c r="C265" s="39" t="s">
        <v>912</v>
      </c>
      <c r="D265" s="39" t="s">
        <v>224</v>
      </c>
      <c r="E265" s="39" t="s">
        <v>387</v>
      </c>
      <c r="F265" s="39" t="s">
        <v>300</v>
      </c>
      <c r="G265" s="39" t="s">
        <v>301</v>
      </c>
      <c r="H265" s="39" t="s">
        <v>913</v>
      </c>
      <c r="I265" s="39" t="s">
        <v>229</v>
      </c>
    </row>
    <row r="266" ht="15.75" hidden="1" customHeight="1">
      <c r="A266" s="36">
        <v>5070230.0</v>
      </c>
      <c r="B266" s="37" t="s">
        <v>118</v>
      </c>
      <c r="C266" s="37" t="s">
        <v>914</v>
      </c>
      <c r="D266" s="37" t="s">
        <v>224</v>
      </c>
      <c r="E266" s="37" t="s">
        <v>283</v>
      </c>
      <c r="F266" s="37" t="s">
        <v>284</v>
      </c>
      <c r="G266" s="37" t="s">
        <v>3</v>
      </c>
      <c r="H266" s="37" t="s">
        <v>915</v>
      </c>
      <c r="I266" s="37" t="s">
        <v>260</v>
      </c>
      <c r="J266" s="1">
        <v>42.0</v>
      </c>
      <c r="L266" s="40" t="s">
        <v>118</v>
      </c>
    </row>
    <row r="267" ht="15.75" hidden="1" customHeight="1">
      <c r="A267" s="38">
        <v>3524077.0</v>
      </c>
      <c r="B267" s="39" t="s">
        <v>10</v>
      </c>
      <c r="C267" s="39" t="s">
        <v>916</v>
      </c>
      <c r="D267" s="39" t="s">
        <v>224</v>
      </c>
      <c r="E267" s="39" t="s">
        <v>891</v>
      </c>
      <c r="F267" s="39" t="s">
        <v>257</v>
      </c>
      <c r="G267" s="39" t="s">
        <v>258</v>
      </c>
      <c r="H267" s="39" t="s">
        <v>917</v>
      </c>
      <c r="I267" s="39" t="s">
        <v>260</v>
      </c>
    </row>
    <row r="268" ht="15.75" hidden="1" customHeight="1">
      <c r="A268" s="36">
        <v>5382398.0</v>
      </c>
      <c r="B268" s="37" t="s">
        <v>118</v>
      </c>
      <c r="C268" s="37" t="s">
        <v>918</v>
      </c>
      <c r="D268" s="37" t="s">
        <v>331</v>
      </c>
      <c r="E268" s="37" t="s">
        <v>283</v>
      </c>
      <c r="F268" s="37" t="s">
        <v>284</v>
      </c>
      <c r="G268" s="37" t="s">
        <v>3</v>
      </c>
      <c r="H268" s="37" t="s">
        <v>919</v>
      </c>
      <c r="I268" s="37" t="s">
        <v>260</v>
      </c>
      <c r="J268" s="1">
        <v>42.0</v>
      </c>
      <c r="L268" s="40" t="s">
        <v>118</v>
      </c>
    </row>
    <row r="269" ht="15.75" customHeight="1">
      <c r="A269" s="38">
        <v>3524085.0</v>
      </c>
      <c r="B269" s="39" t="s">
        <v>13</v>
      </c>
      <c r="C269" s="39" t="s">
        <v>33</v>
      </c>
      <c r="D269" s="39" t="s">
        <v>224</v>
      </c>
      <c r="E269" s="39" t="s">
        <v>408</v>
      </c>
      <c r="F269" s="39" t="s">
        <v>341</v>
      </c>
      <c r="G269" s="39" t="s">
        <v>3</v>
      </c>
      <c r="H269" s="39" t="s">
        <v>920</v>
      </c>
      <c r="I269" s="39" t="s">
        <v>260</v>
      </c>
      <c r="J269" s="1">
        <v>42.0</v>
      </c>
      <c r="L269" s="40" t="s">
        <v>118</v>
      </c>
    </row>
    <row r="270" ht="15.75" hidden="1" customHeight="1">
      <c r="A270" s="36">
        <v>5292410.0</v>
      </c>
      <c r="B270" s="37" t="s">
        <v>118</v>
      </c>
      <c r="C270" s="37" t="s">
        <v>921</v>
      </c>
      <c r="D270" s="37" t="s">
        <v>224</v>
      </c>
      <c r="E270" s="37" t="s">
        <v>283</v>
      </c>
      <c r="F270" s="37" t="s">
        <v>284</v>
      </c>
      <c r="G270" s="37" t="s">
        <v>3</v>
      </c>
      <c r="H270" s="37" t="s">
        <v>922</v>
      </c>
      <c r="I270" s="37" t="s">
        <v>260</v>
      </c>
      <c r="J270" s="1">
        <v>42.0</v>
      </c>
      <c r="L270" s="40" t="s">
        <v>13</v>
      </c>
    </row>
    <row r="271" ht="15.75" hidden="1" customHeight="1">
      <c r="A271" s="38">
        <v>3526370.0</v>
      </c>
      <c r="B271" s="39" t="s">
        <v>385</v>
      </c>
      <c r="C271" s="39" t="s">
        <v>923</v>
      </c>
      <c r="D271" s="39" t="s">
        <v>224</v>
      </c>
      <c r="E271" s="39" t="s">
        <v>387</v>
      </c>
      <c r="F271" s="39" t="s">
        <v>300</v>
      </c>
      <c r="G271" s="39" t="s">
        <v>301</v>
      </c>
      <c r="H271" s="39" t="s">
        <v>924</v>
      </c>
      <c r="I271" s="39" t="s">
        <v>229</v>
      </c>
    </row>
    <row r="272" ht="15.75" hidden="1" customHeight="1">
      <c r="A272" s="36">
        <v>5891344.0</v>
      </c>
      <c r="B272" s="37" t="s">
        <v>118</v>
      </c>
      <c r="C272" s="37" t="s">
        <v>925</v>
      </c>
      <c r="D272" s="37" t="s">
        <v>224</v>
      </c>
      <c r="E272" s="37" t="s">
        <v>283</v>
      </c>
      <c r="F272" s="37" t="s">
        <v>284</v>
      </c>
      <c r="G272" s="37" t="s">
        <v>3</v>
      </c>
      <c r="H272" s="37" t="s">
        <v>926</v>
      </c>
      <c r="I272" s="37" t="s">
        <v>260</v>
      </c>
      <c r="J272" s="1">
        <v>42.0</v>
      </c>
      <c r="L272" s="40" t="s">
        <v>118</v>
      </c>
    </row>
    <row r="273" ht="15.75" hidden="1" customHeight="1">
      <c r="A273" s="38">
        <v>3526583.0</v>
      </c>
      <c r="B273" s="39" t="s">
        <v>432</v>
      </c>
      <c r="C273" s="39" t="s">
        <v>927</v>
      </c>
      <c r="D273" s="39" t="s">
        <v>224</v>
      </c>
      <c r="E273" s="39" t="s">
        <v>357</v>
      </c>
      <c r="F273" s="39" t="s">
        <v>341</v>
      </c>
      <c r="G273" s="39" t="s">
        <v>3</v>
      </c>
      <c r="H273" s="39" t="s">
        <v>928</v>
      </c>
      <c r="I273" s="39" t="s">
        <v>260</v>
      </c>
      <c r="J273" s="1">
        <v>42.0</v>
      </c>
      <c r="L273" s="40" t="s">
        <v>118</v>
      </c>
    </row>
    <row r="274" ht="15.75" hidden="1" customHeight="1">
      <c r="A274" s="36">
        <v>5907062.0</v>
      </c>
      <c r="B274" s="37" t="s">
        <v>118</v>
      </c>
      <c r="C274" s="37" t="s">
        <v>929</v>
      </c>
      <c r="D274" s="37" t="s">
        <v>224</v>
      </c>
      <c r="E274" s="37" t="s">
        <v>283</v>
      </c>
      <c r="F274" s="37" t="s">
        <v>284</v>
      </c>
      <c r="G274" s="37" t="s">
        <v>3</v>
      </c>
      <c r="H274" s="37" t="s">
        <v>930</v>
      </c>
      <c r="I274" s="37" t="s">
        <v>260</v>
      </c>
      <c r="J274" s="1">
        <v>42.0</v>
      </c>
      <c r="L274" s="40" t="s">
        <v>432</v>
      </c>
    </row>
    <row r="275" ht="15.75" hidden="1" customHeight="1">
      <c r="A275" s="38">
        <v>3534523.0</v>
      </c>
      <c r="B275" s="39" t="s">
        <v>232</v>
      </c>
      <c r="C275" s="39" t="s">
        <v>931</v>
      </c>
      <c r="D275" s="39" t="s">
        <v>224</v>
      </c>
      <c r="E275" s="39" t="s">
        <v>932</v>
      </c>
      <c r="F275" s="39" t="s">
        <v>226</v>
      </c>
      <c r="G275" s="39" t="s">
        <v>227</v>
      </c>
      <c r="H275" s="39" t="s">
        <v>933</v>
      </c>
      <c r="I275" s="39" t="s">
        <v>229</v>
      </c>
    </row>
    <row r="276" ht="15.75" hidden="1" customHeight="1">
      <c r="A276" s="36">
        <v>5831045.0</v>
      </c>
      <c r="B276" s="37" t="s">
        <v>118</v>
      </c>
      <c r="C276" s="37" t="s">
        <v>934</v>
      </c>
      <c r="D276" s="37" t="s">
        <v>224</v>
      </c>
      <c r="E276" s="37" t="s">
        <v>283</v>
      </c>
      <c r="F276" s="37" t="s">
        <v>284</v>
      </c>
      <c r="G276" s="37" t="s">
        <v>3</v>
      </c>
      <c r="H276" s="37" t="s">
        <v>935</v>
      </c>
      <c r="I276" s="37" t="s">
        <v>260</v>
      </c>
      <c r="J276" s="1">
        <v>42.0</v>
      </c>
      <c r="L276" s="40" t="s">
        <v>118</v>
      </c>
    </row>
    <row r="277" ht="15.75" hidden="1" customHeight="1">
      <c r="A277" s="38">
        <v>3540870.0</v>
      </c>
      <c r="B277" s="39" t="s">
        <v>936</v>
      </c>
      <c r="C277" s="39" t="s">
        <v>937</v>
      </c>
      <c r="D277" s="39" t="s">
        <v>224</v>
      </c>
      <c r="E277" s="39" t="s">
        <v>938</v>
      </c>
      <c r="F277" s="39" t="s">
        <v>266</v>
      </c>
      <c r="G277" s="39" t="s">
        <v>250</v>
      </c>
      <c r="H277" s="39" t="s">
        <v>939</v>
      </c>
      <c r="I277" s="39" t="s">
        <v>229</v>
      </c>
    </row>
    <row r="278" ht="15.75" hidden="1" customHeight="1">
      <c r="A278" s="36">
        <v>5977551.0</v>
      </c>
      <c r="B278" s="37" t="s">
        <v>118</v>
      </c>
      <c r="C278" s="37" t="s">
        <v>940</v>
      </c>
      <c r="D278" s="37" t="s">
        <v>224</v>
      </c>
      <c r="E278" s="37" t="s">
        <v>283</v>
      </c>
      <c r="F278" s="37" t="s">
        <v>284</v>
      </c>
      <c r="G278" s="37" t="s">
        <v>3</v>
      </c>
      <c r="H278" s="37" t="s">
        <v>941</v>
      </c>
      <c r="I278" s="37" t="s">
        <v>260</v>
      </c>
      <c r="J278" s="1">
        <v>42.0</v>
      </c>
      <c r="L278" s="40" t="s">
        <v>118</v>
      </c>
    </row>
    <row r="279" ht="15.75" hidden="1" customHeight="1">
      <c r="A279" s="38">
        <v>3549914.0</v>
      </c>
      <c r="B279" s="39" t="s">
        <v>514</v>
      </c>
      <c r="C279" s="39" t="s">
        <v>942</v>
      </c>
      <c r="D279" s="39" t="s">
        <v>224</v>
      </c>
      <c r="E279" s="39" t="s">
        <v>756</v>
      </c>
      <c r="F279" s="39" t="s">
        <v>300</v>
      </c>
      <c r="G279" s="39" t="s">
        <v>301</v>
      </c>
      <c r="H279" s="39" t="s">
        <v>943</v>
      </c>
      <c r="I279" s="39" t="s">
        <v>229</v>
      </c>
    </row>
    <row r="280" ht="15.75" hidden="1" customHeight="1">
      <c r="A280" s="36">
        <v>5960856.0</v>
      </c>
      <c r="B280" s="37" t="s">
        <v>118</v>
      </c>
      <c r="C280" s="37" t="s">
        <v>944</v>
      </c>
      <c r="D280" s="37" t="s">
        <v>224</v>
      </c>
      <c r="E280" s="37" t="s">
        <v>283</v>
      </c>
      <c r="F280" s="37" t="s">
        <v>284</v>
      </c>
      <c r="G280" s="37" t="s">
        <v>3</v>
      </c>
      <c r="H280" s="37" t="s">
        <v>945</v>
      </c>
      <c r="I280" s="37" t="s">
        <v>260</v>
      </c>
      <c r="J280" s="1">
        <v>42.0</v>
      </c>
      <c r="L280" s="40" t="s">
        <v>118</v>
      </c>
    </row>
    <row r="281" ht="15.75" hidden="1" customHeight="1">
      <c r="A281" s="38">
        <v>3557595.0</v>
      </c>
      <c r="B281" s="39" t="s">
        <v>254</v>
      </c>
      <c r="C281" s="39" t="s">
        <v>946</v>
      </c>
      <c r="D281" s="39" t="s">
        <v>224</v>
      </c>
      <c r="E281" s="39" t="s">
        <v>443</v>
      </c>
      <c r="F281" s="39" t="s">
        <v>257</v>
      </c>
      <c r="G281" s="39" t="s">
        <v>258</v>
      </c>
      <c r="H281" s="39" t="s">
        <v>947</v>
      </c>
      <c r="I281" s="39" t="s">
        <v>260</v>
      </c>
    </row>
    <row r="282" ht="15.75" hidden="1" customHeight="1">
      <c r="A282" s="36">
        <v>5929705.0</v>
      </c>
      <c r="B282" s="37" t="s">
        <v>118</v>
      </c>
      <c r="C282" s="37" t="s">
        <v>948</v>
      </c>
      <c r="D282" s="37" t="s">
        <v>224</v>
      </c>
      <c r="E282" s="37" t="s">
        <v>283</v>
      </c>
      <c r="F282" s="37" t="s">
        <v>284</v>
      </c>
      <c r="G282" s="37" t="s">
        <v>3</v>
      </c>
      <c r="H282" s="37" t="s">
        <v>949</v>
      </c>
      <c r="I282" s="37" t="s">
        <v>260</v>
      </c>
      <c r="J282" s="1">
        <v>42.0</v>
      </c>
      <c r="L282" s="40" t="s">
        <v>118</v>
      </c>
    </row>
    <row r="283" ht="15.75" hidden="1" customHeight="1">
      <c r="A283" s="38">
        <v>3563778.0</v>
      </c>
      <c r="B283" s="39" t="s">
        <v>794</v>
      </c>
      <c r="C283" s="39" t="s">
        <v>950</v>
      </c>
      <c r="D283" s="39" t="s">
        <v>224</v>
      </c>
      <c r="E283" s="39" t="s">
        <v>318</v>
      </c>
      <c r="F283" s="39" t="s">
        <v>293</v>
      </c>
      <c r="G283" s="39" t="s">
        <v>319</v>
      </c>
      <c r="H283" s="39" t="s">
        <v>951</v>
      </c>
      <c r="I283" s="39" t="s">
        <v>229</v>
      </c>
    </row>
    <row r="284" ht="15.75" hidden="1" customHeight="1">
      <c r="A284" s="36">
        <v>5898384.0</v>
      </c>
      <c r="B284" s="37" t="s">
        <v>118</v>
      </c>
      <c r="C284" s="37" t="s">
        <v>952</v>
      </c>
      <c r="D284" s="37" t="s">
        <v>224</v>
      </c>
      <c r="E284" s="37" t="s">
        <v>283</v>
      </c>
      <c r="F284" s="37" t="s">
        <v>284</v>
      </c>
      <c r="G284" s="37" t="s">
        <v>3</v>
      </c>
      <c r="H284" s="37" t="s">
        <v>953</v>
      </c>
      <c r="I284" s="37" t="s">
        <v>260</v>
      </c>
      <c r="J284" s="1">
        <v>42.0</v>
      </c>
      <c r="L284" s="40" t="s">
        <v>118</v>
      </c>
    </row>
    <row r="285" ht="15.75" hidden="1" customHeight="1">
      <c r="A285" s="38">
        <v>3564385.0</v>
      </c>
      <c r="B285" s="39" t="s">
        <v>821</v>
      </c>
      <c r="C285" s="39" t="s">
        <v>954</v>
      </c>
      <c r="D285" s="39" t="s">
        <v>224</v>
      </c>
      <c r="E285" s="39" t="s">
        <v>299</v>
      </c>
      <c r="F285" s="39" t="s">
        <v>300</v>
      </c>
      <c r="G285" s="39" t="s">
        <v>301</v>
      </c>
      <c r="H285" s="39" t="s">
        <v>955</v>
      </c>
      <c r="I285" s="39" t="s">
        <v>229</v>
      </c>
    </row>
    <row r="286" ht="15.75" hidden="1" customHeight="1">
      <c r="A286" s="36">
        <v>5832392.0</v>
      </c>
      <c r="B286" s="37" t="s">
        <v>118</v>
      </c>
      <c r="C286" s="37" t="s">
        <v>956</v>
      </c>
      <c r="D286" s="37" t="s">
        <v>224</v>
      </c>
      <c r="E286" s="37" t="s">
        <v>283</v>
      </c>
      <c r="F286" s="37" t="s">
        <v>284</v>
      </c>
      <c r="G286" s="37" t="s">
        <v>3</v>
      </c>
      <c r="H286" s="37" t="s">
        <v>957</v>
      </c>
      <c r="I286" s="37" t="s">
        <v>260</v>
      </c>
      <c r="J286" s="1">
        <v>42.0</v>
      </c>
      <c r="L286" s="40" t="s">
        <v>118</v>
      </c>
    </row>
    <row r="287" ht="15.75" hidden="1" customHeight="1">
      <c r="A287" s="38">
        <v>3568698.0</v>
      </c>
      <c r="B287" s="39" t="s">
        <v>374</v>
      </c>
      <c r="C287" s="39" t="s">
        <v>958</v>
      </c>
      <c r="D287" s="39" t="s">
        <v>224</v>
      </c>
      <c r="E287" s="39" t="s">
        <v>959</v>
      </c>
      <c r="F287" s="39" t="s">
        <v>377</v>
      </c>
      <c r="G287" s="39" t="s">
        <v>327</v>
      </c>
      <c r="H287" s="39" t="s">
        <v>960</v>
      </c>
      <c r="I287" s="39" t="s">
        <v>229</v>
      </c>
    </row>
    <row r="288" ht="15.75" customHeight="1">
      <c r="A288" s="36">
        <v>3570218.0</v>
      </c>
      <c r="B288" s="37" t="s">
        <v>13</v>
      </c>
      <c r="C288" s="37" t="s">
        <v>34</v>
      </c>
      <c r="D288" s="37" t="s">
        <v>224</v>
      </c>
      <c r="E288" s="37" t="s">
        <v>340</v>
      </c>
      <c r="F288" s="37" t="s">
        <v>341</v>
      </c>
      <c r="G288" s="37" t="s">
        <v>3</v>
      </c>
      <c r="H288" s="37" t="s">
        <v>961</v>
      </c>
      <c r="I288" s="37" t="s">
        <v>260</v>
      </c>
      <c r="J288" s="1">
        <v>42.0</v>
      </c>
      <c r="L288" s="40" t="s">
        <v>118</v>
      </c>
    </row>
    <row r="289" ht="15.75" hidden="1" customHeight="1">
      <c r="A289" s="38">
        <v>5380477.0</v>
      </c>
      <c r="B289" s="39" t="s">
        <v>118</v>
      </c>
      <c r="C289" s="39" t="s">
        <v>962</v>
      </c>
      <c r="D289" s="39" t="s">
        <v>269</v>
      </c>
      <c r="E289" s="39" t="s">
        <v>283</v>
      </c>
      <c r="F289" s="39" t="s">
        <v>284</v>
      </c>
      <c r="G289" s="39" t="s">
        <v>3</v>
      </c>
      <c r="H289" s="39" t="s">
        <v>963</v>
      </c>
      <c r="I289" s="39" t="s">
        <v>260</v>
      </c>
      <c r="J289" s="1">
        <v>42.0</v>
      </c>
      <c r="L289" s="40" t="s">
        <v>13</v>
      </c>
    </row>
    <row r="290" ht="15.75" hidden="1" customHeight="1">
      <c r="A290" s="36">
        <v>3587762.0</v>
      </c>
      <c r="B290" s="37" t="s">
        <v>254</v>
      </c>
      <c r="C290" s="37" t="s">
        <v>964</v>
      </c>
      <c r="D290" s="37" t="s">
        <v>224</v>
      </c>
      <c r="E290" s="37" t="s">
        <v>272</v>
      </c>
      <c r="F290" s="37" t="s">
        <v>257</v>
      </c>
      <c r="G290" s="37" t="s">
        <v>258</v>
      </c>
      <c r="H290" s="37" t="s">
        <v>965</v>
      </c>
      <c r="I290" s="37" t="s">
        <v>260</v>
      </c>
    </row>
    <row r="291" ht="15.75" hidden="1" customHeight="1">
      <c r="A291" s="38">
        <v>3591141.0</v>
      </c>
      <c r="B291" s="39" t="s">
        <v>835</v>
      </c>
      <c r="C291" s="39" t="s">
        <v>966</v>
      </c>
      <c r="D291" s="39" t="s">
        <v>224</v>
      </c>
      <c r="E291" s="39" t="s">
        <v>837</v>
      </c>
      <c r="F291" s="39" t="s">
        <v>377</v>
      </c>
      <c r="G291" s="39" t="s">
        <v>327</v>
      </c>
      <c r="H291" s="39" t="s">
        <v>967</v>
      </c>
      <c r="I291" s="39" t="s">
        <v>229</v>
      </c>
    </row>
    <row r="292" ht="15.75" hidden="1" customHeight="1">
      <c r="A292" s="36">
        <v>5785941.0</v>
      </c>
      <c r="B292" s="37" t="s">
        <v>254</v>
      </c>
      <c r="C292" s="37" t="s">
        <v>968</v>
      </c>
      <c r="D292" s="37" t="s">
        <v>224</v>
      </c>
      <c r="E292" s="37" t="s">
        <v>256</v>
      </c>
      <c r="F292" s="37" t="s">
        <v>257</v>
      </c>
      <c r="G292" s="37" t="s">
        <v>258</v>
      </c>
      <c r="H292" s="37" t="s">
        <v>969</v>
      </c>
      <c r="I292" s="37" t="s">
        <v>260</v>
      </c>
    </row>
    <row r="293" ht="15.75" hidden="1" customHeight="1">
      <c r="A293" s="38">
        <v>3611898.0</v>
      </c>
      <c r="B293" s="39" t="s">
        <v>232</v>
      </c>
      <c r="C293" s="39" t="s">
        <v>970</v>
      </c>
      <c r="D293" s="39" t="s">
        <v>269</v>
      </c>
      <c r="E293" s="39" t="s">
        <v>437</v>
      </c>
      <c r="F293" s="39" t="s">
        <v>226</v>
      </c>
      <c r="G293" s="39" t="s">
        <v>227</v>
      </c>
      <c r="H293" s="39" t="s">
        <v>971</v>
      </c>
      <c r="I293" s="39" t="s">
        <v>229</v>
      </c>
    </row>
    <row r="294" ht="15.75" hidden="1" customHeight="1">
      <c r="A294" s="36">
        <v>5468416.0</v>
      </c>
      <c r="B294" s="37" t="s">
        <v>441</v>
      </c>
      <c r="C294" s="37" t="s">
        <v>972</v>
      </c>
      <c r="D294" s="37" t="s">
        <v>224</v>
      </c>
      <c r="E294" s="37" t="s">
        <v>256</v>
      </c>
      <c r="F294" s="37" t="s">
        <v>257</v>
      </c>
      <c r="G294" s="37" t="s">
        <v>258</v>
      </c>
      <c r="H294" s="37" t="s">
        <v>973</v>
      </c>
      <c r="I294" s="37" t="s">
        <v>260</v>
      </c>
    </row>
    <row r="295" ht="15.75" hidden="1" customHeight="1">
      <c r="A295" s="38">
        <v>3612246.0</v>
      </c>
      <c r="B295" s="39" t="s">
        <v>425</v>
      </c>
      <c r="C295" s="39" t="s">
        <v>974</v>
      </c>
      <c r="D295" s="39" t="s">
        <v>224</v>
      </c>
      <c r="E295" s="39" t="s">
        <v>427</v>
      </c>
      <c r="F295" s="39" t="s">
        <v>312</v>
      </c>
      <c r="G295" s="37" t="s">
        <v>3</v>
      </c>
      <c r="H295" s="39" t="s">
        <v>975</v>
      </c>
      <c r="I295" s="39" t="s">
        <v>260</v>
      </c>
    </row>
    <row r="296" ht="15.75" hidden="1" customHeight="1">
      <c r="A296" s="36">
        <v>4476984.0</v>
      </c>
      <c r="B296" s="37" t="s">
        <v>254</v>
      </c>
      <c r="C296" s="37" t="s">
        <v>976</v>
      </c>
      <c r="D296" s="37" t="s">
        <v>224</v>
      </c>
      <c r="E296" s="37" t="s">
        <v>256</v>
      </c>
      <c r="F296" s="37" t="s">
        <v>257</v>
      </c>
      <c r="G296" s="37" t="s">
        <v>258</v>
      </c>
      <c r="H296" s="37" t="s">
        <v>977</v>
      </c>
      <c r="I296" s="37" t="s">
        <v>260</v>
      </c>
    </row>
    <row r="297" ht="15.75" hidden="1" customHeight="1">
      <c r="A297" s="38">
        <v>3614461.0</v>
      </c>
      <c r="B297" s="39" t="s">
        <v>821</v>
      </c>
      <c r="C297" s="39" t="s">
        <v>978</v>
      </c>
      <c r="D297" s="39" t="s">
        <v>224</v>
      </c>
      <c r="E297" s="39" t="s">
        <v>299</v>
      </c>
      <c r="F297" s="39" t="s">
        <v>300</v>
      </c>
      <c r="G297" s="39" t="s">
        <v>301</v>
      </c>
      <c r="H297" s="39" t="s">
        <v>979</v>
      </c>
      <c r="I297" s="39" t="s">
        <v>229</v>
      </c>
    </row>
    <row r="298" ht="15.75" hidden="1" customHeight="1">
      <c r="A298" s="36">
        <v>4765873.0</v>
      </c>
      <c r="B298" s="37" t="s">
        <v>254</v>
      </c>
      <c r="C298" s="37" t="s">
        <v>980</v>
      </c>
      <c r="D298" s="37" t="s">
        <v>224</v>
      </c>
      <c r="E298" s="37" t="s">
        <v>256</v>
      </c>
      <c r="F298" s="37" t="s">
        <v>257</v>
      </c>
      <c r="G298" s="37" t="s">
        <v>258</v>
      </c>
      <c r="H298" s="37" t="s">
        <v>981</v>
      </c>
      <c r="I298" s="37" t="s">
        <v>260</v>
      </c>
    </row>
    <row r="299" ht="15.75" hidden="1" customHeight="1">
      <c r="A299" s="38">
        <v>3616211.0</v>
      </c>
      <c r="B299" s="39" t="s">
        <v>853</v>
      </c>
      <c r="C299" s="39" t="s">
        <v>982</v>
      </c>
      <c r="D299" s="39" t="s">
        <v>224</v>
      </c>
      <c r="E299" s="39" t="s">
        <v>459</v>
      </c>
      <c r="F299" s="39" t="s">
        <v>292</v>
      </c>
      <c r="G299" s="39" t="s">
        <v>293</v>
      </c>
      <c r="H299" s="39" t="s">
        <v>983</v>
      </c>
      <c r="I299" s="39" t="s">
        <v>229</v>
      </c>
    </row>
    <row r="300" ht="15.75" hidden="1" customHeight="1">
      <c r="A300" s="36">
        <v>4911771.0</v>
      </c>
      <c r="B300" s="37" t="s">
        <v>254</v>
      </c>
      <c r="C300" s="37" t="s">
        <v>984</v>
      </c>
      <c r="D300" s="37" t="s">
        <v>224</v>
      </c>
      <c r="E300" s="37" t="s">
        <v>256</v>
      </c>
      <c r="F300" s="37" t="s">
        <v>257</v>
      </c>
      <c r="G300" s="37" t="s">
        <v>258</v>
      </c>
      <c r="H300" s="37" t="s">
        <v>985</v>
      </c>
      <c r="I300" s="37" t="s">
        <v>260</v>
      </c>
    </row>
    <row r="301" ht="15.75" hidden="1" customHeight="1">
      <c r="A301" s="38">
        <v>3619342.0</v>
      </c>
      <c r="B301" s="39" t="s">
        <v>986</v>
      </c>
      <c r="C301" s="39" t="s">
        <v>987</v>
      </c>
      <c r="D301" s="39" t="s">
        <v>331</v>
      </c>
      <c r="E301" s="39" t="s">
        <v>988</v>
      </c>
      <c r="F301" s="39" t="s">
        <v>679</v>
      </c>
      <c r="G301" s="39" t="s">
        <v>301</v>
      </c>
      <c r="H301" s="39" t="s">
        <v>989</v>
      </c>
      <c r="I301" s="39" t="s">
        <v>229</v>
      </c>
    </row>
    <row r="302" ht="15.75" hidden="1" customHeight="1">
      <c r="A302" s="36">
        <v>4965764.0</v>
      </c>
      <c r="B302" s="37" t="s">
        <v>254</v>
      </c>
      <c r="C302" s="37" t="s">
        <v>990</v>
      </c>
      <c r="D302" s="37" t="s">
        <v>224</v>
      </c>
      <c r="E302" s="37" t="s">
        <v>256</v>
      </c>
      <c r="F302" s="37" t="s">
        <v>257</v>
      </c>
      <c r="G302" s="37" t="s">
        <v>258</v>
      </c>
      <c r="H302" s="37" t="s">
        <v>991</v>
      </c>
      <c r="I302" s="37" t="s">
        <v>260</v>
      </c>
    </row>
    <row r="303" ht="15.75" hidden="1" customHeight="1">
      <c r="A303" s="38">
        <v>3620469.0</v>
      </c>
      <c r="B303" s="39" t="s">
        <v>592</v>
      </c>
      <c r="C303" s="39" t="s">
        <v>992</v>
      </c>
      <c r="D303" s="39" t="s">
        <v>224</v>
      </c>
      <c r="E303" s="39" t="s">
        <v>393</v>
      </c>
      <c r="F303" s="39" t="s">
        <v>249</v>
      </c>
      <c r="G303" s="39" t="s">
        <v>250</v>
      </c>
      <c r="H303" s="39" t="s">
        <v>993</v>
      </c>
      <c r="I303" s="39" t="s">
        <v>229</v>
      </c>
    </row>
    <row r="304" ht="15.75" hidden="1" customHeight="1">
      <c r="A304" s="36">
        <v>5054791.0</v>
      </c>
      <c r="B304" s="37" t="s">
        <v>994</v>
      </c>
      <c r="C304" s="37" t="s">
        <v>995</v>
      </c>
      <c r="D304" s="37" t="s">
        <v>224</v>
      </c>
      <c r="E304" s="37" t="s">
        <v>256</v>
      </c>
      <c r="F304" s="37" t="s">
        <v>257</v>
      </c>
      <c r="G304" s="37" t="s">
        <v>258</v>
      </c>
      <c r="H304" s="37" t="s">
        <v>996</v>
      </c>
      <c r="I304" s="37" t="s">
        <v>260</v>
      </c>
    </row>
    <row r="305" ht="15.75" hidden="1" customHeight="1">
      <c r="A305" s="38">
        <v>3621787.0</v>
      </c>
      <c r="B305" s="39" t="s">
        <v>522</v>
      </c>
      <c r="C305" s="39" t="s">
        <v>997</v>
      </c>
      <c r="D305" s="39" t="s">
        <v>224</v>
      </c>
      <c r="E305" s="39" t="s">
        <v>658</v>
      </c>
      <c r="F305" s="39" t="s">
        <v>470</v>
      </c>
      <c r="G305" s="39" t="s">
        <v>327</v>
      </c>
      <c r="H305" s="39" t="s">
        <v>998</v>
      </c>
      <c r="I305" s="39" t="s">
        <v>229</v>
      </c>
    </row>
    <row r="306" ht="15.75" hidden="1" customHeight="1">
      <c r="A306" s="36">
        <v>5087232.0</v>
      </c>
      <c r="B306" s="37" t="s">
        <v>309</v>
      </c>
      <c r="C306" s="37" t="s">
        <v>999</v>
      </c>
      <c r="D306" s="37" t="s">
        <v>224</v>
      </c>
      <c r="E306" s="37" t="s">
        <v>256</v>
      </c>
      <c r="F306" s="37" t="s">
        <v>257</v>
      </c>
      <c r="G306" s="37" t="s">
        <v>258</v>
      </c>
      <c r="H306" s="37" t="s">
        <v>1000</v>
      </c>
      <c r="I306" s="37" t="s">
        <v>260</v>
      </c>
    </row>
    <row r="307" ht="15.75" hidden="1" customHeight="1">
      <c r="A307" s="38">
        <v>3627380.0</v>
      </c>
      <c r="B307" s="39" t="s">
        <v>986</v>
      </c>
      <c r="C307" s="39" t="s">
        <v>1001</v>
      </c>
      <c r="D307" s="39" t="s">
        <v>224</v>
      </c>
      <c r="E307" s="39" t="s">
        <v>1002</v>
      </c>
      <c r="F307" s="39" t="s">
        <v>679</v>
      </c>
      <c r="G307" s="39" t="s">
        <v>301</v>
      </c>
      <c r="H307" s="39" t="s">
        <v>1003</v>
      </c>
      <c r="I307" s="39" t="s">
        <v>229</v>
      </c>
    </row>
    <row r="308" ht="15.75" hidden="1" customHeight="1">
      <c r="A308" s="36">
        <v>5502361.0</v>
      </c>
      <c r="B308" s="37" t="s">
        <v>254</v>
      </c>
      <c r="C308" s="37" t="s">
        <v>1004</v>
      </c>
      <c r="D308" s="37" t="s">
        <v>224</v>
      </c>
      <c r="E308" s="37" t="s">
        <v>256</v>
      </c>
      <c r="F308" s="37" t="s">
        <v>257</v>
      </c>
      <c r="G308" s="37" t="s">
        <v>258</v>
      </c>
      <c r="H308" s="37" t="s">
        <v>1005</v>
      </c>
      <c r="I308" s="37" t="s">
        <v>260</v>
      </c>
    </row>
    <row r="309" ht="15.75" hidden="1" customHeight="1">
      <c r="A309" s="38">
        <v>3628486.0</v>
      </c>
      <c r="B309" s="39" t="s">
        <v>986</v>
      </c>
      <c r="C309" s="39" t="s">
        <v>1006</v>
      </c>
      <c r="D309" s="39" t="s">
        <v>224</v>
      </c>
      <c r="E309" s="39" t="s">
        <v>988</v>
      </c>
      <c r="F309" s="39" t="s">
        <v>679</v>
      </c>
      <c r="G309" s="39" t="s">
        <v>301</v>
      </c>
      <c r="H309" s="39" t="s">
        <v>1007</v>
      </c>
      <c r="I309" s="39" t="s">
        <v>229</v>
      </c>
    </row>
    <row r="310" ht="15.75" hidden="1" customHeight="1">
      <c r="A310" s="36">
        <v>5315203.0</v>
      </c>
      <c r="B310" s="37" t="s">
        <v>254</v>
      </c>
      <c r="C310" s="37" t="s">
        <v>1008</v>
      </c>
      <c r="D310" s="37" t="s">
        <v>269</v>
      </c>
      <c r="E310" s="37" t="s">
        <v>256</v>
      </c>
      <c r="F310" s="37" t="s">
        <v>257</v>
      </c>
      <c r="G310" s="37" t="s">
        <v>258</v>
      </c>
      <c r="H310" s="37" t="s">
        <v>1009</v>
      </c>
      <c r="I310" s="37" t="s">
        <v>260</v>
      </c>
    </row>
    <row r="311" ht="15.75" hidden="1" customHeight="1">
      <c r="A311" s="38">
        <v>3628764.0</v>
      </c>
      <c r="B311" s="39" t="s">
        <v>316</v>
      </c>
      <c r="C311" s="39" t="s">
        <v>1010</v>
      </c>
      <c r="D311" s="39" t="s">
        <v>224</v>
      </c>
      <c r="E311" s="39" t="s">
        <v>1011</v>
      </c>
      <c r="F311" s="39" t="s">
        <v>293</v>
      </c>
      <c r="G311" s="39" t="s">
        <v>319</v>
      </c>
      <c r="H311" s="39" t="s">
        <v>1012</v>
      </c>
      <c r="I311" s="39" t="s">
        <v>229</v>
      </c>
    </row>
    <row r="312" ht="15.75" hidden="1" customHeight="1">
      <c r="A312" s="36">
        <v>4432796.0</v>
      </c>
      <c r="B312" s="37" t="s">
        <v>254</v>
      </c>
      <c r="C312" s="37" t="s">
        <v>1013</v>
      </c>
      <c r="D312" s="37" t="s">
        <v>224</v>
      </c>
      <c r="E312" s="37" t="s">
        <v>256</v>
      </c>
      <c r="F312" s="37" t="s">
        <v>257</v>
      </c>
      <c r="G312" s="37" t="s">
        <v>258</v>
      </c>
      <c r="H312" s="37" t="s">
        <v>1014</v>
      </c>
      <c r="I312" s="37" t="s">
        <v>260</v>
      </c>
    </row>
    <row r="313" ht="15.75" hidden="1" customHeight="1">
      <c r="A313" s="38">
        <v>3628777.0</v>
      </c>
      <c r="B313" s="43" t="s">
        <v>121</v>
      </c>
      <c r="C313" s="39" t="s">
        <v>119</v>
      </c>
      <c r="D313" s="39" t="s">
        <v>224</v>
      </c>
      <c r="E313" s="39" t="s">
        <v>1015</v>
      </c>
      <c r="F313" s="39" t="s">
        <v>644</v>
      </c>
      <c r="G313" s="39" t="s">
        <v>3</v>
      </c>
      <c r="H313" s="39" t="s">
        <v>1016</v>
      </c>
      <c r="I313" s="39" t="s">
        <v>260</v>
      </c>
      <c r="J313" s="1">
        <v>42.0</v>
      </c>
      <c r="L313" s="40" t="s">
        <v>118</v>
      </c>
    </row>
    <row r="314" ht="15.75" hidden="1" customHeight="1">
      <c r="A314" s="36">
        <v>5389555.0</v>
      </c>
      <c r="B314" s="37" t="s">
        <v>441</v>
      </c>
      <c r="C314" s="37" t="s">
        <v>1017</v>
      </c>
      <c r="D314" s="37" t="s">
        <v>224</v>
      </c>
      <c r="E314" s="37" t="s">
        <v>256</v>
      </c>
      <c r="F314" s="37" t="s">
        <v>257</v>
      </c>
      <c r="G314" s="37" t="s">
        <v>258</v>
      </c>
      <c r="H314" s="37" t="s">
        <v>1018</v>
      </c>
      <c r="I314" s="37" t="s">
        <v>260</v>
      </c>
    </row>
    <row r="315" ht="15.75" hidden="1" customHeight="1">
      <c r="A315" s="38">
        <v>3629164.0</v>
      </c>
      <c r="B315" s="39" t="s">
        <v>1019</v>
      </c>
      <c r="C315" s="39" t="s">
        <v>1020</v>
      </c>
      <c r="D315" s="39" t="s">
        <v>224</v>
      </c>
      <c r="E315" s="39" t="s">
        <v>1021</v>
      </c>
      <c r="F315" s="39" t="s">
        <v>292</v>
      </c>
      <c r="G315" s="39" t="s">
        <v>293</v>
      </c>
      <c r="H315" s="39" t="s">
        <v>1022</v>
      </c>
      <c r="I315" s="39" t="s">
        <v>229</v>
      </c>
    </row>
    <row r="316" ht="15.75" hidden="1" customHeight="1">
      <c r="A316" s="36">
        <v>5550642.0</v>
      </c>
      <c r="B316" s="37" t="s">
        <v>907</v>
      </c>
      <c r="C316" s="37" t="s">
        <v>1023</v>
      </c>
      <c r="D316" s="37" t="s">
        <v>224</v>
      </c>
      <c r="E316" s="37" t="s">
        <v>256</v>
      </c>
      <c r="F316" s="37" t="s">
        <v>257</v>
      </c>
      <c r="G316" s="37" t="s">
        <v>258</v>
      </c>
      <c r="H316" s="37" t="s">
        <v>1024</v>
      </c>
      <c r="I316" s="37" t="s">
        <v>260</v>
      </c>
    </row>
    <row r="317" ht="15.75" hidden="1" customHeight="1">
      <c r="A317" s="38">
        <v>3630038.0</v>
      </c>
      <c r="B317" s="39" t="s">
        <v>276</v>
      </c>
      <c r="C317" s="39" t="s">
        <v>1025</v>
      </c>
      <c r="D317" s="39" t="s">
        <v>224</v>
      </c>
      <c r="E317" s="39" t="s">
        <v>634</v>
      </c>
      <c r="F317" s="39" t="s">
        <v>257</v>
      </c>
      <c r="G317" s="39" t="s">
        <v>258</v>
      </c>
      <c r="H317" s="39" t="s">
        <v>1026</v>
      </c>
      <c r="I317" s="39" t="s">
        <v>260</v>
      </c>
    </row>
    <row r="318" ht="15.75" hidden="1" customHeight="1">
      <c r="A318" s="36">
        <v>5663186.0</v>
      </c>
      <c r="B318" s="37" t="s">
        <v>254</v>
      </c>
      <c r="C318" s="37" t="s">
        <v>1027</v>
      </c>
      <c r="D318" s="37" t="s">
        <v>224</v>
      </c>
      <c r="E318" s="37" t="s">
        <v>256</v>
      </c>
      <c r="F318" s="37" t="s">
        <v>257</v>
      </c>
      <c r="G318" s="37" t="s">
        <v>258</v>
      </c>
      <c r="H318" s="37" t="s">
        <v>1028</v>
      </c>
      <c r="I318" s="37" t="s">
        <v>260</v>
      </c>
    </row>
    <row r="319" ht="15.75" hidden="1" customHeight="1">
      <c r="A319" s="38">
        <v>5874319.0</v>
      </c>
      <c r="B319" s="39" t="s">
        <v>254</v>
      </c>
      <c r="C319" s="39" t="s">
        <v>1029</v>
      </c>
      <c r="D319" s="39" t="s">
        <v>224</v>
      </c>
      <c r="E319" s="39" t="s">
        <v>256</v>
      </c>
      <c r="F319" s="39" t="s">
        <v>257</v>
      </c>
      <c r="G319" s="39" t="s">
        <v>258</v>
      </c>
      <c r="H319" s="39" t="s">
        <v>1030</v>
      </c>
      <c r="I319" s="39" t="s">
        <v>260</v>
      </c>
    </row>
    <row r="320" ht="15.75" hidden="1" customHeight="1">
      <c r="A320" s="36">
        <v>3649592.0</v>
      </c>
      <c r="B320" s="37" t="s">
        <v>676</v>
      </c>
      <c r="C320" s="37" t="s">
        <v>1031</v>
      </c>
      <c r="D320" s="37" t="s">
        <v>224</v>
      </c>
      <c r="E320" s="37" t="s">
        <v>678</v>
      </c>
      <c r="F320" s="37" t="s">
        <v>679</v>
      </c>
      <c r="G320" s="37" t="s">
        <v>301</v>
      </c>
      <c r="H320" s="37" t="s">
        <v>1032</v>
      </c>
      <c r="I320" s="37" t="s">
        <v>229</v>
      </c>
    </row>
    <row r="321" ht="15.75" hidden="1" customHeight="1">
      <c r="A321" s="38">
        <v>4042191.0</v>
      </c>
      <c r="B321" s="39" t="s">
        <v>994</v>
      </c>
      <c r="C321" s="39" t="s">
        <v>1033</v>
      </c>
      <c r="D321" s="39" t="s">
        <v>224</v>
      </c>
      <c r="E321" s="39" t="s">
        <v>256</v>
      </c>
      <c r="F321" s="39" t="s">
        <v>257</v>
      </c>
      <c r="G321" s="39" t="s">
        <v>258</v>
      </c>
      <c r="H321" s="39" t="s">
        <v>1034</v>
      </c>
      <c r="I321" s="39" t="s">
        <v>260</v>
      </c>
    </row>
    <row r="322" ht="15.75" hidden="1" customHeight="1">
      <c r="A322" s="36">
        <v>3661119.0</v>
      </c>
      <c r="B322" s="37" t="s">
        <v>478</v>
      </c>
      <c r="C322" s="37" t="s">
        <v>1035</v>
      </c>
      <c r="D322" s="37" t="s">
        <v>234</v>
      </c>
      <c r="E322" s="37" t="s">
        <v>711</v>
      </c>
      <c r="F322" s="37" t="s">
        <v>481</v>
      </c>
      <c r="G322" s="37" t="s">
        <v>293</v>
      </c>
      <c r="H322" s="37" t="s">
        <v>1036</v>
      </c>
      <c r="I322" s="37" t="s">
        <v>229</v>
      </c>
    </row>
    <row r="323" ht="15.75" hidden="1" customHeight="1">
      <c r="A323" s="38">
        <v>5785933.0</v>
      </c>
      <c r="B323" s="39" t="s">
        <v>254</v>
      </c>
      <c r="C323" s="39" t="s">
        <v>1037</v>
      </c>
      <c r="D323" s="39" t="s">
        <v>224</v>
      </c>
      <c r="E323" s="39" t="s">
        <v>256</v>
      </c>
      <c r="F323" s="39" t="s">
        <v>257</v>
      </c>
      <c r="G323" s="39" t="s">
        <v>258</v>
      </c>
      <c r="H323" s="39" t="s">
        <v>1038</v>
      </c>
      <c r="I323" s="39" t="s">
        <v>260</v>
      </c>
    </row>
    <row r="324" ht="15.75" hidden="1" customHeight="1">
      <c r="A324" s="36">
        <v>3662767.0</v>
      </c>
      <c r="B324" s="37" t="s">
        <v>835</v>
      </c>
      <c r="C324" s="37" t="s">
        <v>1039</v>
      </c>
      <c r="D324" s="37" t="s">
        <v>224</v>
      </c>
      <c r="E324" s="37" t="s">
        <v>1040</v>
      </c>
      <c r="F324" s="37" t="s">
        <v>377</v>
      </c>
      <c r="G324" s="37" t="s">
        <v>327</v>
      </c>
      <c r="H324" s="37" t="s">
        <v>1041</v>
      </c>
      <c r="I324" s="37" t="s">
        <v>229</v>
      </c>
    </row>
    <row r="325" ht="15.75" hidden="1" customHeight="1">
      <c r="A325" s="38">
        <v>4656971.0</v>
      </c>
      <c r="B325" s="39" t="s">
        <v>724</v>
      </c>
      <c r="C325" s="39" t="s">
        <v>1042</v>
      </c>
      <c r="D325" s="39" t="s">
        <v>224</v>
      </c>
      <c r="E325" s="39" t="s">
        <v>726</v>
      </c>
      <c r="F325" s="39" t="s">
        <v>266</v>
      </c>
      <c r="G325" s="39" t="s">
        <v>250</v>
      </c>
      <c r="H325" s="39" t="s">
        <v>1043</v>
      </c>
      <c r="I325" s="39" t="s">
        <v>229</v>
      </c>
    </row>
    <row r="326" ht="15.75" hidden="1" customHeight="1">
      <c r="A326" s="36">
        <v>3663042.0</v>
      </c>
      <c r="B326" s="37" t="s">
        <v>1044</v>
      </c>
      <c r="C326" s="37" t="s">
        <v>1045</v>
      </c>
      <c r="D326" s="37" t="s">
        <v>224</v>
      </c>
      <c r="E326" s="37" t="s">
        <v>891</v>
      </c>
      <c r="F326" s="37" t="s">
        <v>257</v>
      </c>
      <c r="G326" s="37" t="s">
        <v>258</v>
      </c>
      <c r="H326" s="37" t="s">
        <v>1046</v>
      </c>
      <c r="I326" s="37" t="s">
        <v>260</v>
      </c>
    </row>
    <row r="327" ht="15.75" hidden="1" customHeight="1">
      <c r="A327" s="38">
        <v>3664638.0</v>
      </c>
      <c r="B327" s="39" t="s">
        <v>289</v>
      </c>
      <c r="C327" s="39" t="s">
        <v>1047</v>
      </c>
      <c r="D327" s="39" t="s">
        <v>224</v>
      </c>
      <c r="E327" s="39" t="s">
        <v>1048</v>
      </c>
      <c r="F327" s="39" t="s">
        <v>292</v>
      </c>
      <c r="G327" s="39" t="s">
        <v>293</v>
      </c>
      <c r="H327" s="39" t="s">
        <v>1049</v>
      </c>
      <c r="I327" s="39" t="s">
        <v>229</v>
      </c>
    </row>
    <row r="328" ht="15.75" hidden="1" customHeight="1">
      <c r="A328" s="36">
        <v>5109850.0</v>
      </c>
      <c r="B328" s="37" t="s">
        <v>724</v>
      </c>
      <c r="C328" s="37" t="s">
        <v>1050</v>
      </c>
      <c r="D328" s="37" t="s">
        <v>224</v>
      </c>
      <c r="E328" s="37" t="s">
        <v>726</v>
      </c>
      <c r="F328" s="37" t="s">
        <v>266</v>
      </c>
      <c r="G328" s="37" t="s">
        <v>250</v>
      </c>
      <c r="H328" s="37" t="s">
        <v>1051</v>
      </c>
      <c r="I328" s="37" t="s">
        <v>229</v>
      </c>
    </row>
    <row r="329" ht="15.75" hidden="1" customHeight="1">
      <c r="A329" s="38">
        <v>3664943.0</v>
      </c>
      <c r="B329" s="39" t="s">
        <v>800</v>
      </c>
      <c r="C329" s="39" t="s">
        <v>1052</v>
      </c>
      <c r="D329" s="39" t="s">
        <v>224</v>
      </c>
      <c r="E329" s="39" t="s">
        <v>802</v>
      </c>
      <c r="F329" s="39" t="s">
        <v>333</v>
      </c>
      <c r="G329" s="39" t="s">
        <v>301</v>
      </c>
      <c r="H329" s="39" t="s">
        <v>1053</v>
      </c>
      <c r="I329" s="39" t="s">
        <v>229</v>
      </c>
    </row>
    <row r="330" ht="15.75" hidden="1" customHeight="1">
      <c r="A330" s="36">
        <v>4001928.0</v>
      </c>
      <c r="B330" s="37" t="s">
        <v>724</v>
      </c>
      <c r="C330" s="37" t="s">
        <v>1054</v>
      </c>
      <c r="D330" s="37" t="s">
        <v>224</v>
      </c>
      <c r="E330" s="37" t="s">
        <v>726</v>
      </c>
      <c r="F330" s="37" t="s">
        <v>266</v>
      </c>
      <c r="G330" s="37" t="s">
        <v>250</v>
      </c>
      <c r="H330" s="37" t="s">
        <v>1055</v>
      </c>
      <c r="I330" s="37" t="s">
        <v>229</v>
      </c>
    </row>
    <row r="331" ht="15.75" hidden="1" customHeight="1">
      <c r="A331" s="38">
        <v>3668750.0</v>
      </c>
      <c r="B331" s="39" t="s">
        <v>514</v>
      </c>
      <c r="C331" s="39" t="s">
        <v>1056</v>
      </c>
      <c r="D331" s="39" t="s">
        <v>224</v>
      </c>
      <c r="E331" s="39" t="s">
        <v>756</v>
      </c>
      <c r="F331" s="39" t="s">
        <v>300</v>
      </c>
      <c r="G331" s="39" t="s">
        <v>301</v>
      </c>
      <c r="H331" s="39" t="s">
        <v>1057</v>
      </c>
      <c r="I331" s="39" t="s">
        <v>229</v>
      </c>
    </row>
    <row r="332" ht="15.75" hidden="1" customHeight="1">
      <c r="A332" s="36">
        <v>4043052.0</v>
      </c>
      <c r="B332" s="37" t="s">
        <v>724</v>
      </c>
      <c r="C332" s="37" t="s">
        <v>1058</v>
      </c>
      <c r="D332" s="37" t="s">
        <v>224</v>
      </c>
      <c r="E332" s="37" t="s">
        <v>726</v>
      </c>
      <c r="F332" s="37" t="s">
        <v>266</v>
      </c>
      <c r="G332" s="37" t="s">
        <v>250</v>
      </c>
      <c r="H332" s="37" t="s">
        <v>1059</v>
      </c>
      <c r="I332" s="37" t="s">
        <v>229</v>
      </c>
    </row>
    <row r="333" ht="15.75" hidden="1" customHeight="1">
      <c r="A333" s="38">
        <v>3668755.0</v>
      </c>
      <c r="B333" s="39" t="s">
        <v>1060</v>
      </c>
      <c r="C333" s="39" t="s">
        <v>1061</v>
      </c>
      <c r="D333" s="39" t="s">
        <v>224</v>
      </c>
      <c r="E333" s="39" t="s">
        <v>1062</v>
      </c>
      <c r="F333" s="39" t="s">
        <v>249</v>
      </c>
      <c r="G333" s="39" t="s">
        <v>250</v>
      </c>
      <c r="H333" s="39" t="s">
        <v>1063</v>
      </c>
      <c r="I333" s="39" t="s">
        <v>229</v>
      </c>
    </row>
    <row r="334" ht="15.75" hidden="1" customHeight="1">
      <c r="A334" s="36">
        <v>4097531.0</v>
      </c>
      <c r="B334" s="37" t="s">
        <v>724</v>
      </c>
      <c r="C334" s="37" t="s">
        <v>1064</v>
      </c>
      <c r="D334" s="37" t="s">
        <v>224</v>
      </c>
      <c r="E334" s="37" t="s">
        <v>726</v>
      </c>
      <c r="F334" s="37" t="s">
        <v>266</v>
      </c>
      <c r="G334" s="37" t="s">
        <v>250</v>
      </c>
      <c r="H334" s="37" t="s">
        <v>1065</v>
      </c>
      <c r="I334" s="37" t="s">
        <v>229</v>
      </c>
    </row>
    <row r="335" ht="15.75" hidden="1" customHeight="1">
      <c r="A335" s="38">
        <v>4419160.0</v>
      </c>
      <c r="B335" s="39" t="s">
        <v>724</v>
      </c>
      <c r="C335" s="39" t="s">
        <v>1066</v>
      </c>
      <c r="D335" s="39" t="s">
        <v>224</v>
      </c>
      <c r="E335" s="39" t="s">
        <v>726</v>
      </c>
      <c r="F335" s="39" t="s">
        <v>266</v>
      </c>
      <c r="G335" s="39" t="s">
        <v>250</v>
      </c>
      <c r="H335" s="39" t="s">
        <v>1067</v>
      </c>
      <c r="I335" s="39" t="s">
        <v>229</v>
      </c>
    </row>
    <row r="336" ht="15.75" hidden="1" customHeight="1">
      <c r="A336" s="36">
        <v>3674822.0</v>
      </c>
      <c r="B336" s="37" t="s">
        <v>555</v>
      </c>
      <c r="C336" s="37" t="s">
        <v>1068</v>
      </c>
      <c r="D336" s="37" t="s">
        <v>224</v>
      </c>
      <c r="E336" s="37" t="s">
        <v>1069</v>
      </c>
      <c r="F336" s="37" t="s">
        <v>558</v>
      </c>
      <c r="G336" s="37" t="s">
        <v>541</v>
      </c>
      <c r="H336" s="37" t="s">
        <v>1070</v>
      </c>
      <c r="I336" s="37" t="s">
        <v>229</v>
      </c>
    </row>
    <row r="337" ht="15.75" hidden="1" customHeight="1">
      <c r="A337" s="38">
        <v>5105133.0</v>
      </c>
      <c r="B337" s="39" t="s">
        <v>724</v>
      </c>
      <c r="C337" s="39" t="s">
        <v>1071</v>
      </c>
      <c r="D337" s="39" t="s">
        <v>224</v>
      </c>
      <c r="E337" s="39" t="s">
        <v>726</v>
      </c>
      <c r="F337" s="39" t="s">
        <v>266</v>
      </c>
      <c r="G337" s="39" t="s">
        <v>250</v>
      </c>
      <c r="H337" s="39" t="s">
        <v>1072</v>
      </c>
      <c r="I337" s="39" t="s">
        <v>229</v>
      </c>
    </row>
    <row r="338" ht="15.75" hidden="1" customHeight="1">
      <c r="A338" s="36">
        <v>3676641.0</v>
      </c>
      <c r="B338" s="37" t="s">
        <v>478</v>
      </c>
      <c r="C338" s="37" t="s">
        <v>1073</v>
      </c>
      <c r="D338" s="37" t="s">
        <v>331</v>
      </c>
      <c r="E338" s="37" t="s">
        <v>480</v>
      </c>
      <c r="F338" s="37" t="s">
        <v>481</v>
      </c>
      <c r="G338" s="37" t="s">
        <v>293</v>
      </c>
      <c r="H338" s="37" t="s">
        <v>1074</v>
      </c>
      <c r="I338" s="37" t="s">
        <v>229</v>
      </c>
    </row>
    <row r="339" ht="15.75" hidden="1" customHeight="1">
      <c r="A339" s="38">
        <v>4747354.0</v>
      </c>
      <c r="B339" s="39" t="s">
        <v>724</v>
      </c>
      <c r="C339" s="39" t="s">
        <v>1075</v>
      </c>
      <c r="D339" s="39" t="s">
        <v>224</v>
      </c>
      <c r="E339" s="39" t="s">
        <v>726</v>
      </c>
      <c r="F339" s="39" t="s">
        <v>266</v>
      </c>
      <c r="G339" s="39" t="s">
        <v>250</v>
      </c>
      <c r="H339" s="39" t="s">
        <v>1076</v>
      </c>
      <c r="I339" s="39" t="s">
        <v>229</v>
      </c>
    </row>
    <row r="340" ht="15.75" hidden="1" customHeight="1">
      <c r="A340" s="36">
        <v>4750614.0</v>
      </c>
      <c r="B340" s="37" t="s">
        <v>724</v>
      </c>
      <c r="C340" s="37" t="s">
        <v>1077</v>
      </c>
      <c r="D340" s="37" t="s">
        <v>224</v>
      </c>
      <c r="E340" s="37" t="s">
        <v>726</v>
      </c>
      <c r="F340" s="37" t="s">
        <v>266</v>
      </c>
      <c r="G340" s="37" t="s">
        <v>250</v>
      </c>
      <c r="H340" s="37" t="s">
        <v>1078</v>
      </c>
      <c r="I340" s="37" t="s">
        <v>229</v>
      </c>
    </row>
    <row r="341" ht="15.75" hidden="1" customHeight="1">
      <c r="A341" s="38">
        <v>3686316.0</v>
      </c>
      <c r="B341" s="39" t="s">
        <v>246</v>
      </c>
      <c r="C341" s="39" t="s">
        <v>1079</v>
      </c>
      <c r="D341" s="39" t="s">
        <v>224</v>
      </c>
      <c r="E341" s="39" t="s">
        <v>1062</v>
      </c>
      <c r="F341" s="39" t="s">
        <v>249</v>
      </c>
      <c r="G341" s="39" t="s">
        <v>250</v>
      </c>
      <c r="H341" s="39" t="s">
        <v>1080</v>
      </c>
      <c r="I341" s="39" t="s">
        <v>229</v>
      </c>
    </row>
    <row r="342" ht="15.75" hidden="1" customHeight="1">
      <c r="A342" s="36">
        <v>4993349.0</v>
      </c>
      <c r="B342" s="37" t="s">
        <v>724</v>
      </c>
      <c r="C342" s="37" t="s">
        <v>1081</v>
      </c>
      <c r="D342" s="37" t="s">
        <v>224</v>
      </c>
      <c r="E342" s="37" t="s">
        <v>726</v>
      </c>
      <c r="F342" s="37" t="s">
        <v>266</v>
      </c>
      <c r="G342" s="37" t="s">
        <v>250</v>
      </c>
      <c r="H342" s="37" t="s">
        <v>1082</v>
      </c>
      <c r="I342" s="37" t="s">
        <v>229</v>
      </c>
    </row>
    <row r="343" ht="15.75" hidden="1" customHeight="1">
      <c r="A343" s="38">
        <v>3686455.0</v>
      </c>
      <c r="B343" s="39" t="s">
        <v>246</v>
      </c>
      <c r="C343" s="39" t="s">
        <v>1083</v>
      </c>
      <c r="D343" s="39" t="s">
        <v>224</v>
      </c>
      <c r="E343" s="39" t="s">
        <v>598</v>
      </c>
      <c r="F343" s="39" t="s">
        <v>249</v>
      </c>
      <c r="G343" s="39" t="s">
        <v>250</v>
      </c>
      <c r="H343" s="39" t="s">
        <v>1084</v>
      </c>
      <c r="I343" s="39" t="s">
        <v>229</v>
      </c>
    </row>
    <row r="344" ht="15.75" hidden="1" customHeight="1">
      <c r="A344" s="36">
        <v>5033106.0</v>
      </c>
      <c r="B344" s="37" t="s">
        <v>724</v>
      </c>
      <c r="C344" s="37" t="s">
        <v>1085</v>
      </c>
      <c r="D344" s="37" t="s">
        <v>224</v>
      </c>
      <c r="E344" s="37" t="s">
        <v>726</v>
      </c>
      <c r="F344" s="37" t="s">
        <v>266</v>
      </c>
      <c r="G344" s="37" t="s">
        <v>250</v>
      </c>
      <c r="H344" s="37" t="s">
        <v>1086</v>
      </c>
      <c r="I344" s="37" t="s">
        <v>229</v>
      </c>
    </row>
    <row r="345" ht="15.75" hidden="1" customHeight="1">
      <c r="A345" s="38">
        <v>5041101.0</v>
      </c>
      <c r="B345" s="39" t="s">
        <v>724</v>
      </c>
      <c r="C345" s="39" t="s">
        <v>1087</v>
      </c>
      <c r="D345" s="39" t="s">
        <v>224</v>
      </c>
      <c r="E345" s="39" t="s">
        <v>726</v>
      </c>
      <c r="F345" s="39" t="s">
        <v>266</v>
      </c>
      <c r="G345" s="39" t="s">
        <v>250</v>
      </c>
      <c r="H345" s="39" t="s">
        <v>1088</v>
      </c>
      <c r="I345" s="39" t="s">
        <v>229</v>
      </c>
    </row>
    <row r="346" ht="15.75" hidden="1" customHeight="1">
      <c r="A346" s="36">
        <v>3688854.0</v>
      </c>
      <c r="B346" s="37" t="s">
        <v>246</v>
      </c>
      <c r="C346" s="37" t="s">
        <v>1089</v>
      </c>
      <c r="D346" s="37" t="s">
        <v>224</v>
      </c>
      <c r="E346" s="37" t="s">
        <v>598</v>
      </c>
      <c r="F346" s="37" t="s">
        <v>249</v>
      </c>
      <c r="G346" s="37" t="s">
        <v>250</v>
      </c>
      <c r="H346" s="37" t="s">
        <v>1090</v>
      </c>
      <c r="I346" s="37" t="s">
        <v>229</v>
      </c>
    </row>
    <row r="347" ht="15.75" hidden="1" customHeight="1">
      <c r="A347" s="38">
        <v>5061258.0</v>
      </c>
      <c r="B347" s="39" t="s">
        <v>724</v>
      </c>
      <c r="C347" s="39" t="s">
        <v>1091</v>
      </c>
      <c r="D347" s="39" t="s">
        <v>224</v>
      </c>
      <c r="E347" s="39" t="s">
        <v>726</v>
      </c>
      <c r="F347" s="39" t="s">
        <v>266</v>
      </c>
      <c r="G347" s="39" t="s">
        <v>250</v>
      </c>
      <c r="H347" s="39" t="s">
        <v>1092</v>
      </c>
      <c r="I347" s="39" t="s">
        <v>229</v>
      </c>
    </row>
    <row r="348" ht="15.75" hidden="1" customHeight="1">
      <c r="A348" s="36">
        <v>3692512.0</v>
      </c>
      <c r="B348" s="37" t="s">
        <v>994</v>
      </c>
      <c r="C348" s="37" t="s">
        <v>1093</v>
      </c>
      <c r="D348" s="37" t="s">
        <v>224</v>
      </c>
      <c r="E348" s="37" t="s">
        <v>272</v>
      </c>
      <c r="F348" s="37" t="s">
        <v>257</v>
      </c>
      <c r="G348" s="37" t="s">
        <v>258</v>
      </c>
      <c r="H348" s="37" t="s">
        <v>1094</v>
      </c>
      <c r="I348" s="37" t="s">
        <v>260</v>
      </c>
    </row>
    <row r="349" ht="15.75" hidden="1" customHeight="1">
      <c r="A349" s="38">
        <v>5508879.0</v>
      </c>
      <c r="B349" s="39" t="s">
        <v>724</v>
      </c>
      <c r="C349" s="39" t="s">
        <v>1095</v>
      </c>
      <c r="D349" s="39" t="s">
        <v>224</v>
      </c>
      <c r="E349" s="39" t="s">
        <v>726</v>
      </c>
      <c r="F349" s="39" t="s">
        <v>266</v>
      </c>
      <c r="G349" s="39" t="s">
        <v>250</v>
      </c>
      <c r="H349" s="39" t="s">
        <v>1096</v>
      </c>
      <c r="I349" s="39" t="s">
        <v>229</v>
      </c>
    </row>
    <row r="350" ht="15.75" hidden="1" customHeight="1">
      <c r="A350" s="36">
        <v>3698132.0</v>
      </c>
      <c r="B350" s="37" t="s">
        <v>555</v>
      </c>
      <c r="C350" s="37" t="s">
        <v>1097</v>
      </c>
      <c r="D350" s="37" t="s">
        <v>234</v>
      </c>
      <c r="E350" s="37" t="s">
        <v>1069</v>
      </c>
      <c r="F350" s="37" t="s">
        <v>558</v>
      </c>
      <c r="G350" s="37" t="s">
        <v>541</v>
      </c>
      <c r="H350" s="37" t="s">
        <v>1098</v>
      </c>
      <c r="I350" s="37" t="s">
        <v>229</v>
      </c>
    </row>
    <row r="351" ht="15.75" hidden="1" customHeight="1">
      <c r="A351" s="38">
        <v>6000248.0</v>
      </c>
      <c r="B351" s="39" t="s">
        <v>724</v>
      </c>
      <c r="C351" s="39" t="s">
        <v>1099</v>
      </c>
      <c r="D351" s="39" t="s">
        <v>224</v>
      </c>
      <c r="E351" s="39" t="s">
        <v>726</v>
      </c>
      <c r="F351" s="39" t="s">
        <v>266</v>
      </c>
      <c r="G351" s="39" t="s">
        <v>250</v>
      </c>
      <c r="H351" s="39" t="s">
        <v>1100</v>
      </c>
      <c r="I351" s="39" t="s">
        <v>229</v>
      </c>
    </row>
    <row r="352" ht="15.75" hidden="1" customHeight="1">
      <c r="A352" s="36">
        <v>3700214.0</v>
      </c>
      <c r="B352" s="37" t="s">
        <v>478</v>
      </c>
      <c r="C352" s="37" t="s">
        <v>1101</v>
      </c>
      <c r="D352" s="37" t="s">
        <v>224</v>
      </c>
      <c r="E352" s="37" t="s">
        <v>1102</v>
      </c>
      <c r="F352" s="37" t="s">
        <v>481</v>
      </c>
      <c r="G352" s="37" t="s">
        <v>293</v>
      </c>
      <c r="H352" s="37" t="s">
        <v>1103</v>
      </c>
      <c r="I352" s="37" t="s">
        <v>229</v>
      </c>
    </row>
    <row r="353" ht="15.75" hidden="1" customHeight="1">
      <c r="A353" s="38">
        <v>5332097.0</v>
      </c>
      <c r="B353" s="39" t="s">
        <v>724</v>
      </c>
      <c r="C353" s="39" t="s">
        <v>1104</v>
      </c>
      <c r="D353" s="39" t="s">
        <v>224</v>
      </c>
      <c r="E353" s="39" t="s">
        <v>726</v>
      </c>
      <c r="F353" s="39" t="s">
        <v>266</v>
      </c>
      <c r="G353" s="39" t="s">
        <v>250</v>
      </c>
      <c r="H353" s="39" t="s">
        <v>1105</v>
      </c>
      <c r="I353" s="39" t="s">
        <v>229</v>
      </c>
    </row>
    <row r="354" ht="15.75" hidden="1" customHeight="1">
      <c r="A354" s="36">
        <v>3711367.0</v>
      </c>
      <c r="B354" s="37" t="s">
        <v>246</v>
      </c>
      <c r="C354" s="37" t="s">
        <v>1106</v>
      </c>
      <c r="D354" s="37" t="s">
        <v>224</v>
      </c>
      <c r="E354" s="37" t="s">
        <v>336</v>
      </c>
      <c r="F354" s="37" t="s">
        <v>249</v>
      </c>
      <c r="G354" s="37" t="s">
        <v>250</v>
      </c>
      <c r="H354" s="37" t="s">
        <v>1107</v>
      </c>
      <c r="I354" s="37" t="s">
        <v>229</v>
      </c>
    </row>
    <row r="355" ht="15.75" hidden="1" customHeight="1">
      <c r="A355" s="38">
        <v>5332127.0</v>
      </c>
      <c r="B355" s="39" t="s">
        <v>724</v>
      </c>
      <c r="C355" s="39" t="s">
        <v>1108</v>
      </c>
      <c r="D355" s="39" t="s">
        <v>224</v>
      </c>
      <c r="E355" s="39" t="s">
        <v>726</v>
      </c>
      <c r="F355" s="39" t="s">
        <v>266</v>
      </c>
      <c r="G355" s="39" t="s">
        <v>250</v>
      </c>
      <c r="H355" s="39" t="s">
        <v>1109</v>
      </c>
      <c r="I355" s="39" t="s">
        <v>229</v>
      </c>
    </row>
    <row r="356" ht="15.75" hidden="1" customHeight="1">
      <c r="A356" s="36">
        <v>3740335.0</v>
      </c>
      <c r="B356" s="37" t="s">
        <v>1019</v>
      </c>
      <c r="C356" s="37" t="s">
        <v>1110</v>
      </c>
      <c r="D356" s="37" t="s">
        <v>224</v>
      </c>
      <c r="E356" s="37" t="s">
        <v>459</v>
      </c>
      <c r="F356" s="37" t="s">
        <v>292</v>
      </c>
      <c r="G356" s="37" t="s">
        <v>293</v>
      </c>
      <c r="H356" s="37" t="s">
        <v>1111</v>
      </c>
      <c r="I356" s="37" t="s">
        <v>229</v>
      </c>
    </row>
    <row r="357" ht="15.75" hidden="1" customHeight="1">
      <c r="A357" s="38">
        <v>6000204.0</v>
      </c>
      <c r="B357" s="39" t="s">
        <v>724</v>
      </c>
      <c r="C357" s="39" t="s">
        <v>1112</v>
      </c>
      <c r="D357" s="39" t="s">
        <v>224</v>
      </c>
      <c r="E357" s="39" t="s">
        <v>726</v>
      </c>
      <c r="F357" s="39" t="s">
        <v>266</v>
      </c>
      <c r="G357" s="39" t="s">
        <v>250</v>
      </c>
      <c r="H357" s="39" t="s">
        <v>1113</v>
      </c>
      <c r="I357" s="39" t="s">
        <v>229</v>
      </c>
    </row>
    <row r="358" ht="15.75" hidden="1" customHeight="1">
      <c r="A358" s="36">
        <v>6000254.0</v>
      </c>
      <c r="B358" s="37" t="s">
        <v>724</v>
      </c>
      <c r="C358" s="37" t="s">
        <v>1114</v>
      </c>
      <c r="D358" s="37" t="s">
        <v>224</v>
      </c>
      <c r="E358" s="37" t="s">
        <v>726</v>
      </c>
      <c r="F358" s="37" t="s">
        <v>266</v>
      </c>
      <c r="G358" s="37" t="s">
        <v>250</v>
      </c>
      <c r="H358" s="37" t="s">
        <v>1115</v>
      </c>
      <c r="I358" s="37" t="s">
        <v>229</v>
      </c>
    </row>
    <row r="359" ht="15.75" hidden="1" customHeight="1">
      <c r="A359" s="38">
        <v>3761171.0</v>
      </c>
      <c r="B359" s="39" t="s">
        <v>316</v>
      </c>
      <c r="C359" s="39" t="s">
        <v>1116</v>
      </c>
      <c r="D359" s="39" t="s">
        <v>224</v>
      </c>
      <c r="E359" s="39" t="s">
        <v>761</v>
      </c>
      <c r="F359" s="39" t="s">
        <v>293</v>
      </c>
      <c r="G359" s="39" t="s">
        <v>319</v>
      </c>
      <c r="H359" s="39" t="s">
        <v>1117</v>
      </c>
      <c r="I359" s="39" t="s">
        <v>229</v>
      </c>
    </row>
    <row r="360" ht="15.75" hidden="1" customHeight="1">
      <c r="A360" s="36">
        <v>4943075.0</v>
      </c>
      <c r="B360" s="37" t="s">
        <v>724</v>
      </c>
      <c r="C360" s="37" t="s">
        <v>1118</v>
      </c>
      <c r="D360" s="37" t="s">
        <v>224</v>
      </c>
      <c r="E360" s="37" t="s">
        <v>726</v>
      </c>
      <c r="F360" s="37" t="s">
        <v>266</v>
      </c>
      <c r="G360" s="37" t="s">
        <v>250</v>
      </c>
      <c r="H360" s="37" t="s">
        <v>1119</v>
      </c>
      <c r="I360" s="37" t="s">
        <v>229</v>
      </c>
    </row>
    <row r="361" ht="15.75" hidden="1" customHeight="1">
      <c r="A361" s="38">
        <v>5492607.0</v>
      </c>
      <c r="B361" s="39" t="s">
        <v>724</v>
      </c>
      <c r="C361" s="39" t="s">
        <v>1120</v>
      </c>
      <c r="D361" s="39" t="s">
        <v>224</v>
      </c>
      <c r="E361" s="39" t="s">
        <v>726</v>
      </c>
      <c r="F361" s="39" t="s">
        <v>266</v>
      </c>
      <c r="G361" s="39" t="s">
        <v>250</v>
      </c>
      <c r="H361" s="39" t="s">
        <v>1121</v>
      </c>
      <c r="I361" s="39" t="s">
        <v>229</v>
      </c>
    </row>
    <row r="362" ht="15.75" hidden="1" customHeight="1">
      <c r="A362" s="36">
        <v>3773154.0</v>
      </c>
      <c r="B362" s="37" t="s">
        <v>232</v>
      </c>
      <c r="C362" s="37" t="s">
        <v>1122</v>
      </c>
      <c r="D362" s="37" t="s">
        <v>234</v>
      </c>
      <c r="E362" s="37" t="s">
        <v>437</v>
      </c>
      <c r="F362" s="37" t="s">
        <v>226</v>
      </c>
      <c r="G362" s="37" t="s">
        <v>227</v>
      </c>
      <c r="H362" s="37" t="s">
        <v>1123</v>
      </c>
      <c r="I362" s="37" t="s">
        <v>229</v>
      </c>
    </row>
    <row r="363" ht="15.75" hidden="1" customHeight="1">
      <c r="A363" s="38">
        <v>5051888.0</v>
      </c>
      <c r="B363" s="39" t="s">
        <v>724</v>
      </c>
      <c r="C363" s="39" t="s">
        <v>1124</v>
      </c>
      <c r="D363" s="39" t="s">
        <v>224</v>
      </c>
      <c r="E363" s="39" t="s">
        <v>726</v>
      </c>
      <c r="F363" s="39" t="s">
        <v>266</v>
      </c>
      <c r="G363" s="39" t="s">
        <v>250</v>
      </c>
      <c r="H363" s="39" t="s">
        <v>1125</v>
      </c>
      <c r="I363" s="39" t="s">
        <v>229</v>
      </c>
    </row>
    <row r="364" ht="15.75" hidden="1" customHeight="1">
      <c r="A364" s="36">
        <v>3773162.0</v>
      </c>
      <c r="B364" s="37" t="s">
        <v>222</v>
      </c>
      <c r="C364" s="37" t="s">
        <v>1126</v>
      </c>
      <c r="D364" s="37" t="s">
        <v>234</v>
      </c>
      <c r="E364" s="37" t="s">
        <v>1127</v>
      </c>
      <c r="F364" s="37" t="s">
        <v>226</v>
      </c>
      <c r="G364" s="37" t="s">
        <v>227</v>
      </c>
      <c r="H364" s="37" t="s">
        <v>1128</v>
      </c>
      <c r="I364" s="37" t="s">
        <v>229</v>
      </c>
    </row>
    <row r="365" ht="15.75" hidden="1" customHeight="1">
      <c r="A365" s="38">
        <v>5999752.0</v>
      </c>
      <c r="B365" s="39" t="s">
        <v>724</v>
      </c>
      <c r="C365" s="39" t="s">
        <v>1129</v>
      </c>
      <c r="D365" s="39" t="s">
        <v>224</v>
      </c>
      <c r="E365" s="39" t="s">
        <v>726</v>
      </c>
      <c r="F365" s="39" t="s">
        <v>266</v>
      </c>
      <c r="G365" s="39" t="s">
        <v>250</v>
      </c>
      <c r="H365" s="39" t="s">
        <v>1130</v>
      </c>
      <c r="I365" s="39" t="s">
        <v>229</v>
      </c>
    </row>
    <row r="366" ht="15.75" hidden="1" customHeight="1">
      <c r="A366" s="36">
        <v>3774057.0</v>
      </c>
      <c r="B366" s="37" t="s">
        <v>841</v>
      </c>
      <c r="C366" s="37" t="s">
        <v>1131</v>
      </c>
      <c r="D366" s="37" t="s">
        <v>269</v>
      </c>
      <c r="E366" s="37" t="s">
        <v>843</v>
      </c>
      <c r="F366" s="37" t="s">
        <v>242</v>
      </c>
      <c r="G366" s="37" t="s">
        <v>227</v>
      </c>
      <c r="H366" s="37" t="s">
        <v>1132</v>
      </c>
      <c r="I366" s="37" t="s">
        <v>229</v>
      </c>
    </row>
    <row r="367" ht="15.75" hidden="1" customHeight="1">
      <c r="A367" s="38">
        <v>5492697.0</v>
      </c>
      <c r="B367" s="39" t="s">
        <v>724</v>
      </c>
      <c r="C367" s="39" t="s">
        <v>1133</v>
      </c>
      <c r="D367" s="39" t="s">
        <v>224</v>
      </c>
      <c r="E367" s="39" t="s">
        <v>726</v>
      </c>
      <c r="F367" s="39" t="s">
        <v>266</v>
      </c>
      <c r="G367" s="39" t="s">
        <v>250</v>
      </c>
      <c r="H367" s="39" t="s">
        <v>1134</v>
      </c>
      <c r="I367" s="39" t="s">
        <v>229</v>
      </c>
    </row>
    <row r="368" ht="15.75" hidden="1" customHeight="1">
      <c r="A368" s="36">
        <v>3774078.0</v>
      </c>
      <c r="B368" s="37" t="s">
        <v>222</v>
      </c>
      <c r="C368" s="37" t="s">
        <v>1135</v>
      </c>
      <c r="D368" s="37" t="s">
        <v>224</v>
      </c>
      <c r="E368" s="37" t="s">
        <v>1127</v>
      </c>
      <c r="F368" s="37" t="s">
        <v>226</v>
      </c>
      <c r="G368" s="37" t="s">
        <v>227</v>
      </c>
      <c r="H368" s="37" t="s">
        <v>1136</v>
      </c>
      <c r="I368" s="37" t="s">
        <v>229</v>
      </c>
    </row>
    <row r="369" ht="15.75" hidden="1" customHeight="1">
      <c r="A369" s="38">
        <v>4973075.0</v>
      </c>
      <c r="B369" s="39" t="s">
        <v>724</v>
      </c>
      <c r="C369" s="39" t="s">
        <v>1137</v>
      </c>
      <c r="D369" s="39" t="s">
        <v>224</v>
      </c>
      <c r="E369" s="39" t="s">
        <v>726</v>
      </c>
      <c r="F369" s="39" t="s">
        <v>266</v>
      </c>
      <c r="G369" s="39" t="s">
        <v>250</v>
      </c>
      <c r="H369" s="39" t="s">
        <v>1138</v>
      </c>
      <c r="I369" s="39" t="s">
        <v>229</v>
      </c>
    </row>
    <row r="370" ht="15.75" hidden="1" customHeight="1">
      <c r="A370" s="36">
        <v>3792488.0</v>
      </c>
      <c r="B370" s="37" t="s">
        <v>246</v>
      </c>
      <c r="C370" s="37" t="s">
        <v>1139</v>
      </c>
      <c r="D370" s="37" t="s">
        <v>224</v>
      </c>
      <c r="E370" s="37" t="s">
        <v>336</v>
      </c>
      <c r="F370" s="37" t="s">
        <v>249</v>
      </c>
      <c r="G370" s="37" t="s">
        <v>250</v>
      </c>
      <c r="H370" s="37" t="s">
        <v>1140</v>
      </c>
      <c r="I370" s="37" t="s">
        <v>229</v>
      </c>
    </row>
    <row r="371" ht="15.75" hidden="1" customHeight="1">
      <c r="A371" s="38">
        <v>4825218.0</v>
      </c>
      <c r="B371" s="39" t="s">
        <v>724</v>
      </c>
      <c r="C371" s="39" t="s">
        <v>1141</v>
      </c>
      <c r="D371" s="39" t="s">
        <v>224</v>
      </c>
      <c r="E371" s="39" t="s">
        <v>726</v>
      </c>
      <c r="F371" s="39" t="s">
        <v>266</v>
      </c>
      <c r="G371" s="39" t="s">
        <v>250</v>
      </c>
      <c r="H371" s="39" t="s">
        <v>1142</v>
      </c>
      <c r="I371" s="39" t="s">
        <v>229</v>
      </c>
    </row>
    <row r="372" ht="15.75" hidden="1" customHeight="1">
      <c r="A372" s="36">
        <v>3808842.0</v>
      </c>
      <c r="B372" s="37" t="s">
        <v>1143</v>
      </c>
      <c r="C372" s="37" t="s">
        <v>1144</v>
      </c>
      <c r="D372" s="37" t="s">
        <v>224</v>
      </c>
      <c r="E372" s="37" t="s">
        <v>1145</v>
      </c>
      <c r="F372" s="37" t="s">
        <v>292</v>
      </c>
      <c r="G372" s="37" t="s">
        <v>293</v>
      </c>
      <c r="H372" s="37" t="s">
        <v>1146</v>
      </c>
      <c r="I372" s="37" t="s">
        <v>229</v>
      </c>
    </row>
    <row r="373" ht="15.75" hidden="1" customHeight="1">
      <c r="A373" s="38">
        <v>5538365.0</v>
      </c>
      <c r="B373" s="39" t="s">
        <v>724</v>
      </c>
      <c r="C373" s="39" t="s">
        <v>1147</v>
      </c>
      <c r="D373" s="39" t="s">
        <v>224</v>
      </c>
      <c r="E373" s="39" t="s">
        <v>726</v>
      </c>
      <c r="F373" s="39" t="s">
        <v>266</v>
      </c>
      <c r="G373" s="39" t="s">
        <v>250</v>
      </c>
      <c r="H373" s="39" t="s">
        <v>1148</v>
      </c>
      <c r="I373" s="39" t="s">
        <v>229</v>
      </c>
    </row>
    <row r="374" ht="15.75" hidden="1" customHeight="1">
      <c r="A374" s="36">
        <v>3813001.0</v>
      </c>
      <c r="B374" s="37" t="s">
        <v>1019</v>
      </c>
      <c r="C374" s="37" t="s">
        <v>1149</v>
      </c>
      <c r="D374" s="37" t="s">
        <v>224</v>
      </c>
      <c r="E374" s="37" t="s">
        <v>459</v>
      </c>
      <c r="F374" s="37" t="s">
        <v>292</v>
      </c>
      <c r="G374" s="37" t="s">
        <v>293</v>
      </c>
      <c r="H374" s="37" t="s">
        <v>1150</v>
      </c>
      <c r="I374" s="37" t="s">
        <v>229</v>
      </c>
    </row>
    <row r="375" ht="15.75" hidden="1" customHeight="1">
      <c r="A375" s="38">
        <v>3813021.0</v>
      </c>
      <c r="B375" s="39" t="s">
        <v>457</v>
      </c>
      <c r="C375" s="39" t="s">
        <v>1151</v>
      </c>
      <c r="D375" s="39" t="s">
        <v>224</v>
      </c>
      <c r="E375" s="39" t="s">
        <v>459</v>
      </c>
      <c r="F375" s="39" t="s">
        <v>292</v>
      </c>
      <c r="G375" s="39" t="s">
        <v>293</v>
      </c>
      <c r="H375" s="39" t="s">
        <v>1152</v>
      </c>
      <c r="I375" s="39" t="s">
        <v>229</v>
      </c>
    </row>
    <row r="376" ht="15.75" hidden="1" customHeight="1">
      <c r="A376" s="36">
        <v>3820346.0</v>
      </c>
      <c r="B376" s="37" t="s">
        <v>986</v>
      </c>
      <c r="C376" s="37" t="s">
        <v>1153</v>
      </c>
      <c r="D376" s="37" t="s">
        <v>224</v>
      </c>
      <c r="E376" s="37" t="s">
        <v>988</v>
      </c>
      <c r="F376" s="37" t="s">
        <v>679</v>
      </c>
      <c r="G376" s="37" t="s">
        <v>301</v>
      </c>
      <c r="H376" s="37" t="s">
        <v>1154</v>
      </c>
      <c r="I376" s="37" t="s">
        <v>229</v>
      </c>
    </row>
    <row r="377" ht="15.75" hidden="1" customHeight="1">
      <c r="A377" s="38">
        <v>5534536.0</v>
      </c>
      <c r="B377" s="39" t="s">
        <v>263</v>
      </c>
      <c r="C377" s="39" t="s">
        <v>1155</v>
      </c>
      <c r="D377" s="39" t="s">
        <v>224</v>
      </c>
      <c r="E377" s="39" t="s">
        <v>265</v>
      </c>
      <c r="F377" s="39" t="s">
        <v>266</v>
      </c>
      <c r="G377" s="39" t="s">
        <v>250</v>
      </c>
      <c r="H377" s="39" t="s">
        <v>1156</v>
      </c>
      <c r="I377" s="39" t="s">
        <v>229</v>
      </c>
    </row>
    <row r="378" ht="15.75" hidden="1" customHeight="1">
      <c r="A378" s="36">
        <v>4861965.0</v>
      </c>
      <c r="B378" s="37" t="s">
        <v>263</v>
      </c>
      <c r="C378" s="37" t="s">
        <v>1157</v>
      </c>
      <c r="D378" s="37" t="s">
        <v>224</v>
      </c>
      <c r="E378" s="37" t="s">
        <v>265</v>
      </c>
      <c r="F378" s="37" t="s">
        <v>266</v>
      </c>
      <c r="G378" s="37" t="s">
        <v>250</v>
      </c>
      <c r="H378" s="37" t="s">
        <v>1158</v>
      </c>
      <c r="I378" s="37" t="s">
        <v>229</v>
      </c>
    </row>
    <row r="379" ht="15.75" hidden="1" customHeight="1">
      <c r="A379" s="38">
        <v>3844824.0</v>
      </c>
      <c r="B379" s="39" t="s">
        <v>800</v>
      </c>
      <c r="C379" s="39" t="s">
        <v>1159</v>
      </c>
      <c r="D379" s="39" t="s">
        <v>224</v>
      </c>
      <c r="E379" s="39" t="s">
        <v>802</v>
      </c>
      <c r="F379" s="39" t="s">
        <v>333</v>
      </c>
      <c r="G379" s="39" t="s">
        <v>301</v>
      </c>
      <c r="H379" s="39" t="s">
        <v>1160</v>
      </c>
      <c r="I379" s="39" t="s">
        <v>229</v>
      </c>
    </row>
    <row r="380" ht="15.75" hidden="1" customHeight="1">
      <c r="A380" s="36">
        <v>5141483.0</v>
      </c>
      <c r="B380" s="37" t="s">
        <v>263</v>
      </c>
      <c r="C380" s="37" t="s">
        <v>1161</v>
      </c>
      <c r="D380" s="37" t="s">
        <v>224</v>
      </c>
      <c r="E380" s="37" t="s">
        <v>265</v>
      </c>
      <c r="F380" s="37" t="s">
        <v>266</v>
      </c>
      <c r="G380" s="37" t="s">
        <v>250</v>
      </c>
      <c r="H380" s="37" t="s">
        <v>1162</v>
      </c>
      <c r="I380" s="37" t="s">
        <v>229</v>
      </c>
    </row>
    <row r="381" ht="15.75" hidden="1" customHeight="1">
      <c r="A381" s="38">
        <v>3844829.0</v>
      </c>
      <c r="B381" s="39" t="s">
        <v>246</v>
      </c>
      <c r="C381" s="39" t="s">
        <v>1163</v>
      </c>
      <c r="D381" s="39" t="s">
        <v>224</v>
      </c>
      <c r="E381" s="39" t="s">
        <v>336</v>
      </c>
      <c r="F381" s="39" t="s">
        <v>249</v>
      </c>
      <c r="G381" s="39" t="s">
        <v>250</v>
      </c>
      <c r="H381" s="39" t="s">
        <v>1164</v>
      </c>
      <c r="I381" s="39" t="s">
        <v>229</v>
      </c>
    </row>
    <row r="382" ht="15.75" hidden="1" customHeight="1">
      <c r="A382" s="36">
        <v>5975865.0</v>
      </c>
      <c r="B382" s="37" t="s">
        <v>263</v>
      </c>
      <c r="C382" s="37" t="s">
        <v>1165</v>
      </c>
      <c r="D382" s="37" t="s">
        <v>224</v>
      </c>
      <c r="E382" s="37" t="s">
        <v>265</v>
      </c>
      <c r="F382" s="37" t="s">
        <v>266</v>
      </c>
      <c r="G382" s="37" t="s">
        <v>250</v>
      </c>
      <c r="H382" s="37" t="s">
        <v>1166</v>
      </c>
      <c r="I382" s="37" t="s">
        <v>229</v>
      </c>
    </row>
    <row r="383" ht="15.75" hidden="1" customHeight="1">
      <c r="A383" s="38">
        <v>3851048.0</v>
      </c>
      <c r="B383" s="39" t="s">
        <v>800</v>
      </c>
      <c r="C383" s="39" t="s">
        <v>1167</v>
      </c>
      <c r="D383" s="39" t="s">
        <v>224</v>
      </c>
      <c r="E383" s="39" t="s">
        <v>802</v>
      </c>
      <c r="F383" s="39" t="s">
        <v>333</v>
      </c>
      <c r="G383" s="39" t="s">
        <v>301</v>
      </c>
      <c r="H383" s="39" t="s">
        <v>1168</v>
      </c>
      <c r="I383" s="39" t="s">
        <v>229</v>
      </c>
    </row>
    <row r="384" ht="15.75" hidden="1" customHeight="1">
      <c r="A384" s="36">
        <v>5297877.0</v>
      </c>
      <c r="B384" s="37" t="s">
        <v>263</v>
      </c>
      <c r="C384" s="37" t="s">
        <v>1169</v>
      </c>
      <c r="D384" s="37" t="s">
        <v>224</v>
      </c>
      <c r="E384" s="37" t="s">
        <v>265</v>
      </c>
      <c r="F384" s="37" t="s">
        <v>266</v>
      </c>
      <c r="G384" s="37" t="s">
        <v>250</v>
      </c>
      <c r="H384" s="37" t="s">
        <v>1170</v>
      </c>
      <c r="I384" s="37" t="s">
        <v>229</v>
      </c>
    </row>
    <row r="385" ht="15.75" hidden="1" customHeight="1">
      <c r="A385" s="38">
        <v>3851060.0</v>
      </c>
      <c r="B385" s="39" t="s">
        <v>526</v>
      </c>
      <c r="C385" s="39" t="s">
        <v>1171</v>
      </c>
      <c r="D385" s="39" t="s">
        <v>224</v>
      </c>
      <c r="E385" s="39" t="s">
        <v>649</v>
      </c>
      <c r="F385" s="39" t="s">
        <v>326</v>
      </c>
      <c r="G385" s="39" t="s">
        <v>327</v>
      </c>
      <c r="H385" s="39" t="s">
        <v>1172</v>
      </c>
      <c r="I385" s="39" t="s">
        <v>229</v>
      </c>
    </row>
    <row r="386" ht="15.75" hidden="1" customHeight="1">
      <c r="A386" s="36">
        <v>5435840.0</v>
      </c>
      <c r="B386" s="37" t="s">
        <v>263</v>
      </c>
      <c r="C386" s="37" t="s">
        <v>1173</v>
      </c>
      <c r="D386" s="37" t="s">
        <v>224</v>
      </c>
      <c r="E386" s="37" t="s">
        <v>265</v>
      </c>
      <c r="F386" s="37" t="s">
        <v>266</v>
      </c>
      <c r="G386" s="37" t="s">
        <v>250</v>
      </c>
      <c r="H386" s="37" t="s">
        <v>1174</v>
      </c>
      <c r="I386" s="37" t="s">
        <v>229</v>
      </c>
    </row>
    <row r="387" ht="15.75" hidden="1" customHeight="1">
      <c r="A387" s="38">
        <v>5549704.0</v>
      </c>
      <c r="B387" s="39" t="s">
        <v>263</v>
      </c>
      <c r="C387" s="39" t="s">
        <v>1175</v>
      </c>
      <c r="D387" s="39" t="s">
        <v>331</v>
      </c>
      <c r="E387" s="39" t="s">
        <v>265</v>
      </c>
      <c r="F387" s="39" t="s">
        <v>266</v>
      </c>
      <c r="G387" s="39" t="s">
        <v>250</v>
      </c>
      <c r="H387" s="39" t="s">
        <v>1176</v>
      </c>
      <c r="I387" s="39" t="s">
        <v>229</v>
      </c>
    </row>
    <row r="388" ht="15.75" hidden="1" customHeight="1">
      <c r="A388" s="36">
        <v>3855618.0</v>
      </c>
      <c r="B388" s="37" t="s">
        <v>1177</v>
      </c>
      <c r="C388" s="37" t="s">
        <v>1178</v>
      </c>
      <c r="D388" s="37" t="s">
        <v>234</v>
      </c>
      <c r="E388" s="37" t="s">
        <v>658</v>
      </c>
      <c r="F388" s="37" t="s">
        <v>470</v>
      </c>
      <c r="G388" s="37" t="s">
        <v>327</v>
      </c>
      <c r="H388" s="37" t="s">
        <v>1179</v>
      </c>
      <c r="I388" s="37" t="s">
        <v>229</v>
      </c>
    </row>
    <row r="389" ht="15.75" hidden="1" customHeight="1">
      <c r="A389" s="38">
        <v>5971425.0</v>
      </c>
      <c r="B389" s="39" t="s">
        <v>263</v>
      </c>
      <c r="C389" s="39" t="s">
        <v>1180</v>
      </c>
      <c r="D389" s="39" t="s">
        <v>224</v>
      </c>
      <c r="E389" s="39" t="s">
        <v>265</v>
      </c>
      <c r="F389" s="39" t="s">
        <v>266</v>
      </c>
      <c r="G389" s="39" t="s">
        <v>250</v>
      </c>
      <c r="H389" s="39" t="s">
        <v>1181</v>
      </c>
      <c r="I389" s="39" t="s">
        <v>229</v>
      </c>
    </row>
    <row r="390" ht="15.75" hidden="1" customHeight="1">
      <c r="A390" s="36">
        <v>3855624.0</v>
      </c>
      <c r="B390" s="37" t="s">
        <v>1019</v>
      </c>
      <c r="C390" s="37" t="s">
        <v>1182</v>
      </c>
      <c r="D390" s="37" t="s">
        <v>224</v>
      </c>
      <c r="E390" s="37" t="s">
        <v>1021</v>
      </c>
      <c r="F390" s="37" t="s">
        <v>292</v>
      </c>
      <c r="G390" s="37" t="s">
        <v>293</v>
      </c>
      <c r="H390" s="37" t="s">
        <v>1183</v>
      </c>
      <c r="I390" s="37" t="s">
        <v>229</v>
      </c>
    </row>
    <row r="391" ht="15.75" hidden="1" customHeight="1">
      <c r="A391" s="38">
        <v>5988603.0</v>
      </c>
      <c r="B391" s="39" t="s">
        <v>263</v>
      </c>
      <c r="C391" s="39" t="s">
        <v>1184</v>
      </c>
      <c r="D391" s="39" t="s">
        <v>224</v>
      </c>
      <c r="E391" s="39" t="s">
        <v>265</v>
      </c>
      <c r="F391" s="39" t="s">
        <v>266</v>
      </c>
      <c r="G391" s="39" t="s">
        <v>250</v>
      </c>
      <c r="H391" s="39" t="s">
        <v>1185</v>
      </c>
      <c r="I391" s="39" t="s">
        <v>229</v>
      </c>
    </row>
    <row r="392" ht="15.75" hidden="1" customHeight="1">
      <c r="A392" s="36">
        <v>3864144.0</v>
      </c>
      <c r="B392" s="37" t="s">
        <v>1186</v>
      </c>
      <c r="C392" s="37" t="s">
        <v>1187</v>
      </c>
      <c r="D392" s="37" t="s">
        <v>224</v>
      </c>
      <c r="E392" s="37" t="s">
        <v>1188</v>
      </c>
      <c r="F392" s="37" t="s">
        <v>242</v>
      </c>
      <c r="G392" s="37" t="s">
        <v>227</v>
      </c>
      <c r="H392" s="37" t="s">
        <v>1189</v>
      </c>
      <c r="I392" s="37" t="s">
        <v>229</v>
      </c>
    </row>
    <row r="393" ht="15.75" hidden="1" customHeight="1">
      <c r="A393" s="38">
        <v>2824589.0</v>
      </c>
      <c r="B393" s="39" t="s">
        <v>263</v>
      </c>
      <c r="C393" s="39" t="s">
        <v>1190</v>
      </c>
      <c r="D393" s="39" t="s">
        <v>224</v>
      </c>
      <c r="E393" s="39" t="s">
        <v>265</v>
      </c>
      <c r="F393" s="39" t="s">
        <v>266</v>
      </c>
      <c r="G393" s="39" t="s">
        <v>250</v>
      </c>
      <c r="H393" s="39" t="s">
        <v>1191</v>
      </c>
      <c r="I393" s="39" t="s">
        <v>229</v>
      </c>
    </row>
    <row r="394" ht="15.75" hidden="1" customHeight="1">
      <c r="A394" s="36">
        <v>3865386.0</v>
      </c>
      <c r="B394" s="37" t="s">
        <v>374</v>
      </c>
      <c r="C394" s="37" t="s">
        <v>1192</v>
      </c>
      <c r="D394" s="37" t="s">
        <v>224</v>
      </c>
      <c r="E394" s="37" t="s">
        <v>376</v>
      </c>
      <c r="F394" s="37" t="s">
        <v>377</v>
      </c>
      <c r="G394" s="37" t="s">
        <v>327</v>
      </c>
      <c r="H394" s="37" t="s">
        <v>1193</v>
      </c>
      <c r="I394" s="37" t="s">
        <v>229</v>
      </c>
    </row>
    <row r="395" ht="15.75" hidden="1" customHeight="1">
      <c r="A395" s="38">
        <v>5980045.0</v>
      </c>
      <c r="B395" s="39" t="s">
        <v>263</v>
      </c>
      <c r="C395" s="39" t="s">
        <v>1194</v>
      </c>
      <c r="D395" s="39" t="s">
        <v>224</v>
      </c>
      <c r="E395" s="39" t="s">
        <v>265</v>
      </c>
      <c r="F395" s="39" t="s">
        <v>266</v>
      </c>
      <c r="G395" s="39" t="s">
        <v>250</v>
      </c>
      <c r="H395" s="39" t="s">
        <v>1195</v>
      </c>
      <c r="I395" s="39" t="s">
        <v>229</v>
      </c>
    </row>
    <row r="396" ht="15.75" hidden="1" customHeight="1">
      <c r="A396" s="36">
        <v>3865407.0</v>
      </c>
      <c r="B396" s="37" t="s">
        <v>537</v>
      </c>
      <c r="C396" s="37" t="s">
        <v>1196</v>
      </c>
      <c r="D396" s="37" t="s">
        <v>224</v>
      </c>
      <c r="E396" s="37" t="s">
        <v>539</v>
      </c>
      <c r="F396" s="37" t="s">
        <v>540</v>
      </c>
      <c r="G396" s="37" t="s">
        <v>541</v>
      </c>
      <c r="H396" s="37" t="s">
        <v>1197</v>
      </c>
      <c r="I396" s="37" t="s">
        <v>229</v>
      </c>
    </row>
    <row r="397" ht="15.75" hidden="1" customHeight="1">
      <c r="A397" s="38">
        <v>4612571.0</v>
      </c>
      <c r="B397" s="39" t="s">
        <v>263</v>
      </c>
      <c r="C397" s="39" t="s">
        <v>1198</v>
      </c>
      <c r="D397" s="39" t="s">
        <v>224</v>
      </c>
      <c r="E397" s="39" t="s">
        <v>265</v>
      </c>
      <c r="F397" s="39" t="s">
        <v>266</v>
      </c>
      <c r="G397" s="39" t="s">
        <v>250</v>
      </c>
      <c r="H397" s="39" t="s">
        <v>1199</v>
      </c>
      <c r="I397" s="39" t="s">
        <v>229</v>
      </c>
    </row>
    <row r="398" ht="15.75" hidden="1" customHeight="1">
      <c r="A398" s="36">
        <v>3866030.0</v>
      </c>
      <c r="B398" s="37" t="s">
        <v>800</v>
      </c>
      <c r="C398" s="37" t="s">
        <v>1200</v>
      </c>
      <c r="D398" s="37" t="s">
        <v>224</v>
      </c>
      <c r="E398" s="37" t="s">
        <v>802</v>
      </c>
      <c r="F398" s="37" t="s">
        <v>333</v>
      </c>
      <c r="G398" s="37" t="s">
        <v>301</v>
      </c>
      <c r="H398" s="37" t="s">
        <v>1201</v>
      </c>
      <c r="I398" s="37" t="s">
        <v>229</v>
      </c>
    </row>
    <row r="399" ht="15.75" hidden="1" customHeight="1">
      <c r="A399" s="38">
        <v>3866156.0</v>
      </c>
      <c r="B399" s="39" t="s">
        <v>222</v>
      </c>
      <c r="C399" s="39" t="s">
        <v>1202</v>
      </c>
      <c r="D399" s="39" t="s">
        <v>224</v>
      </c>
      <c r="E399" s="39" t="s">
        <v>1127</v>
      </c>
      <c r="F399" s="39" t="s">
        <v>226</v>
      </c>
      <c r="G399" s="39" t="s">
        <v>227</v>
      </c>
      <c r="H399" s="39" t="s">
        <v>1203</v>
      </c>
      <c r="I399" s="39" t="s">
        <v>229</v>
      </c>
    </row>
    <row r="400" ht="15.75" hidden="1" customHeight="1">
      <c r="A400" s="36">
        <v>4490877.0</v>
      </c>
      <c r="B400" s="37" t="s">
        <v>254</v>
      </c>
      <c r="C400" s="37" t="s">
        <v>1204</v>
      </c>
      <c r="D400" s="37" t="s">
        <v>224</v>
      </c>
      <c r="E400" s="37" t="s">
        <v>272</v>
      </c>
      <c r="F400" s="37" t="s">
        <v>257</v>
      </c>
      <c r="G400" s="37" t="s">
        <v>258</v>
      </c>
      <c r="H400" s="37" t="s">
        <v>1205</v>
      </c>
      <c r="I400" s="37" t="s">
        <v>260</v>
      </c>
    </row>
    <row r="401" ht="15.75" hidden="1" customHeight="1">
      <c r="A401" s="38">
        <v>3866238.0</v>
      </c>
      <c r="B401" s="39" t="s">
        <v>232</v>
      </c>
      <c r="C401" s="39" t="s">
        <v>1206</v>
      </c>
      <c r="D401" s="39" t="s">
        <v>224</v>
      </c>
      <c r="E401" s="39" t="s">
        <v>1207</v>
      </c>
      <c r="F401" s="39" t="s">
        <v>226</v>
      </c>
      <c r="G401" s="39" t="s">
        <v>227</v>
      </c>
      <c r="H401" s="39" t="s">
        <v>1208</v>
      </c>
      <c r="I401" s="39" t="s">
        <v>229</v>
      </c>
    </row>
    <row r="402" ht="15.75" hidden="1" customHeight="1">
      <c r="A402" s="36">
        <v>3920301.0</v>
      </c>
      <c r="B402" s="37" t="s">
        <v>526</v>
      </c>
      <c r="C402" s="37" t="s">
        <v>1209</v>
      </c>
      <c r="D402" s="37" t="s">
        <v>224</v>
      </c>
      <c r="E402" s="37" t="s">
        <v>667</v>
      </c>
      <c r="F402" s="37" t="s">
        <v>326</v>
      </c>
      <c r="G402" s="37" t="s">
        <v>327</v>
      </c>
      <c r="H402" s="37" t="s">
        <v>1210</v>
      </c>
      <c r="I402" s="37" t="s">
        <v>229</v>
      </c>
    </row>
    <row r="403" ht="15.75" hidden="1" customHeight="1">
      <c r="A403" s="38">
        <v>4286071.0</v>
      </c>
      <c r="B403" s="39" t="s">
        <v>441</v>
      </c>
      <c r="C403" s="39" t="s">
        <v>1211</v>
      </c>
      <c r="D403" s="39" t="s">
        <v>224</v>
      </c>
      <c r="E403" s="39" t="s">
        <v>272</v>
      </c>
      <c r="F403" s="39" t="s">
        <v>257</v>
      </c>
      <c r="G403" s="39" t="s">
        <v>258</v>
      </c>
      <c r="H403" s="39" t="s">
        <v>1212</v>
      </c>
      <c r="I403" s="39" t="s">
        <v>260</v>
      </c>
    </row>
    <row r="404" ht="15.75" customHeight="1">
      <c r="A404" s="36">
        <v>3924273.0</v>
      </c>
      <c r="B404" s="37" t="s">
        <v>13</v>
      </c>
      <c r="C404" s="37" t="s">
        <v>35</v>
      </c>
      <c r="D404" s="37" t="s">
        <v>224</v>
      </c>
      <c r="E404" s="37" t="s">
        <v>357</v>
      </c>
      <c r="F404" s="37" t="s">
        <v>341</v>
      </c>
      <c r="G404" s="37" t="s">
        <v>3</v>
      </c>
      <c r="H404" s="37" t="s">
        <v>1213</v>
      </c>
      <c r="I404" s="37" t="s">
        <v>260</v>
      </c>
      <c r="J404" s="1">
        <v>42.0</v>
      </c>
      <c r="L404" s="40" t="s">
        <v>120</v>
      </c>
    </row>
    <row r="405" ht="15.75" hidden="1" customHeight="1">
      <c r="A405" s="38">
        <v>4503270.0</v>
      </c>
      <c r="B405" s="39" t="s">
        <v>309</v>
      </c>
      <c r="C405" s="39" t="s">
        <v>1214</v>
      </c>
      <c r="D405" s="39" t="s">
        <v>224</v>
      </c>
      <c r="E405" s="39" t="s">
        <v>272</v>
      </c>
      <c r="F405" s="39" t="s">
        <v>257</v>
      </c>
      <c r="G405" s="39" t="s">
        <v>258</v>
      </c>
      <c r="H405" s="39" t="s">
        <v>1215</v>
      </c>
      <c r="I405" s="39" t="s">
        <v>260</v>
      </c>
    </row>
    <row r="406" ht="15.75" hidden="1" customHeight="1">
      <c r="A406" s="36">
        <v>3941842.0</v>
      </c>
      <c r="B406" s="37" t="s">
        <v>1177</v>
      </c>
      <c r="C406" s="37" t="s">
        <v>1216</v>
      </c>
      <c r="D406" s="37" t="s">
        <v>224</v>
      </c>
      <c r="E406" s="37" t="s">
        <v>524</v>
      </c>
      <c r="F406" s="37" t="s">
        <v>470</v>
      </c>
      <c r="G406" s="37" t="s">
        <v>327</v>
      </c>
      <c r="H406" s="37" t="s">
        <v>1217</v>
      </c>
      <c r="I406" s="37" t="s">
        <v>229</v>
      </c>
    </row>
    <row r="407" ht="15.75" hidden="1" customHeight="1">
      <c r="A407" s="38">
        <v>5608437.0</v>
      </c>
      <c r="B407" s="39" t="s">
        <v>441</v>
      </c>
      <c r="C407" s="39" t="s">
        <v>1218</v>
      </c>
      <c r="D407" s="39" t="s">
        <v>224</v>
      </c>
      <c r="E407" s="39" t="s">
        <v>272</v>
      </c>
      <c r="F407" s="39" t="s">
        <v>257</v>
      </c>
      <c r="G407" s="39" t="s">
        <v>258</v>
      </c>
      <c r="H407" s="39" t="s">
        <v>1219</v>
      </c>
      <c r="I407" s="39" t="s">
        <v>260</v>
      </c>
    </row>
    <row r="408" ht="15.75" hidden="1" customHeight="1">
      <c r="A408" s="36">
        <v>3946730.0</v>
      </c>
      <c r="B408" s="37" t="s">
        <v>522</v>
      </c>
      <c r="C408" s="37" t="s">
        <v>1220</v>
      </c>
      <c r="D408" s="37" t="s">
        <v>224</v>
      </c>
      <c r="E408" s="37" t="s">
        <v>658</v>
      </c>
      <c r="F408" s="37" t="s">
        <v>470</v>
      </c>
      <c r="G408" s="37" t="s">
        <v>327</v>
      </c>
      <c r="H408" s="37" t="s">
        <v>1221</v>
      </c>
      <c r="I408" s="37" t="s">
        <v>229</v>
      </c>
    </row>
    <row r="409" ht="15.75" hidden="1" customHeight="1">
      <c r="A409" s="38">
        <v>4930885.0</v>
      </c>
      <c r="B409" s="39" t="s">
        <v>441</v>
      </c>
      <c r="C409" s="39" t="s">
        <v>1222</v>
      </c>
      <c r="D409" s="39" t="s">
        <v>224</v>
      </c>
      <c r="E409" s="39" t="s">
        <v>272</v>
      </c>
      <c r="F409" s="39" t="s">
        <v>257</v>
      </c>
      <c r="G409" s="39" t="s">
        <v>258</v>
      </c>
      <c r="H409" s="39" t="s">
        <v>1223</v>
      </c>
      <c r="I409" s="39" t="s">
        <v>260</v>
      </c>
    </row>
    <row r="410" ht="15.75" hidden="1" customHeight="1">
      <c r="A410" s="36">
        <v>3946733.0</v>
      </c>
      <c r="B410" s="37" t="s">
        <v>485</v>
      </c>
      <c r="C410" s="37" t="s">
        <v>1224</v>
      </c>
      <c r="D410" s="37" t="s">
        <v>224</v>
      </c>
      <c r="E410" s="37" t="s">
        <v>487</v>
      </c>
      <c r="F410" s="37" t="s">
        <v>470</v>
      </c>
      <c r="G410" s="37" t="s">
        <v>327</v>
      </c>
      <c r="H410" s="37" t="s">
        <v>1225</v>
      </c>
      <c r="I410" s="37" t="s">
        <v>229</v>
      </c>
    </row>
    <row r="411" ht="15.75" hidden="1" customHeight="1">
      <c r="A411" s="38">
        <v>5062385.0</v>
      </c>
      <c r="B411" s="39" t="s">
        <v>441</v>
      </c>
      <c r="C411" s="39" t="s">
        <v>1226</v>
      </c>
      <c r="D411" s="39" t="s">
        <v>224</v>
      </c>
      <c r="E411" s="39" t="s">
        <v>272</v>
      </c>
      <c r="F411" s="39" t="s">
        <v>257</v>
      </c>
      <c r="G411" s="39" t="s">
        <v>258</v>
      </c>
      <c r="H411" s="39" t="s">
        <v>1227</v>
      </c>
      <c r="I411" s="39" t="s">
        <v>260</v>
      </c>
    </row>
    <row r="412" ht="15.75" hidden="1" customHeight="1">
      <c r="A412" s="36">
        <v>3952846.0</v>
      </c>
      <c r="B412" s="37" t="s">
        <v>120</v>
      </c>
      <c r="C412" s="37" t="s">
        <v>1228</v>
      </c>
      <c r="D412" s="37" t="s">
        <v>224</v>
      </c>
      <c r="E412" s="37" t="s">
        <v>1015</v>
      </c>
      <c r="F412" s="37" t="s">
        <v>644</v>
      </c>
      <c r="G412" s="37" t="s">
        <v>3</v>
      </c>
      <c r="H412" s="37" t="s">
        <v>1229</v>
      </c>
      <c r="I412" s="37" t="s">
        <v>260</v>
      </c>
      <c r="J412" s="1">
        <v>42.0</v>
      </c>
      <c r="L412" s="40" t="s">
        <v>13</v>
      </c>
    </row>
    <row r="413" ht="15.75" hidden="1" customHeight="1">
      <c r="A413" s="38">
        <v>5061315.0</v>
      </c>
      <c r="B413" s="39" t="s">
        <v>254</v>
      </c>
      <c r="C413" s="39" t="s">
        <v>1230</v>
      </c>
      <c r="D413" s="39" t="s">
        <v>224</v>
      </c>
      <c r="E413" s="39" t="s">
        <v>272</v>
      </c>
      <c r="F413" s="39" t="s">
        <v>257</v>
      </c>
      <c r="G413" s="39" t="s">
        <v>258</v>
      </c>
      <c r="H413" s="39" t="s">
        <v>1231</v>
      </c>
      <c r="I413" s="39" t="s">
        <v>260</v>
      </c>
    </row>
    <row r="414" ht="15.75" hidden="1" customHeight="1">
      <c r="A414" s="36">
        <v>3958188.0</v>
      </c>
      <c r="B414" s="37" t="s">
        <v>361</v>
      </c>
      <c r="C414" s="37" t="s">
        <v>1232</v>
      </c>
      <c r="D414" s="37" t="s">
        <v>224</v>
      </c>
      <c r="E414" s="37" t="s">
        <v>563</v>
      </c>
      <c r="F414" s="37" t="s">
        <v>312</v>
      </c>
      <c r="G414" s="37" t="s">
        <v>258</v>
      </c>
      <c r="H414" s="37" t="s">
        <v>1233</v>
      </c>
      <c r="I414" s="37" t="s">
        <v>260</v>
      </c>
    </row>
    <row r="415" ht="15.75" hidden="1" customHeight="1">
      <c r="A415" s="38">
        <v>5362898.0</v>
      </c>
      <c r="B415" s="39" t="s">
        <v>254</v>
      </c>
      <c r="C415" s="39" t="s">
        <v>1234</v>
      </c>
      <c r="D415" s="39" t="s">
        <v>224</v>
      </c>
      <c r="E415" s="39" t="s">
        <v>272</v>
      </c>
      <c r="F415" s="39" t="s">
        <v>257</v>
      </c>
      <c r="G415" s="39" t="s">
        <v>258</v>
      </c>
      <c r="H415" s="39" t="s">
        <v>1235</v>
      </c>
      <c r="I415" s="39" t="s">
        <v>260</v>
      </c>
    </row>
    <row r="416" ht="15.75" hidden="1" customHeight="1">
      <c r="A416" s="36">
        <v>3995758.0</v>
      </c>
      <c r="B416" s="37" t="s">
        <v>416</v>
      </c>
      <c r="C416" s="37" t="s">
        <v>1236</v>
      </c>
      <c r="D416" s="37" t="s">
        <v>224</v>
      </c>
      <c r="E416" s="37" t="s">
        <v>1237</v>
      </c>
      <c r="F416" s="37" t="s">
        <v>421</v>
      </c>
      <c r="G416" s="37" t="s">
        <v>227</v>
      </c>
      <c r="H416" s="37" t="s">
        <v>1238</v>
      </c>
      <c r="I416" s="37" t="s">
        <v>260</v>
      </c>
    </row>
    <row r="417" ht="15.75" hidden="1" customHeight="1">
      <c r="A417" s="38">
        <v>5368027.0</v>
      </c>
      <c r="B417" s="39" t="s">
        <v>441</v>
      </c>
      <c r="C417" s="39" t="s">
        <v>1239</v>
      </c>
      <c r="D417" s="39" t="s">
        <v>224</v>
      </c>
      <c r="E417" s="39" t="s">
        <v>272</v>
      </c>
      <c r="F417" s="39" t="s">
        <v>257</v>
      </c>
      <c r="G417" s="39" t="s">
        <v>258</v>
      </c>
      <c r="H417" s="39" t="s">
        <v>1240</v>
      </c>
      <c r="I417" s="39" t="s">
        <v>260</v>
      </c>
    </row>
    <row r="418" ht="15.75" hidden="1" customHeight="1">
      <c r="A418" s="36">
        <v>5475649.0</v>
      </c>
      <c r="B418" s="37" t="s">
        <v>254</v>
      </c>
      <c r="C418" s="37" t="s">
        <v>1241</v>
      </c>
      <c r="D418" s="37" t="s">
        <v>224</v>
      </c>
      <c r="E418" s="37" t="s">
        <v>272</v>
      </c>
      <c r="F418" s="37" t="s">
        <v>257</v>
      </c>
      <c r="G418" s="37" t="s">
        <v>258</v>
      </c>
      <c r="H418" s="37" t="s">
        <v>1242</v>
      </c>
      <c r="I418" s="37" t="s">
        <v>260</v>
      </c>
    </row>
    <row r="419" ht="15.75" hidden="1" customHeight="1">
      <c r="A419" s="38">
        <v>5557287.0</v>
      </c>
      <c r="B419" s="39" t="s">
        <v>907</v>
      </c>
      <c r="C419" s="39" t="s">
        <v>1243</v>
      </c>
      <c r="D419" s="39" t="s">
        <v>224</v>
      </c>
      <c r="E419" s="39" t="s">
        <v>272</v>
      </c>
      <c r="F419" s="39" t="s">
        <v>257</v>
      </c>
      <c r="G419" s="39" t="s">
        <v>258</v>
      </c>
      <c r="H419" s="39" t="s">
        <v>1244</v>
      </c>
      <c r="I419" s="39" t="s">
        <v>260</v>
      </c>
    </row>
    <row r="420" ht="15.75" hidden="1" customHeight="1">
      <c r="A420" s="36">
        <v>4006113.0</v>
      </c>
      <c r="B420" s="37" t="s">
        <v>385</v>
      </c>
      <c r="C420" s="37" t="s">
        <v>1245</v>
      </c>
      <c r="D420" s="37" t="s">
        <v>224</v>
      </c>
      <c r="E420" s="37" t="s">
        <v>387</v>
      </c>
      <c r="F420" s="37" t="s">
        <v>300</v>
      </c>
      <c r="G420" s="37" t="s">
        <v>301</v>
      </c>
      <c r="H420" s="37" t="s">
        <v>1246</v>
      </c>
      <c r="I420" s="37" t="s">
        <v>229</v>
      </c>
    </row>
    <row r="421" ht="15.75" hidden="1" customHeight="1">
      <c r="A421" s="38">
        <v>5872099.0</v>
      </c>
      <c r="B421" s="39" t="s">
        <v>994</v>
      </c>
      <c r="C421" s="39" t="s">
        <v>1247</v>
      </c>
      <c r="D421" s="39" t="s">
        <v>224</v>
      </c>
      <c r="E421" s="39" t="s">
        <v>272</v>
      </c>
      <c r="F421" s="39" t="s">
        <v>257</v>
      </c>
      <c r="G421" s="39" t="s">
        <v>258</v>
      </c>
      <c r="H421" s="39" t="s">
        <v>1248</v>
      </c>
      <c r="I421" s="39" t="s">
        <v>260</v>
      </c>
    </row>
    <row r="422" ht="15.75" hidden="1" customHeight="1">
      <c r="A422" s="36">
        <v>5777270.0</v>
      </c>
      <c r="B422" s="37" t="s">
        <v>907</v>
      </c>
      <c r="C422" s="37" t="s">
        <v>1249</v>
      </c>
      <c r="D422" s="37" t="s">
        <v>224</v>
      </c>
      <c r="E422" s="37" t="s">
        <v>272</v>
      </c>
      <c r="F422" s="37" t="s">
        <v>257</v>
      </c>
      <c r="G422" s="37" t="s">
        <v>258</v>
      </c>
      <c r="H422" s="37" t="s">
        <v>1250</v>
      </c>
      <c r="I422" s="37" t="s">
        <v>260</v>
      </c>
    </row>
    <row r="423" ht="15.75" hidden="1" customHeight="1">
      <c r="A423" s="38">
        <v>4012106.0</v>
      </c>
      <c r="B423" s="39" t="s">
        <v>491</v>
      </c>
      <c r="C423" s="39" t="s">
        <v>1251</v>
      </c>
      <c r="D423" s="39" t="s">
        <v>224</v>
      </c>
      <c r="E423" s="39" t="s">
        <v>573</v>
      </c>
      <c r="F423" s="39" t="s">
        <v>494</v>
      </c>
      <c r="G423" s="39" t="s">
        <v>227</v>
      </c>
      <c r="H423" s="39" t="s">
        <v>1252</v>
      </c>
      <c r="I423" s="39" t="s">
        <v>260</v>
      </c>
    </row>
    <row r="424" ht="15.75" hidden="1" customHeight="1">
      <c r="A424" s="36">
        <v>5876862.0</v>
      </c>
      <c r="B424" s="37" t="s">
        <v>254</v>
      </c>
      <c r="C424" s="37" t="s">
        <v>1253</v>
      </c>
      <c r="D424" s="37" t="s">
        <v>224</v>
      </c>
      <c r="E424" s="37" t="s">
        <v>272</v>
      </c>
      <c r="F424" s="37" t="s">
        <v>257</v>
      </c>
      <c r="G424" s="37" t="s">
        <v>258</v>
      </c>
      <c r="H424" s="37" t="s">
        <v>1254</v>
      </c>
      <c r="I424" s="37" t="s">
        <v>260</v>
      </c>
    </row>
    <row r="425" ht="15.75" hidden="1" customHeight="1">
      <c r="A425" s="38">
        <v>5029423.0</v>
      </c>
      <c r="B425" s="39" t="s">
        <v>254</v>
      </c>
      <c r="C425" s="39" t="s">
        <v>1255</v>
      </c>
      <c r="D425" s="39" t="s">
        <v>224</v>
      </c>
      <c r="E425" s="39" t="s">
        <v>272</v>
      </c>
      <c r="F425" s="39" t="s">
        <v>257</v>
      </c>
      <c r="G425" s="39" t="s">
        <v>258</v>
      </c>
      <c r="H425" s="39" t="s">
        <v>1256</v>
      </c>
      <c r="I425" s="39" t="s">
        <v>260</v>
      </c>
    </row>
    <row r="426" ht="15.75" hidden="1" customHeight="1">
      <c r="A426" s="36">
        <v>4015714.0</v>
      </c>
      <c r="B426" s="37" t="s">
        <v>567</v>
      </c>
      <c r="C426" s="37" t="s">
        <v>1257</v>
      </c>
      <c r="D426" s="37" t="s">
        <v>224</v>
      </c>
      <c r="E426" s="37" t="s">
        <v>403</v>
      </c>
      <c r="F426" s="37" t="s">
        <v>377</v>
      </c>
      <c r="G426" s="37" t="s">
        <v>327</v>
      </c>
      <c r="H426" s="37" t="s">
        <v>1258</v>
      </c>
      <c r="I426" s="37" t="s">
        <v>229</v>
      </c>
    </row>
    <row r="427" ht="15.75" hidden="1" customHeight="1">
      <c r="A427" s="38">
        <v>5320752.0</v>
      </c>
      <c r="B427" s="39" t="s">
        <v>441</v>
      </c>
      <c r="C427" s="39" t="s">
        <v>1259</v>
      </c>
      <c r="D427" s="39" t="s">
        <v>224</v>
      </c>
      <c r="E427" s="39" t="s">
        <v>272</v>
      </c>
      <c r="F427" s="39" t="s">
        <v>257</v>
      </c>
      <c r="G427" s="39" t="s">
        <v>258</v>
      </c>
      <c r="H427" s="39" t="s">
        <v>1260</v>
      </c>
      <c r="I427" s="39" t="s">
        <v>260</v>
      </c>
    </row>
    <row r="428" ht="15.75" hidden="1" customHeight="1">
      <c r="A428" s="36">
        <v>4024198.0</v>
      </c>
      <c r="B428" s="37" t="s">
        <v>738</v>
      </c>
      <c r="C428" s="37" t="s">
        <v>1261</v>
      </c>
      <c r="D428" s="37" t="s">
        <v>224</v>
      </c>
      <c r="E428" s="37" t="s">
        <v>1262</v>
      </c>
      <c r="F428" s="37" t="s">
        <v>533</v>
      </c>
      <c r="G428" s="37" t="s">
        <v>250</v>
      </c>
      <c r="H428" s="37" t="s">
        <v>1263</v>
      </c>
      <c r="I428" s="37" t="s">
        <v>229</v>
      </c>
    </row>
    <row r="429" ht="15.75" hidden="1" customHeight="1">
      <c r="A429" s="38">
        <v>4047549.0</v>
      </c>
      <c r="B429" s="39" t="s">
        <v>331</v>
      </c>
      <c r="C429" s="39" t="s">
        <v>1264</v>
      </c>
      <c r="D429" s="39" t="s">
        <v>346</v>
      </c>
      <c r="E429" s="39" t="s">
        <v>347</v>
      </c>
      <c r="F429" s="39" t="s">
        <v>348</v>
      </c>
      <c r="G429" s="39" t="s">
        <v>349</v>
      </c>
      <c r="H429" s="39" t="s">
        <v>1265</v>
      </c>
      <c r="I429" s="39" t="s">
        <v>229</v>
      </c>
    </row>
    <row r="430" ht="15.75" hidden="1" customHeight="1">
      <c r="A430" s="36">
        <v>4084220.0</v>
      </c>
      <c r="B430" s="37" t="s">
        <v>10</v>
      </c>
      <c r="C430" s="37" t="s">
        <v>1266</v>
      </c>
      <c r="D430" s="37" t="s">
        <v>224</v>
      </c>
      <c r="E430" s="37" t="s">
        <v>278</v>
      </c>
      <c r="F430" s="37" t="s">
        <v>257</v>
      </c>
      <c r="G430" s="37" t="s">
        <v>258</v>
      </c>
      <c r="H430" s="37" t="s">
        <v>1267</v>
      </c>
      <c r="I430" s="37" t="s">
        <v>260</v>
      </c>
    </row>
    <row r="431" ht="15.75" hidden="1" customHeight="1">
      <c r="A431" s="38">
        <v>4085674.0</v>
      </c>
      <c r="B431" s="39" t="s">
        <v>113</v>
      </c>
      <c r="C431" s="39" t="s">
        <v>1268</v>
      </c>
      <c r="D431" s="39" t="s">
        <v>224</v>
      </c>
      <c r="E431" s="39" t="s">
        <v>420</v>
      </c>
      <c r="F431" s="39" t="s">
        <v>421</v>
      </c>
      <c r="G431" s="39" t="s">
        <v>227</v>
      </c>
      <c r="H431" s="39" t="s">
        <v>1269</v>
      </c>
      <c r="I431" s="39" t="s">
        <v>260</v>
      </c>
    </row>
    <row r="432" ht="15.75" hidden="1" customHeight="1">
      <c r="A432" s="36">
        <v>5775214.0</v>
      </c>
      <c r="B432" s="37" t="s">
        <v>806</v>
      </c>
      <c r="C432" s="37" t="s">
        <v>1270</v>
      </c>
      <c r="D432" s="37" t="s">
        <v>224</v>
      </c>
      <c r="E432" s="37" t="s">
        <v>278</v>
      </c>
      <c r="F432" s="37" t="s">
        <v>257</v>
      </c>
      <c r="G432" s="37" t="s">
        <v>258</v>
      </c>
      <c r="H432" s="37" t="s">
        <v>1271</v>
      </c>
      <c r="I432" s="37" t="s">
        <v>260</v>
      </c>
    </row>
    <row r="433" ht="15.75" hidden="1" customHeight="1">
      <c r="A433" s="38">
        <v>4085838.0</v>
      </c>
      <c r="B433" s="39" t="s">
        <v>232</v>
      </c>
      <c r="C433" s="39" t="s">
        <v>1272</v>
      </c>
      <c r="D433" s="39" t="s">
        <v>224</v>
      </c>
      <c r="E433" s="39" t="s">
        <v>932</v>
      </c>
      <c r="F433" s="39" t="s">
        <v>226</v>
      </c>
      <c r="G433" s="39" t="s">
        <v>227</v>
      </c>
      <c r="H433" s="39" t="s">
        <v>1273</v>
      </c>
      <c r="I433" s="39" t="s">
        <v>229</v>
      </c>
    </row>
    <row r="434" ht="15.75" hidden="1" customHeight="1">
      <c r="A434" s="36">
        <v>4680288.0</v>
      </c>
      <c r="B434" s="37" t="s">
        <v>276</v>
      </c>
      <c r="C434" s="37" t="s">
        <v>1274</v>
      </c>
      <c r="D434" s="37" t="s">
        <v>224</v>
      </c>
      <c r="E434" s="37" t="s">
        <v>278</v>
      </c>
      <c r="F434" s="37" t="s">
        <v>257</v>
      </c>
      <c r="G434" s="37" t="s">
        <v>258</v>
      </c>
      <c r="H434" s="37" t="s">
        <v>1275</v>
      </c>
      <c r="I434" s="37" t="s">
        <v>260</v>
      </c>
    </row>
    <row r="435" ht="15.75" hidden="1" customHeight="1">
      <c r="A435" s="38">
        <v>4092940.0</v>
      </c>
      <c r="B435" s="39" t="s">
        <v>232</v>
      </c>
      <c r="C435" s="39" t="s">
        <v>1276</v>
      </c>
      <c r="D435" s="39" t="s">
        <v>224</v>
      </c>
      <c r="E435" s="39" t="s">
        <v>499</v>
      </c>
      <c r="F435" s="39" t="s">
        <v>226</v>
      </c>
      <c r="G435" s="39" t="s">
        <v>227</v>
      </c>
      <c r="H435" s="39" t="s">
        <v>1277</v>
      </c>
      <c r="I435" s="39" t="s">
        <v>229</v>
      </c>
    </row>
    <row r="436" ht="15.75" hidden="1" customHeight="1">
      <c r="A436" s="36">
        <v>5775169.0</v>
      </c>
      <c r="B436" s="37" t="s">
        <v>806</v>
      </c>
      <c r="C436" s="37" t="s">
        <v>1278</v>
      </c>
      <c r="D436" s="37" t="s">
        <v>224</v>
      </c>
      <c r="E436" s="37" t="s">
        <v>278</v>
      </c>
      <c r="F436" s="37" t="s">
        <v>257</v>
      </c>
      <c r="G436" s="37" t="s">
        <v>258</v>
      </c>
      <c r="H436" s="37" t="s">
        <v>1279</v>
      </c>
      <c r="I436" s="37" t="s">
        <v>260</v>
      </c>
    </row>
    <row r="437" ht="15.75" hidden="1" customHeight="1">
      <c r="A437" s="38">
        <v>4092975.0</v>
      </c>
      <c r="B437" s="39" t="s">
        <v>522</v>
      </c>
      <c r="C437" s="39" t="s">
        <v>1280</v>
      </c>
      <c r="D437" s="39" t="s">
        <v>224</v>
      </c>
      <c r="E437" s="39" t="s">
        <v>524</v>
      </c>
      <c r="F437" s="39" t="s">
        <v>470</v>
      </c>
      <c r="G437" s="39" t="s">
        <v>327</v>
      </c>
      <c r="H437" s="39" t="s">
        <v>1281</v>
      </c>
      <c r="I437" s="39" t="s">
        <v>229</v>
      </c>
    </row>
    <row r="438" ht="15.75" hidden="1" customHeight="1">
      <c r="A438" s="36">
        <v>5507117.0</v>
      </c>
      <c r="B438" s="37" t="s">
        <v>806</v>
      </c>
      <c r="C438" s="37" t="s">
        <v>1282</v>
      </c>
      <c r="D438" s="37" t="s">
        <v>224</v>
      </c>
      <c r="E438" s="37" t="s">
        <v>278</v>
      </c>
      <c r="F438" s="37" t="s">
        <v>257</v>
      </c>
      <c r="G438" s="37" t="s">
        <v>258</v>
      </c>
      <c r="H438" s="37" t="s">
        <v>1283</v>
      </c>
      <c r="I438" s="37" t="s">
        <v>260</v>
      </c>
    </row>
    <row r="439" ht="15.75" hidden="1" customHeight="1">
      <c r="A439" s="38">
        <v>4093108.0</v>
      </c>
      <c r="B439" s="39" t="s">
        <v>485</v>
      </c>
      <c r="C439" s="39" t="s">
        <v>1284</v>
      </c>
      <c r="D439" s="39" t="s">
        <v>224</v>
      </c>
      <c r="E439" s="39" t="s">
        <v>487</v>
      </c>
      <c r="F439" s="39" t="s">
        <v>470</v>
      </c>
      <c r="G439" s="39" t="s">
        <v>327</v>
      </c>
      <c r="H439" s="39" t="s">
        <v>1285</v>
      </c>
      <c r="I439" s="39" t="s">
        <v>229</v>
      </c>
    </row>
    <row r="440" ht="15.75" hidden="1" customHeight="1">
      <c r="A440" s="36">
        <v>5775190.0</v>
      </c>
      <c r="B440" s="37" t="s">
        <v>1044</v>
      </c>
      <c r="C440" s="37" t="s">
        <v>1286</v>
      </c>
      <c r="D440" s="37" t="s">
        <v>224</v>
      </c>
      <c r="E440" s="37" t="s">
        <v>278</v>
      </c>
      <c r="F440" s="37" t="s">
        <v>257</v>
      </c>
      <c r="G440" s="37" t="s">
        <v>258</v>
      </c>
      <c r="H440" s="37" t="s">
        <v>1287</v>
      </c>
      <c r="I440" s="37" t="s">
        <v>260</v>
      </c>
    </row>
    <row r="441" ht="15.75" hidden="1" customHeight="1">
      <c r="A441" s="38">
        <v>4093150.0</v>
      </c>
      <c r="B441" s="39" t="s">
        <v>361</v>
      </c>
      <c r="C441" s="39" t="s">
        <v>1288</v>
      </c>
      <c r="D441" s="39" t="s">
        <v>224</v>
      </c>
      <c r="E441" s="39" t="s">
        <v>311</v>
      </c>
      <c r="F441" s="39" t="s">
        <v>312</v>
      </c>
      <c r="G441" s="39" t="s">
        <v>258</v>
      </c>
      <c r="H441" s="39" t="s">
        <v>1289</v>
      </c>
      <c r="I441" s="39" t="s">
        <v>260</v>
      </c>
    </row>
    <row r="442" ht="15.75" hidden="1" customHeight="1">
      <c r="A442" s="36">
        <v>5331335.0</v>
      </c>
      <c r="B442" s="37" t="s">
        <v>632</v>
      </c>
      <c r="C442" s="37" t="s">
        <v>1290</v>
      </c>
      <c r="D442" s="37" t="s">
        <v>224</v>
      </c>
      <c r="E442" s="37" t="s">
        <v>278</v>
      </c>
      <c r="F442" s="37" t="s">
        <v>257</v>
      </c>
      <c r="G442" s="37" t="s">
        <v>258</v>
      </c>
      <c r="H442" s="37" t="s">
        <v>1291</v>
      </c>
      <c r="I442" s="37" t="s">
        <v>260</v>
      </c>
    </row>
    <row r="443" ht="15.75" hidden="1" customHeight="1">
      <c r="A443" s="38">
        <v>5331345.0</v>
      </c>
      <c r="B443" s="39" t="s">
        <v>10</v>
      </c>
      <c r="C443" s="39" t="s">
        <v>1292</v>
      </c>
      <c r="D443" s="39" t="s">
        <v>224</v>
      </c>
      <c r="E443" s="39" t="s">
        <v>278</v>
      </c>
      <c r="F443" s="39" t="s">
        <v>257</v>
      </c>
      <c r="G443" s="39" t="s">
        <v>258</v>
      </c>
      <c r="H443" s="39" t="s">
        <v>1293</v>
      </c>
      <c r="I443" s="39" t="s">
        <v>260</v>
      </c>
    </row>
    <row r="444" ht="15.75" hidden="1" customHeight="1">
      <c r="A444" s="36">
        <v>5333588.0</v>
      </c>
      <c r="B444" s="37" t="s">
        <v>806</v>
      </c>
      <c r="C444" s="37" t="s">
        <v>1294</v>
      </c>
      <c r="D444" s="37" t="s">
        <v>224</v>
      </c>
      <c r="E444" s="37" t="s">
        <v>278</v>
      </c>
      <c r="F444" s="37" t="s">
        <v>257</v>
      </c>
      <c r="G444" s="37" t="s">
        <v>258</v>
      </c>
      <c r="H444" s="37" t="s">
        <v>1295</v>
      </c>
      <c r="I444" s="37" t="s">
        <v>260</v>
      </c>
    </row>
    <row r="445" ht="15.75" hidden="1" customHeight="1">
      <c r="A445" s="38">
        <v>4099108.0</v>
      </c>
      <c r="B445" s="39" t="s">
        <v>232</v>
      </c>
      <c r="C445" s="39" t="s">
        <v>1296</v>
      </c>
      <c r="D445" s="39" t="s">
        <v>224</v>
      </c>
      <c r="E445" s="39" t="s">
        <v>932</v>
      </c>
      <c r="F445" s="39" t="s">
        <v>226</v>
      </c>
      <c r="G445" s="39" t="s">
        <v>227</v>
      </c>
      <c r="H445" s="39" t="s">
        <v>1297</v>
      </c>
      <c r="I445" s="39" t="s">
        <v>229</v>
      </c>
    </row>
    <row r="446" ht="15.75" hidden="1" customHeight="1">
      <c r="A446" s="36">
        <v>5351350.0</v>
      </c>
      <c r="B446" s="37" t="s">
        <v>10</v>
      </c>
      <c r="C446" s="37" t="s">
        <v>1298</v>
      </c>
      <c r="D446" s="37" t="s">
        <v>224</v>
      </c>
      <c r="E446" s="37" t="s">
        <v>278</v>
      </c>
      <c r="F446" s="37" t="s">
        <v>257</v>
      </c>
      <c r="G446" s="37" t="s">
        <v>258</v>
      </c>
      <c r="H446" s="37" t="s">
        <v>1299</v>
      </c>
      <c r="I446" s="37" t="s">
        <v>260</v>
      </c>
    </row>
    <row r="447" ht="15.75" hidden="1" customHeight="1">
      <c r="A447" s="38">
        <v>4107207.0</v>
      </c>
      <c r="B447" s="39" t="s">
        <v>331</v>
      </c>
      <c r="C447" s="39" t="s">
        <v>1300</v>
      </c>
      <c r="D447" s="39" t="s">
        <v>346</v>
      </c>
      <c r="E447" s="39" t="s">
        <v>1301</v>
      </c>
      <c r="F447" s="39" t="s">
        <v>349</v>
      </c>
      <c r="G447" s="39" t="s">
        <v>1302</v>
      </c>
      <c r="H447" s="39" t="s">
        <v>1303</v>
      </c>
      <c r="I447" s="39" t="s">
        <v>229</v>
      </c>
    </row>
    <row r="448" ht="15.75" hidden="1" customHeight="1">
      <c r="A448" s="36">
        <v>5369921.0</v>
      </c>
      <c r="B448" s="37" t="s">
        <v>806</v>
      </c>
      <c r="C448" s="37" t="s">
        <v>1304</v>
      </c>
      <c r="D448" s="37" t="s">
        <v>224</v>
      </c>
      <c r="E448" s="37" t="s">
        <v>278</v>
      </c>
      <c r="F448" s="37" t="s">
        <v>257</v>
      </c>
      <c r="G448" s="37" t="s">
        <v>258</v>
      </c>
      <c r="H448" s="37" t="s">
        <v>1305</v>
      </c>
      <c r="I448" s="37" t="s">
        <v>260</v>
      </c>
    </row>
    <row r="449" ht="15.75" hidden="1" customHeight="1">
      <c r="A449" s="38">
        <v>4128304.0</v>
      </c>
      <c r="B449" s="39" t="s">
        <v>841</v>
      </c>
      <c r="C449" s="39" t="s">
        <v>1306</v>
      </c>
      <c r="D449" s="39" t="s">
        <v>224</v>
      </c>
      <c r="E449" s="39" t="s">
        <v>843</v>
      </c>
      <c r="F449" s="39" t="s">
        <v>242</v>
      </c>
      <c r="G449" s="39" t="s">
        <v>227</v>
      </c>
      <c r="H449" s="39" t="s">
        <v>1307</v>
      </c>
      <c r="I449" s="39" t="s">
        <v>229</v>
      </c>
    </row>
    <row r="450" ht="15.75" hidden="1" customHeight="1">
      <c r="A450" s="36">
        <v>5369924.0</v>
      </c>
      <c r="B450" s="37" t="s">
        <v>632</v>
      </c>
      <c r="C450" s="37" t="s">
        <v>1308</v>
      </c>
      <c r="D450" s="37" t="s">
        <v>224</v>
      </c>
      <c r="E450" s="37" t="s">
        <v>278</v>
      </c>
      <c r="F450" s="37" t="s">
        <v>257</v>
      </c>
      <c r="G450" s="37" t="s">
        <v>258</v>
      </c>
      <c r="H450" s="37" t="s">
        <v>1309</v>
      </c>
      <c r="I450" s="37" t="s">
        <v>260</v>
      </c>
    </row>
    <row r="451" ht="15.75" hidden="1" customHeight="1">
      <c r="A451" s="38">
        <v>4133927.0</v>
      </c>
      <c r="B451" s="39" t="s">
        <v>222</v>
      </c>
      <c r="C451" s="39" t="s">
        <v>1310</v>
      </c>
      <c r="D451" s="39" t="s">
        <v>224</v>
      </c>
      <c r="E451" s="39" t="s">
        <v>1127</v>
      </c>
      <c r="F451" s="39" t="s">
        <v>226</v>
      </c>
      <c r="G451" s="39" t="s">
        <v>227</v>
      </c>
      <c r="H451" s="39" t="s">
        <v>1311</v>
      </c>
      <c r="I451" s="39" t="s">
        <v>229</v>
      </c>
    </row>
    <row r="452" ht="15.75" hidden="1" customHeight="1">
      <c r="A452" s="36">
        <v>5507107.0</v>
      </c>
      <c r="B452" s="37" t="s">
        <v>806</v>
      </c>
      <c r="C452" s="37" t="s">
        <v>1312</v>
      </c>
      <c r="D452" s="37" t="s">
        <v>224</v>
      </c>
      <c r="E452" s="37" t="s">
        <v>278</v>
      </c>
      <c r="F452" s="37" t="s">
        <v>257</v>
      </c>
      <c r="G452" s="37" t="s">
        <v>258</v>
      </c>
      <c r="H452" s="37" t="s">
        <v>1313</v>
      </c>
      <c r="I452" s="37" t="s">
        <v>260</v>
      </c>
    </row>
    <row r="453" ht="15.75" hidden="1" customHeight="1">
      <c r="A453" s="38">
        <v>4142845.0</v>
      </c>
      <c r="B453" s="39" t="s">
        <v>1177</v>
      </c>
      <c r="C453" s="39" t="s">
        <v>1314</v>
      </c>
      <c r="D453" s="39" t="s">
        <v>224</v>
      </c>
      <c r="E453" s="39" t="s">
        <v>524</v>
      </c>
      <c r="F453" s="39" t="s">
        <v>470</v>
      </c>
      <c r="G453" s="39" t="s">
        <v>327</v>
      </c>
      <c r="H453" s="39" t="s">
        <v>1315</v>
      </c>
      <c r="I453" s="39" t="s">
        <v>229</v>
      </c>
    </row>
    <row r="454" ht="15.75" hidden="1" customHeight="1">
      <c r="A454" s="36">
        <v>5775518.0</v>
      </c>
      <c r="B454" s="37" t="s">
        <v>1044</v>
      </c>
      <c r="C454" s="37" t="s">
        <v>1316</v>
      </c>
      <c r="D454" s="37" t="s">
        <v>224</v>
      </c>
      <c r="E454" s="37" t="s">
        <v>278</v>
      </c>
      <c r="F454" s="37" t="s">
        <v>257</v>
      </c>
      <c r="G454" s="37" t="s">
        <v>258</v>
      </c>
      <c r="H454" s="37" t="s">
        <v>1317</v>
      </c>
      <c r="I454" s="37" t="s">
        <v>260</v>
      </c>
    </row>
    <row r="455" ht="15.75" hidden="1" customHeight="1">
      <c r="A455" s="38">
        <v>4142855.0</v>
      </c>
      <c r="B455" s="39" t="s">
        <v>9</v>
      </c>
      <c r="C455" s="39" t="s">
        <v>1318</v>
      </c>
      <c r="D455" s="39" t="s">
        <v>224</v>
      </c>
      <c r="E455" s="39" t="s">
        <v>711</v>
      </c>
      <c r="F455" s="39" t="s">
        <v>481</v>
      </c>
      <c r="G455" s="39" t="s">
        <v>293</v>
      </c>
      <c r="H455" s="39" t="s">
        <v>1319</v>
      </c>
      <c r="I455" s="39" t="s">
        <v>229</v>
      </c>
    </row>
    <row r="456" ht="15.75" hidden="1" customHeight="1">
      <c r="A456" s="36">
        <v>4660750.0</v>
      </c>
      <c r="B456" s="37" t="s">
        <v>1044</v>
      </c>
      <c r="C456" s="37" t="s">
        <v>1320</v>
      </c>
      <c r="D456" s="37" t="s">
        <v>224</v>
      </c>
      <c r="E456" s="37" t="s">
        <v>278</v>
      </c>
      <c r="F456" s="37" t="s">
        <v>257</v>
      </c>
      <c r="G456" s="37" t="s">
        <v>258</v>
      </c>
      <c r="H456" s="37" t="s">
        <v>1321</v>
      </c>
      <c r="I456" s="37" t="s">
        <v>260</v>
      </c>
    </row>
    <row r="457" ht="15.75" hidden="1" customHeight="1">
      <c r="A457" s="38">
        <v>4142866.0</v>
      </c>
      <c r="B457" s="39" t="s">
        <v>478</v>
      </c>
      <c r="C457" s="39" t="s">
        <v>1322</v>
      </c>
      <c r="D457" s="39" t="s">
        <v>331</v>
      </c>
      <c r="E457" s="39" t="s">
        <v>1323</v>
      </c>
      <c r="F457" s="39" t="s">
        <v>481</v>
      </c>
      <c r="G457" s="39" t="s">
        <v>293</v>
      </c>
      <c r="H457" s="39" t="s">
        <v>1324</v>
      </c>
      <c r="I457" s="39" t="s">
        <v>229</v>
      </c>
    </row>
    <row r="458" ht="15.75" hidden="1" customHeight="1">
      <c r="A458" s="36">
        <v>5331343.0</v>
      </c>
      <c r="B458" s="37" t="s">
        <v>10</v>
      </c>
      <c r="C458" s="37" t="s">
        <v>1325</v>
      </c>
      <c r="D458" s="37" t="s">
        <v>224</v>
      </c>
      <c r="E458" s="37" t="s">
        <v>278</v>
      </c>
      <c r="F458" s="37" t="s">
        <v>257</v>
      </c>
      <c r="G458" s="37" t="s">
        <v>258</v>
      </c>
      <c r="H458" s="37" t="s">
        <v>1326</v>
      </c>
      <c r="I458" s="37" t="s">
        <v>260</v>
      </c>
    </row>
    <row r="459" ht="15.75" hidden="1" customHeight="1">
      <c r="A459" s="38">
        <v>4178284.0</v>
      </c>
      <c r="B459" s="39" t="s">
        <v>323</v>
      </c>
      <c r="C459" s="39" t="s">
        <v>1327</v>
      </c>
      <c r="D459" s="39" t="s">
        <v>224</v>
      </c>
      <c r="E459" s="39" t="s">
        <v>1328</v>
      </c>
      <c r="F459" s="39" t="s">
        <v>326</v>
      </c>
      <c r="G459" s="39" t="s">
        <v>327</v>
      </c>
      <c r="H459" s="39" t="s">
        <v>1329</v>
      </c>
      <c r="I459" s="39" t="s">
        <v>229</v>
      </c>
    </row>
    <row r="460" ht="15.75" hidden="1" customHeight="1">
      <c r="A460" s="36">
        <v>4185879.0</v>
      </c>
      <c r="B460" s="37" t="s">
        <v>246</v>
      </c>
      <c r="C460" s="37" t="s">
        <v>1330</v>
      </c>
      <c r="D460" s="37" t="s">
        <v>224</v>
      </c>
      <c r="E460" s="37" t="s">
        <v>336</v>
      </c>
      <c r="F460" s="37" t="s">
        <v>249</v>
      </c>
      <c r="G460" s="37" t="s">
        <v>250</v>
      </c>
      <c r="H460" s="37" t="s">
        <v>1331</v>
      </c>
      <c r="I460" s="37" t="s">
        <v>229</v>
      </c>
    </row>
    <row r="461" ht="15.75" hidden="1" customHeight="1">
      <c r="A461" s="38">
        <v>4214970.0</v>
      </c>
      <c r="B461" s="39" t="s">
        <v>549</v>
      </c>
      <c r="C461" s="39" t="s">
        <v>1332</v>
      </c>
      <c r="D461" s="39" t="s">
        <v>224</v>
      </c>
      <c r="E461" s="39" t="s">
        <v>551</v>
      </c>
      <c r="F461" s="39" t="s">
        <v>494</v>
      </c>
      <c r="G461" s="39" t="s">
        <v>227</v>
      </c>
      <c r="H461" s="39" t="s">
        <v>1333</v>
      </c>
      <c r="I461" s="39" t="s">
        <v>260</v>
      </c>
    </row>
    <row r="462" ht="15.75" hidden="1" customHeight="1">
      <c r="A462" s="36">
        <v>5266607.0</v>
      </c>
      <c r="B462" s="37" t="s">
        <v>331</v>
      </c>
      <c r="C462" s="37" t="s">
        <v>1334</v>
      </c>
      <c r="D462" s="37" t="s">
        <v>346</v>
      </c>
      <c r="E462" s="37" t="s">
        <v>347</v>
      </c>
      <c r="F462" s="37" t="s">
        <v>348</v>
      </c>
      <c r="G462" s="37" t="s">
        <v>349</v>
      </c>
      <c r="H462" s="37" t="s">
        <v>1335</v>
      </c>
      <c r="I462" s="37" t="s">
        <v>229</v>
      </c>
    </row>
    <row r="463" ht="15.75" hidden="1" customHeight="1">
      <c r="A463" s="38">
        <v>4242328.0</v>
      </c>
      <c r="B463" s="39" t="s">
        <v>331</v>
      </c>
      <c r="C463" s="39" t="s">
        <v>1336</v>
      </c>
      <c r="D463" s="39" t="s">
        <v>346</v>
      </c>
      <c r="E463" s="39" t="s">
        <v>1301</v>
      </c>
      <c r="F463" s="39" t="s">
        <v>349</v>
      </c>
      <c r="G463" s="39" t="s">
        <v>1302</v>
      </c>
      <c r="H463" s="39" t="s">
        <v>1337</v>
      </c>
      <c r="I463" s="39" t="s">
        <v>260</v>
      </c>
    </row>
    <row r="464" ht="15.75" hidden="1" customHeight="1">
      <c r="A464" s="36">
        <v>5065475.0</v>
      </c>
      <c r="B464" s="37" t="s">
        <v>331</v>
      </c>
      <c r="C464" s="37" t="s">
        <v>1338</v>
      </c>
      <c r="D464" s="37" t="s">
        <v>346</v>
      </c>
      <c r="E464" s="37" t="s">
        <v>347</v>
      </c>
      <c r="F464" s="37" t="s">
        <v>348</v>
      </c>
      <c r="G464" s="37" t="s">
        <v>349</v>
      </c>
      <c r="H464" s="37" t="s">
        <v>1339</v>
      </c>
      <c r="I464" s="37" t="s">
        <v>260</v>
      </c>
    </row>
    <row r="465" ht="15.75" hidden="1" customHeight="1">
      <c r="A465" s="38">
        <v>4274130.0</v>
      </c>
      <c r="B465" s="39" t="s">
        <v>425</v>
      </c>
      <c r="C465" s="39" t="s">
        <v>1340</v>
      </c>
      <c r="D465" s="39" t="s">
        <v>224</v>
      </c>
      <c r="E465" s="39" t="s">
        <v>427</v>
      </c>
      <c r="F465" s="39" t="s">
        <v>312</v>
      </c>
      <c r="G465" s="37" t="s">
        <v>3</v>
      </c>
      <c r="H465" s="39" t="s">
        <v>1341</v>
      </c>
      <c r="I465" s="39" t="s">
        <v>260</v>
      </c>
    </row>
    <row r="466" ht="15.75" hidden="1" customHeight="1">
      <c r="A466" s="36">
        <v>5177851.0</v>
      </c>
      <c r="B466" s="37" t="s">
        <v>331</v>
      </c>
      <c r="C466" s="37" t="s">
        <v>1342</v>
      </c>
      <c r="D466" s="37" t="s">
        <v>346</v>
      </c>
      <c r="E466" s="37" t="s">
        <v>347</v>
      </c>
      <c r="F466" s="37" t="s">
        <v>348</v>
      </c>
      <c r="G466" s="37" t="s">
        <v>349</v>
      </c>
      <c r="H466" s="37" t="s">
        <v>1343</v>
      </c>
      <c r="I466" s="37" t="s">
        <v>229</v>
      </c>
    </row>
    <row r="467" ht="15.75" hidden="1" customHeight="1">
      <c r="A467" s="38">
        <v>4280014.0</v>
      </c>
      <c r="B467" s="39" t="s">
        <v>254</v>
      </c>
      <c r="C467" s="39" t="s">
        <v>1344</v>
      </c>
      <c r="D467" s="39" t="s">
        <v>224</v>
      </c>
      <c r="E467" s="39" t="s">
        <v>443</v>
      </c>
      <c r="F467" s="39" t="s">
        <v>257</v>
      </c>
      <c r="G467" s="39" t="s">
        <v>258</v>
      </c>
      <c r="H467" s="39" t="s">
        <v>1345</v>
      </c>
      <c r="I467" s="39" t="s">
        <v>260</v>
      </c>
    </row>
    <row r="468" ht="15.75" hidden="1" customHeight="1">
      <c r="A468" s="36">
        <v>5415509.0</v>
      </c>
      <c r="B468" s="37" t="s">
        <v>331</v>
      </c>
      <c r="C468" s="37" t="s">
        <v>1346</v>
      </c>
      <c r="D468" s="37" t="s">
        <v>346</v>
      </c>
      <c r="E468" s="37" t="s">
        <v>347</v>
      </c>
      <c r="F468" s="37" t="s">
        <v>348</v>
      </c>
      <c r="G468" s="37" t="s">
        <v>349</v>
      </c>
      <c r="H468" s="37" t="s">
        <v>1347</v>
      </c>
      <c r="I468" s="37" t="s">
        <v>260</v>
      </c>
    </row>
    <row r="469" ht="15.75" hidden="1" customHeight="1">
      <c r="A469" s="38">
        <v>4280032.0</v>
      </c>
      <c r="B469" s="39" t="s">
        <v>1348</v>
      </c>
      <c r="C469" s="39" t="s">
        <v>1349</v>
      </c>
      <c r="D469" s="39" t="s">
        <v>224</v>
      </c>
      <c r="E469" s="39" t="s">
        <v>459</v>
      </c>
      <c r="F469" s="39" t="s">
        <v>292</v>
      </c>
      <c r="G469" s="39" t="s">
        <v>293</v>
      </c>
      <c r="H469" s="39" t="s">
        <v>1350</v>
      </c>
      <c r="I469" s="39" t="s">
        <v>229</v>
      </c>
    </row>
    <row r="470" ht="15.75" hidden="1" customHeight="1">
      <c r="A470" s="36">
        <v>5514639.0</v>
      </c>
      <c r="B470" s="37" t="s">
        <v>331</v>
      </c>
      <c r="C470" s="37" t="s">
        <v>1351</v>
      </c>
      <c r="D470" s="37" t="s">
        <v>346</v>
      </c>
      <c r="E470" s="37" t="s">
        <v>347</v>
      </c>
      <c r="F470" s="37" t="s">
        <v>348</v>
      </c>
      <c r="G470" s="37" t="s">
        <v>349</v>
      </c>
      <c r="H470" s="37" t="s">
        <v>1352</v>
      </c>
      <c r="I470" s="37" t="s">
        <v>260</v>
      </c>
    </row>
    <row r="471" ht="15.75" customHeight="1">
      <c r="A471" s="38">
        <v>5346664.0</v>
      </c>
      <c r="B471" s="39" t="s">
        <v>13</v>
      </c>
      <c r="C471" s="39" t="s">
        <v>54</v>
      </c>
      <c r="D471" s="39" t="s">
        <v>224</v>
      </c>
      <c r="E471" s="39" t="s">
        <v>340</v>
      </c>
      <c r="F471" s="39" t="s">
        <v>341</v>
      </c>
      <c r="G471" s="39" t="s">
        <v>3</v>
      </c>
      <c r="H471" s="39" t="s">
        <v>1353</v>
      </c>
      <c r="I471" s="39" t="s">
        <v>260</v>
      </c>
      <c r="J471" s="1">
        <v>42.0</v>
      </c>
      <c r="L471" s="40" t="s">
        <v>120</v>
      </c>
    </row>
    <row r="472" ht="15.75" hidden="1" customHeight="1">
      <c r="A472" s="36">
        <v>4293302.0</v>
      </c>
      <c r="B472" s="37" t="s">
        <v>116</v>
      </c>
      <c r="C472" s="37" t="s">
        <v>1354</v>
      </c>
      <c r="D472" s="37" t="s">
        <v>224</v>
      </c>
      <c r="E472" s="37" t="s">
        <v>408</v>
      </c>
      <c r="F472" s="37" t="s">
        <v>341</v>
      </c>
      <c r="G472" s="37" t="s">
        <v>3</v>
      </c>
      <c r="H472" s="37" t="s">
        <v>1355</v>
      </c>
      <c r="I472" s="37" t="s">
        <v>260</v>
      </c>
      <c r="J472" s="1">
        <v>42.0</v>
      </c>
      <c r="L472" s="40" t="s">
        <v>13</v>
      </c>
    </row>
    <row r="473" ht="15.75" hidden="1" customHeight="1">
      <c r="A473" s="38">
        <v>4317851.0</v>
      </c>
      <c r="B473" s="39" t="s">
        <v>835</v>
      </c>
      <c r="C473" s="39" t="s">
        <v>1356</v>
      </c>
      <c r="D473" s="39" t="s">
        <v>224</v>
      </c>
      <c r="E473" s="39" t="s">
        <v>837</v>
      </c>
      <c r="F473" s="39" t="s">
        <v>377</v>
      </c>
      <c r="G473" s="39" t="s">
        <v>327</v>
      </c>
      <c r="H473" s="39" t="s">
        <v>1357</v>
      </c>
      <c r="I473" s="39" t="s">
        <v>229</v>
      </c>
    </row>
    <row r="474" ht="15.75" hidden="1" customHeight="1">
      <c r="A474" s="36">
        <v>4318761.0</v>
      </c>
      <c r="B474" s="37" t="s">
        <v>232</v>
      </c>
      <c r="C474" s="37" t="s">
        <v>1358</v>
      </c>
      <c r="D474" s="37" t="s">
        <v>224</v>
      </c>
      <c r="E474" s="37" t="s">
        <v>1207</v>
      </c>
      <c r="F474" s="37" t="s">
        <v>226</v>
      </c>
      <c r="G474" s="37" t="s">
        <v>227</v>
      </c>
      <c r="H474" s="37" t="s">
        <v>1359</v>
      </c>
      <c r="I474" s="37" t="s">
        <v>229</v>
      </c>
    </row>
    <row r="475" ht="15.75" hidden="1" customHeight="1">
      <c r="A475" s="38">
        <v>4319095.0</v>
      </c>
      <c r="B475" s="39" t="s">
        <v>485</v>
      </c>
      <c r="C475" s="39" t="s">
        <v>1360</v>
      </c>
      <c r="D475" s="39" t="s">
        <v>224</v>
      </c>
      <c r="E475" s="39" t="s">
        <v>487</v>
      </c>
      <c r="F475" s="39" t="s">
        <v>470</v>
      </c>
      <c r="G475" s="39" t="s">
        <v>327</v>
      </c>
      <c r="H475" s="39" t="s">
        <v>1361</v>
      </c>
      <c r="I475" s="39" t="s">
        <v>229</v>
      </c>
    </row>
    <row r="476" ht="15.75" customHeight="1">
      <c r="A476" s="36">
        <v>5349465.0</v>
      </c>
      <c r="B476" s="37" t="s">
        <v>13</v>
      </c>
      <c r="C476" s="37" t="s">
        <v>56</v>
      </c>
      <c r="D476" s="37" t="s">
        <v>331</v>
      </c>
      <c r="E476" s="37" t="s">
        <v>340</v>
      </c>
      <c r="F476" s="37" t="s">
        <v>341</v>
      </c>
      <c r="G476" s="37" t="s">
        <v>3</v>
      </c>
      <c r="H476" s="37" t="s">
        <v>1362</v>
      </c>
      <c r="I476" s="37" t="s">
        <v>260</v>
      </c>
      <c r="J476" s="1">
        <v>42.0</v>
      </c>
      <c r="L476" s="40" t="s">
        <v>116</v>
      </c>
    </row>
    <row r="477" ht="15.75" hidden="1" customHeight="1">
      <c r="A477" s="38">
        <v>4319097.0</v>
      </c>
      <c r="B477" s="39" t="s">
        <v>1363</v>
      </c>
      <c r="C477" s="39" t="s">
        <v>1364</v>
      </c>
      <c r="D477" s="39" t="s">
        <v>234</v>
      </c>
      <c r="E477" s="39" t="s">
        <v>796</v>
      </c>
      <c r="F477" s="39" t="s">
        <v>293</v>
      </c>
      <c r="G477" s="39" t="s">
        <v>319</v>
      </c>
      <c r="H477" s="39" t="s">
        <v>1365</v>
      </c>
      <c r="I477" s="39" t="s">
        <v>229</v>
      </c>
    </row>
    <row r="478" ht="15.75" customHeight="1">
      <c r="A478" s="36">
        <v>5438244.0</v>
      </c>
      <c r="B478" s="37" t="s">
        <v>13</v>
      </c>
      <c r="C478" s="37" t="s">
        <v>63</v>
      </c>
      <c r="D478" s="37" t="s">
        <v>224</v>
      </c>
      <c r="E478" s="37" t="s">
        <v>340</v>
      </c>
      <c r="F478" s="37" t="s">
        <v>341</v>
      </c>
      <c r="G478" s="37" t="s">
        <v>3</v>
      </c>
      <c r="H478" s="37" t="s">
        <v>1366</v>
      </c>
      <c r="I478" s="37" t="s">
        <v>260</v>
      </c>
      <c r="J478" s="1">
        <v>42.0</v>
      </c>
      <c r="L478" s="40" t="s">
        <v>13</v>
      </c>
    </row>
    <row r="479" ht="15.75" hidden="1" customHeight="1">
      <c r="A479" s="38">
        <v>4349922.0</v>
      </c>
      <c r="B479" s="39" t="s">
        <v>116</v>
      </c>
      <c r="C479" s="39" t="s">
        <v>1367</v>
      </c>
      <c r="D479" s="39" t="s">
        <v>224</v>
      </c>
      <c r="E479" s="39" t="s">
        <v>408</v>
      </c>
      <c r="F479" s="39" t="s">
        <v>341</v>
      </c>
      <c r="G479" s="39" t="s">
        <v>3</v>
      </c>
      <c r="H479" s="39" t="s">
        <v>1368</v>
      </c>
      <c r="I479" s="39" t="s">
        <v>260</v>
      </c>
      <c r="J479" s="1">
        <v>42.0</v>
      </c>
      <c r="L479" s="40" t="s">
        <v>13</v>
      </c>
    </row>
    <row r="480" ht="15.75" customHeight="1">
      <c r="A480" s="36">
        <v>5528028.0</v>
      </c>
      <c r="B480" s="37" t="s">
        <v>13</v>
      </c>
      <c r="C480" s="37" t="s">
        <v>67</v>
      </c>
      <c r="D480" s="37" t="s">
        <v>224</v>
      </c>
      <c r="E480" s="37" t="s">
        <v>340</v>
      </c>
      <c r="F480" s="37" t="s">
        <v>341</v>
      </c>
      <c r="G480" s="37" t="s">
        <v>3</v>
      </c>
      <c r="H480" s="37" t="s">
        <v>1369</v>
      </c>
      <c r="I480" s="37" t="s">
        <v>260</v>
      </c>
      <c r="J480" s="1">
        <v>42.0</v>
      </c>
      <c r="L480" s="40" t="s">
        <v>116</v>
      </c>
    </row>
    <row r="481" ht="15.75" hidden="1" customHeight="1">
      <c r="A481" s="38">
        <v>4360591.0</v>
      </c>
      <c r="B481" s="39" t="s">
        <v>412</v>
      </c>
      <c r="C481" s="39" t="s">
        <v>1370</v>
      </c>
      <c r="D481" s="39" t="s">
        <v>331</v>
      </c>
      <c r="E481" s="39" t="s">
        <v>430</v>
      </c>
      <c r="F481" s="39" t="s">
        <v>3</v>
      </c>
      <c r="G481" s="39" t="s">
        <v>3</v>
      </c>
      <c r="H481" s="39" t="s">
        <v>1371</v>
      </c>
      <c r="I481" s="39" t="s">
        <v>260</v>
      </c>
      <c r="J481" s="1">
        <v>42.0</v>
      </c>
      <c r="L481" s="40" t="s">
        <v>13</v>
      </c>
    </row>
    <row r="482" ht="15.75" customHeight="1">
      <c r="A482" s="36">
        <v>5327778.0</v>
      </c>
      <c r="B482" s="37" t="s">
        <v>13</v>
      </c>
      <c r="C482" s="37" t="s">
        <v>49</v>
      </c>
      <c r="D482" s="37" t="s">
        <v>224</v>
      </c>
      <c r="E482" s="37" t="s">
        <v>340</v>
      </c>
      <c r="F482" s="37" t="s">
        <v>341</v>
      </c>
      <c r="G482" s="37" t="s">
        <v>3</v>
      </c>
      <c r="H482" s="37" t="s">
        <v>1372</v>
      </c>
      <c r="I482" s="37" t="s">
        <v>260</v>
      </c>
      <c r="J482" s="1">
        <v>42.0</v>
      </c>
      <c r="L482" s="40" t="s">
        <v>412</v>
      </c>
    </row>
    <row r="483" ht="15.75" hidden="1" customHeight="1">
      <c r="A483" s="38">
        <v>4364806.0</v>
      </c>
      <c r="B483" s="44" t="s">
        <v>113</v>
      </c>
      <c r="C483" s="39" t="s">
        <v>112</v>
      </c>
      <c r="D483" s="39" t="s">
        <v>224</v>
      </c>
      <c r="E483" s="39" t="s">
        <v>357</v>
      </c>
      <c r="F483" s="42" t="s">
        <v>3</v>
      </c>
      <c r="G483" s="39" t="s">
        <v>3</v>
      </c>
      <c r="H483" s="39" t="s">
        <v>1373</v>
      </c>
      <c r="I483" s="39" t="s">
        <v>260</v>
      </c>
      <c r="J483" s="1">
        <v>42.0</v>
      </c>
      <c r="L483" s="40" t="s">
        <v>13</v>
      </c>
    </row>
    <row r="484" ht="15.75" customHeight="1">
      <c r="A484" s="36">
        <v>5437184.0</v>
      </c>
      <c r="B484" s="37" t="s">
        <v>13</v>
      </c>
      <c r="C484" s="37" t="s">
        <v>61</v>
      </c>
      <c r="D484" s="37" t="s">
        <v>224</v>
      </c>
      <c r="E484" s="37" t="s">
        <v>340</v>
      </c>
      <c r="F484" s="37" t="s">
        <v>341</v>
      </c>
      <c r="G484" s="37" t="s">
        <v>3</v>
      </c>
      <c r="H484" s="37" t="s">
        <v>1374</v>
      </c>
      <c r="I484" s="37" t="s">
        <v>260</v>
      </c>
      <c r="J484" s="1">
        <v>42.0</v>
      </c>
      <c r="L484" s="3" t="s">
        <v>113</v>
      </c>
    </row>
    <row r="485" ht="15.75" hidden="1" customHeight="1">
      <c r="A485" s="38">
        <v>4364808.0</v>
      </c>
      <c r="B485" s="39" t="s">
        <v>425</v>
      </c>
      <c r="C485" s="39" t="s">
        <v>1375</v>
      </c>
      <c r="D485" s="39" t="s">
        <v>224</v>
      </c>
      <c r="E485" s="39" t="s">
        <v>427</v>
      </c>
      <c r="F485" s="39" t="s">
        <v>312</v>
      </c>
      <c r="G485" s="37" t="s">
        <v>3</v>
      </c>
      <c r="H485" s="39" t="s">
        <v>1376</v>
      </c>
      <c r="I485" s="39" t="s">
        <v>260</v>
      </c>
    </row>
    <row r="486" ht="15.75" customHeight="1">
      <c r="A486" s="36">
        <v>5021481.0</v>
      </c>
      <c r="B486" s="37" t="s">
        <v>13</v>
      </c>
      <c r="C486" s="37" t="s">
        <v>39</v>
      </c>
      <c r="D486" s="37" t="s">
        <v>224</v>
      </c>
      <c r="E486" s="37" t="s">
        <v>340</v>
      </c>
      <c r="F486" s="37" t="s">
        <v>341</v>
      </c>
      <c r="G486" s="37" t="s">
        <v>3</v>
      </c>
      <c r="H486" s="37" t="s">
        <v>1377</v>
      </c>
      <c r="I486" s="37" t="s">
        <v>260</v>
      </c>
      <c r="J486" s="1">
        <v>42.0</v>
      </c>
      <c r="L486" s="40" t="s">
        <v>13</v>
      </c>
    </row>
    <row r="487" ht="15.75" hidden="1" customHeight="1">
      <c r="A487" s="38">
        <v>4364821.0</v>
      </c>
      <c r="B487" s="39" t="s">
        <v>412</v>
      </c>
      <c r="C487" s="39" t="s">
        <v>1378</v>
      </c>
      <c r="D487" s="39" t="s">
        <v>331</v>
      </c>
      <c r="E487" s="39" t="s">
        <v>414</v>
      </c>
      <c r="F487" s="39" t="s">
        <v>3</v>
      </c>
      <c r="G487" s="39" t="s">
        <v>3</v>
      </c>
      <c r="H487" s="39" t="s">
        <v>1379</v>
      </c>
      <c r="I487" s="39" t="s">
        <v>260</v>
      </c>
      <c r="J487" s="1">
        <v>42.0</v>
      </c>
      <c r="L487" s="40" t="s">
        <v>13</v>
      </c>
    </row>
    <row r="488" ht="15.75" customHeight="1">
      <c r="A488" s="36">
        <v>5388863.0</v>
      </c>
      <c r="B488" s="37" t="s">
        <v>13</v>
      </c>
      <c r="C488" s="37" t="s">
        <v>59</v>
      </c>
      <c r="D488" s="37" t="s">
        <v>224</v>
      </c>
      <c r="E488" s="37" t="s">
        <v>340</v>
      </c>
      <c r="F488" s="37" t="s">
        <v>341</v>
      </c>
      <c r="G488" s="37" t="s">
        <v>3</v>
      </c>
      <c r="H488" s="37" t="s">
        <v>1380</v>
      </c>
      <c r="I488" s="37" t="s">
        <v>260</v>
      </c>
      <c r="J488" s="1">
        <v>42.0</v>
      </c>
      <c r="L488" s="40" t="s">
        <v>412</v>
      </c>
    </row>
    <row r="489" ht="15.75" hidden="1" customHeight="1">
      <c r="A489" s="38">
        <v>4378753.0</v>
      </c>
      <c r="B489" s="39" t="s">
        <v>361</v>
      </c>
      <c r="C489" s="39" t="s">
        <v>1381</v>
      </c>
      <c r="D489" s="39" t="s">
        <v>224</v>
      </c>
      <c r="E489" s="39" t="s">
        <v>311</v>
      </c>
      <c r="F489" s="39" t="s">
        <v>312</v>
      </c>
      <c r="G489" s="39" t="s">
        <v>258</v>
      </c>
      <c r="H489" s="39" t="s">
        <v>1382</v>
      </c>
      <c r="I489" s="39" t="s">
        <v>260</v>
      </c>
    </row>
    <row r="490" ht="15.75" customHeight="1">
      <c r="A490" s="36">
        <v>5492754.0</v>
      </c>
      <c r="B490" s="37" t="s">
        <v>13</v>
      </c>
      <c r="C490" s="37" t="s">
        <v>66</v>
      </c>
      <c r="D490" s="37" t="s">
        <v>224</v>
      </c>
      <c r="E490" s="37" t="s">
        <v>340</v>
      </c>
      <c r="F490" s="37" t="s">
        <v>341</v>
      </c>
      <c r="G490" s="37" t="s">
        <v>3</v>
      </c>
      <c r="H490" s="37" t="s">
        <v>1383</v>
      </c>
      <c r="I490" s="37" t="s">
        <v>260</v>
      </c>
      <c r="J490" s="1">
        <v>42.0</v>
      </c>
      <c r="L490" s="40" t="s">
        <v>13</v>
      </c>
    </row>
    <row r="491" ht="15.75" hidden="1" customHeight="1">
      <c r="A491" s="38">
        <v>4388054.0</v>
      </c>
      <c r="B491" s="39" t="s">
        <v>412</v>
      </c>
      <c r="C491" s="39" t="s">
        <v>1384</v>
      </c>
      <c r="D491" s="39" t="s">
        <v>224</v>
      </c>
      <c r="E491" s="39" t="s">
        <v>414</v>
      </c>
      <c r="F491" s="39" t="s">
        <v>3</v>
      </c>
      <c r="G491" s="39" t="s">
        <v>3</v>
      </c>
      <c r="H491" s="39" t="s">
        <v>1385</v>
      </c>
      <c r="I491" s="39" t="s">
        <v>260</v>
      </c>
      <c r="J491" s="1">
        <v>42.0</v>
      </c>
      <c r="L491" s="40" t="s">
        <v>13</v>
      </c>
    </row>
    <row r="492" ht="15.75" customHeight="1">
      <c r="A492" s="36">
        <v>5161496.0</v>
      </c>
      <c r="B492" s="37" t="s">
        <v>13</v>
      </c>
      <c r="C492" s="37" t="s">
        <v>44</v>
      </c>
      <c r="D492" s="37" t="s">
        <v>224</v>
      </c>
      <c r="E492" s="37" t="s">
        <v>340</v>
      </c>
      <c r="F492" s="37" t="s">
        <v>341</v>
      </c>
      <c r="G492" s="37" t="s">
        <v>3</v>
      </c>
      <c r="H492" s="37" t="s">
        <v>1386</v>
      </c>
      <c r="I492" s="37" t="s">
        <v>260</v>
      </c>
      <c r="J492" s="1">
        <v>42.0</v>
      </c>
      <c r="L492" s="40" t="s">
        <v>412</v>
      </c>
    </row>
    <row r="493" ht="15.75" hidden="1" customHeight="1">
      <c r="A493" s="38">
        <v>4404953.0</v>
      </c>
      <c r="B493" s="39" t="s">
        <v>567</v>
      </c>
      <c r="C493" s="39" t="s">
        <v>1387</v>
      </c>
      <c r="D493" s="39" t="s">
        <v>234</v>
      </c>
      <c r="E493" s="39" t="s">
        <v>403</v>
      </c>
      <c r="F493" s="39" t="s">
        <v>377</v>
      </c>
      <c r="G493" s="39" t="s">
        <v>327</v>
      </c>
      <c r="H493" s="39" t="s">
        <v>1388</v>
      </c>
      <c r="I493" s="39" t="s">
        <v>229</v>
      </c>
    </row>
    <row r="494" ht="15.75" customHeight="1">
      <c r="A494" s="36">
        <v>5438085.0</v>
      </c>
      <c r="B494" s="37" t="s">
        <v>13</v>
      </c>
      <c r="C494" s="37" t="s">
        <v>62</v>
      </c>
      <c r="D494" s="37" t="s">
        <v>224</v>
      </c>
      <c r="E494" s="37" t="s">
        <v>340</v>
      </c>
      <c r="F494" s="37" t="s">
        <v>341</v>
      </c>
      <c r="G494" s="37" t="s">
        <v>3</v>
      </c>
      <c r="H494" s="37" t="s">
        <v>1389</v>
      </c>
      <c r="I494" s="37" t="s">
        <v>260</v>
      </c>
      <c r="J494" s="1">
        <v>42.0</v>
      </c>
      <c r="L494" s="40" t="s">
        <v>13</v>
      </c>
    </row>
    <row r="495" ht="15.75" hidden="1" customHeight="1">
      <c r="A495" s="38">
        <v>4414976.0</v>
      </c>
      <c r="B495" s="39" t="s">
        <v>425</v>
      </c>
      <c r="C495" s="39" t="s">
        <v>1390</v>
      </c>
      <c r="D495" s="39" t="s">
        <v>224</v>
      </c>
      <c r="E495" s="39" t="s">
        <v>1391</v>
      </c>
      <c r="F495" s="39" t="s">
        <v>312</v>
      </c>
      <c r="G495" s="37" t="s">
        <v>3</v>
      </c>
      <c r="H495" s="39" t="s">
        <v>1392</v>
      </c>
      <c r="I495" s="39" t="s">
        <v>260</v>
      </c>
    </row>
    <row r="496" ht="15.75" customHeight="1">
      <c r="A496" s="36">
        <v>5320998.0</v>
      </c>
      <c r="B496" s="37" t="s">
        <v>13</v>
      </c>
      <c r="C496" s="37" t="s">
        <v>45</v>
      </c>
      <c r="D496" s="37" t="s">
        <v>331</v>
      </c>
      <c r="E496" s="37" t="s">
        <v>340</v>
      </c>
      <c r="F496" s="37" t="s">
        <v>341</v>
      </c>
      <c r="G496" s="37" t="s">
        <v>3</v>
      </c>
      <c r="H496" s="37" t="s">
        <v>1393</v>
      </c>
      <c r="I496" s="37" t="s">
        <v>260</v>
      </c>
      <c r="J496" s="1">
        <v>42.0</v>
      </c>
      <c r="L496" s="40" t="s">
        <v>13</v>
      </c>
    </row>
    <row r="497" ht="15.75" hidden="1" customHeight="1">
      <c r="A497" s="38">
        <v>4418455.0</v>
      </c>
      <c r="B497" s="39" t="s">
        <v>323</v>
      </c>
      <c r="C497" s="39" t="s">
        <v>1394</v>
      </c>
      <c r="D497" s="39" t="s">
        <v>224</v>
      </c>
      <c r="E497" s="39" t="s">
        <v>325</v>
      </c>
      <c r="F497" s="39" t="s">
        <v>326</v>
      </c>
      <c r="G497" s="39" t="s">
        <v>327</v>
      </c>
      <c r="H497" s="39" t="s">
        <v>1395</v>
      </c>
      <c r="I497" s="39" t="s">
        <v>229</v>
      </c>
    </row>
    <row r="498" ht="15.75" customHeight="1">
      <c r="A498" s="36">
        <v>5651748.0</v>
      </c>
      <c r="B498" s="37" t="s">
        <v>13</v>
      </c>
      <c r="C498" s="37" t="s">
        <v>71</v>
      </c>
      <c r="D498" s="37" t="s">
        <v>224</v>
      </c>
      <c r="E498" s="37" t="s">
        <v>340</v>
      </c>
      <c r="F498" s="37" t="s">
        <v>341</v>
      </c>
      <c r="G498" s="37" t="s">
        <v>3</v>
      </c>
      <c r="H498" s="37" t="s">
        <v>1396</v>
      </c>
      <c r="I498" s="37" t="s">
        <v>260</v>
      </c>
      <c r="J498" s="1">
        <v>42.0</v>
      </c>
      <c r="L498" s="40" t="s">
        <v>13</v>
      </c>
    </row>
    <row r="499" ht="15.75" hidden="1" customHeight="1">
      <c r="A499" s="38">
        <v>4418459.0</v>
      </c>
      <c r="B499" s="39" t="s">
        <v>537</v>
      </c>
      <c r="C499" s="39" t="s">
        <v>1397</v>
      </c>
      <c r="D499" s="39" t="s">
        <v>224</v>
      </c>
      <c r="E499" s="39" t="s">
        <v>578</v>
      </c>
      <c r="F499" s="39" t="s">
        <v>540</v>
      </c>
      <c r="G499" s="39" t="s">
        <v>541</v>
      </c>
      <c r="H499" s="39" t="s">
        <v>1398</v>
      </c>
      <c r="I499" s="39" t="s">
        <v>229</v>
      </c>
    </row>
    <row r="500" ht="15.75" customHeight="1">
      <c r="A500" s="36">
        <v>5333582.0</v>
      </c>
      <c r="B500" s="37" t="s">
        <v>13</v>
      </c>
      <c r="C500" s="37" t="s">
        <v>51</v>
      </c>
      <c r="D500" s="37" t="s">
        <v>224</v>
      </c>
      <c r="E500" s="37" t="s">
        <v>340</v>
      </c>
      <c r="F500" s="37" t="s">
        <v>341</v>
      </c>
      <c r="G500" s="37" t="s">
        <v>3</v>
      </c>
      <c r="H500" s="37" t="s">
        <v>1399</v>
      </c>
      <c r="I500" s="37" t="s">
        <v>260</v>
      </c>
      <c r="J500" s="1">
        <v>42.0</v>
      </c>
      <c r="L500" s="40" t="s">
        <v>13</v>
      </c>
    </row>
    <row r="501" ht="15.75" customHeight="1">
      <c r="A501" s="38">
        <v>5333703.0</v>
      </c>
      <c r="B501" s="39" t="s">
        <v>13</v>
      </c>
      <c r="C501" s="39" t="s">
        <v>52</v>
      </c>
      <c r="D501" s="39" t="s">
        <v>224</v>
      </c>
      <c r="E501" s="39" t="s">
        <v>340</v>
      </c>
      <c r="F501" s="39" t="s">
        <v>341</v>
      </c>
      <c r="G501" s="39" t="s">
        <v>3</v>
      </c>
      <c r="H501" s="39" t="s">
        <v>1400</v>
      </c>
      <c r="I501" s="39" t="s">
        <v>260</v>
      </c>
      <c r="J501" s="1">
        <v>42.0</v>
      </c>
      <c r="L501" s="40" t="s">
        <v>13</v>
      </c>
    </row>
    <row r="502" ht="15.75" customHeight="1">
      <c r="A502" s="36">
        <v>5533585.0</v>
      </c>
      <c r="B502" s="37" t="s">
        <v>13</v>
      </c>
      <c r="C502" s="37" t="s">
        <v>68</v>
      </c>
      <c r="D502" s="37" t="s">
        <v>224</v>
      </c>
      <c r="E502" s="37" t="s">
        <v>340</v>
      </c>
      <c r="F502" s="37" t="s">
        <v>341</v>
      </c>
      <c r="G502" s="37" t="s">
        <v>3</v>
      </c>
      <c r="H502" s="37" t="s">
        <v>1401</v>
      </c>
      <c r="I502" s="37" t="s">
        <v>260</v>
      </c>
      <c r="J502" s="1">
        <v>42.0</v>
      </c>
      <c r="L502" s="40" t="s">
        <v>13</v>
      </c>
    </row>
    <row r="503" ht="15.75" hidden="1" customHeight="1">
      <c r="A503" s="38">
        <v>4437039.0</v>
      </c>
      <c r="B503" s="39" t="s">
        <v>738</v>
      </c>
      <c r="C503" s="39" t="s">
        <v>1402</v>
      </c>
      <c r="D503" s="39" t="s">
        <v>224</v>
      </c>
      <c r="E503" s="39" t="s">
        <v>1403</v>
      </c>
      <c r="F503" s="39" t="s">
        <v>533</v>
      </c>
      <c r="G503" s="39" t="s">
        <v>250</v>
      </c>
      <c r="H503" s="39" t="s">
        <v>1404</v>
      </c>
      <c r="I503" s="39" t="s">
        <v>229</v>
      </c>
    </row>
    <row r="504" ht="15.75" customHeight="1">
      <c r="A504" s="36">
        <v>5546274.0</v>
      </c>
      <c r="B504" s="37" t="s">
        <v>13</v>
      </c>
      <c r="C504" s="37" t="s">
        <v>69</v>
      </c>
      <c r="D504" s="37" t="s">
        <v>224</v>
      </c>
      <c r="E504" s="37" t="s">
        <v>340</v>
      </c>
      <c r="F504" s="37" t="s">
        <v>341</v>
      </c>
      <c r="G504" s="37" t="s">
        <v>3</v>
      </c>
      <c r="H504" s="37" t="s">
        <v>1405</v>
      </c>
      <c r="I504" s="37" t="s">
        <v>260</v>
      </c>
      <c r="J504" s="1">
        <v>42.0</v>
      </c>
      <c r="L504" s="40" t="s">
        <v>13</v>
      </c>
    </row>
    <row r="505" ht="15.75" hidden="1" customHeight="1">
      <c r="A505" s="38">
        <v>4438977.0</v>
      </c>
      <c r="B505" s="39" t="s">
        <v>329</v>
      </c>
      <c r="C505" s="39" t="s">
        <v>1406</v>
      </c>
      <c r="D505" s="39" t="s">
        <v>224</v>
      </c>
      <c r="E505" s="39" t="s">
        <v>1407</v>
      </c>
      <c r="F505" s="39" t="s">
        <v>333</v>
      </c>
      <c r="G505" s="39" t="s">
        <v>301</v>
      </c>
      <c r="H505" s="39" t="s">
        <v>1408</v>
      </c>
      <c r="I505" s="39" t="s">
        <v>229</v>
      </c>
    </row>
    <row r="506" ht="15.75" customHeight="1">
      <c r="A506" s="36">
        <v>5021467.0</v>
      </c>
      <c r="B506" s="37" t="s">
        <v>13</v>
      </c>
      <c r="C506" s="37" t="s">
        <v>38</v>
      </c>
      <c r="D506" s="37" t="s">
        <v>224</v>
      </c>
      <c r="E506" s="37" t="s">
        <v>340</v>
      </c>
      <c r="F506" s="37" t="s">
        <v>341</v>
      </c>
      <c r="G506" s="37" t="s">
        <v>3</v>
      </c>
      <c r="H506" s="37" t="s">
        <v>1409</v>
      </c>
      <c r="I506" s="37" t="s">
        <v>260</v>
      </c>
      <c r="J506" s="1">
        <v>42.0</v>
      </c>
      <c r="L506" s="40" t="s">
        <v>13</v>
      </c>
    </row>
    <row r="507" ht="15.75" hidden="1" customHeight="1">
      <c r="A507" s="38">
        <v>4442769.0</v>
      </c>
      <c r="B507" s="39" t="s">
        <v>457</v>
      </c>
      <c r="C507" s="39" t="s">
        <v>1410</v>
      </c>
      <c r="D507" s="39" t="s">
        <v>234</v>
      </c>
      <c r="E507" s="39" t="s">
        <v>1411</v>
      </c>
      <c r="F507" s="39" t="s">
        <v>292</v>
      </c>
      <c r="G507" s="39" t="s">
        <v>293</v>
      </c>
      <c r="H507" s="39" t="s">
        <v>1412</v>
      </c>
      <c r="I507" s="39" t="s">
        <v>229</v>
      </c>
    </row>
    <row r="508" ht="15.75" customHeight="1">
      <c r="A508" s="36">
        <v>5321003.0</v>
      </c>
      <c r="B508" s="37" t="s">
        <v>13</v>
      </c>
      <c r="C508" s="37" t="s">
        <v>46</v>
      </c>
      <c r="D508" s="37" t="s">
        <v>224</v>
      </c>
      <c r="E508" s="37" t="s">
        <v>340</v>
      </c>
      <c r="F508" s="37" t="s">
        <v>341</v>
      </c>
      <c r="G508" s="37" t="s">
        <v>3</v>
      </c>
      <c r="H508" s="37" t="s">
        <v>1413</v>
      </c>
      <c r="I508" s="37" t="s">
        <v>260</v>
      </c>
      <c r="J508" s="1">
        <v>42.0</v>
      </c>
      <c r="L508" s="40" t="s">
        <v>13</v>
      </c>
    </row>
    <row r="509" ht="15.75" hidden="1" customHeight="1">
      <c r="A509" s="38">
        <v>4451100.0</v>
      </c>
      <c r="B509" s="39" t="s">
        <v>329</v>
      </c>
      <c r="C509" s="39" t="s">
        <v>1414</v>
      </c>
      <c r="D509" s="39" t="s">
        <v>224</v>
      </c>
      <c r="E509" s="39" t="s">
        <v>1407</v>
      </c>
      <c r="F509" s="39" t="s">
        <v>333</v>
      </c>
      <c r="G509" s="39" t="s">
        <v>301</v>
      </c>
      <c r="H509" s="39" t="s">
        <v>1415</v>
      </c>
      <c r="I509" s="39" t="s">
        <v>229</v>
      </c>
    </row>
    <row r="510" ht="15.75" customHeight="1">
      <c r="A510" s="36">
        <v>5349458.0</v>
      </c>
      <c r="B510" s="37" t="s">
        <v>13</v>
      </c>
      <c r="C510" s="37" t="s">
        <v>55</v>
      </c>
      <c r="D510" s="37" t="s">
        <v>224</v>
      </c>
      <c r="E510" s="37" t="s">
        <v>340</v>
      </c>
      <c r="F510" s="37" t="s">
        <v>341</v>
      </c>
      <c r="G510" s="37" t="s">
        <v>3</v>
      </c>
      <c r="H510" s="37" t="s">
        <v>1416</v>
      </c>
      <c r="I510" s="37" t="s">
        <v>260</v>
      </c>
      <c r="J510" s="1">
        <v>42.0</v>
      </c>
      <c r="L510" s="40" t="s">
        <v>13</v>
      </c>
    </row>
    <row r="511" ht="15.75" hidden="1" customHeight="1">
      <c r="A511" s="38">
        <v>4458679.0</v>
      </c>
      <c r="B511" s="39" t="s">
        <v>847</v>
      </c>
      <c r="C511" s="39" t="s">
        <v>1417</v>
      </c>
      <c r="D511" s="39" t="s">
        <v>224</v>
      </c>
      <c r="E511" s="39" t="s">
        <v>1418</v>
      </c>
      <c r="F511" s="39" t="s">
        <v>333</v>
      </c>
      <c r="G511" s="39" t="s">
        <v>301</v>
      </c>
      <c r="H511" s="39" t="s">
        <v>1419</v>
      </c>
      <c r="I511" s="39" t="s">
        <v>229</v>
      </c>
    </row>
    <row r="512" ht="15.75" hidden="1" customHeight="1">
      <c r="A512" s="36">
        <v>4049190.0</v>
      </c>
      <c r="B512" s="37" t="s">
        <v>738</v>
      </c>
      <c r="C512" s="37" t="s">
        <v>1420</v>
      </c>
      <c r="D512" s="37" t="s">
        <v>224</v>
      </c>
      <c r="E512" s="37" t="s">
        <v>1262</v>
      </c>
      <c r="F512" s="37" t="s">
        <v>533</v>
      </c>
      <c r="G512" s="37" t="s">
        <v>250</v>
      </c>
      <c r="H512" s="37" t="s">
        <v>1421</v>
      </c>
      <c r="I512" s="37" t="s">
        <v>229</v>
      </c>
    </row>
    <row r="513" ht="15.75" hidden="1" customHeight="1">
      <c r="A513" s="38">
        <v>4459624.0</v>
      </c>
      <c r="B513" s="39" t="s">
        <v>1019</v>
      </c>
      <c r="C513" s="39" t="s">
        <v>1422</v>
      </c>
      <c r="D513" s="39" t="s">
        <v>224</v>
      </c>
      <c r="E513" s="39" t="s">
        <v>459</v>
      </c>
      <c r="F513" s="39" t="s">
        <v>292</v>
      </c>
      <c r="G513" s="39" t="s">
        <v>293</v>
      </c>
      <c r="H513" s="39" t="s">
        <v>1423</v>
      </c>
      <c r="I513" s="39" t="s">
        <v>229</v>
      </c>
    </row>
    <row r="514" ht="15.75" hidden="1" customHeight="1">
      <c r="A514" s="36">
        <v>4470344.0</v>
      </c>
      <c r="B514" s="37" t="s">
        <v>806</v>
      </c>
      <c r="C514" s="37" t="s">
        <v>1424</v>
      </c>
      <c r="D514" s="37" t="s">
        <v>224</v>
      </c>
      <c r="E514" s="37" t="s">
        <v>634</v>
      </c>
      <c r="F514" s="37" t="s">
        <v>257</v>
      </c>
      <c r="G514" s="37" t="s">
        <v>258</v>
      </c>
      <c r="H514" s="37" t="s">
        <v>1425</v>
      </c>
      <c r="I514" s="37" t="s">
        <v>260</v>
      </c>
    </row>
    <row r="515" ht="15.75" hidden="1" customHeight="1">
      <c r="A515" s="38">
        <v>5155833.0</v>
      </c>
      <c r="B515" s="39" t="s">
        <v>738</v>
      </c>
      <c r="C515" s="39" t="s">
        <v>1426</v>
      </c>
      <c r="D515" s="39" t="s">
        <v>224</v>
      </c>
      <c r="E515" s="39" t="s">
        <v>1262</v>
      </c>
      <c r="F515" s="39" t="s">
        <v>533</v>
      </c>
      <c r="G515" s="39" t="s">
        <v>250</v>
      </c>
      <c r="H515" s="39" t="s">
        <v>1427</v>
      </c>
      <c r="I515" s="39" t="s">
        <v>229</v>
      </c>
    </row>
    <row r="516" ht="15.75" hidden="1" customHeight="1">
      <c r="A516" s="36">
        <v>4472084.0</v>
      </c>
      <c r="B516" s="37" t="s">
        <v>847</v>
      </c>
      <c r="C516" s="37" t="s">
        <v>1428</v>
      </c>
      <c r="D516" s="37" t="s">
        <v>224</v>
      </c>
      <c r="E516" s="37" t="s">
        <v>1418</v>
      </c>
      <c r="F516" s="37" t="s">
        <v>333</v>
      </c>
      <c r="G516" s="37" t="s">
        <v>301</v>
      </c>
      <c r="H516" s="37" t="s">
        <v>1429</v>
      </c>
      <c r="I516" s="37" t="s">
        <v>229</v>
      </c>
    </row>
    <row r="517" ht="15.75" hidden="1" customHeight="1">
      <c r="A517" s="38">
        <v>5930328.0</v>
      </c>
      <c r="B517" s="39" t="s">
        <v>738</v>
      </c>
      <c r="C517" s="39" t="s">
        <v>1430</v>
      </c>
      <c r="D517" s="39" t="s">
        <v>224</v>
      </c>
      <c r="E517" s="39" t="s">
        <v>1262</v>
      </c>
      <c r="F517" s="39" t="s">
        <v>533</v>
      </c>
      <c r="G517" s="39" t="s">
        <v>250</v>
      </c>
      <c r="H517" s="39" t="s">
        <v>1431</v>
      </c>
      <c r="I517" s="39" t="s">
        <v>229</v>
      </c>
    </row>
    <row r="518" ht="15.75" hidden="1" customHeight="1">
      <c r="A518" s="36">
        <v>4474002.0</v>
      </c>
      <c r="B518" s="37" t="s">
        <v>412</v>
      </c>
      <c r="C518" s="37" t="s">
        <v>1432</v>
      </c>
      <c r="D518" s="37" t="s">
        <v>269</v>
      </c>
      <c r="E518" s="37" t="s">
        <v>831</v>
      </c>
      <c r="F518" s="37" t="s">
        <v>3</v>
      </c>
      <c r="G518" s="37" t="s">
        <v>3</v>
      </c>
      <c r="H518" s="37" t="s">
        <v>1433</v>
      </c>
      <c r="I518" s="37" t="s">
        <v>260</v>
      </c>
      <c r="J518" s="1">
        <v>42.0</v>
      </c>
      <c r="L518" s="40" t="s">
        <v>13</v>
      </c>
    </row>
    <row r="519" ht="15.75" hidden="1" customHeight="1">
      <c r="A519" s="38">
        <v>5529192.0</v>
      </c>
      <c r="B519" s="39" t="s">
        <v>738</v>
      </c>
      <c r="C519" s="39" t="s">
        <v>1434</v>
      </c>
      <c r="D519" s="39" t="s">
        <v>224</v>
      </c>
      <c r="E519" s="39" t="s">
        <v>1262</v>
      </c>
      <c r="F519" s="39" t="s">
        <v>533</v>
      </c>
      <c r="G519" s="39" t="s">
        <v>250</v>
      </c>
      <c r="H519" s="39" t="s">
        <v>1435</v>
      </c>
      <c r="I519" s="39" t="s">
        <v>229</v>
      </c>
    </row>
    <row r="520" ht="15.75" hidden="1" customHeight="1">
      <c r="A520" s="36">
        <v>4474754.0</v>
      </c>
      <c r="B520" s="37" t="s">
        <v>361</v>
      </c>
      <c r="C520" s="37" t="s">
        <v>1436</v>
      </c>
      <c r="D520" s="37" t="s">
        <v>224</v>
      </c>
      <c r="E520" s="37" t="s">
        <v>311</v>
      </c>
      <c r="F520" s="37" t="s">
        <v>312</v>
      </c>
      <c r="G520" s="37" t="s">
        <v>258</v>
      </c>
      <c r="H520" s="37" t="s">
        <v>1437</v>
      </c>
      <c r="I520" s="37" t="s">
        <v>260</v>
      </c>
    </row>
    <row r="521" ht="15.75" hidden="1" customHeight="1">
      <c r="A521" s="38">
        <v>5787675.0</v>
      </c>
      <c r="B521" s="39" t="s">
        <v>738</v>
      </c>
      <c r="C521" s="39" t="s">
        <v>1438</v>
      </c>
      <c r="D521" s="39" t="s">
        <v>224</v>
      </c>
      <c r="E521" s="39" t="s">
        <v>1262</v>
      </c>
      <c r="F521" s="39" t="s">
        <v>533</v>
      </c>
      <c r="G521" s="39" t="s">
        <v>250</v>
      </c>
      <c r="H521" s="39" t="s">
        <v>1439</v>
      </c>
      <c r="I521" s="39" t="s">
        <v>229</v>
      </c>
    </row>
    <row r="522" ht="15.75" hidden="1" customHeight="1">
      <c r="A522" s="36">
        <v>5978794.0</v>
      </c>
      <c r="B522" s="37" t="s">
        <v>738</v>
      </c>
      <c r="C522" s="37" t="s">
        <v>1440</v>
      </c>
      <c r="D522" s="37" t="s">
        <v>331</v>
      </c>
      <c r="E522" s="37" t="s">
        <v>1262</v>
      </c>
      <c r="F522" s="37" t="s">
        <v>533</v>
      </c>
      <c r="G522" s="37" t="s">
        <v>250</v>
      </c>
      <c r="H522" s="37" t="s">
        <v>1441</v>
      </c>
      <c r="I522" s="37" t="s">
        <v>229</v>
      </c>
    </row>
    <row r="523" ht="15.75" hidden="1" customHeight="1">
      <c r="A523" s="38">
        <v>4483564.0</v>
      </c>
      <c r="B523" s="39" t="s">
        <v>522</v>
      </c>
      <c r="C523" s="39" t="s">
        <v>1442</v>
      </c>
      <c r="D523" s="39" t="s">
        <v>224</v>
      </c>
      <c r="E523" s="39" t="s">
        <v>658</v>
      </c>
      <c r="F523" s="39" t="s">
        <v>470</v>
      </c>
      <c r="G523" s="39" t="s">
        <v>327</v>
      </c>
      <c r="H523" s="39" t="s">
        <v>1443</v>
      </c>
      <c r="I523" s="39" t="s">
        <v>229</v>
      </c>
    </row>
    <row r="524" ht="15.75" hidden="1" customHeight="1">
      <c r="A524" s="36">
        <v>5972644.0</v>
      </c>
      <c r="B524" s="37" t="s">
        <v>738</v>
      </c>
      <c r="C524" s="37" t="s">
        <v>1444</v>
      </c>
      <c r="D524" s="37" t="s">
        <v>224</v>
      </c>
      <c r="E524" s="37" t="s">
        <v>1262</v>
      </c>
      <c r="F524" s="37" t="s">
        <v>533</v>
      </c>
      <c r="G524" s="37" t="s">
        <v>250</v>
      </c>
      <c r="H524" s="37" t="s">
        <v>1445</v>
      </c>
      <c r="I524" s="37" t="s">
        <v>229</v>
      </c>
    </row>
    <row r="525" ht="15.75" hidden="1" customHeight="1">
      <c r="A525" s="38">
        <v>4485975.0</v>
      </c>
      <c r="B525" s="39" t="s">
        <v>289</v>
      </c>
      <c r="C525" s="39" t="s">
        <v>1446</v>
      </c>
      <c r="D525" s="39" t="s">
        <v>234</v>
      </c>
      <c r="E525" s="39" t="s">
        <v>291</v>
      </c>
      <c r="F525" s="39" t="s">
        <v>292</v>
      </c>
      <c r="G525" s="39" t="s">
        <v>293</v>
      </c>
      <c r="H525" s="39" t="s">
        <v>1447</v>
      </c>
      <c r="I525" s="39" t="s">
        <v>229</v>
      </c>
    </row>
    <row r="526" ht="15.75" hidden="1" customHeight="1">
      <c r="A526" s="36">
        <v>4486052.0</v>
      </c>
      <c r="B526" s="37" t="s">
        <v>222</v>
      </c>
      <c r="C526" s="37" t="s">
        <v>1448</v>
      </c>
      <c r="D526" s="37" t="s">
        <v>224</v>
      </c>
      <c r="E526" s="37" t="s">
        <v>1127</v>
      </c>
      <c r="F526" s="37" t="s">
        <v>226</v>
      </c>
      <c r="G526" s="37" t="s">
        <v>227</v>
      </c>
      <c r="H526" s="37" t="s">
        <v>1449</v>
      </c>
      <c r="I526" s="37" t="s">
        <v>229</v>
      </c>
    </row>
    <row r="527" ht="15.75" hidden="1" customHeight="1">
      <c r="A527" s="38">
        <v>4975392.0</v>
      </c>
      <c r="B527" s="39" t="s">
        <v>289</v>
      </c>
      <c r="C527" s="39" t="s">
        <v>1450</v>
      </c>
      <c r="D527" s="39" t="s">
        <v>224</v>
      </c>
      <c r="E527" s="39" t="s">
        <v>291</v>
      </c>
      <c r="F527" s="39" t="s">
        <v>292</v>
      </c>
      <c r="G527" s="39" t="s">
        <v>293</v>
      </c>
      <c r="H527" s="39" t="s">
        <v>1451</v>
      </c>
      <c r="I527" s="39" t="s">
        <v>229</v>
      </c>
    </row>
    <row r="528" ht="15.75" hidden="1" customHeight="1">
      <c r="A528" s="36">
        <v>4486170.0</v>
      </c>
      <c r="B528" s="37" t="s">
        <v>316</v>
      </c>
      <c r="C528" s="37" t="s">
        <v>1452</v>
      </c>
      <c r="D528" s="37" t="s">
        <v>224</v>
      </c>
      <c r="E528" s="37" t="s">
        <v>1453</v>
      </c>
      <c r="F528" s="37" t="s">
        <v>293</v>
      </c>
      <c r="G528" s="37" t="s">
        <v>319</v>
      </c>
      <c r="H528" s="37" t="s">
        <v>1454</v>
      </c>
      <c r="I528" s="37" t="s">
        <v>229</v>
      </c>
    </row>
    <row r="529" ht="15.75" hidden="1" customHeight="1">
      <c r="A529" s="38">
        <v>5016557.0</v>
      </c>
      <c r="B529" s="39" t="s">
        <v>289</v>
      </c>
      <c r="C529" s="39" t="s">
        <v>1455</v>
      </c>
      <c r="D529" s="39" t="s">
        <v>224</v>
      </c>
      <c r="E529" s="39" t="s">
        <v>291</v>
      </c>
      <c r="F529" s="39" t="s">
        <v>292</v>
      </c>
      <c r="G529" s="39" t="s">
        <v>293</v>
      </c>
      <c r="H529" s="39" t="s">
        <v>1456</v>
      </c>
      <c r="I529" s="39" t="s">
        <v>229</v>
      </c>
    </row>
    <row r="530" ht="15.75" hidden="1" customHeight="1">
      <c r="A530" s="36">
        <v>4489857.0</v>
      </c>
      <c r="B530" s="37" t="s">
        <v>738</v>
      </c>
      <c r="C530" s="37" t="s">
        <v>1457</v>
      </c>
      <c r="D530" s="37" t="s">
        <v>224</v>
      </c>
      <c r="E530" s="37" t="s">
        <v>1458</v>
      </c>
      <c r="F530" s="37" t="s">
        <v>533</v>
      </c>
      <c r="G530" s="37" t="s">
        <v>250</v>
      </c>
      <c r="H530" s="37" t="s">
        <v>1459</v>
      </c>
      <c r="I530" s="37" t="s">
        <v>229</v>
      </c>
    </row>
    <row r="531" ht="15.75" hidden="1" customHeight="1">
      <c r="A531" s="38">
        <v>5059457.0</v>
      </c>
      <c r="B531" s="39" t="s">
        <v>289</v>
      </c>
      <c r="C531" s="39" t="s">
        <v>1460</v>
      </c>
      <c r="D531" s="39" t="s">
        <v>224</v>
      </c>
      <c r="E531" s="39" t="s">
        <v>291</v>
      </c>
      <c r="F531" s="39" t="s">
        <v>292</v>
      </c>
      <c r="G531" s="39" t="s">
        <v>293</v>
      </c>
      <c r="H531" s="39" t="s">
        <v>1461</v>
      </c>
      <c r="I531" s="39" t="s">
        <v>229</v>
      </c>
    </row>
    <row r="532" ht="15.75" hidden="1" customHeight="1">
      <c r="A532" s="36">
        <v>4490006.0</v>
      </c>
      <c r="B532" s="37" t="s">
        <v>506</v>
      </c>
      <c r="C532" s="37" t="s">
        <v>1462</v>
      </c>
      <c r="D532" s="37" t="s">
        <v>224</v>
      </c>
      <c r="E532" s="37" t="s">
        <v>831</v>
      </c>
      <c r="F532" s="37" t="s">
        <v>284</v>
      </c>
      <c r="G532" s="37" t="s">
        <v>3</v>
      </c>
      <c r="H532" s="37" t="s">
        <v>1463</v>
      </c>
      <c r="I532" s="37" t="s">
        <v>260</v>
      </c>
      <c r="J532" s="1">
        <v>42.0</v>
      </c>
      <c r="L532" s="40" t="s">
        <v>412</v>
      </c>
    </row>
    <row r="533" ht="15.75" hidden="1" customHeight="1">
      <c r="A533" s="38">
        <v>5276512.0</v>
      </c>
      <c r="B533" s="39" t="s">
        <v>289</v>
      </c>
      <c r="C533" s="39" t="s">
        <v>1464</v>
      </c>
      <c r="D533" s="39" t="s">
        <v>224</v>
      </c>
      <c r="E533" s="39" t="s">
        <v>291</v>
      </c>
      <c r="F533" s="39" t="s">
        <v>292</v>
      </c>
      <c r="G533" s="39" t="s">
        <v>293</v>
      </c>
      <c r="H533" s="39" t="s">
        <v>1465</v>
      </c>
      <c r="I533" s="39" t="s">
        <v>229</v>
      </c>
    </row>
    <row r="534" ht="15.75" hidden="1" customHeight="1">
      <c r="A534" s="36">
        <v>4490024.0</v>
      </c>
      <c r="B534" s="37" t="s">
        <v>435</v>
      </c>
      <c r="C534" s="37" t="s">
        <v>1466</v>
      </c>
      <c r="D534" s="37" t="s">
        <v>224</v>
      </c>
      <c r="E534" s="37" t="s">
        <v>437</v>
      </c>
      <c r="F534" s="37" t="s">
        <v>226</v>
      </c>
      <c r="G534" s="37" t="s">
        <v>227</v>
      </c>
      <c r="H534" s="37" t="s">
        <v>1467</v>
      </c>
      <c r="I534" s="37" t="s">
        <v>229</v>
      </c>
    </row>
    <row r="535" ht="15.75" hidden="1" customHeight="1">
      <c r="A535" s="38">
        <v>5296706.0</v>
      </c>
      <c r="B535" s="39" t="s">
        <v>289</v>
      </c>
      <c r="C535" s="39" t="s">
        <v>1468</v>
      </c>
      <c r="D535" s="39" t="s">
        <v>224</v>
      </c>
      <c r="E535" s="39" t="s">
        <v>291</v>
      </c>
      <c r="F535" s="39" t="s">
        <v>292</v>
      </c>
      <c r="G535" s="39" t="s">
        <v>293</v>
      </c>
      <c r="H535" s="39" t="s">
        <v>1469</v>
      </c>
      <c r="I535" s="39" t="s">
        <v>229</v>
      </c>
    </row>
    <row r="536" ht="15.75" hidden="1" customHeight="1">
      <c r="A536" s="36">
        <v>5313582.0</v>
      </c>
      <c r="B536" s="37" t="s">
        <v>289</v>
      </c>
      <c r="C536" s="37" t="s">
        <v>1470</v>
      </c>
      <c r="D536" s="37" t="s">
        <v>331</v>
      </c>
      <c r="E536" s="37" t="s">
        <v>291</v>
      </c>
      <c r="F536" s="37" t="s">
        <v>292</v>
      </c>
      <c r="G536" s="37" t="s">
        <v>293</v>
      </c>
      <c r="H536" s="37" t="s">
        <v>1471</v>
      </c>
      <c r="I536" s="37" t="s">
        <v>229</v>
      </c>
    </row>
    <row r="537" ht="15.75" hidden="1" customHeight="1">
      <c r="A537" s="38">
        <v>4491619.0</v>
      </c>
      <c r="B537" s="39" t="s">
        <v>526</v>
      </c>
      <c r="C537" s="39" t="s">
        <v>1472</v>
      </c>
      <c r="D537" s="39" t="s">
        <v>224</v>
      </c>
      <c r="E537" s="39" t="s">
        <v>667</v>
      </c>
      <c r="F537" s="39" t="s">
        <v>326</v>
      </c>
      <c r="G537" s="39" t="s">
        <v>327</v>
      </c>
      <c r="H537" s="39" t="s">
        <v>1473</v>
      </c>
      <c r="I537" s="39" t="s">
        <v>229</v>
      </c>
    </row>
    <row r="538" ht="15.75" hidden="1" customHeight="1">
      <c r="A538" s="36">
        <v>5804445.0</v>
      </c>
      <c r="B538" s="37" t="s">
        <v>289</v>
      </c>
      <c r="C538" s="37" t="s">
        <v>1474</v>
      </c>
      <c r="D538" s="37" t="s">
        <v>224</v>
      </c>
      <c r="E538" s="37" t="s">
        <v>291</v>
      </c>
      <c r="F538" s="37" t="s">
        <v>292</v>
      </c>
      <c r="G538" s="37" t="s">
        <v>293</v>
      </c>
      <c r="H538" s="37" t="s">
        <v>1475</v>
      </c>
      <c r="I538" s="37" t="s">
        <v>229</v>
      </c>
    </row>
    <row r="539" ht="15.75" hidden="1" customHeight="1">
      <c r="A539" s="38">
        <v>4493841.0</v>
      </c>
      <c r="B539" s="39" t="s">
        <v>478</v>
      </c>
      <c r="C539" s="39" t="s">
        <v>1476</v>
      </c>
      <c r="D539" s="39" t="s">
        <v>224</v>
      </c>
      <c r="E539" s="39" t="s">
        <v>711</v>
      </c>
      <c r="F539" s="39" t="s">
        <v>481</v>
      </c>
      <c r="G539" s="39" t="s">
        <v>293</v>
      </c>
      <c r="H539" s="39" t="s">
        <v>1477</v>
      </c>
      <c r="I539" s="39" t="s">
        <v>229</v>
      </c>
    </row>
    <row r="540" ht="15.75" hidden="1" customHeight="1">
      <c r="A540" s="36">
        <v>5482702.0</v>
      </c>
      <c r="B540" s="37" t="s">
        <v>289</v>
      </c>
      <c r="C540" s="37" t="s">
        <v>1478</v>
      </c>
      <c r="D540" s="37" t="s">
        <v>224</v>
      </c>
      <c r="E540" s="37" t="s">
        <v>291</v>
      </c>
      <c r="F540" s="37" t="s">
        <v>292</v>
      </c>
      <c r="G540" s="37" t="s">
        <v>293</v>
      </c>
      <c r="H540" s="37" t="s">
        <v>1479</v>
      </c>
      <c r="I540" s="37" t="s">
        <v>229</v>
      </c>
    </row>
    <row r="541" ht="15.75" hidden="1" customHeight="1">
      <c r="A541" s="38">
        <v>5537609.0</v>
      </c>
      <c r="B541" s="39" t="s">
        <v>289</v>
      </c>
      <c r="C541" s="39" t="s">
        <v>1480</v>
      </c>
      <c r="D541" s="39" t="s">
        <v>224</v>
      </c>
      <c r="E541" s="39" t="s">
        <v>291</v>
      </c>
      <c r="F541" s="39" t="s">
        <v>292</v>
      </c>
      <c r="G541" s="39" t="s">
        <v>293</v>
      </c>
      <c r="H541" s="39" t="s">
        <v>1481</v>
      </c>
      <c r="I541" s="39" t="s">
        <v>229</v>
      </c>
    </row>
    <row r="542" ht="15.75" hidden="1" customHeight="1">
      <c r="A542" s="36">
        <v>4499161.0</v>
      </c>
      <c r="B542" s="37" t="s">
        <v>232</v>
      </c>
      <c r="C542" s="37" t="s">
        <v>1482</v>
      </c>
      <c r="D542" s="37" t="s">
        <v>224</v>
      </c>
      <c r="E542" s="37" t="s">
        <v>932</v>
      </c>
      <c r="F542" s="37" t="s">
        <v>226</v>
      </c>
      <c r="G542" s="37" t="s">
        <v>227</v>
      </c>
      <c r="H542" s="37" t="s">
        <v>1483</v>
      </c>
      <c r="I542" s="37" t="s">
        <v>229</v>
      </c>
    </row>
    <row r="543" ht="15.75" hidden="1" customHeight="1">
      <c r="A543" s="38">
        <v>5694842.0</v>
      </c>
      <c r="B543" s="39" t="s">
        <v>289</v>
      </c>
      <c r="C543" s="39" t="s">
        <v>1484</v>
      </c>
      <c r="D543" s="39" t="s">
        <v>224</v>
      </c>
      <c r="E543" s="39" t="s">
        <v>291</v>
      </c>
      <c r="F543" s="39" t="s">
        <v>292</v>
      </c>
      <c r="G543" s="39" t="s">
        <v>293</v>
      </c>
      <c r="H543" s="39" t="s">
        <v>1485</v>
      </c>
      <c r="I543" s="39" t="s">
        <v>229</v>
      </c>
    </row>
    <row r="544" ht="15.75" hidden="1" customHeight="1">
      <c r="A544" s="36">
        <v>4500098.0</v>
      </c>
      <c r="B544" s="37" t="s">
        <v>297</v>
      </c>
      <c r="C544" s="37" t="s">
        <v>1486</v>
      </c>
      <c r="D544" s="37" t="s">
        <v>224</v>
      </c>
      <c r="E544" s="37" t="s">
        <v>299</v>
      </c>
      <c r="F544" s="37" t="s">
        <v>300</v>
      </c>
      <c r="G544" s="37" t="s">
        <v>301</v>
      </c>
      <c r="H544" s="37" t="s">
        <v>1487</v>
      </c>
      <c r="I544" s="37" t="s">
        <v>229</v>
      </c>
    </row>
    <row r="545" ht="15.75" hidden="1" customHeight="1">
      <c r="A545" s="38">
        <v>5804447.0</v>
      </c>
      <c r="B545" s="39" t="s">
        <v>289</v>
      </c>
      <c r="C545" s="39" t="s">
        <v>1488</v>
      </c>
      <c r="D545" s="39" t="s">
        <v>224</v>
      </c>
      <c r="E545" s="39" t="s">
        <v>291</v>
      </c>
      <c r="F545" s="39" t="s">
        <v>292</v>
      </c>
      <c r="G545" s="39" t="s">
        <v>293</v>
      </c>
      <c r="H545" s="39" t="s">
        <v>1489</v>
      </c>
      <c r="I545" s="39" t="s">
        <v>229</v>
      </c>
    </row>
    <row r="546" ht="15.75" hidden="1" customHeight="1">
      <c r="A546" s="36">
        <v>4500571.0</v>
      </c>
      <c r="B546" s="37" t="s">
        <v>738</v>
      </c>
      <c r="C546" s="37" t="s">
        <v>1490</v>
      </c>
      <c r="D546" s="37" t="s">
        <v>224</v>
      </c>
      <c r="E546" s="37" t="s">
        <v>532</v>
      </c>
      <c r="F546" s="37" t="s">
        <v>533</v>
      </c>
      <c r="G546" s="37" t="s">
        <v>250</v>
      </c>
      <c r="H546" s="37" t="s">
        <v>1491</v>
      </c>
      <c r="I546" s="37" t="s">
        <v>229</v>
      </c>
    </row>
    <row r="547" ht="15.75" hidden="1" customHeight="1">
      <c r="A547" s="38">
        <v>5804443.0</v>
      </c>
      <c r="B547" s="39" t="s">
        <v>289</v>
      </c>
      <c r="C547" s="39" t="s">
        <v>1492</v>
      </c>
      <c r="D547" s="39" t="s">
        <v>224</v>
      </c>
      <c r="E547" s="39" t="s">
        <v>291</v>
      </c>
      <c r="F547" s="39" t="s">
        <v>292</v>
      </c>
      <c r="G547" s="39" t="s">
        <v>293</v>
      </c>
      <c r="H547" s="39" t="s">
        <v>1493</v>
      </c>
      <c r="I547" s="39" t="s">
        <v>229</v>
      </c>
    </row>
    <row r="548" ht="15.75" hidden="1" customHeight="1">
      <c r="A548" s="36">
        <v>4500655.0</v>
      </c>
      <c r="B548" s="37" t="s">
        <v>1348</v>
      </c>
      <c r="C548" s="37" t="s">
        <v>1494</v>
      </c>
      <c r="D548" s="37" t="s">
        <v>331</v>
      </c>
      <c r="E548" s="37" t="s">
        <v>459</v>
      </c>
      <c r="F548" s="37" t="s">
        <v>292</v>
      </c>
      <c r="G548" s="37" t="s">
        <v>293</v>
      </c>
      <c r="H548" s="37" t="s">
        <v>1495</v>
      </c>
      <c r="I548" s="37" t="s">
        <v>229</v>
      </c>
    </row>
    <row r="549" ht="15.75" hidden="1" customHeight="1">
      <c r="A549" s="38">
        <v>5482743.0</v>
      </c>
      <c r="B549" s="39" t="s">
        <v>289</v>
      </c>
      <c r="C549" s="39" t="s">
        <v>1496</v>
      </c>
      <c r="D549" s="39" t="s">
        <v>224</v>
      </c>
      <c r="E549" s="39" t="s">
        <v>291</v>
      </c>
      <c r="F549" s="39" t="s">
        <v>292</v>
      </c>
      <c r="G549" s="39" t="s">
        <v>293</v>
      </c>
      <c r="H549" s="39" t="s">
        <v>1497</v>
      </c>
      <c r="I549" s="39" t="s">
        <v>229</v>
      </c>
    </row>
    <row r="550" ht="15.75" hidden="1" customHeight="1">
      <c r="A550" s="36">
        <v>5483688.0</v>
      </c>
      <c r="B550" s="37" t="s">
        <v>289</v>
      </c>
      <c r="C550" s="37" t="s">
        <v>1498</v>
      </c>
      <c r="D550" s="37" t="s">
        <v>224</v>
      </c>
      <c r="E550" s="37" t="s">
        <v>291</v>
      </c>
      <c r="F550" s="37" t="s">
        <v>292</v>
      </c>
      <c r="G550" s="37" t="s">
        <v>293</v>
      </c>
      <c r="H550" s="37" t="s">
        <v>1499</v>
      </c>
      <c r="I550" s="37" t="s">
        <v>229</v>
      </c>
    </row>
    <row r="551" ht="15.75" hidden="1" customHeight="1">
      <c r="A551" s="38">
        <v>4505938.0</v>
      </c>
      <c r="B551" s="39" t="s">
        <v>555</v>
      </c>
      <c r="C551" s="39" t="s">
        <v>1500</v>
      </c>
      <c r="D551" s="39" t="s">
        <v>224</v>
      </c>
      <c r="E551" s="39" t="s">
        <v>557</v>
      </c>
      <c r="F551" s="39" t="s">
        <v>558</v>
      </c>
      <c r="G551" s="39" t="s">
        <v>541</v>
      </c>
      <c r="H551" s="39" t="s">
        <v>1501</v>
      </c>
      <c r="I551" s="39" t="s">
        <v>229</v>
      </c>
    </row>
    <row r="552" ht="15.75" hidden="1" customHeight="1">
      <c r="A552" s="36">
        <v>5702867.0</v>
      </c>
      <c r="B552" s="37" t="s">
        <v>289</v>
      </c>
      <c r="C552" s="37" t="s">
        <v>1502</v>
      </c>
      <c r="D552" s="37" t="s">
        <v>331</v>
      </c>
      <c r="E552" s="37" t="s">
        <v>291</v>
      </c>
      <c r="F552" s="37" t="s">
        <v>292</v>
      </c>
      <c r="G552" s="37" t="s">
        <v>293</v>
      </c>
      <c r="H552" s="37" t="s">
        <v>1503</v>
      </c>
      <c r="I552" s="37" t="s">
        <v>229</v>
      </c>
    </row>
    <row r="553" ht="15.75" hidden="1" customHeight="1">
      <c r="A553" s="38">
        <v>4506659.0</v>
      </c>
      <c r="B553" s="39" t="s">
        <v>121</v>
      </c>
      <c r="C553" s="39" t="s">
        <v>1504</v>
      </c>
      <c r="D553" s="39" t="s">
        <v>234</v>
      </c>
      <c r="E553" s="39" t="s">
        <v>1505</v>
      </c>
      <c r="F553" s="39" t="s">
        <v>644</v>
      </c>
      <c r="G553" s="39" t="s">
        <v>3</v>
      </c>
      <c r="H553" s="39" t="s">
        <v>1506</v>
      </c>
      <c r="I553" s="39" t="s">
        <v>260</v>
      </c>
      <c r="J553" s="1">
        <v>42.0</v>
      </c>
      <c r="L553" s="40" t="s">
        <v>506</v>
      </c>
    </row>
    <row r="554" ht="15.75" hidden="1" customHeight="1">
      <c r="A554" s="36">
        <v>5108884.0</v>
      </c>
      <c r="B554" s="37" t="s">
        <v>289</v>
      </c>
      <c r="C554" s="37" t="s">
        <v>1507</v>
      </c>
      <c r="D554" s="37" t="s">
        <v>224</v>
      </c>
      <c r="E554" s="37" t="s">
        <v>291</v>
      </c>
      <c r="F554" s="37" t="s">
        <v>292</v>
      </c>
      <c r="G554" s="37" t="s">
        <v>293</v>
      </c>
      <c r="H554" s="37" t="s">
        <v>1508</v>
      </c>
      <c r="I554" s="37" t="s">
        <v>229</v>
      </c>
    </row>
    <row r="555" ht="15.75" hidden="1" customHeight="1">
      <c r="A555" s="38">
        <v>4512875.0</v>
      </c>
      <c r="B555" s="39" t="s">
        <v>738</v>
      </c>
      <c r="C555" s="39" t="s">
        <v>1509</v>
      </c>
      <c r="D555" s="39" t="s">
        <v>224</v>
      </c>
      <c r="E555" s="39" t="s">
        <v>1510</v>
      </c>
      <c r="F555" s="39" t="s">
        <v>533</v>
      </c>
      <c r="G555" s="39" t="s">
        <v>250</v>
      </c>
      <c r="H555" s="39" t="s">
        <v>1511</v>
      </c>
      <c r="I555" s="39" t="s">
        <v>229</v>
      </c>
    </row>
    <row r="556" ht="15.75" hidden="1" customHeight="1">
      <c r="A556" s="36">
        <v>5251349.0</v>
      </c>
      <c r="B556" s="37" t="s">
        <v>478</v>
      </c>
      <c r="C556" s="37" t="s">
        <v>1512</v>
      </c>
      <c r="D556" s="37" t="s">
        <v>224</v>
      </c>
      <c r="E556" s="37" t="s">
        <v>1513</v>
      </c>
      <c r="F556" s="37" t="s">
        <v>481</v>
      </c>
      <c r="G556" s="37" t="s">
        <v>293</v>
      </c>
      <c r="H556" s="37" t="s">
        <v>1514</v>
      </c>
      <c r="I556" s="37" t="s">
        <v>229</v>
      </c>
    </row>
    <row r="557" ht="15.75" hidden="1" customHeight="1">
      <c r="A557" s="38">
        <v>4856769.0</v>
      </c>
      <c r="B557" s="39" t="s">
        <v>478</v>
      </c>
      <c r="C557" s="39" t="s">
        <v>1515</v>
      </c>
      <c r="D557" s="39" t="s">
        <v>224</v>
      </c>
      <c r="E557" s="39" t="s">
        <v>1513</v>
      </c>
      <c r="F557" s="39" t="s">
        <v>481</v>
      </c>
      <c r="G557" s="39" t="s">
        <v>293</v>
      </c>
      <c r="H557" s="39" t="s">
        <v>1516</v>
      </c>
      <c r="I557" s="39" t="s">
        <v>229</v>
      </c>
    </row>
    <row r="558" ht="15.75" hidden="1" customHeight="1">
      <c r="A558" s="36">
        <v>4515221.0</v>
      </c>
      <c r="B558" s="37" t="s">
        <v>695</v>
      </c>
      <c r="C558" s="37" t="s">
        <v>1517</v>
      </c>
      <c r="D558" s="37" t="s">
        <v>224</v>
      </c>
      <c r="E558" s="37" t="s">
        <v>1518</v>
      </c>
      <c r="F558" s="37" t="s">
        <v>698</v>
      </c>
      <c r="G558" s="37" t="s">
        <v>541</v>
      </c>
      <c r="H558" s="37" t="s">
        <v>1519</v>
      </c>
      <c r="I558" s="37" t="s">
        <v>229</v>
      </c>
    </row>
    <row r="559" ht="15.75" hidden="1" customHeight="1">
      <c r="A559" s="38">
        <v>5017920.0</v>
      </c>
      <c r="B559" s="39" t="s">
        <v>478</v>
      </c>
      <c r="C559" s="39" t="s">
        <v>1520</v>
      </c>
      <c r="D559" s="39" t="s">
        <v>224</v>
      </c>
      <c r="E559" s="39" t="s">
        <v>1513</v>
      </c>
      <c r="F559" s="39" t="s">
        <v>481</v>
      </c>
      <c r="G559" s="39" t="s">
        <v>293</v>
      </c>
      <c r="H559" s="39" t="s">
        <v>1521</v>
      </c>
      <c r="I559" s="39" t="s">
        <v>229</v>
      </c>
    </row>
    <row r="560" ht="15.75" hidden="1" customHeight="1">
      <c r="A560" s="36">
        <v>4526822.0</v>
      </c>
      <c r="B560" s="37" t="s">
        <v>331</v>
      </c>
      <c r="C560" s="37" t="s">
        <v>1522</v>
      </c>
      <c r="D560" s="37" t="s">
        <v>331</v>
      </c>
      <c r="E560" s="37" t="s">
        <v>1523</v>
      </c>
      <c r="F560" s="37" t="s">
        <v>1524</v>
      </c>
      <c r="G560" s="37" t="s">
        <v>1525</v>
      </c>
      <c r="H560" s="37" t="s">
        <v>1526</v>
      </c>
      <c r="I560" s="37" t="s">
        <v>229</v>
      </c>
    </row>
    <row r="561" ht="15.75" hidden="1" customHeight="1">
      <c r="A561" s="38">
        <v>5065866.0</v>
      </c>
      <c r="B561" s="39" t="s">
        <v>478</v>
      </c>
      <c r="C561" s="39" t="s">
        <v>1527</v>
      </c>
      <c r="D561" s="39" t="s">
        <v>224</v>
      </c>
      <c r="E561" s="39" t="s">
        <v>1513</v>
      </c>
      <c r="F561" s="39" t="s">
        <v>481</v>
      </c>
      <c r="G561" s="39" t="s">
        <v>293</v>
      </c>
      <c r="H561" s="39" t="s">
        <v>1528</v>
      </c>
      <c r="I561" s="39" t="s">
        <v>229</v>
      </c>
    </row>
    <row r="562" ht="15.75" hidden="1" customHeight="1">
      <c r="A562" s="36">
        <v>4526909.0</v>
      </c>
      <c r="B562" s="37" t="s">
        <v>323</v>
      </c>
      <c r="C562" s="37" t="s">
        <v>1529</v>
      </c>
      <c r="D562" s="37" t="s">
        <v>224</v>
      </c>
      <c r="E562" s="37" t="s">
        <v>583</v>
      </c>
      <c r="F562" s="37" t="s">
        <v>326</v>
      </c>
      <c r="G562" s="37" t="s">
        <v>327</v>
      </c>
      <c r="H562" s="37" t="s">
        <v>1530</v>
      </c>
      <c r="I562" s="37" t="s">
        <v>229</v>
      </c>
    </row>
    <row r="563" ht="15.75" hidden="1" customHeight="1">
      <c r="A563" s="38">
        <v>5866137.0</v>
      </c>
      <c r="B563" s="39" t="s">
        <v>478</v>
      </c>
      <c r="C563" s="39" t="s">
        <v>1531</v>
      </c>
      <c r="D563" s="39" t="s">
        <v>224</v>
      </c>
      <c r="E563" s="39" t="s">
        <v>1513</v>
      </c>
      <c r="F563" s="39" t="s">
        <v>481</v>
      </c>
      <c r="G563" s="39" t="s">
        <v>293</v>
      </c>
      <c r="H563" s="39" t="s">
        <v>1532</v>
      </c>
      <c r="I563" s="39" t="s">
        <v>229</v>
      </c>
    </row>
    <row r="564" ht="15.75" hidden="1" customHeight="1">
      <c r="A564" s="36">
        <v>4539342.0</v>
      </c>
      <c r="B564" s="37" t="s">
        <v>425</v>
      </c>
      <c r="C564" s="37" t="s">
        <v>1533</v>
      </c>
      <c r="D564" s="37" t="s">
        <v>224</v>
      </c>
      <c r="E564" s="37" t="s">
        <v>427</v>
      </c>
      <c r="F564" s="37" t="s">
        <v>312</v>
      </c>
      <c r="G564" s="37" t="s">
        <v>3</v>
      </c>
      <c r="H564" s="37" t="s">
        <v>1534</v>
      </c>
      <c r="I564" s="37" t="s">
        <v>260</v>
      </c>
    </row>
    <row r="565" ht="15.75" hidden="1" customHeight="1">
      <c r="A565" s="38">
        <v>5983626.0</v>
      </c>
      <c r="B565" s="39" t="s">
        <v>478</v>
      </c>
      <c r="C565" s="39" t="s">
        <v>1535</v>
      </c>
      <c r="D565" s="39" t="s">
        <v>224</v>
      </c>
      <c r="E565" s="39" t="s">
        <v>1513</v>
      </c>
      <c r="F565" s="39" t="s">
        <v>481</v>
      </c>
      <c r="G565" s="39" t="s">
        <v>293</v>
      </c>
      <c r="H565" s="39" t="s">
        <v>1536</v>
      </c>
      <c r="I565" s="39" t="s">
        <v>229</v>
      </c>
    </row>
    <row r="566" ht="15.75" hidden="1" customHeight="1">
      <c r="A566" s="36">
        <v>4557291.0</v>
      </c>
      <c r="B566" s="37" t="s">
        <v>800</v>
      </c>
      <c r="C566" s="37" t="s">
        <v>1537</v>
      </c>
      <c r="D566" s="37" t="s">
        <v>224</v>
      </c>
      <c r="E566" s="37" t="s">
        <v>802</v>
      </c>
      <c r="F566" s="37" t="s">
        <v>333</v>
      </c>
      <c r="G566" s="37" t="s">
        <v>301</v>
      </c>
      <c r="H566" s="37" t="s">
        <v>1538</v>
      </c>
      <c r="I566" s="37" t="s">
        <v>229</v>
      </c>
    </row>
    <row r="567" ht="15.75" hidden="1" customHeight="1">
      <c r="A567" s="38">
        <v>5523592.0</v>
      </c>
      <c r="B567" s="39" t="s">
        <v>478</v>
      </c>
      <c r="C567" s="39" t="s">
        <v>1539</v>
      </c>
      <c r="D567" s="39" t="s">
        <v>224</v>
      </c>
      <c r="E567" s="39" t="s">
        <v>1513</v>
      </c>
      <c r="F567" s="39" t="s">
        <v>481</v>
      </c>
      <c r="G567" s="39" t="s">
        <v>293</v>
      </c>
      <c r="H567" s="39" t="s">
        <v>1540</v>
      </c>
      <c r="I567" s="39" t="s">
        <v>229</v>
      </c>
    </row>
    <row r="568" ht="15.75" hidden="1" customHeight="1">
      <c r="A568" s="36">
        <v>5866140.0</v>
      </c>
      <c r="B568" s="37" t="s">
        <v>478</v>
      </c>
      <c r="C568" s="37" t="s">
        <v>1541</v>
      </c>
      <c r="D568" s="37" t="s">
        <v>224</v>
      </c>
      <c r="E568" s="37" t="s">
        <v>1513</v>
      </c>
      <c r="F568" s="37" t="s">
        <v>481</v>
      </c>
      <c r="G568" s="37" t="s">
        <v>293</v>
      </c>
      <c r="H568" s="37" t="s">
        <v>1542</v>
      </c>
      <c r="I568" s="37" t="s">
        <v>229</v>
      </c>
    </row>
    <row r="569" ht="15.75" hidden="1" customHeight="1">
      <c r="A569" s="38">
        <v>5803531.0</v>
      </c>
      <c r="B569" s="39" t="s">
        <v>478</v>
      </c>
      <c r="C569" s="39" t="s">
        <v>1543</v>
      </c>
      <c r="D569" s="39" t="s">
        <v>224</v>
      </c>
      <c r="E569" s="39" t="s">
        <v>1513</v>
      </c>
      <c r="F569" s="39" t="s">
        <v>481</v>
      </c>
      <c r="G569" s="39" t="s">
        <v>293</v>
      </c>
      <c r="H569" s="39" t="s">
        <v>1544</v>
      </c>
      <c r="I569" s="39" t="s">
        <v>229</v>
      </c>
    </row>
    <row r="570" ht="15.75" hidden="1" customHeight="1">
      <c r="A570" s="36">
        <v>4570746.0</v>
      </c>
      <c r="B570" s="37" t="s">
        <v>478</v>
      </c>
      <c r="C570" s="37" t="s">
        <v>1545</v>
      </c>
      <c r="D570" s="37" t="s">
        <v>224</v>
      </c>
      <c r="E570" s="37" t="s">
        <v>1102</v>
      </c>
      <c r="F570" s="37" t="s">
        <v>481</v>
      </c>
      <c r="G570" s="37" t="s">
        <v>293</v>
      </c>
      <c r="H570" s="37" t="s">
        <v>1546</v>
      </c>
      <c r="I570" s="37" t="s">
        <v>229</v>
      </c>
    </row>
    <row r="571" ht="15.75" hidden="1" customHeight="1">
      <c r="A571" s="38">
        <v>5363357.0</v>
      </c>
      <c r="B571" s="39" t="s">
        <v>478</v>
      </c>
      <c r="C571" s="39" t="s">
        <v>1547</v>
      </c>
      <c r="D571" s="39" t="s">
        <v>224</v>
      </c>
      <c r="E571" s="39" t="s">
        <v>1513</v>
      </c>
      <c r="F571" s="39" t="s">
        <v>481</v>
      </c>
      <c r="G571" s="39" t="s">
        <v>293</v>
      </c>
      <c r="H571" s="39" t="s">
        <v>1548</v>
      </c>
      <c r="I571" s="39" t="s">
        <v>229</v>
      </c>
    </row>
    <row r="572" ht="15.75" hidden="1" customHeight="1">
      <c r="A572" s="36">
        <v>4570941.0</v>
      </c>
      <c r="B572" s="37" t="s">
        <v>841</v>
      </c>
      <c r="C572" s="37" t="s">
        <v>1549</v>
      </c>
      <c r="D572" s="37" t="s">
        <v>224</v>
      </c>
      <c r="E572" s="37" t="s">
        <v>843</v>
      </c>
      <c r="F572" s="37" t="s">
        <v>242</v>
      </c>
      <c r="G572" s="37" t="s">
        <v>227</v>
      </c>
      <c r="H572" s="37" t="s">
        <v>1550</v>
      </c>
      <c r="I572" s="37" t="s">
        <v>229</v>
      </c>
    </row>
    <row r="573" ht="15.75" hidden="1" customHeight="1">
      <c r="A573" s="38">
        <v>4754579.0</v>
      </c>
      <c r="B573" s="39" t="s">
        <v>478</v>
      </c>
      <c r="C573" s="39" t="s">
        <v>1551</v>
      </c>
      <c r="D573" s="39" t="s">
        <v>224</v>
      </c>
      <c r="E573" s="39" t="s">
        <v>1513</v>
      </c>
      <c r="F573" s="39" t="s">
        <v>481</v>
      </c>
      <c r="G573" s="39" t="s">
        <v>293</v>
      </c>
      <c r="H573" s="39" t="s">
        <v>1552</v>
      </c>
      <c r="I573" s="39" t="s">
        <v>229</v>
      </c>
    </row>
    <row r="574" ht="15.75" hidden="1" customHeight="1">
      <c r="A574" s="36">
        <v>4582419.0</v>
      </c>
      <c r="B574" s="37" t="s">
        <v>632</v>
      </c>
      <c r="C574" s="37" t="s">
        <v>1553</v>
      </c>
      <c r="D574" s="37" t="s">
        <v>224</v>
      </c>
      <c r="E574" s="37" t="s">
        <v>891</v>
      </c>
      <c r="F574" s="37" t="s">
        <v>257</v>
      </c>
      <c r="G574" s="37" t="s">
        <v>258</v>
      </c>
      <c r="H574" s="37" t="s">
        <v>1554</v>
      </c>
      <c r="I574" s="37" t="s">
        <v>260</v>
      </c>
    </row>
    <row r="575" ht="15.75" hidden="1" customHeight="1">
      <c r="A575" s="38">
        <v>5529191.0</v>
      </c>
      <c r="B575" s="39" t="s">
        <v>478</v>
      </c>
      <c r="C575" s="39" t="s">
        <v>1555</v>
      </c>
      <c r="D575" s="39" t="s">
        <v>224</v>
      </c>
      <c r="E575" s="39" t="s">
        <v>1513</v>
      </c>
      <c r="F575" s="39" t="s">
        <v>481</v>
      </c>
      <c r="G575" s="39" t="s">
        <v>293</v>
      </c>
      <c r="H575" s="39" t="s">
        <v>1556</v>
      </c>
      <c r="I575" s="39" t="s">
        <v>229</v>
      </c>
    </row>
    <row r="576" ht="15.75" hidden="1" customHeight="1">
      <c r="A576" s="36">
        <v>4582421.0</v>
      </c>
      <c r="B576" s="37" t="s">
        <v>800</v>
      </c>
      <c r="C576" s="37" t="s">
        <v>1557</v>
      </c>
      <c r="D576" s="37" t="s">
        <v>224</v>
      </c>
      <c r="E576" s="37" t="s">
        <v>802</v>
      </c>
      <c r="F576" s="37" t="s">
        <v>333</v>
      </c>
      <c r="G576" s="37" t="s">
        <v>301</v>
      </c>
      <c r="H576" s="37" t="s">
        <v>1558</v>
      </c>
      <c r="I576" s="37" t="s">
        <v>229</v>
      </c>
    </row>
    <row r="577" ht="15.75" hidden="1" customHeight="1">
      <c r="A577" s="38">
        <v>5983630.0</v>
      </c>
      <c r="B577" s="39" t="s">
        <v>478</v>
      </c>
      <c r="C577" s="39" t="s">
        <v>1559</v>
      </c>
      <c r="D577" s="39" t="s">
        <v>224</v>
      </c>
      <c r="E577" s="39" t="s">
        <v>1513</v>
      </c>
      <c r="F577" s="39" t="s">
        <v>481</v>
      </c>
      <c r="G577" s="39" t="s">
        <v>293</v>
      </c>
      <c r="H577" s="39" t="s">
        <v>1560</v>
      </c>
      <c r="I577" s="39" t="s">
        <v>229</v>
      </c>
    </row>
    <row r="578" ht="15.75" hidden="1" customHeight="1">
      <c r="A578" s="36">
        <v>4584347.0</v>
      </c>
      <c r="B578" s="37" t="s">
        <v>813</v>
      </c>
      <c r="C578" s="37" t="s">
        <v>1561</v>
      </c>
      <c r="D578" s="37" t="s">
        <v>224</v>
      </c>
      <c r="E578" s="37" t="s">
        <v>1562</v>
      </c>
      <c r="F578" s="37" t="s">
        <v>679</v>
      </c>
      <c r="G578" s="37" t="s">
        <v>301</v>
      </c>
      <c r="H578" s="37" t="s">
        <v>1563</v>
      </c>
      <c r="I578" s="37" t="s">
        <v>229</v>
      </c>
    </row>
    <row r="579" ht="15.75" hidden="1" customHeight="1">
      <c r="A579" s="38">
        <v>5671024.0</v>
      </c>
      <c r="B579" s="39" t="s">
        <v>478</v>
      </c>
      <c r="C579" s="39" t="s">
        <v>1564</v>
      </c>
      <c r="D579" s="39" t="s">
        <v>224</v>
      </c>
      <c r="E579" s="39" t="s">
        <v>1513</v>
      </c>
      <c r="F579" s="39" t="s">
        <v>481</v>
      </c>
      <c r="G579" s="39" t="s">
        <v>293</v>
      </c>
      <c r="H579" s="39" t="s">
        <v>1565</v>
      </c>
      <c r="I579" s="39" t="s">
        <v>229</v>
      </c>
    </row>
    <row r="580" ht="15.75" hidden="1" customHeight="1">
      <c r="A580" s="36">
        <v>4586511.0</v>
      </c>
      <c r="B580" s="37" t="s">
        <v>530</v>
      </c>
      <c r="C580" s="37" t="s">
        <v>1566</v>
      </c>
      <c r="D580" s="37" t="s">
        <v>224</v>
      </c>
      <c r="E580" s="37" t="s">
        <v>1510</v>
      </c>
      <c r="F580" s="37" t="s">
        <v>533</v>
      </c>
      <c r="G580" s="37" t="s">
        <v>250</v>
      </c>
      <c r="H580" s="37" t="s">
        <v>1567</v>
      </c>
      <c r="I580" s="37" t="s">
        <v>229</v>
      </c>
    </row>
    <row r="581" ht="15.75" hidden="1" customHeight="1">
      <c r="A581" s="38">
        <v>5671069.0</v>
      </c>
      <c r="B581" s="39" t="s">
        <v>478</v>
      </c>
      <c r="C581" s="39" t="s">
        <v>1568</v>
      </c>
      <c r="D581" s="39" t="s">
        <v>224</v>
      </c>
      <c r="E581" s="39" t="s">
        <v>1513</v>
      </c>
      <c r="F581" s="39" t="s">
        <v>481</v>
      </c>
      <c r="G581" s="39" t="s">
        <v>293</v>
      </c>
      <c r="H581" s="39" t="s">
        <v>1569</v>
      </c>
      <c r="I581" s="39" t="s">
        <v>229</v>
      </c>
    </row>
    <row r="582" ht="15.75" hidden="1" customHeight="1">
      <c r="A582" s="36">
        <v>4586543.0</v>
      </c>
      <c r="B582" s="37" t="s">
        <v>478</v>
      </c>
      <c r="C582" s="37" t="s">
        <v>1570</v>
      </c>
      <c r="D582" s="37" t="s">
        <v>224</v>
      </c>
      <c r="E582" s="37" t="s">
        <v>711</v>
      </c>
      <c r="F582" s="37" t="s">
        <v>481</v>
      </c>
      <c r="G582" s="37" t="s">
        <v>293</v>
      </c>
      <c r="H582" s="37" t="s">
        <v>1571</v>
      </c>
      <c r="I582" s="37" t="s">
        <v>229</v>
      </c>
    </row>
    <row r="583" ht="15.75" hidden="1" customHeight="1">
      <c r="A583" s="38">
        <v>5671070.0</v>
      </c>
      <c r="B583" s="39" t="s">
        <v>478</v>
      </c>
      <c r="C583" s="39" t="s">
        <v>1572</v>
      </c>
      <c r="D583" s="39" t="s">
        <v>224</v>
      </c>
      <c r="E583" s="39" t="s">
        <v>1513</v>
      </c>
      <c r="F583" s="39" t="s">
        <v>481</v>
      </c>
      <c r="G583" s="39" t="s">
        <v>293</v>
      </c>
      <c r="H583" s="39" t="s">
        <v>1573</v>
      </c>
      <c r="I583" s="39" t="s">
        <v>229</v>
      </c>
    </row>
    <row r="584" ht="15.75" hidden="1" customHeight="1">
      <c r="A584" s="36">
        <v>4588484.0</v>
      </c>
      <c r="B584" s="37" t="s">
        <v>800</v>
      </c>
      <c r="C584" s="37" t="s">
        <v>1574</v>
      </c>
      <c r="D584" s="37" t="s">
        <v>224</v>
      </c>
      <c r="E584" s="37" t="s">
        <v>802</v>
      </c>
      <c r="F584" s="37" t="s">
        <v>333</v>
      </c>
      <c r="G584" s="37" t="s">
        <v>301</v>
      </c>
      <c r="H584" s="37" t="s">
        <v>1575</v>
      </c>
      <c r="I584" s="37" t="s">
        <v>229</v>
      </c>
    </row>
    <row r="585" ht="15.75" hidden="1" customHeight="1">
      <c r="A585" s="38">
        <v>5804708.0</v>
      </c>
      <c r="B585" s="39" t="s">
        <v>478</v>
      </c>
      <c r="C585" s="39" t="s">
        <v>1576</v>
      </c>
      <c r="D585" s="39" t="s">
        <v>224</v>
      </c>
      <c r="E585" s="39" t="s">
        <v>1513</v>
      </c>
      <c r="F585" s="39" t="s">
        <v>481</v>
      </c>
      <c r="G585" s="39" t="s">
        <v>293</v>
      </c>
      <c r="H585" s="39" t="s">
        <v>1577</v>
      </c>
      <c r="I585" s="39" t="s">
        <v>229</v>
      </c>
    </row>
    <row r="586" ht="15.75" hidden="1" customHeight="1">
      <c r="A586" s="36">
        <v>4591181.0</v>
      </c>
      <c r="B586" s="37" t="s">
        <v>246</v>
      </c>
      <c r="C586" s="37" t="s">
        <v>1578</v>
      </c>
      <c r="D586" s="37" t="s">
        <v>224</v>
      </c>
      <c r="E586" s="37" t="s">
        <v>598</v>
      </c>
      <c r="F586" s="37" t="s">
        <v>249</v>
      </c>
      <c r="G586" s="37" t="s">
        <v>250</v>
      </c>
      <c r="H586" s="37" t="s">
        <v>1579</v>
      </c>
      <c r="I586" s="37" t="s">
        <v>229</v>
      </c>
    </row>
    <row r="587" ht="15.75" hidden="1" customHeight="1">
      <c r="A587" s="38">
        <v>5806707.0</v>
      </c>
      <c r="B587" s="39" t="s">
        <v>478</v>
      </c>
      <c r="C587" s="39" t="s">
        <v>1580</v>
      </c>
      <c r="D587" s="39" t="s">
        <v>224</v>
      </c>
      <c r="E587" s="39" t="s">
        <v>1513</v>
      </c>
      <c r="F587" s="39" t="s">
        <v>481</v>
      </c>
      <c r="G587" s="39" t="s">
        <v>293</v>
      </c>
      <c r="H587" s="39" t="s">
        <v>1581</v>
      </c>
      <c r="I587" s="39" t="s">
        <v>229</v>
      </c>
    </row>
    <row r="588" ht="15.75" hidden="1" customHeight="1">
      <c r="A588" s="36">
        <v>4593096.0</v>
      </c>
      <c r="B588" s="37" t="s">
        <v>120</v>
      </c>
      <c r="C588" s="37" t="s">
        <v>1582</v>
      </c>
      <c r="D588" s="37" t="s">
        <v>224</v>
      </c>
      <c r="E588" s="37" t="s">
        <v>868</v>
      </c>
      <c r="F588" s="37" t="s">
        <v>644</v>
      </c>
      <c r="G588" s="37" t="s">
        <v>3</v>
      </c>
      <c r="H588" s="37" t="s">
        <v>1583</v>
      </c>
      <c r="I588" s="37" t="s">
        <v>260</v>
      </c>
      <c r="J588" s="1">
        <v>42.0</v>
      </c>
      <c r="L588" s="40" t="s">
        <v>121</v>
      </c>
    </row>
    <row r="589" ht="15.75" hidden="1" customHeight="1">
      <c r="A589" s="38">
        <v>5868922.0</v>
      </c>
      <c r="B589" s="39" t="s">
        <v>478</v>
      </c>
      <c r="C589" s="39" t="s">
        <v>1584</v>
      </c>
      <c r="D589" s="39" t="s">
        <v>224</v>
      </c>
      <c r="E589" s="39" t="s">
        <v>1513</v>
      </c>
      <c r="F589" s="39" t="s">
        <v>481</v>
      </c>
      <c r="G589" s="39" t="s">
        <v>293</v>
      </c>
      <c r="H589" s="39" t="s">
        <v>1585</v>
      </c>
      <c r="I589" s="39" t="s">
        <v>229</v>
      </c>
    </row>
    <row r="590" ht="15.75" hidden="1" customHeight="1">
      <c r="A590" s="36">
        <v>4593276.0</v>
      </c>
      <c r="B590" s="37" t="s">
        <v>323</v>
      </c>
      <c r="C590" s="37" t="s">
        <v>1586</v>
      </c>
      <c r="D590" s="37" t="s">
        <v>224</v>
      </c>
      <c r="E590" s="37" t="s">
        <v>1328</v>
      </c>
      <c r="F590" s="37" t="s">
        <v>326</v>
      </c>
      <c r="G590" s="37" t="s">
        <v>327</v>
      </c>
      <c r="H590" s="37" t="s">
        <v>1587</v>
      </c>
      <c r="I590" s="37" t="s">
        <v>229</v>
      </c>
    </row>
    <row r="591" ht="15.75" hidden="1" customHeight="1">
      <c r="A591" s="38">
        <v>5687212.0</v>
      </c>
      <c r="B591" s="39" t="s">
        <v>478</v>
      </c>
      <c r="C591" s="39" t="s">
        <v>1588</v>
      </c>
      <c r="D591" s="39" t="s">
        <v>224</v>
      </c>
      <c r="E591" s="39" t="s">
        <v>1513</v>
      </c>
      <c r="F591" s="39" t="s">
        <v>481</v>
      </c>
      <c r="G591" s="39" t="s">
        <v>293</v>
      </c>
      <c r="H591" s="39" t="s">
        <v>1589</v>
      </c>
      <c r="I591" s="39" t="s">
        <v>229</v>
      </c>
    </row>
    <row r="592" ht="15.75" hidden="1" customHeight="1">
      <c r="A592" s="36">
        <v>4594557.0</v>
      </c>
      <c r="B592" s="37" t="s">
        <v>246</v>
      </c>
      <c r="C592" s="37" t="s">
        <v>1590</v>
      </c>
      <c r="D592" s="37" t="s">
        <v>224</v>
      </c>
      <c r="E592" s="37" t="s">
        <v>598</v>
      </c>
      <c r="F592" s="37" t="s">
        <v>249</v>
      </c>
      <c r="G592" s="37" t="s">
        <v>250</v>
      </c>
      <c r="H592" s="37" t="s">
        <v>1591</v>
      </c>
      <c r="I592" s="37" t="s">
        <v>229</v>
      </c>
    </row>
    <row r="593" ht="15.75" hidden="1" customHeight="1">
      <c r="A593" s="38">
        <v>5065480.0</v>
      </c>
      <c r="B593" s="39" t="s">
        <v>478</v>
      </c>
      <c r="C593" s="39" t="s">
        <v>1592</v>
      </c>
      <c r="D593" s="39" t="s">
        <v>224</v>
      </c>
      <c r="E593" s="39" t="s">
        <v>1513</v>
      </c>
      <c r="F593" s="39" t="s">
        <v>481</v>
      </c>
      <c r="G593" s="39" t="s">
        <v>293</v>
      </c>
      <c r="H593" s="39" t="s">
        <v>1593</v>
      </c>
      <c r="I593" s="39" t="s">
        <v>229</v>
      </c>
    </row>
    <row r="594" ht="15.75" hidden="1" customHeight="1">
      <c r="A594" s="36">
        <v>4598317.0</v>
      </c>
      <c r="B594" s="37" t="s">
        <v>514</v>
      </c>
      <c r="C594" s="37" t="s">
        <v>1594</v>
      </c>
      <c r="D594" s="37" t="s">
        <v>224</v>
      </c>
      <c r="E594" s="37" t="s">
        <v>756</v>
      </c>
      <c r="F594" s="37" t="s">
        <v>300</v>
      </c>
      <c r="G594" s="37" t="s">
        <v>301</v>
      </c>
      <c r="H594" s="37" t="s">
        <v>1595</v>
      </c>
      <c r="I594" s="37" t="s">
        <v>229</v>
      </c>
    </row>
    <row r="595" ht="15.75" hidden="1" customHeight="1">
      <c r="A595" s="38">
        <v>4705238.0</v>
      </c>
      <c r="B595" s="39" t="s">
        <v>478</v>
      </c>
      <c r="C595" s="39" t="s">
        <v>1596</v>
      </c>
      <c r="D595" s="39" t="s">
        <v>224</v>
      </c>
      <c r="E595" s="39" t="s">
        <v>1513</v>
      </c>
      <c r="F595" s="39" t="s">
        <v>481</v>
      </c>
      <c r="G595" s="39" t="s">
        <v>293</v>
      </c>
      <c r="H595" s="39" t="s">
        <v>1597</v>
      </c>
      <c r="I595" s="39" t="s">
        <v>229</v>
      </c>
    </row>
    <row r="596" ht="15.75" hidden="1" customHeight="1">
      <c r="A596" s="36">
        <v>4598318.0</v>
      </c>
      <c r="B596" s="37" t="s">
        <v>385</v>
      </c>
      <c r="C596" s="37" t="s">
        <v>1598</v>
      </c>
      <c r="D596" s="37" t="s">
        <v>224</v>
      </c>
      <c r="E596" s="37" t="s">
        <v>387</v>
      </c>
      <c r="F596" s="37" t="s">
        <v>300</v>
      </c>
      <c r="G596" s="37" t="s">
        <v>301</v>
      </c>
      <c r="H596" s="37" t="s">
        <v>1599</v>
      </c>
      <c r="I596" s="37" t="s">
        <v>229</v>
      </c>
    </row>
    <row r="597" ht="15.75" hidden="1" customHeight="1">
      <c r="A597" s="38">
        <v>5530226.0</v>
      </c>
      <c r="B597" s="39" t="s">
        <v>478</v>
      </c>
      <c r="C597" s="39" t="s">
        <v>1600</v>
      </c>
      <c r="D597" s="39" t="s">
        <v>224</v>
      </c>
      <c r="E597" s="39" t="s">
        <v>1513</v>
      </c>
      <c r="F597" s="39" t="s">
        <v>481</v>
      </c>
      <c r="G597" s="39" t="s">
        <v>293</v>
      </c>
      <c r="H597" s="39" t="s">
        <v>1601</v>
      </c>
      <c r="I597" s="39" t="s">
        <v>229</v>
      </c>
    </row>
    <row r="598" ht="15.75" hidden="1" customHeight="1">
      <c r="A598" s="36">
        <v>4598327.0</v>
      </c>
      <c r="B598" s="37" t="s">
        <v>1602</v>
      </c>
      <c r="C598" s="37" t="s">
        <v>1603</v>
      </c>
      <c r="D598" s="37" t="s">
        <v>224</v>
      </c>
      <c r="E598" s="37" t="s">
        <v>1604</v>
      </c>
      <c r="F598" s="37" t="s">
        <v>540</v>
      </c>
      <c r="G598" s="37" t="s">
        <v>541</v>
      </c>
      <c r="H598" s="37" t="s">
        <v>1605</v>
      </c>
      <c r="I598" s="37" t="s">
        <v>229</v>
      </c>
    </row>
    <row r="599" ht="15.75" hidden="1" customHeight="1">
      <c r="A599" s="38">
        <v>4601920.0</v>
      </c>
      <c r="B599" s="39" t="s">
        <v>514</v>
      </c>
      <c r="C599" s="39" t="s">
        <v>1606</v>
      </c>
      <c r="D599" s="39" t="s">
        <v>224</v>
      </c>
      <c r="E599" s="39" t="s">
        <v>387</v>
      </c>
      <c r="F599" s="39" t="s">
        <v>300</v>
      </c>
      <c r="G599" s="39" t="s">
        <v>301</v>
      </c>
      <c r="H599" s="39" t="s">
        <v>1607</v>
      </c>
      <c r="I599" s="39" t="s">
        <v>229</v>
      </c>
    </row>
    <row r="600" ht="15.75" hidden="1" customHeight="1">
      <c r="A600" s="36">
        <v>4601934.0</v>
      </c>
      <c r="B600" s="37" t="s">
        <v>853</v>
      </c>
      <c r="C600" s="37" t="s">
        <v>1608</v>
      </c>
      <c r="D600" s="37" t="s">
        <v>224</v>
      </c>
      <c r="E600" s="37" t="s">
        <v>855</v>
      </c>
      <c r="F600" s="37" t="s">
        <v>249</v>
      </c>
      <c r="G600" s="37" t="s">
        <v>250</v>
      </c>
      <c r="H600" s="37" t="s">
        <v>1609</v>
      </c>
      <c r="I600" s="37" t="s">
        <v>229</v>
      </c>
    </row>
    <row r="601" ht="15.75" hidden="1" customHeight="1">
      <c r="A601" s="38">
        <v>4602868.0</v>
      </c>
      <c r="B601" s="39" t="s">
        <v>316</v>
      </c>
      <c r="C601" s="39" t="s">
        <v>1610</v>
      </c>
      <c r="D601" s="39" t="s">
        <v>224</v>
      </c>
      <c r="E601" s="39" t="s">
        <v>761</v>
      </c>
      <c r="F601" s="39" t="s">
        <v>293</v>
      </c>
      <c r="G601" s="39" t="s">
        <v>319</v>
      </c>
      <c r="H601" s="39" t="s">
        <v>1611</v>
      </c>
      <c r="I601" s="39" t="s">
        <v>229</v>
      </c>
    </row>
    <row r="602" ht="15.75" hidden="1" customHeight="1">
      <c r="A602" s="36">
        <v>4603469.0</v>
      </c>
      <c r="B602" s="37" t="s">
        <v>246</v>
      </c>
      <c r="C602" s="37" t="s">
        <v>1612</v>
      </c>
      <c r="D602" s="37" t="s">
        <v>224</v>
      </c>
      <c r="E602" s="37" t="s">
        <v>598</v>
      </c>
      <c r="F602" s="37" t="s">
        <v>249</v>
      </c>
      <c r="G602" s="37" t="s">
        <v>250</v>
      </c>
      <c r="H602" s="37" t="s">
        <v>1613</v>
      </c>
      <c r="I602" s="37" t="s">
        <v>229</v>
      </c>
    </row>
    <row r="603" ht="15.75" hidden="1" customHeight="1">
      <c r="A603" s="38">
        <v>5149546.0</v>
      </c>
      <c r="B603" s="39" t="s">
        <v>297</v>
      </c>
      <c r="C603" s="39" t="s">
        <v>1614</v>
      </c>
      <c r="D603" s="39" t="s">
        <v>224</v>
      </c>
      <c r="E603" s="39" t="s">
        <v>299</v>
      </c>
      <c r="F603" s="39" t="s">
        <v>300</v>
      </c>
      <c r="G603" s="39" t="s">
        <v>301</v>
      </c>
      <c r="H603" s="39" t="s">
        <v>1615</v>
      </c>
      <c r="I603" s="39" t="s">
        <v>229</v>
      </c>
    </row>
    <row r="604" ht="15.75" hidden="1" customHeight="1">
      <c r="A604" s="36">
        <v>4607099.0</v>
      </c>
      <c r="B604" s="37" t="s">
        <v>374</v>
      </c>
      <c r="C604" s="37" t="s">
        <v>1616</v>
      </c>
      <c r="D604" s="37" t="s">
        <v>224</v>
      </c>
      <c r="E604" s="37" t="s">
        <v>959</v>
      </c>
      <c r="F604" s="37" t="s">
        <v>377</v>
      </c>
      <c r="G604" s="37" t="s">
        <v>327</v>
      </c>
      <c r="H604" s="37" t="s">
        <v>1617</v>
      </c>
      <c r="I604" s="37" t="s">
        <v>229</v>
      </c>
    </row>
    <row r="605" ht="15.75" hidden="1" customHeight="1">
      <c r="A605" s="38">
        <v>4610924.0</v>
      </c>
      <c r="B605" s="39" t="s">
        <v>835</v>
      </c>
      <c r="C605" s="39" t="s">
        <v>1618</v>
      </c>
      <c r="D605" s="39" t="s">
        <v>224</v>
      </c>
      <c r="E605" s="39" t="s">
        <v>1040</v>
      </c>
      <c r="F605" s="39" t="s">
        <v>377</v>
      </c>
      <c r="G605" s="39" t="s">
        <v>327</v>
      </c>
      <c r="H605" s="39" t="s">
        <v>1619</v>
      </c>
      <c r="I605" s="39" t="s">
        <v>229</v>
      </c>
    </row>
    <row r="606" ht="15.75" hidden="1" customHeight="1">
      <c r="A606" s="36">
        <v>4611835.0</v>
      </c>
      <c r="B606" s="37" t="s">
        <v>478</v>
      </c>
      <c r="C606" s="37" t="s">
        <v>1620</v>
      </c>
      <c r="D606" s="37" t="s">
        <v>234</v>
      </c>
      <c r="E606" s="37" t="s">
        <v>711</v>
      </c>
      <c r="F606" s="37" t="s">
        <v>481</v>
      </c>
      <c r="G606" s="37" t="s">
        <v>293</v>
      </c>
      <c r="H606" s="37" t="s">
        <v>1621</v>
      </c>
      <c r="I606" s="37" t="s">
        <v>229</v>
      </c>
    </row>
    <row r="607" ht="15.75" hidden="1" customHeight="1">
      <c r="A607" s="38">
        <v>4616138.0</v>
      </c>
      <c r="B607" s="39" t="s">
        <v>738</v>
      </c>
      <c r="C607" s="39" t="s">
        <v>1622</v>
      </c>
      <c r="D607" s="39" t="s">
        <v>224</v>
      </c>
      <c r="E607" s="39" t="s">
        <v>1510</v>
      </c>
      <c r="F607" s="39" t="s">
        <v>533</v>
      </c>
      <c r="G607" s="39" t="s">
        <v>250</v>
      </c>
      <c r="H607" s="39" t="s">
        <v>1623</v>
      </c>
      <c r="I607" s="39" t="s">
        <v>229</v>
      </c>
    </row>
    <row r="608" ht="15.75" hidden="1" customHeight="1">
      <c r="A608" s="36">
        <v>5528131.0</v>
      </c>
      <c r="B608" s="37" t="s">
        <v>297</v>
      </c>
      <c r="C608" s="37" t="s">
        <v>1624</v>
      </c>
      <c r="D608" s="37" t="s">
        <v>224</v>
      </c>
      <c r="E608" s="37" t="s">
        <v>299</v>
      </c>
      <c r="F608" s="37" t="s">
        <v>300</v>
      </c>
      <c r="G608" s="37" t="s">
        <v>301</v>
      </c>
      <c r="H608" s="37" t="s">
        <v>1625</v>
      </c>
      <c r="I608" s="37" t="s">
        <v>229</v>
      </c>
    </row>
    <row r="609" ht="15.75" hidden="1" customHeight="1">
      <c r="A609" s="38">
        <v>4616256.0</v>
      </c>
      <c r="B609" s="39" t="s">
        <v>835</v>
      </c>
      <c r="C609" s="39" t="s">
        <v>1626</v>
      </c>
      <c r="D609" s="39" t="s">
        <v>224</v>
      </c>
      <c r="E609" s="39" t="s">
        <v>1040</v>
      </c>
      <c r="F609" s="39" t="s">
        <v>377</v>
      </c>
      <c r="G609" s="39" t="s">
        <v>327</v>
      </c>
      <c r="H609" s="39" t="s">
        <v>1627</v>
      </c>
      <c r="I609" s="39" t="s">
        <v>229</v>
      </c>
    </row>
    <row r="610" ht="15.75" hidden="1" customHeight="1">
      <c r="A610" s="36">
        <v>5134627.0</v>
      </c>
      <c r="B610" s="37" t="s">
        <v>821</v>
      </c>
      <c r="C610" s="37" t="s">
        <v>1628</v>
      </c>
      <c r="D610" s="37" t="s">
        <v>224</v>
      </c>
      <c r="E610" s="37" t="s">
        <v>299</v>
      </c>
      <c r="F610" s="37" t="s">
        <v>300</v>
      </c>
      <c r="G610" s="37" t="s">
        <v>301</v>
      </c>
      <c r="H610" s="37" t="s">
        <v>1629</v>
      </c>
      <c r="I610" s="37" t="s">
        <v>229</v>
      </c>
    </row>
    <row r="611" ht="15.75" hidden="1" customHeight="1">
      <c r="A611" s="38">
        <v>4616259.0</v>
      </c>
      <c r="B611" s="39" t="s">
        <v>316</v>
      </c>
      <c r="C611" s="39" t="s">
        <v>1630</v>
      </c>
      <c r="D611" s="39" t="s">
        <v>224</v>
      </c>
      <c r="E611" s="39" t="s">
        <v>796</v>
      </c>
      <c r="F611" s="39" t="s">
        <v>293</v>
      </c>
      <c r="G611" s="39" t="s">
        <v>319</v>
      </c>
      <c r="H611" s="39" t="s">
        <v>1631</v>
      </c>
      <c r="I611" s="39" t="s">
        <v>229</v>
      </c>
    </row>
    <row r="612" ht="15.75" hidden="1" customHeight="1">
      <c r="A612" s="36">
        <v>4628119.0</v>
      </c>
      <c r="B612" s="37" t="s">
        <v>297</v>
      </c>
      <c r="C612" s="37" t="s">
        <v>1632</v>
      </c>
      <c r="D612" s="37" t="s">
        <v>224</v>
      </c>
      <c r="E612" s="37" t="s">
        <v>299</v>
      </c>
      <c r="F612" s="37" t="s">
        <v>300</v>
      </c>
      <c r="G612" s="37" t="s">
        <v>301</v>
      </c>
      <c r="H612" s="37" t="s">
        <v>1633</v>
      </c>
      <c r="I612" s="37" t="s">
        <v>229</v>
      </c>
    </row>
    <row r="613" ht="15.75" hidden="1" customHeight="1">
      <c r="A613" s="38">
        <v>4616615.0</v>
      </c>
      <c r="B613" s="39" t="s">
        <v>537</v>
      </c>
      <c r="C613" s="39" t="s">
        <v>1634</v>
      </c>
      <c r="D613" s="39" t="s">
        <v>224</v>
      </c>
      <c r="E613" s="39" t="s">
        <v>539</v>
      </c>
      <c r="F613" s="39" t="s">
        <v>540</v>
      </c>
      <c r="G613" s="39" t="s">
        <v>541</v>
      </c>
      <c r="H613" s="39" t="s">
        <v>1635</v>
      </c>
      <c r="I613" s="39" t="s">
        <v>229</v>
      </c>
    </row>
    <row r="614" ht="15.75" hidden="1" customHeight="1">
      <c r="A614" s="36">
        <v>4705209.0</v>
      </c>
      <c r="B614" s="37" t="s">
        <v>297</v>
      </c>
      <c r="C614" s="37" t="s">
        <v>1636</v>
      </c>
      <c r="D614" s="37" t="s">
        <v>224</v>
      </c>
      <c r="E614" s="37" t="s">
        <v>299</v>
      </c>
      <c r="F614" s="37" t="s">
        <v>300</v>
      </c>
      <c r="G614" s="37" t="s">
        <v>301</v>
      </c>
      <c r="H614" s="37" t="s">
        <v>1637</v>
      </c>
      <c r="I614" s="37" t="s">
        <v>229</v>
      </c>
    </row>
    <row r="615" ht="15.75" hidden="1" customHeight="1">
      <c r="A615" s="38">
        <v>4617906.0</v>
      </c>
      <c r="B615" s="39" t="s">
        <v>485</v>
      </c>
      <c r="C615" s="39" t="s">
        <v>1638</v>
      </c>
      <c r="D615" s="39" t="s">
        <v>224</v>
      </c>
      <c r="E615" s="39" t="s">
        <v>672</v>
      </c>
      <c r="F615" s="39" t="s">
        <v>470</v>
      </c>
      <c r="G615" s="39" t="s">
        <v>327</v>
      </c>
      <c r="H615" s="39" t="s">
        <v>1639</v>
      </c>
      <c r="I615" s="39" t="s">
        <v>229</v>
      </c>
    </row>
    <row r="616" ht="15.75" hidden="1" customHeight="1">
      <c r="A616" s="36">
        <v>5292424.0</v>
      </c>
      <c r="B616" s="37" t="s">
        <v>821</v>
      </c>
      <c r="C616" s="37" t="s">
        <v>1640</v>
      </c>
      <c r="D616" s="37" t="s">
        <v>224</v>
      </c>
      <c r="E616" s="37" t="s">
        <v>299</v>
      </c>
      <c r="F616" s="37" t="s">
        <v>300</v>
      </c>
      <c r="G616" s="37" t="s">
        <v>301</v>
      </c>
      <c r="H616" s="37" t="s">
        <v>1641</v>
      </c>
      <c r="I616" s="37" t="s">
        <v>229</v>
      </c>
    </row>
    <row r="617" ht="15.75" hidden="1" customHeight="1">
      <c r="A617" s="38">
        <v>4617908.0</v>
      </c>
      <c r="B617" s="39" t="s">
        <v>526</v>
      </c>
      <c r="C617" s="39" t="s">
        <v>1642</v>
      </c>
      <c r="D617" s="39" t="s">
        <v>224</v>
      </c>
      <c r="E617" s="39" t="s">
        <v>649</v>
      </c>
      <c r="F617" s="39" t="s">
        <v>326</v>
      </c>
      <c r="G617" s="39" t="s">
        <v>327</v>
      </c>
      <c r="H617" s="39" t="s">
        <v>1643</v>
      </c>
      <c r="I617" s="39" t="s">
        <v>229</v>
      </c>
    </row>
    <row r="618" ht="15.75" hidden="1" customHeight="1">
      <c r="A618" s="36">
        <v>4779635.0</v>
      </c>
      <c r="B618" s="37" t="s">
        <v>297</v>
      </c>
      <c r="C618" s="37" t="s">
        <v>1644</v>
      </c>
      <c r="D618" s="37" t="s">
        <v>224</v>
      </c>
      <c r="E618" s="37" t="s">
        <v>299</v>
      </c>
      <c r="F618" s="37" t="s">
        <v>300</v>
      </c>
      <c r="G618" s="37" t="s">
        <v>301</v>
      </c>
      <c r="H618" s="37" t="s">
        <v>1645</v>
      </c>
      <c r="I618" s="37" t="s">
        <v>229</v>
      </c>
    </row>
    <row r="619" ht="15.75" hidden="1" customHeight="1">
      <c r="A619" s="38">
        <v>4625294.0</v>
      </c>
      <c r="B619" s="39" t="s">
        <v>567</v>
      </c>
      <c r="C619" s="39" t="s">
        <v>1646</v>
      </c>
      <c r="D619" s="39" t="s">
        <v>224</v>
      </c>
      <c r="E619" s="39" t="s">
        <v>403</v>
      </c>
      <c r="F619" s="39" t="s">
        <v>377</v>
      </c>
      <c r="G619" s="39" t="s">
        <v>327</v>
      </c>
      <c r="H619" s="39" t="s">
        <v>1647</v>
      </c>
      <c r="I619" s="39" t="s">
        <v>229</v>
      </c>
    </row>
    <row r="620" ht="15.75" hidden="1" customHeight="1">
      <c r="A620" s="36">
        <v>4872126.0</v>
      </c>
      <c r="B620" s="37" t="s">
        <v>821</v>
      </c>
      <c r="C620" s="37" t="s">
        <v>1648</v>
      </c>
      <c r="D620" s="37" t="s">
        <v>224</v>
      </c>
      <c r="E620" s="37" t="s">
        <v>299</v>
      </c>
      <c r="F620" s="37" t="s">
        <v>300</v>
      </c>
      <c r="G620" s="37" t="s">
        <v>301</v>
      </c>
      <c r="H620" s="37" t="s">
        <v>1649</v>
      </c>
      <c r="I620" s="37" t="s">
        <v>229</v>
      </c>
    </row>
    <row r="621" ht="15.75" hidden="1" customHeight="1">
      <c r="A621" s="38">
        <v>5133317.0</v>
      </c>
      <c r="B621" s="39" t="s">
        <v>297</v>
      </c>
      <c r="C621" s="39" t="s">
        <v>1650</v>
      </c>
      <c r="D621" s="39" t="s">
        <v>224</v>
      </c>
      <c r="E621" s="39" t="s">
        <v>299</v>
      </c>
      <c r="F621" s="39" t="s">
        <v>300</v>
      </c>
      <c r="G621" s="39" t="s">
        <v>301</v>
      </c>
      <c r="H621" s="39" t="s">
        <v>1651</v>
      </c>
      <c r="I621" s="39" t="s">
        <v>229</v>
      </c>
    </row>
    <row r="622" ht="15.75" hidden="1" customHeight="1">
      <c r="A622" s="36">
        <v>4630822.0</v>
      </c>
      <c r="B622" s="37" t="s">
        <v>847</v>
      </c>
      <c r="C622" s="37" t="s">
        <v>1652</v>
      </c>
      <c r="D622" s="37" t="s">
        <v>224</v>
      </c>
      <c r="E622" s="37" t="s">
        <v>1418</v>
      </c>
      <c r="F622" s="37" t="s">
        <v>333</v>
      </c>
      <c r="G622" s="37" t="s">
        <v>301</v>
      </c>
      <c r="H622" s="37" t="s">
        <v>1653</v>
      </c>
      <c r="I622" s="37" t="s">
        <v>229</v>
      </c>
    </row>
    <row r="623" ht="15.75" hidden="1" customHeight="1">
      <c r="A623" s="38">
        <v>4631861.0</v>
      </c>
      <c r="B623" s="39" t="s">
        <v>222</v>
      </c>
      <c r="C623" s="39" t="s">
        <v>1654</v>
      </c>
      <c r="D623" s="39" t="s">
        <v>234</v>
      </c>
      <c r="E623" s="39" t="s">
        <v>1127</v>
      </c>
      <c r="F623" s="39" t="s">
        <v>226</v>
      </c>
      <c r="G623" s="39" t="s">
        <v>227</v>
      </c>
      <c r="H623" s="39" t="s">
        <v>1655</v>
      </c>
      <c r="I623" s="39" t="s">
        <v>229</v>
      </c>
    </row>
    <row r="624" ht="15.75" hidden="1" customHeight="1">
      <c r="A624" s="36">
        <v>4632037.0</v>
      </c>
      <c r="B624" s="37" t="s">
        <v>847</v>
      </c>
      <c r="C624" s="37" t="s">
        <v>1656</v>
      </c>
      <c r="D624" s="37" t="s">
        <v>224</v>
      </c>
      <c r="E624" s="37" t="s">
        <v>849</v>
      </c>
      <c r="F624" s="37" t="s">
        <v>333</v>
      </c>
      <c r="G624" s="37" t="s">
        <v>301</v>
      </c>
      <c r="H624" s="37" t="s">
        <v>1657</v>
      </c>
      <c r="I624" s="37" t="s">
        <v>229</v>
      </c>
    </row>
    <row r="625" ht="15.75" hidden="1" customHeight="1">
      <c r="A625" s="38">
        <v>4898376.0</v>
      </c>
      <c r="B625" s="39" t="s">
        <v>297</v>
      </c>
      <c r="C625" s="39" t="s">
        <v>1658</v>
      </c>
      <c r="D625" s="39" t="s">
        <v>224</v>
      </c>
      <c r="E625" s="39" t="s">
        <v>299</v>
      </c>
      <c r="F625" s="39" t="s">
        <v>300</v>
      </c>
      <c r="G625" s="39" t="s">
        <v>301</v>
      </c>
      <c r="H625" s="39" t="s">
        <v>1659</v>
      </c>
      <c r="I625" s="39" t="s">
        <v>229</v>
      </c>
    </row>
    <row r="626" ht="15.75" hidden="1" customHeight="1">
      <c r="A626" s="36">
        <v>4646364.0</v>
      </c>
      <c r="B626" s="37" t="s">
        <v>907</v>
      </c>
      <c r="C626" s="37" t="s">
        <v>1660</v>
      </c>
      <c r="D626" s="37" t="s">
        <v>224</v>
      </c>
      <c r="E626" s="37" t="s">
        <v>443</v>
      </c>
      <c r="F626" s="37" t="s">
        <v>257</v>
      </c>
      <c r="G626" s="37" t="s">
        <v>258</v>
      </c>
      <c r="H626" s="37" t="s">
        <v>1661</v>
      </c>
      <c r="I626" s="37" t="s">
        <v>260</v>
      </c>
    </row>
    <row r="627" ht="15.75" hidden="1" customHeight="1">
      <c r="A627" s="38">
        <v>4647256.0</v>
      </c>
      <c r="B627" s="39" t="s">
        <v>478</v>
      </c>
      <c r="C627" s="39" t="s">
        <v>1662</v>
      </c>
      <c r="D627" s="39" t="s">
        <v>224</v>
      </c>
      <c r="E627" s="39" t="s">
        <v>480</v>
      </c>
      <c r="F627" s="39" t="s">
        <v>481</v>
      </c>
      <c r="G627" s="39" t="s">
        <v>293</v>
      </c>
      <c r="H627" s="39" t="s">
        <v>1663</v>
      </c>
      <c r="I627" s="39" t="s">
        <v>229</v>
      </c>
    </row>
    <row r="628" ht="15.75" hidden="1" customHeight="1">
      <c r="A628" s="36">
        <v>5793961.0</v>
      </c>
      <c r="B628" s="37" t="s">
        <v>416</v>
      </c>
      <c r="C628" s="37" t="s">
        <v>1664</v>
      </c>
      <c r="D628" s="37" t="s">
        <v>224</v>
      </c>
      <c r="E628" s="37" t="s">
        <v>1237</v>
      </c>
      <c r="F628" s="37" t="s">
        <v>421</v>
      </c>
      <c r="G628" s="37" t="s">
        <v>227</v>
      </c>
      <c r="H628" s="37" t="s">
        <v>1665</v>
      </c>
      <c r="I628" s="37" t="s">
        <v>260</v>
      </c>
    </row>
    <row r="629" ht="15.75" hidden="1" customHeight="1">
      <c r="A629" s="38">
        <v>4647279.0</v>
      </c>
      <c r="B629" s="39" t="s">
        <v>522</v>
      </c>
      <c r="C629" s="39" t="s">
        <v>1666</v>
      </c>
      <c r="D629" s="39" t="s">
        <v>224</v>
      </c>
      <c r="E629" s="39" t="s">
        <v>658</v>
      </c>
      <c r="F629" s="39" t="s">
        <v>470</v>
      </c>
      <c r="G629" s="39" t="s">
        <v>327</v>
      </c>
      <c r="H629" s="39" t="s">
        <v>1667</v>
      </c>
      <c r="I629" s="39" t="s">
        <v>229</v>
      </c>
    </row>
    <row r="630" ht="15.75" hidden="1" customHeight="1">
      <c r="A630" s="36">
        <v>5333558.0</v>
      </c>
      <c r="B630" s="37" t="s">
        <v>416</v>
      </c>
      <c r="C630" s="37" t="s">
        <v>1668</v>
      </c>
      <c r="D630" s="37" t="s">
        <v>224</v>
      </c>
      <c r="E630" s="37" t="s">
        <v>1237</v>
      </c>
      <c r="F630" s="37" t="s">
        <v>421</v>
      </c>
      <c r="G630" s="37" t="s">
        <v>227</v>
      </c>
      <c r="H630" s="37" t="s">
        <v>1669</v>
      </c>
      <c r="I630" s="37" t="s">
        <v>260</v>
      </c>
    </row>
    <row r="631" ht="15.75" hidden="1" customHeight="1">
      <c r="A631" s="38">
        <v>4647291.0</v>
      </c>
      <c r="B631" s="39" t="s">
        <v>695</v>
      </c>
      <c r="C631" s="39" t="s">
        <v>1670</v>
      </c>
      <c r="D631" s="39" t="s">
        <v>224</v>
      </c>
      <c r="E631" s="39" t="s">
        <v>697</v>
      </c>
      <c r="F631" s="39" t="s">
        <v>698</v>
      </c>
      <c r="G631" s="39" t="s">
        <v>541</v>
      </c>
      <c r="H631" s="39" t="s">
        <v>1671</v>
      </c>
      <c r="I631" s="39" t="s">
        <v>229</v>
      </c>
    </row>
    <row r="632" ht="15.75" hidden="1" customHeight="1">
      <c r="A632" s="36">
        <v>4647296.0</v>
      </c>
      <c r="B632" s="37" t="s">
        <v>316</v>
      </c>
      <c r="C632" s="37" t="s">
        <v>1672</v>
      </c>
      <c r="D632" s="37" t="s">
        <v>224</v>
      </c>
      <c r="E632" s="37" t="s">
        <v>1453</v>
      </c>
      <c r="F632" s="37" t="s">
        <v>293</v>
      </c>
      <c r="G632" s="37" t="s">
        <v>319</v>
      </c>
      <c r="H632" s="37" t="s">
        <v>1673</v>
      </c>
      <c r="I632" s="37" t="s">
        <v>229</v>
      </c>
    </row>
    <row r="633" ht="15.75" hidden="1" customHeight="1">
      <c r="A633" s="38">
        <v>4788510.0</v>
      </c>
      <c r="B633" s="39" t="s">
        <v>416</v>
      </c>
      <c r="C633" s="39" t="s">
        <v>1674</v>
      </c>
      <c r="D633" s="39" t="s">
        <v>234</v>
      </c>
      <c r="E633" s="39" t="s">
        <v>1237</v>
      </c>
      <c r="F633" s="39" t="s">
        <v>421</v>
      </c>
      <c r="G633" s="39" t="s">
        <v>227</v>
      </c>
      <c r="H633" s="39" t="s">
        <v>1675</v>
      </c>
      <c r="I633" s="39" t="s">
        <v>260</v>
      </c>
    </row>
    <row r="634" ht="15.75" hidden="1" customHeight="1">
      <c r="A634" s="36">
        <v>5370521.0</v>
      </c>
      <c r="B634" s="37" t="s">
        <v>1676</v>
      </c>
      <c r="C634" s="37" t="s">
        <v>1677</v>
      </c>
      <c r="D634" s="37" t="s">
        <v>224</v>
      </c>
      <c r="E634" s="37" t="s">
        <v>1237</v>
      </c>
      <c r="F634" s="37" t="s">
        <v>421</v>
      </c>
      <c r="G634" s="37" t="s">
        <v>227</v>
      </c>
      <c r="H634" s="37" t="s">
        <v>1678</v>
      </c>
      <c r="I634" s="37" t="s">
        <v>260</v>
      </c>
    </row>
    <row r="635" ht="15.75" hidden="1" customHeight="1">
      <c r="A635" s="38">
        <v>4647391.0</v>
      </c>
      <c r="B635" s="39" t="s">
        <v>485</v>
      </c>
      <c r="C635" s="39" t="s">
        <v>1679</v>
      </c>
      <c r="D635" s="39" t="s">
        <v>224</v>
      </c>
      <c r="E635" s="39" t="s">
        <v>672</v>
      </c>
      <c r="F635" s="39" t="s">
        <v>470</v>
      </c>
      <c r="G635" s="39" t="s">
        <v>327</v>
      </c>
      <c r="H635" s="39" t="s">
        <v>1680</v>
      </c>
      <c r="I635" s="39" t="s">
        <v>229</v>
      </c>
    </row>
    <row r="636" ht="15.75" hidden="1" customHeight="1">
      <c r="A636" s="36">
        <v>5698090.0</v>
      </c>
      <c r="B636" s="37" t="s">
        <v>416</v>
      </c>
      <c r="C636" s="37" t="s">
        <v>1681</v>
      </c>
      <c r="D636" s="37" t="s">
        <v>224</v>
      </c>
      <c r="E636" s="37" t="s">
        <v>1237</v>
      </c>
      <c r="F636" s="37" t="s">
        <v>421</v>
      </c>
      <c r="G636" s="37" t="s">
        <v>227</v>
      </c>
      <c r="H636" s="37" t="s">
        <v>1682</v>
      </c>
      <c r="I636" s="37" t="s">
        <v>260</v>
      </c>
    </row>
    <row r="637" ht="15.75" hidden="1" customHeight="1">
      <c r="A637" s="38">
        <v>4647519.0</v>
      </c>
      <c r="B637" s="39" t="s">
        <v>1186</v>
      </c>
      <c r="C637" s="39" t="s">
        <v>1683</v>
      </c>
      <c r="D637" s="39" t="s">
        <v>224</v>
      </c>
      <c r="E637" s="39" t="s">
        <v>1188</v>
      </c>
      <c r="F637" s="39" t="s">
        <v>242</v>
      </c>
      <c r="G637" s="39" t="s">
        <v>227</v>
      </c>
      <c r="H637" s="39" t="s">
        <v>1684</v>
      </c>
      <c r="I637" s="39" t="s">
        <v>229</v>
      </c>
    </row>
    <row r="638" ht="15.75" hidden="1" customHeight="1">
      <c r="A638" s="36">
        <v>5049543.0</v>
      </c>
      <c r="B638" s="37" t="s">
        <v>416</v>
      </c>
      <c r="C638" s="37" t="s">
        <v>1685</v>
      </c>
      <c r="D638" s="37" t="s">
        <v>224</v>
      </c>
      <c r="E638" s="37" t="s">
        <v>1237</v>
      </c>
      <c r="F638" s="37" t="s">
        <v>421</v>
      </c>
      <c r="G638" s="37" t="s">
        <v>227</v>
      </c>
      <c r="H638" s="37" t="s">
        <v>1686</v>
      </c>
      <c r="I638" s="37" t="s">
        <v>260</v>
      </c>
    </row>
    <row r="639" ht="15.75" hidden="1" customHeight="1">
      <c r="A639" s="38">
        <v>4647654.0</v>
      </c>
      <c r="B639" s="39" t="s">
        <v>813</v>
      </c>
      <c r="C639" s="39" t="s">
        <v>1687</v>
      </c>
      <c r="D639" s="39" t="s">
        <v>224</v>
      </c>
      <c r="E639" s="39" t="s">
        <v>1562</v>
      </c>
      <c r="F639" s="39" t="s">
        <v>679</v>
      </c>
      <c r="G639" s="39" t="s">
        <v>301</v>
      </c>
      <c r="H639" s="39" t="s">
        <v>1688</v>
      </c>
      <c r="I639" s="39" t="s">
        <v>229</v>
      </c>
    </row>
    <row r="640" ht="15.75" hidden="1" customHeight="1">
      <c r="A640" s="36">
        <v>5070367.0</v>
      </c>
      <c r="B640" s="37" t="s">
        <v>1676</v>
      </c>
      <c r="C640" s="37" t="s">
        <v>1689</v>
      </c>
      <c r="D640" s="37" t="s">
        <v>224</v>
      </c>
      <c r="E640" s="37" t="s">
        <v>1237</v>
      </c>
      <c r="F640" s="37" t="s">
        <v>421</v>
      </c>
      <c r="G640" s="37" t="s">
        <v>227</v>
      </c>
      <c r="H640" s="37" t="s">
        <v>1690</v>
      </c>
      <c r="I640" s="37" t="s">
        <v>260</v>
      </c>
    </row>
    <row r="641" ht="15.75" hidden="1" customHeight="1">
      <c r="A641" s="38">
        <v>4648479.0</v>
      </c>
      <c r="B641" s="39" t="s">
        <v>316</v>
      </c>
      <c r="C641" s="39" t="s">
        <v>1691</v>
      </c>
      <c r="D641" s="39" t="s">
        <v>224</v>
      </c>
      <c r="E641" s="39" t="s">
        <v>761</v>
      </c>
      <c r="F641" s="39" t="s">
        <v>293</v>
      </c>
      <c r="G641" s="39" t="s">
        <v>319</v>
      </c>
      <c r="H641" s="39" t="s">
        <v>1692</v>
      </c>
      <c r="I641" s="39" t="s">
        <v>229</v>
      </c>
    </row>
    <row r="642" ht="15.75" hidden="1" customHeight="1">
      <c r="A642" s="36">
        <v>5975841.0</v>
      </c>
      <c r="B642" s="37" t="s">
        <v>416</v>
      </c>
      <c r="C642" s="37" t="s">
        <v>1693</v>
      </c>
      <c r="D642" s="37" t="s">
        <v>224</v>
      </c>
      <c r="E642" s="37" t="s">
        <v>1237</v>
      </c>
      <c r="F642" s="37" t="s">
        <v>421</v>
      </c>
      <c r="G642" s="37" t="s">
        <v>227</v>
      </c>
      <c r="H642" s="37" t="s">
        <v>1694</v>
      </c>
      <c r="I642" s="37" t="s">
        <v>260</v>
      </c>
    </row>
    <row r="643" ht="15.75" hidden="1" customHeight="1">
      <c r="A643" s="38">
        <v>4648498.0</v>
      </c>
      <c r="B643" s="39" t="s">
        <v>1695</v>
      </c>
      <c r="C643" s="39" t="s">
        <v>1696</v>
      </c>
      <c r="D643" s="39" t="s">
        <v>224</v>
      </c>
      <c r="E643" s="39" t="s">
        <v>1697</v>
      </c>
      <c r="F643" s="39" t="s">
        <v>698</v>
      </c>
      <c r="G643" s="39" t="s">
        <v>541</v>
      </c>
      <c r="H643" s="39" t="s">
        <v>1698</v>
      </c>
      <c r="I643" s="39" t="s">
        <v>229</v>
      </c>
    </row>
    <row r="644" ht="15.75" hidden="1" customHeight="1">
      <c r="A644" s="36">
        <v>5316639.0</v>
      </c>
      <c r="B644" s="37" t="s">
        <v>416</v>
      </c>
      <c r="C644" s="37" t="s">
        <v>1699</v>
      </c>
      <c r="D644" s="37" t="s">
        <v>224</v>
      </c>
      <c r="E644" s="37" t="s">
        <v>1237</v>
      </c>
      <c r="F644" s="37" t="s">
        <v>421</v>
      </c>
      <c r="G644" s="37" t="s">
        <v>227</v>
      </c>
      <c r="H644" s="37" t="s">
        <v>1700</v>
      </c>
      <c r="I644" s="37" t="s">
        <v>260</v>
      </c>
    </row>
    <row r="645" ht="15.75" hidden="1" customHeight="1">
      <c r="A645" s="38">
        <v>4648749.0</v>
      </c>
      <c r="B645" s="39" t="s">
        <v>412</v>
      </c>
      <c r="C645" s="39" t="s">
        <v>1701</v>
      </c>
      <c r="D645" s="39" t="s">
        <v>224</v>
      </c>
      <c r="E645" s="39" t="s">
        <v>430</v>
      </c>
      <c r="F645" s="39" t="s">
        <v>3</v>
      </c>
      <c r="G645" s="39" t="s">
        <v>3</v>
      </c>
      <c r="H645" s="39" t="s">
        <v>1702</v>
      </c>
      <c r="I645" s="39" t="s">
        <v>260</v>
      </c>
      <c r="J645" s="1">
        <v>42.0</v>
      </c>
      <c r="L645" s="40" t="s">
        <v>120</v>
      </c>
    </row>
    <row r="646" ht="15.75" hidden="1" customHeight="1">
      <c r="A646" s="36">
        <v>5972503.0</v>
      </c>
      <c r="B646" s="37" t="s">
        <v>416</v>
      </c>
      <c r="C646" s="37" t="s">
        <v>1703</v>
      </c>
      <c r="D646" s="37" t="s">
        <v>224</v>
      </c>
      <c r="E646" s="37" t="s">
        <v>1237</v>
      </c>
      <c r="F646" s="37" t="s">
        <v>421</v>
      </c>
      <c r="G646" s="37" t="s">
        <v>227</v>
      </c>
      <c r="H646" s="37" t="s">
        <v>1704</v>
      </c>
      <c r="I646" s="37" t="s">
        <v>260</v>
      </c>
    </row>
    <row r="647" ht="15.75" hidden="1" customHeight="1">
      <c r="A647" s="38">
        <v>4654319.0</v>
      </c>
      <c r="B647" s="39" t="s">
        <v>986</v>
      </c>
      <c r="C647" s="39" t="s">
        <v>1705</v>
      </c>
      <c r="D647" s="39" t="s">
        <v>224</v>
      </c>
      <c r="E647" s="39" t="s">
        <v>1002</v>
      </c>
      <c r="F647" s="39" t="s">
        <v>679</v>
      </c>
      <c r="G647" s="39" t="s">
        <v>301</v>
      </c>
      <c r="H647" s="39" t="s">
        <v>1706</v>
      </c>
      <c r="I647" s="39" t="s">
        <v>229</v>
      </c>
    </row>
    <row r="648" ht="15.75" hidden="1" customHeight="1">
      <c r="A648" s="36">
        <v>5827747.0</v>
      </c>
      <c r="B648" s="37" t="s">
        <v>416</v>
      </c>
      <c r="C648" s="37" t="s">
        <v>1707</v>
      </c>
      <c r="D648" s="37" t="s">
        <v>224</v>
      </c>
      <c r="E648" s="37" t="s">
        <v>1237</v>
      </c>
      <c r="F648" s="37" t="s">
        <v>421</v>
      </c>
      <c r="G648" s="37" t="s">
        <v>227</v>
      </c>
      <c r="H648" s="37" t="s">
        <v>1708</v>
      </c>
      <c r="I648" s="37" t="s">
        <v>260</v>
      </c>
    </row>
    <row r="649" ht="15.75" hidden="1" customHeight="1">
      <c r="A649" s="38">
        <v>4655740.0</v>
      </c>
      <c r="B649" s="39" t="s">
        <v>1695</v>
      </c>
      <c r="C649" s="39" t="s">
        <v>1709</v>
      </c>
      <c r="D649" s="39" t="s">
        <v>224</v>
      </c>
      <c r="E649" s="39" t="s">
        <v>1697</v>
      </c>
      <c r="F649" s="39" t="s">
        <v>698</v>
      </c>
      <c r="G649" s="39" t="s">
        <v>541</v>
      </c>
      <c r="H649" s="39" t="s">
        <v>1710</v>
      </c>
      <c r="I649" s="39" t="s">
        <v>229</v>
      </c>
    </row>
    <row r="650" ht="15.75" hidden="1" customHeight="1">
      <c r="A650" s="36">
        <v>5313604.0</v>
      </c>
      <c r="B650" s="37" t="s">
        <v>416</v>
      </c>
      <c r="C650" s="37" t="s">
        <v>1711</v>
      </c>
      <c r="D650" s="37" t="s">
        <v>269</v>
      </c>
      <c r="E650" s="37" t="s">
        <v>1237</v>
      </c>
      <c r="F650" s="37" t="s">
        <v>421</v>
      </c>
      <c r="G650" s="37" t="s">
        <v>227</v>
      </c>
      <c r="H650" s="37" t="s">
        <v>1712</v>
      </c>
      <c r="I650" s="37" t="s">
        <v>260</v>
      </c>
    </row>
    <row r="651" ht="15.75" hidden="1" customHeight="1">
      <c r="A651" s="38">
        <v>4656008.0</v>
      </c>
      <c r="B651" s="39" t="s">
        <v>695</v>
      </c>
      <c r="C651" s="39" t="s">
        <v>1713</v>
      </c>
      <c r="D651" s="39" t="s">
        <v>224</v>
      </c>
      <c r="E651" s="39" t="s">
        <v>1714</v>
      </c>
      <c r="F651" s="39" t="s">
        <v>698</v>
      </c>
      <c r="G651" s="39" t="s">
        <v>541</v>
      </c>
      <c r="H651" s="39" t="s">
        <v>1715</v>
      </c>
      <c r="I651" s="39" t="s">
        <v>229</v>
      </c>
    </row>
    <row r="652" ht="15.75" hidden="1" customHeight="1">
      <c r="A652" s="36">
        <v>5167969.0</v>
      </c>
      <c r="B652" s="37" t="s">
        <v>113</v>
      </c>
      <c r="C652" s="37" t="s">
        <v>1716</v>
      </c>
      <c r="D652" s="37" t="s">
        <v>224</v>
      </c>
      <c r="E652" s="37" t="s">
        <v>1237</v>
      </c>
      <c r="F652" s="37" t="s">
        <v>421</v>
      </c>
      <c r="G652" s="37" t="s">
        <v>227</v>
      </c>
      <c r="H652" s="37" t="s">
        <v>1717</v>
      </c>
      <c r="I652" s="37" t="s">
        <v>260</v>
      </c>
    </row>
    <row r="653" ht="15.75" hidden="1" customHeight="1">
      <c r="A653" s="38">
        <v>4656055.0</v>
      </c>
      <c r="B653" s="39" t="s">
        <v>555</v>
      </c>
      <c r="C653" s="39" t="s">
        <v>1718</v>
      </c>
      <c r="D653" s="39" t="s">
        <v>224</v>
      </c>
      <c r="E653" s="39" t="s">
        <v>1069</v>
      </c>
      <c r="F653" s="39" t="s">
        <v>558</v>
      </c>
      <c r="G653" s="39" t="s">
        <v>541</v>
      </c>
      <c r="H653" s="39" t="s">
        <v>1719</v>
      </c>
      <c r="I653" s="39" t="s">
        <v>229</v>
      </c>
    </row>
    <row r="654" ht="15.75" hidden="1" customHeight="1">
      <c r="A654" s="36">
        <v>5972747.0</v>
      </c>
      <c r="B654" s="37" t="s">
        <v>416</v>
      </c>
      <c r="C654" s="37" t="s">
        <v>1720</v>
      </c>
      <c r="D654" s="37" t="s">
        <v>224</v>
      </c>
      <c r="E654" s="37" t="s">
        <v>1237</v>
      </c>
      <c r="F654" s="37" t="s">
        <v>421</v>
      </c>
      <c r="G654" s="37" t="s">
        <v>227</v>
      </c>
      <c r="H654" s="37" t="s">
        <v>1721</v>
      </c>
      <c r="I654" s="37" t="s">
        <v>260</v>
      </c>
    </row>
    <row r="655" ht="15.75" hidden="1" customHeight="1">
      <c r="A655" s="38">
        <v>4657167.0</v>
      </c>
      <c r="B655" s="39" t="s">
        <v>1348</v>
      </c>
      <c r="C655" s="39" t="s">
        <v>1722</v>
      </c>
      <c r="D655" s="39" t="s">
        <v>224</v>
      </c>
      <c r="E655" s="39" t="s">
        <v>1021</v>
      </c>
      <c r="F655" s="39" t="s">
        <v>292</v>
      </c>
      <c r="G655" s="39" t="s">
        <v>293</v>
      </c>
      <c r="H655" s="39" t="s">
        <v>1723</v>
      </c>
      <c r="I655" s="39" t="s">
        <v>229</v>
      </c>
    </row>
    <row r="656" ht="15.75" hidden="1" customHeight="1">
      <c r="A656" s="36">
        <v>5862497.0</v>
      </c>
      <c r="B656" s="37" t="s">
        <v>113</v>
      </c>
      <c r="C656" s="37" t="s">
        <v>1724</v>
      </c>
      <c r="D656" s="37" t="s">
        <v>224</v>
      </c>
      <c r="E656" s="37" t="s">
        <v>1237</v>
      </c>
      <c r="F656" s="37" t="s">
        <v>421</v>
      </c>
      <c r="G656" s="37" t="s">
        <v>227</v>
      </c>
      <c r="H656" s="37" t="s">
        <v>1725</v>
      </c>
      <c r="I656" s="37" t="s">
        <v>260</v>
      </c>
    </row>
    <row r="657" ht="15.75" hidden="1" customHeight="1">
      <c r="A657" s="38">
        <v>4657414.0</v>
      </c>
      <c r="B657" s="39" t="s">
        <v>555</v>
      </c>
      <c r="C657" s="39" t="s">
        <v>1726</v>
      </c>
      <c r="D657" s="39" t="s">
        <v>224</v>
      </c>
      <c r="E657" s="39" t="s">
        <v>557</v>
      </c>
      <c r="F657" s="39" t="s">
        <v>558</v>
      </c>
      <c r="G657" s="39" t="s">
        <v>541</v>
      </c>
      <c r="H657" s="39" t="s">
        <v>1727</v>
      </c>
      <c r="I657" s="39" t="s">
        <v>229</v>
      </c>
    </row>
    <row r="658" ht="15.75" hidden="1" customHeight="1">
      <c r="A658" s="36">
        <v>5671137.0</v>
      </c>
      <c r="B658" s="37" t="s">
        <v>416</v>
      </c>
      <c r="C658" s="37" t="s">
        <v>1728</v>
      </c>
      <c r="D658" s="37" t="s">
        <v>224</v>
      </c>
      <c r="E658" s="37" t="s">
        <v>1237</v>
      </c>
      <c r="F658" s="37" t="s">
        <v>421</v>
      </c>
      <c r="G658" s="37" t="s">
        <v>227</v>
      </c>
      <c r="H658" s="37" t="s">
        <v>1729</v>
      </c>
      <c r="I658" s="37" t="s">
        <v>260</v>
      </c>
    </row>
    <row r="659" ht="15.75" hidden="1" customHeight="1">
      <c r="A659" s="38">
        <v>4659783.0</v>
      </c>
      <c r="B659" s="39" t="s">
        <v>1060</v>
      </c>
      <c r="C659" s="39" t="s">
        <v>1730</v>
      </c>
      <c r="D659" s="39" t="s">
        <v>224</v>
      </c>
      <c r="E659" s="39" t="s">
        <v>1062</v>
      </c>
      <c r="F659" s="39" t="s">
        <v>249</v>
      </c>
      <c r="G659" s="39" t="s">
        <v>250</v>
      </c>
      <c r="H659" s="39" t="s">
        <v>1731</v>
      </c>
      <c r="I659" s="39" t="s">
        <v>229</v>
      </c>
    </row>
    <row r="660" ht="15.75" hidden="1" customHeight="1">
      <c r="A660" s="36">
        <v>5694761.0</v>
      </c>
      <c r="B660" s="37" t="s">
        <v>416</v>
      </c>
      <c r="C660" s="37" t="s">
        <v>1732</v>
      </c>
      <c r="D660" s="37" t="s">
        <v>224</v>
      </c>
      <c r="E660" s="37" t="s">
        <v>1237</v>
      </c>
      <c r="F660" s="37" t="s">
        <v>421</v>
      </c>
      <c r="G660" s="37" t="s">
        <v>227</v>
      </c>
      <c r="H660" s="37" t="s">
        <v>1733</v>
      </c>
      <c r="I660" s="37" t="s">
        <v>260</v>
      </c>
    </row>
    <row r="661" ht="15.75" hidden="1" customHeight="1">
      <c r="A661" s="38">
        <v>5972504.0</v>
      </c>
      <c r="B661" s="39" t="s">
        <v>416</v>
      </c>
      <c r="C661" s="39" t="s">
        <v>1734</v>
      </c>
      <c r="D661" s="39" t="s">
        <v>224</v>
      </c>
      <c r="E661" s="39" t="s">
        <v>1237</v>
      </c>
      <c r="F661" s="39" t="s">
        <v>421</v>
      </c>
      <c r="G661" s="39" t="s">
        <v>227</v>
      </c>
      <c r="H661" s="39" t="s">
        <v>1735</v>
      </c>
      <c r="I661" s="39" t="s">
        <v>260</v>
      </c>
    </row>
    <row r="662" ht="15.75" hidden="1" customHeight="1">
      <c r="A662" s="36">
        <v>4665048.0</v>
      </c>
      <c r="B662" s="37" t="s">
        <v>329</v>
      </c>
      <c r="C662" s="37" t="s">
        <v>1736</v>
      </c>
      <c r="D662" s="37" t="s">
        <v>224</v>
      </c>
      <c r="E662" s="37" t="s">
        <v>1407</v>
      </c>
      <c r="F662" s="37" t="s">
        <v>333</v>
      </c>
      <c r="G662" s="37" t="s">
        <v>301</v>
      </c>
      <c r="H662" s="37" t="s">
        <v>1737</v>
      </c>
      <c r="I662" s="37" t="s">
        <v>229</v>
      </c>
    </row>
    <row r="663" ht="15.75" hidden="1" customHeight="1">
      <c r="A663" s="38">
        <v>5869216.0</v>
      </c>
      <c r="B663" s="39" t="s">
        <v>416</v>
      </c>
      <c r="C663" s="39" t="s">
        <v>1738</v>
      </c>
      <c r="D663" s="39" t="s">
        <v>224</v>
      </c>
      <c r="E663" s="39" t="s">
        <v>1237</v>
      </c>
      <c r="F663" s="39" t="s">
        <v>421</v>
      </c>
      <c r="G663" s="39" t="s">
        <v>227</v>
      </c>
      <c r="H663" s="39" t="s">
        <v>1739</v>
      </c>
      <c r="I663" s="39" t="s">
        <v>260</v>
      </c>
    </row>
    <row r="664" ht="15.75" hidden="1" customHeight="1">
      <c r="A664" s="36">
        <v>5382350.0</v>
      </c>
      <c r="B664" s="37" t="s">
        <v>113</v>
      </c>
      <c r="C664" s="37" t="s">
        <v>1740</v>
      </c>
      <c r="D664" s="37" t="s">
        <v>224</v>
      </c>
      <c r="E664" s="37" t="s">
        <v>1237</v>
      </c>
      <c r="F664" s="37" t="s">
        <v>421</v>
      </c>
      <c r="G664" s="37" t="s">
        <v>227</v>
      </c>
      <c r="H664" s="37" t="s">
        <v>1741</v>
      </c>
      <c r="I664" s="37" t="s">
        <v>260</v>
      </c>
    </row>
    <row r="665" ht="15.75" hidden="1" customHeight="1">
      <c r="A665" s="38">
        <v>4677003.0</v>
      </c>
      <c r="B665" s="39" t="s">
        <v>120</v>
      </c>
      <c r="C665" s="39" t="s">
        <v>1742</v>
      </c>
      <c r="D665" s="39" t="s">
        <v>224</v>
      </c>
      <c r="E665" s="39" t="s">
        <v>1015</v>
      </c>
      <c r="F665" s="39" t="s">
        <v>644</v>
      </c>
      <c r="G665" s="39" t="s">
        <v>3</v>
      </c>
      <c r="H665" s="39" t="s">
        <v>1743</v>
      </c>
      <c r="I665" s="39" t="s">
        <v>260</v>
      </c>
      <c r="J665" s="1">
        <v>42.0</v>
      </c>
      <c r="L665" s="40" t="s">
        <v>412</v>
      </c>
    </row>
    <row r="666" ht="15.75" hidden="1" customHeight="1">
      <c r="A666" s="36">
        <v>4734433.0</v>
      </c>
      <c r="B666" s="37" t="s">
        <v>835</v>
      </c>
      <c r="C666" s="37" t="s">
        <v>1744</v>
      </c>
      <c r="D666" s="37" t="s">
        <v>224</v>
      </c>
      <c r="E666" s="37" t="s">
        <v>1040</v>
      </c>
      <c r="F666" s="37" t="s">
        <v>377</v>
      </c>
      <c r="G666" s="37" t="s">
        <v>327</v>
      </c>
      <c r="H666" s="37" t="s">
        <v>1745</v>
      </c>
      <c r="I666" s="37" t="s">
        <v>229</v>
      </c>
    </row>
    <row r="667" ht="15.75" hidden="1" customHeight="1">
      <c r="A667" s="38">
        <v>4678776.0</v>
      </c>
      <c r="B667" s="39" t="s">
        <v>1746</v>
      </c>
      <c r="C667" s="39" t="s">
        <v>1747</v>
      </c>
      <c r="D667" s="39" t="s">
        <v>224</v>
      </c>
      <c r="E667" s="39" t="s">
        <v>1714</v>
      </c>
      <c r="F667" s="39" t="s">
        <v>698</v>
      </c>
      <c r="G667" s="39" t="s">
        <v>541</v>
      </c>
      <c r="H667" s="39" t="s">
        <v>1748</v>
      </c>
      <c r="I667" s="39" t="s">
        <v>229</v>
      </c>
    </row>
    <row r="668" ht="15.75" hidden="1" customHeight="1">
      <c r="A668" s="36">
        <v>5358411.0</v>
      </c>
      <c r="B668" s="37" t="s">
        <v>835</v>
      </c>
      <c r="C668" s="37" t="s">
        <v>1749</v>
      </c>
      <c r="D668" s="37" t="s">
        <v>224</v>
      </c>
      <c r="E668" s="37" t="s">
        <v>1040</v>
      </c>
      <c r="F668" s="37" t="s">
        <v>377</v>
      </c>
      <c r="G668" s="37" t="s">
        <v>327</v>
      </c>
      <c r="H668" s="37" t="s">
        <v>1750</v>
      </c>
      <c r="I668" s="37" t="s">
        <v>229</v>
      </c>
    </row>
    <row r="669" ht="15.75" hidden="1" customHeight="1">
      <c r="A669" s="38">
        <v>4678797.0</v>
      </c>
      <c r="B669" s="39" t="s">
        <v>1177</v>
      </c>
      <c r="C669" s="39" t="s">
        <v>1751</v>
      </c>
      <c r="D669" s="39" t="s">
        <v>224</v>
      </c>
      <c r="E669" s="39" t="s">
        <v>524</v>
      </c>
      <c r="F669" s="39" t="s">
        <v>470</v>
      </c>
      <c r="G669" s="39" t="s">
        <v>327</v>
      </c>
      <c r="H669" s="39" t="s">
        <v>1752</v>
      </c>
      <c r="I669" s="39" t="s">
        <v>229</v>
      </c>
    </row>
    <row r="670" ht="15.75" hidden="1" customHeight="1">
      <c r="A670" s="36">
        <v>4678834.0</v>
      </c>
      <c r="B670" s="37" t="s">
        <v>323</v>
      </c>
      <c r="C670" s="37" t="s">
        <v>1753</v>
      </c>
      <c r="D670" s="37" t="s">
        <v>224</v>
      </c>
      <c r="E670" s="37" t="s">
        <v>1328</v>
      </c>
      <c r="F670" s="37" t="s">
        <v>326</v>
      </c>
      <c r="G670" s="37" t="s">
        <v>327</v>
      </c>
      <c r="H670" s="37" t="s">
        <v>1754</v>
      </c>
      <c r="I670" s="37" t="s">
        <v>229</v>
      </c>
    </row>
    <row r="671" ht="15.75" hidden="1" customHeight="1">
      <c r="A671" s="38">
        <v>4680287.0</v>
      </c>
      <c r="B671" s="39" t="s">
        <v>10</v>
      </c>
      <c r="C671" s="39" t="s">
        <v>1755</v>
      </c>
      <c r="D671" s="39" t="s">
        <v>224</v>
      </c>
      <c r="E671" s="39" t="s">
        <v>891</v>
      </c>
      <c r="F671" s="39" t="s">
        <v>257</v>
      </c>
      <c r="G671" s="39" t="s">
        <v>258</v>
      </c>
      <c r="H671" s="39" t="s">
        <v>1756</v>
      </c>
      <c r="I671" s="39" t="s">
        <v>260</v>
      </c>
    </row>
    <row r="672" ht="15.75" hidden="1" customHeight="1">
      <c r="A672" s="36">
        <v>4853252.0</v>
      </c>
      <c r="B672" s="37" t="s">
        <v>835</v>
      </c>
      <c r="C672" s="37" t="s">
        <v>1757</v>
      </c>
      <c r="D672" s="37" t="s">
        <v>224</v>
      </c>
      <c r="E672" s="37" t="s">
        <v>1040</v>
      </c>
      <c r="F672" s="37" t="s">
        <v>377</v>
      </c>
      <c r="G672" s="37" t="s">
        <v>327</v>
      </c>
      <c r="H672" s="37" t="s">
        <v>1758</v>
      </c>
      <c r="I672" s="37" t="s">
        <v>229</v>
      </c>
    </row>
    <row r="673" ht="15.75" hidden="1" customHeight="1">
      <c r="A673" s="38">
        <v>4680342.0</v>
      </c>
      <c r="B673" s="39" t="s">
        <v>530</v>
      </c>
      <c r="C673" s="39" t="s">
        <v>1759</v>
      </c>
      <c r="D673" s="39" t="s">
        <v>224</v>
      </c>
      <c r="E673" s="39" t="s">
        <v>1760</v>
      </c>
      <c r="F673" s="39" t="s">
        <v>533</v>
      </c>
      <c r="G673" s="39" t="s">
        <v>250</v>
      </c>
      <c r="H673" s="39" t="s">
        <v>1761</v>
      </c>
      <c r="I673" s="39" t="s">
        <v>229</v>
      </c>
    </row>
    <row r="674" ht="15.75" hidden="1" customHeight="1">
      <c r="A674" s="36">
        <v>4740516.0</v>
      </c>
      <c r="B674" s="37" t="s">
        <v>835</v>
      </c>
      <c r="C674" s="37" t="s">
        <v>1762</v>
      </c>
      <c r="D674" s="37" t="s">
        <v>224</v>
      </c>
      <c r="E674" s="37" t="s">
        <v>1040</v>
      </c>
      <c r="F674" s="37" t="s">
        <v>377</v>
      </c>
      <c r="G674" s="37" t="s">
        <v>327</v>
      </c>
      <c r="H674" s="37" t="s">
        <v>1763</v>
      </c>
      <c r="I674" s="37" t="s">
        <v>229</v>
      </c>
    </row>
    <row r="675" ht="15.75" hidden="1" customHeight="1">
      <c r="A675" s="38">
        <v>4682428.0</v>
      </c>
      <c r="B675" s="39" t="s">
        <v>316</v>
      </c>
      <c r="C675" s="39" t="s">
        <v>1764</v>
      </c>
      <c r="D675" s="39" t="s">
        <v>224</v>
      </c>
      <c r="E675" s="39" t="s">
        <v>761</v>
      </c>
      <c r="F675" s="39" t="s">
        <v>293</v>
      </c>
      <c r="G675" s="39" t="s">
        <v>319</v>
      </c>
      <c r="H675" s="39" t="s">
        <v>1765</v>
      </c>
      <c r="I675" s="39" t="s">
        <v>229</v>
      </c>
    </row>
    <row r="676" ht="15.75" hidden="1" customHeight="1">
      <c r="A676" s="36">
        <v>4881744.0</v>
      </c>
      <c r="B676" s="37" t="s">
        <v>835</v>
      </c>
      <c r="C676" s="37" t="s">
        <v>1766</v>
      </c>
      <c r="D676" s="37" t="s">
        <v>224</v>
      </c>
      <c r="E676" s="37" t="s">
        <v>1040</v>
      </c>
      <c r="F676" s="37" t="s">
        <v>377</v>
      </c>
      <c r="G676" s="37" t="s">
        <v>327</v>
      </c>
      <c r="H676" s="37" t="s">
        <v>1767</v>
      </c>
      <c r="I676" s="37" t="s">
        <v>229</v>
      </c>
    </row>
    <row r="677" ht="15.75" hidden="1" customHeight="1">
      <c r="A677" s="38">
        <v>4683934.0</v>
      </c>
      <c r="B677" s="39" t="s">
        <v>835</v>
      </c>
      <c r="C677" s="39" t="s">
        <v>1768</v>
      </c>
      <c r="D677" s="39" t="s">
        <v>224</v>
      </c>
      <c r="E677" s="39" t="s">
        <v>837</v>
      </c>
      <c r="F677" s="39" t="s">
        <v>377</v>
      </c>
      <c r="G677" s="39" t="s">
        <v>327</v>
      </c>
      <c r="H677" s="39" t="s">
        <v>1769</v>
      </c>
      <c r="I677" s="39" t="s">
        <v>229</v>
      </c>
    </row>
    <row r="678" ht="15.75" hidden="1" customHeight="1">
      <c r="A678" s="36">
        <v>5550853.0</v>
      </c>
      <c r="B678" s="37" t="s">
        <v>835</v>
      </c>
      <c r="C678" s="37" t="s">
        <v>1770</v>
      </c>
      <c r="D678" s="37" t="s">
        <v>224</v>
      </c>
      <c r="E678" s="37" t="s">
        <v>1040</v>
      </c>
      <c r="F678" s="37" t="s">
        <v>377</v>
      </c>
      <c r="G678" s="37" t="s">
        <v>327</v>
      </c>
      <c r="H678" s="37" t="s">
        <v>1771</v>
      </c>
      <c r="I678" s="37" t="s">
        <v>229</v>
      </c>
    </row>
    <row r="679" ht="15.75" hidden="1" customHeight="1">
      <c r="A679" s="38">
        <v>4684248.0</v>
      </c>
      <c r="B679" s="39" t="s">
        <v>316</v>
      </c>
      <c r="C679" s="39" t="s">
        <v>1772</v>
      </c>
      <c r="D679" s="39" t="s">
        <v>224</v>
      </c>
      <c r="E679" s="39" t="s">
        <v>1773</v>
      </c>
      <c r="F679" s="39" t="s">
        <v>293</v>
      </c>
      <c r="G679" s="39" t="s">
        <v>319</v>
      </c>
      <c r="H679" s="39" t="s">
        <v>1774</v>
      </c>
      <c r="I679" s="39" t="s">
        <v>229</v>
      </c>
    </row>
    <row r="680" ht="15.75" hidden="1" customHeight="1">
      <c r="A680" s="36">
        <v>5037110.0</v>
      </c>
      <c r="B680" s="37" t="s">
        <v>835</v>
      </c>
      <c r="C680" s="37" t="s">
        <v>1775</v>
      </c>
      <c r="D680" s="37" t="s">
        <v>224</v>
      </c>
      <c r="E680" s="37" t="s">
        <v>1040</v>
      </c>
      <c r="F680" s="37" t="s">
        <v>377</v>
      </c>
      <c r="G680" s="37" t="s">
        <v>327</v>
      </c>
      <c r="H680" s="37" t="s">
        <v>1776</v>
      </c>
      <c r="I680" s="37" t="s">
        <v>229</v>
      </c>
    </row>
    <row r="681" ht="15.75" hidden="1" customHeight="1">
      <c r="A681" s="38">
        <v>5892250.0</v>
      </c>
      <c r="B681" s="39" t="s">
        <v>835</v>
      </c>
      <c r="C681" s="39" t="s">
        <v>1777</v>
      </c>
      <c r="D681" s="39" t="s">
        <v>224</v>
      </c>
      <c r="E681" s="39" t="s">
        <v>1040</v>
      </c>
      <c r="F681" s="39" t="s">
        <v>377</v>
      </c>
      <c r="G681" s="39" t="s">
        <v>327</v>
      </c>
      <c r="H681" s="39" t="s">
        <v>1778</v>
      </c>
      <c r="I681" s="39" t="s">
        <v>229</v>
      </c>
    </row>
    <row r="682" ht="15.75" hidden="1" customHeight="1">
      <c r="A682" s="36">
        <v>4690165.0</v>
      </c>
      <c r="B682" s="37" t="s">
        <v>1177</v>
      </c>
      <c r="C682" s="37" t="s">
        <v>1779</v>
      </c>
      <c r="D682" s="37" t="s">
        <v>224</v>
      </c>
      <c r="E682" s="37" t="s">
        <v>524</v>
      </c>
      <c r="F682" s="37" t="s">
        <v>470</v>
      </c>
      <c r="G682" s="37" t="s">
        <v>327</v>
      </c>
      <c r="H682" s="37" t="s">
        <v>1780</v>
      </c>
      <c r="I682" s="37" t="s">
        <v>229</v>
      </c>
    </row>
    <row r="683" ht="15.75" hidden="1" customHeight="1">
      <c r="A683" s="38">
        <v>5721237.0</v>
      </c>
      <c r="B683" s="39" t="s">
        <v>835</v>
      </c>
      <c r="C683" s="39" t="s">
        <v>1781</v>
      </c>
      <c r="D683" s="39" t="s">
        <v>224</v>
      </c>
      <c r="E683" s="39" t="s">
        <v>1040</v>
      </c>
      <c r="F683" s="39" t="s">
        <v>377</v>
      </c>
      <c r="G683" s="39" t="s">
        <v>327</v>
      </c>
      <c r="H683" s="39" t="s">
        <v>1782</v>
      </c>
      <c r="I683" s="39" t="s">
        <v>229</v>
      </c>
    </row>
    <row r="684" ht="15.75" hidden="1" customHeight="1">
      <c r="A684" s="36">
        <v>4690325.0</v>
      </c>
      <c r="B684" s="37" t="s">
        <v>385</v>
      </c>
      <c r="C684" s="37" t="s">
        <v>1783</v>
      </c>
      <c r="D684" s="37" t="s">
        <v>224</v>
      </c>
      <c r="E684" s="37" t="s">
        <v>756</v>
      </c>
      <c r="F684" s="37" t="s">
        <v>300</v>
      </c>
      <c r="G684" s="37" t="s">
        <v>301</v>
      </c>
      <c r="H684" s="37" t="s">
        <v>1784</v>
      </c>
      <c r="I684" s="37" t="s">
        <v>229</v>
      </c>
    </row>
    <row r="685" ht="15.75" hidden="1" customHeight="1">
      <c r="A685" s="38">
        <v>5559205.0</v>
      </c>
      <c r="B685" s="39" t="s">
        <v>835</v>
      </c>
      <c r="C685" s="39" t="s">
        <v>1785</v>
      </c>
      <c r="D685" s="39" t="s">
        <v>224</v>
      </c>
      <c r="E685" s="39" t="s">
        <v>1040</v>
      </c>
      <c r="F685" s="39" t="s">
        <v>377</v>
      </c>
      <c r="G685" s="39" t="s">
        <v>327</v>
      </c>
      <c r="H685" s="39" t="s">
        <v>1786</v>
      </c>
      <c r="I685" s="39" t="s">
        <v>229</v>
      </c>
    </row>
    <row r="686" ht="15.75" hidden="1" customHeight="1">
      <c r="A686" s="36">
        <v>4690620.0</v>
      </c>
      <c r="B686" s="37" t="s">
        <v>1746</v>
      </c>
      <c r="C686" s="37" t="s">
        <v>1787</v>
      </c>
      <c r="D686" s="37" t="s">
        <v>224</v>
      </c>
      <c r="E686" s="37" t="s">
        <v>1518</v>
      </c>
      <c r="F686" s="37" t="s">
        <v>698</v>
      </c>
      <c r="G686" s="37" t="s">
        <v>541</v>
      </c>
      <c r="H686" s="37" t="s">
        <v>1788</v>
      </c>
      <c r="I686" s="37" t="s">
        <v>229</v>
      </c>
    </row>
    <row r="687" ht="15.75" hidden="1" customHeight="1">
      <c r="A687" s="38">
        <v>5671015.0</v>
      </c>
      <c r="B687" s="39" t="s">
        <v>835</v>
      </c>
      <c r="C687" s="39" t="s">
        <v>1789</v>
      </c>
      <c r="D687" s="39" t="s">
        <v>224</v>
      </c>
      <c r="E687" s="39" t="s">
        <v>1040</v>
      </c>
      <c r="F687" s="39" t="s">
        <v>377</v>
      </c>
      <c r="G687" s="39" t="s">
        <v>327</v>
      </c>
      <c r="H687" s="39" t="s">
        <v>1790</v>
      </c>
      <c r="I687" s="39" t="s">
        <v>229</v>
      </c>
    </row>
    <row r="688" ht="15.75" hidden="1" customHeight="1">
      <c r="A688" s="36">
        <v>4691154.0</v>
      </c>
      <c r="B688" s="37" t="s">
        <v>1791</v>
      </c>
      <c r="C688" s="37" t="s">
        <v>1792</v>
      </c>
      <c r="D688" s="37" t="s">
        <v>224</v>
      </c>
      <c r="E688" s="37" t="s">
        <v>938</v>
      </c>
      <c r="F688" s="37" t="s">
        <v>266</v>
      </c>
      <c r="G688" s="37" t="s">
        <v>250</v>
      </c>
      <c r="H688" s="37" t="s">
        <v>1793</v>
      </c>
      <c r="I688" s="37" t="s">
        <v>229</v>
      </c>
    </row>
    <row r="689" ht="15.75" hidden="1" customHeight="1">
      <c r="A689" s="38">
        <v>5471392.0</v>
      </c>
      <c r="B689" s="39" t="s">
        <v>835</v>
      </c>
      <c r="C689" s="39" t="s">
        <v>1794</v>
      </c>
      <c r="D689" s="39" t="s">
        <v>224</v>
      </c>
      <c r="E689" s="39" t="s">
        <v>1040</v>
      </c>
      <c r="F689" s="39" t="s">
        <v>377</v>
      </c>
      <c r="G689" s="39" t="s">
        <v>327</v>
      </c>
      <c r="H689" s="39" t="s">
        <v>1795</v>
      </c>
      <c r="I689" s="39" t="s">
        <v>229</v>
      </c>
    </row>
    <row r="690" ht="15.75" hidden="1" customHeight="1">
      <c r="A690" s="36">
        <v>4691958.0</v>
      </c>
      <c r="B690" s="37" t="s">
        <v>567</v>
      </c>
      <c r="C690" s="37" t="s">
        <v>1796</v>
      </c>
      <c r="D690" s="37" t="s">
        <v>224</v>
      </c>
      <c r="E690" s="37" t="s">
        <v>403</v>
      </c>
      <c r="F690" s="37" t="s">
        <v>377</v>
      </c>
      <c r="G690" s="37" t="s">
        <v>327</v>
      </c>
      <c r="H690" s="37" t="s">
        <v>1797</v>
      </c>
      <c r="I690" s="37" t="s">
        <v>229</v>
      </c>
    </row>
    <row r="691" ht="15.75" hidden="1" customHeight="1">
      <c r="A691" s="38">
        <v>5344387.0</v>
      </c>
      <c r="B691" s="39" t="s">
        <v>835</v>
      </c>
      <c r="C691" s="39" t="s">
        <v>1798</v>
      </c>
      <c r="D691" s="39" t="s">
        <v>224</v>
      </c>
      <c r="E691" s="39" t="s">
        <v>1040</v>
      </c>
      <c r="F691" s="39" t="s">
        <v>377</v>
      </c>
      <c r="G691" s="39" t="s">
        <v>327</v>
      </c>
      <c r="H691" s="39" t="s">
        <v>1799</v>
      </c>
      <c r="I691" s="39" t="s">
        <v>229</v>
      </c>
    </row>
    <row r="692" ht="15.75" hidden="1" customHeight="1">
      <c r="A692" s="36">
        <v>4692981.0</v>
      </c>
      <c r="B692" s="37" t="s">
        <v>695</v>
      </c>
      <c r="C692" s="37" t="s">
        <v>1800</v>
      </c>
      <c r="D692" s="37" t="s">
        <v>224</v>
      </c>
      <c r="E692" s="37" t="s">
        <v>1518</v>
      </c>
      <c r="F692" s="37" t="s">
        <v>698</v>
      </c>
      <c r="G692" s="37" t="s">
        <v>541</v>
      </c>
      <c r="H692" s="37" t="s">
        <v>1801</v>
      </c>
      <c r="I692" s="37" t="s">
        <v>229</v>
      </c>
    </row>
    <row r="693" ht="15.75" hidden="1" customHeight="1">
      <c r="A693" s="38">
        <v>6078990.0</v>
      </c>
      <c r="B693" s="39" t="s">
        <v>835</v>
      </c>
      <c r="C693" s="39" t="s">
        <v>1802</v>
      </c>
      <c r="D693" s="39" t="s">
        <v>224</v>
      </c>
      <c r="E693" s="39" t="s">
        <v>1040</v>
      </c>
      <c r="F693" s="39" t="s">
        <v>377</v>
      </c>
      <c r="G693" s="39" t="s">
        <v>327</v>
      </c>
      <c r="H693" s="39" t="s">
        <v>1803</v>
      </c>
      <c r="I693" s="39" t="s">
        <v>229</v>
      </c>
    </row>
    <row r="694" ht="15.75" hidden="1" customHeight="1">
      <c r="A694" s="36">
        <v>4693268.0</v>
      </c>
      <c r="B694" s="37" t="s">
        <v>316</v>
      </c>
      <c r="C694" s="37" t="s">
        <v>1804</v>
      </c>
      <c r="D694" s="37" t="s">
        <v>224</v>
      </c>
      <c r="E694" s="37" t="s">
        <v>1453</v>
      </c>
      <c r="F694" s="37" t="s">
        <v>293</v>
      </c>
      <c r="G694" s="37" t="s">
        <v>319</v>
      </c>
      <c r="H694" s="37" t="s">
        <v>1805</v>
      </c>
      <c r="I694" s="37" t="s">
        <v>229</v>
      </c>
    </row>
    <row r="695" ht="15.75" hidden="1" customHeight="1">
      <c r="A695" s="38">
        <v>5439946.0</v>
      </c>
      <c r="B695" s="39" t="s">
        <v>835</v>
      </c>
      <c r="C695" s="39" t="s">
        <v>1806</v>
      </c>
      <c r="D695" s="39" t="s">
        <v>224</v>
      </c>
      <c r="E695" s="39" t="s">
        <v>1040</v>
      </c>
      <c r="F695" s="39" t="s">
        <v>377</v>
      </c>
      <c r="G695" s="39" t="s">
        <v>327</v>
      </c>
      <c r="H695" s="39" t="s">
        <v>1807</v>
      </c>
      <c r="I695" s="39" t="s">
        <v>229</v>
      </c>
    </row>
    <row r="696" ht="15.75" hidden="1" customHeight="1">
      <c r="A696" s="36">
        <v>4699074.0</v>
      </c>
      <c r="B696" s="37" t="s">
        <v>276</v>
      </c>
      <c r="C696" s="37" t="s">
        <v>1808</v>
      </c>
      <c r="D696" s="37" t="s">
        <v>224</v>
      </c>
      <c r="E696" s="37" t="s">
        <v>891</v>
      </c>
      <c r="F696" s="37" t="s">
        <v>257</v>
      </c>
      <c r="G696" s="37" t="s">
        <v>258</v>
      </c>
      <c r="H696" s="37" t="s">
        <v>1809</v>
      </c>
      <c r="I696" s="37" t="s">
        <v>260</v>
      </c>
    </row>
    <row r="697" ht="15.75" hidden="1" customHeight="1">
      <c r="A697" s="38">
        <v>5516350.0</v>
      </c>
      <c r="B697" s="39" t="s">
        <v>835</v>
      </c>
      <c r="C697" s="39" t="s">
        <v>1810</v>
      </c>
      <c r="D697" s="39" t="s">
        <v>224</v>
      </c>
      <c r="E697" s="39" t="s">
        <v>1040</v>
      </c>
      <c r="F697" s="39" t="s">
        <v>377</v>
      </c>
      <c r="G697" s="39" t="s">
        <v>327</v>
      </c>
      <c r="H697" s="39" t="s">
        <v>1811</v>
      </c>
      <c r="I697" s="39" t="s">
        <v>229</v>
      </c>
    </row>
    <row r="698" ht="15.75" hidden="1" customHeight="1">
      <c r="A698" s="36">
        <v>5676339.0</v>
      </c>
      <c r="B698" s="37" t="s">
        <v>835</v>
      </c>
      <c r="C698" s="37" t="s">
        <v>1812</v>
      </c>
      <c r="D698" s="37" t="s">
        <v>224</v>
      </c>
      <c r="E698" s="37" t="s">
        <v>1040</v>
      </c>
      <c r="F698" s="37" t="s">
        <v>377</v>
      </c>
      <c r="G698" s="37" t="s">
        <v>327</v>
      </c>
      <c r="H698" s="37" t="s">
        <v>1813</v>
      </c>
      <c r="I698" s="37" t="s">
        <v>229</v>
      </c>
    </row>
    <row r="699" ht="15.75" hidden="1" customHeight="1">
      <c r="A699" s="38">
        <v>5537197.0</v>
      </c>
      <c r="B699" s="39" t="s">
        <v>835</v>
      </c>
      <c r="C699" s="39" t="s">
        <v>1814</v>
      </c>
      <c r="D699" s="39" t="s">
        <v>224</v>
      </c>
      <c r="E699" s="39" t="s">
        <v>1040</v>
      </c>
      <c r="F699" s="39" t="s">
        <v>377</v>
      </c>
      <c r="G699" s="39" t="s">
        <v>327</v>
      </c>
      <c r="H699" s="39" t="s">
        <v>1815</v>
      </c>
      <c r="I699" s="39" t="s">
        <v>229</v>
      </c>
    </row>
    <row r="700" ht="15.75" hidden="1" customHeight="1">
      <c r="A700" s="36">
        <v>4707071.0</v>
      </c>
      <c r="B700" s="37" t="s">
        <v>800</v>
      </c>
      <c r="C700" s="37" t="s">
        <v>1816</v>
      </c>
      <c r="D700" s="37" t="s">
        <v>224</v>
      </c>
      <c r="E700" s="37" t="s">
        <v>802</v>
      </c>
      <c r="F700" s="37" t="s">
        <v>333</v>
      </c>
      <c r="G700" s="37" t="s">
        <v>301</v>
      </c>
      <c r="H700" s="37" t="s">
        <v>1817</v>
      </c>
      <c r="I700" s="37" t="s">
        <v>229</v>
      </c>
    </row>
    <row r="701" ht="15.75" hidden="1" customHeight="1">
      <c r="A701" s="38">
        <v>5605738.0</v>
      </c>
      <c r="B701" s="39" t="s">
        <v>835</v>
      </c>
      <c r="C701" s="39" t="s">
        <v>1818</v>
      </c>
      <c r="D701" s="39" t="s">
        <v>224</v>
      </c>
      <c r="E701" s="39" t="s">
        <v>1040</v>
      </c>
      <c r="F701" s="39" t="s">
        <v>377</v>
      </c>
      <c r="G701" s="39" t="s">
        <v>327</v>
      </c>
      <c r="H701" s="39" t="s">
        <v>1819</v>
      </c>
      <c r="I701" s="39" t="s">
        <v>229</v>
      </c>
    </row>
    <row r="702" ht="15.75" hidden="1" customHeight="1">
      <c r="A702" s="36">
        <v>4709098.0</v>
      </c>
      <c r="B702" s="37" t="s">
        <v>316</v>
      </c>
      <c r="C702" s="37" t="s">
        <v>1820</v>
      </c>
      <c r="D702" s="37" t="s">
        <v>224</v>
      </c>
      <c r="E702" s="37" t="s">
        <v>1453</v>
      </c>
      <c r="F702" s="37" t="s">
        <v>293</v>
      </c>
      <c r="G702" s="37" t="s">
        <v>319</v>
      </c>
      <c r="H702" s="37" t="s">
        <v>1821</v>
      </c>
      <c r="I702" s="37" t="s">
        <v>229</v>
      </c>
    </row>
    <row r="703" ht="15.75" hidden="1" customHeight="1">
      <c r="A703" s="38">
        <v>5698088.0</v>
      </c>
      <c r="B703" s="39" t="s">
        <v>835</v>
      </c>
      <c r="C703" s="39" t="s">
        <v>1822</v>
      </c>
      <c r="D703" s="39" t="s">
        <v>224</v>
      </c>
      <c r="E703" s="39" t="s">
        <v>1040</v>
      </c>
      <c r="F703" s="39" t="s">
        <v>377</v>
      </c>
      <c r="G703" s="39" t="s">
        <v>327</v>
      </c>
      <c r="H703" s="39" t="s">
        <v>1823</v>
      </c>
      <c r="I703" s="39" t="s">
        <v>229</v>
      </c>
    </row>
    <row r="704" ht="15.75" hidden="1" customHeight="1">
      <c r="A704" s="36">
        <v>4709109.0</v>
      </c>
      <c r="B704" s="37" t="s">
        <v>316</v>
      </c>
      <c r="C704" s="37" t="s">
        <v>1824</v>
      </c>
      <c r="D704" s="37" t="s">
        <v>224</v>
      </c>
      <c r="E704" s="37" t="s">
        <v>1773</v>
      </c>
      <c r="F704" s="37" t="s">
        <v>293</v>
      </c>
      <c r="G704" s="37" t="s">
        <v>319</v>
      </c>
      <c r="H704" s="37" t="s">
        <v>1825</v>
      </c>
      <c r="I704" s="37" t="s">
        <v>229</v>
      </c>
    </row>
    <row r="705" ht="15.75" hidden="1" customHeight="1">
      <c r="A705" s="38">
        <v>5703229.0</v>
      </c>
      <c r="B705" s="39" t="s">
        <v>835</v>
      </c>
      <c r="C705" s="39" t="s">
        <v>1826</v>
      </c>
      <c r="D705" s="39" t="s">
        <v>224</v>
      </c>
      <c r="E705" s="39" t="s">
        <v>1040</v>
      </c>
      <c r="F705" s="39" t="s">
        <v>377</v>
      </c>
      <c r="G705" s="39" t="s">
        <v>327</v>
      </c>
      <c r="H705" s="39" t="s">
        <v>1827</v>
      </c>
      <c r="I705" s="39" t="s">
        <v>229</v>
      </c>
    </row>
    <row r="706" ht="15.75" hidden="1" customHeight="1">
      <c r="A706" s="36">
        <v>4711888.0</v>
      </c>
      <c r="B706" s="37" t="s">
        <v>222</v>
      </c>
      <c r="C706" s="37" t="s">
        <v>1828</v>
      </c>
      <c r="D706" s="37" t="s">
        <v>224</v>
      </c>
      <c r="E706" s="37" t="s">
        <v>1127</v>
      </c>
      <c r="F706" s="37" t="s">
        <v>226</v>
      </c>
      <c r="G706" s="37" t="s">
        <v>227</v>
      </c>
      <c r="H706" s="37" t="s">
        <v>1829</v>
      </c>
      <c r="I706" s="37" t="s">
        <v>229</v>
      </c>
    </row>
    <row r="707" ht="15.75" hidden="1" customHeight="1">
      <c r="A707" s="38">
        <v>4954268.0</v>
      </c>
      <c r="B707" s="39" t="s">
        <v>835</v>
      </c>
      <c r="C707" s="39" t="s">
        <v>1830</v>
      </c>
      <c r="D707" s="39" t="s">
        <v>224</v>
      </c>
      <c r="E707" s="39" t="s">
        <v>1040</v>
      </c>
      <c r="F707" s="39" t="s">
        <v>377</v>
      </c>
      <c r="G707" s="39" t="s">
        <v>327</v>
      </c>
      <c r="H707" s="39" t="s">
        <v>1831</v>
      </c>
      <c r="I707" s="39" t="s">
        <v>229</v>
      </c>
    </row>
    <row r="708" ht="15.75" hidden="1" customHeight="1">
      <c r="A708" s="36">
        <v>4712600.0</v>
      </c>
      <c r="B708" s="37" t="s">
        <v>222</v>
      </c>
      <c r="C708" s="37" t="s">
        <v>1832</v>
      </c>
      <c r="D708" s="37" t="s">
        <v>224</v>
      </c>
      <c r="E708" s="37" t="s">
        <v>1127</v>
      </c>
      <c r="F708" s="37" t="s">
        <v>226</v>
      </c>
      <c r="G708" s="37" t="s">
        <v>227</v>
      </c>
      <c r="H708" s="37" t="s">
        <v>1833</v>
      </c>
      <c r="I708" s="37" t="s">
        <v>229</v>
      </c>
    </row>
    <row r="709" ht="15.75" hidden="1" customHeight="1">
      <c r="A709" s="38">
        <v>5233836.0</v>
      </c>
      <c r="B709" s="39" t="s">
        <v>835</v>
      </c>
      <c r="C709" s="39" t="s">
        <v>1834</v>
      </c>
      <c r="D709" s="39" t="s">
        <v>224</v>
      </c>
      <c r="E709" s="39" t="s">
        <v>1040</v>
      </c>
      <c r="F709" s="39" t="s">
        <v>377</v>
      </c>
      <c r="G709" s="39" t="s">
        <v>327</v>
      </c>
      <c r="H709" s="39" t="s">
        <v>1835</v>
      </c>
      <c r="I709" s="39" t="s">
        <v>229</v>
      </c>
    </row>
    <row r="710" ht="15.75" hidden="1" customHeight="1">
      <c r="A710" s="36">
        <v>4714162.0</v>
      </c>
      <c r="B710" s="37" t="s">
        <v>506</v>
      </c>
      <c r="C710" s="37" t="s">
        <v>1836</v>
      </c>
      <c r="D710" s="37" t="s">
        <v>224</v>
      </c>
      <c r="E710" s="37" t="s">
        <v>831</v>
      </c>
      <c r="F710" s="37" t="s">
        <v>284</v>
      </c>
      <c r="G710" s="37" t="s">
        <v>3</v>
      </c>
      <c r="H710" s="37" t="s">
        <v>1837</v>
      </c>
      <c r="I710" s="37" t="s">
        <v>260</v>
      </c>
      <c r="J710" s="1">
        <v>42.0</v>
      </c>
      <c r="L710" s="40" t="s">
        <v>120</v>
      </c>
    </row>
    <row r="711" ht="15.75" hidden="1" customHeight="1">
      <c r="A711" s="38">
        <v>5709300.0</v>
      </c>
      <c r="B711" s="39" t="s">
        <v>835</v>
      </c>
      <c r="C711" s="39" t="s">
        <v>1838</v>
      </c>
      <c r="D711" s="39" t="s">
        <v>224</v>
      </c>
      <c r="E711" s="39" t="s">
        <v>1040</v>
      </c>
      <c r="F711" s="39" t="s">
        <v>377</v>
      </c>
      <c r="G711" s="39" t="s">
        <v>327</v>
      </c>
      <c r="H711" s="39" t="s">
        <v>1839</v>
      </c>
      <c r="I711" s="39" t="s">
        <v>229</v>
      </c>
    </row>
    <row r="712" ht="15.75" hidden="1" customHeight="1">
      <c r="A712" s="36">
        <v>4715856.0</v>
      </c>
      <c r="B712" s="37" t="s">
        <v>1186</v>
      </c>
      <c r="C712" s="37" t="s">
        <v>1840</v>
      </c>
      <c r="D712" s="37" t="s">
        <v>224</v>
      </c>
      <c r="E712" s="37" t="s">
        <v>1188</v>
      </c>
      <c r="F712" s="37" t="s">
        <v>242</v>
      </c>
      <c r="G712" s="37" t="s">
        <v>227</v>
      </c>
      <c r="H712" s="37" t="s">
        <v>1841</v>
      </c>
      <c r="I712" s="37" t="s">
        <v>229</v>
      </c>
    </row>
    <row r="713" ht="15.75" hidden="1" customHeight="1">
      <c r="A713" s="38">
        <v>4961384.0</v>
      </c>
      <c r="B713" s="39" t="s">
        <v>835</v>
      </c>
      <c r="C713" s="39" t="s">
        <v>1842</v>
      </c>
      <c r="D713" s="39" t="s">
        <v>224</v>
      </c>
      <c r="E713" s="39" t="s">
        <v>1040</v>
      </c>
      <c r="F713" s="39" t="s">
        <v>377</v>
      </c>
      <c r="G713" s="39" t="s">
        <v>327</v>
      </c>
      <c r="H713" s="39" t="s">
        <v>1843</v>
      </c>
      <c r="I713" s="39" t="s">
        <v>229</v>
      </c>
    </row>
    <row r="714" ht="15.75" hidden="1" customHeight="1">
      <c r="A714" s="36">
        <v>4716767.0</v>
      </c>
      <c r="B714" s="37" t="s">
        <v>1602</v>
      </c>
      <c r="C714" s="37" t="s">
        <v>1844</v>
      </c>
      <c r="D714" s="37" t="s">
        <v>224</v>
      </c>
      <c r="E714" s="37" t="s">
        <v>1604</v>
      </c>
      <c r="F714" s="37" t="s">
        <v>540</v>
      </c>
      <c r="G714" s="37" t="s">
        <v>541</v>
      </c>
      <c r="H714" s="37" t="s">
        <v>1845</v>
      </c>
      <c r="I714" s="37" t="s">
        <v>229</v>
      </c>
    </row>
    <row r="715" ht="15.75" hidden="1" customHeight="1">
      <c r="A715" s="38">
        <v>5148309.0</v>
      </c>
      <c r="B715" s="39" t="s">
        <v>835</v>
      </c>
      <c r="C715" s="39" t="s">
        <v>1846</v>
      </c>
      <c r="D715" s="39" t="s">
        <v>224</v>
      </c>
      <c r="E715" s="39" t="s">
        <v>1040</v>
      </c>
      <c r="F715" s="39" t="s">
        <v>377</v>
      </c>
      <c r="G715" s="39" t="s">
        <v>327</v>
      </c>
      <c r="H715" s="39" t="s">
        <v>1847</v>
      </c>
      <c r="I715" s="39" t="s">
        <v>229</v>
      </c>
    </row>
    <row r="716" ht="15.75" hidden="1" customHeight="1">
      <c r="A716" s="36">
        <v>4718663.0</v>
      </c>
      <c r="B716" s="37" t="s">
        <v>316</v>
      </c>
      <c r="C716" s="37" t="s">
        <v>1848</v>
      </c>
      <c r="D716" s="37" t="s">
        <v>224</v>
      </c>
      <c r="E716" s="37" t="s">
        <v>1011</v>
      </c>
      <c r="F716" s="37" t="s">
        <v>293</v>
      </c>
      <c r="G716" s="37" t="s">
        <v>319</v>
      </c>
      <c r="H716" s="37" t="s">
        <v>1849</v>
      </c>
      <c r="I716" s="37" t="s">
        <v>229</v>
      </c>
    </row>
    <row r="717" ht="15.75" hidden="1" customHeight="1">
      <c r="A717" s="38">
        <v>4825591.0</v>
      </c>
      <c r="B717" s="39" t="s">
        <v>853</v>
      </c>
      <c r="C717" s="39" t="s">
        <v>1850</v>
      </c>
      <c r="D717" s="39" t="s">
        <v>224</v>
      </c>
      <c r="E717" s="39" t="s">
        <v>855</v>
      </c>
      <c r="F717" s="39" t="s">
        <v>249</v>
      </c>
      <c r="G717" s="39" t="s">
        <v>250</v>
      </c>
      <c r="H717" s="39" t="s">
        <v>1851</v>
      </c>
      <c r="I717" s="39" t="s">
        <v>229</v>
      </c>
    </row>
    <row r="718" ht="15.75" hidden="1" customHeight="1">
      <c r="A718" s="36">
        <v>4718790.0</v>
      </c>
      <c r="B718" s="37" t="s">
        <v>478</v>
      </c>
      <c r="C718" s="37" t="s">
        <v>1852</v>
      </c>
      <c r="D718" s="37" t="s">
        <v>224</v>
      </c>
      <c r="E718" s="37" t="s">
        <v>480</v>
      </c>
      <c r="F718" s="37" t="s">
        <v>481</v>
      </c>
      <c r="G718" s="37" t="s">
        <v>293</v>
      </c>
      <c r="H718" s="37" t="s">
        <v>1853</v>
      </c>
      <c r="I718" s="37" t="s">
        <v>229</v>
      </c>
    </row>
    <row r="719" ht="15.75" hidden="1" customHeight="1">
      <c r="A719" s="38">
        <v>4720294.0</v>
      </c>
      <c r="B719" s="39" t="s">
        <v>254</v>
      </c>
      <c r="C719" s="39" t="s">
        <v>1854</v>
      </c>
      <c r="D719" s="39" t="s">
        <v>224</v>
      </c>
      <c r="E719" s="39" t="s">
        <v>634</v>
      </c>
      <c r="F719" s="39" t="s">
        <v>257</v>
      </c>
      <c r="G719" s="39" t="s">
        <v>258</v>
      </c>
      <c r="H719" s="39" t="s">
        <v>1855</v>
      </c>
      <c r="I719" s="39" t="s">
        <v>260</v>
      </c>
    </row>
    <row r="720" ht="15.75" hidden="1" customHeight="1">
      <c r="A720" s="36">
        <v>6057937.0</v>
      </c>
      <c r="B720" s="37" t="s">
        <v>853</v>
      </c>
      <c r="C720" s="37" t="s">
        <v>1856</v>
      </c>
      <c r="D720" s="37" t="s">
        <v>224</v>
      </c>
      <c r="E720" s="37" t="s">
        <v>855</v>
      </c>
      <c r="F720" s="37" t="s">
        <v>249</v>
      </c>
      <c r="G720" s="37" t="s">
        <v>250</v>
      </c>
      <c r="H720" s="37" t="s">
        <v>1857</v>
      </c>
      <c r="I720" s="37" t="s">
        <v>229</v>
      </c>
    </row>
    <row r="721" ht="15.75" hidden="1" customHeight="1">
      <c r="A721" s="38">
        <v>4720415.0</v>
      </c>
      <c r="B721" s="39" t="s">
        <v>676</v>
      </c>
      <c r="C721" s="39" t="s">
        <v>1858</v>
      </c>
      <c r="D721" s="39" t="s">
        <v>224</v>
      </c>
      <c r="E721" s="39" t="s">
        <v>1859</v>
      </c>
      <c r="F721" s="39" t="s">
        <v>679</v>
      </c>
      <c r="G721" s="39" t="s">
        <v>301</v>
      </c>
      <c r="H721" s="39" t="s">
        <v>1860</v>
      </c>
      <c r="I721" s="39" t="s">
        <v>229</v>
      </c>
    </row>
    <row r="722" ht="15.75" hidden="1" customHeight="1">
      <c r="A722" s="36">
        <v>4720713.0</v>
      </c>
      <c r="B722" s="37" t="s">
        <v>676</v>
      </c>
      <c r="C722" s="37" t="s">
        <v>1861</v>
      </c>
      <c r="D722" s="37" t="s">
        <v>224</v>
      </c>
      <c r="E722" s="37" t="s">
        <v>1859</v>
      </c>
      <c r="F722" s="37" t="s">
        <v>679</v>
      </c>
      <c r="G722" s="37" t="s">
        <v>301</v>
      </c>
      <c r="H722" s="37" t="s">
        <v>1862</v>
      </c>
      <c r="I722" s="37" t="s">
        <v>229</v>
      </c>
    </row>
    <row r="723" ht="15.75" hidden="1" customHeight="1">
      <c r="A723" s="38">
        <v>4833580.0</v>
      </c>
      <c r="B723" s="39" t="s">
        <v>853</v>
      </c>
      <c r="C723" s="39" t="s">
        <v>1863</v>
      </c>
      <c r="D723" s="39" t="s">
        <v>224</v>
      </c>
      <c r="E723" s="39" t="s">
        <v>855</v>
      </c>
      <c r="F723" s="39" t="s">
        <v>249</v>
      </c>
      <c r="G723" s="39" t="s">
        <v>250</v>
      </c>
      <c r="H723" s="39" t="s">
        <v>1864</v>
      </c>
      <c r="I723" s="39" t="s">
        <v>229</v>
      </c>
    </row>
    <row r="724" ht="15.75" hidden="1" customHeight="1">
      <c r="A724" s="36">
        <v>4888959.0</v>
      </c>
      <c r="B724" s="37" t="s">
        <v>853</v>
      </c>
      <c r="C724" s="37" t="s">
        <v>1865</v>
      </c>
      <c r="D724" s="37" t="s">
        <v>224</v>
      </c>
      <c r="E724" s="37" t="s">
        <v>855</v>
      </c>
      <c r="F724" s="37" t="s">
        <v>249</v>
      </c>
      <c r="G724" s="37" t="s">
        <v>250</v>
      </c>
      <c r="H724" s="37" t="s">
        <v>1866</v>
      </c>
      <c r="I724" s="37" t="s">
        <v>229</v>
      </c>
    </row>
    <row r="725" ht="15.75" hidden="1" customHeight="1">
      <c r="A725" s="38">
        <v>4901124.0</v>
      </c>
      <c r="B725" s="39" t="s">
        <v>853</v>
      </c>
      <c r="C725" s="39" t="s">
        <v>1867</v>
      </c>
      <c r="D725" s="39" t="s">
        <v>224</v>
      </c>
      <c r="E725" s="39" t="s">
        <v>855</v>
      </c>
      <c r="F725" s="39" t="s">
        <v>249</v>
      </c>
      <c r="G725" s="39" t="s">
        <v>250</v>
      </c>
      <c r="H725" s="39" t="s">
        <v>1868</v>
      </c>
      <c r="I725" s="39" t="s">
        <v>229</v>
      </c>
    </row>
    <row r="726" ht="15.75" hidden="1" customHeight="1">
      <c r="A726" s="36">
        <v>4721591.0</v>
      </c>
      <c r="B726" s="37" t="s">
        <v>401</v>
      </c>
      <c r="C726" s="37" t="s">
        <v>1869</v>
      </c>
      <c r="D726" s="37" t="s">
        <v>224</v>
      </c>
      <c r="E726" s="37" t="s">
        <v>403</v>
      </c>
      <c r="F726" s="37" t="s">
        <v>377</v>
      </c>
      <c r="G726" s="37" t="s">
        <v>327</v>
      </c>
      <c r="H726" s="37" t="s">
        <v>1870</v>
      </c>
      <c r="I726" s="37" t="s">
        <v>229</v>
      </c>
    </row>
    <row r="727" ht="15.75" hidden="1" customHeight="1">
      <c r="A727" s="38">
        <v>5088786.0</v>
      </c>
      <c r="B727" s="39" t="s">
        <v>853</v>
      </c>
      <c r="C727" s="39" t="s">
        <v>1871</v>
      </c>
      <c r="D727" s="39" t="s">
        <v>224</v>
      </c>
      <c r="E727" s="39" t="s">
        <v>855</v>
      </c>
      <c r="F727" s="39" t="s">
        <v>249</v>
      </c>
      <c r="G727" s="39" t="s">
        <v>250</v>
      </c>
      <c r="H727" s="39" t="s">
        <v>1872</v>
      </c>
      <c r="I727" s="39" t="s">
        <v>229</v>
      </c>
    </row>
    <row r="728" ht="15.75" hidden="1" customHeight="1">
      <c r="A728" s="36">
        <v>4721814.0</v>
      </c>
      <c r="B728" s="37" t="s">
        <v>813</v>
      </c>
      <c r="C728" s="37" t="s">
        <v>1873</v>
      </c>
      <c r="D728" s="37" t="s">
        <v>224</v>
      </c>
      <c r="E728" s="37" t="s">
        <v>815</v>
      </c>
      <c r="F728" s="37" t="s">
        <v>679</v>
      </c>
      <c r="G728" s="37" t="s">
        <v>301</v>
      </c>
      <c r="H728" s="37" t="s">
        <v>1874</v>
      </c>
      <c r="I728" s="37" t="s">
        <v>229</v>
      </c>
    </row>
    <row r="729" ht="15.75" hidden="1" customHeight="1">
      <c r="A729" s="38">
        <v>6041167.0</v>
      </c>
      <c r="B729" s="39" t="s">
        <v>853</v>
      </c>
      <c r="C729" s="39" t="s">
        <v>1875</v>
      </c>
      <c r="D729" s="39" t="s">
        <v>224</v>
      </c>
      <c r="E729" s="39" t="s">
        <v>855</v>
      </c>
      <c r="F729" s="39" t="s">
        <v>249</v>
      </c>
      <c r="G729" s="39" t="s">
        <v>250</v>
      </c>
      <c r="H729" s="39" t="s">
        <v>1876</v>
      </c>
      <c r="I729" s="39" t="s">
        <v>229</v>
      </c>
    </row>
    <row r="730" ht="15.75" hidden="1" customHeight="1">
      <c r="A730" s="36">
        <v>4722970.0</v>
      </c>
      <c r="B730" s="37" t="s">
        <v>676</v>
      </c>
      <c r="C730" s="37" t="s">
        <v>1877</v>
      </c>
      <c r="D730" s="37" t="s">
        <v>224</v>
      </c>
      <c r="E730" s="37" t="s">
        <v>678</v>
      </c>
      <c r="F730" s="37" t="s">
        <v>679</v>
      </c>
      <c r="G730" s="37" t="s">
        <v>301</v>
      </c>
      <c r="H730" s="37" t="s">
        <v>1878</v>
      </c>
      <c r="I730" s="37" t="s">
        <v>229</v>
      </c>
    </row>
    <row r="731" ht="15.75" hidden="1" customHeight="1">
      <c r="A731" s="38">
        <v>5119612.0</v>
      </c>
      <c r="B731" s="39" t="s">
        <v>853</v>
      </c>
      <c r="C731" s="39" t="s">
        <v>1879</v>
      </c>
      <c r="D731" s="39" t="s">
        <v>224</v>
      </c>
      <c r="E731" s="39" t="s">
        <v>855</v>
      </c>
      <c r="F731" s="39" t="s">
        <v>249</v>
      </c>
      <c r="G731" s="39" t="s">
        <v>250</v>
      </c>
      <c r="H731" s="39" t="s">
        <v>1880</v>
      </c>
      <c r="I731" s="39" t="s">
        <v>229</v>
      </c>
    </row>
    <row r="732" ht="15.75" hidden="1" customHeight="1">
      <c r="A732" s="36">
        <v>4725016.0</v>
      </c>
      <c r="B732" s="37" t="s">
        <v>555</v>
      </c>
      <c r="C732" s="37" t="s">
        <v>1881</v>
      </c>
      <c r="D732" s="37" t="s">
        <v>224</v>
      </c>
      <c r="E732" s="37" t="s">
        <v>557</v>
      </c>
      <c r="F732" s="37" t="s">
        <v>558</v>
      </c>
      <c r="G732" s="37" t="s">
        <v>541</v>
      </c>
      <c r="H732" s="37" t="s">
        <v>1882</v>
      </c>
      <c r="I732" s="37" t="s">
        <v>229</v>
      </c>
    </row>
    <row r="733" ht="15.75" hidden="1" customHeight="1">
      <c r="A733" s="38">
        <v>6057938.0</v>
      </c>
      <c r="B733" s="39" t="s">
        <v>853</v>
      </c>
      <c r="C733" s="39" t="s">
        <v>1883</v>
      </c>
      <c r="D733" s="39" t="s">
        <v>224</v>
      </c>
      <c r="E733" s="39" t="s">
        <v>855</v>
      </c>
      <c r="F733" s="39" t="s">
        <v>249</v>
      </c>
      <c r="G733" s="39" t="s">
        <v>250</v>
      </c>
      <c r="H733" s="39" t="s">
        <v>1884</v>
      </c>
      <c r="I733" s="39" t="s">
        <v>229</v>
      </c>
    </row>
    <row r="734" ht="15.75" hidden="1" customHeight="1">
      <c r="A734" s="36">
        <v>4725026.0</v>
      </c>
      <c r="B734" s="37" t="s">
        <v>289</v>
      </c>
      <c r="C734" s="37" t="s">
        <v>1885</v>
      </c>
      <c r="D734" s="37" t="s">
        <v>224</v>
      </c>
      <c r="E734" s="37" t="s">
        <v>1048</v>
      </c>
      <c r="F734" s="37" t="s">
        <v>292</v>
      </c>
      <c r="G734" s="37" t="s">
        <v>293</v>
      </c>
      <c r="H734" s="37" t="s">
        <v>1886</v>
      </c>
      <c r="I734" s="37" t="s">
        <v>229</v>
      </c>
    </row>
    <row r="735" ht="15.75" hidden="1" customHeight="1">
      <c r="A735" s="38">
        <v>5361591.0</v>
      </c>
      <c r="B735" s="39" t="s">
        <v>1060</v>
      </c>
      <c r="C735" s="39" t="s">
        <v>1887</v>
      </c>
      <c r="D735" s="39" t="s">
        <v>224</v>
      </c>
      <c r="E735" s="39" t="s">
        <v>855</v>
      </c>
      <c r="F735" s="39" t="s">
        <v>249</v>
      </c>
      <c r="G735" s="39" t="s">
        <v>250</v>
      </c>
      <c r="H735" s="39" t="s">
        <v>1888</v>
      </c>
      <c r="I735" s="39" t="s">
        <v>229</v>
      </c>
    </row>
    <row r="736" ht="15.75" hidden="1" customHeight="1">
      <c r="A736" s="36">
        <v>4725252.0</v>
      </c>
      <c r="B736" s="37" t="s">
        <v>289</v>
      </c>
      <c r="C736" s="37" t="s">
        <v>1889</v>
      </c>
      <c r="D736" s="37" t="s">
        <v>224</v>
      </c>
      <c r="E736" s="37" t="s">
        <v>1048</v>
      </c>
      <c r="F736" s="37" t="s">
        <v>292</v>
      </c>
      <c r="G736" s="37" t="s">
        <v>293</v>
      </c>
      <c r="H736" s="37" t="s">
        <v>1890</v>
      </c>
      <c r="I736" s="37" t="s">
        <v>229</v>
      </c>
    </row>
    <row r="737" ht="15.75" hidden="1" customHeight="1">
      <c r="A737" s="38">
        <v>5367285.0</v>
      </c>
      <c r="B737" s="39" t="s">
        <v>853</v>
      </c>
      <c r="C737" s="39" t="s">
        <v>1891</v>
      </c>
      <c r="D737" s="39" t="s">
        <v>224</v>
      </c>
      <c r="E737" s="39" t="s">
        <v>855</v>
      </c>
      <c r="F737" s="39" t="s">
        <v>249</v>
      </c>
      <c r="G737" s="39" t="s">
        <v>250</v>
      </c>
      <c r="H737" s="39" t="s">
        <v>1892</v>
      </c>
      <c r="I737" s="39" t="s">
        <v>229</v>
      </c>
    </row>
    <row r="738" ht="15.75" hidden="1" customHeight="1">
      <c r="A738" s="36">
        <v>5368223.0</v>
      </c>
      <c r="B738" s="37" t="s">
        <v>853</v>
      </c>
      <c r="C738" s="37" t="s">
        <v>1893</v>
      </c>
      <c r="D738" s="37" t="s">
        <v>224</v>
      </c>
      <c r="E738" s="37" t="s">
        <v>855</v>
      </c>
      <c r="F738" s="37" t="s">
        <v>249</v>
      </c>
      <c r="G738" s="37" t="s">
        <v>250</v>
      </c>
      <c r="H738" s="37" t="s">
        <v>1894</v>
      </c>
      <c r="I738" s="37" t="s">
        <v>229</v>
      </c>
    </row>
    <row r="739" ht="15.75" hidden="1" customHeight="1">
      <c r="A739" s="38">
        <v>5847498.0</v>
      </c>
      <c r="B739" s="39" t="s">
        <v>1060</v>
      </c>
      <c r="C739" s="39" t="s">
        <v>1895</v>
      </c>
      <c r="D739" s="39" t="s">
        <v>224</v>
      </c>
      <c r="E739" s="39" t="s">
        <v>855</v>
      </c>
      <c r="F739" s="39" t="s">
        <v>249</v>
      </c>
      <c r="G739" s="39" t="s">
        <v>250</v>
      </c>
      <c r="H739" s="39" t="s">
        <v>1896</v>
      </c>
      <c r="I739" s="39" t="s">
        <v>229</v>
      </c>
    </row>
    <row r="740" ht="15.75" hidden="1" customHeight="1">
      <c r="A740" s="36">
        <v>4734478.0</v>
      </c>
      <c r="B740" s="37" t="s">
        <v>1746</v>
      </c>
      <c r="C740" s="37" t="s">
        <v>1897</v>
      </c>
      <c r="D740" s="37" t="s">
        <v>224</v>
      </c>
      <c r="E740" s="37" t="s">
        <v>1518</v>
      </c>
      <c r="F740" s="37" t="s">
        <v>698</v>
      </c>
      <c r="G740" s="37" t="s">
        <v>541</v>
      </c>
      <c r="H740" s="37" t="s">
        <v>1898</v>
      </c>
      <c r="I740" s="37" t="s">
        <v>229</v>
      </c>
    </row>
    <row r="741" ht="15.75" hidden="1" customHeight="1">
      <c r="A741" s="38">
        <v>5853945.0</v>
      </c>
      <c r="B741" s="39" t="s">
        <v>853</v>
      </c>
      <c r="C741" s="39" t="s">
        <v>1899</v>
      </c>
      <c r="D741" s="39" t="s">
        <v>224</v>
      </c>
      <c r="E741" s="39" t="s">
        <v>855</v>
      </c>
      <c r="F741" s="39" t="s">
        <v>249</v>
      </c>
      <c r="G741" s="39" t="s">
        <v>250</v>
      </c>
      <c r="H741" s="39" t="s">
        <v>1900</v>
      </c>
      <c r="I741" s="39" t="s">
        <v>229</v>
      </c>
    </row>
    <row r="742" ht="15.75" customHeight="1">
      <c r="A742" s="36">
        <v>4734515.0</v>
      </c>
      <c r="B742" s="37" t="s">
        <v>13</v>
      </c>
      <c r="C742" s="37" t="s">
        <v>36</v>
      </c>
      <c r="D742" s="37" t="s">
        <v>224</v>
      </c>
      <c r="E742" s="37" t="s">
        <v>408</v>
      </c>
      <c r="F742" s="37" t="s">
        <v>341</v>
      </c>
      <c r="G742" s="37" t="s">
        <v>3</v>
      </c>
      <c r="H742" s="37" t="s">
        <v>1901</v>
      </c>
      <c r="I742" s="37" t="s">
        <v>260</v>
      </c>
      <c r="J742" s="1">
        <v>42.0</v>
      </c>
      <c r="L742" s="40" t="s">
        <v>506</v>
      </c>
    </row>
    <row r="743" ht="15.75" hidden="1" customHeight="1">
      <c r="A743" s="38">
        <v>5646820.0</v>
      </c>
      <c r="B743" s="39" t="s">
        <v>853</v>
      </c>
      <c r="C743" s="39" t="s">
        <v>1902</v>
      </c>
      <c r="D743" s="39" t="s">
        <v>224</v>
      </c>
      <c r="E743" s="39" t="s">
        <v>855</v>
      </c>
      <c r="F743" s="39" t="s">
        <v>249</v>
      </c>
      <c r="G743" s="39" t="s">
        <v>250</v>
      </c>
      <c r="H743" s="39" t="s">
        <v>1903</v>
      </c>
      <c r="I743" s="39" t="s">
        <v>229</v>
      </c>
    </row>
    <row r="744" ht="15.75" hidden="1" customHeight="1">
      <c r="A744" s="36">
        <v>5854966.0</v>
      </c>
      <c r="B744" s="37" t="s">
        <v>853</v>
      </c>
      <c r="C744" s="37" t="s">
        <v>1904</v>
      </c>
      <c r="D744" s="37" t="s">
        <v>224</v>
      </c>
      <c r="E744" s="37" t="s">
        <v>855</v>
      </c>
      <c r="F744" s="37" t="s">
        <v>249</v>
      </c>
      <c r="G744" s="37" t="s">
        <v>250</v>
      </c>
      <c r="H744" s="37" t="s">
        <v>1905</v>
      </c>
      <c r="I744" s="37" t="s">
        <v>229</v>
      </c>
    </row>
    <row r="745" ht="15.75" hidden="1" customHeight="1">
      <c r="A745" s="38">
        <v>4746269.0</v>
      </c>
      <c r="B745" s="39" t="s">
        <v>847</v>
      </c>
      <c r="C745" s="39" t="s">
        <v>1906</v>
      </c>
      <c r="D745" s="39" t="s">
        <v>224</v>
      </c>
      <c r="E745" s="39" t="s">
        <v>1418</v>
      </c>
      <c r="F745" s="39" t="s">
        <v>333</v>
      </c>
      <c r="G745" s="39" t="s">
        <v>301</v>
      </c>
      <c r="H745" s="39" t="s">
        <v>1907</v>
      </c>
      <c r="I745" s="39" t="s">
        <v>229</v>
      </c>
    </row>
    <row r="746" ht="15.75" customHeight="1">
      <c r="A746" s="36">
        <v>4747160.0</v>
      </c>
      <c r="B746" s="37" t="s">
        <v>13</v>
      </c>
      <c r="C746" s="37" t="s">
        <v>37</v>
      </c>
      <c r="D746" s="37" t="s">
        <v>224</v>
      </c>
      <c r="E746" s="37" t="s">
        <v>357</v>
      </c>
      <c r="F746" s="37" t="s">
        <v>341</v>
      </c>
      <c r="G746" s="37" t="s">
        <v>3</v>
      </c>
      <c r="H746" s="37" t="s">
        <v>1908</v>
      </c>
      <c r="I746" s="37" t="s">
        <v>260</v>
      </c>
      <c r="J746" s="1">
        <v>42.0</v>
      </c>
      <c r="L746" s="40" t="s">
        <v>13</v>
      </c>
    </row>
    <row r="747" ht="15.75" hidden="1" customHeight="1">
      <c r="A747" s="38">
        <v>4749280.0</v>
      </c>
      <c r="B747" s="39" t="s">
        <v>522</v>
      </c>
      <c r="C747" s="39" t="s">
        <v>1909</v>
      </c>
      <c r="D747" s="39" t="s">
        <v>224</v>
      </c>
      <c r="E747" s="39" t="s">
        <v>524</v>
      </c>
      <c r="F747" s="39" t="s">
        <v>470</v>
      </c>
      <c r="G747" s="39" t="s">
        <v>327</v>
      </c>
      <c r="H747" s="39" t="s">
        <v>1910</v>
      </c>
      <c r="I747" s="39" t="s">
        <v>229</v>
      </c>
    </row>
    <row r="748" ht="15.75" hidden="1" customHeight="1">
      <c r="A748" s="36">
        <v>4749282.0</v>
      </c>
      <c r="B748" s="37" t="s">
        <v>323</v>
      </c>
      <c r="C748" s="37" t="s">
        <v>1911</v>
      </c>
      <c r="D748" s="37" t="s">
        <v>331</v>
      </c>
      <c r="E748" s="37" t="s">
        <v>1328</v>
      </c>
      <c r="F748" s="37" t="s">
        <v>326</v>
      </c>
      <c r="G748" s="37" t="s">
        <v>327</v>
      </c>
      <c r="H748" s="37" t="s">
        <v>1912</v>
      </c>
      <c r="I748" s="37" t="s">
        <v>229</v>
      </c>
    </row>
    <row r="749" ht="15.75" hidden="1" customHeight="1">
      <c r="A749" s="38">
        <v>4755141.0</v>
      </c>
      <c r="B749" s="39" t="s">
        <v>232</v>
      </c>
      <c r="C749" s="39" t="s">
        <v>1913</v>
      </c>
      <c r="D749" s="39" t="s">
        <v>224</v>
      </c>
      <c r="E749" s="39" t="s">
        <v>499</v>
      </c>
      <c r="F749" s="39" t="s">
        <v>226</v>
      </c>
      <c r="G749" s="39" t="s">
        <v>227</v>
      </c>
      <c r="H749" s="39" t="s">
        <v>1914</v>
      </c>
      <c r="I749" s="39" t="s">
        <v>229</v>
      </c>
    </row>
    <row r="750" ht="15.75" hidden="1" customHeight="1">
      <c r="A750" s="36">
        <v>5108871.0</v>
      </c>
      <c r="B750" s="37" t="s">
        <v>514</v>
      </c>
      <c r="C750" s="37" t="s">
        <v>1915</v>
      </c>
      <c r="D750" s="37" t="s">
        <v>224</v>
      </c>
      <c r="E750" s="37" t="s">
        <v>387</v>
      </c>
      <c r="F750" s="37" t="s">
        <v>300</v>
      </c>
      <c r="G750" s="37" t="s">
        <v>301</v>
      </c>
      <c r="H750" s="37" t="s">
        <v>1916</v>
      </c>
      <c r="I750" s="37" t="s">
        <v>229</v>
      </c>
    </row>
    <row r="751" ht="15.75" hidden="1" customHeight="1">
      <c r="A751" s="38">
        <v>4761384.0</v>
      </c>
      <c r="B751" s="39" t="s">
        <v>323</v>
      </c>
      <c r="C751" s="39" t="s">
        <v>1917</v>
      </c>
      <c r="D751" s="39" t="s">
        <v>224</v>
      </c>
      <c r="E751" s="39" t="s">
        <v>325</v>
      </c>
      <c r="F751" s="39" t="s">
        <v>326</v>
      </c>
      <c r="G751" s="39" t="s">
        <v>327</v>
      </c>
      <c r="H751" s="39" t="s">
        <v>1918</v>
      </c>
      <c r="I751" s="39" t="s">
        <v>229</v>
      </c>
    </row>
    <row r="752" ht="15.75" hidden="1" customHeight="1">
      <c r="A752" s="36">
        <v>5132958.0</v>
      </c>
      <c r="B752" s="37" t="s">
        <v>385</v>
      </c>
      <c r="C752" s="37" t="s">
        <v>1919</v>
      </c>
      <c r="D752" s="37" t="s">
        <v>224</v>
      </c>
      <c r="E752" s="37" t="s">
        <v>387</v>
      </c>
      <c r="F752" s="37" t="s">
        <v>300</v>
      </c>
      <c r="G752" s="37" t="s">
        <v>301</v>
      </c>
      <c r="H752" s="37" t="s">
        <v>1920</v>
      </c>
      <c r="I752" s="37" t="s">
        <v>229</v>
      </c>
    </row>
    <row r="753" ht="15.75" hidden="1" customHeight="1">
      <c r="A753" s="38">
        <v>4762259.0</v>
      </c>
      <c r="B753" s="39" t="s">
        <v>1921</v>
      </c>
      <c r="C753" s="39" t="s">
        <v>1922</v>
      </c>
      <c r="D753" s="39" t="s">
        <v>224</v>
      </c>
      <c r="E753" s="39" t="s">
        <v>393</v>
      </c>
      <c r="F753" s="39" t="s">
        <v>249</v>
      </c>
      <c r="G753" s="39" t="s">
        <v>250</v>
      </c>
      <c r="H753" s="39" t="s">
        <v>1923</v>
      </c>
      <c r="I753" s="39" t="s">
        <v>229</v>
      </c>
    </row>
    <row r="754" ht="15.75" hidden="1" customHeight="1">
      <c r="A754" s="36">
        <v>5948234.0</v>
      </c>
      <c r="B754" s="37" t="s">
        <v>385</v>
      </c>
      <c r="C754" s="37" t="s">
        <v>1924</v>
      </c>
      <c r="D754" s="37" t="s">
        <v>224</v>
      </c>
      <c r="E754" s="37" t="s">
        <v>387</v>
      </c>
      <c r="F754" s="37" t="s">
        <v>300</v>
      </c>
      <c r="G754" s="37" t="s">
        <v>301</v>
      </c>
      <c r="H754" s="37" t="s">
        <v>1925</v>
      </c>
      <c r="I754" s="37" t="s">
        <v>229</v>
      </c>
    </row>
    <row r="755" ht="15.75" hidden="1" customHeight="1">
      <c r="A755" s="38">
        <v>3118502.0</v>
      </c>
      <c r="B755" s="39" t="s">
        <v>385</v>
      </c>
      <c r="C755" s="39" t="s">
        <v>1926</v>
      </c>
      <c r="D755" s="39" t="s">
        <v>224</v>
      </c>
      <c r="E755" s="39" t="s">
        <v>387</v>
      </c>
      <c r="F755" s="39" t="s">
        <v>300</v>
      </c>
      <c r="G755" s="39" t="s">
        <v>301</v>
      </c>
      <c r="H755" s="39" t="s">
        <v>1927</v>
      </c>
      <c r="I755" s="39" t="s">
        <v>229</v>
      </c>
    </row>
    <row r="756" ht="15.75" hidden="1" customHeight="1">
      <c r="A756" s="36">
        <v>5947499.0</v>
      </c>
      <c r="B756" s="37" t="s">
        <v>385</v>
      </c>
      <c r="C756" s="37" t="s">
        <v>1928</v>
      </c>
      <c r="D756" s="37" t="s">
        <v>224</v>
      </c>
      <c r="E756" s="37" t="s">
        <v>387</v>
      </c>
      <c r="F756" s="37" t="s">
        <v>300</v>
      </c>
      <c r="G756" s="37" t="s">
        <v>301</v>
      </c>
      <c r="H756" s="37" t="s">
        <v>1929</v>
      </c>
      <c r="I756" s="37" t="s">
        <v>229</v>
      </c>
    </row>
    <row r="757" ht="15.75" hidden="1" customHeight="1">
      <c r="A757" s="38">
        <v>4790225.0</v>
      </c>
      <c r="B757" s="39" t="s">
        <v>254</v>
      </c>
      <c r="C757" s="39" t="s">
        <v>1930</v>
      </c>
      <c r="D757" s="39" t="s">
        <v>224</v>
      </c>
      <c r="E757" s="39" t="s">
        <v>443</v>
      </c>
      <c r="F757" s="39" t="s">
        <v>257</v>
      </c>
      <c r="G757" s="39" t="s">
        <v>258</v>
      </c>
      <c r="H757" s="39" t="s">
        <v>1931</v>
      </c>
      <c r="I757" s="39" t="s">
        <v>260</v>
      </c>
    </row>
    <row r="758" ht="15.75" hidden="1" customHeight="1">
      <c r="A758" s="36">
        <v>4794011.0</v>
      </c>
      <c r="B758" s="37" t="s">
        <v>1932</v>
      </c>
      <c r="C758" s="37" t="s">
        <v>1933</v>
      </c>
      <c r="D758" s="37" t="s">
        <v>224</v>
      </c>
      <c r="E758" s="37" t="s">
        <v>1934</v>
      </c>
      <c r="F758" s="37" t="s">
        <v>300</v>
      </c>
      <c r="G758" s="37" t="s">
        <v>301</v>
      </c>
      <c r="H758" s="37" t="s">
        <v>1935</v>
      </c>
      <c r="I758" s="37" t="s">
        <v>229</v>
      </c>
    </row>
    <row r="759" ht="15.75" hidden="1" customHeight="1">
      <c r="A759" s="38">
        <v>5366655.0</v>
      </c>
      <c r="B759" s="39" t="s">
        <v>794</v>
      </c>
      <c r="C759" s="39" t="s">
        <v>1936</v>
      </c>
      <c r="D759" s="39" t="s">
        <v>224</v>
      </c>
      <c r="E759" s="39" t="s">
        <v>318</v>
      </c>
      <c r="F759" s="39" t="s">
        <v>293</v>
      </c>
      <c r="G759" s="39" t="s">
        <v>319</v>
      </c>
      <c r="H759" s="39" t="s">
        <v>1937</v>
      </c>
      <c r="I759" s="39" t="s">
        <v>229</v>
      </c>
    </row>
    <row r="760" ht="15.75" hidden="1" customHeight="1">
      <c r="A760" s="36">
        <v>5031977.0</v>
      </c>
      <c r="B760" s="37" t="s">
        <v>1363</v>
      </c>
      <c r="C760" s="37" t="s">
        <v>1938</v>
      </c>
      <c r="D760" s="37" t="s">
        <v>224</v>
      </c>
      <c r="E760" s="37" t="s">
        <v>318</v>
      </c>
      <c r="F760" s="37" t="s">
        <v>293</v>
      </c>
      <c r="G760" s="37" t="s">
        <v>319</v>
      </c>
      <c r="H760" s="37" t="s">
        <v>1939</v>
      </c>
      <c r="I760" s="37" t="s">
        <v>229</v>
      </c>
    </row>
    <row r="761" ht="15.75" hidden="1" customHeight="1">
      <c r="A761" s="38">
        <v>4799070.0</v>
      </c>
      <c r="B761" s="39" t="s">
        <v>506</v>
      </c>
      <c r="C761" s="39" t="s">
        <v>1940</v>
      </c>
      <c r="D761" s="39" t="s">
        <v>269</v>
      </c>
      <c r="E761" s="39" t="s">
        <v>510</v>
      </c>
      <c r="F761" s="39" t="s">
        <v>284</v>
      </c>
      <c r="G761" s="39" t="s">
        <v>3</v>
      </c>
      <c r="H761" s="39" t="s">
        <v>1941</v>
      </c>
      <c r="I761" s="39" t="s">
        <v>260</v>
      </c>
      <c r="J761" s="1">
        <v>42.0</v>
      </c>
      <c r="L761" s="40" t="s">
        <v>13</v>
      </c>
    </row>
    <row r="762" ht="15.75" hidden="1" customHeight="1">
      <c r="A762" s="36">
        <v>4817978.0</v>
      </c>
      <c r="B762" s="37" t="s">
        <v>794</v>
      </c>
      <c r="C762" s="37" t="s">
        <v>1942</v>
      </c>
      <c r="D762" s="37" t="s">
        <v>224</v>
      </c>
      <c r="E762" s="37" t="s">
        <v>318</v>
      </c>
      <c r="F762" s="37" t="s">
        <v>293</v>
      </c>
      <c r="G762" s="37" t="s">
        <v>319</v>
      </c>
      <c r="H762" s="37" t="s">
        <v>1943</v>
      </c>
      <c r="I762" s="37" t="s">
        <v>229</v>
      </c>
    </row>
    <row r="763" ht="15.75" hidden="1" customHeight="1">
      <c r="A763" s="38">
        <v>4799203.0</v>
      </c>
      <c r="B763" s="39" t="s">
        <v>232</v>
      </c>
      <c r="C763" s="39" t="s">
        <v>1944</v>
      </c>
      <c r="D763" s="39" t="s">
        <v>224</v>
      </c>
      <c r="E763" s="39" t="s">
        <v>1207</v>
      </c>
      <c r="F763" s="39" t="s">
        <v>226</v>
      </c>
      <c r="G763" s="39" t="s">
        <v>227</v>
      </c>
      <c r="H763" s="39" t="s">
        <v>1945</v>
      </c>
      <c r="I763" s="39" t="s">
        <v>229</v>
      </c>
    </row>
    <row r="764" ht="15.75" hidden="1" customHeight="1">
      <c r="A764" s="36">
        <v>5069390.0</v>
      </c>
      <c r="B764" s="37" t="s">
        <v>1363</v>
      </c>
      <c r="C764" s="37" t="s">
        <v>1946</v>
      </c>
      <c r="D764" s="37" t="s">
        <v>224</v>
      </c>
      <c r="E764" s="37" t="s">
        <v>318</v>
      </c>
      <c r="F764" s="37" t="s">
        <v>293</v>
      </c>
      <c r="G764" s="37" t="s">
        <v>319</v>
      </c>
      <c r="H764" s="37" t="s">
        <v>1947</v>
      </c>
      <c r="I764" s="37" t="s">
        <v>229</v>
      </c>
    </row>
    <row r="765" ht="15.75" hidden="1" customHeight="1">
      <c r="A765" s="38">
        <v>4799477.0</v>
      </c>
      <c r="B765" s="39" t="s">
        <v>853</v>
      </c>
      <c r="C765" s="39" t="s">
        <v>1948</v>
      </c>
      <c r="D765" s="39" t="s">
        <v>224</v>
      </c>
      <c r="E765" s="39" t="s">
        <v>459</v>
      </c>
      <c r="F765" s="39" t="s">
        <v>292</v>
      </c>
      <c r="G765" s="39" t="s">
        <v>293</v>
      </c>
      <c r="H765" s="39" t="s">
        <v>1949</v>
      </c>
      <c r="I765" s="39" t="s">
        <v>229</v>
      </c>
    </row>
    <row r="766" ht="15.75" hidden="1" customHeight="1">
      <c r="A766" s="36">
        <v>5121448.0</v>
      </c>
      <c r="B766" s="37" t="s">
        <v>794</v>
      </c>
      <c r="C766" s="37" t="s">
        <v>1950</v>
      </c>
      <c r="D766" s="37" t="s">
        <v>224</v>
      </c>
      <c r="E766" s="37" t="s">
        <v>318</v>
      </c>
      <c r="F766" s="37" t="s">
        <v>293</v>
      </c>
      <c r="G766" s="37" t="s">
        <v>319</v>
      </c>
      <c r="H766" s="37" t="s">
        <v>1951</v>
      </c>
      <c r="I766" s="37" t="s">
        <v>229</v>
      </c>
    </row>
    <row r="767" ht="15.75" hidden="1" customHeight="1">
      <c r="A767" s="38">
        <v>4799484.0</v>
      </c>
      <c r="B767" s="39" t="s">
        <v>800</v>
      </c>
      <c r="C767" s="39" t="s">
        <v>1952</v>
      </c>
      <c r="D767" s="39" t="s">
        <v>224</v>
      </c>
      <c r="E767" s="39" t="s">
        <v>802</v>
      </c>
      <c r="F767" s="39" t="s">
        <v>333</v>
      </c>
      <c r="G767" s="39" t="s">
        <v>301</v>
      </c>
      <c r="H767" s="39" t="s">
        <v>1953</v>
      </c>
      <c r="I767" s="39" t="s">
        <v>229</v>
      </c>
    </row>
    <row r="768" ht="15.75" hidden="1" customHeight="1">
      <c r="A768" s="36">
        <v>5133451.0</v>
      </c>
      <c r="B768" s="37" t="s">
        <v>1363</v>
      </c>
      <c r="C768" s="37" t="s">
        <v>1954</v>
      </c>
      <c r="D768" s="37" t="s">
        <v>224</v>
      </c>
      <c r="E768" s="37" t="s">
        <v>318</v>
      </c>
      <c r="F768" s="37" t="s">
        <v>293</v>
      </c>
      <c r="G768" s="37" t="s">
        <v>319</v>
      </c>
      <c r="H768" s="37" t="s">
        <v>1955</v>
      </c>
      <c r="I768" s="37" t="s">
        <v>229</v>
      </c>
    </row>
    <row r="769" ht="15.75" hidden="1" customHeight="1">
      <c r="A769" s="38">
        <v>4803844.0</v>
      </c>
      <c r="B769" s="39" t="s">
        <v>491</v>
      </c>
      <c r="C769" s="39" t="s">
        <v>1956</v>
      </c>
      <c r="D769" s="39" t="s">
        <v>224</v>
      </c>
      <c r="E769" s="39" t="s">
        <v>493</v>
      </c>
      <c r="F769" s="39" t="s">
        <v>494</v>
      </c>
      <c r="G769" s="39" t="s">
        <v>227</v>
      </c>
      <c r="H769" s="39" t="s">
        <v>1957</v>
      </c>
      <c r="I769" s="39" t="s">
        <v>260</v>
      </c>
    </row>
    <row r="770" ht="15.75" hidden="1" customHeight="1">
      <c r="A770" s="36">
        <v>5365630.0</v>
      </c>
      <c r="B770" s="37" t="s">
        <v>316</v>
      </c>
      <c r="C770" s="37" t="s">
        <v>1958</v>
      </c>
      <c r="D770" s="37" t="s">
        <v>224</v>
      </c>
      <c r="E770" s="37" t="s">
        <v>318</v>
      </c>
      <c r="F770" s="37" t="s">
        <v>293</v>
      </c>
      <c r="G770" s="37" t="s">
        <v>319</v>
      </c>
      <c r="H770" s="37" t="s">
        <v>1959</v>
      </c>
      <c r="I770" s="37" t="s">
        <v>229</v>
      </c>
    </row>
    <row r="771" ht="15.75" hidden="1" customHeight="1">
      <c r="A771" s="38">
        <v>4805655.0</v>
      </c>
      <c r="B771" s="39" t="s">
        <v>526</v>
      </c>
      <c r="C771" s="39" t="s">
        <v>1960</v>
      </c>
      <c r="D771" s="39" t="s">
        <v>224</v>
      </c>
      <c r="E771" s="39" t="s">
        <v>667</v>
      </c>
      <c r="F771" s="39" t="s">
        <v>326</v>
      </c>
      <c r="G771" s="39" t="s">
        <v>327</v>
      </c>
      <c r="H771" s="39" t="s">
        <v>1961</v>
      </c>
      <c r="I771" s="39" t="s">
        <v>229</v>
      </c>
    </row>
    <row r="772" ht="15.75" hidden="1" customHeight="1">
      <c r="A772" s="36">
        <v>5447486.0</v>
      </c>
      <c r="B772" s="37" t="s">
        <v>1363</v>
      </c>
      <c r="C772" s="37" t="s">
        <v>1962</v>
      </c>
      <c r="D772" s="37" t="s">
        <v>224</v>
      </c>
      <c r="E772" s="37" t="s">
        <v>318</v>
      </c>
      <c r="F772" s="37" t="s">
        <v>293</v>
      </c>
      <c r="G772" s="37" t="s">
        <v>319</v>
      </c>
      <c r="H772" s="37" t="s">
        <v>1963</v>
      </c>
      <c r="I772" s="37" t="s">
        <v>229</v>
      </c>
    </row>
    <row r="773" ht="15.75" hidden="1" customHeight="1">
      <c r="A773" s="38">
        <v>4805662.0</v>
      </c>
      <c r="B773" s="39" t="s">
        <v>522</v>
      </c>
      <c r="C773" s="39" t="s">
        <v>1964</v>
      </c>
      <c r="D773" s="39" t="s">
        <v>224</v>
      </c>
      <c r="E773" s="39" t="s">
        <v>658</v>
      </c>
      <c r="F773" s="39" t="s">
        <v>470</v>
      </c>
      <c r="G773" s="39" t="s">
        <v>327</v>
      </c>
      <c r="H773" s="39" t="s">
        <v>1965</v>
      </c>
      <c r="I773" s="39" t="s">
        <v>229</v>
      </c>
    </row>
    <row r="774" ht="15.75" hidden="1" customHeight="1">
      <c r="A774" s="36">
        <v>5942475.0</v>
      </c>
      <c r="B774" s="37" t="s">
        <v>1363</v>
      </c>
      <c r="C774" s="37" t="s">
        <v>1966</v>
      </c>
      <c r="D774" s="37" t="s">
        <v>224</v>
      </c>
      <c r="E774" s="37" t="s">
        <v>318</v>
      </c>
      <c r="F774" s="37" t="s">
        <v>293</v>
      </c>
      <c r="G774" s="37" t="s">
        <v>319</v>
      </c>
      <c r="H774" s="37" t="s">
        <v>1967</v>
      </c>
      <c r="I774" s="37" t="s">
        <v>229</v>
      </c>
    </row>
    <row r="775" ht="15.75" hidden="1" customHeight="1">
      <c r="A775" s="38">
        <v>4805691.0</v>
      </c>
      <c r="B775" s="39" t="s">
        <v>526</v>
      </c>
      <c r="C775" s="39" t="s">
        <v>1968</v>
      </c>
      <c r="D775" s="39" t="s">
        <v>224</v>
      </c>
      <c r="E775" s="39" t="s">
        <v>667</v>
      </c>
      <c r="F775" s="39" t="s">
        <v>326</v>
      </c>
      <c r="G775" s="39" t="s">
        <v>327</v>
      </c>
      <c r="H775" s="39" t="s">
        <v>1969</v>
      </c>
      <c r="I775" s="39" t="s">
        <v>229</v>
      </c>
    </row>
    <row r="776" ht="15.75" hidden="1" customHeight="1">
      <c r="A776" s="36">
        <v>5876610.0</v>
      </c>
      <c r="B776" s="37" t="s">
        <v>794</v>
      </c>
      <c r="C776" s="37" t="s">
        <v>1970</v>
      </c>
      <c r="D776" s="37" t="s">
        <v>224</v>
      </c>
      <c r="E776" s="37" t="s">
        <v>318</v>
      </c>
      <c r="F776" s="37" t="s">
        <v>293</v>
      </c>
      <c r="G776" s="37" t="s">
        <v>319</v>
      </c>
      <c r="H776" s="37" t="s">
        <v>1971</v>
      </c>
      <c r="I776" s="37" t="s">
        <v>229</v>
      </c>
    </row>
    <row r="777" ht="15.75" hidden="1" customHeight="1">
      <c r="A777" s="38">
        <v>4805692.0</v>
      </c>
      <c r="B777" s="39" t="s">
        <v>485</v>
      </c>
      <c r="C777" s="39" t="s">
        <v>1972</v>
      </c>
      <c r="D777" s="39" t="s">
        <v>224</v>
      </c>
      <c r="E777" s="39" t="s">
        <v>487</v>
      </c>
      <c r="F777" s="39" t="s">
        <v>470</v>
      </c>
      <c r="G777" s="39" t="s">
        <v>327</v>
      </c>
      <c r="H777" s="39" t="s">
        <v>1973</v>
      </c>
      <c r="I777" s="39" t="s">
        <v>229</v>
      </c>
    </row>
    <row r="778" ht="15.75" hidden="1" customHeight="1">
      <c r="A778" s="36">
        <v>5673499.0</v>
      </c>
      <c r="B778" s="37" t="s">
        <v>316</v>
      </c>
      <c r="C778" s="37" t="s">
        <v>1974</v>
      </c>
      <c r="D778" s="37" t="s">
        <v>224</v>
      </c>
      <c r="E778" s="37" t="s">
        <v>318</v>
      </c>
      <c r="F778" s="37" t="s">
        <v>293</v>
      </c>
      <c r="G778" s="37" t="s">
        <v>319</v>
      </c>
      <c r="H778" s="37" t="s">
        <v>1975</v>
      </c>
      <c r="I778" s="37" t="s">
        <v>229</v>
      </c>
    </row>
    <row r="779" ht="15.75" hidden="1" customHeight="1">
      <c r="A779" s="38">
        <v>4805716.0</v>
      </c>
      <c r="B779" s="39" t="s">
        <v>695</v>
      </c>
      <c r="C779" s="39" t="s">
        <v>1976</v>
      </c>
      <c r="D779" s="39" t="s">
        <v>224</v>
      </c>
      <c r="E779" s="39" t="s">
        <v>1697</v>
      </c>
      <c r="F779" s="39" t="s">
        <v>698</v>
      </c>
      <c r="G779" s="39" t="s">
        <v>541</v>
      </c>
      <c r="H779" s="39" t="s">
        <v>1977</v>
      </c>
      <c r="I779" s="39" t="s">
        <v>229</v>
      </c>
    </row>
    <row r="780" ht="15.75" hidden="1" customHeight="1">
      <c r="A780" s="36">
        <v>5808842.0</v>
      </c>
      <c r="B780" s="37" t="s">
        <v>316</v>
      </c>
      <c r="C780" s="37" t="s">
        <v>1978</v>
      </c>
      <c r="D780" s="37" t="s">
        <v>224</v>
      </c>
      <c r="E780" s="37" t="s">
        <v>318</v>
      </c>
      <c r="F780" s="37" t="s">
        <v>293</v>
      </c>
      <c r="G780" s="37" t="s">
        <v>319</v>
      </c>
      <c r="H780" s="37" t="s">
        <v>1979</v>
      </c>
      <c r="I780" s="37" t="s">
        <v>229</v>
      </c>
    </row>
    <row r="781" ht="15.75" hidden="1" customHeight="1">
      <c r="A781" s="38">
        <v>4812986.0</v>
      </c>
      <c r="B781" s="39" t="s">
        <v>478</v>
      </c>
      <c r="C781" s="39" t="s">
        <v>1980</v>
      </c>
      <c r="D781" s="39" t="s">
        <v>224</v>
      </c>
      <c r="E781" s="39" t="s">
        <v>1323</v>
      </c>
      <c r="F781" s="39" t="s">
        <v>481</v>
      </c>
      <c r="G781" s="39" t="s">
        <v>293</v>
      </c>
      <c r="H781" s="39" t="s">
        <v>1981</v>
      </c>
      <c r="I781" s="39" t="s">
        <v>229</v>
      </c>
    </row>
    <row r="782" ht="15.75" hidden="1" customHeight="1">
      <c r="A782" s="36">
        <v>5927819.0</v>
      </c>
      <c r="B782" s="37" t="s">
        <v>316</v>
      </c>
      <c r="C782" s="37" t="s">
        <v>1982</v>
      </c>
      <c r="D782" s="37" t="s">
        <v>224</v>
      </c>
      <c r="E782" s="37" t="s">
        <v>318</v>
      </c>
      <c r="F782" s="37" t="s">
        <v>293</v>
      </c>
      <c r="G782" s="37" t="s">
        <v>319</v>
      </c>
      <c r="H782" s="37" t="s">
        <v>1983</v>
      </c>
      <c r="I782" s="37" t="s">
        <v>229</v>
      </c>
    </row>
    <row r="783" ht="15.75" hidden="1" customHeight="1">
      <c r="A783" s="38">
        <v>6028146.0</v>
      </c>
      <c r="B783" s="39" t="s">
        <v>1363</v>
      </c>
      <c r="C783" s="39" t="s">
        <v>1984</v>
      </c>
      <c r="D783" s="39" t="s">
        <v>224</v>
      </c>
      <c r="E783" s="39" t="s">
        <v>318</v>
      </c>
      <c r="F783" s="39" t="s">
        <v>293</v>
      </c>
      <c r="G783" s="39" t="s">
        <v>319</v>
      </c>
      <c r="H783" s="39" t="s">
        <v>1985</v>
      </c>
      <c r="I783" s="39" t="s">
        <v>229</v>
      </c>
    </row>
    <row r="784" ht="15.75" hidden="1" customHeight="1">
      <c r="A784" s="36">
        <v>4818248.0</v>
      </c>
      <c r="B784" s="37" t="s">
        <v>1019</v>
      </c>
      <c r="C784" s="37" t="s">
        <v>1986</v>
      </c>
      <c r="D784" s="37" t="s">
        <v>224</v>
      </c>
      <c r="E784" s="37" t="s">
        <v>1021</v>
      </c>
      <c r="F784" s="37" t="s">
        <v>292</v>
      </c>
      <c r="G784" s="37" t="s">
        <v>293</v>
      </c>
      <c r="H784" s="37" t="s">
        <v>1987</v>
      </c>
      <c r="I784" s="37" t="s">
        <v>229</v>
      </c>
    </row>
    <row r="785" ht="15.75" hidden="1" customHeight="1">
      <c r="A785" s="38">
        <v>6019200.0</v>
      </c>
      <c r="B785" s="39" t="s">
        <v>316</v>
      </c>
      <c r="C785" s="39" t="s">
        <v>1988</v>
      </c>
      <c r="D785" s="39" t="s">
        <v>224</v>
      </c>
      <c r="E785" s="39" t="s">
        <v>318</v>
      </c>
      <c r="F785" s="39" t="s">
        <v>293</v>
      </c>
      <c r="G785" s="39" t="s">
        <v>319</v>
      </c>
      <c r="H785" s="39" t="s">
        <v>1989</v>
      </c>
      <c r="I785" s="39" t="s">
        <v>229</v>
      </c>
    </row>
    <row r="786" ht="15.75" hidden="1" customHeight="1">
      <c r="A786" s="36">
        <v>4819756.0</v>
      </c>
      <c r="B786" s="37" t="s">
        <v>246</v>
      </c>
      <c r="C786" s="37" t="s">
        <v>1990</v>
      </c>
      <c r="D786" s="37" t="s">
        <v>224</v>
      </c>
      <c r="E786" s="37" t="s">
        <v>598</v>
      </c>
      <c r="F786" s="37" t="s">
        <v>249</v>
      </c>
      <c r="G786" s="37" t="s">
        <v>250</v>
      </c>
      <c r="H786" s="37" t="s">
        <v>1991</v>
      </c>
      <c r="I786" s="37" t="s">
        <v>229</v>
      </c>
    </row>
    <row r="787" ht="15.75" hidden="1" customHeight="1">
      <c r="A787" s="38">
        <v>5879174.0</v>
      </c>
      <c r="B787" s="39" t="s">
        <v>316</v>
      </c>
      <c r="C787" s="39" t="s">
        <v>1992</v>
      </c>
      <c r="D787" s="39" t="s">
        <v>224</v>
      </c>
      <c r="E787" s="39" t="s">
        <v>318</v>
      </c>
      <c r="F787" s="39" t="s">
        <v>293</v>
      </c>
      <c r="G787" s="39" t="s">
        <v>319</v>
      </c>
      <c r="H787" s="39" t="s">
        <v>1993</v>
      </c>
      <c r="I787" s="39" t="s">
        <v>229</v>
      </c>
    </row>
    <row r="788" ht="15.75" hidden="1" customHeight="1">
      <c r="A788" s="36">
        <v>4822094.0</v>
      </c>
      <c r="B788" s="37" t="s">
        <v>1019</v>
      </c>
      <c r="C788" s="37" t="s">
        <v>1994</v>
      </c>
      <c r="D788" s="37" t="s">
        <v>224</v>
      </c>
      <c r="E788" s="37" t="s">
        <v>1021</v>
      </c>
      <c r="F788" s="37" t="s">
        <v>292</v>
      </c>
      <c r="G788" s="37" t="s">
        <v>293</v>
      </c>
      <c r="H788" s="37" t="s">
        <v>1995</v>
      </c>
      <c r="I788" s="37" t="s">
        <v>229</v>
      </c>
    </row>
    <row r="789" ht="15.75" hidden="1" customHeight="1">
      <c r="A789" s="38">
        <v>5249226.0</v>
      </c>
      <c r="B789" s="39" t="s">
        <v>316</v>
      </c>
      <c r="C789" s="39" t="s">
        <v>1996</v>
      </c>
      <c r="D789" s="39" t="s">
        <v>234</v>
      </c>
      <c r="E789" s="39" t="s">
        <v>318</v>
      </c>
      <c r="F789" s="39" t="s">
        <v>293</v>
      </c>
      <c r="G789" s="39" t="s">
        <v>319</v>
      </c>
      <c r="H789" s="39" t="s">
        <v>1997</v>
      </c>
      <c r="I789" s="39" t="s">
        <v>229</v>
      </c>
    </row>
    <row r="790" ht="15.75" hidden="1" customHeight="1">
      <c r="A790" s="36">
        <v>4822348.0</v>
      </c>
      <c r="B790" s="37" t="s">
        <v>587</v>
      </c>
      <c r="C790" s="37" t="s">
        <v>1998</v>
      </c>
      <c r="D790" s="37" t="s">
        <v>224</v>
      </c>
      <c r="E790" s="37" t="s">
        <v>336</v>
      </c>
      <c r="F790" s="37" t="s">
        <v>249</v>
      </c>
      <c r="G790" s="37" t="s">
        <v>250</v>
      </c>
      <c r="H790" s="37" t="s">
        <v>1999</v>
      </c>
      <c r="I790" s="37" t="s">
        <v>229</v>
      </c>
    </row>
    <row r="791" ht="15.75" hidden="1" customHeight="1">
      <c r="A791" s="38">
        <v>5351958.0</v>
      </c>
      <c r="B791" s="39" t="s">
        <v>316</v>
      </c>
      <c r="C791" s="39" t="s">
        <v>2000</v>
      </c>
      <c r="D791" s="39" t="s">
        <v>224</v>
      </c>
      <c r="E791" s="39" t="s">
        <v>318</v>
      </c>
      <c r="F791" s="39" t="s">
        <v>293</v>
      </c>
      <c r="G791" s="39" t="s">
        <v>319</v>
      </c>
      <c r="H791" s="39" t="s">
        <v>2001</v>
      </c>
      <c r="I791" s="39" t="s">
        <v>229</v>
      </c>
    </row>
    <row r="792" ht="15.75" hidden="1" customHeight="1">
      <c r="A792" s="36">
        <v>4824005.0</v>
      </c>
      <c r="B792" s="37" t="s">
        <v>478</v>
      </c>
      <c r="C792" s="37" t="s">
        <v>2002</v>
      </c>
      <c r="D792" s="37" t="s">
        <v>234</v>
      </c>
      <c r="E792" s="37" t="s">
        <v>711</v>
      </c>
      <c r="F792" s="37" t="s">
        <v>481</v>
      </c>
      <c r="G792" s="37" t="s">
        <v>293</v>
      </c>
      <c r="H792" s="37" t="s">
        <v>2003</v>
      </c>
      <c r="I792" s="37" t="s">
        <v>229</v>
      </c>
    </row>
    <row r="793" ht="15.75" hidden="1" customHeight="1">
      <c r="A793" s="38">
        <v>5216565.0</v>
      </c>
      <c r="B793" s="39" t="s">
        <v>316</v>
      </c>
      <c r="C793" s="39" t="s">
        <v>2004</v>
      </c>
      <c r="D793" s="39" t="s">
        <v>224</v>
      </c>
      <c r="E793" s="39" t="s">
        <v>318</v>
      </c>
      <c r="F793" s="39" t="s">
        <v>293</v>
      </c>
      <c r="G793" s="39" t="s">
        <v>319</v>
      </c>
      <c r="H793" s="39" t="s">
        <v>2005</v>
      </c>
      <c r="I793" s="39" t="s">
        <v>229</v>
      </c>
    </row>
    <row r="794" ht="15.75" hidden="1" customHeight="1">
      <c r="A794" s="36">
        <v>5085911.0</v>
      </c>
      <c r="B794" s="37" t="s">
        <v>316</v>
      </c>
      <c r="C794" s="37" t="s">
        <v>2006</v>
      </c>
      <c r="D794" s="37" t="s">
        <v>224</v>
      </c>
      <c r="E794" s="37" t="s">
        <v>318</v>
      </c>
      <c r="F794" s="37" t="s">
        <v>293</v>
      </c>
      <c r="G794" s="37" t="s">
        <v>319</v>
      </c>
      <c r="H794" s="37" t="s">
        <v>2007</v>
      </c>
      <c r="I794" s="37" t="s">
        <v>229</v>
      </c>
    </row>
    <row r="795" ht="15.75" hidden="1" customHeight="1">
      <c r="A795" s="38">
        <v>4827076.0</v>
      </c>
      <c r="B795" s="39" t="s">
        <v>1186</v>
      </c>
      <c r="C795" s="39" t="s">
        <v>2008</v>
      </c>
      <c r="D795" s="39" t="s">
        <v>224</v>
      </c>
      <c r="E795" s="39" t="s">
        <v>1188</v>
      </c>
      <c r="F795" s="39" t="s">
        <v>242</v>
      </c>
      <c r="G795" s="39" t="s">
        <v>227</v>
      </c>
      <c r="H795" s="39" t="s">
        <v>2009</v>
      </c>
      <c r="I795" s="39" t="s">
        <v>229</v>
      </c>
    </row>
    <row r="796" ht="15.75" hidden="1" customHeight="1">
      <c r="A796" s="36">
        <v>5766578.0</v>
      </c>
      <c r="B796" s="37" t="s">
        <v>794</v>
      </c>
      <c r="C796" s="37" t="s">
        <v>2010</v>
      </c>
      <c r="D796" s="37" t="s">
        <v>224</v>
      </c>
      <c r="E796" s="37" t="s">
        <v>318</v>
      </c>
      <c r="F796" s="37" t="s">
        <v>293</v>
      </c>
      <c r="G796" s="37" t="s">
        <v>319</v>
      </c>
      <c r="H796" s="37" t="s">
        <v>2011</v>
      </c>
      <c r="I796" s="37" t="s">
        <v>229</v>
      </c>
    </row>
    <row r="797" ht="15.75" hidden="1" customHeight="1">
      <c r="A797" s="38">
        <v>5284025.0</v>
      </c>
      <c r="B797" s="39" t="s">
        <v>391</v>
      </c>
      <c r="C797" s="39" t="s">
        <v>2012</v>
      </c>
      <c r="D797" s="39" t="s">
        <v>224</v>
      </c>
      <c r="E797" s="39" t="s">
        <v>393</v>
      </c>
      <c r="F797" s="39" t="s">
        <v>249</v>
      </c>
      <c r="G797" s="39" t="s">
        <v>250</v>
      </c>
      <c r="H797" s="39" t="s">
        <v>2013</v>
      </c>
      <c r="I797" s="39" t="s">
        <v>229</v>
      </c>
    </row>
    <row r="798" ht="15.75" hidden="1" customHeight="1">
      <c r="A798" s="36">
        <v>4829415.0</v>
      </c>
      <c r="B798" s="37" t="s">
        <v>246</v>
      </c>
      <c r="C798" s="37" t="s">
        <v>2014</v>
      </c>
      <c r="D798" s="37" t="s">
        <v>224</v>
      </c>
      <c r="E798" s="37" t="s">
        <v>393</v>
      </c>
      <c r="F798" s="37" t="s">
        <v>249</v>
      </c>
      <c r="G798" s="37" t="s">
        <v>250</v>
      </c>
      <c r="H798" s="37" t="s">
        <v>2015</v>
      </c>
      <c r="I798" s="37" t="s">
        <v>229</v>
      </c>
    </row>
    <row r="799" ht="15.75" hidden="1" customHeight="1">
      <c r="A799" s="38">
        <v>4829681.0</v>
      </c>
      <c r="B799" s="39" t="s">
        <v>120</v>
      </c>
      <c r="C799" s="39" t="s">
        <v>2016</v>
      </c>
      <c r="D799" s="39" t="s">
        <v>224</v>
      </c>
      <c r="E799" s="39" t="s">
        <v>868</v>
      </c>
      <c r="F799" s="39" t="s">
        <v>644</v>
      </c>
      <c r="G799" s="39" t="s">
        <v>3</v>
      </c>
      <c r="H799" s="39" t="s">
        <v>2017</v>
      </c>
      <c r="I799" s="39" t="s">
        <v>260</v>
      </c>
      <c r="J799" s="1">
        <v>42.0</v>
      </c>
      <c r="L799" s="40" t="s">
        <v>506</v>
      </c>
    </row>
    <row r="800" ht="15.75" hidden="1" customHeight="1">
      <c r="A800" s="36">
        <v>4831349.0</v>
      </c>
      <c r="B800" s="37" t="s">
        <v>309</v>
      </c>
      <c r="C800" s="37" t="s">
        <v>2018</v>
      </c>
      <c r="D800" s="37" t="s">
        <v>269</v>
      </c>
      <c r="E800" s="37" t="s">
        <v>311</v>
      </c>
      <c r="F800" s="37" t="s">
        <v>312</v>
      </c>
      <c r="G800" s="37" t="s">
        <v>258</v>
      </c>
      <c r="H800" s="37" t="s">
        <v>2019</v>
      </c>
      <c r="I800" s="37" t="s">
        <v>260</v>
      </c>
    </row>
    <row r="801" ht="15.75" hidden="1" customHeight="1">
      <c r="A801" s="38">
        <v>5134584.0</v>
      </c>
      <c r="B801" s="39" t="s">
        <v>391</v>
      </c>
      <c r="C801" s="39" t="s">
        <v>2020</v>
      </c>
      <c r="D801" s="39" t="s">
        <v>224</v>
      </c>
      <c r="E801" s="39" t="s">
        <v>393</v>
      </c>
      <c r="F801" s="39" t="s">
        <v>249</v>
      </c>
      <c r="G801" s="39" t="s">
        <v>250</v>
      </c>
      <c r="H801" s="39" t="s">
        <v>2021</v>
      </c>
      <c r="I801" s="39" t="s">
        <v>229</v>
      </c>
    </row>
    <row r="802" ht="15.75" hidden="1" customHeight="1">
      <c r="A802" s="36">
        <v>4834911.0</v>
      </c>
      <c r="B802" s="37" t="s">
        <v>81</v>
      </c>
      <c r="C802" s="37" t="s">
        <v>2022</v>
      </c>
      <c r="D802" s="37" t="s">
        <v>331</v>
      </c>
      <c r="E802" s="37" t="s">
        <v>2023</v>
      </c>
      <c r="F802" s="42" t="s">
        <v>3</v>
      </c>
      <c r="G802" s="37" t="s">
        <v>3</v>
      </c>
      <c r="H802" s="37" t="s">
        <v>2024</v>
      </c>
      <c r="I802" s="37" t="s">
        <v>260</v>
      </c>
      <c r="J802" s="1">
        <v>42.0</v>
      </c>
      <c r="L802" s="40" t="s">
        <v>120</v>
      </c>
    </row>
    <row r="803" ht="15.75" hidden="1" customHeight="1">
      <c r="A803" s="38">
        <v>4835112.0</v>
      </c>
      <c r="B803" s="39" t="s">
        <v>116</v>
      </c>
      <c r="C803" s="39" t="s">
        <v>2025</v>
      </c>
      <c r="D803" s="39" t="s">
        <v>224</v>
      </c>
      <c r="E803" s="39" t="s">
        <v>408</v>
      </c>
      <c r="F803" s="39" t="s">
        <v>341</v>
      </c>
      <c r="G803" s="39" t="s">
        <v>3</v>
      </c>
      <c r="H803" s="39" t="s">
        <v>2026</v>
      </c>
      <c r="I803" s="39" t="s">
        <v>260</v>
      </c>
      <c r="J803" s="1">
        <v>42.0</v>
      </c>
      <c r="L803" s="40" t="s">
        <v>81</v>
      </c>
    </row>
    <row r="804" ht="15.75" hidden="1" customHeight="1">
      <c r="A804" s="36">
        <v>4838469.0</v>
      </c>
      <c r="B804" s="37" t="s">
        <v>835</v>
      </c>
      <c r="C804" s="37" t="s">
        <v>2027</v>
      </c>
      <c r="D804" s="37" t="s">
        <v>224</v>
      </c>
      <c r="E804" s="37" t="s">
        <v>837</v>
      </c>
      <c r="F804" s="37" t="s">
        <v>377</v>
      </c>
      <c r="G804" s="37" t="s">
        <v>327</v>
      </c>
      <c r="H804" s="37" t="s">
        <v>2028</v>
      </c>
      <c r="I804" s="37" t="s">
        <v>229</v>
      </c>
    </row>
    <row r="805" ht="15.75" hidden="1" customHeight="1">
      <c r="A805" s="38">
        <v>4944374.0</v>
      </c>
      <c r="B805" s="39" t="s">
        <v>592</v>
      </c>
      <c r="C805" s="39" t="s">
        <v>2029</v>
      </c>
      <c r="D805" s="39" t="s">
        <v>224</v>
      </c>
      <c r="E805" s="39" t="s">
        <v>393</v>
      </c>
      <c r="F805" s="39" t="s">
        <v>249</v>
      </c>
      <c r="G805" s="39" t="s">
        <v>250</v>
      </c>
      <c r="H805" s="39" t="s">
        <v>2030</v>
      </c>
      <c r="I805" s="39" t="s">
        <v>229</v>
      </c>
    </row>
    <row r="806" ht="15.75" hidden="1" customHeight="1">
      <c r="A806" s="36">
        <v>4843837.0</v>
      </c>
      <c r="B806" s="37" t="s">
        <v>385</v>
      </c>
      <c r="C806" s="37" t="s">
        <v>2031</v>
      </c>
      <c r="D806" s="37" t="s">
        <v>224</v>
      </c>
      <c r="E806" s="37" t="s">
        <v>756</v>
      </c>
      <c r="F806" s="37" t="s">
        <v>300</v>
      </c>
      <c r="G806" s="37" t="s">
        <v>301</v>
      </c>
      <c r="H806" s="37" t="s">
        <v>2032</v>
      </c>
      <c r="I806" s="37" t="s">
        <v>229</v>
      </c>
    </row>
    <row r="807" ht="15.75" hidden="1" customHeight="1">
      <c r="A807" s="38">
        <v>4964609.0</v>
      </c>
      <c r="B807" s="39" t="s">
        <v>1921</v>
      </c>
      <c r="C807" s="39" t="s">
        <v>2033</v>
      </c>
      <c r="D807" s="39" t="s">
        <v>224</v>
      </c>
      <c r="E807" s="39" t="s">
        <v>393</v>
      </c>
      <c r="F807" s="39" t="s">
        <v>249</v>
      </c>
      <c r="G807" s="39" t="s">
        <v>250</v>
      </c>
      <c r="H807" s="39" t="s">
        <v>2034</v>
      </c>
      <c r="I807" s="39" t="s">
        <v>229</v>
      </c>
    </row>
    <row r="808" ht="15.75" hidden="1" customHeight="1">
      <c r="A808" s="36">
        <v>4843840.0</v>
      </c>
      <c r="B808" s="37" t="s">
        <v>986</v>
      </c>
      <c r="C808" s="37" t="s">
        <v>2035</v>
      </c>
      <c r="D808" s="37" t="s">
        <v>224</v>
      </c>
      <c r="E808" s="37" t="s">
        <v>1002</v>
      </c>
      <c r="F808" s="37" t="s">
        <v>679</v>
      </c>
      <c r="G808" s="37" t="s">
        <v>301</v>
      </c>
      <c r="H808" s="37" t="s">
        <v>2036</v>
      </c>
      <c r="I808" s="37" t="s">
        <v>229</v>
      </c>
    </row>
    <row r="809" ht="15.75" hidden="1" customHeight="1">
      <c r="A809" s="38">
        <v>4981904.0</v>
      </c>
      <c r="B809" s="39" t="s">
        <v>391</v>
      </c>
      <c r="C809" s="39" t="s">
        <v>2037</v>
      </c>
      <c r="D809" s="39" t="s">
        <v>224</v>
      </c>
      <c r="E809" s="39" t="s">
        <v>393</v>
      </c>
      <c r="F809" s="39" t="s">
        <v>249</v>
      </c>
      <c r="G809" s="39" t="s">
        <v>250</v>
      </c>
      <c r="H809" s="39" t="s">
        <v>2038</v>
      </c>
      <c r="I809" s="39" t="s">
        <v>229</v>
      </c>
    </row>
    <row r="810" ht="15.75" hidden="1" customHeight="1">
      <c r="A810" s="36">
        <v>4843871.0</v>
      </c>
      <c r="B810" s="37" t="s">
        <v>835</v>
      </c>
      <c r="C810" s="37" t="s">
        <v>2039</v>
      </c>
      <c r="D810" s="37" t="s">
        <v>224</v>
      </c>
      <c r="E810" s="37" t="s">
        <v>837</v>
      </c>
      <c r="F810" s="37" t="s">
        <v>377</v>
      </c>
      <c r="G810" s="37" t="s">
        <v>327</v>
      </c>
      <c r="H810" s="37" t="s">
        <v>2040</v>
      </c>
      <c r="I810" s="37" t="s">
        <v>229</v>
      </c>
    </row>
    <row r="811" ht="15.75" hidden="1" customHeight="1">
      <c r="A811" s="38">
        <v>5114274.0</v>
      </c>
      <c r="B811" s="39" t="s">
        <v>1921</v>
      </c>
      <c r="C811" s="39" t="s">
        <v>2041</v>
      </c>
      <c r="D811" s="39" t="s">
        <v>224</v>
      </c>
      <c r="E811" s="39" t="s">
        <v>393</v>
      </c>
      <c r="F811" s="39" t="s">
        <v>249</v>
      </c>
      <c r="G811" s="39" t="s">
        <v>250</v>
      </c>
      <c r="H811" s="39" t="s">
        <v>2042</v>
      </c>
      <c r="I811" s="39" t="s">
        <v>229</v>
      </c>
    </row>
    <row r="812" ht="15.75" hidden="1" customHeight="1">
      <c r="A812" s="36">
        <v>4843872.0</v>
      </c>
      <c r="B812" s="37" t="s">
        <v>555</v>
      </c>
      <c r="C812" s="37" t="s">
        <v>2043</v>
      </c>
      <c r="D812" s="37" t="s">
        <v>224</v>
      </c>
      <c r="E812" s="37" t="s">
        <v>557</v>
      </c>
      <c r="F812" s="37" t="s">
        <v>558</v>
      </c>
      <c r="G812" s="37" t="s">
        <v>541</v>
      </c>
      <c r="H812" s="37" t="s">
        <v>2044</v>
      </c>
      <c r="I812" s="37" t="s">
        <v>229</v>
      </c>
    </row>
    <row r="813" ht="15.75" hidden="1" customHeight="1">
      <c r="A813" s="38">
        <v>5133151.0</v>
      </c>
      <c r="B813" s="39" t="s">
        <v>592</v>
      </c>
      <c r="C813" s="39" t="s">
        <v>2045</v>
      </c>
      <c r="D813" s="39" t="s">
        <v>224</v>
      </c>
      <c r="E813" s="39" t="s">
        <v>393</v>
      </c>
      <c r="F813" s="39" t="s">
        <v>249</v>
      </c>
      <c r="G813" s="39" t="s">
        <v>250</v>
      </c>
      <c r="H813" s="39" t="s">
        <v>2046</v>
      </c>
      <c r="I813" s="39" t="s">
        <v>229</v>
      </c>
    </row>
    <row r="814" ht="15.75" hidden="1" customHeight="1">
      <c r="A814" s="36">
        <v>4844552.0</v>
      </c>
      <c r="B814" s="37" t="s">
        <v>316</v>
      </c>
      <c r="C814" s="37" t="s">
        <v>2047</v>
      </c>
      <c r="D814" s="37" t="s">
        <v>224</v>
      </c>
      <c r="E814" s="37" t="s">
        <v>1011</v>
      </c>
      <c r="F814" s="37" t="s">
        <v>293</v>
      </c>
      <c r="G814" s="37" t="s">
        <v>319</v>
      </c>
      <c r="H814" s="37" t="s">
        <v>2048</v>
      </c>
      <c r="I814" s="37" t="s">
        <v>229</v>
      </c>
    </row>
    <row r="815" ht="15.75" hidden="1" customHeight="1">
      <c r="A815" s="38">
        <v>5133312.0</v>
      </c>
      <c r="B815" s="39" t="s">
        <v>592</v>
      </c>
      <c r="C815" s="39" t="s">
        <v>2049</v>
      </c>
      <c r="D815" s="39" t="s">
        <v>224</v>
      </c>
      <c r="E815" s="39" t="s">
        <v>393</v>
      </c>
      <c r="F815" s="39" t="s">
        <v>249</v>
      </c>
      <c r="G815" s="39" t="s">
        <v>250</v>
      </c>
      <c r="H815" s="39" t="s">
        <v>2050</v>
      </c>
      <c r="I815" s="39" t="s">
        <v>229</v>
      </c>
    </row>
    <row r="816" ht="15.75" hidden="1" customHeight="1">
      <c r="A816" s="36">
        <v>4845114.0</v>
      </c>
      <c r="B816" s="37" t="s">
        <v>835</v>
      </c>
      <c r="C816" s="37" t="s">
        <v>2051</v>
      </c>
      <c r="D816" s="37" t="s">
        <v>224</v>
      </c>
      <c r="E816" s="37" t="s">
        <v>837</v>
      </c>
      <c r="F816" s="37" t="s">
        <v>377</v>
      </c>
      <c r="G816" s="37" t="s">
        <v>327</v>
      </c>
      <c r="H816" s="37" t="s">
        <v>2052</v>
      </c>
      <c r="I816" s="37" t="s">
        <v>229</v>
      </c>
    </row>
    <row r="817" ht="15.75" hidden="1" customHeight="1">
      <c r="A817" s="38">
        <v>5887508.0</v>
      </c>
      <c r="B817" s="39" t="s">
        <v>391</v>
      </c>
      <c r="C817" s="39" t="s">
        <v>2053</v>
      </c>
      <c r="D817" s="39" t="s">
        <v>224</v>
      </c>
      <c r="E817" s="39" t="s">
        <v>393</v>
      </c>
      <c r="F817" s="39" t="s">
        <v>249</v>
      </c>
      <c r="G817" s="39" t="s">
        <v>250</v>
      </c>
      <c r="H817" s="39" t="s">
        <v>2054</v>
      </c>
      <c r="I817" s="39" t="s">
        <v>229</v>
      </c>
    </row>
    <row r="818" ht="15.75" hidden="1" customHeight="1">
      <c r="A818" s="36">
        <v>4845119.0</v>
      </c>
      <c r="B818" s="37" t="s">
        <v>9</v>
      </c>
      <c r="C818" s="37" t="s">
        <v>2055</v>
      </c>
      <c r="D818" s="37" t="s">
        <v>224</v>
      </c>
      <c r="E818" s="37" t="s">
        <v>480</v>
      </c>
      <c r="F818" s="37" t="s">
        <v>481</v>
      </c>
      <c r="G818" s="37" t="s">
        <v>293</v>
      </c>
      <c r="H818" s="37" t="s">
        <v>2056</v>
      </c>
      <c r="I818" s="37" t="s">
        <v>229</v>
      </c>
    </row>
    <row r="819" ht="15.75" hidden="1" customHeight="1">
      <c r="A819" s="38">
        <v>5346428.0</v>
      </c>
      <c r="B819" s="39" t="s">
        <v>391</v>
      </c>
      <c r="C819" s="39" t="s">
        <v>2057</v>
      </c>
      <c r="D819" s="39" t="s">
        <v>224</v>
      </c>
      <c r="E819" s="39" t="s">
        <v>393</v>
      </c>
      <c r="F819" s="39" t="s">
        <v>249</v>
      </c>
      <c r="G819" s="39" t="s">
        <v>250</v>
      </c>
      <c r="H819" s="39" t="s">
        <v>2058</v>
      </c>
      <c r="I819" s="39" t="s">
        <v>229</v>
      </c>
    </row>
    <row r="820" ht="15.75" hidden="1" customHeight="1">
      <c r="A820" s="36">
        <v>4845134.0</v>
      </c>
      <c r="B820" s="37" t="s">
        <v>676</v>
      </c>
      <c r="C820" s="37" t="s">
        <v>2059</v>
      </c>
      <c r="D820" s="37" t="s">
        <v>224</v>
      </c>
      <c r="E820" s="37" t="s">
        <v>1859</v>
      </c>
      <c r="F820" s="37" t="s">
        <v>679</v>
      </c>
      <c r="G820" s="37" t="s">
        <v>301</v>
      </c>
      <c r="H820" s="37" t="s">
        <v>2060</v>
      </c>
      <c r="I820" s="37" t="s">
        <v>229</v>
      </c>
    </row>
    <row r="821" ht="15.75" hidden="1" customHeight="1">
      <c r="A821" s="38">
        <v>5489052.0</v>
      </c>
      <c r="B821" s="39" t="s">
        <v>391</v>
      </c>
      <c r="C821" s="39" t="s">
        <v>2061</v>
      </c>
      <c r="D821" s="39" t="s">
        <v>224</v>
      </c>
      <c r="E821" s="39" t="s">
        <v>393</v>
      </c>
      <c r="F821" s="39" t="s">
        <v>249</v>
      </c>
      <c r="G821" s="39" t="s">
        <v>250</v>
      </c>
      <c r="H821" s="39" t="s">
        <v>2062</v>
      </c>
      <c r="I821" s="39" t="s">
        <v>229</v>
      </c>
    </row>
    <row r="822" ht="15.75" hidden="1" customHeight="1">
      <c r="A822" s="36">
        <v>4845136.0</v>
      </c>
      <c r="B822" s="37" t="s">
        <v>467</v>
      </c>
      <c r="C822" s="37" t="s">
        <v>2063</v>
      </c>
      <c r="D822" s="37" t="s">
        <v>224</v>
      </c>
      <c r="E822" s="37" t="s">
        <v>469</v>
      </c>
      <c r="F822" s="37" t="s">
        <v>470</v>
      </c>
      <c r="G822" s="37" t="s">
        <v>327</v>
      </c>
      <c r="H822" s="37" t="s">
        <v>2064</v>
      </c>
      <c r="I822" s="37" t="s">
        <v>229</v>
      </c>
    </row>
    <row r="823" ht="15.75" hidden="1" customHeight="1">
      <c r="A823" s="38">
        <v>5846033.0</v>
      </c>
      <c r="B823" s="39" t="s">
        <v>391</v>
      </c>
      <c r="C823" s="39" t="s">
        <v>2065</v>
      </c>
      <c r="D823" s="39" t="s">
        <v>224</v>
      </c>
      <c r="E823" s="39" t="s">
        <v>393</v>
      </c>
      <c r="F823" s="39" t="s">
        <v>249</v>
      </c>
      <c r="G823" s="39" t="s">
        <v>250</v>
      </c>
      <c r="H823" s="39" t="s">
        <v>2066</v>
      </c>
      <c r="I823" s="39" t="s">
        <v>229</v>
      </c>
    </row>
    <row r="824" ht="15.75" hidden="1" customHeight="1">
      <c r="A824" s="36">
        <v>4845137.0</v>
      </c>
      <c r="B824" s="37" t="s">
        <v>467</v>
      </c>
      <c r="C824" s="37" t="s">
        <v>2067</v>
      </c>
      <c r="D824" s="37" t="s">
        <v>224</v>
      </c>
      <c r="E824" s="37" t="s">
        <v>672</v>
      </c>
      <c r="F824" s="37" t="s">
        <v>470</v>
      </c>
      <c r="G824" s="37" t="s">
        <v>327</v>
      </c>
      <c r="H824" s="37" t="s">
        <v>2068</v>
      </c>
      <c r="I824" s="37" t="s">
        <v>229</v>
      </c>
    </row>
    <row r="825" ht="15.75" hidden="1" customHeight="1">
      <c r="A825" s="38">
        <v>4846826.0</v>
      </c>
      <c r="B825" s="39" t="s">
        <v>2069</v>
      </c>
      <c r="C825" s="39" t="s">
        <v>2070</v>
      </c>
      <c r="D825" s="39" t="s">
        <v>224</v>
      </c>
      <c r="E825" s="39" t="s">
        <v>2071</v>
      </c>
      <c r="F825" s="39" t="s">
        <v>300</v>
      </c>
      <c r="G825" s="39" t="s">
        <v>301</v>
      </c>
      <c r="H825" s="39" t="s">
        <v>2072</v>
      </c>
      <c r="I825" s="39" t="s">
        <v>229</v>
      </c>
    </row>
    <row r="826" ht="15.75" hidden="1" customHeight="1">
      <c r="A826" s="36">
        <v>4849285.0</v>
      </c>
      <c r="B826" s="37" t="s">
        <v>478</v>
      </c>
      <c r="C826" s="37" t="s">
        <v>2073</v>
      </c>
      <c r="D826" s="37" t="s">
        <v>224</v>
      </c>
      <c r="E826" s="37" t="s">
        <v>480</v>
      </c>
      <c r="F826" s="37" t="s">
        <v>481</v>
      </c>
      <c r="G826" s="37" t="s">
        <v>293</v>
      </c>
      <c r="H826" s="37" t="s">
        <v>2074</v>
      </c>
      <c r="I826" s="37" t="s">
        <v>229</v>
      </c>
    </row>
    <row r="827" ht="15.75" hidden="1" customHeight="1">
      <c r="A827" s="38">
        <v>4853203.0</v>
      </c>
      <c r="B827" s="39" t="s">
        <v>478</v>
      </c>
      <c r="C827" s="39" t="s">
        <v>2075</v>
      </c>
      <c r="D827" s="39" t="s">
        <v>224</v>
      </c>
      <c r="E827" s="39" t="s">
        <v>480</v>
      </c>
      <c r="F827" s="39" t="s">
        <v>481</v>
      </c>
      <c r="G827" s="39" t="s">
        <v>293</v>
      </c>
      <c r="H827" s="39" t="s">
        <v>2076</v>
      </c>
      <c r="I827" s="39" t="s">
        <v>229</v>
      </c>
    </row>
    <row r="828" ht="15.75" hidden="1" customHeight="1">
      <c r="A828" s="36">
        <v>5248926.0</v>
      </c>
      <c r="B828" s="37" t="s">
        <v>323</v>
      </c>
      <c r="C828" s="37" t="s">
        <v>2077</v>
      </c>
      <c r="D828" s="37" t="s">
        <v>234</v>
      </c>
      <c r="E828" s="37" t="s">
        <v>325</v>
      </c>
      <c r="F828" s="37" t="s">
        <v>326</v>
      </c>
      <c r="G828" s="37" t="s">
        <v>327</v>
      </c>
      <c r="H828" s="37" t="s">
        <v>2078</v>
      </c>
      <c r="I828" s="37" t="s">
        <v>229</v>
      </c>
    </row>
    <row r="829" ht="15.75" hidden="1" customHeight="1">
      <c r="A829" s="38">
        <v>5361572.0</v>
      </c>
      <c r="B829" s="39" t="s">
        <v>323</v>
      </c>
      <c r="C829" s="39" t="s">
        <v>2079</v>
      </c>
      <c r="D829" s="39" t="s">
        <v>224</v>
      </c>
      <c r="E829" s="39" t="s">
        <v>325</v>
      </c>
      <c r="F829" s="39" t="s">
        <v>326</v>
      </c>
      <c r="G829" s="39" t="s">
        <v>327</v>
      </c>
      <c r="H829" s="39" t="s">
        <v>2080</v>
      </c>
      <c r="I829" s="39" t="s">
        <v>229</v>
      </c>
    </row>
    <row r="830" ht="15.75" hidden="1" customHeight="1">
      <c r="A830" s="36">
        <v>4856197.0</v>
      </c>
      <c r="B830" s="37" t="s">
        <v>331</v>
      </c>
      <c r="C830" s="37" t="s">
        <v>2081</v>
      </c>
      <c r="D830" s="37" t="s">
        <v>331</v>
      </c>
      <c r="E830" s="37" t="s">
        <v>2082</v>
      </c>
      <c r="F830" s="37" t="s">
        <v>319</v>
      </c>
      <c r="G830" s="37" t="s">
        <v>2083</v>
      </c>
      <c r="H830" s="37" t="s">
        <v>2084</v>
      </c>
      <c r="I830" s="37" t="s">
        <v>229</v>
      </c>
    </row>
    <row r="831" ht="15.75" hidden="1" customHeight="1">
      <c r="A831" s="38">
        <v>5867456.0</v>
      </c>
      <c r="B831" s="39" t="s">
        <v>323</v>
      </c>
      <c r="C831" s="39" t="s">
        <v>2085</v>
      </c>
      <c r="D831" s="39" t="s">
        <v>224</v>
      </c>
      <c r="E831" s="39" t="s">
        <v>325</v>
      </c>
      <c r="F831" s="39" t="s">
        <v>326</v>
      </c>
      <c r="G831" s="39" t="s">
        <v>327</v>
      </c>
      <c r="H831" s="39" t="s">
        <v>2086</v>
      </c>
      <c r="I831" s="39" t="s">
        <v>229</v>
      </c>
    </row>
    <row r="832" ht="15.75" hidden="1" customHeight="1">
      <c r="A832" s="36">
        <v>4856202.0</v>
      </c>
      <c r="B832" s="37" t="s">
        <v>800</v>
      </c>
      <c r="C832" s="37" t="s">
        <v>2087</v>
      </c>
      <c r="D832" s="37" t="s">
        <v>224</v>
      </c>
      <c r="E832" s="37" t="s">
        <v>802</v>
      </c>
      <c r="F832" s="37" t="s">
        <v>333</v>
      </c>
      <c r="G832" s="37" t="s">
        <v>301</v>
      </c>
      <c r="H832" s="37" t="s">
        <v>2088</v>
      </c>
      <c r="I832" s="37" t="s">
        <v>229</v>
      </c>
    </row>
    <row r="833" ht="15.75" hidden="1" customHeight="1">
      <c r="A833" s="38">
        <v>5276515.0</v>
      </c>
      <c r="B833" s="39" t="s">
        <v>323</v>
      </c>
      <c r="C833" s="39" t="s">
        <v>2089</v>
      </c>
      <c r="D833" s="39" t="s">
        <v>224</v>
      </c>
      <c r="E833" s="39" t="s">
        <v>325</v>
      </c>
      <c r="F833" s="39" t="s">
        <v>326</v>
      </c>
      <c r="G833" s="39" t="s">
        <v>327</v>
      </c>
      <c r="H833" s="39" t="s">
        <v>2090</v>
      </c>
      <c r="I833" s="39" t="s">
        <v>229</v>
      </c>
    </row>
    <row r="834" ht="15.75" hidden="1" customHeight="1">
      <c r="A834" s="36">
        <v>4856214.0</v>
      </c>
      <c r="B834" s="37" t="s">
        <v>316</v>
      </c>
      <c r="C834" s="37" t="s">
        <v>2091</v>
      </c>
      <c r="D834" s="37" t="s">
        <v>224</v>
      </c>
      <c r="E834" s="37" t="s">
        <v>1011</v>
      </c>
      <c r="F834" s="37" t="s">
        <v>293</v>
      </c>
      <c r="G834" s="37" t="s">
        <v>319</v>
      </c>
      <c r="H834" s="37" t="s">
        <v>2092</v>
      </c>
      <c r="I834" s="37" t="s">
        <v>229</v>
      </c>
    </row>
    <row r="835" ht="15.75" hidden="1" customHeight="1">
      <c r="A835" s="38">
        <v>5883527.0</v>
      </c>
      <c r="B835" s="39" t="s">
        <v>323</v>
      </c>
      <c r="C835" s="39" t="s">
        <v>2093</v>
      </c>
      <c r="D835" s="39" t="s">
        <v>224</v>
      </c>
      <c r="E835" s="39" t="s">
        <v>325</v>
      </c>
      <c r="F835" s="39" t="s">
        <v>326</v>
      </c>
      <c r="G835" s="39" t="s">
        <v>327</v>
      </c>
      <c r="H835" s="39" t="s">
        <v>2094</v>
      </c>
      <c r="I835" s="39" t="s">
        <v>229</v>
      </c>
    </row>
    <row r="836" ht="15.75" hidden="1" customHeight="1">
      <c r="A836" s="36">
        <v>4856746.0</v>
      </c>
      <c r="B836" s="37" t="s">
        <v>412</v>
      </c>
      <c r="C836" s="37" t="s">
        <v>2095</v>
      </c>
      <c r="D836" s="37" t="s">
        <v>224</v>
      </c>
      <c r="E836" s="37" t="s">
        <v>430</v>
      </c>
      <c r="F836" s="37" t="s">
        <v>3</v>
      </c>
      <c r="G836" s="37" t="s">
        <v>3</v>
      </c>
      <c r="H836" s="37" t="s">
        <v>2096</v>
      </c>
      <c r="I836" s="37" t="s">
        <v>260</v>
      </c>
      <c r="J836" s="1">
        <v>42.0</v>
      </c>
      <c r="L836" s="40" t="s">
        <v>116</v>
      </c>
    </row>
    <row r="837" ht="15.75" hidden="1" customHeight="1">
      <c r="A837" s="38">
        <v>5767760.0</v>
      </c>
      <c r="B837" s="39" t="s">
        <v>323</v>
      </c>
      <c r="C837" s="39" t="s">
        <v>2097</v>
      </c>
      <c r="D837" s="39" t="s">
        <v>224</v>
      </c>
      <c r="E837" s="39" t="s">
        <v>325</v>
      </c>
      <c r="F837" s="39" t="s">
        <v>326</v>
      </c>
      <c r="G837" s="39" t="s">
        <v>327</v>
      </c>
      <c r="H837" s="39" t="s">
        <v>2098</v>
      </c>
      <c r="I837" s="39" t="s">
        <v>229</v>
      </c>
    </row>
    <row r="838" ht="15.75" hidden="1" customHeight="1">
      <c r="A838" s="36">
        <v>4856991.0</v>
      </c>
      <c r="B838" s="37" t="s">
        <v>530</v>
      </c>
      <c r="C838" s="37" t="s">
        <v>2099</v>
      </c>
      <c r="D838" s="37" t="s">
        <v>224</v>
      </c>
      <c r="E838" s="37" t="s">
        <v>1760</v>
      </c>
      <c r="F838" s="37" t="s">
        <v>533</v>
      </c>
      <c r="G838" s="37" t="s">
        <v>250</v>
      </c>
      <c r="H838" s="37" t="s">
        <v>2100</v>
      </c>
      <c r="I838" s="37" t="s">
        <v>229</v>
      </c>
    </row>
    <row r="839" ht="15.75" hidden="1" customHeight="1">
      <c r="A839" s="38">
        <v>5088517.0</v>
      </c>
      <c r="B839" s="39" t="s">
        <v>323</v>
      </c>
      <c r="C839" s="39" t="s">
        <v>2101</v>
      </c>
      <c r="D839" s="39" t="s">
        <v>224</v>
      </c>
      <c r="E839" s="39" t="s">
        <v>325</v>
      </c>
      <c r="F839" s="39" t="s">
        <v>326</v>
      </c>
      <c r="G839" s="39" t="s">
        <v>327</v>
      </c>
      <c r="H839" s="39" t="s">
        <v>2102</v>
      </c>
      <c r="I839" s="39" t="s">
        <v>229</v>
      </c>
    </row>
    <row r="840" ht="15.75" hidden="1" customHeight="1">
      <c r="A840" s="36">
        <v>4857036.0</v>
      </c>
      <c r="B840" s="37" t="s">
        <v>232</v>
      </c>
      <c r="C840" s="37" t="s">
        <v>2103</v>
      </c>
      <c r="D840" s="37" t="s">
        <v>234</v>
      </c>
      <c r="E840" s="37" t="s">
        <v>499</v>
      </c>
      <c r="F840" s="37" t="s">
        <v>226</v>
      </c>
      <c r="G840" s="37" t="s">
        <v>227</v>
      </c>
      <c r="H840" s="37" t="s">
        <v>2104</v>
      </c>
      <c r="I840" s="37" t="s">
        <v>229</v>
      </c>
    </row>
    <row r="841" ht="15.75" hidden="1" customHeight="1">
      <c r="A841" s="38">
        <v>5115959.0</v>
      </c>
      <c r="B841" s="39" t="s">
        <v>323</v>
      </c>
      <c r="C841" s="39" t="s">
        <v>2105</v>
      </c>
      <c r="D841" s="39" t="s">
        <v>331</v>
      </c>
      <c r="E841" s="39" t="s">
        <v>325</v>
      </c>
      <c r="F841" s="39" t="s">
        <v>326</v>
      </c>
      <c r="G841" s="39" t="s">
        <v>327</v>
      </c>
      <c r="H841" s="39" t="s">
        <v>2106</v>
      </c>
      <c r="I841" s="39" t="s">
        <v>229</v>
      </c>
    </row>
    <row r="842" ht="15.75" hidden="1" customHeight="1">
      <c r="A842" s="36">
        <v>4860514.0</v>
      </c>
      <c r="B842" s="37" t="s">
        <v>276</v>
      </c>
      <c r="C842" s="37" t="s">
        <v>2107</v>
      </c>
      <c r="D842" s="37" t="s">
        <v>224</v>
      </c>
      <c r="E842" s="37" t="s">
        <v>891</v>
      </c>
      <c r="F842" s="37" t="s">
        <v>257</v>
      </c>
      <c r="G842" s="37" t="s">
        <v>258</v>
      </c>
      <c r="H842" s="37" t="s">
        <v>2108</v>
      </c>
      <c r="I842" s="37" t="s">
        <v>260</v>
      </c>
    </row>
    <row r="843" ht="15.75" hidden="1" customHeight="1">
      <c r="A843" s="38">
        <v>5122032.0</v>
      </c>
      <c r="B843" s="39" t="s">
        <v>323</v>
      </c>
      <c r="C843" s="39" t="s">
        <v>2109</v>
      </c>
      <c r="D843" s="39" t="s">
        <v>224</v>
      </c>
      <c r="E843" s="39" t="s">
        <v>325</v>
      </c>
      <c r="F843" s="39" t="s">
        <v>326</v>
      </c>
      <c r="G843" s="39" t="s">
        <v>327</v>
      </c>
      <c r="H843" s="39" t="s">
        <v>2110</v>
      </c>
      <c r="I843" s="39" t="s">
        <v>229</v>
      </c>
    </row>
    <row r="844" ht="15.75" hidden="1" customHeight="1">
      <c r="A844" s="36">
        <v>4860977.0</v>
      </c>
      <c r="B844" s="37" t="s">
        <v>1932</v>
      </c>
      <c r="C844" s="37" t="s">
        <v>2111</v>
      </c>
      <c r="D844" s="37" t="s">
        <v>224</v>
      </c>
      <c r="E844" s="37" t="s">
        <v>1934</v>
      </c>
      <c r="F844" s="37" t="s">
        <v>300</v>
      </c>
      <c r="G844" s="37" t="s">
        <v>301</v>
      </c>
      <c r="H844" s="37" t="s">
        <v>2112</v>
      </c>
      <c r="I844" s="37" t="s">
        <v>229</v>
      </c>
    </row>
    <row r="845" ht="15.75" hidden="1" customHeight="1">
      <c r="A845" s="38">
        <v>5929855.0</v>
      </c>
      <c r="B845" s="39" t="s">
        <v>323</v>
      </c>
      <c r="C845" s="39" t="s">
        <v>2113</v>
      </c>
      <c r="D845" s="39" t="s">
        <v>224</v>
      </c>
      <c r="E845" s="39" t="s">
        <v>325</v>
      </c>
      <c r="F845" s="39" t="s">
        <v>326</v>
      </c>
      <c r="G845" s="39" t="s">
        <v>327</v>
      </c>
      <c r="H845" s="39" t="s">
        <v>2114</v>
      </c>
      <c r="I845" s="39" t="s">
        <v>229</v>
      </c>
    </row>
    <row r="846" ht="15.75" hidden="1" customHeight="1">
      <c r="A846" s="36">
        <v>5676278.0</v>
      </c>
      <c r="B846" s="37" t="s">
        <v>323</v>
      </c>
      <c r="C846" s="37" t="s">
        <v>2115</v>
      </c>
      <c r="D846" s="37" t="s">
        <v>224</v>
      </c>
      <c r="E846" s="37" t="s">
        <v>325</v>
      </c>
      <c r="F846" s="37" t="s">
        <v>326</v>
      </c>
      <c r="G846" s="37" t="s">
        <v>327</v>
      </c>
      <c r="H846" s="37" t="s">
        <v>2116</v>
      </c>
      <c r="I846" s="37" t="s">
        <v>229</v>
      </c>
    </row>
    <row r="847" ht="15.75" hidden="1" customHeight="1">
      <c r="A847" s="38">
        <v>5707236.0</v>
      </c>
      <c r="B847" s="39" t="s">
        <v>323</v>
      </c>
      <c r="C847" s="39" t="s">
        <v>2117</v>
      </c>
      <c r="D847" s="39" t="s">
        <v>224</v>
      </c>
      <c r="E847" s="39" t="s">
        <v>325</v>
      </c>
      <c r="F847" s="39" t="s">
        <v>326</v>
      </c>
      <c r="G847" s="39" t="s">
        <v>327</v>
      </c>
      <c r="H847" s="39" t="s">
        <v>2118</v>
      </c>
      <c r="I847" s="39" t="s">
        <v>229</v>
      </c>
    </row>
    <row r="848" ht="15.75" hidden="1" customHeight="1">
      <c r="A848" s="36">
        <v>4879795.0</v>
      </c>
      <c r="B848" s="37" t="s">
        <v>232</v>
      </c>
      <c r="C848" s="37" t="s">
        <v>2119</v>
      </c>
      <c r="D848" s="37" t="s">
        <v>224</v>
      </c>
      <c r="E848" s="37" t="s">
        <v>499</v>
      </c>
      <c r="F848" s="37" t="s">
        <v>226</v>
      </c>
      <c r="G848" s="37" t="s">
        <v>227</v>
      </c>
      <c r="H848" s="37" t="s">
        <v>2120</v>
      </c>
      <c r="I848" s="37" t="s">
        <v>229</v>
      </c>
    </row>
    <row r="849" ht="15.75" hidden="1" customHeight="1">
      <c r="A849" s="38">
        <v>5709748.0</v>
      </c>
      <c r="B849" s="39" t="s">
        <v>323</v>
      </c>
      <c r="C849" s="39" t="s">
        <v>2121</v>
      </c>
      <c r="D849" s="39" t="s">
        <v>331</v>
      </c>
      <c r="E849" s="39" t="s">
        <v>325</v>
      </c>
      <c r="F849" s="39" t="s">
        <v>326</v>
      </c>
      <c r="G849" s="39" t="s">
        <v>327</v>
      </c>
      <c r="H849" s="39" t="s">
        <v>2122</v>
      </c>
      <c r="I849" s="39" t="s">
        <v>229</v>
      </c>
    </row>
    <row r="850" ht="15.75" hidden="1" customHeight="1">
      <c r="A850" s="36">
        <v>5775487.0</v>
      </c>
      <c r="B850" s="37" t="s">
        <v>323</v>
      </c>
      <c r="C850" s="37" t="s">
        <v>2123</v>
      </c>
      <c r="D850" s="37" t="s">
        <v>224</v>
      </c>
      <c r="E850" s="37" t="s">
        <v>325</v>
      </c>
      <c r="F850" s="37" t="s">
        <v>326</v>
      </c>
      <c r="G850" s="37" t="s">
        <v>327</v>
      </c>
      <c r="H850" s="37" t="s">
        <v>2124</v>
      </c>
      <c r="I850" s="37" t="s">
        <v>229</v>
      </c>
    </row>
    <row r="851" ht="15.75" hidden="1" customHeight="1">
      <c r="A851" s="38">
        <v>4885409.0</v>
      </c>
      <c r="B851" s="39" t="s">
        <v>232</v>
      </c>
      <c r="C851" s="39" t="s">
        <v>2125</v>
      </c>
      <c r="D851" s="39" t="s">
        <v>269</v>
      </c>
      <c r="E851" s="39" t="s">
        <v>437</v>
      </c>
      <c r="F851" s="39" t="s">
        <v>226</v>
      </c>
      <c r="G851" s="39" t="s">
        <v>227</v>
      </c>
      <c r="H851" s="39" t="s">
        <v>2126</v>
      </c>
      <c r="I851" s="39" t="s">
        <v>229</v>
      </c>
    </row>
    <row r="852" ht="15.75" hidden="1" customHeight="1">
      <c r="A852" s="36">
        <v>5967632.0</v>
      </c>
      <c r="B852" s="37" t="s">
        <v>323</v>
      </c>
      <c r="C852" s="37" t="s">
        <v>2127</v>
      </c>
      <c r="D852" s="37" t="s">
        <v>224</v>
      </c>
      <c r="E852" s="37" t="s">
        <v>325</v>
      </c>
      <c r="F852" s="37" t="s">
        <v>326</v>
      </c>
      <c r="G852" s="37" t="s">
        <v>327</v>
      </c>
      <c r="H852" s="37" t="s">
        <v>2128</v>
      </c>
      <c r="I852" s="37" t="s">
        <v>229</v>
      </c>
    </row>
    <row r="853" ht="15.75" hidden="1" customHeight="1">
      <c r="A853" s="38">
        <v>5276155.0</v>
      </c>
      <c r="B853" s="39" t="s">
        <v>323</v>
      </c>
      <c r="C853" s="39" t="s">
        <v>2129</v>
      </c>
      <c r="D853" s="39" t="s">
        <v>224</v>
      </c>
      <c r="E853" s="39" t="s">
        <v>325</v>
      </c>
      <c r="F853" s="39" t="s">
        <v>326</v>
      </c>
      <c r="G853" s="39" t="s">
        <v>327</v>
      </c>
      <c r="H853" s="39" t="s">
        <v>2130</v>
      </c>
      <c r="I853" s="39" t="s">
        <v>229</v>
      </c>
    </row>
    <row r="854" ht="15.75" hidden="1" customHeight="1">
      <c r="A854" s="36">
        <v>4890398.0</v>
      </c>
      <c r="B854" s="37" t="s">
        <v>1019</v>
      </c>
      <c r="C854" s="37" t="s">
        <v>2131</v>
      </c>
      <c r="D854" s="37" t="s">
        <v>224</v>
      </c>
      <c r="E854" s="37" t="s">
        <v>1021</v>
      </c>
      <c r="F854" s="37" t="s">
        <v>292</v>
      </c>
      <c r="G854" s="37" t="s">
        <v>293</v>
      </c>
      <c r="H854" s="37" t="s">
        <v>2132</v>
      </c>
      <c r="I854" s="37" t="s">
        <v>229</v>
      </c>
    </row>
    <row r="855" ht="15.75" hidden="1" customHeight="1">
      <c r="A855" s="38">
        <v>5846034.0</v>
      </c>
      <c r="B855" s="39" t="s">
        <v>323</v>
      </c>
      <c r="C855" s="39" t="s">
        <v>2133</v>
      </c>
      <c r="D855" s="39" t="s">
        <v>224</v>
      </c>
      <c r="E855" s="39" t="s">
        <v>325</v>
      </c>
      <c r="F855" s="39" t="s">
        <v>326</v>
      </c>
      <c r="G855" s="39" t="s">
        <v>327</v>
      </c>
      <c r="H855" s="39" t="s">
        <v>2134</v>
      </c>
      <c r="I855" s="39" t="s">
        <v>229</v>
      </c>
    </row>
    <row r="856" ht="15.75" hidden="1" customHeight="1">
      <c r="A856" s="36">
        <v>4892209.0</v>
      </c>
      <c r="B856" s="37" t="s">
        <v>416</v>
      </c>
      <c r="C856" s="37" t="s">
        <v>2135</v>
      </c>
      <c r="D856" s="37" t="s">
        <v>224</v>
      </c>
      <c r="E856" s="37" t="s">
        <v>420</v>
      </c>
      <c r="F856" s="37" t="s">
        <v>421</v>
      </c>
      <c r="G856" s="37" t="s">
        <v>227</v>
      </c>
      <c r="H856" s="37" t="s">
        <v>2136</v>
      </c>
      <c r="I856" s="37" t="s">
        <v>260</v>
      </c>
    </row>
    <row r="857" ht="15.75" hidden="1" customHeight="1">
      <c r="A857" s="38">
        <v>5282674.0</v>
      </c>
      <c r="B857" s="39" t="s">
        <v>323</v>
      </c>
      <c r="C857" s="39" t="s">
        <v>2137</v>
      </c>
      <c r="D857" s="39" t="s">
        <v>224</v>
      </c>
      <c r="E857" s="39" t="s">
        <v>325</v>
      </c>
      <c r="F857" s="39" t="s">
        <v>326</v>
      </c>
      <c r="G857" s="39" t="s">
        <v>327</v>
      </c>
      <c r="H857" s="39" t="s">
        <v>2138</v>
      </c>
      <c r="I857" s="39" t="s">
        <v>229</v>
      </c>
    </row>
    <row r="858" ht="15.75" hidden="1" customHeight="1">
      <c r="A858" s="36">
        <v>4898446.0</v>
      </c>
      <c r="B858" s="37" t="s">
        <v>457</v>
      </c>
      <c r="C858" s="37" t="s">
        <v>2139</v>
      </c>
      <c r="D858" s="37" t="s">
        <v>224</v>
      </c>
      <c r="E858" s="37" t="s">
        <v>1145</v>
      </c>
      <c r="F858" s="37" t="s">
        <v>292</v>
      </c>
      <c r="G858" s="37" t="s">
        <v>293</v>
      </c>
      <c r="H858" s="37" t="s">
        <v>2140</v>
      </c>
      <c r="I858" s="37" t="s">
        <v>229</v>
      </c>
    </row>
    <row r="859" ht="15.75" hidden="1" customHeight="1">
      <c r="A859" s="38">
        <v>4898489.0</v>
      </c>
      <c r="B859" s="39" t="s">
        <v>522</v>
      </c>
      <c r="C859" s="39" t="s">
        <v>2141</v>
      </c>
      <c r="D859" s="39" t="s">
        <v>224</v>
      </c>
      <c r="E859" s="39" t="s">
        <v>524</v>
      </c>
      <c r="F859" s="39" t="s">
        <v>470</v>
      </c>
      <c r="G859" s="39" t="s">
        <v>327</v>
      </c>
      <c r="H859" s="39" t="s">
        <v>2142</v>
      </c>
      <c r="I859" s="39" t="s">
        <v>229</v>
      </c>
    </row>
    <row r="860" ht="15.75" hidden="1" customHeight="1">
      <c r="A860" s="36">
        <v>4898492.0</v>
      </c>
      <c r="B860" s="37" t="s">
        <v>478</v>
      </c>
      <c r="C860" s="37" t="s">
        <v>2143</v>
      </c>
      <c r="D860" s="37" t="s">
        <v>224</v>
      </c>
      <c r="E860" s="37" t="s">
        <v>1323</v>
      </c>
      <c r="F860" s="37" t="s">
        <v>481</v>
      </c>
      <c r="G860" s="37" t="s">
        <v>293</v>
      </c>
      <c r="H860" s="37" t="s">
        <v>2144</v>
      </c>
      <c r="I860" s="37" t="s">
        <v>229</v>
      </c>
    </row>
    <row r="861" ht="15.75" hidden="1" customHeight="1">
      <c r="A861" s="38">
        <v>4899941.0</v>
      </c>
      <c r="B861" s="39" t="s">
        <v>1019</v>
      </c>
      <c r="C861" s="39" t="s">
        <v>2145</v>
      </c>
      <c r="D861" s="39" t="s">
        <v>224</v>
      </c>
      <c r="E861" s="39" t="s">
        <v>1021</v>
      </c>
      <c r="F861" s="39" t="s">
        <v>292</v>
      </c>
      <c r="G861" s="39" t="s">
        <v>293</v>
      </c>
      <c r="H861" s="39" t="s">
        <v>2146</v>
      </c>
      <c r="I861" s="39" t="s">
        <v>229</v>
      </c>
    </row>
    <row r="862" ht="15.75" hidden="1" customHeight="1">
      <c r="A862" s="36">
        <v>4899975.0</v>
      </c>
      <c r="B862" s="37" t="s">
        <v>9</v>
      </c>
      <c r="C862" s="37" t="s">
        <v>2147</v>
      </c>
      <c r="D862" s="37" t="s">
        <v>224</v>
      </c>
      <c r="E862" s="37" t="s">
        <v>1102</v>
      </c>
      <c r="F862" s="37" t="s">
        <v>481</v>
      </c>
      <c r="G862" s="37" t="s">
        <v>293</v>
      </c>
      <c r="H862" s="37" t="s">
        <v>2148</v>
      </c>
      <c r="I862" s="37" t="s">
        <v>229</v>
      </c>
    </row>
    <row r="863" ht="15.75" hidden="1" customHeight="1">
      <c r="A863" s="38">
        <v>5349399.0</v>
      </c>
      <c r="B863" s="39" t="s">
        <v>246</v>
      </c>
      <c r="C863" s="39" t="s">
        <v>2149</v>
      </c>
      <c r="D863" s="39" t="s">
        <v>224</v>
      </c>
      <c r="E863" s="39" t="s">
        <v>336</v>
      </c>
      <c r="F863" s="39" t="s">
        <v>249</v>
      </c>
      <c r="G863" s="39" t="s">
        <v>250</v>
      </c>
      <c r="H863" s="39" t="s">
        <v>2150</v>
      </c>
      <c r="I863" s="39" t="s">
        <v>229</v>
      </c>
    </row>
    <row r="864" ht="15.75" hidden="1" customHeight="1">
      <c r="A864" s="36">
        <v>4901213.0</v>
      </c>
      <c r="B864" s="37" t="s">
        <v>323</v>
      </c>
      <c r="C864" s="37" t="s">
        <v>2151</v>
      </c>
      <c r="D864" s="37" t="s">
        <v>224</v>
      </c>
      <c r="E864" s="37" t="s">
        <v>2152</v>
      </c>
      <c r="F864" s="37" t="s">
        <v>326</v>
      </c>
      <c r="G864" s="37" t="s">
        <v>327</v>
      </c>
      <c r="H864" s="37" t="s">
        <v>2153</v>
      </c>
      <c r="I864" s="37" t="s">
        <v>229</v>
      </c>
    </row>
    <row r="865" ht="15.75" hidden="1" customHeight="1">
      <c r="A865" s="38">
        <v>5141724.0</v>
      </c>
      <c r="B865" s="39" t="s">
        <v>246</v>
      </c>
      <c r="C865" s="39" t="s">
        <v>2154</v>
      </c>
      <c r="D865" s="39" t="s">
        <v>224</v>
      </c>
      <c r="E865" s="39" t="s">
        <v>336</v>
      </c>
      <c r="F865" s="39" t="s">
        <v>249</v>
      </c>
      <c r="G865" s="39" t="s">
        <v>250</v>
      </c>
      <c r="H865" s="39" t="s">
        <v>2155</v>
      </c>
      <c r="I865" s="39" t="s">
        <v>229</v>
      </c>
    </row>
    <row r="866" ht="15.75" hidden="1" customHeight="1">
      <c r="A866" s="36">
        <v>4901230.0</v>
      </c>
      <c r="B866" s="37" t="s">
        <v>485</v>
      </c>
      <c r="C866" s="37" t="s">
        <v>2156</v>
      </c>
      <c r="D866" s="37" t="s">
        <v>224</v>
      </c>
      <c r="E866" s="37" t="s">
        <v>487</v>
      </c>
      <c r="F866" s="37" t="s">
        <v>470</v>
      </c>
      <c r="G866" s="37" t="s">
        <v>327</v>
      </c>
      <c r="H866" s="37" t="s">
        <v>2157</v>
      </c>
      <c r="I866" s="37" t="s">
        <v>229</v>
      </c>
    </row>
    <row r="867" ht="15.75" hidden="1" customHeight="1">
      <c r="A867" s="38">
        <v>5141469.0</v>
      </c>
      <c r="B867" s="39" t="s">
        <v>246</v>
      </c>
      <c r="C867" s="39" t="s">
        <v>2158</v>
      </c>
      <c r="D867" s="39" t="s">
        <v>224</v>
      </c>
      <c r="E867" s="39" t="s">
        <v>336</v>
      </c>
      <c r="F867" s="39" t="s">
        <v>249</v>
      </c>
      <c r="G867" s="39" t="s">
        <v>250</v>
      </c>
      <c r="H867" s="39" t="s">
        <v>2159</v>
      </c>
      <c r="I867" s="39" t="s">
        <v>229</v>
      </c>
    </row>
    <row r="868" ht="15.75" hidden="1" customHeight="1">
      <c r="A868" s="36">
        <v>4901372.0</v>
      </c>
      <c r="B868" s="37" t="s">
        <v>676</v>
      </c>
      <c r="C868" s="37" t="s">
        <v>2160</v>
      </c>
      <c r="D868" s="37" t="s">
        <v>224</v>
      </c>
      <c r="E868" s="37" t="s">
        <v>1859</v>
      </c>
      <c r="F868" s="37" t="s">
        <v>679</v>
      </c>
      <c r="G868" s="37" t="s">
        <v>301</v>
      </c>
      <c r="H868" s="37" t="s">
        <v>2161</v>
      </c>
      <c r="I868" s="37" t="s">
        <v>229</v>
      </c>
    </row>
    <row r="869" ht="15.75" hidden="1" customHeight="1">
      <c r="A869" s="38">
        <v>5471391.0</v>
      </c>
      <c r="B869" s="39" t="s">
        <v>246</v>
      </c>
      <c r="C869" s="39" t="s">
        <v>2162</v>
      </c>
      <c r="D869" s="39" t="s">
        <v>224</v>
      </c>
      <c r="E869" s="39" t="s">
        <v>336</v>
      </c>
      <c r="F869" s="39" t="s">
        <v>249</v>
      </c>
      <c r="G869" s="39" t="s">
        <v>250</v>
      </c>
      <c r="H869" s="39" t="s">
        <v>2163</v>
      </c>
      <c r="I869" s="39" t="s">
        <v>229</v>
      </c>
    </row>
    <row r="870" ht="15.75" hidden="1" customHeight="1">
      <c r="A870" s="36">
        <v>4904156.0</v>
      </c>
      <c r="B870" s="37" t="s">
        <v>632</v>
      </c>
      <c r="C870" s="37" t="s">
        <v>2164</v>
      </c>
      <c r="D870" s="37" t="s">
        <v>224</v>
      </c>
      <c r="E870" s="37" t="s">
        <v>891</v>
      </c>
      <c r="F870" s="37" t="s">
        <v>257</v>
      </c>
      <c r="G870" s="37" t="s">
        <v>258</v>
      </c>
      <c r="H870" s="37" t="s">
        <v>2165</v>
      </c>
      <c r="I870" s="37" t="s">
        <v>260</v>
      </c>
    </row>
    <row r="871" ht="15.75" hidden="1" customHeight="1">
      <c r="A871" s="38">
        <v>5233835.0</v>
      </c>
      <c r="B871" s="39" t="s">
        <v>246</v>
      </c>
      <c r="C871" s="39" t="s">
        <v>2166</v>
      </c>
      <c r="D871" s="39" t="s">
        <v>224</v>
      </c>
      <c r="E871" s="39" t="s">
        <v>336</v>
      </c>
      <c r="F871" s="39" t="s">
        <v>249</v>
      </c>
      <c r="G871" s="39" t="s">
        <v>250</v>
      </c>
      <c r="H871" s="39" t="s">
        <v>2167</v>
      </c>
      <c r="I871" s="39" t="s">
        <v>229</v>
      </c>
    </row>
    <row r="872" ht="15.75" hidden="1" customHeight="1">
      <c r="A872" s="36">
        <v>4905287.0</v>
      </c>
      <c r="B872" s="37" t="s">
        <v>522</v>
      </c>
      <c r="C872" s="37" t="s">
        <v>2168</v>
      </c>
      <c r="D872" s="37" t="s">
        <v>224</v>
      </c>
      <c r="E872" s="37" t="s">
        <v>524</v>
      </c>
      <c r="F872" s="37" t="s">
        <v>470</v>
      </c>
      <c r="G872" s="37" t="s">
        <v>327</v>
      </c>
      <c r="H872" s="37" t="s">
        <v>2169</v>
      </c>
      <c r="I872" s="37" t="s">
        <v>229</v>
      </c>
    </row>
    <row r="873" ht="15.75" hidden="1" customHeight="1">
      <c r="A873" s="38">
        <v>5333598.0</v>
      </c>
      <c r="B873" s="39" t="s">
        <v>246</v>
      </c>
      <c r="C873" s="39" t="s">
        <v>2170</v>
      </c>
      <c r="D873" s="39" t="s">
        <v>224</v>
      </c>
      <c r="E873" s="39" t="s">
        <v>336</v>
      </c>
      <c r="F873" s="39" t="s">
        <v>249</v>
      </c>
      <c r="G873" s="39" t="s">
        <v>250</v>
      </c>
      <c r="H873" s="39" t="s">
        <v>2171</v>
      </c>
      <c r="I873" s="39" t="s">
        <v>229</v>
      </c>
    </row>
    <row r="874" ht="15.75" hidden="1" customHeight="1">
      <c r="A874" s="36">
        <v>4905621.0</v>
      </c>
      <c r="B874" s="37" t="s">
        <v>1791</v>
      </c>
      <c r="C874" s="37" t="s">
        <v>2172</v>
      </c>
      <c r="D874" s="37" t="s">
        <v>224</v>
      </c>
      <c r="E874" s="37" t="s">
        <v>938</v>
      </c>
      <c r="F874" s="37" t="s">
        <v>266</v>
      </c>
      <c r="G874" s="37" t="s">
        <v>250</v>
      </c>
      <c r="H874" s="37" t="s">
        <v>2173</v>
      </c>
      <c r="I874" s="37" t="s">
        <v>229</v>
      </c>
    </row>
    <row r="875" ht="15.75" hidden="1" customHeight="1">
      <c r="A875" s="38">
        <v>5491915.0</v>
      </c>
      <c r="B875" s="39" t="s">
        <v>246</v>
      </c>
      <c r="C875" s="39" t="s">
        <v>2174</v>
      </c>
      <c r="D875" s="39" t="s">
        <v>224</v>
      </c>
      <c r="E875" s="39" t="s">
        <v>336</v>
      </c>
      <c r="F875" s="39" t="s">
        <v>249</v>
      </c>
      <c r="G875" s="39" t="s">
        <v>250</v>
      </c>
      <c r="H875" s="39" t="s">
        <v>2175</v>
      </c>
      <c r="I875" s="39" t="s">
        <v>229</v>
      </c>
    </row>
    <row r="876" ht="15.75" hidden="1" customHeight="1">
      <c r="A876" s="36">
        <v>4906839.0</v>
      </c>
      <c r="B876" s="37" t="s">
        <v>385</v>
      </c>
      <c r="C876" s="37" t="s">
        <v>2176</v>
      </c>
      <c r="D876" s="37" t="s">
        <v>224</v>
      </c>
      <c r="E876" s="37" t="s">
        <v>756</v>
      </c>
      <c r="F876" s="37" t="s">
        <v>300</v>
      </c>
      <c r="G876" s="37" t="s">
        <v>301</v>
      </c>
      <c r="H876" s="37" t="s">
        <v>2177</v>
      </c>
      <c r="I876" s="37" t="s">
        <v>229</v>
      </c>
    </row>
    <row r="877" ht="15.75" hidden="1" customHeight="1">
      <c r="A877" s="38">
        <v>5803184.0</v>
      </c>
      <c r="B877" s="39" t="s">
        <v>246</v>
      </c>
      <c r="C877" s="39" t="s">
        <v>2178</v>
      </c>
      <c r="D877" s="39" t="s">
        <v>224</v>
      </c>
      <c r="E877" s="39" t="s">
        <v>336</v>
      </c>
      <c r="F877" s="39" t="s">
        <v>249</v>
      </c>
      <c r="G877" s="39" t="s">
        <v>250</v>
      </c>
      <c r="H877" s="39" t="s">
        <v>2179</v>
      </c>
      <c r="I877" s="39" t="s">
        <v>229</v>
      </c>
    </row>
    <row r="878" ht="15.75" hidden="1" customHeight="1">
      <c r="A878" s="36">
        <v>4909449.0</v>
      </c>
      <c r="B878" s="37" t="s">
        <v>738</v>
      </c>
      <c r="C878" s="37" t="s">
        <v>2180</v>
      </c>
      <c r="D878" s="37" t="s">
        <v>224</v>
      </c>
      <c r="E878" s="37" t="s">
        <v>2181</v>
      </c>
      <c r="F878" s="37" t="s">
        <v>533</v>
      </c>
      <c r="G878" s="37" t="s">
        <v>250</v>
      </c>
      <c r="H878" s="37" t="s">
        <v>2182</v>
      </c>
      <c r="I878" s="37" t="s">
        <v>229</v>
      </c>
    </row>
    <row r="879" ht="15.75" hidden="1" customHeight="1">
      <c r="A879" s="38">
        <v>6028153.0</v>
      </c>
      <c r="B879" s="39" t="s">
        <v>246</v>
      </c>
      <c r="C879" s="39" t="s">
        <v>2183</v>
      </c>
      <c r="D879" s="39" t="s">
        <v>224</v>
      </c>
      <c r="E879" s="39" t="s">
        <v>336</v>
      </c>
      <c r="F879" s="39" t="s">
        <v>249</v>
      </c>
      <c r="G879" s="39" t="s">
        <v>250</v>
      </c>
      <c r="H879" s="39" t="s">
        <v>2184</v>
      </c>
      <c r="I879" s="39" t="s">
        <v>229</v>
      </c>
    </row>
    <row r="880" ht="15.75" hidden="1" customHeight="1">
      <c r="A880" s="36">
        <v>4909472.0</v>
      </c>
      <c r="B880" s="37" t="s">
        <v>986</v>
      </c>
      <c r="C880" s="37" t="s">
        <v>2185</v>
      </c>
      <c r="D880" s="37" t="s">
        <v>224</v>
      </c>
      <c r="E880" s="37" t="s">
        <v>1002</v>
      </c>
      <c r="F880" s="37" t="s">
        <v>679</v>
      </c>
      <c r="G880" s="37" t="s">
        <v>301</v>
      </c>
      <c r="H880" s="37" t="s">
        <v>2186</v>
      </c>
      <c r="I880" s="37" t="s">
        <v>229</v>
      </c>
    </row>
    <row r="881" ht="15.75" hidden="1" customHeight="1">
      <c r="A881" s="38">
        <v>5938320.0</v>
      </c>
      <c r="B881" s="39" t="s">
        <v>246</v>
      </c>
      <c r="C881" s="39" t="s">
        <v>2187</v>
      </c>
      <c r="D881" s="39" t="s">
        <v>224</v>
      </c>
      <c r="E881" s="39" t="s">
        <v>336</v>
      </c>
      <c r="F881" s="39" t="s">
        <v>249</v>
      </c>
      <c r="G881" s="39" t="s">
        <v>250</v>
      </c>
      <c r="H881" s="39" t="s">
        <v>2188</v>
      </c>
      <c r="I881" s="39" t="s">
        <v>229</v>
      </c>
    </row>
    <row r="882" ht="15.75" hidden="1" customHeight="1">
      <c r="A882" s="36">
        <v>4909513.0</v>
      </c>
      <c r="B882" s="37" t="s">
        <v>907</v>
      </c>
      <c r="C882" s="37" t="s">
        <v>2189</v>
      </c>
      <c r="D882" s="37" t="s">
        <v>224</v>
      </c>
      <c r="E882" s="37" t="s">
        <v>443</v>
      </c>
      <c r="F882" s="37" t="s">
        <v>257</v>
      </c>
      <c r="G882" s="37" t="s">
        <v>258</v>
      </c>
      <c r="H882" s="37" t="s">
        <v>2190</v>
      </c>
      <c r="I882" s="37" t="s">
        <v>260</v>
      </c>
    </row>
    <row r="883" ht="15.75" hidden="1" customHeight="1">
      <c r="A883" s="38">
        <v>5891085.0</v>
      </c>
      <c r="B883" s="39" t="s">
        <v>246</v>
      </c>
      <c r="C883" s="39" t="s">
        <v>2191</v>
      </c>
      <c r="D883" s="39" t="s">
        <v>224</v>
      </c>
      <c r="E883" s="39" t="s">
        <v>336</v>
      </c>
      <c r="F883" s="39" t="s">
        <v>249</v>
      </c>
      <c r="G883" s="39" t="s">
        <v>250</v>
      </c>
      <c r="H883" s="39" t="s">
        <v>2192</v>
      </c>
      <c r="I883" s="39" t="s">
        <v>229</v>
      </c>
    </row>
    <row r="884" ht="15.75" hidden="1" customHeight="1">
      <c r="A884" s="36">
        <v>4911283.0</v>
      </c>
      <c r="B884" s="37" t="s">
        <v>121</v>
      </c>
      <c r="C884" s="37" t="s">
        <v>2193</v>
      </c>
      <c r="D884" s="37" t="s">
        <v>224</v>
      </c>
      <c r="E884" s="37" t="s">
        <v>643</v>
      </c>
      <c r="F884" s="37" t="s">
        <v>644</v>
      </c>
      <c r="G884" s="37" t="s">
        <v>3</v>
      </c>
      <c r="H884" s="37" t="s">
        <v>2194</v>
      </c>
      <c r="I884" s="37" t="s">
        <v>260</v>
      </c>
      <c r="J884" s="1">
        <v>42.0</v>
      </c>
      <c r="L884" s="40" t="s">
        <v>412</v>
      </c>
    </row>
    <row r="885" ht="15.75" hidden="1" customHeight="1">
      <c r="A885" s="38">
        <v>5491914.0</v>
      </c>
      <c r="B885" s="39" t="s">
        <v>246</v>
      </c>
      <c r="C885" s="39" t="s">
        <v>2195</v>
      </c>
      <c r="D885" s="39" t="s">
        <v>224</v>
      </c>
      <c r="E885" s="39" t="s">
        <v>336</v>
      </c>
      <c r="F885" s="39" t="s">
        <v>249</v>
      </c>
      <c r="G885" s="39" t="s">
        <v>250</v>
      </c>
      <c r="H885" s="39" t="s">
        <v>2196</v>
      </c>
      <c r="I885" s="39" t="s">
        <v>229</v>
      </c>
    </row>
    <row r="886" ht="15.75" hidden="1" customHeight="1">
      <c r="A886" s="36">
        <v>4919434.0</v>
      </c>
      <c r="B886" s="37" t="s">
        <v>567</v>
      </c>
      <c r="C886" s="37" t="s">
        <v>2197</v>
      </c>
      <c r="D886" s="37" t="s">
        <v>224</v>
      </c>
      <c r="E886" s="37" t="s">
        <v>403</v>
      </c>
      <c r="F886" s="37" t="s">
        <v>377</v>
      </c>
      <c r="G886" s="37" t="s">
        <v>327</v>
      </c>
      <c r="H886" s="37" t="s">
        <v>2198</v>
      </c>
      <c r="I886" s="37" t="s">
        <v>229</v>
      </c>
    </row>
    <row r="887" ht="15.75" hidden="1" customHeight="1">
      <c r="A887" s="38">
        <v>5978457.0</v>
      </c>
      <c r="B887" s="39" t="s">
        <v>813</v>
      </c>
      <c r="C887" s="39" t="s">
        <v>2199</v>
      </c>
      <c r="D887" s="39" t="s">
        <v>224</v>
      </c>
      <c r="E887" s="39" t="s">
        <v>1562</v>
      </c>
      <c r="F887" s="39" t="s">
        <v>679</v>
      </c>
      <c r="G887" s="39" t="s">
        <v>301</v>
      </c>
      <c r="H887" s="39" t="s">
        <v>2200</v>
      </c>
      <c r="I887" s="39" t="s">
        <v>229</v>
      </c>
    </row>
    <row r="888" ht="15.75" hidden="1" customHeight="1">
      <c r="A888" s="36">
        <v>4919653.0</v>
      </c>
      <c r="B888" s="37" t="s">
        <v>800</v>
      </c>
      <c r="C888" s="37" t="s">
        <v>2201</v>
      </c>
      <c r="D888" s="37" t="s">
        <v>224</v>
      </c>
      <c r="E888" s="37" t="s">
        <v>802</v>
      </c>
      <c r="F888" s="37" t="s">
        <v>333</v>
      </c>
      <c r="G888" s="37" t="s">
        <v>301</v>
      </c>
      <c r="H888" s="37" t="s">
        <v>2202</v>
      </c>
      <c r="I888" s="37" t="s">
        <v>229</v>
      </c>
    </row>
    <row r="889" ht="15.75" hidden="1" customHeight="1">
      <c r="A889" s="38">
        <v>5444235.0</v>
      </c>
      <c r="B889" s="39" t="s">
        <v>813</v>
      </c>
      <c r="C889" s="39" t="s">
        <v>2203</v>
      </c>
      <c r="D889" s="39" t="s">
        <v>224</v>
      </c>
      <c r="E889" s="39" t="s">
        <v>1562</v>
      </c>
      <c r="F889" s="39" t="s">
        <v>679</v>
      </c>
      <c r="G889" s="39" t="s">
        <v>301</v>
      </c>
      <c r="H889" s="39" t="s">
        <v>2204</v>
      </c>
      <c r="I889" s="39" t="s">
        <v>229</v>
      </c>
    </row>
    <row r="890" ht="15.75" hidden="1" customHeight="1">
      <c r="A890" s="36">
        <v>4919670.0</v>
      </c>
      <c r="B890" s="37" t="s">
        <v>800</v>
      </c>
      <c r="C890" s="37" t="s">
        <v>2205</v>
      </c>
      <c r="D890" s="37" t="s">
        <v>224</v>
      </c>
      <c r="E890" s="37" t="s">
        <v>802</v>
      </c>
      <c r="F890" s="37" t="s">
        <v>333</v>
      </c>
      <c r="G890" s="37" t="s">
        <v>301</v>
      </c>
      <c r="H890" s="37" t="s">
        <v>2206</v>
      </c>
      <c r="I890" s="37" t="s">
        <v>229</v>
      </c>
    </row>
    <row r="891" ht="15.75" hidden="1" customHeight="1">
      <c r="A891" s="38">
        <v>5976419.0</v>
      </c>
      <c r="B891" s="39" t="s">
        <v>813</v>
      </c>
      <c r="C891" s="39" t="s">
        <v>2207</v>
      </c>
      <c r="D891" s="39" t="s">
        <v>224</v>
      </c>
      <c r="E891" s="39" t="s">
        <v>1562</v>
      </c>
      <c r="F891" s="39" t="s">
        <v>679</v>
      </c>
      <c r="G891" s="39" t="s">
        <v>301</v>
      </c>
      <c r="H891" s="39" t="s">
        <v>2208</v>
      </c>
      <c r="I891" s="39" t="s">
        <v>229</v>
      </c>
    </row>
    <row r="892" ht="15.75" hidden="1" customHeight="1">
      <c r="A892" s="36">
        <v>4920675.0</v>
      </c>
      <c r="B892" s="37" t="s">
        <v>813</v>
      </c>
      <c r="C892" s="37" t="s">
        <v>2209</v>
      </c>
      <c r="D892" s="37" t="s">
        <v>224</v>
      </c>
      <c r="E892" s="37" t="s">
        <v>815</v>
      </c>
      <c r="F892" s="37" t="s">
        <v>679</v>
      </c>
      <c r="G892" s="37" t="s">
        <v>301</v>
      </c>
      <c r="H892" s="37" t="s">
        <v>2210</v>
      </c>
      <c r="I892" s="37" t="s">
        <v>229</v>
      </c>
    </row>
    <row r="893" ht="15.75" hidden="1" customHeight="1">
      <c r="A893" s="38">
        <v>5529067.0</v>
      </c>
      <c r="B893" s="39" t="s">
        <v>813</v>
      </c>
      <c r="C893" s="39" t="s">
        <v>2211</v>
      </c>
      <c r="D893" s="39" t="s">
        <v>224</v>
      </c>
      <c r="E893" s="39" t="s">
        <v>1562</v>
      </c>
      <c r="F893" s="39" t="s">
        <v>679</v>
      </c>
      <c r="G893" s="39" t="s">
        <v>301</v>
      </c>
      <c r="H893" s="39" t="s">
        <v>2212</v>
      </c>
      <c r="I893" s="39" t="s">
        <v>229</v>
      </c>
    </row>
    <row r="894" ht="15.75" hidden="1" customHeight="1">
      <c r="A894" s="36">
        <v>4920677.0</v>
      </c>
      <c r="B894" s="37" t="s">
        <v>506</v>
      </c>
      <c r="C894" s="37" t="s">
        <v>2213</v>
      </c>
      <c r="D894" s="37" t="s">
        <v>224</v>
      </c>
      <c r="E894" s="37" t="s">
        <v>510</v>
      </c>
      <c r="F894" s="37" t="s">
        <v>284</v>
      </c>
      <c r="G894" s="37" t="s">
        <v>3</v>
      </c>
      <c r="H894" s="37" t="s">
        <v>2214</v>
      </c>
      <c r="I894" s="37" t="s">
        <v>260</v>
      </c>
      <c r="J894" s="1">
        <v>42.0</v>
      </c>
      <c r="L894" s="40" t="s">
        <v>121</v>
      </c>
    </row>
    <row r="895" ht="15.75" hidden="1" customHeight="1">
      <c r="A895" s="38">
        <v>4921049.0</v>
      </c>
      <c r="B895" s="39" t="s">
        <v>794</v>
      </c>
      <c r="C895" s="39" t="s">
        <v>2215</v>
      </c>
      <c r="D895" s="39" t="s">
        <v>224</v>
      </c>
      <c r="E895" s="39" t="s">
        <v>1773</v>
      </c>
      <c r="F895" s="39" t="s">
        <v>293</v>
      </c>
      <c r="G895" s="39" t="s">
        <v>319</v>
      </c>
      <c r="H895" s="39" t="s">
        <v>2216</v>
      </c>
      <c r="I895" s="39" t="s">
        <v>229</v>
      </c>
    </row>
    <row r="896" ht="15.75" hidden="1" customHeight="1">
      <c r="A896" s="36">
        <v>4921090.0</v>
      </c>
      <c r="B896" s="37" t="s">
        <v>457</v>
      </c>
      <c r="C896" s="37" t="s">
        <v>2217</v>
      </c>
      <c r="D896" s="37" t="s">
        <v>224</v>
      </c>
      <c r="E896" s="37" t="s">
        <v>1145</v>
      </c>
      <c r="F896" s="37" t="s">
        <v>292</v>
      </c>
      <c r="G896" s="37" t="s">
        <v>293</v>
      </c>
      <c r="H896" s="37" t="s">
        <v>2218</v>
      </c>
      <c r="I896" s="37" t="s">
        <v>229</v>
      </c>
    </row>
    <row r="897" ht="15.75" hidden="1" customHeight="1">
      <c r="A897" s="38">
        <v>5887361.0</v>
      </c>
      <c r="B897" s="39" t="s">
        <v>813</v>
      </c>
      <c r="C897" s="39" t="s">
        <v>2219</v>
      </c>
      <c r="D897" s="39" t="s">
        <v>224</v>
      </c>
      <c r="E897" s="39" t="s">
        <v>1562</v>
      </c>
      <c r="F897" s="39" t="s">
        <v>679</v>
      </c>
      <c r="G897" s="39" t="s">
        <v>301</v>
      </c>
      <c r="H897" s="39" t="s">
        <v>2220</v>
      </c>
      <c r="I897" s="39" t="s">
        <v>229</v>
      </c>
    </row>
    <row r="898" ht="15.75" hidden="1" customHeight="1">
      <c r="A898" s="36">
        <v>4927103.0</v>
      </c>
      <c r="B898" s="37" t="s">
        <v>491</v>
      </c>
      <c r="C898" s="37" t="s">
        <v>2221</v>
      </c>
      <c r="D898" s="37" t="s">
        <v>224</v>
      </c>
      <c r="E898" s="37" t="s">
        <v>573</v>
      </c>
      <c r="F898" s="37" t="s">
        <v>494</v>
      </c>
      <c r="G898" s="37" t="s">
        <v>227</v>
      </c>
      <c r="H898" s="37" t="s">
        <v>2222</v>
      </c>
      <c r="I898" s="37" t="s">
        <v>260</v>
      </c>
    </row>
    <row r="899" ht="15.75" hidden="1" customHeight="1">
      <c r="A899" s="38">
        <v>5887066.0</v>
      </c>
      <c r="B899" s="39" t="s">
        <v>813</v>
      </c>
      <c r="C899" s="39" t="s">
        <v>2223</v>
      </c>
      <c r="D899" s="39" t="s">
        <v>224</v>
      </c>
      <c r="E899" s="39" t="s">
        <v>1562</v>
      </c>
      <c r="F899" s="39" t="s">
        <v>679</v>
      </c>
      <c r="G899" s="39" t="s">
        <v>301</v>
      </c>
      <c r="H899" s="39" t="s">
        <v>2224</v>
      </c>
      <c r="I899" s="39" t="s">
        <v>229</v>
      </c>
    </row>
    <row r="900" ht="15.75" hidden="1" customHeight="1">
      <c r="A900" s="36">
        <v>4928992.0</v>
      </c>
      <c r="B900" s="37" t="s">
        <v>986</v>
      </c>
      <c r="C900" s="37" t="s">
        <v>2225</v>
      </c>
      <c r="D900" s="37" t="s">
        <v>224</v>
      </c>
      <c r="E900" s="37" t="s">
        <v>1002</v>
      </c>
      <c r="F900" s="37" t="s">
        <v>679</v>
      </c>
      <c r="G900" s="37" t="s">
        <v>301</v>
      </c>
      <c r="H900" s="37" t="s">
        <v>2226</v>
      </c>
      <c r="I900" s="37" t="s">
        <v>229</v>
      </c>
    </row>
    <row r="901" ht="15.75" hidden="1" customHeight="1">
      <c r="A901" s="38">
        <v>5775481.0</v>
      </c>
      <c r="B901" s="39" t="s">
        <v>813</v>
      </c>
      <c r="C901" s="39" t="s">
        <v>2227</v>
      </c>
      <c r="D901" s="39" t="s">
        <v>224</v>
      </c>
      <c r="E901" s="39" t="s">
        <v>1562</v>
      </c>
      <c r="F901" s="39" t="s">
        <v>679</v>
      </c>
      <c r="G901" s="39" t="s">
        <v>301</v>
      </c>
      <c r="H901" s="39" t="s">
        <v>2228</v>
      </c>
      <c r="I901" s="39" t="s">
        <v>229</v>
      </c>
    </row>
    <row r="902" ht="15.75" hidden="1" customHeight="1">
      <c r="A902" s="36">
        <v>5284028.0</v>
      </c>
      <c r="B902" s="37" t="s">
        <v>813</v>
      </c>
      <c r="C902" s="37" t="s">
        <v>2229</v>
      </c>
      <c r="D902" s="37" t="s">
        <v>234</v>
      </c>
      <c r="E902" s="37" t="s">
        <v>1562</v>
      </c>
      <c r="F902" s="37" t="s">
        <v>679</v>
      </c>
      <c r="G902" s="37" t="s">
        <v>301</v>
      </c>
      <c r="H902" s="37" t="s">
        <v>2230</v>
      </c>
      <c r="I902" s="37" t="s">
        <v>229</v>
      </c>
    </row>
    <row r="903" ht="15.75" hidden="1" customHeight="1">
      <c r="A903" s="38">
        <v>5306696.0</v>
      </c>
      <c r="B903" s="39" t="s">
        <v>813</v>
      </c>
      <c r="C903" s="39" t="s">
        <v>2231</v>
      </c>
      <c r="D903" s="39" t="s">
        <v>224</v>
      </c>
      <c r="E903" s="39" t="s">
        <v>1562</v>
      </c>
      <c r="F903" s="39" t="s">
        <v>679</v>
      </c>
      <c r="G903" s="39" t="s">
        <v>301</v>
      </c>
      <c r="H903" s="39" t="s">
        <v>2232</v>
      </c>
      <c r="I903" s="39" t="s">
        <v>229</v>
      </c>
    </row>
    <row r="904" ht="15.75" hidden="1" customHeight="1">
      <c r="A904" s="36">
        <v>4931528.0</v>
      </c>
      <c r="B904" s="37" t="s">
        <v>10</v>
      </c>
      <c r="C904" s="37" t="s">
        <v>2233</v>
      </c>
      <c r="D904" s="37" t="s">
        <v>224</v>
      </c>
      <c r="E904" s="37" t="s">
        <v>634</v>
      </c>
      <c r="F904" s="37" t="s">
        <v>257</v>
      </c>
      <c r="G904" s="37" t="s">
        <v>258</v>
      </c>
      <c r="H904" s="37" t="s">
        <v>2234</v>
      </c>
      <c r="I904" s="37" t="s">
        <v>260</v>
      </c>
    </row>
    <row r="905" ht="15.75" hidden="1" customHeight="1">
      <c r="A905" s="38">
        <v>5364385.0</v>
      </c>
      <c r="B905" s="39" t="s">
        <v>813</v>
      </c>
      <c r="C905" s="39" t="s">
        <v>2235</v>
      </c>
      <c r="D905" s="39" t="s">
        <v>224</v>
      </c>
      <c r="E905" s="39" t="s">
        <v>1562</v>
      </c>
      <c r="F905" s="39" t="s">
        <v>679</v>
      </c>
      <c r="G905" s="39" t="s">
        <v>301</v>
      </c>
      <c r="H905" s="39" t="s">
        <v>2236</v>
      </c>
      <c r="I905" s="39" t="s">
        <v>229</v>
      </c>
    </row>
    <row r="906" ht="15.75" hidden="1" customHeight="1">
      <c r="A906" s="36">
        <v>4931529.0</v>
      </c>
      <c r="B906" s="37" t="s">
        <v>695</v>
      </c>
      <c r="C906" s="37" t="s">
        <v>2237</v>
      </c>
      <c r="D906" s="37" t="s">
        <v>224</v>
      </c>
      <c r="E906" s="37" t="s">
        <v>1714</v>
      </c>
      <c r="F906" s="37" t="s">
        <v>698</v>
      </c>
      <c r="G906" s="37" t="s">
        <v>541</v>
      </c>
      <c r="H906" s="37" t="s">
        <v>2238</v>
      </c>
      <c r="I906" s="37" t="s">
        <v>229</v>
      </c>
    </row>
    <row r="907" ht="15.75" hidden="1" customHeight="1">
      <c r="A907" s="38">
        <v>5941365.0</v>
      </c>
      <c r="B907" s="39" t="s">
        <v>813</v>
      </c>
      <c r="C907" s="39" t="s">
        <v>2239</v>
      </c>
      <c r="D907" s="39" t="s">
        <v>224</v>
      </c>
      <c r="E907" s="39" t="s">
        <v>1562</v>
      </c>
      <c r="F907" s="39" t="s">
        <v>679</v>
      </c>
      <c r="G907" s="39" t="s">
        <v>301</v>
      </c>
      <c r="H907" s="39" t="s">
        <v>2240</v>
      </c>
      <c r="I907" s="39" t="s">
        <v>229</v>
      </c>
    </row>
    <row r="908" ht="15.75" hidden="1" customHeight="1">
      <c r="A908" s="36">
        <v>4931574.0</v>
      </c>
      <c r="B908" s="37" t="s">
        <v>1019</v>
      </c>
      <c r="C908" s="37" t="s">
        <v>2241</v>
      </c>
      <c r="D908" s="37" t="s">
        <v>224</v>
      </c>
      <c r="E908" s="37" t="s">
        <v>1021</v>
      </c>
      <c r="F908" s="37" t="s">
        <v>292</v>
      </c>
      <c r="G908" s="37" t="s">
        <v>293</v>
      </c>
      <c r="H908" s="37" t="s">
        <v>2242</v>
      </c>
      <c r="I908" s="37" t="s">
        <v>229</v>
      </c>
    </row>
    <row r="909" ht="15.75" hidden="1" customHeight="1">
      <c r="A909" s="38">
        <v>3354573.0</v>
      </c>
      <c r="B909" s="39" t="s">
        <v>813</v>
      </c>
      <c r="C909" s="39" t="s">
        <v>2243</v>
      </c>
      <c r="D909" s="39" t="s">
        <v>224</v>
      </c>
      <c r="E909" s="39" t="s">
        <v>1562</v>
      </c>
      <c r="F909" s="39" t="s">
        <v>679</v>
      </c>
      <c r="G909" s="39" t="s">
        <v>301</v>
      </c>
      <c r="H909" s="39" t="s">
        <v>2244</v>
      </c>
      <c r="I909" s="39" t="s">
        <v>229</v>
      </c>
    </row>
    <row r="910" ht="15.75" hidden="1" customHeight="1">
      <c r="A910" s="36">
        <v>4931575.0</v>
      </c>
      <c r="B910" s="37" t="s">
        <v>1348</v>
      </c>
      <c r="C910" s="37" t="s">
        <v>2245</v>
      </c>
      <c r="D910" s="37" t="s">
        <v>224</v>
      </c>
      <c r="E910" s="37" t="s">
        <v>1021</v>
      </c>
      <c r="F910" s="37" t="s">
        <v>292</v>
      </c>
      <c r="G910" s="37" t="s">
        <v>293</v>
      </c>
      <c r="H910" s="37" t="s">
        <v>2246</v>
      </c>
      <c r="I910" s="37" t="s">
        <v>229</v>
      </c>
    </row>
    <row r="911" ht="15.75" hidden="1" customHeight="1">
      <c r="A911" s="38">
        <v>6019103.0</v>
      </c>
      <c r="B911" s="39" t="s">
        <v>813</v>
      </c>
      <c r="C911" s="39" t="s">
        <v>2247</v>
      </c>
      <c r="D911" s="39" t="s">
        <v>224</v>
      </c>
      <c r="E911" s="39" t="s">
        <v>1562</v>
      </c>
      <c r="F911" s="39" t="s">
        <v>679</v>
      </c>
      <c r="G911" s="39" t="s">
        <v>301</v>
      </c>
      <c r="H911" s="39" t="s">
        <v>2248</v>
      </c>
      <c r="I911" s="39" t="s">
        <v>229</v>
      </c>
    </row>
    <row r="912" ht="15.75" hidden="1" customHeight="1">
      <c r="A912" s="36">
        <v>4931582.0</v>
      </c>
      <c r="B912" s="37" t="s">
        <v>1143</v>
      </c>
      <c r="C912" s="37" t="s">
        <v>2249</v>
      </c>
      <c r="D912" s="37" t="s">
        <v>224</v>
      </c>
      <c r="E912" s="37" t="s">
        <v>1145</v>
      </c>
      <c r="F912" s="37" t="s">
        <v>292</v>
      </c>
      <c r="G912" s="37" t="s">
        <v>293</v>
      </c>
      <c r="H912" s="37" t="s">
        <v>2250</v>
      </c>
      <c r="I912" s="37" t="s">
        <v>229</v>
      </c>
    </row>
    <row r="913" ht="15.75" hidden="1" customHeight="1">
      <c r="A913" s="38">
        <v>5874207.0</v>
      </c>
      <c r="B913" s="39" t="s">
        <v>986</v>
      </c>
      <c r="C913" s="39" t="s">
        <v>2251</v>
      </c>
      <c r="D913" s="39" t="s">
        <v>331</v>
      </c>
      <c r="E913" s="39" t="s">
        <v>988</v>
      </c>
      <c r="F913" s="39" t="s">
        <v>679</v>
      </c>
      <c r="G913" s="39" t="s">
        <v>301</v>
      </c>
      <c r="H913" s="39" t="s">
        <v>2252</v>
      </c>
      <c r="I913" s="39" t="s">
        <v>229</v>
      </c>
    </row>
    <row r="914" ht="15.75" hidden="1" customHeight="1">
      <c r="A914" s="36">
        <v>4931604.0</v>
      </c>
      <c r="B914" s="37" t="s">
        <v>1348</v>
      </c>
      <c r="C914" s="37" t="s">
        <v>2253</v>
      </c>
      <c r="D914" s="37" t="s">
        <v>224</v>
      </c>
      <c r="E914" s="37" t="s">
        <v>459</v>
      </c>
      <c r="F914" s="37" t="s">
        <v>292</v>
      </c>
      <c r="G914" s="37" t="s">
        <v>293</v>
      </c>
      <c r="H914" s="37" t="s">
        <v>2254</v>
      </c>
      <c r="I914" s="37" t="s">
        <v>229</v>
      </c>
    </row>
    <row r="915" ht="15.75" hidden="1" customHeight="1">
      <c r="A915" s="38">
        <v>4932543.0</v>
      </c>
      <c r="B915" s="39" t="s">
        <v>567</v>
      </c>
      <c r="C915" s="39" t="s">
        <v>2255</v>
      </c>
      <c r="D915" s="39" t="s">
        <v>224</v>
      </c>
      <c r="E915" s="39" t="s">
        <v>403</v>
      </c>
      <c r="F915" s="39" t="s">
        <v>377</v>
      </c>
      <c r="G915" s="39" t="s">
        <v>327</v>
      </c>
      <c r="H915" s="39" t="s">
        <v>2256</v>
      </c>
      <c r="I915" s="39" t="s">
        <v>229</v>
      </c>
    </row>
    <row r="916" ht="15.75" hidden="1" customHeight="1">
      <c r="A916" s="36">
        <v>4932751.0</v>
      </c>
      <c r="B916" s="37" t="s">
        <v>1348</v>
      </c>
      <c r="C916" s="37" t="s">
        <v>2257</v>
      </c>
      <c r="D916" s="37" t="s">
        <v>224</v>
      </c>
      <c r="E916" s="37" t="s">
        <v>459</v>
      </c>
      <c r="F916" s="37" t="s">
        <v>292</v>
      </c>
      <c r="G916" s="37" t="s">
        <v>293</v>
      </c>
      <c r="H916" s="37" t="s">
        <v>2258</v>
      </c>
      <c r="I916" s="37" t="s">
        <v>229</v>
      </c>
    </row>
    <row r="917" ht="15.75" hidden="1" customHeight="1">
      <c r="A917" s="38">
        <v>5847541.0</v>
      </c>
      <c r="B917" s="39" t="s">
        <v>986</v>
      </c>
      <c r="C917" s="39" t="s">
        <v>2259</v>
      </c>
      <c r="D917" s="39" t="s">
        <v>224</v>
      </c>
      <c r="E917" s="39" t="s">
        <v>988</v>
      </c>
      <c r="F917" s="39" t="s">
        <v>679</v>
      </c>
      <c r="G917" s="39" t="s">
        <v>301</v>
      </c>
      <c r="H917" s="39" t="s">
        <v>2260</v>
      </c>
      <c r="I917" s="39" t="s">
        <v>229</v>
      </c>
    </row>
    <row r="918" ht="15.75" hidden="1" customHeight="1">
      <c r="A918" s="36">
        <v>4932840.0</v>
      </c>
      <c r="B918" s="37" t="s">
        <v>120</v>
      </c>
      <c r="C918" s="37" t="s">
        <v>2261</v>
      </c>
      <c r="D918" s="37" t="s">
        <v>224</v>
      </c>
      <c r="E918" s="37" t="s">
        <v>1015</v>
      </c>
      <c r="F918" s="37" t="s">
        <v>644</v>
      </c>
      <c r="G918" s="37" t="s">
        <v>3</v>
      </c>
      <c r="H918" s="37" t="s">
        <v>2262</v>
      </c>
      <c r="I918" s="37" t="s">
        <v>260</v>
      </c>
      <c r="J918" s="1">
        <v>42.0</v>
      </c>
      <c r="L918" s="40" t="s">
        <v>506</v>
      </c>
    </row>
    <row r="919" ht="15.75" hidden="1" customHeight="1">
      <c r="A919" s="38">
        <v>4933320.0</v>
      </c>
      <c r="B919" s="39" t="s">
        <v>632</v>
      </c>
      <c r="C919" s="39" t="s">
        <v>2263</v>
      </c>
      <c r="D919" s="39" t="s">
        <v>224</v>
      </c>
      <c r="E919" s="39" t="s">
        <v>891</v>
      </c>
      <c r="F919" s="39" t="s">
        <v>257</v>
      </c>
      <c r="G919" s="39" t="s">
        <v>258</v>
      </c>
      <c r="H919" s="39" t="s">
        <v>2264</v>
      </c>
      <c r="I919" s="39" t="s">
        <v>260</v>
      </c>
    </row>
    <row r="920" ht="15.75" hidden="1" customHeight="1">
      <c r="A920" s="36">
        <v>5982871.0</v>
      </c>
      <c r="B920" s="37" t="s">
        <v>986</v>
      </c>
      <c r="C920" s="37" t="s">
        <v>2265</v>
      </c>
      <c r="D920" s="37" t="s">
        <v>224</v>
      </c>
      <c r="E920" s="37" t="s">
        <v>988</v>
      </c>
      <c r="F920" s="37" t="s">
        <v>679</v>
      </c>
      <c r="G920" s="37" t="s">
        <v>301</v>
      </c>
      <c r="H920" s="37" t="s">
        <v>2266</v>
      </c>
      <c r="I920" s="37" t="s">
        <v>229</v>
      </c>
    </row>
    <row r="921" ht="15.75" hidden="1" customHeight="1">
      <c r="A921" s="38">
        <v>4934316.0</v>
      </c>
      <c r="B921" s="39" t="s">
        <v>401</v>
      </c>
      <c r="C921" s="39" t="s">
        <v>2267</v>
      </c>
      <c r="D921" s="39" t="s">
        <v>224</v>
      </c>
      <c r="E921" s="39" t="s">
        <v>403</v>
      </c>
      <c r="F921" s="39" t="s">
        <v>377</v>
      </c>
      <c r="G921" s="39" t="s">
        <v>327</v>
      </c>
      <c r="H921" s="39" t="s">
        <v>2268</v>
      </c>
      <c r="I921" s="39" t="s">
        <v>229</v>
      </c>
    </row>
    <row r="922" ht="15.75" hidden="1" customHeight="1">
      <c r="A922" s="36">
        <v>5508992.0</v>
      </c>
      <c r="B922" s="37" t="s">
        <v>986</v>
      </c>
      <c r="C922" s="37" t="s">
        <v>2269</v>
      </c>
      <c r="D922" s="37" t="s">
        <v>331</v>
      </c>
      <c r="E922" s="37" t="s">
        <v>988</v>
      </c>
      <c r="F922" s="37" t="s">
        <v>679</v>
      </c>
      <c r="G922" s="37" t="s">
        <v>301</v>
      </c>
      <c r="H922" s="37" t="s">
        <v>2270</v>
      </c>
      <c r="I922" s="37" t="s">
        <v>229</v>
      </c>
    </row>
    <row r="923" ht="15.75" hidden="1" customHeight="1">
      <c r="A923" s="38">
        <v>4938062.0</v>
      </c>
      <c r="B923" s="39" t="s">
        <v>412</v>
      </c>
      <c r="C923" s="39" t="s">
        <v>2271</v>
      </c>
      <c r="D923" s="39" t="s">
        <v>224</v>
      </c>
      <c r="E923" s="39" t="s">
        <v>430</v>
      </c>
      <c r="F923" s="39" t="s">
        <v>3</v>
      </c>
      <c r="G923" s="39" t="s">
        <v>3</v>
      </c>
      <c r="H923" s="39" t="s">
        <v>2272</v>
      </c>
      <c r="I923" s="39" t="s">
        <v>260</v>
      </c>
      <c r="J923" s="1">
        <v>42.0</v>
      </c>
      <c r="L923" s="40" t="s">
        <v>120</v>
      </c>
    </row>
    <row r="924" ht="15.75" hidden="1" customHeight="1">
      <c r="A924" s="36">
        <v>5640239.0</v>
      </c>
      <c r="B924" s="37" t="s">
        <v>986</v>
      </c>
      <c r="C924" s="37" t="s">
        <v>2273</v>
      </c>
      <c r="D924" s="37" t="s">
        <v>224</v>
      </c>
      <c r="E924" s="37" t="s">
        <v>988</v>
      </c>
      <c r="F924" s="37" t="s">
        <v>679</v>
      </c>
      <c r="G924" s="37" t="s">
        <v>301</v>
      </c>
      <c r="H924" s="37" t="s">
        <v>2274</v>
      </c>
      <c r="I924" s="37" t="s">
        <v>229</v>
      </c>
    </row>
    <row r="925" ht="15.75" hidden="1" customHeight="1">
      <c r="A925" s="38">
        <v>4938065.0</v>
      </c>
      <c r="B925" s="39" t="s">
        <v>847</v>
      </c>
      <c r="C925" s="39" t="s">
        <v>2275</v>
      </c>
      <c r="D925" s="39" t="s">
        <v>224</v>
      </c>
      <c r="E925" s="39" t="s">
        <v>1418</v>
      </c>
      <c r="F925" s="39" t="s">
        <v>333</v>
      </c>
      <c r="G925" s="39" t="s">
        <v>301</v>
      </c>
      <c r="H925" s="39" t="s">
        <v>2276</v>
      </c>
      <c r="I925" s="39" t="s">
        <v>229</v>
      </c>
    </row>
    <row r="926" ht="15.75" hidden="1" customHeight="1">
      <c r="A926" s="36">
        <v>5161690.0</v>
      </c>
      <c r="B926" s="37" t="s">
        <v>986</v>
      </c>
      <c r="C926" s="37" t="s">
        <v>2277</v>
      </c>
      <c r="D926" s="37" t="s">
        <v>224</v>
      </c>
      <c r="E926" s="37" t="s">
        <v>988</v>
      </c>
      <c r="F926" s="37" t="s">
        <v>679</v>
      </c>
      <c r="G926" s="37" t="s">
        <v>301</v>
      </c>
      <c r="H926" s="37" t="s">
        <v>2278</v>
      </c>
      <c r="I926" s="37" t="s">
        <v>229</v>
      </c>
    </row>
    <row r="927" ht="15.75" hidden="1" customHeight="1">
      <c r="A927" s="38">
        <v>4938069.0</v>
      </c>
      <c r="B927" s="39" t="s">
        <v>331</v>
      </c>
      <c r="C927" s="39" t="s">
        <v>2279</v>
      </c>
      <c r="D927" s="39" t="s">
        <v>331</v>
      </c>
      <c r="E927" s="39" t="s">
        <v>1523</v>
      </c>
      <c r="F927" s="39" t="s">
        <v>1524</v>
      </c>
      <c r="G927" s="39" t="s">
        <v>1525</v>
      </c>
      <c r="H927" s="39" t="s">
        <v>2280</v>
      </c>
      <c r="I927" s="39" t="s">
        <v>229</v>
      </c>
    </row>
    <row r="928" ht="15.75" hidden="1" customHeight="1">
      <c r="A928" s="36">
        <v>5695060.0</v>
      </c>
      <c r="B928" s="37" t="s">
        <v>986</v>
      </c>
      <c r="C928" s="37" t="s">
        <v>2281</v>
      </c>
      <c r="D928" s="37" t="s">
        <v>224</v>
      </c>
      <c r="E928" s="37" t="s">
        <v>988</v>
      </c>
      <c r="F928" s="37" t="s">
        <v>679</v>
      </c>
      <c r="G928" s="37" t="s">
        <v>301</v>
      </c>
      <c r="H928" s="37" t="s">
        <v>2282</v>
      </c>
      <c r="I928" s="37" t="s">
        <v>229</v>
      </c>
    </row>
    <row r="929" ht="15.75" hidden="1" customHeight="1">
      <c r="A929" s="38">
        <v>5240310.0</v>
      </c>
      <c r="B929" s="39" t="s">
        <v>986</v>
      </c>
      <c r="C929" s="39" t="s">
        <v>2283</v>
      </c>
      <c r="D929" s="39" t="s">
        <v>224</v>
      </c>
      <c r="E929" s="39" t="s">
        <v>988</v>
      </c>
      <c r="F929" s="39" t="s">
        <v>679</v>
      </c>
      <c r="G929" s="39" t="s">
        <v>301</v>
      </c>
      <c r="H929" s="39" t="s">
        <v>2284</v>
      </c>
      <c r="I929" s="39" t="s">
        <v>229</v>
      </c>
    </row>
    <row r="930" ht="15.75" hidden="1" customHeight="1">
      <c r="A930" s="36">
        <v>4942985.0</v>
      </c>
      <c r="B930" s="37" t="s">
        <v>2285</v>
      </c>
      <c r="C930" s="37" t="s">
        <v>2286</v>
      </c>
      <c r="D930" s="37" t="s">
        <v>224</v>
      </c>
      <c r="E930" s="37" t="s">
        <v>1604</v>
      </c>
      <c r="F930" s="37" t="s">
        <v>540</v>
      </c>
      <c r="G930" s="37" t="s">
        <v>541</v>
      </c>
      <c r="H930" s="37" t="s">
        <v>2287</v>
      </c>
      <c r="I930" s="37" t="s">
        <v>229</v>
      </c>
    </row>
    <row r="931" ht="15.75" hidden="1" customHeight="1">
      <c r="A931" s="38">
        <v>5255702.0</v>
      </c>
      <c r="B931" s="39" t="s">
        <v>986</v>
      </c>
      <c r="C931" s="39" t="s">
        <v>2288</v>
      </c>
      <c r="D931" s="39" t="s">
        <v>224</v>
      </c>
      <c r="E931" s="39" t="s">
        <v>988</v>
      </c>
      <c r="F931" s="39" t="s">
        <v>679</v>
      </c>
      <c r="G931" s="39" t="s">
        <v>301</v>
      </c>
      <c r="H931" s="39" t="s">
        <v>2289</v>
      </c>
      <c r="I931" s="39" t="s">
        <v>229</v>
      </c>
    </row>
    <row r="932" ht="15.75" hidden="1" customHeight="1">
      <c r="A932" s="36">
        <v>4511239.0</v>
      </c>
      <c r="B932" s="37" t="s">
        <v>986</v>
      </c>
      <c r="C932" s="37" t="s">
        <v>2290</v>
      </c>
      <c r="D932" s="37" t="s">
        <v>224</v>
      </c>
      <c r="E932" s="37" t="s">
        <v>988</v>
      </c>
      <c r="F932" s="37" t="s">
        <v>679</v>
      </c>
      <c r="G932" s="37" t="s">
        <v>301</v>
      </c>
      <c r="H932" s="37" t="s">
        <v>2291</v>
      </c>
      <c r="I932" s="37" t="s">
        <v>229</v>
      </c>
    </row>
    <row r="933" ht="15.75" hidden="1" customHeight="1">
      <c r="A933" s="38">
        <v>4952936.0</v>
      </c>
      <c r="B933" s="39" t="s">
        <v>794</v>
      </c>
      <c r="C933" s="39" t="s">
        <v>2292</v>
      </c>
      <c r="D933" s="39" t="s">
        <v>224</v>
      </c>
      <c r="E933" s="39" t="s">
        <v>1011</v>
      </c>
      <c r="F933" s="39" t="s">
        <v>293</v>
      </c>
      <c r="G933" s="39" t="s">
        <v>319</v>
      </c>
      <c r="H933" s="39" t="s">
        <v>2293</v>
      </c>
      <c r="I933" s="39" t="s">
        <v>229</v>
      </c>
    </row>
    <row r="934" ht="15.75" hidden="1" customHeight="1">
      <c r="A934" s="36">
        <v>5869298.0</v>
      </c>
      <c r="B934" s="37" t="s">
        <v>986</v>
      </c>
      <c r="C934" s="37" t="s">
        <v>2294</v>
      </c>
      <c r="D934" s="37" t="s">
        <v>224</v>
      </c>
      <c r="E934" s="37" t="s">
        <v>988</v>
      </c>
      <c r="F934" s="37" t="s">
        <v>679</v>
      </c>
      <c r="G934" s="37" t="s">
        <v>301</v>
      </c>
      <c r="H934" s="37" t="s">
        <v>2295</v>
      </c>
      <c r="I934" s="37" t="s">
        <v>229</v>
      </c>
    </row>
    <row r="935" ht="15.75" hidden="1" customHeight="1">
      <c r="A935" s="38">
        <v>5721306.0</v>
      </c>
      <c r="B935" s="39" t="s">
        <v>986</v>
      </c>
      <c r="C935" s="39" t="s">
        <v>2296</v>
      </c>
      <c r="D935" s="39" t="s">
        <v>331</v>
      </c>
      <c r="E935" s="39" t="s">
        <v>988</v>
      </c>
      <c r="F935" s="39" t="s">
        <v>679</v>
      </c>
      <c r="G935" s="39" t="s">
        <v>301</v>
      </c>
      <c r="H935" s="39" t="s">
        <v>2297</v>
      </c>
      <c r="I935" s="39" t="s">
        <v>229</v>
      </c>
    </row>
    <row r="936" ht="15.75" hidden="1" customHeight="1">
      <c r="A936" s="36">
        <v>4958618.0</v>
      </c>
      <c r="B936" s="37" t="s">
        <v>835</v>
      </c>
      <c r="C936" s="37" t="s">
        <v>2298</v>
      </c>
      <c r="D936" s="37" t="s">
        <v>224</v>
      </c>
      <c r="E936" s="37" t="s">
        <v>837</v>
      </c>
      <c r="F936" s="37" t="s">
        <v>377</v>
      </c>
      <c r="G936" s="37" t="s">
        <v>327</v>
      </c>
      <c r="H936" s="37" t="s">
        <v>2299</v>
      </c>
      <c r="I936" s="37" t="s">
        <v>229</v>
      </c>
    </row>
    <row r="937" ht="15.75" hidden="1" customHeight="1">
      <c r="A937" s="38">
        <v>5638437.0</v>
      </c>
      <c r="B937" s="39" t="s">
        <v>986</v>
      </c>
      <c r="C937" s="39" t="s">
        <v>2300</v>
      </c>
      <c r="D937" s="39" t="s">
        <v>331</v>
      </c>
      <c r="E937" s="39" t="s">
        <v>988</v>
      </c>
      <c r="F937" s="39" t="s">
        <v>679</v>
      </c>
      <c r="G937" s="39" t="s">
        <v>301</v>
      </c>
      <c r="H937" s="39" t="s">
        <v>2301</v>
      </c>
      <c r="I937" s="39" t="s">
        <v>229</v>
      </c>
    </row>
    <row r="938" ht="15.75" hidden="1" customHeight="1">
      <c r="A938" s="36">
        <v>4958627.0</v>
      </c>
      <c r="B938" s="37" t="s">
        <v>485</v>
      </c>
      <c r="C938" s="37" t="s">
        <v>2302</v>
      </c>
      <c r="D938" s="37" t="s">
        <v>224</v>
      </c>
      <c r="E938" s="37" t="s">
        <v>487</v>
      </c>
      <c r="F938" s="37" t="s">
        <v>470</v>
      </c>
      <c r="G938" s="37" t="s">
        <v>327</v>
      </c>
      <c r="H938" s="37" t="s">
        <v>2303</v>
      </c>
      <c r="I938" s="37" t="s">
        <v>229</v>
      </c>
    </row>
    <row r="939" ht="15.75" hidden="1" customHeight="1">
      <c r="A939" s="38">
        <v>5695080.0</v>
      </c>
      <c r="B939" s="39" t="s">
        <v>986</v>
      </c>
      <c r="C939" s="39" t="s">
        <v>2304</v>
      </c>
      <c r="D939" s="39" t="s">
        <v>224</v>
      </c>
      <c r="E939" s="39" t="s">
        <v>988</v>
      </c>
      <c r="F939" s="39" t="s">
        <v>679</v>
      </c>
      <c r="G939" s="39" t="s">
        <v>301</v>
      </c>
      <c r="H939" s="39" t="s">
        <v>2305</v>
      </c>
      <c r="I939" s="39" t="s">
        <v>229</v>
      </c>
    </row>
    <row r="940" ht="15.75" hidden="1" customHeight="1">
      <c r="A940" s="36">
        <v>4959584.0</v>
      </c>
      <c r="B940" s="37" t="s">
        <v>416</v>
      </c>
      <c r="C940" s="37" t="s">
        <v>2306</v>
      </c>
      <c r="D940" s="37" t="s">
        <v>224</v>
      </c>
      <c r="E940" s="37" t="s">
        <v>2307</v>
      </c>
      <c r="F940" s="37" t="s">
        <v>421</v>
      </c>
      <c r="G940" s="37" t="s">
        <v>227</v>
      </c>
      <c r="H940" s="37" t="s">
        <v>2308</v>
      </c>
      <c r="I940" s="37" t="s">
        <v>260</v>
      </c>
    </row>
    <row r="941" ht="15.75" hidden="1" customHeight="1">
      <c r="A941" s="38">
        <v>5847301.0</v>
      </c>
      <c r="B941" s="39" t="s">
        <v>986</v>
      </c>
      <c r="C941" s="39" t="s">
        <v>2309</v>
      </c>
      <c r="D941" s="39" t="s">
        <v>224</v>
      </c>
      <c r="E941" s="39" t="s">
        <v>988</v>
      </c>
      <c r="F941" s="39" t="s">
        <v>679</v>
      </c>
      <c r="G941" s="39" t="s">
        <v>301</v>
      </c>
      <c r="H941" s="39" t="s">
        <v>2310</v>
      </c>
      <c r="I941" s="39" t="s">
        <v>229</v>
      </c>
    </row>
    <row r="942" ht="15.75" hidden="1" customHeight="1">
      <c r="A942" s="36">
        <v>6076198.0</v>
      </c>
      <c r="B942" s="37" t="s">
        <v>986</v>
      </c>
      <c r="C942" s="37" t="s">
        <v>2311</v>
      </c>
      <c r="D942" s="37" t="s">
        <v>224</v>
      </c>
      <c r="E942" s="37" t="s">
        <v>988</v>
      </c>
      <c r="F942" s="37" t="s">
        <v>679</v>
      </c>
      <c r="G942" s="37" t="s">
        <v>301</v>
      </c>
      <c r="H942" s="37" t="s">
        <v>2312</v>
      </c>
      <c r="I942" s="37" t="s">
        <v>229</v>
      </c>
    </row>
    <row r="943" ht="15.75" hidden="1" customHeight="1">
      <c r="A943" s="38">
        <v>5983369.0</v>
      </c>
      <c r="B943" s="39" t="s">
        <v>986</v>
      </c>
      <c r="C943" s="39" t="s">
        <v>2313</v>
      </c>
      <c r="D943" s="39" t="s">
        <v>224</v>
      </c>
      <c r="E943" s="39" t="s">
        <v>988</v>
      </c>
      <c r="F943" s="39" t="s">
        <v>679</v>
      </c>
      <c r="G943" s="39" t="s">
        <v>301</v>
      </c>
      <c r="H943" s="39" t="s">
        <v>2314</v>
      </c>
      <c r="I943" s="39" t="s">
        <v>229</v>
      </c>
    </row>
    <row r="944" ht="15.75" hidden="1" customHeight="1">
      <c r="A944" s="36">
        <v>6082838.0</v>
      </c>
      <c r="B944" s="37" t="s">
        <v>986</v>
      </c>
      <c r="C944" s="37" t="s">
        <v>2315</v>
      </c>
      <c r="D944" s="37" t="s">
        <v>224</v>
      </c>
      <c r="E944" s="37" t="s">
        <v>988</v>
      </c>
      <c r="F944" s="37" t="s">
        <v>679</v>
      </c>
      <c r="G944" s="37" t="s">
        <v>301</v>
      </c>
      <c r="H944" s="37" t="s">
        <v>2316</v>
      </c>
      <c r="I944" s="37" t="s">
        <v>229</v>
      </c>
    </row>
    <row r="945" ht="15.75" hidden="1" customHeight="1">
      <c r="A945" s="38">
        <v>5887053.0</v>
      </c>
      <c r="B945" s="39" t="s">
        <v>986</v>
      </c>
      <c r="C945" s="39" t="s">
        <v>2317</v>
      </c>
      <c r="D945" s="39" t="s">
        <v>224</v>
      </c>
      <c r="E945" s="39" t="s">
        <v>988</v>
      </c>
      <c r="F945" s="39" t="s">
        <v>679</v>
      </c>
      <c r="G945" s="39" t="s">
        <v>301</v>
      </c>
      <c r="H945" s="39" t="s">
        <v>2318</v>
      </c>
      <c r="I945" s="39" t="s">
        <v>229</v>
      </c>
    </row>
    <row r="946" ht="15.75" hidden="1" customHeight="1">
      <c r="A946" s="36">
        <v>4967709.0</v>
      </c>
      <c r="B946" s="37" t="s">
        <v>232</v>
      </c>
      <c r="C946" s="37" t="s">
        <v>2319</v>
      </c>
      <c r="D946" s="37" t="s">
        <v>224</v>
      </c>
      <c r="E946" s="37" t="s">
        <v>790</v>
      </c>
      <c r="F946" s="37" t="s">
        <v>226</v>
      </c>
      <c r="G946" s="37" t="s">
        <v>227</v>
      </c>
      <c r="H946" s="37" t="s">
        <v>2320</v>
      </c>
      <c r="I946" s="37" t="s">
        <v>229</v>
      </c>
    </row>
    <row r="947" ht="15.75" hidden="1" customHeight="1">
      <c r="A947" s="38">
        <v>6028154.0</v>
      </c>
      <c r="B947" s="39" t="s">
        <v>986</v>
      </c>
      <c r="C947" s="39" t="s">
        <v>2321</v>
      </c>
      <c r="D947" s="39" t="s">
        <v>224</v>
      </c>
      <c r="E947" s="39" t="s">
        <v>988</v>
      </c>
      <c r="F947" s="39" t="s">
        <v>679</v>
      </c>
      <c r="G947" s="39" t="s">
        <v>301</v>
      </c>
      <c r="H947" s="39" t="s">
        <v>2322</v>
      </c>
      <c r="I947" s="39" t="s">
        <v>229</v>
      </c>
    </row>
    <row r="948" ht="15.75" hidden="1" customHeight="1">
      <c r="A948" s="36">
        <v>4967985.0</v>
      </c>
      <c r="B948" s="37" t="s">
        <v>1695</v>
      </c>
      <c r="C948" s="37" t="s">
        <v>2323</v>
      </c>
      <c r="D948" s="37" t="s">
        <v>224</v>
      </c>
      <c r="E948" s="37" t="s">
        <v>1697</v>
      </c>
      <c r="F948" s="37" t="s">
        <v>698</v>
      </c>
      <c r="G948" s="37" t="s">
        <v>541</v>
      </c>
      <c r="H948" s="37" t="s">
        <v>2324</v>
      </c>
      <c r="I948" s="37" t="s">
        <v>229</v>
      </c>
    </row>
    <row r="949" ht="15.75" hidden="1" customHeight="1">
      <c r="A949" s="38">
        <v>5653993.0</v>
      </c>
      <c r="B949" s="39" t="s">
        <v>986</v>
      </c>
      <c r="C949" s="39" t="s">
        <v>2325</v>
      </c>
      <c r="D949" s="39" t="s">
        <v>234</v>
      </c>
      <c r="E949" s="39" t="s">
        <v>988</v>
      </c>
      <c r="F949" s="39" t="s">
        <v>679</v>
      </c>
      <c r="G949" s="39" t="s">
        <v>301</v>
      </c>
      <c r="H949" s="39" t="s">
        <v>2326</v>
      </c>
      <c r="I949" s="39" t="s">
        <v>229</v>
      </c>
    </row>
    <row r="950" ht="15.75" hidden="1" customHeight="1">
      <c r="A950" s="36">
        <v>4968052.0</v>
      </c>
      <c r="B950" s="37" t="s">
        <v>232</v>
      </c>
      <c r="C950" s="37" t="s">
        <v>2327</v>
      </c>
      <c r="D950" s="37" t="s">
        <v>224</v>
      </c>
      <c r="E950" s="37" t="s">
        <v>932</v>
      </c>
      <c r="F950" s="37" t="s">
        <v>226</v>
      </c>
      <c r="G950" s="37" t="s">
        <v>227</v>
      </c>
      <c r="H950" s="37" t="s">
        <v>2328</v>
      </c>
      <c r="I950" s="37" t="s">
        <v>229</v>
      </c>
    </row>
    <row r="951" ht="15.75" hidden="1" customHeight="1">
      <c r="A951" s="38">
        <v>5696292.0</v>
      </c>
      <c r="B951" s="39" t="s">
        <v>986</v>
      </c>
      <c r="C951" s="39" t="s">
        <v>2329</v>
      </c>
      <c r="D951" s="39" t="s">
        <v>224</v>
      </c>
      <c r="E951" s="39" t="s">
        <v>988</v>
      </c>
      <c r="F951" s="39" t="s">
        <v>679</v>
      </c>
      <c r="G951" s="39" t="s">
        <v>301</v>
      </c>
      <c r="H951" s="39" t="s">
        <v>2330</v>
      </c>
      <c r="I951" s="39" t="s">
        <v>229</v>
      </c>
    </row>
    <row r="952" ht="15.75" hidden="1" customHeight="1">
      <c r="A952" s="36">
        <v>5149545.0</v>
      </c>
      <c r="B952" s="37" t="s">
        <v>986</v>
      </c>
      <c r="C952" s="37" t="s">
        <v>2331</v>
      </c>
      <c r="D952" s="37" t="s">
        <v>224</v>
      </c>
      <c r="E952" s="37" t="s">
        <v>988</v>
      </c>
      <c r="F952" s="37" t="s">
        <v>679</v>
      </c>
      <c r="G952" s="37" t="s">
        <v>301</v>
      </c>
      <c r="H952" s="37" t="s">
        <v>2332</v>
      </c>
      <c r="I952" s="37" t="s">
        <v>229</v>
      </c>
    </row>
    <row r="953" ht="15.75" hidden="1" customHeight="1">
      <c r="A953" s="38">
        <v>4969823.0</v>
      </c>
      <c r="B953" s="39" t="s">
        <v>232</v>
      </c>
      <c r="C953" s="39" t="s">
        <v>2333</v>
      </c>
      <c r="D953" s="39" t="s">
        <v>224</v>
      </c>
      <c r="E953" s="39" t="s">
        <v>932</v>
      </c>
      <c r="F953" s="39" t="s">
        <v>226</v>
      </c>
      <c r="G953" s="39" t="s">
        <v>227</v>
      </c>
      <c r="H953" s="39" t="s">
        <v>2334</v>
      </c>
      <c r="I953" s="39" t="s">
        <v>229</v>
      </c>
    </row>
    <row r="954" ht="15.75" hidden="1" customHeight="1">
      <c r="A954" s="36">
        <v>5350260.0</v>
      </c>
      <c r="B954" s="37" t="s">
        <v>81</v>
      </c>
      <c r="C954" s="37" t="s">
        <v>2335</v>
      </c>
      <c r="D954" s="37" t="s">
        <v>224</v>
      </c>
      <c r="E954" s="37" t="s">
        <v>2023</v>
      </c>
      <c r="F954" s="42" t="s">
        <v>3</v>
      </c>
      <c r="G954" s="37" t="s">
        <v>3</v>
      </c>
      <c r="H954" s="37" t="s">
        <v>2336</v>
      </c>
      <c r="I954" s="37" t="s">
        <v>260</v>
      </c>
      <c r="J954" s="1">
        <v>42.0</v>
      </c>
      <c r="L954" s="40" t="s">
        <v>412</v>
      </c>
    </row>
    <row r="955" ht="15.75" hidden="1" customHeight="1">
      <c r="A955" s="38">
        <v>5388841.0</v>
      </c>
      <c r="B955" s="37" t="s">
        <v>81</v>
      </c>
      <c r="C955" s="39" t="s">
        <v>129</v>
      </c>
      <c r="D955" s="39" t="s">
        <v>224</v>
      </c>
      <c r="E955" s="39" t="s">
        <v>2023</v>
      </c>
      <c r="F955" s="42" t="s">
        <v>3</v>
      </c>
      <c r="G955" s="39" t="s">
        <v>3</v>
      </c>
      <c r="H955" s="39" t="s">
        <v>2337</v>
      </c>
      <c r="I955" s="39" t="s">
        <v>260</v>
      </c>
      <c r="J955" s="1">
        <v>42.0</v>
      </c>
      <c r="L955" s="40" t="s">
        <v>81</v>
      </c>
    </row>
    <row r="956" ht="15.75" hidden="1" customHeight="1">
      <c r="A956" s="36">
        <v>4975597.0</v>
      </c>
      <c r="B956" s="37" t="s">
        <v>416</v>
      </c>
      <c r="C956" s="37" t="s">
        <v>2338</v>
      </c>
      <c r="D956" s="37" t="s">
        <v>224</v>
      </c>
      <c r="E956" s="37" t="s">
        <v>2307</v>
      </c>
      <c r="F956" s="37" t="s">
        <v>421</v>
      </c>
      <c r="G956" s="37" t="s">
        <v>227</v>
      </c>
      <c r="H956" s="37" t="s">
        <v>2339</v>
      </c>
      <c r="I956" s="37" t="s">
        <v>260</v>
      </c>
    </row>
    <row r="957" ht="15.75" customHeight="1">
      <c r="A957" s="38">
        <v>5321006.0</v>
      </c>
      <c r="B957" s="44" t="s">
        <v>13</v>
      </c>
      <c r="C957" s="39" t="s">
        <v>47</v>
      </c>
      <c r="D957" s="39" t="s">
        <v>224</v>
      </c>
      <c r="E957" s="39" t="s">
        <v>2023</v>
      </c>
      <c r="F957" s="42" t="s">
        <v>3</v>
      </c>
      <c r="G957" s="39" t="s">
        <v>3</v>
      </c>
      <c r="H957" s="39" t="s">
        <v>2340</v>
      </c>
      <c r="I957" s="39" t="s">
        <v>260</v>
      </c>
      <c r="J957" s="1">
        <v>42.0</v>
      </c>
      <c r="L957" s="40" t="s">
        <v>81</v>
      </c>
    </row>
    <row r="958" ht="15.75" hidden="1" customHeight="1">
      <c r="A958" s="36">
        <v>4980014.0</v>
      </c>
      <c r="B958" s="37" t="s">
        <v>116</v>
      </c>
      <c r="C958" s="37" t="s">
        <v>2341</v>
      </c>
      <c r="D958" s="37" t="s">
        <v>224</v>
      </c>
      <c r="E958" s="37" t="s">
        <v>408</v>
      </c>
      <c r="F958" s="37" t="s">
        <v>341</v>
      </c>
      <c r="G958" s="37" t="s">
        <v>3</v>
      </c>
      <c r="H958" s="37" t="s">
        <v>2342</v>
      </c>
      <c r="I958" s="37" t="s">
        <v>260</v>
      </c>
      <c r="J958" s="1">
        <v>42.0</v>
      </c>
      <c r="L958" s="3" t="s">
        <v>13</v>
      </c>
    </row>
    <row r="959" ht="15.75" customHeight="1">
      <c r="A959" s="38">
        <v>5331414.0</v>
      </c>
      <c r="B959" s="39" t="s">
        <v>13</v>
      </c>
      <c r="C959" s="39" t="s">
        <v>50</v>
      </c>
      <c r="D959" s="39" t="s">
        <v>224</v>
      </c>
      <c r="E959" s="39" t="s">
        <v>2023</v>
      </c>
      <c r="F959" s="39" t="s">
        <v>341</v>
      </c>
      <c r="G959" s="39" t="s">
        <v>3</v>
      </c>
      <c r="H959" s="39" t="s">
        <v>2343</v>
      </c>
      <c r="I959" s="39" t="s">
        <v>260</v>
      </c>
      <c r="J959" s="1">
        <v>42.0</v>
      </c>
      <c r="L959" s="40" t="s">
        <v>116</v>
      </c>
    </row>
    <row r="960" ht="15.75" hidden="1" customHeight="1">
      <c r="A960" s="36">
        <v>4980685.0</v>
      </c>
      <c r="B960" s="37" t="s">
        <v>1602</v>
      </c>
      <c r="C960" s="37" t="s">
        <v>2344</v>
      </c>
      <c r="D960" s="37" t="s">
        <v>224</v>
      </c>
      <c r="E960" s="37" t="s">
        <v>578</v>
      </c>
      <c r="F960" s="37" t="s">
        <v>540</v>
      </c>
      <c r="G960" s="37" t="s">
        <v>541</v>
      </c>
      <c r="H960" s="37" t="s">
        <v>2345</v>
      </c>
      <c r="I960" s="37" t="s">
        <v>229</v>
      </c>
    </row>
    <row r="961" ht="15.75" hidden="1" customHeight="1">
      <c r="A961" s="38">
        <v>5546185.0</v>
      </c>
      <c r="B961" s="37" t="s">
        <v>81</v>
      </c>
      <c r="C961" s="39" t="s">
        <v>2346</v>
      </c>
      <c r="D961" s="39" t="s">
        <v>224</v>
      </c>
      <c r="E961" s="39" t="s">
        <v>2023</v>
      </c>
      <c r="F961" s="42" t="s">
        <v>3</v>
      </c>
      <c r="G961" s="39" t="s">
        <v>3</v>
      </c>
      <c r="H961" s="39" t="s">
        <v>2347</v>
      </c>
      <c r="I961" s="39" t="s">
        <v>260</v>
      </c>
      <c r="J961" s="1">
        <v>42.0</v>
      </c>
      <c r="L961" s="40" t="s">
        <v>13</v>
      </c>
    </row>
    <row r="962" ht="15.75" hidden="1" customHeight="1">
      <c r="A962" s="36">
        <v>4981757.0</v>
      </c>
      <c r="B962" s="37" t="s">
        <v>276</v>
      </c>
      <c r="C962" s="37" t="s">
        <v>2348</v>
      </c>
      <c r="D962" s="37" t="s">
        <v>224</v>
      </c>
      <c r="E962" s="37" t="s">
        <v>891</v>
      </c>
      <c r="F962" s="37" t="s">
        <v>257</v>
      </c>
      <c r="G962" s="37" t="s">
        <v>258</v>
      </c>
      <c r="H962" s="37" t="s">
        <v>2349</v>
      </c>
      <c r="I962" s="37" t="s">
        <v>260</v>
      </c>
    </row>
    <row r="963" ht="15.75" hidden="1" customHeight="1">
      <c r="A963" s="38">
        <v>5329723.0</v>
      </c>
      <c r="B963" s="37" t="s">
        <v>81</v>
      </c>
      <c r="C963" s="39" t="s">
        <v>2350</v>
      </c>
      <c r="D963" s="39" t="s">
        <v>224</v>
      </c>
      <c r="E963" s="39" t="s">
        <v>2023</v>
      </c>
      <c r="F963" s="42" t="s">
        <v>3</v>
      </c>
      <c r="G963" s="39" t="s">
        <v>3</v>
      </c>
      <c r="H963" s="39" t="s">
        <v>2351</v>
      </c>
      <c r="I963" s="39" t="s">
        <v>260</v>
      </c>
      <c r="J963" s="1">
        <v>42.0</v>
      </c>
      <c r="L963" s="40" t="s">
        <v>81</v>
      </c>
    </row>
    <row r="964" ht="15.75" hidden="1" customHeight="1">
      <c r="A964" s="36">
        <v>4981852.0</v>
      </c>
      <c r="B964" s="37" t="s">
        <v>1602</v>
      </c>
      <c r="C964" s="37" t="s">
        <v>2352</v>
      </c>
      <c r="D964" s="37" t="s">
        <v>224</v>
      </c>
      <c r="E964" s="37" t="s">
        <v>1604</v>
      </c>
      <c r="F964" s="37" t="s">
        <v>540</v>
      </c>
      <c r="G964" s="37" t="s">
        <v>541</v>
      </c>
      <c r="H964" s="37" t="s">
        <v>2353</v>
      </c>
      <c r="I964" s="37" t="s">
        <v>229</v>
      </c>
    </row>
    <row r="965" ht="15.75" hidden="1" customHeight="1">
      <c r="A965" s="38">
        <v>5069238.0</v>
      </c>
      <c r="B965" s="37" t="s">
        <v>81</v>
      </c>
      <c r="C965" s="39" t="s">
        <v>2354</v>
      </c>
      <c r="D965" s="39" t="s">
        <v>224</v>
      </c>
      <c r="E965" s="39" t="s">
        <v>2023</v>
      </c>
      <c r="F965" s="42" t="s">
        <v>3</v>
      </c>
      <c r="G965" s="39" t="s">
        <v>3</v>
      </c>
      <c r="H965" s="39" t="s">
        <v>2355</v>
      </c>
      <c r="I965" s="39" t="s">
        <v>260</v>
      </c>
      <c r="J965" s="1">
        <v>42.0</v>
      </c>
      <c r="L965" s="40" t="s">
        <v>81</v>
      </c>
    </row>
    <row r="966" ht="15.75" hidden="1" customHeight="1">
      <c r="A966" s="36">
        <v>5296788.0</v>
      </c>
      <c r="B966" s="37" t="s">
        <v>81</v>
      </c>
      <c r="C966" s="37" t="s">
        <v>2356</v>
      </c>
      <c r="D966" s="37" t="s">
        <v>224</v>
      </c>
      <c r="E966" s="37" t="s">
        <v>2023</v>
      </c>
      <c r="F966" s="42" t="s">
        <v>3</v>
      </c>
      <c r="G966" s="37" t="s">
        <v>3</v>
      </c>
      <c r="H966" s="37" t="s">
        <v>2357</v>
      </c>
      <c r="I966" s="37" t="s">
        <v>260</v>
      </c>
      <c r="J966" s="1">
        <v>42.0</v>
      </c>
      <c r="L966" s="40" t="s">
        <v>81</v>
      </c>
    </row>
    <row r="967" ht="15.75" hidden="1" customHeight="1">
      <c r="A967" s="38">
        <v>4981957.0</v>
      </c>
      <c r="B967" s="39" t="s">
        <v>526</v>
      </c>
      <c r="C967" s="39" t="s">
        <v>2358</v>
      </c>
      <c r="D967" s="39" t="s">
        <v>224</v>
      </c>
      <c r="E967" s="39" t="s">
        <v>649</v>
      </c>
      <c r="F967" s="39" t="s">
        <v>326</v>
      </c>
      <c r="G967" s="39" t="s">
        <v>327</v>
      </c>
      <c r="H967" s="39" t="s">
        <v>2359</v>
      </c>
      <c r="I967" s="39" t="s">
        <v>229</v>
      </c>
    </row>
    <row r="968" ht="15.75" customHeight="1">
      <c r="A968" s="36">
        <v>5327776.0</v>
      </c>
      <c r="B968" s="37" t="s">
        <v>13</v>
      </c>
      <c r="C968" s="37" t="s">
        <v>48</v>
      </c>
      <c r="D968" s="37" t="s">
        <v>224</v>
      </c>
      <c r="E968" s="37" t="s">
        <v>2023</v>
      </c>
      <c r="F968" s="37" t="s">
        <v>341</v>
      </c>
      <c r="G968" s="37" t="s">
        <v>3</v>
      </c>
      <c r="H968" s="37" t="s">
        <v>2360</v>
      </c>
      <c r="I968" s="37" t="s">
        <v>260</v>
      </c>
      <c r="J968" s="1">
        <v>42.0</v>
      </c>
      <c r="L968" s="40" t="s">
        <v>81</v>
      </c>
    </row>
    <row r="969" ht="15.75" hidden="1" customHeight="1">
      <c r="A969" s="38">
        <v>4981959.0</v>
      </c>
      <c r="B969" s="39" t="s">
        <v>1746</v>
      </c>
      <c r="C969" s="39" t="s">
        <v>2361</v>
      </c>
      <c r="D969" s="39" t="s">
        <v>224</v>
      </c>
      <c r="E969" s="39" t="s">
        <v>1518</v>
      </c>
      <c r="F969" s="39" t="s">
        <v>698</v>
      </c>
      <c r="G969" s="39" t="s">
        <v>541</v>
      </c>
      <c r="H969" s="39" t="s">
        <v>2362</v>
      </c>
      <c r="I969" s="39" t="s">
        <v>229</v>
      </c>
    </row>
    <row r="970" ht="15.75" hidden="1" customHeight="1">
      <c r="A970" s="36">
        <v>5333693.0</v>
      </c>
      <c r="B970" s="37" t="s">
        <v>81</v>
      </c>
      <c r="C970" s="37" t="s">
        <v>2363</v>
      </c>
      <c r="D970" s="37" t="s">
        <v>224</v>
      </c>
      <c r="E970" s="37" t="s">
        <v>2023</v>
      </c>
      <c r="F970" s="42" t="s">
        <v>3</v>
      </c>
      <c r="G970" s="37" t="s">
        <v>3</v>
      </c>
      <c r="H970" s="37" t="s">
        <v>2364</v>
      </c>
      <c r="I970" s="37" t="s">
        <v>260</v>
      </c>
      <c r="J970" s="1">
        <v>42.0</v>
      </c>
      <c r="L970" s="40" t="s">
        <v>13</v>
      </c>
    </row>
    <row r="971" ht="15.75" hidden="1" customHeight="1">
      <c r="A971" s="38">
        <v>4983934.0</v>
      </c>
      <c r="B971" s="39" t="s">
        <v>232</v>
      </c>
      <c r="C971" s="39" t="s">
        <v>2365</v>
      </c>
      <c r="D971" s="39" t="s">
        <v>269</v>
      </c>
      <c r="E971" s="39" t="s">
        <v>1207</v>
      </c>
      <c r="F971" s="39" t="s">
        <v>226</v>
      </c>
      <c r="G971" s="39" t="s">
        <v>227</v>
      </c>
      <c r="H971" s="39" t="s">
        <v>2366</v>
      </c>
      <c r="I971" s="39" t="s">
        <v>229</v>
      </c>
    </row>
    <row r="972" ht="15.75" customHeight="1">
      <c r="A972" s="36">
        <v>5334615.0</v>
      </c>
      <c r="B972" s="37" t="s">
        <v>13</v>
      </c>
      <c r="C972" s="37" t="s">
        <v>53</v>
      </c>
      <c r="D972" s="37" t="s">
        <v>224</v>
      </c>
      <c r="E972" s="37" t="s">
        <v>2023</v>
      </c>
      <c r="F972" s="37" t="s">
        <v>341</v>
      </c>
      <c r="G972" s="37" t="s">
        <v>3</v>
      </c>
      <c r="H972" s="37" t="s">
        <v>2367</v>
      </c>
      <c r="I972" s="37" t="s">
        <v>260</v>
      </c>
      <c r="J972" s="1">
        <v>42.0</v>
      </c>
      <c r="L972" s="40" t="s">
        <v>81</v>
      </c>
    </row>
    <row r="973" ht="15.75" hidden="1" customHeight="1">
      <c r="A973" s="38">
        <v>4984024.0</v>
      </c>
      <c r="B973" s="39" t="s">
        <v>506</v>
      </c>
      <c r="C973" s="39" t="s">
        <v>2368</v>
      </c>
      <c r="D973" s="39" t="s">
        <v>224</v>
      </c>
      <c r="E973" s="39" t="s">
        <v>831</v>
      </c>
      <c r="F973" s="39" t="s">
        <v>284</v>
      </c>
      <c r="G973" s="39" t="s">
        <v>3</v>
      </c>
      <c r="H973" s="39" t="s">
        <v>2369</v>
      </c>
      <c r="I973" s="39" t="s">
        <v>260</v>
      </c>
      <c r="J973" s="1">
        <v>42.0</v>
      </c>
      <c r="L973" s="40" t="s">
        <v>13</v>
      </c>
    </row>
    <row r="974" ht="15.75" hidden="1" customHeight="1">
      <c r="A974" s="36">
        <v>5349992.0</v>
      </c>
      <c r="B974" s="37" t="s">
        <v>81</v>
      </c>
      <c r="C974" s="37" t="s">
        <v>2370</v>
      </c>
      <c r="D974" s="37" t="s">
        <v>224</v>
      </c>
      <c r="E974" s="37" t="s">
        <v>2023</v>
      </c>
      <c r="F974" s="42" t="s">
        <v>3</v>
      </c>
      <c r="G974" s="37" t="s">
        <v>3</v>
      </c>
      <c r="H974" s="37" t="s">
        <v>2371</v>
      </c>
      <c r="I974" s="37" t="s">
        <v>260</v>
      </c>
      <c r="J974" s="1">
        <v>42.0</v>
      </c>
      <c r="L974" s="40" t="s">
        <v>506</v>
      </c>
    </row>
    <row r="975" ht="15.75" hidden="1" customHeight="1">
      <c r="A975" s="38">
        <v>4984206.0</v>
      </c>
      <c r="B975" s="39" t="s">
        <v>2372</v>
      </c>
      <c r="C975" s="39" t="s">
        <v>2373</v>
      </c>
      <c r="D975" s="39" t="s">
        <v>224</v>
      </c>
      <c r="E975" s="39" t="s">
        <v>2374</v>
      </c>
      <c r="F975" s="39" t="s">
        <v>266</v>
      </c>
      <c r="G975" s="39" t="s">
        <v>250</v>
      </c>
      <c r="H975" s="39" t="s">
        <v>2375</v>
      </c>
      <c r="I975" s="39" t="s">
        <v>229</v>
      </c>
    </row>
    <row r="976" ht="15.75" customHeight="1">
      <c r="A976" s="36">
        <v>5367498.0</v>
      </c>
      <c r="B976" s="37" t="s">
        <v>13</v>
      </c>
      <c r="C976" s="37" t="s">
        <v>57</v>
      </c>
      <c r="D976" s="37" t="s">
        <v>224</v>
      </c>
      <c r="E976" s="37" t="s">
        <v>2023</v>
      </c>
      <c r="F976" s="37" t="s">
        <v>341</v>
      </c>
      <c r="G976" s="37" t="s">
        <v>3</v>
      </c>
      <c r="H976" s="37" t="s">
        <v>2376</v>
      </c>
      <c r="I976" s="37" t="s">
        <v>260</v>
      </c>
      <c r="J976" s="1">
        <v>42.0</v>
      </c>
      <c r="L976" s="40" t="s">
        <v>81</v>
      </c>
    </row>
    <row r="977" ht="15.75" hidden="1" customHeight="1">
      <c r="A977" s="38">
        <v>4990584.0</v>
      </c>
      <c r="B977" s="39" t="s">
        <v>549</v>
      </c>
      <c r="C977" s="39" t="s">
        <v>2377</v>
      </c>
      <c r="D977" s="39" t="s">
        <v>269</v>
      </c>
      <c r="E977" s="39" t="s">
        <v>551</v>
      </c>
      <c r="F977" s="39" t="s">
        <v>494</v>
      </c>
      <c r="G977" s="39" t="s">
        <v>227</v>
      </c>
      <c r="H977" s="39" t="s">
        <v>2378</v>
      </c>
      <c r="I977" s="39" t="s">
        <v>260</v>
      </c>
    </row>
    <row r="978" ht="15.75" customHeight="1">
      <c r="A978" s="36">
        <v>5369454.0</v>
      </c>
      <c r="B978" s="37" t="s">
        <v>13</v>
      </c>
      <c r="C978" s="37" t="s">
        <v>58</v>
      </c>
      <c r="D978" s="37" t="s">
        <v>224</v>
      </c>
      <c r="E978" s="37" t="s">
        <v>2023</v>
      </c>
      <c r="F978" s="37" t="s">
        <v>341</v>
      </c>
      <c r="G978" s="37" t="s">
        <v>3</v>
      </c>
      <c r="H978" s="37" t="s">
        <v>2379</v>
      </c>
      <c r="I978" s="37" t="s">
        <v>260</v>
      </c>
      <c r="J978" s="1">
        <v>42.0</v>
      </c>
      <c r="L978" s="40" t="s">
        <v>13</v>
      </c>
    </row>
    <row r="979" ht="15.75" hidden="1" customHeight="1">
      <c r="A979" s="38">
        <v>5388845.0</v>
      </c>
      <c r="B979" s="37" t="s">
        <v>81</v>
      </c>
      <c r="C979" s="39" t="s">
        <v>2380</v>
      </c>
      <c r="D979" s="39" t="s">
        <v>224</v>
      </c>
      <c r="E979" s="39" t="s">
        <v>2023</v>
      </c>
      <c r="F979" s="42" t="s">
        <v>3</v>
      </c>
      <c r="G979" s="39" t="s">
        <v>3</v>
      </c>
      <c r="H979" s="39" t="s">
        <v>2381</v>
      </c>
      <c r="I979" s="39" t="s">
        <v>260</v>
      </c>
      <c r="J979" s="1">
        <v>42.0</v>
      </c>
      <c r="L979" s="40" t="s">
        <v>13</v>
      </c>
    </row>
    <row r="980" ht="15.75" hidden="1" customHeight="1">
      <c r="A980" s="36">
        <v>4997446.0</v>
      </c>
      <c r="B980" s="37" t="s">
        <v>1602</v>
      </c>
      <c r="C980" s="37" t="s">
        <v>2382</v>
      </c>
      <c r="D980" s="37" t="s">
        <v>224</v>
      </c>
      <c r="E980" s="37" t="s">
        <v>578</v>
      </c>
      <c r="F980" s="37" t="s">
        <v>540</v>
      </c>
      <c r="G980" s="37" t="s">
        <v>541</v>
      </c>
      <c r="H980" s="37" t="s">
        <v>2383</v>
      </c>
      <c r="I980" s="37" t="s">
        <v>229</v>
      </c>
    </row>
    <row r="981" ht="15.75" customHeight="1">
      <c r="A981" s="38">
        <v>5426155.0</v>
      </c>
      <c r="B981" s="39" t="s">
        <v>13</v>
      </c>
      <c r="C981" s="39" t="s">
        <v>60</v>
      </c>
      <c r="D981" s="39" t="s">
        <v>224</v>
      </c>
      <c r="E981" s="39" t="s">
        <v>2023</v>
      </c>
      <c r="F981" s="39" t="s">
        <v>341</v>
      </c>
      <c r="G981" s="39" t="s">
        <v>3</v>
      </c>
      <c r="H981" s="39" t="s">
        <v>2384</v>
      </c>
      <c r="I981" s="39" t="s">
        <v>260</v>
      </c>
      <c r="J981" s="1">
        <v>42.0</v>
      </c>
      <c r="L981" s="40" t="s">
        <v>81</v>
      </c>
    </row>
    <row r="982" ht="15.75" hidden="1" customHeight="1">
      <c r="A982" s="36">
        <v>5008040.0</v>
      </c>
      <c r="B982" s="37" t="s">
        <v>263</v>
      </c>
      <c r="C982" s="37" t="s">
        <v>2385</v>
      </c>
      <c r="D982" s="37" t="s">
        <v>224</v>
      </c>
      <c r="E982" s="37" t="s">
        <v>2374</v>
      </c>
      <c r="F982" s="37" t="s">
        <v>266</v>
      </c>
      <c r="G982" s="37" t="s">
        <v>250</v>
      </c>
      <c r="H982" s="37" t="s">
        <v>2386</v>
      </c>
      <c r="I982" s="37" t="s">
        <v>229</v>
      </c>
    </row>
    <row r="983" ht="15.75" hidden="1" customHeight="1">
      <c r="A983" s="38">
        <v>5528030.0</v>
      </c>
      <c r="B983" s="37" t="s">
        <v>81</v>
      </c>
      <c r="C983" s="39" t="s">
        <v>2387</v>
      </c>
      <c r="D983" s="39" t="s">
        <v>224</v>
      </c>
      <c r="E983" s="39" t="s">
        <v>2023</v>
      </c>
      <c r="F983" s="42" t="s">
        <v>3</v>
      </c>
      <c r="G983" s="39" t="s">
        <v>3</v>
      </c>
      <c r="H983" s="39" t="s">
        <v>2388</v>
      </c>
      <c r="I983" s="39" t="s">
        <v>260</v>
      </c>
      <c r="J983" s="1">
        <v>42.0</v>
      </c>
      <c r="L983" s="40" t="s">
        <v>13</v>
      </c>
    </row>
    <row r="984" ht="15.75" hidden="1" customHeight="1">
      <c r="A984" s="36">
        <v>5008124.0</v>
      </c>
      <c r="B984" s="37" t="s">
        <v>289</v>
      </c>
      <c r="C984" s="37" t="s">
        <v>2389</v>
      </c>
      <c r="D984" s="37" t="s">
        <v>224</v>
      </c>
      <c r="E984" s="37" t="s">
        <v>1048</v>
      </c>
      <c r="F984" s="37" t="s">
        <v>292</v>
      </c>
      <c r="G984" s="37" t="s">
        <v>293</v>
      </c>
      <c r="H984" s="37" t="s">
        <v>2390</v>
      </c>
      <c r="I984" s="37" t="s">
        <v>229</v>
      </c>
    </row>
    <row r="985" ht="15.75" hidden="1" customHeight="1">
      <c r="A985" s="38">
        <v>5546192.0</v>
      </c>
      <c r="B985" s="44" t="s">
        <v>116</v>
      </c>
      <c r="C985" s="39" t="s">
        <v>80</v>
      </c>
      <c r="D985" s="39" t="s">
        <v>224</v>
      </c>
      <c r="E985" s="39" t="s">
        <v>2023</v>
      </c>
      <c r="F985" s="42" t="s">
        <v>3</v>
      </c>
      <c r="G985" s="39" t="s">
        <v>3</v>
      </c>
      <c r="H985" s="39" t="s">
        <v>2391</v>
      </c>
      <c r="I985" s="39" t="s">
        <v>260</v>
      </c>
      <c r="J985" s="1">
        <v>42.0</v>
      </c>
      <c r="L985" s="40" t="s">
        <v>81</v>
      </c>
    </row>
    <row r="986" ht="15.75" customHeight="1">
      <c r="A986" s="36">
        <v>5651744.0</v>
      </c>
      <c r="B986" s="44" t="s">
        <v>13</v>
      </c>
      <c r="C986" s="37" t="s">
        <v>70</v>
      </c>
      <c r="D986" s="37" t="s">
        <v>224</v>
      </c>
      <c r="E986" s="37" t="s">
        <v>2023</v>
      </c>
      <c r="F986" s="42" t="s">
        <v>3</v>
      </c>
      <c r="G986" s="37" t="s">
        <v>3</v>
      </c>
      <c r="H986" s="37" t="s">
        <v>2392</v>
      </c>
      <c r="I986" s="37" t="s">
        <v>260</v>
      </c>
      <c r="J986" s="1">
        <v>42.0</v>
      </c>
      <c r="L986" s="3" t="s">
        <v>116</v>
      </c>
    </row>
    <row r="987" ht="15.75" hidden="1" customHeight="1">
      <c r="A987" s="38">
        <v>5009813.0</v>
      </c>
      <c r="B987" s="39" t="s">
        <v>289</v>
      </c>
      <c r="C987" s="39" t="s">
        <v>2393</v>
      </c>
      <c r="D987" s="39" t="s">
        <v>224</v>
      </c>
      <c r="E987" s="39" t="s">
        <v>1048</v>
      </c>
      <c r="F987" s="39" t="s">
        <v>292</v>
      </c>
      <c r="G987" s="39" t="s">
        <v>293</v>
      </c>
      <c r="H987" s="39" t="s">
        <v>2394</v>
      </c>
      <c r="I987" s="39" t="s">
        <v>229</v>
      </c>
    </row>
    <row r="988" ht="15.75" hidden="1" customHeight="1">
      <c r="A988" s="36">
        <v>5767777.0</v>
      </c>
      <c r="B988" s="37" t="s">
        <v>81</v>
      </c>
      <c r="C988" s="37" t="s">
        <v>2395</v>
      </c>
      <c r="D988" s="37" t="s">
        <v>224</v>
      </c>
      <c r="E988" s="37" t="s">
        <v>2023</v>
      </c>
      <c r="F988" s="42" t="s">
        <v>3</v>
      </c>
      <c r="G988" s="37" t="s">
        <v>3</v>
      </c>
      <c r="H988" s="37" t="s">
        <v>2396</v>
      </c>
      <c r="I988" s="37" t="s">
        <v>260</v>
      </c>
      <c r="J988" s="1">
        <v>42.0</v>
      </c>
      <c r="L988" s="3" t="s">
        <v>13</v>
      </c>
    </row>
    <row r="989" ht="15.75" hidden="1" customHeight="1">
      <c r="A989" s="38">
        <v>5010063.0</v>
      </c>
      <c r="B989" s="39" t="s">
        <v>1791</v>
      </c>
      <c r="C989" s="39" t="s">
        <v>2397</v>
      </c>
      <c r="D989" s="39" t="s">
        <v>224</v>
      </c>
      <c r="E989" s="39" t="s">
        <v>2398</v>
      </c>
      <c r="F989" s="39" t="s">
        <v>266</v>
      </c>
      <c r="G989" s="39" t="s">
        <v>250</v>
      </c>
      <c r="H989" s="39" t="s">
        <v>2399</v>
      </c>
      <c r="I989" s="39" t="s">
        <v>229</v>
      </c>
    </row>
    <row r="990" ht="15.75" hidden="1" customHeight="1">
      <c r="A990" s="36">
        <v>5872088.0</v>
      </c>
      <c r="B990" s="37" t="s">
        <v>81</v>
      </c>
      <c r="C990" s="37" t="s">
        <v>2400</v>
      </c>
      <c r="D990" s="37" t="s">
        <v>224</v>
      </c>
      <c r="E990" s="37" t="s">
        <v>2023</v>
      </c>
      <c r="F990" s="42" t="s">
        <v>3</v>
      </c>
      <c r="G990" s="37" t="s">
        <v>3</v>
      </c>
      <c r="H990" s="37" t="s">
        <v>2401</v>
      </c>
      <c r="I990" s="37" t="s">
        <v>260</v>
      </c>
      <c r="J990" s="1">
        <v>42.0</v>
      </c>
      <c r="L990" s="40" t="s">
        <v>81</v>
      </c>
    </row>
    <row r="991" ht="15.75" hidden="1" customHeight="1">
      <c r="A991" s="38">
        <v>5012327.0</v>
      </c>
      <c r="B991" s="39" t="s">
        <v>232</v>
      </c>
      <c r="C991" s="39" t="s">
        <v>2402</v>
      </c>
      <c r="D991" s="39" t="s">
        <v>224</v>
      </c>
      <c r="E991" s="39" t="s">
        <v>499</v>
      </c>
      <c r="F991" s="39" t="s">
        <v>226</v>
      </c>
      <c r="G991" s="39" t="s">
        <v>227</v>
      </c>
      <c r="H991" s="39" t="s">
        <v>2403</v>
      </c>
      <c r="I991" s="39" t="s">
        <v>229</v>
      </c>
    </row>
    <row r="992" ht="15.75" hidden="1" customHeight="1">
      <c r="A992" s="36">
        <v>5546239.0</v>
      </c>
      <c r="B992" s="37" t="s">
        <v>81</v>
      </c>
      <c r="C992" s="37" t="s">
        <v>2404</v>
      </c>
      <c r="D992" s="37" t="s">
        <v>224</v>
      </c>
      <c r="E992" s="37" t="s">
        <v>2023</v>
      </c>
      <c r="F992" s="42" t="s">
        <v>3</v>
      </c>
      <c r="G992" s="37" t="s">
        <v>3</v>
      </c>
      <c r="H992" s="37" t="s">
        <v>2405</v>
      </c>
      <c r="I992" s="37" t="s">
        <v>260</v>
      </c>
      <c r="J992" s="1">
        <v>42.0</v>
      </c>
      <c r="L992" s="40" t="s">
        <v>81</v>
      </c>
    </row>
    <row r="993" ht="15.75" hidden="1" customHeight="1">
      <c r="A993" s="38">
        <v>5012927.0</v>
      </c>
      <c r="B993" s="39" t="s">
        <v>331</v>
      </c>
      <c r="C993" s="39" t="s">
        <v>2406</v>
      </c>
      <c r="D993" s="39" t="s">
        <v>346</v>
      </c>
      <c r="E993" s="39" t="s">
        <v>1301</v>
      </c>
      <c r="F993" s="39" t="s">
        <v>349</v>
      </c>
      <c r="G993" s="39" t="s">
        <v>1302</v>
      </c>
      <c r="H993" s="39" t="s">
        <v>2407</v>
      </c>
      <c r="I993" s="39" t="s">
        <v>229</v>
      </c>
    </row>
    <row r="994" ht="15.75" hidden="1" customHeight="1">
      <c r="A994" s="36">
        <v>5439878.0</v>
      </c>
      <c r="B994" s="37" t="s">
        <v>81</v>
      </c>
      <c r="C994" s="37" t="s">
        <v>2408</v>
      </c>
      <c r="D994" s="37" t="s">
        <v>224</v>
      </c>
      <c r="E994" s="37" t="s">
        <v>2023</v>
      </c>
      <c r="F994" s="42" t="s">
        <v>3</v>
      </c>
      <c r="G994" s="37" t="s">
        <v>3</v>
      </c>
      <c r="H994" s="37" t="s">
        <v>2409</v>
      </c>
      <c r="I994" s="37" t="s">
        <v>260</v>
      </c>
      <c r="J994" s="1">
        <v>42.0</v>
      </c>
      <c r="L994" s="40" t="s">
        <v>81</v>
      </c>
    </row>
    <row r="995" ht="15.75" hidden="1" customHeight="1">
      <c r="A995" s="38">
        <v>5013405.0</v>
      </c>
      <c r="B995" s="39" t="s">
        <v>847</v>
      </c>
      <c r="C995" s="39" t="s">
        <v>2410</v>
      </c>
      <c r="D995" s="39" t="s">
        <v>224</v>
      </c>
      <c r="E995" s="39" t="s">
        <v>1418</v>
      </c>
      <c r="F995" s="39" t="s">
        <v>333</v>
      </c>
      <c r="G995" s="39" t="s">
        <v>301</v>
      </c>
      <c r="H995" s="39" t="s">
        <v>2411</v>
      </c>
      <c r="I995" s="39" t="s">
        <v>229</v>
      </c>
    </row>
    <row r="996" ht="15.75" hidden="1" customHeight="1">
      <c r="A996" s="36">
        <v>5333698.0</v>
      </c>
      <c r="B996" s="37" t="s">
        <v>81</v>
      </c>
      <c r="C996" s="37" t="s">
        <v>2412</v>
      </c>
      <c r="D996" s="37" t="s">
        <v>224</v>
      </c>
      <c r="E996" s="37" t="s">
        <v>2023</v>
      </c>
      <c r="F996" s="42" t="s">
        <v>3</v>
      </c>
      <c r="G996" s="37" t="s">
        <v>3</v>
      </c>
      <c r="H996" s="37" t="s">
        <v>2413</v>
      </c>
      <c r="I996" s="37" t="s">
        <v>260</v>
      </c>
      <c r="J996" s="1">
        <v>42.0</v>
      </c>
      <c r="L996" s="40" t="s">
        <v>81</v>
      </c>
    </row>
    <row r="997" ht="15.75" hidden="1" customHeight="1">
      <c r="A997" s="38">
        <v>5013887.0</v>
      </c>
      <c r="B997" s="39" t="s">
        <v>1177</v>
      </c>
      <c r="C997" s="39" t="s">
        <v>2414</v>
      </c>
      <c r="D997" s="39" t="s">
        <v>224</v>
      </c>
      <c r="E997" s="39" t="s">
        <v>524</v>
      </c>
      <c r="F997" s="39" t="s">
        <v>470</v>
      </c>
      <c r="G997" s="39" t="s">
        <v>327</v>
      </c>
      <c r="H997" s="39" t="s">
        <v>2415</v>
      </c>
      <c r="I997" s="39" t="s">
        <v>229</v>
      </c>
    </row>
    <row r="998" ht="15.75" hidden="1" customHeight="1">
      <c r="A998" s="36">
        <v>5383622.0</v>
      </c>
      <c r="B998" s="37" t="s">
        <v>81</v>
      </c>
      <c r="C998" s="37" t="s">
        <v>2416</v>
      </c>
      <c r="D998" s="37" t="s">
        <v>224</v>
      </c>
      <c r="E998" s="37" t="s">
        <v>2023</v>
      </c>
      <c r="F998" s="37" t="s">
        <v>341</v>
      </c>
      <c r="G998" s="37" t="s">
        <v>3</v>
      </c>
      <c r="H998" s="37" t="s">
        <v>2417</v>
      </c>
      <c r="I998" s="37" t="s">
        <v>260</v>
      </c>
      <c r="J998" s="1">
        <v>42.0</v>
      </c>
      <c r="L998" s="40" t="s">
        <v>81</v>
      </c>
    </row>
    <row r="999" ht="15.75" hidden="1" customHeight="1">
      <c r="A999" s="38">
        <v>5013893.0</v>
      </c>
      <c r="B999" s="39" t="s">
        <v>467</v>
      </c>
      <c r="C999" s="39" t="s">
        <v>2418</v>
      </c>
      <c r="D999" s="39" t="s">
        <v>224</v>
      </c>
      <c r="E999" s="39" t="s">
        <v>672</v>
      </c>
      <c r="F999" s="39" t="s">
        <v>470</v>
      </c>
      <c r="G999" s="39" t="s">
        <v>327</v>
      </c>
      <c r="H999" s="39" t="s">
        <v>2419</v>
      </c>
      <c r="I999" s="39" t="s">
        <v>229</v>
      </c>
    </row>
    <row r="1000" ht="15.75" hidden="1" customHeight="1">
      <c r="A1000" s="36">
        <v>5013942.0</v>
      </c>
      <c r="B1000" s="37" t="s">
        <v>835</v>
      </c>
      <c r="C1000" s="37" t="s">
        <v>2420</v>
      </c>
      <c r="D1000" s="37" t="s">
        <v>224</v>
      </c>
      <c r="E1000" s="37" t="s">
        <v>837</v>
      </c>
      <c r="F1000" s="37" t="s">
        <v>377</v>
      </c>
      <c r="G1000" s="37" t="s">
        <v>327</v>
      </c>
      <c r="H1000" s="37" t="s">
        <v>2421</v>
      </c>
      <c r="I1000" s="37" t="s">
        <v>229</v>
      </c>
    </row>
    <row r="1001" ht="15.75" hidden="1" customHeight="1">
      <c r="A1001" s="38">
        <v>5013954.0</v>
      </c>
      <c r="B1001" s="39" t="s">
        <v>526</v>
      </c>
      <c r="C1001" s="39" t="s">
        <v>2422</v>
      </c>
      <c r="D1001" s="39" t="s">
        <v>224</v>
      </c>
      <c r="E1001" s="39" t="s">
        <v>649</v>
      </c>
      <c r="F1001" s="39" t="s">
        <v>326</v>
      </c>
      <c r="G1001" s="39" t="s">
        <v>327</v>
      </c>
      <c r="H1001" s="39" t="s">
        <v>2423</v>
      </c>
      <c r="I1001" s="39" t="s">
        <v>229</v>
      </c>
    </row>
    <row r="1002" ht="15.75" hidden="1" customHeight="1">
      <c r="A1002" s="36">
        <v>5671016.0</v>
      </c>
      <c r="B1002" s="37" t="s">
        <v>986</v>
      </c>
      <c r="C1002" s="37" t="s">
        <v>2424</v>
      </c>
      <c r="D1002" s="37" t="s">
        <v>224</v>
      </c>
      <c r="E1002" s="37" t="s">
        <v>1002</v>
      </c>
      <c r="F1002" s="37" t="s">
        <v>679</v>
      </c>
      <c r="G1002" s="37" t="s">
        <v>301</v>
      </c>
      <c r="H1002" s="37" t="s">
        <v>2425</v>
      </c>
      <c r="I1002" s="37" t="s">
        <v>229</v>
      </c>
    </row>
    <row r="1003" ht="15.75" hidden="1" customHeight="1">
      <c r="A1003" s="38">
        <v>5014641.0</v>
      </c>
      <c r="B1003" s="39" t="s">
        <v>555</v>
      </c>
      <c r="C1003" s="39" t="s">
        <v>2426</v>
      </c>
      <c r="D1003" s="39" t="s">
        <v>224</v>
      </c>
      <c r="E1003" s="39" t="s">
        <v>1069</v>
      </c>
      <c r="F1003" s="39" t="s">
        <v>558</v>
      </c>
      <c r="G1003" s="39" t="s">
        <v>541</v>
      </c>
      <c r="H1003" s="39" t="s">
        <v>2427</v>
      </c>
      <c r="I1003" s="39" t="s">
        <v>229</v>
      </c>
    </row>
    <row r="1004" ht="15.75" hidden="1" customHeight="1">
      <c r="A1004" s="36">
        <v>4311104.0</v>
      </c>
      <c r="B1004" s="37" t="s">
        <v>986</v>
      </c>
      <c r="C1004" s="37" t="s">
        <v>2428</v>
      </c>
      <c r="D1004" s="37" t="s">
        <v>224</v>
      </c>
      <c r="E1004" s="37" t="s">
        <v>1002</v>
      </c>
      <c r="F1004" s="37" t="s">
        <v>679</v>
      </c>
      <c r="G1004" s="37" t="s">
        <v>301</v>
      </c>
      <c r="H1004" s="37" t="s">
        <v>2429</v>
      </c>
      <c r="I1004" s="37" t="s">
        <v>229</v>
      </c>
    </row>
    <row r="1005" ht="15.75" hidden="1" customHeight="1">
      <c r="A1005" s="38">
        <v>5014819.0</v>
      </c>
      <c r="B1005" s="39" t="s">
        <v>847</v>
      </c>
      <c r="C1005" s="39" t="s">
        <v>2430</v>
      </c>
      <c r="D1005" s="39" t="s">
        <v>224</v>
      </c>
      <c r="E1005" s="39" t="s">
        <v>1418</v>
      </c>
      <c r="F1005" s="39" t="s">
        <v>333</v>
      </c>
      <c r="G1005" s="39" t="s">
        <v>301</v>
      </c>
      <c r="H1005" s="39" t="s">
        <v>2431</v>
      </c>
      <c r="I1005" s="39" t="s">
        <v>229</v>
      </c>
    </row>
    <row r="1006" ht="15.75" hidden="1" customHeight="1">
      <c r="A1006" s="36">
        <v>5016217.0</v>
      </c>
      <c r="B1006" s="37" t="s">
        <v>374</v>
      </c>
      <c r="C1006" s="37" t="s">
        <v>2432</v>
      </c>
      <c r="D1006" s="37" t="s">
        <v>224</v>
      </c>
      <c r="E1006" s="37" t="s">
        <v>376</v>
      </c>
      <c r="F1006" s="37" t="s">
        <v>377</v>
      </c>
      <c r="G1006" s="37" t="s">
        <v>327</v>
      </c>
      <c r="H1006" s="37" t="s">
        <v>2433</v>
      </c>
      <c r="I1006" s="37" t="s">
        <v>229</v>
      </c>
    </row>
    <row r="1007" ht="15.75" hidden="1" customHeight="1">
      <c r="A1007" s="38">
        <v>6076208.0</v>
      </c>
      <c r="B1007" s="39" t="s">
        <v>986</v>
      </c>
      <c r="C1007" s="39" t="s">
        <v>2434</v>
      </c>
      <c r="D1007" s="39" t="s">
        <v>224</v>
      </c>
      <c r="E1007" s="39" t="s">
        <v>1002</v>
      </c>
      <c r="F1007" s="39" t="s">
        <v>679</v>
      </c>
      <c r="G1007" s="39" t="s">
        <v>301</v>
      </c>
      <c r="H1007" s="39" t="s">
        <v>2435</v>
      </c>
      <c r="I1007" s="39" t="s">
        <v>229</v>
      </c>
    </row>
    <row r="1008" ht="15.75" hidden="1" customHeight="1">
      <c r="A1008" s="36">
        <v>5016219.0</v>
      </c>
      <c r="B1008" s="37" t="s">
        <v>478</v>
      </c>
      <c r="C1008" s="37" t="s">
        <v>2436</v>
      </c>
      <c r="D1008" s="37" t="s">
        <v>224</v>
      </c>
      <c r="E1008" s="37" t="s">
        <v>480</v>
      </c>
      <c r="F1008" s="37" t="s">
        <v>481</v>
      </c>
      <c r="G1008" s="37" t="s">
        <v>293</v>
      </c>
      <c r="H1008" s="37" t="s">
        <v>2437</v>
      </c>
      <c r="I1008" s="37" t="s">
        <v>229</v>
      </c>
    </row>
    <row r="1009" ht="15.75" hidden="1" customHeight="1">
      <c r="A1009" s="38">
        <v>5927832.0</v>
      </c>
      <c r="B1009" s="39" t="s">
        <v>986</v>
      </c>
      <c r="C1009" s="39" t="s">
        <v>2438</v>
      </c>
      <c r="D1009" s="39" t="s">
        <v>224</v>
      </c>
      <c r="E1009" s="39" t="s">
        <v>1002</v>
      </c>
      <c r="F1009" s="39" t="s">
        <v>679</v>
      </c>
      <c r="G1009" s="39" t="s">
        <v>301</v>
      </c>
      <c r="H1009" s="39" t="s">
        <v>2439</v>
      </c>
      <c r="I1009" s="39" t="s">
        <v>229</v>
      </c>
    </row>
    <row r="1010" ht="15.75" hidden="1" customHeight="1">
      <c r="A1010" s="36">
        <v>4876753.0</v>
      </c>
      <c r="B1010" s="37" t="s">
        <v>986</v>
      </c>
      <c r="C1010" s="37" t="s">
        <v>2440</v>
      </c>
      <c r="D1010" s="37" t="s">
        <v>224</v>
      </c>
      <c r="E1010" s="37" t="s">
        <v>1002</v>
      </c>
      <c r="F1010" s="37" t="s">
        <v>679</v>
      </c>
      <c r="G1010" s="37" t="s">
        <v>301</v>
      </c>
      <c r="H1010" s="37" t="s">
        <v>2441</v>
      </c>
      <c r="I1010" s="37" t="s">
        <v>229</v>
      </c>
    </row>
    <row r="1011" ht="15.75" hidden="1" customHeight="1">
      <c r="A1011" s="38">
        <v>5352972.0</v>
      </c>
      <c r="B1011" s="39" t="s">
        <v>986</v>
      </c>
      <c r="C1011" s="39" t="s">
        <v>2442</v>
      </c>
      <c r="D1011" s="39" t="s">
        <v>224</v>
      </c>
      <c r="E1011" s="39" t="s">
        <v>1002</v>
      </c>
      <c r="F1011" s="39" t="s">
        <v>679</v>
      </c>
      <c r="G1011" s="39" t="s">
        <v>301</v>
      </c>
      <c r="H1011" s="39" t="s">
        <v>2443</v>
      </c>
      <c r="I1011" s="39" t="s">
        <v>229</v>
      </c>
    </row>
    <row r="1012" ht="15.75" hidden="1" customHeight="1">
      <c r="A1012" s="36">
        <v>5017426.0</v>
      </c>
      <c r="B1012" s="37" t="s">
        <v>232</v>
      </c>
      <c r="C1012" s="37" t="s">
        <v>2444</v>
      </c>
      <c r="D1012" s="37" t="s">
        <v>224</v>
      </c>
      <c r="E1012" s="37" t="s">
        <v>499</v>
      </c>
      <c r="F1012" s="37" t="s">
        <v>226</v>
      </c>
      <c r="G1012" s="37" t="s">
        <v>227</v>
      </c>
      <c r="H1012" s="37" t="s">
        <v>2445</v>
      </c>
      <c r="I1012" s="37" t="s">
        <v>229</v>
      </c>
    </row>
    <row r="1013" ht="15.75" hidden="1" customHeight="1">
      <c r="A1013" s="38">
        <v>5887050.0</v>
      </c>
      <c r="B1013" s="39" t="s">
        <v>986</v>
      </c>
      <c r="C1013" s="39" t="s">
        <v>2446</v>
      </c>
      <c r="D1013" s="39" t="s">
        <v>224</v>
      </c>
      <c r="E1013" s="39" t="s">
        <v>1002</v>
      </c>
      <c r="F1013" s="39" t="s">
        <v>679</v>
      </c>
      <c r="G1013" s="39" t="s">
        <v>301</v>
      </c>
      <c r="H1013" s="39" t="s">
        <v>2447</v>
      </c>
      <c r="I1013" s="39" t="s">
        <v>229</v>
      </c>
    </row>
    <row r="1014" ht="15.75" hidden="1" customHeight="1">
      <c r="A1014" s="36">
        <v>5017444.0</v>
      </c>
      <c r="B1014" s="37" t="s">
        <v>232</v>
      </c>
      <c r="C1014" s="37" t="s">
        <v>2448</v>
      </c>
      <c r="D1014" s="37" t="s">
        <v>234</v>
      </c>
      <c r="E1014" s="37" t="s">
        <v>790</v>
      </c>
      <c r="F1014" s="37" t="s">
        <v>226</v>
      </c>
      <c r="G1014" s="37" t="s">
        <v>227</v>
      </c>
      <c r="H1014" s="37" t="s">
        <v>2449</v>
      </c>
      <c r="I1014" s="37" t="s">
        <v>229</v>
      </c>
    </row>
    <row r="1015" ht="15.75" hidden="1" customHeight="1">
      <c r="A1015" s="38">
        <v>5671014.0</v>
      </c>
      <c r="B1015" s="39" t="s">
        <v>986</v>
      </c>
      <c r="C1015" s="39" t="s">
        <v>2450</v>
      </c>
      <c r="D1015" s="39" t="s">
        <v>224</v>
      </c>
      <c r="E1015" s="39" t="s">
        <v>1002</v>
      </c>
      <c r="F1015" s="39" t="s">
        <v>679</v>
      </c>
      <c r="G1015" s="39" t="s">
        <v>301</v>
      </c>
      <c r="H1015" s="39" t="s">
        <v>2451</v>
      </c>
      <c r="I1015" s="39" t="s">
        <v>229</v>
      </c>
    </row>
    <row r="1016" ht="15.75" hidden="1" customHeight="1">
      <c r="A1016" s="36">
        <v>5438252.0</v>
      </c>
      <c r="B1016" s="37" t="s">
        <v>986</v>
      </c>
      <c r="C1016" s="37" t="s">
        <v>2452</v>
      </c>
      <c r="D1016" s="37" t="s">
        <v>224</v>
      </c>
      <c r="E1016" s="37" t="s">
        <v>1002</v>
      </c>
      <c r="F1016" s="37" t="s">
        <v>679</v>
      </c>
      <c r="G1016" s="37" t="s">
        <v>301</v>
      </c>
      <c r="H1016" s="37" t="s">
        <v>2453</v>
      </c>
      <c r="I1016" s="37" t="s">
        <v>229</v>
      </c>
    </row>
    <row r="1017" ht="15.75" hidden="1" customHeight="1">
      <c r="A1017" s="38">
        <v>5017910.0</v>
      </c>
      <c r="B1017" s="39" t="s">
        <v>695</v>
      </c>
      <c r="C1017" s="39" t="s">
        <v>2454</v>
      </c>
      <c r="D1017" s="39" t="s">
        <v>224</v>
      </c>
      <c r="E1017" s="39" t="s">
        <v>697</v>
      </c>
      <c r="F1017" s="39" t="s">
        <v>698</v>
      </c>
      <c r="G1017" s="39" t="s">
        <v>541</v>
      </c>
      <c r="H1017" s="39" t="s">
        <v>2455</v>
      </c>
      <c r="I1017" s="39" t="s">
        <v>229</v>
      </c>
    </row>
    <row r="1018" ht="15.75" hidden="1" customHeight="1">
      <c r="A1018" s="36">
        <v>6078996.0</v>
      </c>
      <c r="B1018" s="37" t="s">
        <v>986</v>
      </c>
      <c r="C1018" s="37" t="s">
        <v>2456</v>
      </c>
      <c r="D1018" s="37" t="s">
        <v>224</v>
      </c>
      <c r="E1018" s="37" t="s">
        <v>1002</v>
      </c>
      <c r="F1018" s="37" t="s">
        <v>679</v>
      </c>
      <c r="G1018" s="37" t="s">
        <v>301</v>
      </c>
      <c r="H1018" s="37" t="s">
        <v>2457</v>
      </c>
      <c r="I1018" s="37" t="s">
        <v>229</v>
      </c>
    </row>
    <row r="1019" ht="15.75" hidden="1" customHeight="1">
      <c r="A1019" s="38">
        <v>5506176.0</v>
      </c>
      <c r="B1019" s="39" t="s">
        <v>986</v>
      </c>
      <c r="C1019" s="39" t="s">
        <v>2458</v>
      </c>
      <c r="D1019" s="39" t="s">
        <v>224</v>
      </c>
      <c r="E1019" s="39" t="s">
        <v>1002</v>
      </c>
      <c r="F1019" s="39" t="s">
        <v>679</v>
      </c>
      <c r="G1019" s="39" t="s">
        <v>301</v>
      </c>
      <c r="H1019" s="39" t="s">
        <v>2459</v>
      </c>
      <c r="I1019" s="39" t="s">
        <v>229</v>
      </c>
    </row>
    <row r="1020" ht="15.75" hidden="1" customHeight="1">
      <c r="A1020" s="36">
        <v>5017922.0</v>
      </c>
      <c r="B1020" s="37" t="s">
        <v>847</v>
      </c>
      <c r="C1020" s="37" t="s">
        <v>2460</v>
      </c>
      <c r="D1020" s="37" t="s">
        <v>224</v>
      </c>
      <c r="E1020" s="37" t="s">
        <v>849</v>
      </c>
      <c r="F1020" s="37" t="s">
        <v>333</v>
      </c>
      <c r="G1020" s="37" t="s">
        <v>301</v>
      </c>
      <c r="H1020" s="37" t="s">
        <v>2461</v>
      </c>
      <c r="I1020" s="37" t="s">
        <v>229</v>
      </c>
    </row>
    <row r="1021" ht="15.75" hidden="1" customHeight="1">
      <c r="A1021" s="38">
        <v>5638457.0</v>
      </c>
      <c r="B1021" s="39" t="s">
        <v>986</v>
      </c>
      <c r="C1021" s="39" t="s">
        <v>2462</v>
      </c>
      <c r="D1021" s="39" t="s">
        <v>224</v>
      </c>
      <c r="E1021" s="39" t="s">
        <v>1002</v>
      </c>
      <c r="F1021" s="39" t="s">
        <v>679</v>
      </c>
      <c r="G1021" s="39" t="s">
        <v>301</v>
      </c>
      <c r="H1021" s="39" t="s">
        <v>2463</v>
      </c>
      <c r="I1021" s="39" t="s">
        <v>229</v>
      </c>
    </row>
    <row r="1022" ht="15.75" hidden="1" customHeight="1">
      <c r="A1022" s="36">
        <v>5982873.0</v>
      </c>
      <c r="B1022" s="37" t="s">
        <v>986</v>
      </c>
      <c r="C1022" s="37" t="s">
        <v>2464</v>
      </c>
      <c r="D1022" s="37" t="s">
        <v>224</v>
      </c>
      <c r="E1022" s="37" t="s">
        <v>1002</v>
      </c>
      <c r="F1022" s="37" t="s">
        <v>679</v>
      </c>
      <c r="G1022" s="37" t="s">
        <v>301</v>
      </c>
      <c r="H1022" s="37" t="s">
        <v>2465</v>
      </c>
      <c r="I1022" s="37" t="s">
        <v>229</v>
      </c>
    </row>
    <row r="1023" ht="15.75" hidden="1" customHeight="1">
      <c r="A1023" s="38">
        <v>5266591.0</v>
      </c>
      <c r="B1023" s="39" t="s">
        <v>986</v>
      </c>
      <c r="C1023" s="39" t="s">
        <v>2466</v>
      </c>
      <c r="D1023" s="39" t="s">
        <v>224</v>
      </c>
      <c r="E1023" s="39" t="s">
        <v>1002</v>
      </c>
      <c r="F1023" s="39" t="s">
        <v>679</v>
      </c>
      <c r="G1023" s="39" t="s">
        <v>301</v>
      </c>
      <c r="H1023" s="39" t="s">
        <v>2467</v>
      </c>
      <c r="I1023" s="39" t="s">
        <v>229</v>
      </c>
    </row>
    <row r="1024" ht="15.75" hidden="1" customHeight="1">
      <c r="A1024" s="36">
        <v>5022893.0</v>
      </c>
      <c r="B1024" s="37" t="s">
        <v>120</v>
      </c>
      <c r="C1024" s="37" t="s">
        <v>2468</v>
      </c>
      <c r="D1024" s="37" t="s">
        <v>331</v>
      </c>
      <c r="E1024" s="37" t="s">
        <v>868</v>
      </c>
      <c r="F1024" s="37" t="s">
        <v>644</v>
      </c>
      <c r="G1024" s="37" t="s">
        <v>3</v>
      </c>
      <c r="H1024" s="37" t="s">
        <v>2469</v>
      </c>
      <c r="I1024" s="37" t="s">
        <v>260</v>
      </c>
      <c r="J1024" s="1">
        <v>42.0</v>
      </c>
      <c r="L1024" s="40" t="s">
        <v>81</v>
      </c>
    </row>
    <row r="1025" ht="15.75" hidden="1" customHeight="1">
      <c r="A1025" s="38">
        <v>5666885.0</v>
      </c>
      <c r="B1025" s="39" t="s">
        <v>986</v>
      </c>
      <c r="C1025" s="39" t="s">
        <v>2470</v>
      </c>
      <c r="D1025" s="39" t="s">
        <v>234</v>
      </c>
      <c r="E1025" s="39" t="s">
        <v>1002</v>
      </c>
      <c r="F1025" s="39" t="s">
        <v>679</v>
      </c>
      <c r="G1025" s="39" t="s">
        <v>301</v>
      </c>
      <c r="H1025" s="39" t="s">
        <v>2471</v>
      </c>
      <c r="I1025" s="39" t="s">
        <v>229</v>
      </c>
    </row>
    <row r="1026" ht="15.75" hidden="1" customHeight="1">
      <c r="A1026" s="36">
        <v>5024081.0</v>
      </c>
      <c r="B1026" s="37" t="s">
        <v>567</v>
      </c>
      <c r="C1026" s="37" t="s">
        <v>2472</v>
      </c>
      <c r="D1026" s="37" t="s">
        <v>224</v>
      </c>
      <c r="E1026" s="37" t="s">
        <v>403</v>
      </c>
      <c r="F1026" s="37" t="s">
        <v>377</v>
      </c>
      <c r="G1026" s="37" t="s">
        <v>327</v>
      </c>
      <c r="H1026" s="37" t="s">
        <v>2473</v>
      </c>
      <c r="I1026" s="37" t="s">
        <v>229</v>
      </c>
    </row>
    <row r="1027" ht="15.75" hidden="1" customHeight="1">
      <c r="A1027" s="38">
        <v>5666961.0</v>
      </c>
      <c r="B1027" s="39" t="s">
        <v>986</v>
      </c>
      <c r="C1027" s="39" t="s">
        <v>2474</v>
      </c>
      <c r="D1027" s="39" t="s">
        <v>224</v>
      </c>
      <c r="E1027" s="39" t="s">
        <v>1002</v>
      </c>
      <c r="F1027" s="39" t="s">
        <v>679</v>
      </c>
      <c r="G1027" s="39" t="s">
        <v>301</v>
      </c>
      <c r="H1027" s="39" t="s">
        <v>2475</v>
      </c>
      <c r="I1027" s="39" t="s">
        <v>229</v>
      </c>
    </row>
    <row r="1028" ht="15.75" hidden="1" customHeight="1">
      <c r="A1028" s="36">
        <v>5027198.0</v>
      </c>
      <c r="B1028" s="37" t="s">
        <v>491</v>
      </c>
      <c r="C1028" s="37" t="s">
        <v>2476</v>
      </c>
      <c r="D1028" s="37" t="s">
        <v>224</v>
      </c>
      <c r="E1028" s="37" t="s">
        <v>493</v>
      </c>
      <c r="F1028" s="37" t="s">
        <v>494</v>
      </c>
      <c r="G1028" s="37" t="s">
        <v>227</v>
      </c>
      <c r="H1028" s="37" t="s">
        <v>2477</v>
      </c>
      <c r="I1028" s="37" t="s">
        <v>260</v>
      </c>
    </row>
    <row r="1029" ht="15.75" hidden="1" customHeight="1">
      <c r="A1029" s="38">
        <v>5887397.0</v>
      </c>
      <c r="B1029" s="39" t="s">
        <v>986</v>
      </c>
      <c r="C1029" s="39" t="s">
        <v>2478</v>
      </c>
      <c r="D1029" s="39" t="s">
        <v>224</v>
      </c>
      <c r="E1029" s="39" t="s">
        <v>1002</v>
      </c>
      <c r="F1029" s="39" t="s">
        <v>679</v>
      </c>
      <c r="G1029" s="39" t="s">
        <v>301</v>
      </c>
      <c r="H1029" s="39" t="s">
        <v>2479</v>
      </c>
      <c r="I1029" s="39" t="s">
        <v>229</v>
      </c>
    </row>
    <row r="1030" ht="15.75" hidden="1" customHeight="1">
      <c r="A1030" s="36">
        <v>5027588.0</v>
      </c>
      <c r="B1030" s="37" t="s">
        <v>567</v>
      </c>
      <c r="C1030" s="37" t="s">
        <v>2480</v>
      </c>
      <c r="D1030" s="37" t="s">
        <v>224</v>
      </c>
      <c r="E1030" s="37" t="s">
        <v>403</v>
      </c>
      <c r="F1030" s="37" t="s">
        <v>377</v>
      </c>
      <c r="G1030" s="37" t="s">
        <v>327</v>
      </c>
      <c r="H1030" s="37" t="s">
        <v>2481</v>
      </c>
      <c r="I1030" s="37" t="s">
        <v>229</v>
      </c>
    </row>
    <row r="1031" ht="15.75" hidden="1" customHeight="1">
      <c r="A1031" s="38">
        <v>5899410.0</v>
      </c>
      <c r="B1031" s="39" t="s">
        <v>986</v>
      </c>
      <c r="C1031" s="39" t="s">
        <v>2482</v>
      </c>
      <c r="D1031" s="39" t="s">
        <v>224</v>
      </c>
      <c r="E1031" s="39" t="s">
        <v>1002</v>
      </c>
      <c r="F1031" s="39" t="s">
        <v>679</v>
      </c>
      <c r="G1031" s="39" t="s">
        <v>301</v>
      </c>
      <c r="H1031" s="39" t="s">
        <v>2483</v>
      </c>
      <c r="I1031" s="39" t="s">
        <v>229</v>
      </c>
    </row>
    <row r="1032" ht="15.75" hidden="1" customHeight="1">
      <c r="A1032" s="36">
        <v>5942526.0</v>
      </c>
      <c r="B1032" s="37" t="s">
        <v>986</v>
      </c>
      <c r="C1032" s="37" t="s">
        <v>2484</v>
      </c>
      <c r="D1032" s="37" t="s">
        <v>224</v>
      </c>
      <c r="E1032" s="37" t="s">
        <v>1002</v>
      </c>
      <c r="F1032" s="37" t="s">
        <v>679</v>
      </c>
      <c r="G1032" s="37" t="s">
        <v>301</v>
      </c>
      <c r="H1032" s="37" t="s">
        <v>2485</v>
      </c>
      <c r="I1032" s="37" t="s">
        <v>229</v>
      </c>
    </row>
    <row r="1033" ht="15.75" hidden="1" customHeight="1">
      <c r="A1033" s="38">
        <v>5029446.0</v>
      </c>
      <c r="B1033" s="39" t="s">
        <v>329</v>
      </c>
      <c r="C1033" s="39" t="s">
        <v>2486</v>
      </c>
      <c r="D1033" s="39" t="s">
        <v>224</v>
      </c>
      <c r="E1033" s="39" t="s">
        <v>2487</v>
      </c>
      <c r="F1033" s="39" t="s">
        <v>333</v>
      </c>
      <c r="G1033" s="39" t="s">
        <v>301</v>
      </c>
      <c r="H1033" s="39" t="s">
        <v>2488</v>
      </c>
      <c r="I1033" s="39" t="s">
        <v>229</v>
      </c>
    </row>
    <row r="1034" ht="15.75" hidden="1" customHeight="1">
      <c r="A1034" s="36">
        <v>5030347.0</v>
      </c>
      <c r="B1034" s="37" t="s">
        <v>549</v>
      </c>
      <c r="C1034" s="37" t="s">
        <v>2489</v>
      </c>
      <c r="D1034" s="37" t="s">
        <v>234</v>
      </c>
      <c r="E1034" s="37" t="s">
        <v>551</v>
      </c>
      <c r="F1034" s="37" t="s">
        <v>494</v>
      </c>
      <c r="G1034" s="37" t="s">
        <v>227</v>
      </c>
      <c r="H1034" s="37" t="s">
        <v>2490</v>
      </c>
      <c r="I1034" s="37" t="s">
        <v>260</v>
      </c>
    </row>
    <row r="1035" ht="15.75" customHeight="1">
      <c r="A1035" s="38">
        <v>5031967.0</v>
      </c>
      <c r="B1035" s="39" t="s">
        <v>13</v>
      </c>
      <c r="C1035" s="39" t="s">
        <v>40</v>
      </c>
      <c r="D1035" s="39" t="s">
        <v>224</v>
      </c>
      <c r="E1035" s="39" t="s">
        <v>408</v>
      </c>
      <c r="F1035" s="39" t="s">
        <v>341</v>
      </c>
      <c r="G1035" s="39" t="s">
        <v>3</v>
      </c>
      <c r="H1035" s="39" t="s">
        <v>2491</v>
      </c>
      <c r="I1035" s="39" t="s">
        <v>260</v>
      </c>
      <c r="J1035" s="1">
        <v>42.0</v>
      </c>
      <c r="L1035" s="40" t="s">
        <v>120</v>
      </c>
    </row>
    <row r="1036" ht="15.75" hidden="1" customHeight="1">
      <c r="A1036" s="36">
        <v>5031969.0</v>
      </c>
      <c r="B1036" s="37" t="s">
        <v>457</v>
      </c>
      <c r="C1036" s="37" t="s">
        <v>2492</v>
      </c>
      <c r="D1036" s="37" t="s">
        <v>224</v>
      </c>
      <c r="E1036" s="37" t="s">
        <v>1145</v>
      </c>
      <c r="F1036" s="37" t="s">
        <v>292</v>
      </c>
      <c r="G1036" s="37" t="s">
        <v>293</v>
      </c>
      <c r="H1036" s="37" t="s">
        <v>2493</v>
      </c>
      <c r="I1036" s="37" t="s">
        <v>229</v>
      </c>
    </row>
    <row r="1037" ht="15.75" hidden="1" customHeight="1">
      <c r="A1037" s="38">
        <v>5031986.0</v>
      </c>
      <c r="B1037" s="39" t="s">
        <v>401</v>
      </c>
      <c r="C1037" s="39" t="s">
        <v>2494</v>
      </c>
      <c r="D1037" s="39" t="s">
        <v>224</v>
      </c>
      <c r="E1037" s="39" t="s">
        <v>403</v>
      </c>
      <c r="F1037" s="39" t="s">
        <v>377</v>
      </c>
      <c r="G1037" s="39" t="s">
        <v>327</v>
      </c>
      <c r="H1037" s="39" t="s">
        <v>2495</v>
      </c>
      <c r="I1037" s="39" t="s">
        <v>229</v>
      </c>
    </row>
    <row r="1038" ht="15.75" hidden="1" customHeight="1">
      <c r="A1038" s="36">
        <v>5767784.0</v>
      </c>
      <c r="B1038" s="37" t="s">
        <v>116</v>
      </c>
      <c r="C1038" s="37" t="s">
        <v>2496</v>
      </c>
      <c r="D1038" s="37" t="s">
        <v>224</v>
      </c>
      <c r="E1038" s="37" t="s">
        <v>357</v>
      </c>
      <c r="F1038" s="37" t="s">
        <v>341</v>
      </c>
      <c r="G1038" s="37" t="s">
        <v>3</v>
      </c>
      <c r="H1038" s="37" t="s">
        <v>2497</v>
      </c>
      <c r="I1038" s="37" t="s">
        <v>260</v>
      </c>
      <c r="J1038" s="1">
        <v>42.0</v>
      </c>
      <c r="L1038" s="40" t="s">
        <v>13</v>
      </c>
    </row>
    <row r="1039" ht="15.75" hidden="1" customHeight="1">
      <c r="A1039" s="38">
        <v>5032024.0</v>
      </c>
      <c r="B1039" s="39" t="s">
        <v>374</v>
      </c>
      <c r="C1039" s="39" t="s">
        <v>2498</v>
      </c>
      <c r="D1039" s="39" t="s">
        <v>224</v>
      </c>
      <c r="E1039" s="39" t="s">
        <v>376</v>
      </c>
      <c r="F1039" s="39" t="s">
        <v>377</v>
      </c>
      <c r="G1039" s="39" t="s">
        <v>327</v>
      </c>
      <c r="H1039" s="39" t="s">
        <v>2499</v>
      </c>
      <c r="I1039" s="39" t="s">
        <v>229</v>
      </c>
    </row>
    <row r="1040" ht="15.75" hidden="1" customHeight="1">
      <c r="A1040" s="36">
        <v>5032054.0</v>
      </c>
      <c r="B1040" s="37" t="s">
        <v>374</v>
      </c>
      <c r="C1040" s="37" t="s">
        <v>2500</v>
      </c>
      <c r="D1040" s="37" t="s">
        <v>224</v>
      </c>
      <c r="E1040" s="37" t="s">
        <v>959</v>
      </c>
      <c r="F1040" s="37" t="s">
        <v>377</v>
      </c>
      <c r="G1040" s="37" t="s">
        <v>327</v>
      </c>
      <c r="H1040" s="37" t="s">
        <v>2501</v>
      </c>
      <c r="I1040" s="37" t="s">
        <v>229</v>
      </c>
    </row>
    <row r="1041" ht="15.75" hidden="1" customHeight="1">
      <c r="A1041" s="38">
        <v>5320995.0</v>
      </c>
      <c r="B1041" s="37" t="s">
        <v>81</v>
      </c>
      <c r="C1041" s="39" t="s">
        <v>84</v>
      </c>
      <c r="D1041" s="39" t="s">
        <v>224</v>
      </c>
      <c r="E1041" s="39" t="s">
        <v>357</v>
      </c>
      <c r="F1041" s="39" t="s">
        <v>341</v>
      </c>
      <c r="G1041" s="39" t="s">
        <v>3</v>
      </c>
      <c r="H1041" s="39" t="s">
        <v>2502</v>
      </c>
      <c r="I1041" s="39" t="s">
        <v>260</v>
      </c>
      <c r="J1041" s="1">
        <v>42.0</v>
      </c>
      <c r="L1041" s="40" t="s">
        <v>116</v>
      </c>
    </row>
    <row r="1042" ht="15.75" hidden="1" customHeight="1">
      <c r="A1042" s="36">
        <v>5032055.0</v>
      </c>
      <c r="B1042" s="37" t="s">
        <v>1602</v>
      </c>
      <c r="C1042" s="37" t="s">
        <v>2503</v>
      </c>
      <c r="D1042" s="37" t="s">
        <v>224</v>
      </c>
      <c r="E1042" s="37" t="s">
        <v>1604</v>
      </c>
      <c r="F1042" s="37" t="s">
        <v>540</v>
      </c>
      <c r="G1042" s="37" t="s">
        <v>541</v>
      </c>
      <c r="H1042" s="37" t="s">
        <v>2504</v>
      </c>
      <c r="I1042" s="37" t="s">
        <v>229</v>
      </c>
    </row>
    <row r="1043" ht="15.75" customHeight="1">
      <c r="A1043" s="38">
        <v>5439948.0</v>
      </c>
      <c r="B1043" s="39" t="s">
        <v>13</v>
      </c>
      <c r="C1043" s="39" t="s">
        <v>65</v>
      </c>
      <c r="D1043" s="39" t="s">
        <v>224</v>
      </c>
      <c r="E1043" s="39" t="s">
        <v>357</v>
      </c>
      <c r="F1043" s="39" t="s">
        <v>341</v>
      </c>
      <c r="G1043" s="39" t="s">
        <v>3</v>
      </c>
      <c r="H1043" s="39" t="s">
        <v>2505</v>
      </c>
      <c r="I1043" s="39" t="s">
        <v>260</v>
      </c>
      <c r="J1043" s="1">
        <v>42.0</v>
      </c>
      <c r="L1043" s="40" t="s">
        <v>81</v>
      </c>
    </row>
    <row r="1044" ht="15.75" hidden="1" customHeight="1">
      <c r="A1044" s="36">
        <v>5032931.0</v>
      </c>
      <c r="B1044" s="37" t="s">
        <v>222</v>
      </c>
      <c r="C1044" s="37" t="s">
        <v>2506</v>
      </c>
      <c r="D1044" s="37" t="s">
        <v>269</v>
      </c>
      <c r="E1044" s="37" t="s">
        <v>1127</v>
      </c>
      <c r="F1044" s="37" t="s">
        <v>226</v>
      </c>
      <c r="G1044" s="37" t="s">
        <v>227</v>
      </c>
      <c r="H1044" s="37" t="s">
        <v>2507</v>
      </c>
      <c r="I1044" s="37" t="s">
        <v>229</v>
      </c>
    </row>
    <row r="1045" ht="15.75" hidden="1" customHeight="1">
      <c r="A1045" s="38">
        <v>5321000.0</v>
      </c>
      <c r="B1045" s="44" t="s">
        <v>113</v>
      </c>
      <c r="C1045" s="39" t="s">
        <v>115</v>
      </c>
      <c r="D1045" s="39" t="s">
        <v>224</v>
      </c>
      <c r="E1045" s="39" t="s">
        <v>357</v>
      </c>
      <c r="F1045" s="39" t="s">
        <v>341</v>
      </c>
      <c r="G1045" s="39" t="s">
        <v>3</v>
      </c>
      <c r="H1045" s="39" t="s">
        <v>2508</v>
      </c>
      <c r="I1045" s="39" t="s">
        <v>260</v>
      </c>
      <c r="J1045" s="1">
        <v>42.0</v>
      </c>
      <c r="L1045" s="40" t="s">
        <v>13</v>
      </c>
    </row>
    <row r="1046" ht="15.75" hidden="1" customHeight="1">
      <c r="A1046" s="36">
        <v>5032989.0</v>
      </c>
      <c r="B1046" s="37" t="s">
        <v>1602</v>
      </c>
      <c r="C1046" s="37" t="s">
        <v>2509</v>
      </c>
      <c r="D1046" s="37" t="s">
        <v>224</v>
      </c>
      <c r="E1046" s="37" t="s">
        <v>1604</v>
      </c>
      <c r="F1046" s="37" t="s">
        <v>540</v>
      </c>
      <c r="G1046" s="37" t="s">
        <v>541</v>
      </c>
      <c r="H1046" s="37" t="s">
        <v>2510</v>
      </c>
      <c r="I1046" s="37" t="s">
        <v>229</v>
      </c>
    </row>
    <row r="1047" ht="15.75" hidden="1" customHeight="1">
      <c r="A1047" s="38">
        <v>5086059.0</v>
      </c>
      <c r="B1047" s="44" t="s">
        <v>118</v>
      </c>
      <c r="C1047" s="39" t="s">
        <v>117</v>
      </c>
      <c r="D1047" s="39" t="s">
        <v>224</v>
      </c>
      <c r="E1047" s="39" t="s">
        <v>357</v>
      </c>
      <c r="F1047" s="39" t="s">
        <v>341</v>
      </c>
      <c r="G1047" s="39" t="s">
        <v>3</v>
      </c>
      <c r="H1047" s="39" t="s">
        <v>2511</v>
      </c>
      <c r="I1047" s="39" t="s">
        <v>260</v>
      </c>
      <c r="J1047" s="1">
        <v>42.0</v>
      </c>
      <c r="L1047" s="3" t="s">
        <v>113</v>
      </c>
    </row>
    <row r="1048" ht="15.75" hidden="1" customHeight="1">
      <c r="A1048" s="36">
        <v>5176081.0</v>
      </c>
      <c r="B1048" s="37" t="s">
        <v>116</v>
      </c>
      <c r="C1048" s="37" t="s">
        <v>2512</v>
      </c>
      <c r="D1048" s="37" t="s">
        <v>269</v>
      </c>
      <c r="E1048" s="37" t="s">
        <v>357</v>
      </c>
      <c r="F1048" s="37" t="s">
        <v>341</v>
      </c>
      <c r="G1048" s="37" t="s">
        <v>3</v>
      </c>
      <c r="H1048" s="37" t="s">
        <v>2513</v>
      </c>
      <c r="I1048" s="37" t="s">
        <v>260</v>
      </c>
      <c r="J1048" s="1">
        <v>42.0</v>
      </c>
      <c r="L1048" s="3" t="s">
        <v>118</v>
      </c>
    </row>
    <row r="1049" ht="15.75" hidden="1" customHeight="1">
      <c r="A1049" s="38">
        <v>5033124.0</v>
      </c>
      <c r="B1049" s="39" t="s">
        <v>232</v>
      </c>
      <c r="C1049" s="39" t="s">
        <v>2514</v>
      </c>
      <c r="D1049" s="39" t="s">
        <v>224</v>
      </c>
      <c r="E1049" s="39" t="s">
        <v>932</v>
      </c>
      <c r="F1049" s="39" t="s">
        <v>226</v>
      </c>
      <c r="G1049" s="39" t="s">
        <v>227</v>
      </c>
      <c r="H1049" s="39" t="s">
        <v>2515</v>
      </c>
      <c r="I1049" s="39" t="s">
        <v>229</v>
      </c>
    </row>
    <row r="1050" ht="15.75" hidden="1" customHeight="1">
      <c r="A1050" s="36">
        <v>5277774.0</v>
      </c>
      <c r="B1050" s="37" t="s">
        <v>116</v>
      </c>
      <c r="C1050" s="37" t="s">
        <v>2516</v>
      </c>
      <c r="D1050" s="37" t="s">
        <v>269</v>
      </c>
      <c r="E1050" s="37" t="s">
        <v>357</v>
      </c>
      <c r="F1050" s="37" t="s">
        <v>341</v>
      </c>
      <c r="G1050" s="37" t="s">
        <v>3</v>
      </c>
      <c r="H1050" s="37" t="s">
        <v>2517</v>
      </c>
      <c r="I1050" s="37" t="s">
        <v>260</v>
      </c>
      <c r="J1050" s="1">
        <v>42.0</v>
      </c>
      <c r="L1050" s="40" t="s">
        <v>116</v>
      </c>
    </row>
    <row r="1051" ht="15.75" hidden="1" customHeight="1">
      <c r="A1051" s="38">
        <v>5349478.0</v>
      </c>
      <c r="B1051" s="39" t="s">
        <v>116</v>
      </c>
      <c r="C1051" s="39" t="s">
        <v>2518</v>
      </c>
      <c r="D1051" s="39" t="s">
        <v>331</v>
      </c>
      <c r="E1051" s="39" t="s">
        <v>357</v>
      </c>
      <c r="F1051" s="39" t="s">
        <v>341</v>
      </c>
      <c r="G1051" s="39" t="s">
        <v>3</v>
      </c>
      <c r="H1051" s="39" t="s">
        <v>2519</v>
      </c>
      <c r="I1051" s="39" t="s">
        <v>260</v>
      </c>
      <c r="J1051" s="1">
        <v>42.0</v>
      </c>
      <c r="L1051" s="40" t="s">
        <v>116</v>
      </c>
    </row>
    <row r="1052" ht="15.75" hidden="1" customHeight="1">
      <c r="A1052" s="36">
        <v>5360362.0</v>
      </c>
      <c r="B1052" s="37" t="s">
        <v>81</v>
      </c>
      <c r="C1052" s="37" t="s">
        <v>135</v>
      </c>
      <c r="D1052" s="37" t="s">
        <v>224</v>
      </c>
      <c r="E1052" s="37" t="s">
        <v>357</v>
      </c>
      <c r="F1052" s="37" t="s">
        <v>341</v>
      </c>
      <c r="G1052" s="37" t="s">
        <v>3</v>
      </c>
      <c r="H1052" s="37" t="s">
        <v>2520</v>
      </c>
      <c r="I1052" s="37" t="s">
        <v>260</v>
      </c>
      <c r="J1052" s="1">
        <v>42.0</v>
      </c>
      <c r="L1052" s="40" t="s">
        <v>116</v>
      </c>
    </row>
    <row r="1053" ht="15.75" hidden="1" customHeight="1">
      <c r="A1053" s="38">
        <v>5039856.0</v>
      </c>
      <c r="B1053" s="39" t="s">
        <v>416</v>
      </c>
      <c r="C1053" s="39" t="s">
        <v>2521</v>
      </c>
      <c r="D1053" s="39" t="s">
        <v>224</v>
      </c>
      <c r="E1053" s="39" t="s">
        <v>2522</v>
      </c>
      <c r="F1053" s="39" t="s">
        <v>421</v>
      </c>
      <c r="G1053" s="39" t="s">
        <v>227</v>
      </c>
      <c r="H1053" s="39" t="s">
        <v>2523</v>
      </c>
      <c r="I1053" s="39" t="s">
        <v>260</v>
      </c>
    </row>
    <row r="1054" ht="15.75" hidden="1" customHeight="1">
      <c r="A1054" s="36">
        <v>5439875.0</v>
      </c>
      <c r="B1054" s="37" t="s">
        <v>116</v>
      </c>
      <c r="C1054" s="37" t="s">
        <v>2524</v>
      </c>
      <c r="D1054" s="37" t="s">
        <v>269</v>
      </c>
      <c r="E1054" s="37" t="s">
        <v>357</v>
      </c>
      <c r="F1054" s="37" t="s">
        <v>341</v>
      </c>
      <c r="G1054" s="37" t="s">
        <v>3</v>
      </c>
      <c r="H1054" s="37" t="s">
        <v>2525</v>
      </c>
      <c r="I1054" s="37" t="s">
        <v>260</v>
      </c>
      <c r="J1054" s="1">
        <v>42.0</v>
      </c>
      <c r="L1054" s="40" t="s">
        <v>81</v>
      </c>
    </row>
    <row r="1055" ht="15.75" hidden="1" customHeight="1">
      <c r="A1055" s="38">
        <v>5039971.0</v>
      </c>
      <c r="B1055" s="39" t="s">
        <v>331</v>
      </c>
      <c r="C1055" s="39" t="s">
        <v>2526</v>
      </c>
      <c r="D1055" s="39" t="s">
        <v>346</v>
      </c>
      <c r="E1055" s="39" t="s">
        <v>1301</v>
      </c>
      <c r="F1055" s="39" t="s">
        <v>349</v>
      </c>
      <c r="G1055" s="39" t="s">
        <v>1302</v>
      </c>
      <c r="H1055" s="39" t="s">
        <v>2527</v>
      </c>
      <c r="I1055" s="39" t="s">
        <v>260</v>
      </c>
    </row>
    <row r="1056" ht="15.75" customHeight="1">
      <c r="A1056" s="36">
        <v>5439879.0</v>
      </c>
      <c r="B1056" s="37" t="s">
        <v>13</v>
      </c>
      <c r="C1056" s="37" t="s">
        <v>64</v>
      </c>
      <c r="D1056" s="37" t="s">
        <v>224</v>
      </c>
      <c r="E1056" s="37" t="s">
        <v>357</v>
      </c>
      <c r="F1056" s="37" t="s">
        <v>341</v>
      </c>
      <c r="G1056" s="37" t="s">
        <v>3</v>
      </c>
      <c r="H1056" s="37" t="s">
        <v>2528</v>
      </c>
      <c r="I1056" s="37" t="s">
        <v>260</v>
      </c>
      <c r="J1056" s="1">
        <v>42.0</v>
      </c>
      <c r="L1056" s="40" t="s">
        <v>116</v>
      </c>
    </row>
    <row r="1057" ht="15.75" hidden="1" customHeight="1">
      <c r="A1057" s="38">
        <v>5039974.0</v>
      </c>
      <c r="B1057" s="39" t="s">
        <v>121</v>
      </c>
      <c r="C1057" s="39" t="s">
        <v>2529</v>
      </c>
      <c r="D1057" s="39" t="s">
        <v>234</v>
      </c>
      <c r="E1057" s="39" t="s">
        <v>1505</v>
      </c>
      <c r="F1057" s="39" t="s">
        <v>644</v>
      </c>
      <c r="G1057" s="39" t="s">
        <v>3</v>
      </c>
      <c r="H1057" s="39" t="s">
        <v>2530</v>
      </c>
      <c r="I1057" s="39" t="s">
        <v>260</v>
      </c>
      <c r="J1057" s="1">
        <v>42.0</v>
      </c>
      <c r="L1057" s="40" t="s">
        <v>13</v>
      </c>
    </row>
    <row r="1058" ht="15.75" hidden="1" customHeight="1">
      <c r="A1058" s="36">
        <v>5546179.0</v>
      </c>
      <c r="B1058" s="37" t="s">
        <v>116</v>
      </c>
      <c r="C1058" s="37" t="s">
        <v>2531</v>
      </c>
      <c r="D1058" s="37" t="s">
        <v>224</v>
      </c>
      <c r="E1058" s="37" t="s">
        <v>357</v>
      </c>
      <c r="F1058" s="37" t="s">
        <v>341</v>
      </c>
      <c r="G1058" s="37" t="s">
        <v>3</v>
      </c>
      <c r="H1058" s="37" t="s">
        <v>2532</v>
      </c>
      <c r="I1058" s="37" t="s">
        <v>260</v>
      </c>
      <c r="J1058" s="1">
        <v>42.0</v>
      </c>
      <c r="L1058" s="40" t="s">
        <v>121</v>
      </c>
    </row>
    <row r="1059" ht="15.75" hidden="1" customHeight="1">
      <c r="A1059" s="38">
        <v>5039990.0</v>
      </c>
      <c r="B1059" s="39" t="s">
        <v>835</v>
      </c>
      <c r="C1059" s="39" t="s">
        <v>2533</v>
      </c>
      <c r="D1059" s="39" t="s">
        <v>224</v>
      </c>
      <c r="E1059" s="39" t="s">
        <v>837</v>
      </c>
      <c r="F1059" s="39" t="s">
        <v>377</v>
      </c>
      <c r="G1059" s="39" t="s">
        <v>327</v>
      </c>
      <c r="H1059" s="39" t="s">
        <v>2534</v>
      </c>
      <c r="I1059" s="39" t="s">
        <v>229</v>
      </c>
    </row>
    <row r="1060" ht="15.75" hidden="1" customHeight="1">
      <c r="A1060" s="36">
        <v>5767771.0</v>
      </c>
      <c r="B1060" s="37" t="s">
        <v>116</v>
      </c>
      <c r="C1060" s="37" t="s">
        <v>2535</v>
      </c>
      <c r="D1060" s="37" t="s">
        <v>224</v>
      </c>
      <c r="E1060" s="37" t="s">
        <v>357</v>
      </c>
      <c r="F1060" s="37" t="s">
        <v>341</v>
      </c>
      <c r="G1060" s="37" t="s">
        <v>3</v>
      </c>
      <c r="H1060" s="37" t="s">
        <v>2536</v>
      </c>
      <c r="I1060" s="37" t="s">
        <v>260</v>
      </c>
      <c r="J1060" s="1">
        <v>42.0</v>
      </c>
      <c r="L1060" s="40" t="s">
        <v>116</v>
      </c>
    </row>
    <row r="1061" ht="15.75" hidden="1" customHeight="1">
      <c r="A1061" s="38">
        <v>5041314.0</v>
      </c>
      <c r="B1061" s="39" t="s">
        <v>549</v>
      </c>
      <c r="C1061" s="39" t="s">
        <v>2537</v>
      </c>
      <c r="D1061" s="39" t="s">
        <v>224</v>
      </c>
      <c r="E1061" s="39" t="s">
        <v>551</v>
      </c>
      <c r="F1061" s="39" t="s">
        <v>494</v>
      </c>
      <c r="G1061" s="39" t="s">
        <v>227</v>
      </c>
      <c r="H1061" s="39" t="s">
        <v>2538</v>
      </c>
      <c r="I1061" s="39" t="s">
        <v>260</v>
      </c>
    </row>
    <row r="1062" ht="15.75" hidden="1" customHeight="1">
      <c r="A1062" s="36">
        <v>5043694.0</v>
      </c>
      <c r="B1062" s="37" t="s">
        <v>841</v>
      </c>
      <c r="C1062" s="37" t="s">
        <v>2539</v>
      </c>
      <c r="D1062" s="37" t="s">
        <v>224</v>
      </c>
      <c r="E1062" s="37" t="s">
        <v>843</v>
      </c>
      <c r="F1062" s="37" t="s">
        <v>242</v>
      </c>
      <c r="G1062" s="37" t="s">
        <v>227</v>
      </c>
      <c r="H1062" s="37" t="s">
        <v>2540</v>
      </c>
      <c r="I1062" s="37" t="s">
        <v>229</v>
      </c>
    </row>
    <row r="1063" ht="15.75" hidden="1" customHeight="1">
      <c r="A1063" s="38">
        <v>5872084.0</v>
      </c>
      <c r="B1063" s="37" t="s">
        <v>81</v>
      </c>
      <c r="C1063" s="39" t="s">
        <v>2541</v>
      </c>
      <c r="D1063" s="39" t="s">
        <v>269</v>
      </c>
      <c r="E1063" s="39" t="s">
        <v>357</v>
      </c>
      <c r="F1063" s="39" t="s">
        <v>341</v>
      </c>
      <c r="G1063" s="39" t="s">
        <v>3</v>
      </c>
      <c r="H1063" s="39" t="s">
        <v>2542</v>
      </c>
      <c r="I1063" s="39" t="s">
        <v>260</v>
      </c>
      <c r="J1063" s="1">
        <v>42.0</v>
      </c>
      <c r="L1063" s="40" t="s">
        <v>116</v>
      </c>
    </row>
    <row r="1064" ht="15.75" hidden="1" customHeight="1">
      <c r="A1064" s="36">
        <v>5043796.0</v>
      </c>
      <c r="B1064" s="37" t="s">
        <v>331</v>
      </c>
      <c r="C1064" s="37" t="s">
        <v>2543</v>
      </c>
      <c r="D1064" s="37" t="s">
        <v>346</v>
      </c>
      <c r="E1064" s="37" t="s">
        <v>1301</v>
      </c>
      <c r="F1064" s="37" t="s">
        <v>349</v>
      </c>
      <c r="G1064" s="37" t="s">
        <v>1302</v>
      </c>
      <c r="H1064" s="37" t="s">
        <v>2544</v>
      </c>
      <c r="I1064" s="37" t="s">
        <v>260</v>
      </c>
    </row>
    <row r="1065" ht="15.75" hidden="1" customHeight="1">
      <c r="A1065" s="38">
        <v>5043820.0</v>
      </c>
      <c r="B1065" s="39" t="s">
        <v>121</v>
      </c>
      <c r="C1065" s="39" t="s">
        <v>2545</v>
      </c>
      <c r="D1065" s="39" t="s">
        <v>269</v>
      </c>
      <c r="E1065" s="39" t="s">
        <v>1505</v>
      </c>
      <c r="F1065" s="39" t="s">
        <v>644</v>
      </c>
      <c r="G1065" s="39" t="s">
        <v>3</v>
      </c>
      <c r="H1065" s="39" t="s">
        <v>2546</v>
      </c>
      <c r="I1065" s="39" t="s">
        <v>260</v>
      </c>
      <c r="J1065" s="1">
        <v>42.0</v>
      </c>
      <c r="L1065" s="40" t="s">
        <v>81</v>
      </c>
    </row>
    <row r="1066" ht="15.75" hidden="1" customHeight="1">
      <c r="A1066" s="36">
        <v>5044499.0</v>
      </c>
      <c r="B1066" s="37" t="s">
        <v>506</v>
      </c>
      <c r="C1066" s="37" t="s">
        <v>2547</v>
      </c>
      <c r="D1066" s="37" t="s">
        <v>224</v>
      </c>
      <c r="E1066" s="37" t="s">
        <v>831</v>
      </c>
      <c r="F1066" s="37" t="s">
        <v>284</v>
      </c>
      <c r="G1066" s="37" t="s">
        <v>3</v>
      </c>
      <c r="H1066" s="37" t="s">
        <v>2548</v>
      </c>
      <c r="I1066" s="37" t="s">
        <v>260</v>
      </c>
      <c r="J1066" s="1">
        <v>42.0</v>
      </c>
      <c r="L1066" s="40" t="s">
        <v>121</v>
      </c>
    </row>
    <row r="1067" ht="15.75" customHeight="1">
      <c r="A1067" s="38">
        <v>5051677.0</v>
      </c>
      <c r="B1067" s="39" t="s">
        <v>13</v>
      </c>
      <c r="C1067" s="39" t="s">
        <v>41</v>
      </c>
      <c r="D1067" s="39" t="s">
        <v>269</v>
      </c>
      <c r="E1067" s="39" t="s">
        <v>357</v>
      </c>
      <c r="F1067" s="39" t="s">
        <v>341</v>
      </c>
      <c r="G1067" s="39" t="s">
        <v>3</v>
      </c>
      <c r="H1067" s="39" t="s">
        <v>2549</v>
      </c>
      <c r="I1067" s="39" t="s">
        <v>260</v>
      </c>
      <c r="J1067" s="1">
        <v>42.0</v>
      </c>
      <c r="L1067" s="40" t="s">
        <v>506</v>
      </c>
    </row>
    <row r="1068" ht="15.75" hidden="1" customHeight="1">
      <c r="A1068" s="36">
        <v>5355997.0</v>
      </c>
      <c r="B1068" s="37" t="s">
        <v>514</v>
      </c>
      <c r="C1068" s="37" t="s">
        <v>2550</v>
      </c>
      <c r="D1068" s="37" t="s">
        <v>224</v>
      </c>
      <c r="E1068" s="37" t="s">
        <v>756</v>
      </c>
      <c r="F1068" s="37" t="s">
        <v>300</v>
      </c>
      <c r="G1068" s="37" t="s">
        <v>301</v>
      </c>
      <c r="H1068" s="37" t="s">
        <v>2551</v>
      </c>
      <c r="I1068" s="37" t="s">
        <v>229</v>
      </c>
    </row>
    <row r="1069" ht="15.75" hidden="1" customHeight="1">
      <c r="A1069" s="38">
        <v>5048456.0</v>
      </c>
      <c r="B1069" s="39" t="s">
        <v>425</v>
      </c>
      <c r="C1069" s="39" t="s">
        <v>2552</v>
      </c>
      <c r="D1069" s="39" t="s">
        <v>269</v>
      </c>
      <c r="E1069" s="39" t="s">
        <v>427</v>
      </c>
      <c r="F1069" s="39" t="s">
        <v>312</v>
      </c>
      <c r="G1069" s="37" t="s">
        <v>3</v>
      </c>
      <c r="H1069" s="39" t="s">
        <v>2553</v>
      </c>
      <c r="I1069" s="39" t="s">
        <v>260</v>
      </c>
    </row>
    <row r="1070" ht="15.75" hidden="1" customHeight="1">
      <c r="A1070" s="36">
        <v>5048462.0</v>
      </c>
      <c r="B1070" s="37" t="s">
        <v>121</v>
      </c>
      <c r="C1070" s="37" t="s">
        <v>2554</v>
      </c>
      <c r="D1070" s="37" t="s">
        <v>224</v>
      </c>
      <c r="E1070" s="37" t="s">
        <v>643</v>
      </c>
      <c r="F1070" s="37" t="s">
        <v>644</v>
      </c>
      <c r="G1070" s="37" t="s">
        <v>3</v>
      </c>
      <c r="H1070" s="37" t="s">
        <v>2555</v>
      </c>
      <c r="I1070" s="37" t="s">
        <v>260</v>
      </c>
      <c r="J1070" s="1">
        <v>42.0</v>
      </c>
      <c r="L1070" s="40" t="s">
        <v>13</v>
      </c>
    </row>
    <row r="1071" ht="15.75" hidden="1" customHeight="1">
      <c r="A1071" s="38">
        <v>5048486.0</v>
      </c>
      <c r="B1071" s="39" t="s">
        <v>514</v>
      </c>
      <c r="C1071" s="39" t="s">
        <v>2556</v>
      </c>
      <c r="D1071" s="39" t="s">
        <v>224</v>
      </c>
      <c r="E1071" s="39" t="s">
        <v>756</v>
      </c>
      <c r="F1071" s="39" t="s">
        <v>300</v>
      </c>
      <c r="G1071" s="39" t="s">
        <v>301</v>
      </c>
      <c r="H1071" s="39" t="s">
        <v>2557</v>
      </c>
      <c r="I1071" s="39" t="s">
        <v>229</v>
      </c>
    </row>
    <row r="1072" ht="15.75" hidden="1" customHeight="1">
      <c r="A1072" s="36">
        <v>5049544.0</v>
      </c>
      <c r="B1072" s="37" t="s">
        <v>506</v>
      </c>
      <c r="C1072" s="37" t="s">
        <v>2558</v>
      </c>
      <c r="D1072" s="37" t="s">
        <v>224</v>
      </c>
      <c r="E1072" s="37" t="s">
        <v>510</v>
      </c>
      <c r="F1072" s="37" t="s">
        <v>284</v>
      </c>
      <c r="G1072" s="37" t="s">
        <v>3</v>
      </c>
      <c r="H1072" s="37" t="s">
        <v>2559</v>
      </c>
      <c r="I1072" s="37" t="s">
        <v>260</v>
      </c>
      <c r="J1072" s="1">
        <v>42.0</v>
      </c>
      <c r="L1072" s="40" t="s">
        <v>121</v>
      </c>
    </row>
    <row r="1073" ht="15.75" hidden="1" customHeight="1">
      <c r="A1073" s="38">
        <v>5102741.0</v>
      </c>
      <c r="B1073" s="39" t="s">
        <v>514</v>
      </c>
      <c r="C1073" s="39" t="s">
        <v>2560</v>
      </c>
      <c r="D1073" s="39" t="s">
        <v>224</v>
      </c>
      <c r="E1073" s="39" t="s">
        <v>756</v>
      </c>
      <c r="F1073" s="39" t="s">
        <v>300</v>
      </c>
      <c r="G1073" s="39" t="s">
        <v>301</v>
      </c>
      <c r="H1073" s="39" t="s">
        <v>2561</v>
      </c>
      <c r="I1073" s="39" t="s">
        <v>229</v>
      </c>
    </row>
    <row r="1074" ht="15.75" hidden="1" customHeight="1">
      <c r="A1074" s="36">
        <v>5050865.0</v>
      </c>
      <c r="B1074" s="37" t="s">
        <v>1932</v>
      </c>
      <c r="C1074" s="37" t="s">
        <v>2562</v>
      </c>
      <c r="D1074" s="37" t="s">
        <v>224</v>
      </c>
      <c r="E1074" s="37" t="s">
        <v>1934</v>
      </c>
      <c r="F1074" s="37" t="s">
        <v>300</v>
      </c>
      <c r="G1074" s="37" t="s">
        <v>301</v>
      </c>
      <c r="H1074" s="37" t="s">
        <v>2563</v>
      </c>
      <c r="I1074" s="37" t="s">
        <v>229</v>
      </c>
    </row>
    <row r="1075" ht="15.75" hidden="1" customHeight="1">
      <c r="A1075" s="38">
        <v>5050871.0</v>
      </c>
      <c r="B1075" s="37" t="s">
        <v>81</v>
      </c>
      <c r="C1075" s="39" t="s">
        <v>2564</v>
      </c>
      <c r="D1075" s="39" t="s">
        <v>269</v>
      </c>
      <c r="E1075" s="39" t="s">
        <v>408</v>
      </c>
      <c r="F1075" s="39" t="s">
        <v>341</v>
      </c>
      <c r="G1075" s="39" t="s">
        <v>3</v>
      </c>
      <c r="H1075" s="39" t="s">
        <v>2565</v>
      </c>
      <c r="I1075" s="39" t="s">
        <v>260</v>
      </c>
      <c r="J1075" s="1">
        <v>42.0</v>
      </c>
      <c r="L1075" s="40" t="s">
        <v>506</v>
      </c>
    </row>
    <row r="1076" ht="15.75" hidden="1" customHeight="1">
      <c r="A1076" s="36">
        <v>5948094.0</v>
      </c>
      <c r="B1076" s="37" t="s">
        <v>385</v>
      </c>
      <c r="C1076" s="37" t="s">
        <v>2566</v>
      </c>
      <c r="D1076" s="37" t="s">
        <v>224</v>
      </c>
      <c r="E1076" s="37" t="s">
        <v>756</v>
      </c>
      <c r="F1076" s="37" t="s">
        <v>300</v>
      </c>
      <c r="G1076" s="37" t="s">
        <v>301</v>
      </c>
      <c r="H1076" s="37" t="s">
        <v>2567</v>
      </c>
      <c r="I1076" s="37" t="s">
        <v>229</v>
      </c>
    </row>
    <row r="1077" ht="15.75" hidden="1" customHeight="1">
      <c r="A1077" s="38">
        <v>5053018.0</v>
      </c>
      <c r="B1077" s="39" t="s">
        <v>120</v>
      </c>
      <c r="C1077" s="39" t="s">
        <v>2568</v>
      </c>
      <c r="D1077" s="39" t="s">
        <v>331</v>
      </c>
      <c r="E1077" s="39" t="s">
        <v>868</v>
      </c>
      <c r="F1077" s="39" t="s">
        <v>644</v>
      </c>
      <c r="G1077" s="39" t="s">
        <v>3</v>
      </c>
      <c r="H1077" s="39" t="s">
        <v>2569</v>
      </c>
      <c r="I1077" s="39" t="s">
        <v>260</v>
      </c>
      <c r="J1077" s="1">
        <v>42.0</v>
      </c>
      <c r="L1077" s="40" t="s">
        <v>81</v>
      </c>
    </row>
    <row r="1078" ht="15.75" hidden="1" customHeight="1">
      <c r="A1078" s="36">
        <v>5383588.0</v>
      </c>
      <c r="B1078" s="37" t="s">
        <v>514</v>
      </c>
      <c r="C1078" s="37" t="s">
        <v>2570</v>
      </c>
      <c r="D1078" s="37" t="s">
        <v>224</v>
      </c>
      <c r="E1078" s="37" t="s">
        <v>756</v>
      </c>
      <c r="F1078" s="37" t="s">
        <v>300</v>
      </c>
      <c r="G1078" s="37" t="s">
        <v>301</v>
      </c>
      <c r="H1078" s="37" t="s">
        <v>2571</v>
      </c>
      <c r="I1078" s="37" t="s">
        <v>229</v>
      </c>
    </row>
    <row r="1079" ht="15.75" hidden="1" customHeight="1">
      <c r="A1079" s="38">
        <v>3076035.0</v>
      </c>
      <c r="B1079" s="39" t="s">
        <v>385</v>
      </c>
      <c r="C1079" s="39" t="s">
        <v>2572</v>
      </c>
      <c r="D1079" s="39" t="s">
        <v>224</v>
      </c>
      <c r="E1079" s="39" t="s">
        <v>756</v>
      </c>
      <c r="F1079" s="39" t="s">
        <v>300</v>
      </c>
      <c r="G1079" s="39" t="s">
        <v>301</v>
      </c>
      <c r="H1079" s="39" t="s">
        <v>2573</v>
      </c>
      <c r="I1079" s="39" t="s">
        <v>229</v>
      </c>
    </row>
    <row r="1080" ht="15.75" hidden="1" customHeight="1">
      <c r="A1080" s="36">
        <v>5054849.0</v>
      </c>
      <c r="B1080" s="37" t="s">
        <v>695</v>
      </c>
      <c r="C1080" s="37" t="s">
        <v>2574</v>
      </c>
      <c r="D1080" s="37" t="s">
        <v>224</v>
      </c>
      <c r="E1080" s="37" t="s">
        <v>1714</v>
      </c>
      <c r="F1080" s="37" t="s">
        <v>698</v>
      </c>
      <c r="G1080" s="37" t="s">
        <v>541</v>
      </c>
      <c r="H1080" s="37" t="s">
        <v>2575</v>
      </c>
      <c r="I1080" s="37" t="s">
        <v>229</v>
      </c>
    </row>
    <row r="1081" ht="15.75" hidden="1" customHeight="1">
      <c r="A1081" s="38">
        <v>2271052.0</v>
      </c>
      <c r="B1081" s="39" t="s">
        <v>514</v>
      </c>
      <c r="C1081" s="39" t="s">
        <v>2576</v>
      </c>
      <c r="D1081" s="39" t="s">
        <v>224</v>
      </c>
      <c r="E1081" s="39" t="s">
        <v>756</v>
      </c>
      <c r="F1081" s="39" t="s">
        <v>300</v>
      </c>
      <c r="G1081" s="39" t="s">
        <v>301</v>
      </c>
      <c r="H1081" s="39" t="s">
        <v>2577</v>
      </c>
      <c r="I1081" s="39" t="s">
        <v>229</v>
      </c>
    </row>
    <row r="1082" ht="15.75" hidden="1" customHeight="1">
      <c r="A1082" s="36">
        <v>5055464.0</v>
      </c>
      <c r="B1082" s="37" t="s">
        <v>329</v>
      </c>
      <c r="C1082" s="37" t="s">
        <v>2578</v>
      </c>
      <c r="D1082" s="37" t="s">
        <v>224</v>
      </c>
      <c r="E1082" s="37" t="s">
        <v>1407</v>
      </c>
      <c r="F1082" s="37" t="s">
        <v>333</v>
      </c>
      <c r="G1082" s="37" t="s">
        <v>301</v>
      </c>
      <c r="H1082" s="37" t="s">
        <v>2579</v>
      </c>
      <c r="I1082" s="37" t="s">
        <v>229</v>
      </c>
    </row>
    <row r="1083" ht="15.75" hidden="1" customHeight="1">
      <c r="A1083" s="38">
        <v>5944674.0</v>
      </c>
      <c r="B1083" s="39" t="s">
        <v>385</v>
      </c>
      <c r="C1083" s="39" t="s">
        <v>2580</v>
      </c>
      <c r="D1083" s="39" t="s">
        <v>224</v>
      </c>
      <c r="E1083" s="39" t="s">
        <v>756</v>
      </c>
      <c r="F1083" s="39" t="s">
        <v>300</v>
      </c>
      <c r="G1083" s="39" t="s">
        <v>301</v>
      </c>
      <c r="H1083" s="39" t="s">
        <v>2581</v>
      </c>
      <c r="I1083" s="39" t="s">
        <v>229</v>
      </c>
    </row>
    <row r="1084" ht="15.75" hidden="1" customHeight="1">
      <c r="A1084" s="36">
        <v>5055877.0</v>
      </c>
      <c r="B1084" s="37" t="s">
        <v>120</v>
      </c>
      <c r="C1084" s="37" t="s">
        <v>2582</v>
      </c>
      <c r="D1084" s="37" t="s">
        <v>224</v>
      </c>
      <c r="E1084" s="37" t="s">
        <v>868</v>
      </c>
      <c r="F1084" s="37" t="s">
        <v>644</v>
      </c>
      <c r="G1084" s="37" t="s">
        <v>3</v>
      </c>
      <c r="H1084" s="37" t="s">
        <v>2583</v>
      </c>
      <c r="I1084" s="37" t="s">
        <v>260</v>
      </c>
      <c r="J1084" s="1">
        <v>42.0</v>
      </c>
      <c r="L1084" s="40" t="s">
        <v>120</v>
      </c>
    </row>
    <row r="1085" ht="15.75" hidden="1" customHeight="1">
      <c r="A1085" s="38">
        <v>5056463.0</v>
      </c>
      <c r="B1085" s="39" t="s">
        <v>232</v>
      </c>
      <c r="C1085" s="39" t="s">
        <v>2584</v>
      </c>
      <c r="D1085" s="39" t="s">
        <v>224</v>
      </c>
      <c r="E1085" s="39" t="s">
        <v>499</v>
      </c>
      <c r="F1085" s="39" t="s">
        <v>226</v>
      </c>
      <c r="G1085" s="39" t="s">
        <v>227</v>
      </c>
      <c r="H1085" s="39" t="s">
        <v>2585</v>
      </c>
      <c r="I1085" s="39" t="s">
        <v>229</v>
      </c>
    </row>
    <row r="1086" ht="15.75" hidden="1" customHeight="1">
      <c r="A1086" s="36">
        <v>4339753.0</v>
      </c>
      <c r="B1086" s="37" t="s">
        <v>385</v>
      </c>
      <c r="C1086" s="37" t="s">
        <v>2586</v>
      </c>
      <c r="D1086" s="37" t="s">
        <v>224</v>
      </c>
      <c r="E1086" s="37" t="s">
        <v>756</v>
      </c>
      <c r="F1086" s="37" t="s">
        <v>300</v>
      </c>
      <c r="G1086" s="37" t="s">
        <v>301</v>
      </c>
      <c r="H1086" s="37" t="s">
        <v>2587</v>
      </c>
      <c r="I1086" s="37" t="s">
        <v>229</v>
      </c>
    </row>
    <row r="1087" ht="15.75" hidden="1" customHeight="1">
      <c r="A1087" s="38">
        <v>5058132.0</v>
      </c>
      <c r="B1087" s="39" t="s">
        <v>1019</v>
      </c>
      <c r="C1087" s="39" t="s">
        <v>2588</v>
      </c>
      <c r="D1087" s="39" t="s">
        <v>224</v>
      </c>
      <c r="E1087" s="39" t="s">
        <v>1021</v>
      </c>
      <c r="F1087" s="39" t="s">
        <v>292</v>
      </c>
      <c r="G1087" s="39" t="s">
        <v>293</v>
      </c>
      <c r="H1087" s="39" t="s">
        <v>2589</v>
      </c>
      <c r="I1087" s="39" t="s">
        <v>229</v>
      </c>
    </row>
    <row r="1088" ht="15.75" hidden="1" customHeight="1">
      <c r="A1088" s="36">
        <v>5948231.0</v>
      </c>
      <c r="B1088" s="37" t="s">
        <v>385</v>
      </c>
      <c r="C1088" s="37" t="s">
        <v>2590</v>
      </c>
      <c r="D1088" s="37" t="s">
        <v>224</v>
      </c>
      <c r="E1088" s="37" t="s">
        <v>756</v>
      </c>
      <c r="F1088" s="37" t="s">
        <v>300</v>
      </c>
      <c r="G1088" s="37" t="s">
        <v>301</v>
      </c>
      <c r="H1088" s="37" t="s">
        <v>2591</v>
      </c>
      <c r="I1088" s="37" t="s">
        <v>229</v>
      </c>
    </row>
    <row r="1089" ht="15.75" hidden="1" customHeight="1">
      <c r="A1089" s="38">
        <v>5058137.0</v>
      </c>
      <c r="B1089" s="39" t="s">
        <v>936</v>
      </c>
      <c r="C1089" s="39" t="s">
        <v>2592</v>
      </c>
      <c r="D1089" s="39" t="s">
        <v>224</v>
      </c>
      <c r="E1089" s="39" t="s">
        <v>938</v>
      </c>
      <c r="F1089" s="39" t="s">
        <v>266</v>
      </c>
      <c r="G1089" s="39" t="s">
        <v>250</v>
      </c>
      <c r="H1089" s="39" t="s">
        <v>2593</v>
      </c>
      <c r="I1089" s="39" t="s">
        <v>229</v>
      </c>
    </row>
    <row r="1090" ht="15.75" hidden="1" customHeight="1">
      <c r="A1090" s="36">
        <v>4727236.0</v>
      </c>
      <c r="B1090" s="37" t="s">
        <v>331</v>
      </c>
      <c r="C1090" s="37" t="s">
        <v>2594</v>
      </c>
      <c r="D1090" s="37" t="s">
        <v>331</v>
      </c>
      <c r="E1090" s="37" t="s">
        <v>227</v>
      </c>
      <c r="F1090" s="37" t="s">
        <v>319</v>
      </c>
      <c r="G1090" s="37" t="s">
        <v>2083</v>
      </c>
      <c r="H1090" s="37" t="s">
        <v>2595</v>
      </c>
      <c r="I1090" s="37" t="s">
        <v>229</v>
      </c>
    </row>
    <row r="1091" ht="15.75" hidden="1" customHeight="1">
      <c r="A1091" s="38">
        <v>5058151.0</v>
      </c>
      <c r="B1091" s="39" t="s">
        <v>457</v>
      </c>
      <c r="C1091" s="39" t="s">
        <v>2596</v>
      </c>
      <c r="D1091" s="39" t="s">
        <v>224</v>
      </c>
      <c r="E1091" s="39" t="s">
        <v>1145</v>
      </c>
      <c r="F1091" s="39" t="s">
        <v>292</v>
      </c>
      <c r="G1091" s="39" t="s">
        <v>293</v>
      </c>
      <c r="H1091" s="39" t="s">
        <v>2597</v>
      </c>
      <c r="I1091" s="39" t="s">
        <v>229</v>
      </c>
    </row>
    <row r="1092" ht="15.75" hidden="1" customHeight="1">
      <c r="A1092" s="36">
        <v>5938269.0</v>
      </c>
      <c r="B1092" s="37" t="s">
        <v>412</v>
      </c>
      <c r="C1092" s="37" t="s">
        <v>2598</v>
      </c>
      <c r="D1092" s="37" t="s">
        <v>224</v>
      </c>
      <c r="E1092" s="37" t="s">
        <v>430</v>
      </c>
      <c r="F1092" s="37" t="s">
        <v>3</v>
      </c>
      <c r="G1092" s="37" t="s">
        <v>3</v>
      </c>
      <c r="H1092" s="37" t="s">
        <v>2599</v>
      </c>
      <c r="I1092" s="37" t="s">
        <v>260</v>
      </c>
      <c r="J1092" s="1">
        <v>42.0</v>
      </c>
      <c r="L1092" s="40" t="s">
        <v>120</v>
      </c>
    </row>
    <row r="1093" ht="15.75" hidden="1" customHeight="1">
      <c r="A1093" s="38">
        <v>5059475.0</v>
      </c>
      <c r="B1093" s="39" t="s">
        <v>120</v>
      </c>
      <c r="C1093" s="39" t="s">
        <v>2600</v>
      </c>
      <c r="D1093" s="39" t="s">
        <v>331</v>
      </c>
      <c r="E1093" s="39" t="s">
        <v>1015</v>
      </c>
      <c r="F1093" s="39" t="s">
        <v>644</v>
      </c>
      <c r="G1093" s="39" t="s">
        <v>3</v>
      </c>
      <c r="H1093" s="39" t="s">
        <v>2601</v>
      </c>
      <c r="I1093" s="39" t="s">
        <v>260</v>
      </c>
      <c r="J1093" s="1">
        <v>42.0</v>
      </c>
      <c r="L1093" s="40" t="s">
        <v>412</v>
      </c>
    </row>
    <row r="1094" ht="15.75" hidden="1" customHeight="1">
      <c r="A1094" s="36">
        <v>5622695.0</v>
      </c>
      <c r="B1094" s="37" t="s">
        <v>412</v>
      </c>
      <c r="C1094" s="37" t="s">
        <v>2602</v>
      </c>
      <c r="D1094" s="37" t="s">
        <v>224</v>
      </c>
      <c r="E1094" s="37" t="s">
        <v>430</v>
      </c>
      <c r="F1094" s="37" t="s">
        <v>3</v>
      </c>
      <c r="G1094" s="37" t="s">
        <v>3</v>
      </c>
      <c r="H1094" s="37" t="s">
        <v>2603</v>
      </c>
      <c r="I1094" s="37" t="s">
        <v>260</v>
      </c>
      <c r="J1094" s="1">
        <v>42.0</v>
      </c>
      <c r="L1094" s="40" t="s">
        <v>120</v>
      </c>
    </row>
    <row r="1095" ht="15.75" hidden="1" customHeight="1">
      <c r="A1095" s="38">
        <v>5059679.0</v>
      </c>
      <c r="B1095" s="39" t="s">
        <v>441</v>
      </c>
      <c r="C1095" s="39" t="s">
        <v>2604</v>
      </c>
      <c r="D1095" s="39" t="s">
        <v>224</v>
      </c>
      <c r="E1095" s="39" t="s">
        <v>634</v>
      </c>
      <c r="F1095" s="39" t="s">
        <v>257</v>
      </c>
      <c r="G1095" s="39" t="s">
        <v>258</v>
      </c>
      <c r="H1095" s="39" t="s">
        <v>2605</v>
      </c>
      <c r="I1095" s="39" t="s">
        <v>260</v>
      </c>
    </row>
    <row r="1096" ht="15.75" hidden="1" customHeight="1">
      <c r="A1096" s="36">
        <v>5061098.0</v>
      </c>
      <c r="B1096" s="37" t="s">
        <v>738</v>
      </c>
      <c r="C1096" s="37" t="s">
        <v>2606</v>
      </c>
      <c r="D1096" s="37" t="s">
        <v>331</v>
      </c>
      <c r="E1096" s="37" t="s">
        <v>1403</v>
      </c>
      <c r="F1096" s="37" t="s">
        <v>533</v>
      </c>
      <c r="G1096" s="37" t="s">
        <v>250</v>
      </c>
      <c r="H1096" s="37" t="s">
        <v>2607</v>
      </c>
      <c r="I1096" s="37" t="s">
        <v>229</v>
      </c>
    </row>
    <row r="1097" ht="15.75" hidden="1" customHeight="1">
      <c r="A1097" s="38">
        <v>5120711.0</v>
      </c>
      <c r="B1097" s="39" t="s">
        <v>412</v>
      </c>
      <c r="C1097" s="39" t="s">
        <v>2608</v>
      </c>
      <c r="D1097" s="39" t="s">
        <v>224</v>
      </c>
      <c r="E1097" s="39" t="s">
        <v>430</v>
      </c>
      <c r="F1097" s="39" t="s">
        <v>3</v>
      </c>
      <c r="G1097" s="39" t="s">
        <v>3</v>
      </c>
      <c r="H1097" s="39" t="s">
        <v>2609</v>
      </c>
      <c r="I1097" s="39" t="s">
        <v>260</v>
      </c>
      <c r="J1097" s="1">
        <v>42.0</v>
      </c>
      <c r="L1097" s="40" t="s">
        <v>412</v>
      </c>
    </row>
    <row r="1098" ht="15.75" hidden="1" customHeight="1">
      <c r="A1098" s="36">
        <v>5061311.0</v>
      </c>
      <c r="B1098" s="37" t="s">
        <v>695</v>
      </c>
      <c r="C1098" s="37" t="s">
        <v>2610</v>
      </c>
      <c r="D1098" s="37" t="s">
        <v>224</v>
      </c>
      <c r="E1098" s="37" t="s">
        <v>697</v>
      </c>
      <c r="F1098" s="37" t="s">
        <v>698</v>
      </c>
      <c r="G1098" s="37" t="s">
        <v>541</v>
      </c>
      <c r="H1098" s="37" t="s">
        <v>2611</v>
      </c>
      <c r="I1098" s="37" t="s">
        <v>229</v>
      </c>
    </row>
    <row r="1099" ht="15.75" hidden="1" customHeight="1">
      <c r="A1099" s="38">
        <v>5284024.0</v>
      </c>
      <c r="B1099" s="39" t="s">
        <v>412</v>
      </c>
      <c r="C1099" s="39" t="s">
        <v>2612</v>
      </c>
      <c r="D1099" s="39" t="s">
        <v>224</v>
      </c>
      <c r="E1099" s="39" t="s">
        <v>430</v>
      </c>
      <c r="F1099" s="39" t="s">
        <v>3</v>
      </c>
      <c r="G1099" s="39" t="s">
        <v>3</v>
      </c>
      <c r="H1099" s="39" t="s">
        <v>2613</v>
      </c>
      <c r="I1099" s="39" t="s">
        <v>260</v>
      </c>
      <c r="J1099" s="1">
        <v>42.0</v>
      </c>
      <c r="L1099" s="40" t="s">
        <v>412</v>
      </c>
    </row>
    <row r="1100" ht="15.75" hidden="1" customHeight="1">
      <c r="A1100" s="36">
        <v>5260668.0</v>
      </c>
      <c r="B1100" s="37" t="s">
        <v>412</v>
      </c>
      <c r="C1100" s="37" t="s">
        <v>2614</v>
      </c>
      <c r="D1100" s="37" t="s">
        <v>224</v>
      </c>
      <c r="E1100" s="37" t="s">
        <v>430</v>
      </c>
      <c r="F1100" s="37" t="s">
        <v>3</v>
      </c>
      <c r="G1100" s="37" t="s">
        <v>3</v>
      </c>
      <c r="H1100" s="37" t="s">
        <v>2615</v>
      </c>
      <c r="I1100" s="37" t="s">
        <v>260</v>
      </c>
      <c r="J1100" s="1">
        <v>42.0</v>
      </c>
      <c r="L1100" s="40" t="s">
        <v>412</v>
      </c>
    </row>
    <row r="1101" ht="15.75" hidden="1" customHeight="1">
      <c r="A1101" s="38">
        <v>5062328.0</v>
      </c>
      <c r="B1101" s="39" t="s">
        <v>676</v>
      </c>
      <c r="C1101" s="39" t="s">
        <v>2616</v>
      </c>
      <c r="D1101" s="39" t="s">
        <v>224</v>
      </c>
      <c r="E1101" s="39" t="s">
        <v>678</v>
      </c>
      <c r="F1101" s="39" t="s">
        <v>679</v>
      </c>
      <c r="G1101" s="39" t="s">
        <v>301</v>
      </c>
      <c r="H1101" s="39" t="s">
        <v>2617</v>
      </c>
      <c r="I1101" s="39" t="s">
        <v>229</v>
      </c>
    </row>
    <row r="1102" ht="15.75" hidden="1" customHeight="1">
      <c r="A1102" s="36">
        <v>5935101.0</v>
      </c>
      <c r="B1102" s="37" t="s">
        <v>412</v>
      </c>
      <c r="C1102" s="37" t="s">
        <v>2618</v>
      </c>
      <c r="D1102" s="37" t="s">
        <v>224</v>
      </c>
      <c r="E1102" s="37" t="s">
        <v>430</v>
      </c>
      <c r="F1102" s="37" t="s">
        <v>3</v>
      </c>
      <c r="G1102" s="37" t="s">
        <v>3</v>
      </c>
      <c r="H1102" s="37" t="s">
        <v>2619</v>
      </c>
      <c r="I1102" s="37" t="s">
        <v>260</v>
      </c>
      <c r="J1102" s="1">
        <v>42.0</v>
      </c>
      <c r="L1102" s="40" t="s">
        <v>412</v>
      </c>
    </row>
    <row r="1103" ht="15.75" hidden="1" customHeight="1">
      <c r="A1103" s="38">
        <v>5546184.0</v>
      </c>
      <c r="B1103" s="39" t="s">
        <v>412</v>
      </c>
      <c r="C1103" s="39" t="s">
        <v>2620</v>
      </c>
      <c r="D1103" s="39" t="s">
        <v>224</v>
      </c>
      <c r="E1103" s="39" t="s">
        <v>430</v>
      </c>
      <c r="F1103" s="39" t="s">
        <v>3</v>
      </c>
      <c r="G1103" s="39" t="s">
        <v>3</v>
      </c>
      <c r="H1103" s="39" t="s">
        <v>2621</v>
      </c>
      <c r="I1103" s="39" t="s">
        <v>260</v>
      </c>
      <c r="J1103" s="1">
        <v>42.0</v>
      </c>
      <c r="L1103" s="40" t="s">
        <v>412</v>
      </c>
    </row>
    <row r="1104" ht="15.75" hidden="1" customHeight="1">
      <c r="A1104" s="36">
        <v>5064675.0</v>
      </c>
      <c r="B1104" s="37" t="s">
        <v>676</v>
      </c>
      <c r="C1104" s="37" t="s">
        <v>2622</v>
      </c>
      <c r="D1104" s="37" t="s">
        <v>224</v>
      </c>
      <c r="E1104" s="37" t="s">
        <v>678</v>
      </c>
      <c r="F1104" s="37" t="s">
        <v>679</v>
      </c>
      <c r="G1104" s="37" t="s">
        <v>301</v>
      </c>
      <c r="H1104" s="37" t="s">
        <v>2623</v>
      </c>
      <c r="I1104" s="37" t="s">
        <v>229</v>
      </c>
    </row>
    <row r="1105" ht="15.75" hidden="1" customHeight="1">
      <c r="A1105" s="38">
        <v>5344928.0</v>
      </c>
      <c r="B1105" s="39" t="s">
        <v>412</v>
      </c>
      <c r="C1105" s="39" t="s">
        <v>2624</v>
      </c>
      <c r="D1105" s="39" t="s">
        <v>224</v>
      </c>
      <c r="E1105" s="39" t="s">
        <v>430</v>
      </c>
      <c r="F1105" s="39" t="s">
        <v>3</v>
      </c>
      <c r="G1105" s="39" t="s">
        <v>3</v>
      </c>
      <c r="H1105" s="39" t="s">
        <v>2625</v>
      </c>
      <c r="I1105" s="39" t="s">
        <v>260</v>
      </c>
      <c r="J1105" s="1">
        <v>42.0</v>
      </c>
      <c r="L1105" s="40" t="s">
        <v>412</v>
      </c>
    </row>
    <row r="1106" ht="15.75" hidden="1" customHeight="1">
      <c r="A1106" s="36">
        <v>5367492.0</v>
      </c>
      <c r="B1106" s="37" t="s">
        <v>412</v>
      </c>
      <c r="C1106" s="37" t="s">
        <v>2626</v>
      </c>
      <c r="D1106" s="37" t="s">
        <v>331</v>
      </c>
      <c r="E1106" s="37" t="s">
        <v>430</v>
      </c>
      <c r="F1106" s="37" t="s">
        <v>3</v>
      </c>
      <c r="G1106" s="37" t="s">
        <v>3</v>
      </c>
      <c r="H1106" s="37" t="s">
        <v>2627</v>
      </c>
      <c r="I1106" s="37" t="s">
        <v>260</v>
      </c>
      <c r="J1106" s="1">
        <v>42.0</v>
      </c>
      <c r="L1106" s="40" t="s">
        <v>412</v>
      </c>
    </row>
    <row r="1107" ht="15.75" hidden="1" customHeight="1">
      <c r="A1107" s="38">
        <v>5064916.0</v>
      </c>
      <c r="B1107" s="39" t="s">
        <v>1791</v>
      </c>
      <c r="C1107" s="39" t="s">
        <v>2628</v>
      </c>
      <c r="D1107" s="39" t="s">
        <v>224</v>
      </c>
      <c r="E1107" s="39" t="s">
        <v>2629</v>
      </c>
      <c r="F1107" s="39" t="s">
        <v>266</v>
      </c>
      <c r="G1107" s="39" t="s">
        <v>250</v>
      </c>
      <c r="H1107" s="39" t="s">
        <v>2630</v>
      </c>
      <c r="I1107" s="39" t="s">
        <v>229</v>
      </c>
    </row>
    <row r="1108" ht="15.75" hidden="1" customHeight="1">
      <c r="A1108" s="36">
        <v>5369438.0</v>
      </c>
      <c r="B1108" s="37" t="s">
        <v>412</v>
      </c>
      <c r="C1108" s="37" t="s">
        <v>2631</v>
      </c>
      <c r="D1108" s="37" t="s">
        <v>224</v>
      </c>
      <c r="E1108" s="37" t="s">
        <v>430</v>
      </c>
      <c r="F1108" s="37" t="s">
        <v>3</v>
      </c>
      <c r="G1108" s="37" t="s">
        <v>3</v>
      </c>
      <c r="H1108" s="37" t="s">
        <v>2632</v>
      </c>
      <c r="I1108" s="37" t="s">
        <v>260</v>
      </c>
      <c r="J1108" s="1">
        <v>42.0</v>
      </c>
      <c r="L1108" s="40" t="s">
        <v>412</v>
      </c>
    </row>
    <row r="1109" ht="15.75" hidden="1" customHeight="1">
      <c r="A1109" s="38">
        <v>5064924.0</v>
      </c>
      <c r="B1109" s="39" t="s">
        <v>676</v>
      </c>
      <c r="C1109" s="39" t="s">
        <v>2633</v>
      </c>
      <c r="D1109" s="39" t="s">
        <v>234</v>
      </c>
      <c r="E1109" s="39" t="s">
        <v>1859</v>
      </c>
      <c r="F1109" s="39" t="s">
        <v>679</v>
      </c>
      <c r="G1109" s="39" t="s">
        <v>301</v>
      </c>
      <c r="H1109" s="39" t="s">
        <v>2634</v>
      </c>
      <c r="I1109" s="39" t="s">
        <v>229</v>
      </c>
    </row>
    <row r="1110" ht="15.75" hidden="1" customHeight="1">
      <c r="A1110" s="36">
        <v>5369899.0</v>
      </c>
      <c r="B1110" s="37" t="s">
        <v>412</v>
      </c>
      <c r="C1110" s="37" t="s">
        <v>2635</v>
      </c>
      <c r="D1110" s="37" t="s">
        <v>224</v>
      </c>
      <c r="E1110" s="37" t="s">
        <v>430</v>
      </c>
      <c r="F1110" s="37" t="s">
        <v>3</v>
      </c>
      <c r="G1110" s="37" t="s">
        <v>3</v>
      </c>
      <c r="H1110" s="37" t="s">
        <v>2636</v>
      </c>
      <c r="I1110" s="37" t="s">
        <v>260</v>
      </c>
      <c r="J1110" s="1">
        <v>42.0</v>
      </c>
      <c r="L1110" s="40" t="s">
        <v>412</v>
      </c>
    </row>
    <row r="1111" ht="15.75" hidden="1" customHeight="1">
      <c r="A1111" s="38">
        <v>5651741.0</v>
      </c>
      <c r="B1111" s="39" t="s">
        <v>412</v>
      </c>
      <c r="C1111" s="39" t="s">
        <v>2637</v>
      </c>
      <c r="D1111" s="39" t="s">
        <v>224</v>
      </c>
      <c r="E1111" s="39" t="s">
        <v>430</v>
      </c>
      <c r="F1111" s="39" t="s">
        <v>3</v>
      </c>
      <c r="G1111" s="39" t="s">
        <v>3</v>
      </c>
      <c r="H1111" s="39" t="s">
        <v>2638</v>
      </c>
      <c r="I1111" s="39" t="s">
        <v>260</v>
      </c>
      <c r="J1111" s="1">
        <v>42.0</v>
      </c>
      <c r="L1111" s="40" t="s">
        <v>412</v>
      </c>
    </row>
    <row r="1112" ht="15.75" hidden="1" customHeight="1">
      <c r="A1112" s="36">
        <v>5065477.0</v>
      </c>
      <c r="B1112" s="37" t="s">
        <v>813</v>
      </c>
      <c r="C1112" s="37" t="s">
        <v>2639</v>
      </c>
      <c r="D1112" s="37" t="s">
        <v>224</v>
      </c>
      <c r="E1112" s="37" t="s">
        <v>815</v>
      </c>
      <c r="F1112" s="37" t="s">
        <v>679</v>
      </c>
      <c r="G1112" s="37" t="s">
        <v>301</v>
      </c>
      <c r="H1112" s="37" t="s">
        <v>2640</v>
      </c>
      <c r="I1112" s="37" t="s">
        <v>229</v>
      </c>
    </row>
    <row r="1113" ht="15.75" hidden="1" customHeight="1">
      <c r="A1113" s="38">
        <v>5499519.0</v>
      </c>
      <c r="B1113" s="39" t="s">
        <v>412</v>
      </c>
      <c r="C1113" s="39" t="s">
        <v>2641</v>
      </c>
      <c r="D1113" s="39" t="s">
        <v>224</v>
      </c>
      <c r="E1113" s="39" t="s">
        <v>430</v>
      </c>
      <c r="F1113" s="39" t="s">
        <v>3</v>
      </c>
      <c r="G1113" s="39" t="s">
        <v>3</v>
      </c>
      <c r="H1113" s="39" t="s">
        <v>2642</v>
      </c>
      <c r="I1113" s="39" t="s">
        <v>260</v>
      </c>
      <c r="J1113" s="1">
        <v>42.0</v>
      </c>
      <c r="L1113" s="40" t="s">
        <v>412</v>
      </c>
    </row>
    <row r="1114" ht="15.75" hidden="1" customHeight="1">
      <c r="A1114" s="36">
        <v>5934682.0</v>
      </c>
      <c r="B1114" s="37" t="s">
        <v>412</v>
      </c>
      <c r="C1114" s="37" t="s">
        <v>2643</v>
      </c>
      <c r="D1114" s="37" t="s">
        <v>224</v>
      </c>
      <c r="E1114" s="37" t="s">
        <v>430</v>
      </c>
      <c r="F1114" s="37" t="s">
        <v>3</v>
      </c>
      <c r="G1114" s="37" t="s">
        <v>3</v>
      </c>
      <c r="H1114" s="37" t="s">
        <v>2644</v>
      </c>
      <c r="I1114" s="37" t="s">
        <v>260</v>
      </c>
      <c r="J1114" s="1">
        <v>42.0</v>
      </c>
      <c r="L1114" s="40" t="s">
        <v>412</v>
      </c>
    </row>
    <row r="1115" ht="15.75" hidden="1" customHeight="1">
      <c r="A1115" s="38">
        <v>5065481.0</v>
      </c>
      <c r="B1115" s="39" t="s">
        <v>9</v>
      </c>
      <c r="C1115" s="39" t="s">
        <v>2645</v>
      </c>
      <c r="D1115" s="39" t="s">
        <v>224</v>
      </c>
      <c r="E1115" s="39" t="s">
        <v>480</v>
      </c>
      <c r="F1115" s="39" t="s">
        <v>481</v>
      </c>
      <c r="G1115" s="39" t="s">
        <v>293</v>
      </c>
      <c r="H1115" s="39" t="s">
        <v>2646</v>
      </c>
      <c r="I1115" s="39" t="s">
        <v>229</v>
      </c>
    </row>
    <row r="1116" ht="15.75" hidden="1" customHeight="1">
      <c r="A1116" s="36">
        <v>5990104.0</v>
      </c>
      <c r="B1116" s="37" t="s">
        <v>412</v>
      </c>
      <c r="C1116" s="37" t="s">
        <v>2647</v>
      </c>
      <c r="D1116" s="37" t="s">
        <v>224</v>
      </c>
      <c r="E1116" s="37" t="s">
        <v>430</v>
      </c>
      <c r="F1116" s="37" t="s">
        <v>3</v>
      </c>
      <c r="G1116" s="37" t="s">
        <v>3</v>
      </c>
      <c r="H1116" s="37" t="s">
        <v>2648</v>
      </c>
      <c r="I1116" s="37" t="s">
        <v>260</v>
      </c>
      <c r="J1116" s="1">
        <v>42.0</v>
      </c>
      <c r="L1116" s="40" t="s">
        <v>412</v>
      </c>
    </row>
    <row r="1117" ht="15.75" hidden="1" customHeight="1">
      <c r="A1117" s="38">
        <v>5065734.0</v>
      </c>
      <c r="B1117" s="39" t="s">
        <v>537</v>
      </c>
      <c r="C1117" s="39" t="s">
        <v>2649</v>
      </c>
      <c r="D1117" s="39" t="s">
        <v>224</v>
      </c>
      <c r="E1117" s="39" t="s">
        <v>539</v>
      </c>
      <c r="F1117" s="39" t="s">
        <v>540</v>
      </c>
      <c r="G1117" s="39" t="s">
        <v>541</v>
      </c>
      <c r="H1117" s="39" t="s">
        <v>2650</v>
      </c>
      <c r="I1117" s="39" t="s">
        <v>229</v>
      </c>
    </row>
    <row r="1118" ht="15.75" hidden="1" customHeight="1">
      <c r="A1118" s="36">
        <v>5622700.0</v>
      </c>
      <c r="B1118" s="37" t="s">
        <v>412</v>
      </c>
      <c r="C1118" s="37" t="s">
        <v>2651</v>
      </c>
      <c r="D1118" s="37" t="s">
        <v>224</v>
      </c>
      <c r="E1118" s="37" t="s">
        <v>430</v>
      </c>
      <c r="F1118" s="37" t="s">
        <v>3</v>
      </c>
      <c r="G1118" s="37" t="s">
        <v>3</v>
      </c>
      <c r="H1118" s="37" t="s">
        <v>2652</v>
      </c>
      <c r="I1118" s="37" t="s">
        <v>260</v>
      </c>
      <c r="J1118" s="1">
        <v>42.0</v>
      </c>
      <c r="L1118" s="40" t="s">
        <v>412</v>
      </c>
    </row>
    <row r="1119" ht="15.75" hidden="1" customHeight="1">
      <c r="A1119" s="38">
        <v>5065737.0</v>
      </c>
      <c r="B1119" s="39" t="s">
        <v>537</v>
      </c>
      <c r="C1119" s="39" t="s">
        <v>2653</v>
      </c>
      <c r="D1119" s="39" t="s">
        <v>224</v>
      </c>
      <c r="E1119" s="39" t="s">
        <v>539</v>
      </c>
      <c r="F1119" s="39" t="s">
        <v>540</v>
      </c>
      <c r="G1119" s="39" t="s">
        <v>541</v>
      </c>
      <c r="H1119" s="39" t="s">
        <v>2654</v>
      </c>
      <c r="I1119" s="39" t="s">
        <v>229</v>
      </c>
    </row>
    <row r="1120" ht="15.75" hidden="1" customHeight="1">
      <c r="A1120" s="36">
        <v>5657416.0</v>
      </c>
      <c r="B1120" s="37" t="s">
        <v>412</v>
      </c>
      <c r="C1120" s="37" t="s">
        <v>2655</v>
      </c>
      <c r="D1120" s="37" t="s">
        <v>224</v>
      </c>
      <c r="E1120" s="37" t="s">
        <v>430</v>
      </c>
      <c r="F1120" s="37" t="s">
        <v>3</v>
      </c>
      <c r="G1120" s="37" t="s">
        <v>3</v>
      </c>
      <c r="H1120" s="37" t="s">
        <v>2656</v>
      </c>
      <c r="I1120" s="37" t="s">
        <v>260</v>
      </c>
      <c r="J1120" s="1">
        <v>42.0</v>
      </c>
      <c r="L1120" s="40" t="s">
        <v>412</v>
      </c>
    </row>
    <row r="1121" ht="15.75" hidden="1" customHeight="1">
      <c r="A1121" s="38">
        <v>5065750.0</v>
      </c>
      <c r="B1121" s="39" t="s">
        <v>813</v>
      </c>
      <c r="C1121" s="39" t="s">
        <v>2657</v>
      </c>
      <c r="D1121" s="39" t="s">
        <v>224</v>
      </c>
      <c r="E1121" s="39" t="s">
        <v>815</v>
      </c>
      <c r="F1121" s="39" t="s">
        <v>679</v>
      </c>
      <c r="G1121" s="39" t="s">
        <v>301</v>
      </c>
      <c r="H1121" s="39" t="s">
        <v>2658</v>
      </c>
      <c r="I1121" s="39" t="s">
        <v>229</v>
      </c>
    </row>
    <row r="1122" ht="15.75" hidden="1" customHeight="1">
      <c r="A1122" s="36">
        <v>5638602.0</v>
      </c>
      <c r="B1122" s="37" t="s">
        <v>412</v>
      </c>
      <c r="C1122" s="37" t="s">
        <v>2659</v>
      </c>
      <c r="D1122" s="37" t="s">
        <v>224</v>
      </c>
      <c r="E1122" s="37" t="s">
        <v>430</v>
      </c>
      <c r="F1122" s="37" t="s">
        <v>3</v>
      </c>
      <c r="G1122" s="37" t="s">
        <v>3</v>
      </c>
      <c r="H1122" s="37" t="s">
        <v>2660</v>
      </c>
      <c r="I1122" s="37" t="s">
        <v>260</v>
      </c>
      <c r="J1122" s="1">
        <v>42.0</v>
      </c>
      <c r="L1122" s="40" t="s">
        <v>412</v>
      </c>
    </row>
    <row r="1123" ht="15.75" hidden="1" customHeight="1">
      <c r="A1123" s="38">
        <v>5065796.0</v>
      </c>
      <c r="B1123" s="39" t="s">
        <v>2069</v>
      </c>
      <c r="C1123" s="39" t="s">
        <v>2661</v>
      </c>
      <c r="D1123" s="39" t="s">
        <v>224</v>
      </c>
      <c r="E1123" s="39" t="s">
        <v>2071</v>
      </c>
      <c r="F1123" s="39" t="s">
        <v>300</v>
      </c>
      <c r="G1123" s="39" t="s">
        <v>301</v>
      </c>
      <c r="H1123" s="39" t="s">
        <v>2662</v>
      </c>
      <c r="I1123" s="39" t="s">
        <v>229</v>
      </c>
    </row>
    <row r="1124" ht="15.75" hidden="1" customHeight="1">
      <c r="A1124" s="36">
        <v>5068162.0</v>
      </c>
      <c r="B1124" s="37" t="s">
        <v>800</v>
      </c>
      <c r="C1124" s="37" t="s">
        <v>2663</v>
      </c>
      <c r="D1124" s="37" t="s">
        <v>224</v>
      </c>
      <c r="E1124" s="37" t="s">
        <v>802</v>
      </c>
      <c r="F1124" s="37" t="s">
        <v>333</v>
      </c>
      <c r="G1124" s="37" t="s">
        <v>301</v>
      </c>
      <c r="H1124" s="37" t="s">
        <v>2664</v>
      </c>
      <c r="I1124" s="37" t="s">
        <v>229</v>
      </c>
    </row>
    <row r="1125" ht="15.75" hidden="1" customHeight="1">
      <c r="A1125" s="38">
        <v>5872830.0</v>
      </c>
      <c r="B1125" s="39" t="s">
        <v>412</v>
      </c>
      <c r="C1125" s="39" t="s">
        <v>2665</v>
      </c>
      <c r="D1125" s="39" t="s">
        <v>224</v>
      </c>
      <c r="E1125" s="39" t="s">
        <v>430</v>
      </c>
      <c r="F1125" s="39" t="s">
        <v>3</v>
      </c>
      <c r="G1125" s="39" t="s">
        <v>3</v>
      </c>
      <c r="H1125" s="39" t="s">
        <v>2666</v>
      </c>
      <c r="I1125" s="39" t="s">
        <v>260</v>
      </c>
      <c r="J1125" s="1">
        <v>42.0</v>
      </c>
      <c r="L1125" s="40" t="s">
        <v>412</v>
      </c>
    </row>
    <row r="1126" ht="15.75" hidden="1" customHeight="1">
      <c r="A1126" s="36">
        <v>5068312.0</v>
      </c>
      <c r="B1126" s="37" t="s">
        <v>246</v>
      </c>
      <c r="C1126" s="37" t="s">
        <v>2667</v>
      </c>
      <c r="D1126" s="37" t="s">
        <v>224</v>
      </c>
      <c r="E1126" s="37" t="s">
        <v>598</v>
      </c>
      <c r="F1126" s="37" t="s">
        <v>249</v>
      </c>
      <c r="G1126" s="37" t="s">
        <v>250</v>
      </c>
      <c r="H1126" s="37" t="s">
        <v>2668</v>
      </c>
      <c r="I1126" s="37" t="s">
        <v>229</v>
      </c>
    </row>
    <row r="1127" ht="15.75" hidden="1" customHeight="1">
      <c r="A1127" s="38">
        <v>5987148.0</v>
      </c>
      <c r="B1127" s="39" t="s">
        <v>9</v>
      </c>
      <c r="C1127" s="39" t="s">
        <v>2669</v>
      </c>
      <c r="D1127" s="39" t="s">
        <v>224</v>
      </c>
      <c r="E1127" s="39" t="s">
        <v>1102</v>
      </c>
      <c r="F1127" s="39" t="s">
        <v>481</v>
      </c>
      <c r="G1127" s="39" t="s">
        <v>293</v>
      </c>
      <c r="H1127" s="39" t="s">
        <v>2670</v>
      </c>
      <c r="I1127" s="39" t="s">
        <v>229</v>
      </c>
    </row>
    <row r="1128" ht="15.75" hidden="1" customHeight="1">
      <c r="A1128" s="36">
        <v>5068359.0</v>
      </c>
      <c r="B1128" s="37" t="s">
        <v>537</v>
      </c>
      <c r="C1128" s="37" t="s">
        <v>2671</v>
      </c>
      <c r="D1128" s="37" t="s">
        <v>224</v>
      </c>
      <c r="E1128" s="37" t="s">
        <v>539</v>
      </c>
      <c r="F1128" s="37" t="s">
        <v>540</v>
      </c>
      <c r="G1128" s="37" t="s">
        <v>541</v>
      </c>
      <c r="H1128" s="37" t="s">
        <v>2672</v>
      </c>
      <c r="I1128" s="37" t="s">
        <v>229</v>
      </c>
    </row>
    <row r="1129" ht="15.75" hidden="1" customHeight="1">
      <c r="A1129" s="38">
        <v>5069239.0</v>
      </c>
      <c r="B1129" s="39" t="s">
        <v>1044</v>
      </c>
      <c r="C1129" s="39" t="s">
        <v>2673</v>
      </c>
      <c r="D1129" s="39" t="s">
        <v>224</v>
      </c>
      <c r="E1129" s="39" t="s">
        <v>634</v>
      </c>
      <c r="F1129" s="39" t="s">
        <v>257</v>
      </c>
      <c r="G1129" s="39" t="s">
        <v>258</v>
      </c>
      <c r="H1129" s="39" t="s">
        <v>2674</v>
      </c>
      <c r="I1129" s="39" t="s">
        <v>260</v>
      </c>
    </row>
    <row r="1130" ht="15.75" hidden="1" customHeight="1">
      <c r="A1130" s="36">
        <v>5249212.0</v>
      </c>
      <c r="B1130" s="37" t="s">
        <v>478</v>
      </c>
      <c r="C1130" s="37" t="s">
        <v>2675</v>
      </c>
      <c r="D1130" s="37" t="s">
        <v>224</v>
      </c>
      <c r="E1130" s="37" t="s">
        <v>1102</v>
      </c>
      <c r="F1130" s="37" t="s">
        <v>481</v>
      </c>
      <c r="G1130" s="37" t="s">
        <v>293</v>
      </c>
      <c r="H1130" s="37" t="s">
        <v>2676</v>
      </c>
      <c r="I1130" s="37" t="s">
        <v>229</v>
      </c>
    </row>
    <row r="1131" ht="15.75" hidden="1" customHeight="1">
      <c r="A1131" s="38">
        <v>5069241.0</v>
      </c>
      <c r="B1131" s="39" t="s">
        <v>847</v>
      </c>
      <c r="C1131" s="39" t="s">
        <v>2677</v>
      </c>
      <c r="D1131" s="39" t="s">
        <v>224</v>
      </c>
      <c r="E1131" s="39" t="s">
        <v>1418</v>
      </c>
      <c r="F1131" s="39" t="s">
        <v>333</v>
      </c>
      <c r="G1131" s="39" t="s">
        <v>301</v>
      </c>
      <c r="H1131" s="39" t="s">
        <v>2678</v>
      </c>
      <c r="I1131" s="39" t="s">
        <v>229</v>
      </c>
    </row>
    <row r="1132" ht="15.75" hidden="1" customHeight="1">
      <c r="A1132" s="36">
        <v>5523467.0</v>
      </c>
      <c r="B1132" s="37" t="s">
        <v>478</v>
      </c>
      <c r="C1132" s="37" t="s">
        <v>2679</v>
      </c>
      <c r="D1132" s="37" t="s">
        <v>224</v>
      </c>
      <c r="E1132" s="37" t="s">
        <v>1102</v>
      </c>
      <c r="F1132" s="37" t="s">
        <v>481</v>
      </c>
      <c r="G1132" s="37" t="s">
        <v>293</v>
      </c>
      <c r="H1132" s="37" t="s">
        <v>2680</v>
      </c>
      <c r="I1132" s="37" t="s">
        <v>229</v>
      </c>
    </row>
    <row r="1133" ht="15.75" hidden="1" customHeight="1">
      <c r="A1133" s="38">
        <v>5840280.0</v>
      </c>
      <c r="B1133" s="39" t="s">
        <v>478</v>
      </c>
      <c r="C1133" s="39" t="s">
        <v>2681</v>
      </c>
      <c r="D1133" s="39" t="s">
        <v>224</v>
      </c>
      <c r="E1133" s="39" t="s">
        <v>1102</v>
      </c>
      <c r="F1133" s="39" t="s">
        <v>481</v>
      </c>
      <c r="G1133" s="39" t="s">
        <v>293</v>
      </c>
      <c r="H1133" s="39" t="s">
        <v>2682</v>
      </c>
      <c r="I1133" s="39" t="s">
        <v>229</v>
      </c>
    </row>
    <row r="1134" ht="15.75" hidden="1" customHeight="1">
      <c r="A1134" s="36">
        <v>5070239.0</v>
      </c>
      <c r="B1134" s="37" t="s">
        <v>522</v>
      </c>
      <c r="C1134" s="37" t="s">
        <v>2683</v>
      </c>
      <c r="D1134" s="37" t="s">
        <v>224</v>
      </c>
      <c r="E1134" s="37" t="s">
        <v>658</v>
      </c>
      <c r="F1134" s="37" t="s">
        <v>470</v>
      </c>
      <c r="G1134" s="37" t="s">
        <v>327</v>
      </c>
      <c r="H1134" s="37" t="s">
        <v>2684</v>
      </c>
      <c r="I1134" s="37" t="s">
        <v>229</v>
      </c>
    </row>
    <row r="1135" ht="15.75" hidden="1" customHeight="1">
      <c r="A1135" s="38">
        <v>5149622.0</v>
      </c>
      <c r="B1135" s="39" t="s">
        <v>478</v>
      </c>
      <c r="C1135" s="39" t="s">
        <v>2685</v>
      </c>
      <c r="D1135" s="39" t="s">
        <v>224</v>
      </c>
      <c r="E1135" s="39" t="s">
        <v>1102</v>
      </c>
      <c r="F1135" s="39" t="s">
        <v>481</v>
      </c>
      <c r="G1135" s="39" t="s">
        <v>293</v>
      </c>
      <c r="H1135" s="39" t="s">
        <v>2686</v>
      </c>
      <c r="I1135" s="39" t="s">
        <v>229</v>
      </c>
    </row>
    <row r="1136" ht="15.75" hidden="1" customHeight="1">
      <c r="A1136" s="36">
        <v>5251429.0</v>
      </c>
      <c r="B1136" s="37" t="s">
        <v>478</v>
      </c>
      <c r="C1136" s="37" t="s">
        <v>2687</v>
      </c>
      <c r="D1136" s="37" t="s">
        <v>224</v>
      </c>
      <c r="E1136" s="37" t="s">
        <v>1102</v>
      </c>
      <c r="F1136" s="37" t="s">
        <v>481</v>
      </c>
      <c r="G1136" s="37" t="s">
        <v>293</v>
      </c>
      <c r="H1136" s="37" t="s">
        <v>2688</v>
      </c>
      <c r="I1136" s="37" t="s">
        <v>229</v>
      </c>
    </row>
    <row r="1137" ht="15.75" hidden="1" customHeight="1">
      <c r="A1137" s="38">
        <v>5070245.0</v>
      </c>
      <c r="B1137" s="39" t="s">
        <v>526</v>
      </c>
      <c r="C1137" s="39" t="s">
        <v>2689</v>
      </c>
      <c r="D1137" s="39" t="s">
        <v>224</v>
      </c>
      <c r="E1137" s="39" t="s">
        <v>667</v>
      </c>
      <c r="F1137" s="39" t="s">
        <v>326</v>
      </c>
      <c r="G1137" s="39" t="s">
        <v>327</v>
      </c>
      <c r="H1137" s="39" t="s">
        <v>2690</v>
      </c>
      <c r="I1137" s="39" t="s">
        <v>229</v>
      </c>
    </row>
    <row r="1138" ht="15.75" hidden="1" customHeight="1">
      <c r="A1138" s="36">
        <v>5964122.0</v>
      </c>
      <c r="B1138" s="37" t="s">
        <v>478</v>
      </c>
      <c r="C1138" s="37" t="s">
        <v>2691</v>
      </c>
      <c r="D1138" s="37" t="s">
        <v>224</v>
      </c>
      <c r="E1138" s="37" t="s">
        <v>1102</v>
      </c>
      <c r="F1138" s="37" t="s">
        <v>481</v>
      </c>
      <c r="G1138" s="37" t="s">
        <v>293</v>
      </c>
      <c r="H1138" s="37" t="s">
        <v>2692</v>
      </c>
      <c r="I1138" s="37" t="s">
        <v>229</v>
      </c>
    </row>
    <row r="1139" ht="15.75" hidden="1" customHeight="1">
      <c r="A1139" s="38">
        <v>5655411.0</v>
      </c>
      <c r="B1139" s="39" t="s">
        <v>478</v>
      </c>
      <c r="C1139" s="39" t="s">
        <v>2693</v>
      </c>
      <c r="D1139" s="39" t="s">
        <v>234</v>
      </c>
      <c r="E1139" s="39" t="s">
        <v>1102</v>
      </c>
      <c r="F1139" s="39" t="s">
        <v>481</v>
      </c>
      <c r="G1139" s="39" t="s">
        <v>293</v>
      </c>
      <c r="H1139" s="39" t="s">
        <v>2694</v>
      </c>
      <c r="I1139" s="39" t="s">
        <v>229</v>
      </c>
    </row>
    <row r="1140" ht="15.75" hidden="1" customHeight="1">
      <c r="A1140" s="36">
        <v>5070247.0</v>
      </c>
      <c r="B1140" s="37" t="s">
        <v>485</v>
      </c>
      <c r="C1140" s="37" t="s">
        <v>2695</v>
      </c>
      <c r="D1140" s="37" t="s">
        <v>224</v>
      </c>
      <c r="E1140" s="37" t="s">
        <v>672</v>
      </c>
      <c r="F1140" s="37" t="s">
        <v>470</v>
      </c>
      <c r="G1140" s="37" t="s">
        <v>327</v>
      </c>
      <c r="H1140" s="37" t="s">
        <v>2696</v>
      </c>
      <c r="I1140" s="37" t="s">
        <v>229</v>
      </c>
    </row>
    <row r="1141" ht="15.75" hidden="1" customHeight="1">
      <c r="A1141" s="38">
        <v>5528138.0</v>
      </c>
      <c r="B1141" s="39" t="s">
        <v>478</v>
      </c>
      <c r="C1141" s="39" t="s">
        <v>2697</v>
      </c>
      <c r="D1141" s="39" t="s">
        <v>224</v>
      </c>
      <c r="E1141" s="39" t="s">
        <v>1102</v>
      </c>
      <c r="F1141" s="39" t="s">
        <v>481</v>
      </c>
      <c r="G1141" s="39" t="s">
        <v>293</v>
      </c>
      <c r="H1141" s="39" t="s">
        <v>2698</v>
      </c>
      <c r="I1141" s="39" t="s">
        <v>229</v>
      </c>
    </row>
    <row r="1142" ht="15.75" hidden="1" customHeight="1">
      <c r="A1142" s="36">
        <v>5530153.0</v>
      </c>
      <c r="B1142" s="37" t="s">
        <v>478</v>
      </c>
      <c r="C1142" s="37" t="s">
        <v>2699</v>
      </c>
      <c r="D1142" s="37" t="s">
        <v>224</v>
      </c>
      <c r="E1142" s="37" t="s">
        <v>1102</v>
      </c>
      <c r="F1142" s="37" t="s">
        <v>481</v>
      </c>
      <c r="G1142" s="37" t="s">
        <v>293</v>
      </c>
      <c r="H1142" s="37" t="s">
        <v>2700</v>
      </c>
      <c r="I1142" s="37" t="s">
        <v>229</v>
      </c>
    </row>
    <row r="1143" ht="15.75" hidden="1" customHeight="1">
      <c r="A1143" s="38">
        <v>5071016.0</v>
      </c>
      <c r="B1143" s="39" t="s">
        <v>120</v>
      </c>
      <c r="C1143" s="39" t="s">
        <v>2701</v>
      </c>
      <c r="D1143" s="39" t="s">
        <v>224</v>
      </c>
      <c r="E1143" s="39" t="s">
        <v>868</v>
      </c>
      <c r="F1143" s="39" t="s">
        <v>644</v>
      </c>
      <c r="G1143" s="39" t="s">
        <v>3</v>
      </c>
      <c r="H1143" s="39" t="s">
        <v>2702</v>
      </c>
      <c r="I1143" s="39" t="s">
        <v>260</v>
      </c>
      <c r="J1143" s="1">
        <v>42.0</v>
      </c>
      <c r="L1143" s="40" t="s">
        <v>412</v>
      </c>
    </row>
    <row r="1144" ht="15.75" hidden="1" customHeight="1">
      <c r="A1144" s="36">
        <v>5732196.0</v>
      </c>
      <c r="B1144" s="37" t="s">
        <v>478</v>
      </c>
      <c r="C1144" s="37" t="s">
        <v>2703</v>
      </c>
      <c r="D1144" s="37" t="s">
        <v>224</v>
      </c>
      <c r="E1144" s="37" t="s">
        <v>1102</v>
      </c>
      <c r="F1144" s="37" t="s">
        <v>481</v>
      </c>
      <c r="G1144" s="37" t="s">
        <v>293</v>
      </c>
      <c r="H1144" s="37" t="s">
        <v>2704</v>
      </c>
      <c r="I1144" s="37" t="s">
        <v>229</v>
      </c>
    </row>
    <row r="1145" ht="15.75" hidden="1" customHeight="1">
      <c r="A1145" s="38">
        <v>5071028.0</v>
      </c>
      <c r="B1145" s="39" t="s">
        <v>522</v>
      </c>
      <c r="C1145" s="39" t="s">
        <v>2705</v>
      </c>
      <c r="D1145" s="39" t="s">
        <v>224</v>
      </c>
      <c r="E1145" s="39" t="s">
        <v>658</v>
      </c>
      <c r="F1145" s="39" t="s">
        <v>470</v>
      </c>
      <c r="G1145" s="39" t="s">
        <v>327</v>
      </c>
      <c r="H1145" s="39" t="s">
        <v>2706</v>
      </c>
      <c r="I1145" s="39" t="s">
        <v>229</v>
      </c>
    </row>
    <row r="1146" ht="15.75" hidden="1" customHeight="1">
      <c r="A1146" s="36">
        <v>5863829.0</v>
      </c>
      <c r="B1146" s="37" t="s">
        <v>478</v>
      </c>
      <c r="C1146" s="37" t="s">
        <v>2707</v>
      </c>
      <c r="D1146" s="37" t="s">
        <v>224</v>
      </c>
      <c r="E1146" s="37" t="s">
        <v>1102</v>
      </c>
      <c r="F1146" s="37" t="s">
        <v>481</v>
      </c>
      <c r="G1146" s="37" t="s">
        <v>293</v>
      </c>
      <c r="H1146" s="37" t="s">
        <v>2708</v>
      </c>
      <c r="I1146" s="37" t="s">
        <v>229</v>
      </c>
    </row>
    <row r="1147" ht="15.75" customHeight="1">
      <c r="A1147" s="38">
        <v>5072596.0</v>
      </c>
      <c r="B1147" s="39" t="s">
        <v>13</v>
      </c>
      <c r="C1147" s="39" t="s">
        <v>42</v>
      </c>
      <c r="D1147" s="39" t="s">
        <v>331</v>
      </c>
      <c r="E1147" s="39" t="s">
        <v>408</v>
      </c>
      <c r="F1147" s="39" t="s">
        <v>341</v>
      </c>
      <c r="G1147" s="39" t="s">
        <v>3</v>
      </c>
      <c r="H1147" s="39" t="s">
        <v>2709</v>
      </c>
      <c r="I1147" s="39" t="s">
        <v>260</v>
      </c>
      <c r="J1147" s="1">
        <v>42.0</v>
      </c>
      <c r="L1147" s="40" t="s">
        <v>120</v>
      </c>
    </row>
    <row r="1148" ht="15.75" hidden="1" customHeight="1">
      <c r="A1148" s="36">
        <v>5077060.0</v>
      </c>
      <c r="B1148" s="37" t="s">
        <v>478</v>
      </c>
      <c r="C1148" s="37" t="s">
        <v>2710</v>
      </c>
      <c r="D1148" s="37" t="s">
        <v>224</v>
      </c>
      <c r="E1148" s="37" t="s">
        <v>1102</v>
      </c>
      <c r="F1148" s="37" t="s">
        <v>481</v>
      </c>
      <c r="G1148" s="37" t="s">
        <v>293</v>
      </c>
      <c r="H1148" s="37" t="s">
        <v>2711</v>
      </c>
      <c r="I1148" s="37" t="s">
        <v>229</v>
      </c>
    </row>
    <row r="1149" ht="15.75" hidden="1" customHeight="1">
      <c r="A1149" s="38">
        <v>5075095.0</v>
      </c>
      <c r="B1149" s="39" t="s">
        <v>506</v>
      </c>
      <c r="C1149" s="39" t="s">
        <v>2712</v>
      </c>
      <c r="D1149" s="39" t="s">
        <v>224</v>
      </c>
      <c r="E1149" s="39" t="s">
        <v>510</v>
      </c>
      <c r="F1149" s="39" t="s">
        <v>284</v>
      </c>
      <c r="G1149" s="39" t="s">
        <v>3</v>
      </c>
      <c r="H1149" s="39" t="s">
        <v>2713</v>
      </c>
      <c r="I1149" s="39" t="s">
        <v>260</v>
      </c>
      <c r="J1149" s="1">
        <v>42.0</v>
      </c>
      <c r="L1149" s="40" t="s">
        <v>13</v>
      </c>
    </row>
    <row r="1150" ht="15.75" hidden="1" customHeight="1">
      <c r="A1150" s="36">
        <v>5887503.0</v>
      </c>
      <c r="B1150" s="37" t="s">
        <v>478</v>
      </c>
      <c r="C1150" s="37" t="s">
        <v>2714</v>
      </c>
      <c r="D1150" s="37" t="s">
        <v>224</v>
      </c>
      <c r="E1150" s="37" t="s">
        <v>1102</v>
      </c>
      <c r="F1150" s="37" t="s">
        <v>481</v>
      </c>
      <c r="G1150" s="37" t="s">
        <v>293</v>
      </c>
      <c r="H1150" s="37" t="s">
        <v>2715</v>
      </c>
      <c r="I1150" s="37" t="s">
        <v>229</v>
      </c>
    </row>
    <row r="1151" ht="15.75" hidden="1" customHeight="1">
      <c r="A1151" s="38">
        <v>5926458.0</v>
      </c>
      <c r="B1151" s="39" t="s">
        <v>478</v>
      </c>
      <c r="C1151" s="39" t="s">
        <v>2716</v>
      </c>
      <c r="D1151" s="39" t="s">
        <v>224</v>
      </c>
      <c r="E1151" s="39" t="s">
        <v>1102</v>
      </c>
      <c r="F1151" s="39" t="s">
        <v>481</v>
      </c>
      <c r="G1151" s="39" t="s">
        <v>293</v>
      </c>
      <c r="H1151" s="39" t="s">
        <v>2717</v>
      </c>
      <c r="I1151" s="39" t="s">
        <v>229</v>
      </c>
    </row>
    <row r="1152" ht="15.75" hidden="1" customHeight="1">
      <c r="A1152" s="36">
        <v>5075162.0</v>
      </c>
      <c r="B1152" s="37" t="s">
        <v>1695</v>
      </c>
      <c r="C1152" s="37" t="s">
        <v>2718</v>
      </c>
      <c r="D1152" s="37" t="s">
        <v>224</v>
      </c>
      <c r="E1152" s="37" t="s">
        <v>1697</v>
      </c>
      <c r="F1152" s="37" t="s">
        <v>698</v>
      </c>
      <c r="G1152" s="37" t="s">
        <v>541</v>
      </c>
      <c r="H1152" s="37" t="s">
        <v>2719</v>
      </c>
      <c r="I1152" s="37" t="s">
        <v>229</v>
      </c>
    </row>
    <row r="1153" ht="15.75" hidden="1" customHeight="1">
      <c r="A1153" s="38">
        <v>5982877.0</v>
      </c>
      <c r="B1153" s="39" t="s">
        <v>478</v>
      </c>
      <c r="C1153" s="39" t="s">
        <v>2720</v>
      </c>
      <c r="D1153" s="39" t="s">
        <v>224</v>
      </c>
      <c r="E1153" s="39" t="s">
        <v>1102</v>
      </c>
      <c r="F1153" s="39" t="s">
        <v>481</v>
      </c>
      <c r="G1153" s="39" t="s">
        <v>293</v>
      </c>
      <c r="H1153" s="39" t="s">
        <v>2721</v>
      </c>
      <c r="I1153" s="39" t="s">
        <v>229</v>
      </c>
    </row>
    <row r="1154" ht="15.75" hidden="1" customHeight="1">
      <c r="A1154" s="36">
        <v>5076591.0</v>
      </c>
      <c r="B1154" s="37" t="s">
        <v>316</v>
      </c>
      <c r="C1154" s="37" t="s">
        <v>2722</v>
      </c>
      <c r="D1154" s="37" t="s">
        <v>224</v>
      </c>
      <c r="E1154" s="37" t="s">
        <v>1011</v>
      </c>
      <c r="F1154" s="37" t="s">
        <v>293</v>
      </c>
      <c r="G1154" s="37" t="s">
        <v>319</v>
      </c>
      <c r="H1154" s="37" t="s">
        <v>2723</v>
      </c>
      <c r="I1154" s="37" t="s">
        <v>229</v>
      </c>
    </row>
    <row r="1155" ht="15.75" hidden="1" customHeight="1">
      <c r="A1155" s="38">
        <v>5983632.0</v>
      </c>
      <c r="B1155" s="39" t="s">
        <v>478</v>
      </c>
      <c r="C1155" s="39" t="s">
        <v>2724</v>
      </c>
      <c r="D1155" s="39" t="s">
        <v>224</v>
      </c>
      <c r="E1155" s="39" t="s">
        <v>1102</v>
      </c>
      <c r="F1155" s="39" t="s">
        <v>481</v>
      </c>
      <c r="G1155" s="39" t="s">
        <v>293</v>
      </c>
      <c r="H1155" s="39" t="s">
        <v>2725</v>
      </c>
      <c r="I1155" s="39" t="s">
        <v>229</v>
      </c>
    </row>
    <row r="1156" ht="15.75" hidden="1" customHeight="1">
      <c r="A1156" s="36">
        <v>5866133.0</v>
      </c>
      <c r="B1156" s="37" t="s">
        <v>478</v>
      </c>
      <c r="C1156" s="37" t="s">
        <v>2726</v>
      </c>
      <c r="D1156" s="37" t="s">
        <v>224</v>
      </c>
      <c r="E1156" s="37" t="s">
        <v>1102</v>
      </c>
      <c r="F1156" s="37" t="s">
        <v>481</v>
      </c>
      <c r="G1156" s="37" t="s">
        <v>293</v>
      </c>
      <c r="H1156" s="37" t="s">
        <v>2727</v>
      </c>
      <c r="I1156" s="37" t="s">
        <v>229</v>
      </c>
    </row>
    <row r="1157" ht="15.75" hidden="1" customHeight="1">
      <c r="A1157" s="38">
        <v>5076655.0</v>
      </c>
      <c r="B1157" s="39" t="s">
        <v>232</v>
      </c>
      <c r="C1157" s="39" t="s">
        <v>2728</v>
      </c>
      <c r="D1157" s="39" t="s">
        <v>224</v>
      </c>
      <c r="E1157" s="39" t="s">
        <v>790</v>
      </c>
      <c r="F1157" s="39" t="s">
        <v>226</v>
      </c>
      <c r="G1157" s="39" t="s">
        <v>227</v>
      </c>
      <c r="H1157" s="39" t="s">
        <v>2729</v>
      </c>
      <c r="I1157" s="39" t="s">
        <v>229</v>
      </c>
    </row>
    <row r="1158" ht="15.75" hidden="1" customHeight="1">
      <c r="A1158" s="36">
        <v>5863813.0</v>
      </c>
      <c r="B1158" s="37" t="s">
        <v>478</v>
      </c>
      <c r="C1158" s="37" t="s">
        <v>2730</v>
      </c>
      <c r="D1158" s="37" t="s">
        <v>224</v>
      </c>
      <c r="E1158" s="37" t="s">
        <v>1102</v>
      </c>
      <c r="F1158" s="37" t="s">
        <v>481</v>
      </c>
      <c r="G1158" s="37" t="s">
        <v>293</v>
      </c>
      <c r="H1158" s="37" t="s">
        <v>2731</v>
      </c>
      <c r="I1158" s="37" t="s">
        <v>229</v>
      </c>
    </row>
    <row r="1159" ht="15.75" hidden="1" customHeight="1">
      <c r="A1159" s="38">
        <v>5077106.0</v>
      </c>
      <c r="B1159" s="39" t="s">
        <v>478</v>
      </c>
      <c r="C1159" s="39" t="s">
        <v>2732</v>
      </c>
      <c r="D1159" s="39" t="s">
        <v>224</v>
      </c>
      <c r="E1159" s="39" t="s">
        <v>480</v>
      </c>
      <c r="F1159" s="39" t="s">
        <v>481</v>
      </c>
      <c r="G1159" s="39" t="s">
        <v>293</v>
      </c>
      <c r="H1159" s="39" t="s">
        <v>2733</v>
      </c>
      <c r="I1159" s="39" t="s">
        <v>229</v>
      </c>
    </row>
    <row r="1160" ht="15.75" hidden="1" customHeight="1">
      <c r="A1160" s="36">
        <v>5887492.0</v>
      </c>
      <c r="B1160" s="37" t="s">
        <v>478</v>
      </c>
      <c r="C1160" s="37" t="s">
        <v>2734</v>
      </c>
      <c r="D1160" s="37" t="s">
        <v>224</v>
      </c>
      <c r="E1160" s="37" t="s">
        <v>1102</v>
      </c>
      <c r="F1160" s="37" t="s">
        <v>481</v>
      </c>
      <c r="G1160" s="37" t="s">
        <v>293</v>
      </c>
      <c r="H1160" s="37" t="s">
        <v>2735</v>
      </c>
      <c r="I1160" s="37" t="s">
        <v>229</v>
      </c>
    </row>
    <row r="1161" ht="15.75" hidden="1" customHeight="1">
      <c r="A1161" s="38">
        <v>5078331.0</v>
      </c>
      <c r="B1161" s="39" t="s">
        <v>113</v>
      </c>
      <c r="C1161" s="39" t="s">
        <v>2736</v>
      </c>
      <c r="D1161" s="39" t="s">
        <v>224</v>
      </c>
      <c r="E1161" s="39" t="s">
        <v>2307</v>
      </c>
      <c r="F1161" s="39" t="s">
        <v>421</v>
      </c>
      <c r="G1161" s="39" t="s">
        <v>227</v>
      </c>
      <c r="H1161" s="39" t="s">
        <v>2737</v>
      </c>
      <c r="I1161" s="39" t="s">
        <v>260</v>
      </c>
    </row>
    <row r="1162" ht="15.75" hidden="1" customHeight="1">
      <c r="A1162" s="36">
        <v>5327987.0</v>
      </c>
      <c r="B1162" s="37" t="s">
        <v>121</v>
      </c>
      <c r="C1162" s="37" t="s">
        <v>2738</v>
      </c>
      <c r="D1162" s="37" t="s">
        <v>224</v>
      </c>
      <c r="E1162" s="37" t="s">
        <v>1505</v>
      </c>
      <c r="F1162" s="37" t="s">
        <v>644</v>
      </c>
      <c r="G1162" s="37" t="s">
        <v>3</v>
      </c>
      <c r="H1162" s="37" t="s">
        <v>2739</v>
      </c>
      <c r="I1162" s="37" t="s">
        <v>260</v>
      </c>
      <c r="J1162" s="1">
        <v>42.0</v>
      </c>
      <c r="L1162" s="40" t="s">
        <v>506</v>
      </c>
    </row>
    <row r="1163" ht="15.75" hidden="1" customHeight="1">
      <c r="A1163" s="38">
        <v>5083096.0</v>
      </c>
      <c r="B1163" s="39" t="s">
        <v>1791</v>
      </c>
      <c r="C1163" s="39" t="s">
        <v>2740</v>
      </c>
      <c r="D1163" s="39" t="s">
        <v>224</v>
      </c>
      <c r="E1163" s="39" t="s">
        <v>938</v>
      </c>
      <c r="F1163" s="39" t="s">
        <v>266</v>
      </c>
      <c r="G1163" s="39" t="s">
        <v>250</v>
      </c>
      <c r="H1163" s="39" t="s">
        <v>2741</v>
      </c>
      <c r="I1163" s="39" t="s">
        <v>229</v>
      </c>
    </row>
    <row r="1164" ht="15.75" hidden="1" customHeight="1">
      <c r="A1164" s="36">
        <v>5085888.0</v>
      </c>
      <c r="B1164" s="37" t="s">
        <v>676</v>
      </c>
      <c r="C1164" s="37" t="s">
        <v>2742</v>
      </c>
      <c r="D1164" s="37" t="s">
        <v>224</v>
      </c>
      <c r="E1164" s="37" t="s">
        <v>678</v>
      </c>
      <c r="F1164" s="37" t="s">
        <v>679</v>
      </c>
      <c r="G1164" s="37" t="s">
        <v>301</v>
      </c>
      <c r="H1164" s="37" t="s">
        <v>2743</v>
      </c>
      <c r="I1164" s="37" t="s">
        <v>229</v>
      </c>
    </row>
    <row r="1165" ht="15.75" hidden="1" customHeight="1">
      <c r="A1165" s="38">
        <v>5085905.0</v>
      </c>
      <c r="B1165" s="39" t="s">
        <v>695</v>
      </c>
      <c r="C1165" s="39" t="s">
        <v>2744</v>
      </c>
      <c r="D1165" s="39" t="s">
        <v>224</v>
      </c>
      <c r="E1165" s="39" t="s">
        <v>1518</v>
      </c>
      <c r="F1165" s="39" t="s">
        <v>698</v>
      </c>
      <c r="G1165" s="39" t="s">
        <v>541</v>
      </c>
      <c r="H1165" s="39" t="s">
        <v>2745</v>
      </c>
      <c r="I1165" s="39" t="s">
        <v>229</v>
      </c>
    </row>
    <row r="1166" ht="15.75" hidden="1" customHeight="1">
      <c r="A1166" s="36">
        <v>5793080.0</v>
      </c>
      <c r="B1166" s="37" t="s">
        <v>121</v>
      </c>
      <c r="C1166" s="37" t="s">
        <v>2746</v>
      </c>
      <c r="D1166" s="37" t="s">
        <v>224</v>
      </c>
      <c r="E1166" s="37" t="s">
        <v>1505</v>
      </c>
      <c r="F1166" s="37" t="s">
        <v>644</v>
      </c>
      <c r="G1166" s="37" t="s">
        <v>3</v>
      </c>
      <c r="H1166" s="37" t="s">
        <v>2747</v>
      </c>
      <c r="I1166" s="37" t="s">
        <v>260</v>
      </c>
      <c r="J1166" s="1">
        <v>42.0</v>
      </c>
      <c r="L1166" s="40" t="s">
        <v>121</v>
      </c>
    </row>
    <row r="1167" ht="15.75" hidden="1" customHeight="1">
      <c r="A1167" s="38">
        <v>5085912.0</v>
      </c>
      <c r="B1167" s="39" t="s">
        <v>374</v>
      </c>
      <c r="C1167" s="39" t="s">
        <v>2748</v>
      </c>
      <c r="D1167" s="39" t="s">
        <v>224</v>
      </c>
      <c r="E1167" s="39" t="s">
        <v>959</v>
      </c>
      <c r="F1167" s="39" t="s">
        <v>377</v>
      </c>
      <c r="G1167" s="39" t="s">
        <v>327</v>
      </c>
      <c r="H1167" s="39" t="s">
        <v>2749</v>
      </c>
      <c r="I1167" s="39" t="s">
        <v>229</v>
      </c>
    </row>
    <row r="1168" ht="15.75" hidden="1" customHeight="1">
      <c r="A1168" s="36">
        <v>5998544.0</v>
      </c>
      <c r="B1168" s="37" t="s">
        <v>121</v>
      </c>
      <c r="C1168" s="37" t="s">
        <v>2750</v>
      </c>
      <c r="D1168" s="37" t="s">
        <v>224</v>
      </c>
      <c r="E1168" s="37" t="s">
        <v>1505</v>
      </c>
      <c r="F1168" s="37" t="s">
        <v>644</v>
      </c>
      <c r="G1168" s="37" t="s">
        <v>3</v>
      </c>
      <c r="H1168" s="37" t="s">
        <v>2751</v>
      </c>
      <c r="I1168" s="37" t="s">
        <v>260</v>
      </c>
      <c r="J1168" s="1">
        <v>42.0</v>
      </c>
      <c r="L1168" s="40" t="s">
        <v>121</v>
      </c>
    </row>
    <row r="1169" ht="15.75" hidden="1" customHeight="1">
      <c r="A1169" s="38">
        <v>5085917.0</v>
      </c>
      <c r="B1169" s="39" t="s">
        <v>676</v>
      </c>
      <c r="C1169" s="39" t="s">
        <v>2752</v>
      </c>
      <c r="D1169" s="39" t="s">
        <v>224</v>
      </c>
      <c r="E1169" s="39" t="s">
        <v>678</v>
      </c>
      <c r="F1169" s="39" t="s">
        <v>679</v>
      </c>
      <c r="G1169" s="39" t="s">
        <v>301</v>
      </c>
      <c r="H1169" s="39" t="s">
        <v>2753</v>
      </c>
      <c r="I1169" s="39" t="s">
        <v>229</v>
      </c>
    </row>
    <row r="1170" ht="15.75" hidden="1" customHeight="1">
      <c r="A1170" s="36">
        <v>6000218.0</v>
      </c>
      <c r="B1170" s="37" t="s">
        <v>121</v>
      </c>
      <c r="C1170" s="37" t="s">
        <v>2754</v>
      </c>
      <c r="D1170" s="37" t="s">
        <v>224</v>
      </c>
      <c r="E1170" s="37" t="s">
        <v>1505</v>
      </c>
      <c r="F1170" s="37" t="s">
        <v>644</v>
      </c>
      <c r="G1170" s="37" t="s">
        <v>3</v>
      </c>
      <c r="H1170" s="37" t="s">
        <v>2755</v>
      </c>
      <c r="I1170" s="37" t="s">
        <v>260</v>
      </c>
      <c r="J1170" s="1">
        <v>42.0</v>
      </c>
      <c r="L1170" s="40" t="s">
        <v>121</v>
      </c>
    </row>
    <row r="1171" ht="15.75" hidden="1" customHeight="1">
      <c r="A1171" s="38">
        <v>5549466.0</v>
      </c>
      <c r="B1171" s="39" t="s">
        <v>121</v>
      </c>
      <c r="C1171" s="39" t="s">
        <v>2756</v>
      </c>
      <c r="D1171" s="39" t="s">
        <v>224</v>
      </c>
      <c r="E1171" s="39" t="s">
        <v>1505</v>
      </c>
      <c r="F1171" s="39" t="s">
        <v>644</v>
      </c>
      <c r="G1171" s="39" t="s">
        <v>3</v>
      </c>
      <c r="H1171" s="39" t="s">
        <v>2757</v>
      </c>
      <c r="I1171" s="39" t="s">
        <v>260</v>
      </c>
      <c r="J1171" s="1">
        <v>42.0</v>
      </c>
      <c r="L1171" s="40" t="s">
        <v>121</v>
      </c>
    </row>
    <row r="1172" ht="15.75" hidden="1" customHeight="1">
      <c r="A1172" s="36">
        <v>5086075.0</v>
      </c>
      <c r="B1172" s="37" t="s">
        <v>2285</v>
      </c>
      <c r="C1172" s="37" t="s">
        <v>2758</v>
      </c>
      <c r="D1172" s="37" t="s">
        <v>224</v>
      </c>
      <c r="E1172" s="37" t="s">
        <v>1604</v>
      </c>
      <c r="F1172" s="37" t="s">
        <v>540</v>
      </c>
      <c r="G1172" s="37" t="s">
        <v>541</v>
      </c>
      <c r="H1172" s="37" t="s">
        <v>2759</v>
      </c>
      <c r="I1172" s="37" t="s">
        <v>229</v>
      </c>
    </row>
    <row r="1173" ht="15.75" hidden="1" customHeight="1">
      <c r="A1173" s="38">
        <v>5316618.0</v>
      </c>
      <c r="B1173" s="39" t="s">
        <v>121</v>
      </c>
      <c r="C1173" s="39" t="s">
        <v>2760</v>
      </c>
      <c r="D1173" s="39" t="s">
        <v>224</v>
      </c>
      <c r="E1173" s="39" t="s">
        <v>1505</v>
      </c>
      <c r="F1173" s="39" t="s">
        <v>644</v>
      </c>
      <c r="G1173" s="39" t="s">
        <v>3</v>
      </c>
      <c r="H1173" s="39" t="s">
        <v>2761</v>
      </c>
      <c r="I1173" s="39" t="s">
        <v>260</v>
      </c>
      <c r="J1173" s="1">
        <v>42.0</v>
      </c>
      <c r="L1173" s="40" t="s">
        <v>121</v>
      </c>
    </row>
    <row r="1174" ht="15.75" hidden="1" customHeight="1">
      <c r="A1174" s="36">
        <v>5086076.0</v>
      </c>
      <c r="B1174" s="37" t="s">
        <v>2762</v>
      </c>
      <c r="C1174" s="37" t="s">
        <v>2763</v>
      </c>
      <c r="D1174" s="37" t="s">
        <v>224</v>
      </c>
      <c r="E1174" s="37" t="s">
        <v>796</v>
      </c>
      <c r="F1174" s="37" t="s">
        <v>293</v>
      </c>
      <c r="G1174" s="37" t="s">
        <v>319</v>
      </c>
      <c r="H1174" s="37" t="s">
        <v>2764</v>
      </c>
      <c r="I1174" s="37" t="s">
        <v>229</v>
      </c>
    </row>
    <row r="1175" ht="15.75" hidden="1" customHeight="1">
      <c r="A1175" s="38">
        <v>5331415.0</v>
      </c>
      <c r="B1175" s="39" t="s">
        <v>121</v>
      </c>
      <c r="C1175" s="39" t="s">
        <v>2765</v>
      </c>
      <c r="D1175" s="39" t="s">
        <v>224</v>
      </c>
      <c r="E1175" s="39" t="s">
        <v>1505</v>
      </c>
      <c r="F1175" s="39" t="s">
        <v>644</v>
      </c>
      <c r="G1175" s="39" t="s">
        <v>3</v>
      </c>
      <c r="H1175" s="39" t="s">
        <v>2766</v>
      </c>
      <c r="I1175" s="39" t="s">
        <v>260</v>
      </c>
      <c r="J1175" s="1">
        <v>42.0</v>
      </c>
      <c r="L1175" s="40" t="s">
        <v>121</v>
      </c>
    </row>
    <row r="1176" ht="15.75" hidden="1" customHeight="1">
      <c r="A1176" s="36">
        <v>5331416.0</v>
      </c>
      <c r="B1176" s="37" t="s">
        <v>121</v>
      </c>
      <c r="C1176" s="37" t="s">
        <v>2767</v>
      </c>
      <c r="D1176" s="37" t="s">
        <v>224</v>
      </c>
      <c r="E1176" s="37" t="s">
        <v>1505</v>
      </c>
      <c r="F1176" s="37" t="s">
        <v>644</v>
      </c>
      <c r="G1176" s="37" t="s">
        <v>3</v>
      </c>
      <c r="H1176" s="37" t="s">
        <v>2768</v>
      </c>
      <c r="I1176" s="37" t="s">
        <v>260</v>
      </c>
      <c r="J1176" s="1">
        <v>42.0</v>
      </c>
      <c r="L1176" s="40" t="s">
        <v>121</v>
      </c>
    </row>
    <row r="1177" ht="15.75" hidden="1" customHeight="1">
      <c r="A1177" s="38">
        <v>5087301.0</v>
      </c>
      <c r="B1177" s="39" t="s">
        <v>549</v>
      </c>
      <c r="C1177" s="39" t="s">
        <v>2769</v>
      </c>
      <c r="D1177" s="39" t="s">
        <v>224</v>
      </c>
      <c r="E1177" s="39" t="s">
        <v>551</v>
      </c>
      <c r="F1177" s="39" t="s">
        <v>494</v>
      </c>
      <c r="G1177" s="39" t="s">
        <v>227</v>
      </c>
      <c r="H1177" s="39" t="s">
        <v>2770</v>
      </c>
      <c r="I1177" s="39" t="s">
        <v>260</v>
      </c>
    </row>
    <row r="1178" ht="15.75" hidden="1" customHeight="1">
      <c r="A1178" s="36">
        <v>5808867.0</v>
      </c>
      <c r="B1178" s="37" t="s">
        <v>121</v>
      </c>
      <c r="C1178" s="37" t="s">
        <v>2771</v>
      </c>
      <c r="D1178" s="37" t="s">
        <v>224</v>
      </c>
      <c r="E1178" s="37" t="s">
        <v>1505</v>
      </c>
      <c r="F1178" s="37" t="s">
        <v>644</v>
      </c>
      <c r="G1178" s="37" t="s">
        <v>3</v>
      </c>
      <c r="H1178" s="37" t="s">
        <v>2772</v>
      </c>
      <c r="I1178" s="37" t="s">
        <v>260</v>
      </c>
      <c r="J1178" s="1">
        <v>42.0</v>
      </c>
      <c r="L1178" s="40" t="s">
        <v>121</v>
      </c>
    </row>
    <row r="1179" ht="15.75" hidden="1" customHeight="1">
      <c r="A1179" s="38">
        <v>5808871.0</v>
      </c>
      <c r="B1179" s="39" t="s">
        <v>121</v>
      </c>
      <c r="C1179" s="39" t="s">
        <v>2773</v>
      </c>
      <c r="D1179" s="39" t="s">
        <v>224</v>
      </c>
      <c r="E1179" s="39" t="s">
        <v>1505</v>
      </c>
      <c r="F1179" s="39" t="s">
        <v>644</v>
      </c>
      <c r="G1179" s="39" t="s">
        <v>3</v>
      </c>
      <c r="H1179" s="39" t="s">
        <v>2774</v>
      </c>
      <c r="I1179" s="39" t="s">
        <v>260</v>
      </c>
      <c r="J1179" s="1">
        <v>42.0</v>
      </c>
      <c r="L1179" s="40" t="s">
        <v>121</v>
      </c>
    </row>
    <row r="1180" ht="15.75" hidden="1" customHeight="1">
      <c r="A1180" s="36">
        <v>5088784.0</v>
      </c>
      <c r="B1180" s="37" t="s">
        <v>530</v>
      </c>
      <c r="C1180" s="37" t="s">
        <v>2775</v>
      </c>
      <c r="D1180" s="37" t="s">
        <v>224</v>
      </c>
      <c r="E1180" s="37" t="s">
        <v>532</v>
      </c>
      <c r="F1180" s="37" t="s">
        <v>533</v>
      </c>
      <c r="G1180" s="37" t="s">
        <v>250</v>
      </c>
      <c r="H1180" s="37" t="s">
        <v>2776</v>
      </c>
      <c r="I1180" s="37" t="s">
        <v>229</v>
      </c>
    </row>
    <row r="1181" ht="15.75" hidden="1" customHeight="1">
      <c r="A1181" s="38">
        <v>5794005.0</v>
      </c>
      <c r="B1181" s="39" t="s">
        <v>121</v>
      </c>
      <c r="C1181" s="39" t="s">
        <v>2777</v>
      </c>
      <c r="D1181" s="39" t="s">
        <v>224</v>
      </c>
      <c r="E1181" s="39" t="s">
        <v>1505</v>
      </c>
      <c r="F1181" s="39" t="s">
        <v>644</v>
      </c>
      <c r="G1181" s="39" t="s">
        <v>3</v>
      </c>
      <c r="H1181" s="39" t="s">
        <v>2778</v>
      </c>
      <c r="I1181" s="39" t="s">
        <v>260</v>
      </c>
      <c r="J1181" s="1">
        <v>42.0</v>
      </c>
      <c r="L1181" s="40" t="s">
        <v>121</v>
      </c>
    </row>
    <row r="1182" ht="15.75" hidden="1" customHeight="1">
      <c r="A1182" s="36">
        <v>6001251.0</v>
      </c>
      <c r="B1182" s="37" t="s">
        <v>121</v>
      </c>
      <c r="C1182" s="37" t="s">
        <v>2779</v>
      </c>
      <c r="D1182" s="37" t="s">
        <v>224</v>
      </c>
      <c r="E1182" s="37" t="s">
        <v>1505</v>
      </c>
      <c r="F1182" s="37" t="s">
        <v>644</v>
      </c>
      <c r="G1182" s="37" t="s">
        <v>3</v>
      </c>
      <c r="H1182" s="37" t="s">
        <v>2780</v>
      </c>
      <c r="I1182" s="37" t="s">
        <v>260</v>
      </c>
      <c r="J1182" s="1">
        <v>42.0</v>
      </c>
      <c r="L1182" s="40" t="s">
        <v>121</v>
      </c>
    </row>
    <row r="1183" ht="15.75" hidden="1" customHeight="1">
      <c r="A1183" s="38">
        <v>5091561.0</v>
      </c>
      <c r="B1183" s="39" t="s">
        <v>120</v>
      </c>
      <c r="C1183" s="39" t="s">
        <v>2781</v>
      </c>
      <c r="D1183" s="39" t="s">
        <v>224</v>
      </c>
      <c r="E1183" s="39" t="s">
        <v>1015</v>
      </c>
      <c r="F1183" s="39" t="s">
        <v>644</v>
      </c>
      <c r="G1183" s="39" t="s">
        <v>3</v>
      </c>
      <c r="H1183" s="39" t="s">
        <v>2782</v>
      </c>
      <c r="I1183" s="39" t="s">
        <v>260</v>
      </c>
      <c r="J1183" s="1">
        <v>42.0</v>
      </c>
      <c r="L1183" s="40" t="s">
        <v>121</v>
      </c>
    </row>
    <row r="1184" ht="15.75" hidden="1" customHeight="1">
      <c r="A1184" s="36">
        <v>5972788.0</v>
      </c>
      <c r="B1184" s="37" t="s">
        <v>425</v>
      </c>
      <c r="C1184" s="37" t="s">
        <v>2783</v>
      </c>
      <c r="D1184" s="37" t="s">
        <v>224</v>
      </c>
      <c r="E1184" s="37" t="s">
        <v>1505</v>
      </c>
      <c r="F1184" s="37" t="s">
        <v>644</v>
      </c>
      <c r="G1184" s="37" t="s">
        <v>3</v>
      </c>
      <c r="H1184" s="37" t="s">
        <v>2784</v>
      </c>
      <c r="I1184" s="37" t="s">
        <v>260</v>
      </c>
      <c r="J1184" s="1">
        <v>42.0</v>
      </c>
      <c r="L1184" s="40" t="s">
        <v>120</v>
      </c>
    </row>
    <row r="1185" ht="15.75" hidden="1" customHeight="1">
      <c r="A1185" s="38">
        <v>5091711.0</v>
      </c>
      <c r="B1185" s="39" t="s">
        <v>113</v>
      </c>
      <c r="C1185" s="39" t="s">
        <v>2785</v>
      </c>
      <c r="D1185" s="39" t="s">
        <v>224</v>
      </c>
      <c r="E1185" s="39" t="s">
        <v>420</v>
      </c>
      <c r="F1185" s="39" t="s">
        <v>421</v>
      </c>
      <c r="G1185" s="39" t="s">
        <v>227</v>
      </c>
      <c r="H1185" s="39" t="s">
        <v>2786</v>
      </c>
      <c r="I1185" s="39" t="s">
        <v>260</v>
      </c>
    </row>
    <row r="1186" ht="15.75" hidden="1" customHeight="1">
      <c r="A1186" s="36">
        <v>5995193.0</v>
      </c>
      <c r="B1186" s="37" t="s">
        <v>121</v>
      </c>
      <c r="C1186" s="37" t="s">
        <v>2787</v>
      </c>
      <c r="D1186" s="37" t="s">
        <v>224</v>
      </c>
      <c r="E1186" s="37" t="s">
        <v>1505</v>
      </c>
      <c r="F1186" s="37" t="s">
        <v>644</v>
      </c>
      <c r="G1186" s="37" t="s">
        <v>3</v>
      </c>
      <c r="H1186" s="37" t="s">
        <v>2788</v>
      </c>
      <c r="I1186" s="37" t="s">
        <v>260</v>
      </c>
      <c r="J1186" s="1">
        <v>42.0</v>
      </c>
      <c r="L1186" s="40" t="s">
        <v>425</v>
      </c>
    </row>
    <row r="1187" ht="15.75" hidden="1" customHeight="1">
      <c r="A1187" s="38">
        <v>5091737.0</v>
      </c>
      <c r="B1187" s="39" t="s">
        <v>374</v>
      </c>
      <c r="C1187" s="39" t="s">
        <v>2789</v>
      </c>
      <c r="D1187" s="39" t="s">
        <v>224</v>
      </c>
      <c r="E1187" s="39" t="s">
        <v>376</v>
      </c>
      <c r="F1187" s="39" t="s">
        <v>377</v>
      </c>
      <c r="G1187" s="39" t="s">
        <v>327</v>
      </c>
      <c r="H1187" s="39" t="s">
        <v>2790</v>
      </c>
      <c r="I1187" s="39" t="s">
        <v>229</v>
      </c>
    </row>
    <row r="1188" ht="15.75" hidden="1" customHeight="1">
      <c r="A1188" s="36">
        <v>5383583.0</v>
      </c>
      <c r="B1188" s="37" t="s">
        <v>121</v>
      </c>
      <c r="C1188" s="37" t="s">
        <v>2791</v>
      </c>
      <c r="D1188" s="37" t="s">
        <v>331</v>
      </c>
      <c r="E1188" s="37" t="s">
        <v>1505</v>
      </c>
      <c r="F1188" s="37" t="s">
        <v>644</v>
      </c>
      <c r="G1188" s="37" t="s">
        <v>3</v>
      </c>
      <c r="H1188" s="37" t="s">
        <v>2792</v>
      </c>
      <c r="I1188" s="37" t="s">
        <v>260</v>
      </c>
      <c r="J1188" s="1">
        <v>42.0</v>
      </c>
      <c r="L1188" s="40" t="s">
        <v>121</v>
      </c>
    </row>
    <row r="1189" ht="15.75" hidden="1" customHeight="1">
      <c r="A1189" s="38">
        <v>5091742.0</v>
      </c>
      <c r="B1189" s="39" t="s">
        <v>847</v>
      </c>
      <c r="C1189" s="39" t="s">
        <v>2793</v>
      </c>
      <c r="D1189" s="39" t="s">
        <v>224</v>
      </c>
      <c r="E1189" s="39" t="s">
        <v>849</v>
      </c>
      <c r="F1189" s="39" t="s">
        <v>333</v>
      </c>
      <c r="G1189" s="39" t="s">
        <v>301</v>
      </c>
      <c r="H1189" s="39" t="s">
        <v>2794</v>
      </c>
      <c r="I1189" s="39" t="s">
        <v>229</v>
      </c>
    </row>
    <row r="1190" ht="15.75" hidden="1" customHeight="1">
      <c r="A1190" s="36">
        <v>5814363.0</v>
      </c>
      <c r="B1190" s="37" t="s">
        <v>121</v>
      </c>
      <c r="C1190" s="37" t="s">
        <v>2795</v>
      </c>
      <c r="D1190" s="37" t="s">
        <v>224</v>
      </c>
      <c r="E1190" s="37" t="s">
        <v>1505</v>
      </c>
      <c r="F1190" s="37" t="s">
        <v>644</v>
      </c>
      <c r="G1190" s="37" t="s">
        <v>3</v>
      </c>
      <c r="H1190" s="37" t="s">
        <v>2796</v>
      </c>
      <c r="I1190" s="37" t="s">
        <v>260</v>
      </c>
      <c r="J1190" s="1">
        <v>42.0</v>
      </c>
      <c r="L1190" s="40" t="s">
        <v>121</v>
      </c>
    </row>
    <row r="1191" ht="15.75" hidden="1" customHeight="1">
      <c r="A1191" s="38">
        <v>5091858.0</v>
      </c>
      <c r="B1191" s="39" t="s">
        <v>232</v>
      </c>
      <c r="C1191" s="39" t="s">
        <v>2797</v>
      </c>
      <c r="D1191" s="39" t="s">
        <v>234</v>
      </c>
      <c r="E1191" s="39" t="s">
        <v>932</v>
      </c>
      <c r="F1191" s="39" t="s">
        <v>226</v>
      </c>
      <c r="G1191" s="39" t="s">
        <v>227</v>
      </c>
      <c r="H1191" s="39" t="s">
        <v>2798</v>
      </c>
      <c r="I1191" s="39" t="s">
        <v>229</v>
      </c>
    </row>
    <row r="1192" ht="15.75" hidden="1" customHeight="1">
      <c r="A1192" s="36">
        <v>5807810.0</v>
      </c>
      <c r="B1192" s="37" t="s">
        <v>121</v>
      </c>
      <c r="C1192" s="37" t="s">
        <v>2799</v>
      </c>
      <c r="D1192" s="37" t="s">
        <v>224</v>
      </c>
      <c r="E1192" s="37" t="s">
        <v>1505</v>
      </c>
      <c r="F1192" s="37" t="s">
        <v>644</v>
      </c>
      <c r="G1192" s="37" t="s">
        <v>3</v>
      </c>
      <c r="H1192" s="37" t="s">
        <v>2800</v>
      </c>
      <c r="I1192" s="37" t="s">
        <v>260</v>
      </c>
      <c r="J1192" s="1">
        <v>42.0</v>
      </c>
      <c r="L1192" s="40" t="s">
        <v>121</v>
      </c>
    </row>
    <row r="1193" ht="15.75" hidden="1" customHeight="1">
      <c r="A1193" s="38">
        <v>5091869.0</v>
      </c>
      <c r="B1193" s="39" t="s">
        <v>232</v>
      </c>
      <c r="C1193" s="39" t="s">
        <v>2801</v>
      </c>
      <c r="D1193" s="39" t="s">
        <v>224</v>
      </c>
      <c r="E1193" s="39" t="s">
        <v>932</v>
      </c>
      <c r="F1193" s="39" t="s">
        <v>226</v>
      </c>
      <c r="G1193" s="39" t="s">
        <v>227</v>
      </c>
      <c r="H1193" s="39" t="s">
        <v>2802</v>
      </c>
      <c r="I1193" s="39" t="s">
        <v>229</v>
      </c>
    </row>
    <row r="1194" ht="15.75" hidden="1" customHeight="1">
      <c r="A1194" s="36">
        <v>5091876.0</v>
      </c>
      <c r="B1194" s="37" t="s">
        <v>232</v>
      </c>
      <c r="C1194" s="37" t="s">
        <v>2803</v>
      </c>
      <c r="D1194" s="37" t="s">
        <v>224</v>
      </c>
      <c r="E1194" s="37" t="s">
        <v>932</v>
      </c>
      <c r="F1194" s="37" t="s">
        <v>226</v>
      </c>
      <c r="G1194" s="37" t="s">
        <v>227</v>
      </c>
      <c r="H1194" s="37" t="s">
        <v>2804</v>
      </c>
      <c r="I1194" s="37" t="s">
        <v>229</v>
      </c>
    </row>
    <row r="1195" ht="15.75" hidden="1" customHeight="1">
      <c r="A1195" s="38">
        <v>5092771.0</v>
      </c>
      <c r="B1195" s="39" t="s">
        <v>841</v>
      </c>
      <c r="C1195" s="39" t="s">
        <v>2805</v>
      </c>
      <c r="D1195" s="39" t="s">
        <v>234</v>
      </c>
      <c r="E1195" s="39" t="s">
        <v>843</v>
      </c>
      <c r="F1195" s="39" t="s">
        <v>242</v>
      </c>
      <c r="G1195" s="39" t="s">
        <v>227</v>
      </c>
      <c r="H1195" s="39" t="s">
        <v>2806</v>
      </c>
      <c r="I1195" s="39" t="s">
        <v>229</v>
      </c>
    </row>
    <row r="1196" ht="15.75" hidden="1" customHeight="1">
      <c r="A1196" s="36">
        <v>5094355.0</v>
      </c>
      <c r="B1196" s="37" t="s">
        <v>441</v>
      </c>
      <c r="C1196" s="37" t="s">
        <v>2807</v>
      </c>
      <c r="D1196" s="37" t="s">
        <v>224</v>
      </c>
      <c r="E1196" s="37" t="s">
        <v>634</v>
      </c>
      <c r="F1196" s="37" t="s">
        <v>257</v>
      </c>
      <c r="G1196" s="37" t="s">
        <v>258</v>
      </c>
      <c r="H1196" s="37" t="s">
        <v>2808</v>
      </c>
      <c r="I1196" s="37" t="s">
        <v>260</v>
      </c>
    </row>
    <row r="1197" ht="15.75" hidden="1" customHeight="1">
      <c r="A1197" s="38">
        <v>5101479.0</v>
      </c>
      <c r="B1197" s="39" t="s">
        <v>113</v>
      </c>
      <c r="C1197" s="39" t="s">
        <v>2809</v>
      </c>
      <c r="D1197" s="39" t="s">
        <v>224</v>
      </c>
      <c r="E1197" s="39" t="s">
        <v>2307</v>
      </c>
      <c r="F1197" s="39" t="s">
        <v>421</v>
      </c>
      <c r="G1197" s="39" t="s">
        <v>227</v>
      </c>
      <c r="H1197" s="39" t="s">
        <v>2810</v>
      </c>
      <c r="I1197" s="39" t="s">
        <v>260</v>
      </c>
    </row>
    <row r="1198" ht="15.75" hidden="1" customHeight="1">
      <c r="A1198" s="36">
        <v>5565769.0</v>
      </c>
      <c r="B1198" s="37" t="s">
        <v>232</v>
      </c>
      <c r="C1198" s="37" t="s">
        <v>2811</v>
      </c>
      <c r="D1198" s="37" t="s">
        <v>224</v>
      </c>
      <c r="E1198" s="37" t="s">
        <v>437</v>
      </c>
      <c r="F1198" s="37" t="s">
        <v>226</v>
      </c>
      <c r="G1198" s="37" t="s">
        <v>227</v>
      </c>
      <c r="H1198" s="37" t="s">
        <v>2812</v>
      </c>
      <c r="I1198" s="37" t="s">
        <v>229</v>
      </c>
    </row>
    <row r="1199" ht="15.75" hidden="1" customHeight="1">
      <c r="A1199" s="38">
        <v>5101656.0</v>
      </c>
      <c r="B1199" s="39" t="s">
        <v>121</v>
      </c>
      <c r="C1199" s="39" t="s">
        <v>2813</v>
      </c>
      <c r="D1199" s="39" t="s">
        <v>224</v>
      </c>
      <c r="E1199" s="39" t="s">
        <v>643</v>
      </c>
      <c r="F1199" s="39" t="s">
        <v>644</v>
      </c>
      <c r="G1199" s="39" t="s">
        <v>3</v>
      </c>
      <c r="H1199" s="39" t="s">
        <v>2814</v>
      </c>
      <c r="I1199" s="39" t="s">
        <v>260</v>
      </c>
      <c r="J1199" s="1">
        <v>42.0</v>
      </c>
      <c r="L1199" s="40" t="s">
        <v>121</v>
      </c>
    </row>
    <row r="1200" ht="15.75" hidden="1" customHeight="1">
      <c r="A1200" s="36">
        <v>5899291.0</v>
      </c>
      <c r="B1200" s="37" t="s">
        <v>232</v>
      </c>
      <c r="C1200" s="37" t="s">
        <v>2815</v>
      </c>
      <c r="D1200" s="37" t="s">
        <v>224</v>
      </c>
      <c r="E1200" s="37" t="s">
        <v>437</v>
      </c>
      <c r="F1200" s="37" t="s">
        <v>226</v>
      </c>
      <c r="G1200" s="37" t="s">
        <v>227</v>
      </c>
      <c r="H1200" s="37" t="s">
        <v>2816</v>
      </c>
      <c r="I1200" s="37" t="s">
        <v>229</v>
      </c>
    </row>
    <row r="1201" ht="15.75" hidden="1" customHeight="1">
      <c r="A1201" s="38">
        <v>5361387.0</v>
      </c>
      <c r="B1201" s="39" t="s">
        <v>232</v>
      </c>
      <c r="C1201" s="39" t="s">
        <v>2817</v>
      </c>
      <c r="D1201" s="39" t="s">
        <v>224</v>
      </c>
      <c r="E1201" s="39" t="s">
        <v>437</v>
      </c>
      <c r="F1201" s="39" t="s">
        <v>226</v>
      </c>
      <c r="G1201" s="39" t="s">
        <v>227</v>
      </c>
      <c r="H1201" s="39" t="s">
        <v>2818</v>
      </c>
      <c r="I1201" s="39" t="s">
        <v>229</v>
      </c>
    </row>
    <row r="1202" ht="15.75" hidden="1" customHeight="1">
      <c r="A1202" s="36">
        <v>5102735.0</v>
      </c>
      <c r="B1202" s="37" t="s">
        <v>1602</v>
      </c>
      <c r="C1202" s="37" t="s">
        <v>2819</v>
      </c>
      <c r="D1202" s="37" t="s">
        <v>224</v>
      </c>
      <c r="E1202" s="37" t="s">
        <v>1604</v>
      </c>
      <c r="F1202" s="37" t="s">
        <v>540</v>
      </c>
      <c r="G1202" s="37" t="s">
        <v>541</v>
      </c>
      <c r="H1202" s="37" t="s">
        <v>2820</v>
      </c>
      <c r="I1202" s="37" t="s">
        <v>229</v>
      </c>
    </row>
    <row r="1203" ht="15.75" hidden="1" customHeight="1">
      <c r="A1203" s="38">
        <v>5538529.0</v>
      </c>
      <c r="B1203" s="39" t="s">
        <v>232</v>
      </c>
      <c r="C1203" s="39" t="s">
        <v>2821</v>
      </c>
      <c r="D1203" s="39" t="s">
        <v>224</v>
      </c>
      <c r="E1203" s="39" t="s">
        <v>437</v>
      </c>
      <c r="F1203" s="39" t="s">
        <v>226</v>
      </c>
      <c r="G1203" s="39" t="s">
        <v>227</v>
      </c>
      <c r="H1203" s="39" t="s">
        <v>2822</v>
      </c>
      <c r="I1203" s="39" t="s">
        <v>229</v>
      </c>
    </row>
    <row r="1204" ht="15.75" hidden="1" customHeight="1">
      <c r="A1204" s="36">
        <v>5102740.0</v>
      </c>
      <c r="B1204" s="37" t="s">
        <v>506</v>
      </c>
      <c r="C1204" s="37" t="s">
        <v>2823</v>
      </c>
      <c r="D1204" s="37" t="s">
        <v>224</v>
      </c>
      <c r="E1204" s="37" t="s">
        <v>510</v>
      </c>
      <c r="F1204" s="37" t="s">
        <v>284</v>
      </c>
      <c r="G1204" s="37" t="s">
        <v>3</v>
      </c>
      <c r="H1204" s="37" t="s">
        <v>2824</v>
      </c>
      <c r="I1204" s="37" t="s">
        <v>260</v>
      </c>
      <c r="J1204" s="1">
        <v>42.0</v>
      </c>
      <c r="L1204" s="40" t="s">
        <v>121</v>
      </c>
    </row>
    <row r="1205" ht="15.75" hidden="1" customHeight="1">
      <c r="A1205" s="38">
        <v>5565766.0</v>
      </c>
      <c r="B1205" s="39" t="s">
        <v>232</v>
      </c>
      <c r="C1205" s="39" t="s">
        <v>2825</v>
      </c>
      <c r="D1205" s="39" t="s">
        <v>224</v>
      </c>
      <c r="E1205" s="39" t="s">
        <v>437</v>
      </c>
      <c r="F1205" s="39" t="s">
        <v>226</v>
      </c>
      <c r="G1205" s="39" t="s">
        <v>227</v>
      </c>
      <c r="H1205" s="39" t="s">
        <v>2826</v>
      </c>
      <c r="I1205" s="39" t="s">
        <v>229</v>
      </c>
    </row>
    <row r="1206" ht="15.75" hidden="1" customHeight="1">
      <c r="A1206" s="36">
        <v>5803428.0</v>
      </c>
      <c r="B1206" s="37" t="s">
        <v>232</v>
      </c>
      <c r="C1206" s="37" t="s">
        <v>2827</v>
      </c>
      <c r="D1206" s="37" t="s">
        <v>224</v>
      </c>
      <c r="E1206" s="37" t="s">
        <v>437</v>
      </c>
      <c r="F1206" s="37" t="s">
        <v>226</v>
      </c>
      <c r="G1206" s="37" t="s">
        <v>227</v>
      </c>
      <c r="H1206" s="37" t="s">
        <v>2828</v>
      </c>
      <c r="I1206" s="37" t="s">
        <v>229</v>
      </c>
    </row>
    <row r="1207" ht="15.75" hidden="1" customHeight="1">
      <c r="A1207" s="38">
        <v>5611103.0</v>
      </c>
      <c r="B1207" s="39" t="s">
        <v>232</v>
      </c>
      <c r="C1207" s="39" t="s">
        <v>2829</v>
      </c>
      <c r="D1207" s="39" t="s">
        <v>224</v>
      </c>
      <c r="E1207" s="39" t="s">
        <v>437</v>
      </c>
      <c r="F1207" s="39" t="s">
        <v>226</v>
      </c>
      <c r="G1207" s="39" t="s">
        <v>227</v>
      </c>
      <c r="H1207" s="39" t="s">
        <v>2830</v>
      </c>
      <c r="I1207" s="39" t="s">
        <v>229</v>
      </c>
    </row>
    <row r="1208" ht="15.75" hidden="1" customHeight="1">
      <c r="A1208" s="36">
        <v>5613249.0</v>
      </c>
      <c r="B1208" s="37" t="s">
        <v>232</v>
      </c>
      <c r="C1208" s="37" t="s">
        <v>2831</v>
      </c>
      <c r="D1208" s="37" t="s">
        <v>224</v>
      </c>
      <c r="E1208" s="37" t="s">
        <v>437</v>
      </c>
      <c r="F1208" s="37" t="s">
        <v>226</v>
      </c>
      <c r="G1208" s="37" t="s">
        <v>227</v>
      </c>
      <c r="H1208" s="37" t="s">
        <v>2832</v>
      </c>
      <c r="I1208" s="37" t="s">
        <v>229</v>
      </c>
    </row>
    <row r="1209" ht="15.75" hidden="1" customHeight="1">
      <c r="A1209" s="38">
        <v>5106696.0</v>
      </c>
      <c r="B1209" s="39" t="s">
        <v>361</v>
      </c>
      <c r="C1209" s="39" t="s">
        <v>2833</v>
      </c>
      <c r="D1209" s="39" t="s">
        <v>224</v>
      </c>
      <c r="E1209" s="39" t="s">
        <v>563</v>
      </c>
      <c r="F1209" s="39" t="s">
        <v>312</v>
      </c>
      <c r="G1209" s="39" t="s">
        <v>258</v>
      </c>
      <c r="H1209" s="39" t="s">
        <v>2834</v>
      </c>
      <c r="I1209" s="39" t="s">
        <v>260</v>
      </c>
    </row>
    <row r="1210" ht="15.75" hidden="1" customHeight="1">
      <c r="A1210" s="36">
        <v>5613333.0</v>
      </c>
      <c r="B1210" s="37" t="s">
        <v>232</v>
      </c>
      <c r="C1210" s="37" t="s">
        <v>2835</v>
      </c>
      <c r="D1210" s="37" t="s">
        <v>224</v>
      </c>
      <c r="E1210" s="37" t="s">
        <v>437</v>
      </c>
      <c r="F1210" s="37" t="s">
        <v>226</v>
      </c>
      <c r="G1210" s="37" t="s">
        <v>227</v>
      </c>
      <c r="H1210" s="37" t="s">
        <v>2836</v>
      </c>
      <c r="I1210" s="37" t="s">
        <v>229</v>
      </c>
    </row>
    <row r="1211" ht="15.75" hidden="1" customHeight="1">
      <c r="A1211" s="38">
        <v>5899287.0</v>
      </c>
      <c r="B1211" s="39" t="s">
        <v>232</v>
      </c>
      <c r="C1211" s="39" t="s">
        <v>2837</v>
      </c>
      <c r="D1211" s="39" t="s">
        <v>224</v>
      </c>
      <c r="E1211" s="39" t="s">
        <v>437</v>
      </c>
      <c r="F1211" s="39" t="s">
        <v>226</v>
      </c>
      <c r="G1211" s="39" t="s">
        <v>227</v>
      </c>
      <c r="H1211" s="39" t="s">
        <v>2838</v>
      </c>
      <c r="I1211" s="39" t="s">
        <v>229</v>
      </c>
    </row>
    <row r="1212" ht="15.75" hidden="1" customHeight="1">
      <c r="A1212" s="36">
        <v>5108621.0</v>
      </c>
      <c r="B1212" s="37" t="s">
        <v>232</v>
      </c>
      <c r="C1212" s="37" t="s">
        <v>2839</v>
      </c>
      <c r="D1212" s="37" t="s">
        <v>224</v>
      </c>
      <c r="E1212" s="37" t="s">
        <v>790</v>
      </c>
      <c r="F1212" s="37" t="s">
        <v>226</v>
      </c>
      <c r="G1212" s="37" t="s">
        <v>227</v>
      </c>
      <c r="H1212" s="37" t="s">
        <v>2840</v>
      </c>
      <c r="I1212" s="37" t="s">
        <v>229</v>
      </c>
    </row>
    <row r="1213" ht="15.75" hidden="1" customHeight="1">
      <c r="A1213" s="38">
        <v>5901032.0</v>
      </c>
      <c r="B1213" s="39" t="s">
        <v>232</v>
      </c>
      <c r="C1213" s="39" t="s">
        <v>2841</v>
      </c>
      <c r="D1213" s="39" t="s">
        <v>224</v>
      </c>
      <c r="E1213" s="39" t="s">
        <v>437</v>
      </c>
      <c r="F1213" s="39" t="s">
        <v>226</v>
      </c>
      <c r="G1213" s="39" t="s">
        <v>227</v>
      </c>
      <c r="H1213" s="39" t="s">
        <v>2842</v>
      </c>
      <c r="I1213" s="39" t="s">
        <v>229</v>
      </c>
    </row>
    <row r="1214" ht="15.75" hidden="1" customHeight="1">
      <c r="A1214" s="36">
        <v>5108636.0</v>
      </c>
      <c r="B1214" s="37" t="s">
        <v>1186</v>
      </c>
      <c r="C1214" s="37" t="s">
        <v>2843</v>
      </c>
      <c r="D1214" s="37" t="s">
        <v>234</v>
      </c>
      <c r="E1214" s="37" t="s">
        <v>1188</v>
      </c>
      <c r="F1214" s="37" t="s">
        <v>242</v>
      </c>
      <c r="G1214" s="37" t="s">
        <v>227</v>
      </c>
      <c r="H1214" s="37" t="s">
        <v>2844</v>
      </c>
      <c r="I1214" s="37" t="s">
        <v>229</v>
      </c>
    </row>
    <row r="1215" ht="15.75" hidden="1" customHeight="1">
      <c r="A1215" s="38">
        <v>5196607.0</v>
      </c>
      <c r="B1215" s="39" t="s">
        <v>232</v>
      </c>
      <c r="C1215" s="39" t="s">
        <v>2845</v>
      </c>
      <c r="D1215" s="39" t="s">
        <v>224</v>
      </c>
      <c r="E1215" s="39" t="s">
        <v>437</v>
      </c>
      <c r="F1215" s="39" t="s">
        <v>226</v>
      </c>
      <c r="G1215" s="39" t="s">
        <v>227</v>
      </c>
      <c r="H1215" s="39" t="s">
        <v>2846</v>
      </c>
      <c r="I1215" s="39" t="s">
        <v>229</v>
      </c>
    </row>
    <row r="1216" ht="15.75" hidden="1" customHeight="1">
      <c r="A1216" s="36">
        <v>5108881.0</v>
      </c>
      <c r="B1216" s="37" t="s">
        <v>316</v>
      </c>
      <c r="C1216" s="37" t="s">
        <v>2847</v>
      </c>
      <c r="D1216" s="37" t="s">
        <v>224</v>
      </c>
      <c r="E1216" s="37" t="s">
        <v>1453</v>
      </c>
      <c r="F1216" s="37" t="s">
        <v>293</v>
      </c>
      <c r="G1216" s="37" t="s">
        <v>319</v>
      </c>
      <c r="H1216" s="37" t="s">
        <v>2848</v>
      </c>
      <c r="I1216" s="37" t="s">
        <v>229</v>
      </c>
    </row>
    <row r="1217" ht="15.75" hidden="1" customHeight="1">
      <c r="A1217" s="38">
        <v>5899286.0</v>
      </c>
      <c r="B1217" s="39" t="s">
        <v>232</v>
      </c>
      <c r="C1217" s="39" t="s">
        <v>2849</v>
      </c>
      <c r="D1217" s="39" t="s">
        <v>269</v>
      </c>
      <c r="E1217" s="39" t="s">
        <v>437</v>
      </c>
      <c r="F1217" s="39" t="s">
        <v>226</v>
      </c>
      <c r="G1217" s="39" t="s">
        <v>227</v>
      </c>
      <c r="H1217" s="39" t="s">
        <v>2850</v>
      </c>
      <c r="I1217" s="39" t="s">
        <v>229</v>
      </c>
    </row>
    <row r="1218" ht="15.75" hidden="1" customHeight="1">
      <c r="A1218" s="36">
        <v>5108893.0</v>
      </c>
      <c r="B1218" s="37" t="s">
        <v>1791</v>
      </c>
      <c r="C1218" s="37" t="s">
        <v>2851</v>
      </c>
      <c r="D1218" s="37" t="s">
        <v>224</v>
      </c>
      <c r="E1218" s="37" t="s">
        <v>2398</v>
      </c>
      <c r="F1218" s="37" t="s">
        <v>266</v>
      </c>
      <c r="G1218" s="37" t="s">
        <v>250</v>
      </c>
      <c r="H1218" s="37" t="s">
        <v>2852</v>
      </c>
      <c r="I1218" s="37" t="s">
        <v>229</v>
      </c>
    </row>
    <row r="1219" ht="15.75" hidden="1" customHeight="1">
      <c r="A1219" s="38">
        <v>5109554.0</v>
      </c>
      <c r="B1219" s="39" t="s">
        <v>695</v>
      </c>
      <c r="C1219" s="39" t="s">
        <v>2853</v>
      </c>
      <c r="D1219" s="39" t="s">
        <v>224</v>
      </c>
      <c r="E1219" s="39" t="s">
        <v>1518</v>
      </c>
      <c r="F1219" s="39" t="s">
        <v>698</v>
      </c>
      <c r="G1219" s="39" t="s">
        <v>541</v>
      </c>
      <c r="H1219" s="39" t="s">
        <v>2854</v>
      </c>
      <c r="I1219" s="39" t="s">
        <v>229</v>
      </c>
    </row>
    <row r="1220" ht="15.75" hidden="1" customHeight="1">
      <c r="A1220" s="36">
        <v>5109842.0</v>
      </c>
      <c r="B1220" s="37" t="s">
        <v>1186</v>
      </c>
      <c r="C1220" s="37" t="s">
        <v>2855</v>
      </c>
      <c r="D1220" s="37" t="s">
        <v>224</v>
      </c>
      <c r="E1220" s="37" t="s">
        <v>1188</v>
      </c>
      <c r="F1220" s="37" t="s">
        <v>242</v>
      </c>
      <c r="G1220" s="37" t="s">
        <v>227</v>
      </c>
      <c r="H1220" s="37" t="s">
        <v>2856</v>
      </c>
      <c r="I1220" s="37" t="s">
        <v>229</v>
      </c>
    </row>
    <row r="1221" ht="15.75" hidden="1" customHeight="1">
      <c r="A1221" s="38">
        <v>5109876.0</v>
      </c>
      <c r="B1221" s="39" t="s">
        <v>457</v>
      </c>
      <c r="C1221" s="39" t="s">
        <v>2857</v>
      </c>
      <c r="D1221" s="39" t="s">
        <v>331</v>
      </c>
      <c r="E1221" s="39" t="s">
        <v>1145</v>
      </c>
      <c r="F1221" s="39" t="s">
        <v>292</v>
      </c>
      <c r="G1221" s="39" t="s">
        <v>293</v>
      </c>
      <c r="H1221" s="39" t="s">
        <v>2858</v>
      </c>
      <c r="I1221" s="39" t="s">
        <v>229</v>
      </c>
    </row>
    <row r="1222" ht="15.75" hidden="1" customHeight="1">
      <c r="A1222" s="36">
        <v>5110007.0</v>
      </c>
      <c r="B1222" s="37" t="s">
        <v>1932</v>
      </c>
      <c r="C1222" s="37" t="s">
        <v>2859</v>
      </c>
      <c r="D1222" s="37" t="s">
        <v>224</v>
      </c>
      <c r="E1222" s="37" t="s">
        <v>2071</v>
      </c>
      <c r="F1222" s="37" t="s">
        <v>300</v>
      </c>
      <c r="G1222" s="37" t="s">
        <v>301</v>
      </c>
      <c r="H1222" s="37" t="s">
        <v>2860</v>
      </c>
      <c r="I1222" s="37" t="s">
        <v>229</v>
      </c>
    </row>
    <row r="1223" ht="15.75" hidden="1" customHeight="1">
      <c r="A1223" s="38">
        <v>5110008.0</v>
      </c>
      <c r="B1223" s="39" t="s">
        <v>485</v>
      </c>
      <c r="C1223" s="39" t="s">
        <v>2861</v>
      </c>
      <c r="D1223" s="39" t="s">
        <v>224</v>
      </c>
      <c r="E1223" s="39" t="s">
        <v>487</v>
      </c>
      <c r="F1223" s="39" t="s">
        <v>470</v>
      </c>
      <c r="G1223" s="39" t="s">
        <v>327</v>
      </c>
      <c r="H1223" s="39" t="s">
        <v>2862</v>
      </c>
      <c r="I1223" s="39" t="s">
        <v>229</v>
      </c>
    </row>
    <row r="1224" ht="15.75" hidden="1" customHeight="1">
      <c r="A1224" s="36">
        <v>5110012.0</v>
      </c>
      <c r="B1224" s="37" t="s">
        <v>485</v>
      </c>
      <c r="C1224" s="37" t="s">
        <v>2863</v>
      </c>
      <c r="D1224" s="37" t="s">
        <v>224</v>
      </c>
      <c r="E1224" s="37" t="s">
        <v>672</v>
      </c>
      <c r="F1224" s="37" t="s">
        <v>470</v>
      </c>
      <c r="G1224" s="37" t="s">
        <v>327</v>
      </c>
      <c r="H1224" s="37" t="s">
        <v>2864</v>
      </c>
      <c r="I1224" s="37" t="s">
        <v>229</v>
      </c>
    </row>
    <row r="1225" ht="15.75" hidden="1" customHeight="1">
      <c r="A1225" s="38">
        <v>5110019.0</v>
      </c>
      <c r="B1225" s="39" t="s">
        <v>485</v>
      </c>
      <c r="C1225" s="39" t="s">
        <v>2865</v>
      </c>
      <c r="D1225" s="39" t="s">
        <v>224</v>
      </c>
      <c r="E1225" s="39" t="s">
        <v>672</v>
      </c>
      <c r="F1225" s="39" t="s">
        <v>470</v>
      </c>
      <c r="G1225" s="39" t="s">
        <v>327</v>
      </c>
      <c r="H1225" s="39" t="s">
        <v>2866</v>
      </c>
      <c r="I1225" s="39" t="s">
        <v>229</v>
      </c>
    </row>
    <row r="1226" ht="15.75" hidden="1" customHeight="1">
      <c r="A1226" s="36">
        <v>5110051.0</v>
      </c>
      <c r="B1226" s="37" t="s">
        <v>841</v>
      </c>
      <c r="C1226" s="37" t="s">
        <v>2867</v>
      </c>
      <c r="D1226" s="37" t="s">
        <v>224</v>
      </c>
      <c r="E1226" s="37" t="s">
        <v>843</v>
      </c>
      <c r="F1226" s="37" t="s">
        <v>242</v>
      </c>
      <c r="G1226" s="37" t="s">
        <v>227</v>
      </c>
      <c r="H1226" s="37" t="s">
        <v>2868</v>
      </c>
      <c r="I1226" s="37" t="s">
        <v>229</v>
      </c>
    </row>
    <row r="1227" ht="15.75" hidden="1" customHeight="1">
      <c r="A1227" s="38">
        <v>5132842.0</v>
      </c>
      <c r="B1227" s="39" t="s">
        <v>567</v>
      </c>
      <c r="C1227" s="39" t="s">
        <v>2869</v>
      </c>
      <c r="D1227" s="39" t="s">
        <v>224</v>
      </c>
      <c r="E1227" s="39" t="s">
        <v>403</v>
      </c>
      <c r="F1227" s="39" t="s">
        <v>377</v>
      </c>
      <c r="G1227" s="39" t="s">
        <v>327</v>
      </c>
      <c r="H1227" s="39" t="s">
        <v>2870</v>
      </c>
      <c r="I1227" s="39" t="s">
        <v>229</v>
      </c>
    </row>
    <row r="1228" ht="15.75" hidden="1" customHeight="1">
      <c r="A1228" s="36">
        <v>5111484.0</v>
      </c>
      <c r="B1228" s="37" t="s">
        <v>478</v>
      </c>
      <c r="C1228" s="37" t="s">
        <v>2871</v>
      </c>
      <c r="D1228" s="37" t="s">
        <v>224</v>
      </c>
      <c r="E1228" s="37" t="s">
        <v>1323</v>
      </c>
      <c r="F1228" s="37" t="s">
        <v>481</v>
      </c>
      <c r="G1228" s="37" t="s">
        <v>293</v>
      </c>
      <c r="H1228" s="37" t="s">
        <v>2872</v>
      </c>
      <c r="I1228" s="37" t="s">
        <v>229</v>
      </c>
    </row>
    <row r="1229" ht="15.75" hidden="1" customHeight="1">
      <c r="A1229" s="38">
        <v>5133319.0</v>
      </c>
      <c r="B1229" s="39" t="s">
        <v>567</v>
      </c>
      <c r="C1229" s="39" t="s">
        <v>2873</v>
      </c>
      <c r="D1229" s="39" t="s">
        <v>224</v>
      </c>
      <c r="E1229" s="39" t="s">
        <v>403</v>
      </c>
      <c r="F1229" s="39" t="s">
        <v>377</v>
      </c>
      <c r="G1229" s="39" t="s">
        <v>327</v>
      </c>
      <c r="H1229" s="39" t="s">
        <v>2874</v>
      </c>
      <c r="I1229" s="39" t="s">
        <v>229</v>
      </c>
    </row>
    <row r="1230" ht="15.75" hidden="1" customHeight="1">
      <c r="A1230" s="36">
        <v>5111500.0</v>
      </c>
      <c r="B1230" s="37" t="s">
        <v>1177</v>
      </c>
      <c r="C1230" s="37" t="s">
        <v>2875</v>
      </c>
      <c r="D1230" s="37" t="s">
        <v>224</v>
      </c>
      <c r="E1230" s="37" t="s">
        <v>524</v>
      </c>
      <c r="F1230" s="37" t="s">
        <v>470</v>
      </c>
      <c r="G1230" s="37" t="s">
        <v>327</v>
      </c>
      <c r="H1230" s="37" t="s">
        <v>2876</v>
      </c>
      <c r="I1230" s="37" t="s">
        <v>229</v>
      </c>
    </row>
    <row r="1231" ht="15.75" hidden="1" customHeight="1">
      <c r="A1231" s="38">
        <v>5333581.0</v>
      </c>
      <c r="B1231" s="39" t="s">
        <v>401</v>
      </c>
      <c r="C1231" s="39" t="s">
        <v>2877</v>
      </c>
      <c r="D1231" s="39" t="s">
        <v>224</v>
      </c>
      <c r="E1231" s="39" t="s">
        <v>403</v>
      </c>
      <c r="F1231" s="39" t="s">
        <v>377</v>
      </c>
      <c r="G1231" s="39" t="s">
        <v>327</v>
      </c>
      <c r="H1231" s="39" t="s">
        <v>2878</v>
      </c>
      <c r="I1231" s="39" t="s">
        <v>229</v>
      </c>
    </row>
    <row r="1232" ht="15.75" hidden="1" customHeight="1">
      <c r="A1232" s="36">
        <v>5112629.0</v>
      </c>
      <c r="B1232" s="37" t="s">
        <v>555</v>
      </c>
      <c r="C1232" s="37" t="s">
        <v>2879</v>
      </c>
      <c r="D1232" s="37" t="s">
        <v>224</v>
      </c>
      <c r="E1232" s="37" t="s">
        <v>557</v>
      </c>
      <c r="F1232" s="37" t="s">
        <v>558</v>
      </c>
      <c r="G1232" s="37" t="s">
        <v>541</v>
      </c>
      <c r="H1232" s="37" t="s">
        <v>2880</v>
      </c>
      <c r="I1232" s="37" t="s">
        <v>229</v>
      </c>
    </row>
    <row r="1233" ht="15.75" hidden="1" customHeight="1">
      <c r="A1233" s="38">
        <v>5349460.0</v>
      </c>
      <c r="B1233" s="39" t="s">
        <v>401</v>
      </c>
      <c r="C1233" s="39" t="s">
        <v>2881</v>
      </c>
      <c r="D1233" s="39" t="s">
        <v>269</v>
      </c>
      <c r="E1233" s="39" t="s">
        <v>403</v>
      </c>
      <c r="F1233" s="39" t="s">
        <v>377</v>
      </c>
      <c r="G1233" s="39" t="s">
        <v>327</v>
      </c>
      <c r="H1233" s="39" t="s">
        <v>2882</v>
      </c>
      <c r="I1233" s="39" t="s">
        <v>229</v>
      </c>
    </row>
    <row r="1234" ht="15.75" hidden="1" customHeight="1">
      <c r="A1234" s="36">
        <v>5112730.0</v>
      </c>
      <c r="B1234" s="37" t="s">
        <v>485</v>
      </c>
      <c r="C1234" s="37" t="s">
        <v>2883</v>
      </c>
      <c r="D1234" s="37" t="s">
        <v>224</v>
      </c>
      <c r="E1234" s="37" t="s">
        <v>487</v>
      </c>
      <c r="F1234" s="37" t="s">
        <v>470</v>
      </c>
      <c r="G1234" s="37" t="s">
        <v>327</v>
      </c>
      <c r="H1234" s="37" t="s">
        <v>2884</v>
      </c>
      <c r="I1234" s="37" t="s">
        <v>229</v>
      </c>
    </row>
    <row r="1235" ht="15.75" hidden="1" customHeight="1">
      <c r="A1235" s="38">
        <v>5944673.0</v>
      </c>
      <c r="B1235" s="39" t="s">
        <v>567</v>
      </c>
      <c r="C1235" s="39" t="s">
        <v>2885</v>
      </c>
      <c r="D1235" s="39" t="s">
        <v>224</v>
      </c>
      <c r="E1235" s="39" t="s">
        <v>403</v>
      </c>
      <c r="F1235" s="39" t="s">
        <v>377</v>
      </c>
      <c r="G1235" s="39" t="s">
        <v>327</v>
      </c>
      <c r="H1235" s="39" t="s">
        <v>2886</v>
      </c>
      <c r="I1235" s="39" t="s">
        <v>229</v>
      </c>
    </row>
    <row r="1236" ht="15.75" hidden="1" customHeight="1">
      <c r="A1236" s="36">
        <v>5113423.0</v>
      </c>
      <c r="B1236" s="37" t="s">
        <v>467</v>
      </c>
      <c r="C1236" s="37" t="s">
        <v>2887</v>
      </c>
      <c r="D1236" s="37" t="s">
        <v>331</v>
      </c>
      <c r="E1236" s="37" t="s">
        <v>469</v>
      </c>
      <c r="F1236" s="37" t="s">
        <v>470</v>
      </c>
      <c r="G1236" s="37" t="s">
        <v>327</v>
      </c>
      <c r="H1236" s="37" t="s">
        <v>2888</v>
      </c>
      <c r="I1236" s="37" t="s">
        <v>229</v>
      </c>
    </row>
    <row r="1237" ht="15.75" hidden="1" customHeight="1">
      <c r="A1237" s="38">
        <v>5113553.0</v>
      </c>
      <c r="B1237" s="39" t="s">
        <v>412</v>
      </c>
      <c r="C1237" s="39" t="s">
        <v>2889</v>
      </c>
      <c r="D1237" s="39" t="s">
        <v>331</v>
      </c>
      <c r="E1237" s="39" t="s">
        <v>831</v>
      </c>
      <c r="F1237" s="39" t="s">
        <v>3</v>
      </c>
      <c r="G1237" s="39" t="s">
        <v>3</v>
      </c>
      <c r="H1237" s="39" t="s">
        <v>2890</v>
      </c>
      <c r="I1237" s="39" t="s">
        <v>260</v>
      </c>
      <c r="J1237" s="1">
        <v>42.0</v>
      </c>
      <c r="L1237" s="40" t="s">
        <v>506</v>
      </c>
    </row>
    <row r="1238" ht="15.75" hidden="1" customHeight="1">
      <c r="A1238" s="36">
        <v>5113670.0</v>
      </c>
      <c r="B1238" s="37" t="s">
        <v>457</v>
      </c>
      <c r="C1238" s="37" t="s">
        <v>2891</v>
      </c>
      <c r="D1238" s="37" t="s">
        <v>224</v>
      </c>
      <c r="E1238" s="37" t="s">
        <v>1145</v>
      </c>
      <c r="F1238" s="37" t="s">
        <v>292</v>
      </c>
      <c r="G1238" s="37" t="s">
        <v>293</v>
      </c>
      <c r="H1238" s="37" t="s">
        <v>2892</v>
      </c>
      <c r="I1238" s="37" t="s">
        <v>229</v>
      </c>
    </row>
    <row r="1239" ht="15.75" hidden="1" customHeight="1">
      <c r="A1239" s="38">
        <v>5114786.0</v>
      </c>
      <c r="B1239" s="39" t="s">
        <v>232</v>
      </c>
      <c r="C1239" s="39" t="s">
        <v>2893</v>
      </c>
      <c r="D1239" s="39" t="s">
        <v>224</v>
      </c>
      <c r="E1239" s="39" t="s">
        <v>499</v>
      </c>
      <c r="F1239" s="39" t="s">
        <v>226</v>
      </c>
      <c r="G1239" s="39" t="s">
        <v>227</v>
      </c>
      <c r="H1239" s="39" t="s">
        <v>2894</v>
      </c>
      <c r="I1239" s="39" t="s">
        <v>229</v>
      </c>
    </row>
    <row r="1240" ht="15.75" hidden="1" customHeight="1">
      <c r="A1240" s="36">
        <v>5119730.0</v>
      </c>
      <c r="B1240" s="37" t="s">
        <v>1186</v>
      </c>
      <c r="C1240" s="37" t="s">
        <v>2895</v>
      </c>
      <c r="D1240" s="37" t="s">
        <v>224</v>
      </c>
      <c r="E1240" s="37" t="s">
        <v>1188</v>
      </c>
      <c r="F1240" s="37" t="s">
        <v>242</v>
      </c>
      <c r="G1240" s="37" t="s">
        <v>227</v>
      </c>
      <c r="H1240" s="37" t="s">
        <v>2896</v>
      </c>
      <c r="I1240" s="37" t="s">
        <v>229</v>
      </c>
    </row>
    <row r="1241" ht="15.75" hidden="1" customHeight="1">
      <c r="A1241" s="38">
        <v>5118766.0</v>
      </c>
      <c r="B1241" s="39" t="s">
        <v>1177</v>
      </c>
      <c r="C1241" s="39" t="s">
        <v>2897</v>
      </c>
      <c r="D1241" s="39" t="s">
        <v>224</v>
      </c>
      <c r="E1241" s="39" t="s">
        <v>524</v>
      </c>
      <c r="F1241" s="39" t="s">
        <v>470</v>
      </c>
      <c r="G1241" s="39" t="s">
        <v>327</v>
      </c>
      <c r="H1241" s="39" t="s">
        <v>2898</v>
      </c>
      <c r="I1241" s="39" t="s">
        <v>229</v>
      </c>
    </row>
    <row r="1242" ht="15.75" hidden="1" customHeight="1">
      <c r="A1242" s="36">
        <v>5538482.0</v>
      </c>
      <c r="B1242" s="37" t="s">
        <v>1186</v>
      </c>
      <c r="C1242" s="37" t="s">
        <v>2899</v>
      </c>
      <c r="D1242" s="37" t="s">
        <v>224</v>
      </c>
      <c r="E1242" s="37" t="s">
        <v>1188</v>
      </c>
      <c r="F1242" s="37" t="s">
        <v>242</v>
      </c>
      <c r="G1242" s="37" t="s">
        <v>227</v>
      </c>
      <c r="H1242" s="37" t="s">
        <v>2900</v>
      </c>
      <c r="I1242" s="37" t="s">
        <v>229</v>
      </c>
    </row>
    <row r="1243" ht="15.75" hidden="1" customHeight="1">
      <c r="A1243" s="38">
        <v>5119572.0</v>
      </c>
      <c r="B1243" s="39" t="s">
        <v>232</v>
      </c>
      <c r="C1243" s="39" t="s">
        <v>2901</v>
      </c>
      <c r="D1243" s="39" t="s">
        <v>224</v>
      </c>
      <c r="E1243" s="39" t="s">
        <v>499</v>
      </c>
      <c r="F1243" s="39" t="s">
        <v>226</v>
      </c>
      <c r="G1243" s="39" t="s">
        <v>227</v>
      </c>
      <c r="H1243" s="39" t="s">
        <v>2902</v>
      </c>
      <c r="I1243" s="39" t="s">
        <v>229</v>
      </c>
    </row>
    <row r="1244" ht="15.75" hidden="1" customHeight="1">
      <c r="A1244" s="36">
        <v>5119595.0</v>
      </c>
      <c r="B1244" s="37" t="s">
        <v>246</v>
      </c>
      <c r="C1244" s="37" t="s">
        <v>2903</v>
      </c>
      <c r="D1244" s="37" t="s">
        <v>224</v>
      </c>
      <c r="E1244" s="37" t="s">
        <v>598</v>
      </c>
      <c r="F1244" s="37" t="s">
        <v>249</v>
      </c>
      <c r="G1244" s="37" t="s">
        <v>250</v>
      </c>
      <c r="H1244" s="37" t="s">
        <v>2904</v>
      </c>
      <c r="I1244" s="37" t="s">
        <v>229</v>
      </c>
    </row>
    <row r="1245" ht="15.75" hidden="1" customHeight="1">
      <c r="A1245" s="38">
        <v>5119675.0</v>
      </c>
      <c r="B1245" s="39" t="s">
        <v>853</v>
      </c>
      <c r="C1245" s="39" t="s">
        <v>2905</v>
      </c>
      <c r="D1245" s="39" t="s">
        <v>224</v>
      </c>
      <c r="E1245" s="39" t="s">
        <v>2906</v>
      </c>
      <c r="F1245" s="39" t="s">
        <v>249</v>
      </c>
      <c r="G1245" s="39" t="s">
        <v>250</v>
      </c>
      <c r="H1245" s="39" t="s">
        <v>2907</v>
      </c>
      <c r="I1245" s="39" t="s">
        <v>229</v>
      </c>
    </row>
    <row r="1246" ht="15.75" hidden="1" customHeight="1">
      <c r="A1246" s="36">
        <v>5508892.0</v>
      </c>
      <c r="B1246" s="37" t="s">
        <v>1186</v>
      </c>
      <c r="C1246" s="37" t="s">
        <v>2908</v>
      </c>
      <c r="D1246" s="37" t="s">
        <v>224</v>
      </c>
      <c r="E1246" s="37" t="s">
        <v>1188</v>
      </c>
      <c r="F1246" s="37" t="s">
        <v>242</v>
      </c>
      <c r="G1246" s="37" t="s">
        <v>227</v>
      </c>
      <c r="H1246" s="37" t="s">
        <v>2909</v>
      </c>
      <c r="I1246" s="37" t="s">
        <v>229</v>
      </c>
    </row>
    <row r="1247" ht="15.75" hidden="1" customHeight="1">
      <c r="A1247" s="38">
        <v>5119678.0</v>
      </c>
      <c r="B1247" s="39" t="s">
        <v>1695</v>
      </c>
      <c r="C1247" s="39" t="s">
        <v>2910</v>
      </c>
      <c r="D1247" s="39" t="s">
        <v>224</v>
      </c>
      <c r="E1247" s="39" t="s">
        <v>1697</v>
      </c>
      <c r="F1247" s="39" t="s">
        <v>698</v>
      </c>
      <c r="G1247" s="39" t="s">
        <v>541</v>
      </c>
      <c r="H1247" s="39" t="s">
        <v>2911</v>
      </c>
      <c r="I1247" s="39" t="s">
        <v>229</v>
      </c>
    </row>
    <row r="1248" ht="15.75" hidden="1" customHeight="1">
      <c r="A1248" s="36">
        <v>5508875.0</v>
      </c>
      <c r="B1248" s="37" t="s">
        <v>1186</v>
      </c>
      <c r="C1248" s="37" t="s">
        <v>2912</v>
      </c>
      <c r="D1248" s="37" t="s">
        <v>224</v>
      </c>
      <c r="E1248" s="37" t="s">
        <v>1188</v>
      </c>
      <c r="F1248" s="37" t="s">
        <v>242</v>
      </c>
      <c r="G1248" s="37" t="s">
        <v>227</v>
      </c>
      <c r="H1248" s="37" t="s">
        <v>2913</v>
      </c>
      <c r="I1248" s="37" t="s">
        <v>229</v>
      </c>
    </row>
    <row r="1249" ht="15.75" hidden="1" customHeight="1">
      <c r="A1249" s="38">
        <v>5119680.0</v>
      </c>
      <c r="B1249" s="39" t="s">
        <v>374</v>
      </c>
      <c r="C1249" s="39" t="s">
        <v>2914</v>
      </c>
      <c r="D1249" s="39" t="s">
        <v>224</v>
      </c>
      <c r="E1249" s="39" t="s">
        <v>376</v>
      </c>
      <c r="F1249" s="39" t="s">
        <v>377</v>
      </c>
      <c r="G1249" s="39" t="s">
        <v>327</v>
      </c>
      <c r="H1249" s="39" t="s">
        <v>2915</v>
      </c>
      <c r="I1249" s="39" t="s">
        <v>229</v>
      </c>
    </row>
    <row r="1250" ht="15.75" hidden="1" customHeight="1">
      <c r="A1250" s="36">
        <v>5804414.0</v>
      </c>
      <c r="B1250" s="37" t="s">
        <v>1186</v>
      </c>
      <c r="C1250" s="37" t="s">
        <v>2916</v>
      </c>
      <c r="D1250" s="37" t="s">
        <v>224</v>
      </c>
      <c r="E1250" s="37" t="s">
        <v>1188</v>
      </c>
      <c r="F1250" s="37" t="s">
        <v>242</v>
      </c>
      <c r="G1250" s="37" t="s">
        <v>227</v>
      </c>
      <c r="H1250" s="37" t="s">
        <v>2917</v>
      </c>
      <c r="I1250" s="37" t="s">
        <v>229</v>
      </c>
    </row>
    <row r="1251" ht="15.75" hidden="1" customHeight="1">
      <c r="A1251" s="38">
        <v>5120364.0</v>
      </c>
      <c r="B1251" s="39" t="s">
        <v>841</v>
      </c>
      <c r="C1251" s="39" t="s">
        <v>2918</v>
      </c>
      <c r="D1251" s="39" t="s">
        <v>224</v>
      </c>
      <c r="E1251" s="39" t="s">
        <v>843</v>
      </c>
      <c r="F1251" s="39" t="s">
        <v>242</v>
      </c>
      <c r="G1251" s="39" t="s">
        <v>227</v>
      </c>
      <c r="H1251" s="39" t="s">
        <v>2919</v>
      </c>
      <c r="I1251" s="39" t="s">
        <v>229</v>
      </c>
    </row>
    <row r="1252" ht="15.75" hidden="1" customHeight="1">
      <c r="A1252" s="36">
        <v>5508881.0</v>
      </c>
      <c r="B1252" s="37" t="s">
        <v>1186</v>
      </c>
      <c r="C1252" s="37" t="s">
        <v>2920</v>
      </c>
      <c r="D1252" s="37" t="s">
        <v>224</v>
      </c>
      <c r="E1252" s="37" t="s">
        <v>1188</v>
      </c>
      <c r="F1252" s="37" t="s">
        <v>242</v>
      </c>
      <c r="G1252" s="37" t="s">
        <v>227</v>
      </c>
      <c r="H1252" s="37" t="s">
        <v>2921</v>
      </c>
      <c r="I1252" s="37" t="s">
        <v>229</v>
      </c>
    </row>
    <row r="1253" ht="15.75" hidden="1" customHeight="1">
      <c r="A1253" s="38">
        <v>5120376.0</v>
      </c>
      <c r="B1253" s="39" t="s">
        <v>1019</v>
      </c>
      <c r="C1253" s="39" t="s">
        <v>2922</v>
      </c>
      <c r="D1253" s="39" t="s">
        <v>224</v>
      </c>
      <c r="E1253" s="39" t="s">
        <v>459</v>
      </c>
      <c r="F1253" s="39" t="s">
        <v>292</v>
      </c>
      <c r="G1253" s="39" t="s">
        <v>293</v>
      </c>
      <c r="H1253" s="39" t="s">
        <v>2923</v>
      </c>
      <c r="I1253" s="39" t="s">
        <v>229</v>
      </c>
    </row>
    <row r="1254" ht="15.75" hidden="1" customHeight="1">
      <c r="A1254" s="36">
        <v>5508873.0</v>
      </c>
      <c r="B1254" s="37" t="s">
        <v>1186</v>
      </c>
      <c r="C1254" s="37" t="s">
        <v>2924</v>
      </c>
      <c r="D1254" s="37" t="s">
        <v>224</v>
      </c>
      <c r="E1254" s="37" t="s">
        <v>1188</v>
      </c>
      <c r="F1254" s="37" t="s">
        <v>242</v>
      </c>
      <c r="G1254" s="37" t="s">
        <v>227</v>
      </c>
      <c r="H1254" s="37" t="s">
        <v>2925</v>
      </c>
      <c r="I1254" s="37" t="s">
        <v>229</v>
      </c>
    </row>
    <row r="1255" ht="15.75" hidden="1" customHeight="1">
      <c r="A1255" s="38">
        <v>5120606.0</v>
      </c>
      <c r="B1255" s="39" t="s">
        <v>794</v>
      </c>
      <c r="C1255" s="39" t="s">
        <v>2926</v>
      </c>
      <c r="D1255" s="39" t="s">
        <v>224</v>
      </c>
      <c r="E1255" s="39" t="s">
        <v>761</v>
      </c>
      <c r="F1255" s="39" t="s">
        <v>293</v>
      </c>
      <c r="G1255" s="39" t="s">
        <v>319</v>
      </c>
      <c r="H1255" s="39" t="s">
        <v>2927</v>
      </c>
      <c r="I1255" s="39" t="s">
        <v>229</v>
      </c>
    </row>
    <row r="1256" ht="15.75" hidden="1" customHeight="1">
      <c r="A1256" s="36">
        <v>5508885.0</v>
      </c>
      <c r="B1256" s="37" t="s">
        <v>1186</v>
      </c>
      <c r="C1256" s="37" t="s">
        <v>2928</v>
      </c>
      <c r="D1256" s="37" t="s">
        <v>224</v>
      </c>
      <c r="E1256" s="37" t="s">
        <v>1188</v>
      </c>
      <c r="F1256" s="37" t="s">
        <v>242</v>
      </c>
      <c r="G1256" s="37" t="s">
        <v>227</v>
      </c>
      <c r="H1256" s="37" t="s">
        <v>2929</v>
      </c>
      <c r="I1256" s="37" t="s">
        <v>229</v>
      </c>
    </row>
    <row r="1257" ht="15.75" hidden="1" customHeight="1">
      <c r="A1257" s="38">
        <v>5538865.0</v>
      </c>
      <c r="B1257" s="39" t="s">
        <v>1186</v>
      </c>
      <c r="C1257" s="39" t="s">
        <v>2930</v>
      </c>
      <c r="D1257" s="39" t="s">
        <v>234</v>
      </c>
      <c r="E1257" s="39" t="s">
        <v>1188</v>
      </c>
      <c r="F1257" s="39" t="s">
        <v>242</v>
      </c>
      <c r="G1257" s="39" t="s">
        <v>227</v>
      </c>
      <c r="H1257" s="39" t="s">
        <v>2931</v>
      </c>
      <c r="I1257" s="39" t="s">
        <v>229</v>
      </c>
    </row>
    <row r="1258" ht="15.75" hidden="1" customHeight="1">
      <c r="A1258" s="36">
        <v>5121445.0</v>
      </c>
      <c r="B1258" s="37" t="s">
        <v>530</v>
      </c>
      <c r="C1258" s="37" t="s">
        <v>2932</v>
      </c>
      <c r="D1258" s="37" t="s">
        <v>224</v>
      </c>
      <c r="E1258" s="37" t="s">
        <v>1760</v>
      </c>
      <c r="F1258" s="37" t="s">
        <v>533</v>
      </c>
      <c r="G1258" s="37" t="s">
        <v>250</v>
      </c>
      <c r="H1258" s="37" t="s">
        <v>2933</v>
      </c>
      <c r="I1258" s="37" t="s">
        <v>229</v>
      </c>
    </row>
    <row r="1259" ht="15.75" hidden="1" customHeight="1">
      <c r="A1259" s="38">
        <v>5997776.0</v>
      </c>
      <c r="B1259" s="39" t="s">
        <v>1186</v>
      </c>
      <c r="C1259" s="39" t="s">
        <v>2934</v>
      </c>
      <c r="D1259" s="39" t="s">
        <v>224</v>
      </c>
      <c r="E1259" s="39" t="s">
        <v>1188</v>
      </c>
      <c r="F1259" s="39" t="s">
        <v>242</v>
      </c>
      <c r="G1259" s="39" t="s">
        <v>227</v>
      </c>
      <c r="H1259" s="39" t="s">
        <v>2935</v>
      </c>
      <c r="I1259" s="39" t="s">
        <v>229</v>
      </c>
    </row>
    <row r="1260" ht="15.75" hidden="1" customHeight="1">
      <c r="A1260" s="36">
        <v>5443995.0</v>
      </c>
      <c r="B1260" s="37" t="s">
        <v>1186</v>
      </c>
      <c r="C1260" s="37" t="s">
        <v>2936</v>
      </c>
      <c r="D1260" s="37" t="s">
        <v>224</v>
      </c>
      <c r="E1260" s="37" t="s">
        <v>1188</v>
      </c>
      <c r="F1260" s="37" t="s">
        <v>242</v>
      </c>
      <c r="G1260" s="37" t="s">
        <v>227</v>
      </c>
      <c r="H1260" s="37" t="s">
        <v>2937</v>
      </c>
      <c r="I1260" s="37" t="s">
        <v>229</v>
      </c>
    </row>
    <row r="1261" ht="15.75" hidden="1" customHeight="1">
      <c r="A1261" s="38">
        <v>5121453.0</v>
      </c>
      <c r="B1261" s="39" t="s">
        <v>2285</v>
      </c>
      <c r="C1261" s="39" t="s">
        <v>2938</v>
      </c>
      <c r="D1261" s="39" t="s">
        <v>224</v>
      </c>
      <c r="E1261" s="39" t="s">
        <v>1604</v>
      </c>
      <c r="F1261" s="39" t="s">
        <v>540</v>
      </c>
      <c r="G1261" s="39" t="s">
        <v>541</v>
      </c>
      <c r="H1261" s="39" t="s">
        <v>2939</v>
      </c>
      <c r="I1261" s="39" t="s">
        <v>229</v>
      </c>
    </row>
    <row r="1262" ht="15.75" hidden="1" customHeight="1">
      <c r="A1262" s="36">
        <v>5996820.0</v>
      </c>
      <c r="B1262" s="37" t="s">
        <v>1186</v>
      </c>
      <c r="C1262" s="37" t="s">
        <v>2940</v>
      </c>
      <c r="D1262" s="37" t="s">
        <v>224</v>
      </c>
      <c r="E1262" s="37" t="s">
        <v>1188</v>
      </c>
      <c r="F1262" s="37" t="s">
        <v>242</v>
      </c>
      <c r="G1262" s="37" t="s">
        <v>227</v>
      </c>
      <c r="H1262" s="37" t="s">
        <v>2941</v>
      </c>
      <c r="I1262" s="37" t="s">
        <v>229</v>
      </c>
    </row>
    <row r="1263" ht="15.75" hidden="1" customHeight="1">
      <c r="A1263" s="38">
        <v>5121632.0</v>
      </c>
      <c r="B1263" s="39" t="s">
        <v>485</v>
      </c>
      <c r="C1263" s="39" t="s">
        <v>2942</v>
      </c>
      <c r="D1263" s="39" t="s">
        <v>224</v>
      </c>
      <c r="E1263" s="39" t="s">
        <v>672</v>
      </c>
      <c r="F1263" s="39" t="s">
        <v>470</v>
      </c>
      <c r="G1263" s="39" t="s">
        <v>327</v>
      </c>
      <c r="H1263" s="39" t="s">
        <v>2943</v>
      </c>
      <c r="I1263" s="39" t="s">
        <v>229</v>
      </c>
    </row>
    <row r="1264" ht="15.75" hidden="1" customHeight="1">
      <c r="A1264" s="36">
        <v>4847778.0</v>
      </c>
      <c r="B1264" s="37" t="s">
        <v>1186</v>
      </c>
      <c r="C1264" s="37" t="s">
        <v>2944</v>
      </c>
      <c r="D1264" s="37" t="s">
        <v>269</v>
      </c>
      <c r="E1264" s="37" t="s">
        <v>1188</v>
      </c>
      <c r="F1264" s="37" t="s">
        <v>242</v>
      </c>
      <c r="G1264" s="37" t="s">
        <v>227</v>
      </c>
      <c r="H1264" s="37" t="s">
        <v>2945</v>
      </c>
      <c r="I1264" s="37" t="s">
        <v>229</v>
      </c>
    </row>
    <row r="1265" ht="15.75" hidden="1" customHeight="1">
      <c r="A1265" s="38">
        <v>5121640.0</v>
      </c>
      <c r="B1265" s="39" t="s">
        <v>478</v>
      </c>
      <c r="C1265" s="39" t="s">
        <v>2946</v>
      </c>
      <c r="D1265" s="39" t="s">
        <v>224</v>
      </c>
      <c r="E1265" s="39" t="s">
        <v>711</v>
      </c>
      <c r="F1265" s="39" t="s">
        <v>481</v>
      </c>
      <c r="G1265" s="39" t="s">
        <v>293</v>
      </c>
      <c r="H1265" s="39" t="s">
        <v>2947</v>
      </c>
      <c r="I1265" s="39" t="s">
        <v>229</v>
      </c>
    </row>
    <row r="1266" ht="15.75" hidden="1" customHeight="1">
      <c r="A1266" s="36">
        <v>5199433.0</v>
      </c>
      <c r="B1266" s="37" t="s">
        <v>1186</v>
      </c>
      <c r="C1266" s="37" t="s">
        <v>2948</v>
      </c>
      <c r="D1266" s="37" t="s">
        <v>224</v>
      </c>
      <c r="E1266" s="37" t="s">
        <v>1188</v>
      </c>
      <c r="F1266" s="37" t="s">
        <v>242</v>
      </c>
      <c r="G1266" s="37" t="s">
        <v>227</v>
      </c>
      <c r="H1266" s="37" t="s">
        <v>2949</v>
      </c>
      <c r="I1266" s="37" t="s">
        <v>229</v>
      </c>
    </row>
    <row r="1267" ht="15.75" hidden="1" customHeight="1">
      <c r="A1267" s="38">
        <v>5121717.0</v>
      </c>
      <c r="B1267" s="39" t="s">
        <v>835</v>
      </c>
      <c r="C1267" s="39" t="s">
        <v>2950</v>
      </c>
      <c r="D1267" s="39" t="s">
        <v>224</v>
      </c>
      <c r="E1267" s="39" t="s">
        <v>837</v>
      </c>
      <c r="F1267" s="39" t="s">
        <v>377</v>
      </c>
      <c r="G1267" s="39" t="s">
        <v>327</v>
      </c>
      <c r="H1267" s="39" t="s">
        <v>2951</v>
      </c>
      <c r="I1267" s="39" t="s">
        <v>229</v>
      </c>
    </row>
    <row r="1268" ht="15.75" hidden="1" customHeight="1">
      <c r="A1268" s="36">
        <v>5122025.0</v>
      </c>
      <c r="B1268" s="37" t="s">
        <v>526</v>
      </c>
      <c r="C1268" s="37" t="s">
        <v>2952</v>
      </c>
      <c r="D1268" s="37" t="s">
        <v>224</v>
      </c>
      <c r="E1268" s="37" t="s">
        <v>649</v>
      </c>
      <c r="F1268" s="37" t="s">
        <v>326</v>
      </c>
      <c r="G1268" s="37" t="s">
        <v>327</v>
      </c>
      <c r="H1268" s="37" t="s">
        <v>2953</v>
      </c>
      <c r="I1268" s="37" t="s">
        <v>229</v>
      </c>
    </row>
    <row r="1269" ht="15.75" hidden="1" customHeight="1">
      <c r="A1269" s="38">
        <v>5613247.0</v>
      </c>
      <c r="B1269" s="39" t="s">
        <v>1186</v>
      </c>
      <c r="C1269" s="39" t="s">
        <v>2954</v>
      </c>
      <c r="D1269" s="39" t="s">
        <v>224</v>
      </c>
      <c r="E1269" s="39" t="s">
        <v>1188</v>
      </c>
      <c r="F1269" s="39" t="s">
        <v>242</v>
      </c>
      <c r="G1269" s="39" t="s">
        <v>227</v>
      </c>
      <c r="H1269" s="39" t="s">
        <v>2955</v>
      </c>
      <c r="I1269" s="39" t="s">
        <v>229</v>
      </c>
    </row>
    <row r="1270" ht="15.75" hidden="1" customHeight="1">
      <c r="A1270" s="36">
        <v>4043041.0</v>
      </c>
      <c r="B1270" s="37" t="s">
        <v>331</v>
      </c>
      <c r="C1270" s="37" t="s">
        <v>2956</v>
      </c>
      <c r="D1270" s="37" t="s">
        <v>331</v>
      </c>
      <c r="E1270" s="37" t="s">
        <v>250</v>
      </c>
      <c r="F1270" s="37" t="s">
        <v>319</v>
      </c>
      <c r="G1270" s="37" t="s">
        <v>2083</v>
      </c>
      <c r="H1270" s="37" t="s">
        <v>2957</v>
      </c>
      <c r="I1270" s="37" t="s">
        <v>229</v>
      </c>
    </row>
    <row r="1271" ht="15.75" hidden="1" customHeight="1">
      <c r="A1271" s="38">
        <v>5122046.0</v>
      </c>
      <c r="B1271" s="39" t="s">
        <v>374</v>
      </c>
      <c r="C1271" s="39" t="s">
        <v>2958</v>
      </c>
      <c r="D1271" s="39" t="s">
        <v>224</v>
      </c>
      <c r="E1271" s="39" t="s">
        <v>959</v>
      </c>
      <c r="F1271" s="39" t="s">
        <v>377</v>
      </c>
      <c r="G1271" s="39" t="s">
        <v>327</v>
      </c>
      <c r="H1271" s="39" t="s">
        <v>2959</v>
      </c>
      <c r="I1271" s="39" t="s">
        <v>229</v>
      </c>
    </row>
    <row r="1272" ht="15.75" hidden="1" customHeight="1">
      <c r="A1272" s="36">
        <v>5122048.0</v>
      </c>
      <c r="B1272" s="37" t="s">
        <v>374</v>
      </c>
      <c r="C1272" s="37" t="s">
        <v>2960</v>
      </c>
      <c r="D1272" s="37" t="s">
        <v>224</v>
      </c>
      <c r="E1272" s="37" t="s">
        <v>959</v>
      </c>
      <c r="F1272" s="37" t="s">
        <v>377</v>
      </c>
      <c r="G1272" s="37" t="s">
        <v>327</v>
      </c>
      <c r="H1272" s="37" t="s">
        <v>2961</v>
      </c>
      <c r="I1272" s="37" t="s">
        <v>229</v>
      </c>
    </row>
    <row r="1273" ht="15.75" hidden="1" customHeight="1">
      <c r="A1273" s="38">
        <v>5122054.0</v>
      </c>
      <c r="B1273" s="39" t="s">
        <v>467</v>
      </c>
      <c r="C1273" s="39" t="s">
        <v>2962</v>
      </c>
      <c r="D1273" s="39" t="s">
        <v>224</v>
      </c>
      <c r="E1273" s="39" t="s">
        <v>672</v>
      </c>
      <c r="F1273" s="39" t="s">
        <v>470</v>
      </c>
      <c r="G1273" s="39" t="s">
        <v>327</v>
      </c>
      <c r="H1273" s="39" t="s">
        <v>2963</v>
      </c>
      <c r="I1273" s="39" t="s">
        <v>229</v>
      </c>
    </row>
    <row r="1274" ht="15.75" hidden="1" customHeight="1">
      <c r="A1274" s="36">
        <v>5122955.0</v>
      </c>
      <c r="B1274" s="37" t="s">
        <v>425</v>
      </c>
      <c r="C1274" s="37" t="s">
        <v>2964</v>
      </c>
      <c r="D1274" s="37" t="s">
        <v>224</v>
      </c>
      <c r="E1274" s="37" t="s">
        <v>427</v>
      </c>
      <c r="F1274" s="37" t="s">
        <v>312</v>
      </c>
      <c r="G1274" s="37" t="s">
        <v>3</v>
      </c>
      <c r="H1274" s="37" t="s">
        <v>2965</v>
      </c>
      <c r="I1274" s="37" t="s">
        <v>260</v>
      </c>
    </row>
    <row r="1275" ht="15.75" hidden="1" customHeight="1">
      <c r="A1275" s="38">
        <v>5123005.0</v>
      </c>
      <c r="B1275" s="39" t="s">
        <v>361</v>
      </c>
      <c r="C1275" s="39" t="s">
        <v>2966</v>
      </c>
      <c r="D1275" s="39" t="s">
        <v>224</v>
      </c>
      <c r="E1275" s="39" t="s">
        <v>311</v>
      </c>
      <c r="F1275" s="39" t="s">
        <v>312</v>
      </c>
      <c r="G1275" s="39" t="s">
        <v>258</v>
      </c>
      <c r="H1275" s="39" t="s">
        <v>2967</v>
      </c>
      <c r="I1275" s="39" t="s">
        <v>260</v>
      </c>
    </row>
    <row r="1276" ht="15.75" hidden="1" customHeight="1">
      <c r="A1276" s="36">
        <v>5123260.0</v>
      </c>
      <c r="B1276" s="37" t="s">
        <v>695</v>
      </c>
      <c r="C1276" s="37" t="s">
        <v>2968</v>
      </c>
      <c r="D1276" s="37" t="s">
        <v>224</v>
      </c>
      <c r="E1276" s="37" t="s">
        <v>1518</v>
      </c>
      <c r="F1276" s="37" t="s">
        <v>698</v>
      </c>
      <c r="G1276" s="37" t="s">
        <v>541</v>
      </c>
      <c r="H1276" s="37" t="s">
        <v>2969</v>
      </c>
      <c r="I1276" s="37" t="s">
        <v>229</v>
      </c>
    </row>
    <row r="1277" ht="15.75" hidden="1" customHeight="1">
      <c r="A1277" s="38">
        <v>5123263.0</v>
      </c>
      <c r="B1277" s="39" t="s">
        <v>1363</v>
      </c>
      <c r="C1277" s="39" t="s">
        <v>2970</v>
      </c>
      <c r="D1277" s="39" t="s">
        <v>234</v>
      </c>
      <c r="E1277" s="39" t="s">
        <v>796</v>
      </c>
      <c r="F1277" s="39" t="s">
        <v>293</v>
      </c>
      <c r="G1277" s="39" t="s">
        <v>319</v>
      </c>
      <c r="H1277" s="39" t="s">
        <v>2971</v>
      </c>
      <c r="I1277" s="39" t="s">
        <v>229</v>
      </c>
    </row>
    <row r="1278" ht="15.75" hidden="1" customHeight="1">
      <c r="A1278" s="36">
        <v>5124462.0</v>
      </c>
      <c r="B1278" s="37" t="s">
        <v>113</v>
      </c>
      <c r="C1278" s="37" t="s">
        <v>2972</v>
      </c>
      <c r="D1278" s="37" t="s">
        <v>224</v>
      </c>
      <c r="E1278" s="37" t="s">
        <v>420</v>
      </c>
      <c r="F1278" s="37" t="s">
        <v>421</v>
      </c>
      <c r="G1278" s="37" t="s">
        <v>227</v>
      </c>
      <c r="H1278" s="37" t="s">
        <v>2973</v>
      </c>
      <c r="I1278" s="37" t="s">
        <v>260</v>
      </c>
    </row>
    <row r="1279" ht="15.75" hidden="1" customHeight="1">
      <c r="A1279" s="38">
        <v>5126474.0</v>
      </c>
      <c r="B1279" s="39" t="s">
        <v>232</v>
      </c>
      <c r="C1279" s="39" t="s">
        <v>2974</v>
      </c>
      <c r="D1279" s="39" t="s">
        <v>224</v>
      </c>
      <c r="E1279" s="39" t="s">
        <v>499</v>
      </c>
      <c r="F1279" s="39" t="s">
        <v>226</v>
      </c>
      <c r="G1279" s="39" t="s">
        <v>227</v>
      </c>
      <c r="H1279" s="39" t="s">
        <v>2975</v>
      </c>
      <c r="I1279" s="39" t="s">
        <v>229</v>
      </c>
    </row>
    <row r="1280" ht="15.75" hidden="1" customHeight="1">
      <c r="A1280" s="36">
        <v>5321650.0</v>
      </c>
      <c r="B1280" s="37" t="s">
        <v>116</v>
      </c>
      <c r="C1280" s="37" t="s">
        <v>2976</v>
      </c>
      <c r="D1280" s="37" t="s">
        <v>224</v>
      </c>
      <c r="E1280" s="37" t="s">
        <v>408</v>
      </c>
      <c r="F1280" s="37" t="s">
        <v>341</v>
      </c>
      <c r="G1280" s="37" t="s">
        <v>3</v>
      </c>
      <c r="H1280" s="37" t="s">
        <v>2977</v>
      </c>
      <c r="I1280" s="37" t="s">
        <v>260</v>
      </c>
      <c r="J1280" s="1">
        <v>42.0</v>
      </c>
      <c r="L1280" s="40" t="s">
        <v>412</v>
      </c>
    </row>
    <row r="1281" ht="15.75" hidden="1" customHeight="1">
      <c r="A1281" s="38">
        <v>5127867.0</v>
      </c>
      <c r="B1281" s="39" t="s">
        <v>506</v>
      </c>
      <c r="C1281" s="39" t="s">
        <v>2978</v>
      </c>
      <c r="D1281" s="39" t="s">
        <v>224</v>
      </c>
      <c r="E1281" s="39" t="s">
        <v>510</v>
      </c>
      <c r="F1281" s="39" t="s">
        <v>284</v>
      </c>
      <c r="G1281" s="39" t="s">
        <v>3</v>
      </c>
      <c r="H1281" s="39" t="s">
        <v>2979</v>
      </c>
      <c r="I1281" s="39" t="s">
        <v>260</v>
      </c>
      <c r="J1281" s="1">
        <v>42.0</v>
      </c>
      <c r="L1281" s="40" t="s">
        <v>116</v>
      </c>
    </row>
    <row r="1282" ht="15.75" hidden="1" customHeight="1">
      <c r="A1282" s="36">
        <v>5127878.0</v>
      </c>
      <c r="B1282" s="37" t="s">
        <v>412</v>
      </c>
      <c r="C1282" s="37" t="s">
        <v>2980</v>
      </c>
      <c r="D1282" s="37" t="s">
        <v>224</v>
      </c>
      <c r="E1282" s="37" t="s">
        <v>414</v>
      </c>
      <c r="F1282" s="37" t="s">
        <v>3</v>
      </c>
      <c r="G1282" s="37" t="s">
        <v>3</v>
      </c>
      <c r="H1282" s="37" t="s">
        <v>2981</v>
      </c>
      <c r="I1282" s="37" t="s">
        <v>260</v>
      </c>
      <c r="J1282" s="1">
        <v>42.0</v>
      </c>
      <c r="L1282" s="40" t="s">
        <v>506</v>
      </c>
    </row>
    <row r="1283" ht="15.75" hidden="1" customHeight="1">
      <c r="A1283" s="38">
        <v>5435864.0</v>
      </c>
      <c r="B1283" s="39" t="s">
        <v>116</v>
      </c>
      <c r="C1283" s="39" t="s">
        <v>2982</v>
      </c>
      <c r="D1283" s="39" t="s">
        <v>224</v>
      </c>
      <c r="E1283" s="39" t="s">
        <v>408</v>
      </c>
      <c r="F1283" s="39" t="s">
        <v>341</v>
      </c>
      <c r="G1283" s="39" t="s">
        <v>3</v>
      </c>
      <c r="H1283" s="39" t="s">
        <v>2983</v>
      </c>
      <c r="I1283" s="39" t="s">
        <v>260</v>
      </c>
      <c r="J1283" s="1">
        <v>42.0</v>
      </c>
      <c r="L1283" s="40" t="s">
        <v>412</v>
      </c>
    </row>
    <row r="1284" ht="15.75" hidden="1" customHeight="1">
      <c r="A1284" s="36">
        <v>5127891.0</v>
      </c>
      <c r="B1284" s="37" t="s">
        <v>457</v>
      </c>
      <c r="C1284" s="37" t="s">
        <v>2984</v>
      </c>
      <c r="D1284" s="37" t="s">
        <v>224</v>
      </c>
      <c r="E1284" s="37" t="s">
        <v>1145</v>
      </c>
      <c r="F1284" s="37" t="s">
        <v>292</v>
      </c>
      <c r="G1284" s="37" t="s">
        <v>293</v>
      </c>
      <c r="H1284" s="37" t="s">
        <v>2985</v>
      </c>
      <c r="I1284" s="37" t="s">
        <v>229</v>
      </c>
    </row>
    <row r="1285" ht="15.75" hidden="1" customHeight="1">
      <c r="A1285" s="38">
        <v>5127937.0</v>
      </c>
      <c r="B1285" s="39" t="s">
        <v>374</v>
      </c>
      <c r="C1285" s="39" t="s">
        <v>2986</v>
      </c>
      <c r="D1285" s="39" t="s">
        <v>224</v>
      </c>
      <c r="E1285" s="39" t="s">
        <v>959</v>
      </c>
      <c r="F1285" s="39" t="s">
        <v>377</v>
      </c>
      <c r="G1285" s="39" t="s">
        <v>327</v>
      </c>
      <c r="H1285" s="39" t="s">
        <v>2987</v>
      </c>
      <c r="I1285" s="39" t="s">
        <v>229</v>
      </c>
    </row>
    <row r="1286" ht="15.75" hidden="1" customHeight="1">
      <c r="A1286" s="36">
        <v>5129674.0</v>
      </c>
      <c r="B1286" s="37" t="s">
        <v>506</v>
      </c>
      <c r="C1286" s="37" t="s">
        <v>2988</v>
      </c>
      <c r="D1286" s="37" t="s">
        <v>224</v>
      </c>
      <c r="E1286" s="37" t="s">
        <v>831</v>
      </c>
      <c r="F1286" s="37" t="s">
        <v>284</v>
      </c>
      <c r="G1286" s="37" t="s">
        <v>3</v>
      </c>
      <c r="H1286" s="37" t="s">
        <v>2989</v>
      </c>
      <c r="I1286" s="37" t="s">
        <v>260</v>
      </c>
      <c r="J1286" s="1">
        <v>42.0</v>
      </c>
      <c r="L1286" s="40" t="s">
        <v>116</v>
      </c>
    </row>
    <row r="1287" ht="15.75" hidden="1" customHeight="1">
      <c r="A1287" s="38">
        <v>5346851.0</v>
      </c>
      <c r="B1287" s="39" t="s">
        <v>116</v>
      </c>
      <c r="C1287" s="39" t="s">
        <v>2990</v>
      </c>
      <c r="D1287" s="39" t="s">
        <v>224</v>
      </c>
      <c r="E1287" s="39" t="s">
        <v>408</v>
      </c>
      <c r="F1287" s="39" t="s">
        <v>341</v>
      </c>
      <c r="G1287" s="39" t="s">
        <v>3</v>
      </c>
      <c r="H1287" s="39" t="s">
        <v>2991</v>
      </c>
      <c r="I1287" s="39" t="s">
        <v>260</v>
      </c>
      <c r="J1287" s="1">
        <v>42.0</v>
      </c>
      <c r="L1287" s="40" t="s">
        <v>506</v>
      </c>
    </row>
    <row r="1288" ht="15.75" hidden="1" customHeight="1">
      <c r="A1288" s="36">
        <v>5132829.0</v>
      </c>
      <c r="B1288" s="37" t="s">
        <v>232</v>
      </c>
      <c r="C1288" s="37" t="s">
        <v>2992</v>
      </c>
      <c r="D1288" s="37" t="s">
        <v>224</v>
      </c>
      <c r="E1288" s="37" t="s">
        <v>790</v>
      </c>
      <c r="F1288" s="37" t="s">
        <v>226</v>
      </c>
      <c r="G1288" s="37" t="s">
        <v>227</v>
      </c>
      <c r="H1288" s="37" t="s">
        <v>2993</v>
      </c>
      <c r="I1288" s="37" t="s">
        <v>229</v>
      </c>
    </row>
    <row r="1289" ht="15.75" hidden="1" customHeight="1">
      <c r="A1289" s="38">
        <v>5388842.0</v>
      </c>
      <c r="B1289" s="39" t="s">
        <v>116</v>
      </c>
      <c r="C1289" s="39" t="s">
        <v>2994</v>
      </c>
      <c r="D1289" s="39" t="s">
        <v>224</v>
      </c>
      <c r="E1289" s="39" t="s">
        <v>408</v>
      </c>
      <c r="F1289" s="39" t="s">
        <v>341</v>
      </c>
      <c r="G1289" s="39" t="s">
        <v>3</v>
      </c>
      <c r="H1289" s="39" t="s">
        <v>2995</v>
      </c>
      <c r="I1289" s="39" t="s">
        <v>260</v>
      </c>
      <c r="J1289" s="1">
        <v>42.0</v>
      </c>
      <c r="L1289" s="40" t="s">
        <v>116</v>
      </c>
    </row>
    <row r="1290" ht="15.75" hidden="1" customHeight="1">
      <c r="A1290" s="36">
        <v>5132836.0</v>
      </c>
      <c r="B1290" s="37" t="s">
        <v>994</v>
      </c>
      <c r="C1290" s="37" t="s">
        <v>2996</v>
      </c>
      <c r="D1290" s="37" t="s">
        <v>224</v>
      </c>
      <c r="E1290" s="37" t="s">
        <v>443</v>
      </c>
      <c r="F1290" s="37" t="s">
        <v>257</v>
      </c>
      <c r="G1290" s="37" t="s">
        <v>258</v>
      </c>
      <c r="H1290" s="37" t="s">
        <v>2997</v>
      </c>
      <c r="I1290" s="37" t="s">
        <v>260</v>
      </c>
    </row>
    <row r="1291" ht="15.75" hidden="1" customHeight="1">
      <c r="A1291" s="38">
        <v>5333696.0</v>
      </c>
      <c r="B1291" s="39" t="s">
        <v>432</v>
      </c>
      <c r="C1291" s="39" t="s">
        <v>2998</v>
      </c>
      <c r="D1291" s="39" t="s">
        <v>224</v>
      </c>
      <c r="E1291" s="39" t="s">
        <v>408</v>
      </c>
      <c r="F1291" s="39" t="s">
        <v>341</v>
      </c>
      <c r="G1291" s="39" t="s">
        <v>3</v>
      </c>
      <c r="H1291" s="39" t="s">
        <v>2999</v>
      </c>
      <c r="I1291" s="39" t="s">
        <v>260</v>
      </c>
      <c r="J1291" s="1">
        <v>42.0</v>
      </c>
      <c r="L1291" s="40" t="s">
        <v>116</v>
      </c>
    </row>
    <row r="1292" ht="15.75" hidden="1" customHeight="1">
      <c r="A1292" s="36">
        <v>5132840.0</v>
      </c>
      <c r="B1292" s="37" t="s">
        <v>232</v>
      </c>
      <c r="C1292" s="37" t="s">
        <v>3000</v>
      </c>
      <c r="D1292" s="37" t="s">
        <v>224</v>
      </c>
      <c r="E1292" s="37" t="s">
        <v>1207</v>
      </c>
      <c r="F1292" s="37" t="s">
        <v>226</v>
      </c>
      <c r="G1292" s="37" t="s">
        <v>227</v>
      </c>
      <c r="H1292" s="37" t="s">
        <v>3001</v>
      </c>
      <c r="I1292" s="37" t="s">
        <v>229</v>
      </c>
    </row>
    <row r="1293" ht="15.75" hidden="1" customHeight="1">
      <c r="A1293" s="38">
        <v>5349473.0</v>
      </c>
      <c r="B1293" s="39" t="s">
        <v>432</v>
      </c>
      <c r="C1293" s="39" t="s">
        <v>3002</v>
      </c>
      <c r="D1293" s="39" t="s">
        <v>224</v>
      </c>
      <c r="E1293" s="39" t="s">
        <v>408</v>
      </c>
      <c r="F1293" s="39" t="s">
        <v>341</v>
      </c>
      <c r="G1293" s="39" t="s">
        <v>3</v>
      </c>
      <c r="H1293" s="39" t="s">
        <v>3003</v>
      </c>
      <c r="I1293" s="39" t="s">
        <v>260</v>
      </c>
      <c r="J1293" s="1">
        <v>42.0</v>
      </c>
      <c r="L1293" s="40" t="s">
        <v>432</v>
      </c>
    </row>
    <row r="1294" ht="15.75" hidden="1" customHeight="1">
      <c r="A1294" s="36">
        <v>5397868.0</v>
      </c>
      <c r="B1294" s="37" t="s">
        <v>432</v>
      </c>
      <c r="C1294" s="37" t="s">
        <v>3004</v>
      </c>
      <c r="D1294" s="37" t="s">
        <v>224</v>
      </c>
      <c r="E1294" s="37" t="s">
        <v>408</v>
      </c>
      <c r="F1294" s="37" t="s">
        <v>341</v>
      </c>
      <c r="G1294" s="37" t="s">
        <v>3</v>
      </c>
      <c r="H1294" s="37" t="s">
        <v>3005</v>
      </c>
      <c r="I1294" s="37" t="s">
        <v>260</v>
      </c>
      <c r="J1294" s="1">
        <v>42.0</v>
      </c>
      <c r="L1294" s="40" t="s">
        <v>432</v>
      </c>
    </row>
    <row r="1295" ht="15.75" hidden="1" customHeight="1">
      <c r="A1295" s="38">
        <v>5436062.0</v>
      </c>
      <c r="B1295" s="39" t="s">
        <v>432</v>
      </c>
      <c r="C1295" s="39" t="s">
        <v>3006</v>
      </c>
      <c r="D1295" s="39" t="s">
        <v>224</v>
      </c>
      <c r="E1295" s="39" t="s">
        <v>408</v>
      </c>
      <c r="F1295" s="39" t="s">
        <v>341</v>
      </c>
      <c r="G1295" s="39" t="s">
        <v>3</v>
      </c>
      <c r="H1295" s="39" t="s">
        <v>3007</v>
      </c>
      <c r="I1295" s="39" t="s">
        <v>260</v>
      </c>
      <c r="J1295" s="1">
        <v>42.0</v>
      </c>
      <c r="L1295" s="40" t="s">
        <v>432</v>
      </c>
    </row>
    <row r="1296" ht="15.75" hidden="1" customHeight="1">
      <c r="A1296" s="36">
        <v>5132853.0</v>
      </c>
      <c r="B1296" s="37" t="s">
        <v>232</v>
      </c>
      <c r="C1296" s="37" t="s">
        <v>3008</v>
      </c>
      <c r="D1296" s="37" t="s">
        <v>224</v>
      </c>
      <c r="E1296" s="37" t="s">
        <v>1207</v>
      </c>
      <c r="F1296" s="37" t="s">
        <v>226</v>
      </c>
      <c r="G1296" s="37" t="s">
        <v>227</v>
      </c>
      <c r="H1296" s="37" t="s">
        <v>3009</v>
      </c>
      <c r="I1296" s="37" t="s">
        <v>229</v>
      </c>
    </row>
    <row r="1297" ht="15.75" hidden="1" customHeight="1">
      <c r="A1297" s="38">
        <v>5546273.0</v>
      </c>
      <c r="B1297" s="39" t="s">
        <v>116</v>
      </c>
      <c r="C1297" s="39" t="s">
        <v>3010</v>
      </c>
      <c r="D1297" s="39" t="s">
        <v>224</v>
      </c>
      <c r="E1297" s="39" t="s">
        <v>408</v>
      </c>
      <c r="F1297" s="39" t="s">
        <v>341</v>
      </c>
      <c r="G1297" s="39" t="s">
        <v>3</v>
      </c>
      <c r="H1297" s="39" t="s">
        <v>3011</v>
      </c>
      <c r="I1297" s="39" t="s">
        <v>260</v>
      </c>
      <c r="J1297" s="1">
        <v>42.0</v>
      </c>
      <c r="L1297" s="40" t="s">
        <v>432</v>
      </c>
    </row>
    <row r="1298" ht="15.75" hidden="1" customHeight="1">
      <c r="A1298" s="36">
        <v>5132855.0</v>
      </c>
      <c r="B1298" s="37" t="s">
        <v>232</v>
      </c>
      <c r="C1298" s="37" t="s">
        <v>3012</v>
      </c>
      <c r="D1298" s="37" t="s">
        <v>224</v>
      </c>
      <c r="E1298" s="37" t="s">
        <v>932</v>
      </c>
      <c r="F1298" s="37" t="s">
        <v>226</v>
      </c>
      <c r="G1298" s="37" t="s">
        <v>227</v>
      </c>
      <c r="H1298" s="37" t="s">
        <v>3013</v>
      </c>
      <c r="I1298" s="37" t="s">
        <v>229</v>
      </c>
    </row>
    <row r="1299" ht="15.75" hidden="1" customHeight="1">
      <c r="A1299" s="38">
        <v>5546279.0</v>
      </c>
      <c r="B1299" s="39" t="s">
        <v>116</v>
      </c>
      <c r="C1299" s="39" t="s">
        <v>3014</v>
      </c>
      <c r="D1299" s="39" t="s">
        <v>331</v>
      </c>
      <c r="E1299" s="39" t="s">
        <v>408</v>
      </c>
      <c r="F1299" s="39" t="s">
        <v>341</v>
      </c>
      <c r="G1299" s="39" t="s">
        <v>3</v>
      </c>
      <c r="H1299" s="39" t="s">
        <v>3015</v>
      </c>
      <c r="I1299" s="39" t="s">
        <v>260</v>
      </c>
      <c r="J1299" s="1">
        <v>42.0</v>
      </c>
      <c r="L1299" s="40" t="s">
        <v>116</v>
      </c>
    </row>
    <row r="1300" ht="15.75" customHeight="1">
      <c r="A1300" s="36">
        <v>5134626.0</v>
      </c>
      <c r="B1300" s="37" t="s">
        <v>13</v>
      </c>
      <c r="C1300" s="37" t="s">
        <v>43</v>
      </c>
      <c r="D1300" s="37" t="s">
        <v>224</v>
      </c>
      <c r="E1300" s="37" t="s">
        <v>408</v>
      </c>
      <c r="F1300" s="37" t="s">
        <v>341</v>
      </c>
      <c r="G1300" s="37" t="s">
        <v>3</v>
      </c>
      <c r="H1300" s="37" t="s">
        <v>3016</v>
      </c>
      <c r="I1300" s="37" t="s">
        <v>260</v>
      </c>
      <c r="J1300" s="1">
        <v>42.0</v>
      </c>
      <c r="L1300" s="40" t="s">
        <v>116</v>
      </c>
    </row>
    <row r="1301" ht="15.75" hidden="1" customHeight="1">
      <c r="A1301" s="38">
        <v>5133119.0</v>
      </c>
      <c r="B1301" s="39" t="s">
        <v>361</v>
      </c>
      <c r="C1301" s="39" t="s">
        <v>3017</v>
      </c>
      <c r="D1301" s="39" t="s">
        <v>224</v>
      </c>
      <c r="E1301" s="39" t="s">
        <v>563</v>
      </c>
      <c r="F1301" s="39" t="s">
        <v>312</v>
      </c>
      <c r="G1301" s="39" t="s">
        <v>258</v>
      </c>
      <c r="H1301" s="39" t="s">
        <v>3018</v>
      </c>
      <c r="I1301" s="39" t="s">
        <v>260</v>
      </c>
    </row>
    <row r="1302" ht="15.75" hidden="1" customHeight="1">
      <c r="A1302" s="36">
        <v>5341821.0</v>
      </c>
      <c r="B1302" s="37" t="s">
        <v>116</v>
      </c>
      <c r="C1302" s="37" t="s">
        <v>3019</v>
      </c>
      <c r="D1302" s="37" t="s">
        <v>224</v>
      </c>
      <c r="E1302" s="37" t="s">
        <v>408</v>
      </c>
      <c r="F1302" s="37" t="s">
        <v>341</v>
      </c>
      <c r="G1302" s="37" t="s">
        <v>3</v>
      </c>
      <c r="H1302" s="37" t="s">
        <v>3020</v>
      </c>
      <c r="I1302" s="37" t="s">
        <v>260</v>
      </c>
      <c r="J1302" s="1">
        <v>42.0</v>
      </c>
      <c r="L1302" s="40" t="s">
        <v>13</v>
      </c>
    </row>
    <row r="1303" ht="15.75" hidden="1" customHeight="1">
      <c r="A1303" s="38">
        <v>5133310.0</v>
      </c>
      <c r="B1303" s="39" t="s">
        <v>361</v>
      </c>
      <c r="C1303" s="39" t="s">
        <v>3021</v>
      </c>
      <c r="D1303" s="39" t="s">
        <v>224</v>
      </c>
      <c r="E1303" s="39" t="s">
        <v>311</v>
      </c>
      <c r="F1303" s="39" t="s">
        <v>312</v>
      </c>
      <c r="G1303" s="39" t="s">
        <v>258</v>
      </c>
      <c r="H1303" s="39" t="s">
        <v>3022</v>
      </c>
      <c r="I1303" s="39" t="s">
        <v>260</v>
      </c>
    </row>
    <row r="1304" ht="15.75" hidden="1" customHeight="1">
      <c r="A1304" s="36">
        <v>5493605.0</v>
      </c>
      <c r="B1304" s="37" t="s">
        <v>116</v>
      </c>
      <c r="C1304" s="37" t="s">
        <v>3023</v>
      </c>
      <c r="D1304" s="37" t="s">
        <v>224</v>
      </c>
      <c r="E1304" s="37" t="s">
        <v>408</v>
      </c>
      <c r="F1304" s="37" t="s">
        <v>341</v>
      </c>
      <c r="G1304" s="37" t="s">
        <v>3</v>
      </c>
      <c r="H1304" s="37" t="s">
        <v>3024</v>
      </c>
      <c r="I1304" s="37" t="s">
        <v>260</v>
      </c>
      <c r="J1304" s="1">
        <v>42.0</v>
      </c>
      <c r="L1304" s="40" t="s">
        <v>116</v>
      </c>
    </row>
    <row r="1305" ht="15.75" hidden="1" customHeight="1">
      <c r="A1305" s="38">
        <v>5808878.0</v>
      </c>
      <c r="B1305" s="39" t="s">
        <v>316</v>
      </c>
      <c r="C1305" s="39" t="s">
        <v>3025</v>
      </c>
      <c r="D1305" s="39" t="s">
        <v>224</v>
      </c>
      <c r="E1305" s="39" t="s">
        <v>1011</v>
      </c>
      <c r="F1305" s="39" t="s">
        <v>293</v>
      </c>
      <c r="G1305" s="39" t="s">
        <v>319</v>
      </c>
      <c r="H1305" s="39" t="s">
        <v>3026</v>
      </c>
      <c r="I1305" s="39" t="s">
        <v>229</v>
      </c>
    </row>
    <row r="1306" ht="15.75" hidden="1" customHeight="1">
      <c r="A1306" s="36">
        <v>5133419.0</v>
      </c>
      <c r="B1306" s="37" t="s">
        <v>695</v>
      </c>
      <c r="C1306" s="37" t="s">
        <v>3027</v>
      </c>
      <c r="D1306" s="37" t="s">
        <v>224</v>
      </c>
      <c r="E1306" s="37" t="s">
        <v>697</v>
      </c>
      <c r="F1306" s="37" t="s">
        <v>698</v>
      </c>
      <c r="G1306" s="37" t="s">
        <v>541</v>
      </c>
      <c r="H1306" s="37" t="s">
        <v>3028</v>
      </c>
      <c r="I1306" s="37" t="s">
        <v>229</v>
      </c>
    </row>
    <row r="1307" ht="15.75" hidden="1" customHeight="1">
      <c r="A1307" s="38">
        <v>5292269.0</v>
      </c>
      <c r="B1307" s="39" t="s">
        <v>316</v>
      </c>
      <c r="C1307" s="39" t="s">
        <v>3029</v>
      </c>
      <c r="D1307" s="39" t="s">
        <v>224</v>
      </c>
      <c r="E1307" s="39" t="s">
        <v>1011</v>
      </c>
      <c r="F1307" s="39" t="s">
        <v>293</v>
      </c>
      <c r="G1307" s="39" t="s">
        <v>319</v>
      </c>
      <c r="H1307" s="39" t="s">
        <v>3030</v>
      </c>
      <c r="I1307" s="39" t="s">
        <v>229</v>
      </c>
    </row>
    <row r="1308" ht="15.75" hidden="1" customHeight="1">
      <c r="A1308" s="36">
        <v>5149617.0</v>
      </c>
      <c r="B1308" s="37" t="s">
        <v>1363</v>
      </c>
      <c r="C1308" s="37" t="s">
        <v>3031</v>
      </c>
      <c r="D1308" s="37" t="s">
        <v>224</v>
      </c>
      <c r="E1308" s="37" t="s">
        <v>1011</v>
      </c>
      <c r="F1308" s="37" t="s">
        <v>293</v>
      </c>
      <c r="G1308" s="37" t="s">
        <v>319</v>
      </c>
      <c r="H1308" s="37" t="s">
        <v>3032</v>
      </c>
      <c r="I1308" s="37" t="s">
        <v>229</v>
      </c>
    </row>
    <row r="1309" ht="15.75" hidden="1" customHeight="1">
      <c r="A1309" s="38">
        <v>5134634.0</v>
      </c>
      <c r="B1309" s="39" t="s">
        <v>478</v>
      </c>
      <c r="C1309" s="39" t="s">
        <v>3033</v>
      </c>
      <c r="D1309" s="39" t="s">
        <v>224</v>
      </c>
      <c r="E1309" s="39" t="s">
        <v>1323</v>
      </c>
      <c r="F1309" s="39" t="s">
        <v>481</v>
      </c>
      <c r="G1309" s="39" t="s">
        <v>293</v>
      </c>
      <c r="H1309" s="39" t="s">
        <v>3034</v>
      </c>
      <c r="I1309" s="39" t="s">
        <v>229</v>
      </c>
    </row>
    <row r="1310" ht="15.75" hidden="1" customHeight="1">
      <c r="A1310" s="36">
        <v>5195116.0</v>
      </c>
      <c r="B1310" s="37" t="s">
        <v>1363</v>
      </c>
      <c r="C1310" s="37" t="s">
        <v>3035</v>
      </c>
      <c r="D1310" s="37" t="s">
        <v>234</v>
      </c>
      <c r="E1310" s="37" t="s">
        <v>1011</v>
      </c>
      <c r="F1310" s="37" t="s">
        <v>293</v>
      </c>
      <c r="G1310" s="37" t="s">
        <v>319</v>
      </c>
      <c r="H1310" s="37" t="s">
        <v>3036</v>
      </c>
      <c r="I1310" s="37" t="s">
        <v>229</v>
      </c>
    </row>
    <row r="1311" ht="15.75" hidden="1" customHeight="1">
      <c r="A1311" s="38">
        <v>5135761.0</v>
      </c>
      <c r="B1311" s="39" t="s">
        <v>329</v>
      </c>
      <c r="C1311" s="39" t="s">
        <v>3037</v>
      </c>
      <c r="D1311" s="39" t="s">
        <v>224</v>
      </c>
      <c r="E1311" s="39" t="s">
        <v>1407</v>
      </c>
      <c r="F1311" s="39" t="s">
        <v>333</v>
      </c>
      <c r="G1311" s="39" t="s">
        <v>301</v>
      </c>
      <c r="H1311" s="39" t="s">
        <v>3038</v>
      </c>
      <c r="I1311" s="39" t="s">
        <v>229</v>
      </c>
    </row>
    <row r="1312" ht="15.75" hidden="1" customHeight="1">
      <c r="A1312" s="36">
        <v>5242522.0</v>
      </c>
      <c r="B1312" s="37" t="s">
        <v>316</v>
      </c>
      <c r="C1312" s="37" t="s">
        <v>3039</v>
      </c>
      <c r="D1312" s="37" t="s">
        <v>224</v>
      </c>
      <c r="E1312" s="37" t="s">
        <v>1011</v>
      </c>
      <c r="F1312" s="37" t="s">
        <v>293</v>
      </c>
      <c r="G1312" s="37" t="s">
        <v>319</v>
      </c>
      <c r="H1312" s="37" t="s">
        <v>3040</v>
      </c>
      <c r="I1312" s="37" t="s">
        <v>229</v>
      </c>
    </row>
    <row r="1313" ht="15.75" hidden="1" customHeight="1">
      <c r="A1313" s="38">
        <v>5135768.0</v>
      </c>
      <c r="B1313" s="39" t="s">
        <v>1932</v>
      </c>
      <c r="C1313" s="39" t="s">
        <v>3041</v>
      </c>
      <c r="D1313" s="39" t="s">
        <v>224</v>
      </c>
      <c r="E1313" s="39" t="s">
        <v>1934</v>
      </c>
      <c r="F1313" s="39" t="s">
        <v>300</v>
      </c>
      <c r="G1313" s="39" t="s">
        <v>301</v>
      </c>
      <c r="H1313" s="39" t="s">
        <v>3042</v>
      </c>
      <c r="I1313" s="39" t="s">
        <v>229</v>
      </c>
    </row>
    <row r="1314" ht="15.75" hidden="1" customHeight="1">
      <c r="A1314" s="36">
        <v>5266957.0</v>
      </c>
      <c r="B1314" s="37" t="s">
        <v>316</v>
      </c>
      <c r="C1314" s="37" t="s">
        <v>3043</v>
      </c>
      <c r="D1314" s="37" t="s">
        <v>224</v>
      </c>
      <c r="E1314" s="37" t="s">
        <v>1011</v>
      </c>
      <c r="F1314" s="37" t="s">
        <v>293</v>
      </c>
      <c r="G1314" s="37" t="s">
        <v>319</v>
      </c>
      <c r="H1314" s="37" t="s">
        <v>3044</v>
      </c>
      <c r="I1314" s="37" t="s">
        <v>229</v>
      </c>
    </row>
    <row r="1315" ht="15.75" hidden="1" customHeight="1">
      <c r="A1315" s="38">
        <v>5135769.0</v>
      </c>
      <c r="B1315" s="39" t="s">
        <v>800</v>
      </c>
      <c r="C1315" s="39" t="s">
        <v>3045</v>
      </c>
      <c r="D1315" s="39" t="s">
        <v>224</v>
      </c>
      <c r="E1315" s="39" t="s">
        <v>802</v>
      </c>
      <c r="F1315" s="39" t="s">
        <v>333</v>
      </c>
      <c r="G1315" s="39" t="s">
        <v>301</v>
      </c>
      <c r="H1315" s="39" t="s">
        <v>3046</v>
      </c>
      <c r="I1315" s="39" t="s">
        <v>229</v>
      </c>
    </row>
    <row r="1316" ht="15.75" hidden="1" customHeight="1">
      <c r="A1316" s="36">
        <v>5284003.0</v>
      </c>
      <c r="B1316" s="37" t="s">
        <v>316</v>
      </c>
      <c r="C1316" s="37" t="s">
        <v>3047</v>
      </c>
      <c r="D1316" s="37" t="s">
        <v>224</v>
      </c>
      <c r="E1316" s="37" t="s">
        <v>1011</v>
      </c>
      <c r="F1316" s="37" t="s">
        <v>293</v>
      </c>
      <c r="G1316" s="37" t="s">
        <v>319</v>
      </c>
      <c r="H1316" s="37" t="s">
        <v>3048</v>
      </c>
      <c r="I1316" s="37" t="s">
        <v>229</v>
      </c>
    </row>
    <row r="1317" ht="15.75" hidden="1" customHeight="1">
      <c r="A1317" s="38">
        <v>5135772.0</v>
      </c>
      <c r="B1317" s="39" t="s">
        <v>329</v>
      </c>
      <c r="C1317" s="39" t="s">
        <v>3049</v>
      </c>
      <c r="D1317" s="39" t="s">
        <v>224</v>
      </c>
      <c r="E1317" s="39" t="s">
        <v>1407</v>
      </c>
      <c r="F1317" s="39" t="s">
        <v>333</v>
      </c>
      <c r="G1317" s="39" t="s">
        <v>301</v>
      </c>
      <c r="H1317" s="39" t="s">
        <v>3050</v>
      </c>
      <c r="I1317" s="39" t="s">
        <v>229</v>
      </c>
    </row>
    <row r="1318" ht="15.75" hidden="1" customHeight="1">
      <c r="A1318" s="36">
        <v>5285106.0</v>
      </c>
      <c r="B1318" s="37" t="s">
        <v>316</v>
      </c>
      <c r="C1318" s="37" t="s">
        <v>3051</v>
      </c>
      <c r="D1318" s="37" t="s">
        <v>224</v>
      </c>
      <c r="E1318" s="37" t="s">
        <v>1011</v>
      </c>
      <c r="F1318" s="37" t="s">
        <v>293</v>
      </c>
      <c r="G1318" s="37" t="s">
        <v>319</v>
      </c>
      <c r="H1318" s="37" t="s">
        <v>3052</v>
      </c>
      <c r="I1318" s="37" t="s">
        <v>229</v>
      </c>
    </row>
    <row r="1319" ht="15.75" hidden="1" customHeight="1">
      <c r="A1319" s="38">
        <v>5135774.0</v>
      </c>
      <c r="B1319" s="39" t="s">
        <v>1932</v>
      </c>
      <c r="C1319" s="39" t="s">
        <v>3053</v>
      </c>
      <c r="D1319" s="39" t="s">
        <v>224</v>
      </c>
      <c r="E1319" s="39" t="s">
        <v>2071</v>
      </c>
      <c r="F1319" s="39" t="s">
        <v>300</v>
      </c>
      <c r="G1319" s="39" t="s">
        <v>301</v>
      </c>
      <c r="H1319" s="39" t="s">
        <v>3054</v>
      </c>
      <c r="I1319" s="39" t="s">
        <v>229</v>
      </c>
    </row>
    <row r="1320" ht="15.75" hidden="1" customHeight="1">
      <c r="A1320" s="36">
        <v>5292376.0</v>
      </c>
      <c r="B1320" s="37" t="s">
        <v>316</v>
      </c>
      <c r="C1320" s="37" t="s">
        <v>3055</v>
      </c>
      <c r="D1320" s="37" t="s">
        <v>224</v>
      </c>
      <c r="E1320" s="37" t="s">
        <v>1011</v>
      </c>
      <c r="F1320" s="37" t="s">
        <v>293</v>
      </c>
      <c r="G1320" s="37" t="s">
        <v>319</v>
      </c>
      <c r="H1320" s="37" t="s">
        <v>3056</v>
      </c>
      <c r="I1320" s="37" t="s">
        <v>229</v>
      </c>
    </row>
    <row r="1321" ht="15.75" hidden="1" customHeight="1">
      <c r="A1321" s="38">
        <v>5140249.0</v>
      </c>
      <c r="B1321" s="39" t="s">
        <v>478</v>
      </c>
      <c r="C1321" s="39" t="s">
        <v>3057</v>
      </c>
      <c r="D1321" s="39" t="s">
        <v>224</v>
      </c>
      <c r="E1321" s="39" t="s">
        <v>711</v>
      </c>
      <c r="F1321" s="39" t="s">
        <v>481</v>
      </c>
      <c r="G1321" s="39" t="s">
        <v>293</v>
      </c>
      <c r="H1321" s="39" t="s">
        <v>3058</v>
      </c>
      <c r="I1321" s="39" t="s">
        <v>229</v>
      </c>
    </row>
    <row r="1322" ht="15.75" hidden="1" customHeight="1">
      <c r="A1322" s="36">
        <v>5533488.0</v>
      </c>
      <c r="B1322" s="37" t="s">
        <v>1363</v>
      </c>
      <c r="C1322" s="37" t="s">
        <v>3059</v>
      </c>
      <c r="D1322" s="37" t="s">
        <v>224</v>
      </c>
      <c r="E1322" s="37" t="s">
        <v>1011</v>
      </c>
      <c r="F1322" s="37" t="s">
        <v>293</v>
      </c>
      <c r="G1322" s="37" t="s">
        <v>319</v>
      </c>
      <c r="H1322" s="37" t="s">
        <v>3060</v>
      </c>
      <c r="I1322" s="37" t="s">
        <v>229</v>
      </c>
    </row>
    <row r="1323" ht="15.75" hidden="1" customHeight="1">
      <c r="A1323" s="38">
        <v>5671040.0</v>
      </c>
      <c r="B1323" s="39" t="s">
        <v>1363</v>
      </c>
      <c r="C1323" s="39" t="s">
        <v>3061</v>
      </c>
      <c r="D1323" s="39" t="s">
        <v>224</v>
      </c>
      <c r="E1323" s="39" t="s">
        <v>1011</v>
      </c>
      <c r="F1323" s="39" t="s">
        <v>293</v>
      </c>
      <c r="G1323" s="39" t="s">
        <v>319</v>
      </c>
      <c r="H1323" s="39" t="s">
        <v>3062</v>
      </c>
      <c r="I1323" s="39" t="s">
        <v>229</v>
      </c>
    </row>
    <row r="1324" ht="15.75" hidden="1" customHeight="1">
      <c r="A1324" s="36">
        <v>5876893.0</v>
      </c>
      <c r="B1324" s="37" t="s">
        <v>1363</v>
      </c>
      <c r="C1324" s="37" t="s">
        <v>3063</v>
      </c>
      <c r="D1324" s="37" t="s">
        <v>224</v>
      </c>
      <c r="E1324" s="37" t="s">
        <v>1011</v>
      </c>
      <c r="F1324" s="37" t="s">
        <v>293</v>
      </c>
      <c r="G1324" s="37" t="s">
        <v>319</v>
      </c>
      <c r="H1324" s="37" t="s">
        <v>3064</v>
      </c>
      <c r="I1324" s="37" t="s">
        <v>229</v>
      </c>
    </row>
    <row r="1325" ht="15.75" hidden="1" customHeight="1">
      <c r="A1325" s="38">
        <v>5159634.0</v>
      </c>
      <c r="B1325" s="39" t="s">
        <v>316</v>
      </c>
      <c r="C1325" s="39" t="s">
        <v>3065</v>
      </c>
      <c r="D1325" s="39" t="s">
        <v>224</v>
      </c>
      <c r="E1325" s="39" t="s">
        <v>1011</v>
      </c>
      <c r="F1325" s="39" t="s">
        <v>293</v>
      </c>
      <c r="G1325" s="39" t="s">
        <v>319</v>
      </c>
      <c r="H1325" s="39" t="s">
        <v>3066</v>
      </c>
      <c r="I1325" s="39" t="s">
        <v>229</v>
      </c>
    </row>
    <row r="1326" ht="15.75" hidden="1" customHeight="1">
      <c r="A1326" s="36">
        <v>5141486.0</v>
      </c>
      <c r="B1326" s="37" t="s">
        <v>232</v>
      </c>
      <c r="C1326" s="37" t="s">
        <v>3067</v>
      </c>
      <c r="D1326" s="37" t="s">
        <v>224</v>
      </c>
      <c r="E1326" s="37" t="s">
        <v>499</v>
      </c>
      <c r="F1326" s="37" t="s">
        <v>226</v>
      </c>
      <c r="G1326" s="37" t="s">
        <v>227</v>
      </c>
      <c r="H1326" s="37" t="s">
        <v>3068</v>
      </c>
      <c r="I1326" s="37" t="s">
        <v>229</v>
      </c>
    </row>
    <row r="1327" ht="15.75" hidden="1" customHeight="1">
      <c r="A1327" s="38">
        <v>5926454.0</v>
      </c>
      <c r="B1327" s="39" t="s">
        <v>1363</v>
      </c>
      <c r="C1327" s="39" t="s">
        <v>3069</v>
      </c>
      <c r="D1327" s="39" t="s">
        <v>224</v>
      </c>
      <c r="E1327" s="39" t="s">
        <v>1011</v>
      </c>
      <c r="F1327" s="39" t="s">
        <v>293</v>
      </c>
      <c r="G1327" s="39" t="s">
        <v>319</v>
      </c>
      <c r="H1327" s="39" t="s">
        <v>3070</v>
      </c>
      <c r="I1327" s="39" t="s">
        <v>229</v>
      </c>
    </row>
    <row r="1328" ht="15.75" hidden="1" customHeight="1">
      <c r="A1328" s="36">
        <v>5141492.0</v>
      </c>
      <c r="B1328" s="37" t="s">
        <v>841</v>
      </c>
      <c r="C1328" s="37" t="s">
        <v>3071</v>
      </c>
      <c r="D1328" s="37" t="s">
        <v>224</v>
      </c>
      <c r="E1328" s="37" t="s">
        <v>843</v>
      </c>
      <c r="F1328" s="37" t="s">
        <v>242</v>
      </c>
      <c r="G1328" s="37" t="s">
        <v>227</v>
      </c>
      <c r="H1328" s="37" t="s">
        <v>3072</v>
      </c>
      <c r="I1328" s="37" t="s">
        <v>229</v>
      </c>
    </row>
    <row r="1329" ht="15.75" hidden="1" customHeight="1">
      <c r="A1329" s="38">
        <v>5216576.0</v>
      </c>
      <c r="B1329" s="39" t="s">
        <v>316</v>
      </c>
      <c r="C1329" s="39" t="s">
        <v>3073</v>
      </c>
      <c r="D1329" s="39" t="s">
        <v>224</v>
      </c>
      <c r="E1329" s="39" t="s">
        <v>1011</v>
      </c>
      <c r="F1329" s="39" t="s">
        <v>293</v>
      </c>
      <c r="G1329" s="39" t="s">
        <v>319</v>
      </c>
      <c r="H1329" s="39" t="s">
        <v>3074</v>
      </c>
      <c r="I1329" s="39" t="s">
        <v>229</v>
      </c>
    </row>
    <row r="1330" ht="15.75" hidden="1" customHeight="1">
      <c r="A1330" s="36">
        <v>5195113.0</v>
      </c>
      <c r="B1330" s="37" t="s">
        <v>1363</v>
      </c>
      <c r="C1330" s="37" t="s">
        <v>3075</v>
      </c>
      <c r="D1330" s="37" t="s">
        <v>224</v>
      </c>
      <c r="E1330" s="37" t="s">
        <v>1011</v>
      </c>
      <c r="F1330" s="37" t="s">
        <v>293</v>
      </c>
      <c r="G1330" s="37" t="s">
        <v>319</v>
      </c>
      <c r="H1330" s="37" t="s">
        <v>3076</v>
      </c>
      <c r="I1330" s="37" t="s">
        <v>229</v>
      </c>
    </row>
    <row r="1331" ht="15.75" hidden="1" customHeight="1">
      <c r="A1331" s="38">
        <v>5141505.0</v>
      </c>
      <c r="B1331" s="39" t="s">
        <v>9</v>
      </c>
      <c r="C1331" s="39" t="s">
        <v>3077</v>
      </c>
      <c r="D1331" s="39" t="s">
        <v>224</v>
      </c>
      <c r="E1331" s="39" t="s">
        <v>711</v>
      </c>
      <c r="F1331" s="39" t="s">
        <v>481</v>
      </c>
      <c r="G1331" s="39" t="s">
        <v>293</v>
      </c>
      <c r="H1331" s="39" t="s">
        <v>3078</v>
      </c>
      <c r="I1331" s="39" t="s">
        <v>229</v>
      </c>
    </row>
    <row r="1332" ht="15.75" hidden="1" customHeight="1">
      <c r="A1332" s="36">
        <v>5640414.0</v>
      </c>
      <c r="B1332" s="37" t="s">
        <v>329</v>
      </c>
      <c r="C1332" s="37" t="s">
        <v>3079</v>
      </c>
      <c r="D1332" s="37" t="s">
        <v>224</v>
      </c>
      <c r="E1332" s="37" t="s">
        <v>1407</v>
      </c>
      <c r="F1332" s="37" t="s">
        <v>333</v>
      </c>
      <c r="G1332" s="37" t="s">
        <v>301</v>
      </c>
      <c r="H1332" s="37" t="s">
        <v>3080</v>
      </c>
      <c r="I1332" s="37" t="s">
        <v>229</v>
      </c>
    </row>
    <row r="1333" ht="15.75" hidden="1" customHeight="1">
      <c r="A1333" s="38">
        <v>5141513.0</v>
      </c>
      <c r="B1333" s="39" t="s">
        <v>800</v>
      </c>
      <c r="C1333" s="39" t="s">
        <v>3081</v>
      </c>
      <c r="D1333" s="39" t="s">
        <v>224</v>
      </c>
      <c r="E1333" s="39" t="s">
        <v>802</v>
      </c>
      <c r="F1333" s="39" t="s">
        <v>333</v>
      </c>
      <c r="G1333" s="39" t="s">
        <v>301</v>
      </c>
      <c r="H1333" s="39" t="s">
        <v>3082</v>
      </c>
      <c r="I1333" s="39" t="s">
        <v>229</v>
      </c>
    </row>
    <row r="1334" ht="15.75" hidden="1" customHeight="1">
      <c r="A1334" s="36">
        <v>5976416.0</v>
      </c>
      <c r="B1334" s="37" t="s">
        <v>329</v>
      </c>
      <c r="C1334" s="37" t="s">
        <v>3083</v>
      </c>
      <c r="D1334" s="37" t="s">
        <v>331</v>
      </c>
      <c r="E1334" s="37" t="s">
        <v>1407</v>
      </c>
      <c r="F1334" s="37" t="s">
        <v>333</v>
      </c>
      <c r="G1334" s="37" t="s">
        <v>301</v>
      </c>
      <c r="H1334" s="37" t="s">
        <v>3084</v>
      </c>
      <c r="I1334" s="37" t="s">
        <v>229</v>
      </c>
    </row>
    <row r="1335" ht="15.75" hidden="1" customHeight="1">
      <c r="A1335" s="38">
        <v>5141631.0</v>
      </c>
      <c r="B1335" s="39" t="s">
        <v>478</v>
      </c>
      <c r="C1335" s="39" t="s">
        <v>3085</v>
      </c>
      <c r="D1335" s="39" t="s">
        <v>224</v>
      </c>
      <c r="E1335" s="39" t="s">
        <v>711</v>
      </c>
      <c r="F1335" s="39" t="s">
        <v>481</v>
      </c>
      <c r="G1335" s="39" t="s">
        <v>293</v>
      </c>
      <c r="H1335" s="39" t="s">
        <v>3086</v>
      </c>
      <c r="I1335" s="39" t="s">
        <v>229</v>
      </c>
    </row>
    <row r="1336" ht="15.75" hidden="1" customHeight="1">
      <c r="A1336" s="36">
        <v>5533633.0</v>
      </c>
      <c r="B1336" s="37" t="s">
        <v>329</v>
      </c>
      <c r="C1336" s="37" t="s">
        <v>3087</v>
      </c>
      <c r="D1336" s="37" t="s">
        <v>224</v>
      </c>
      <c r="E1336" s="37" t="s">
        <v>1407</v>
      </c>
      <c r="F1336" s="37" t="s">
        <v>333</v>
      </c>
      <c r="G1336" s="37" t="s">
        <v>301</v>
      </c>
      <c r="H1336" s="37" t="s">
        <v>3088</v>
      </c>
      <c r="I1336" s="37" t="s">
        <v>229</v>
      </c>
    </row>
    <row r="1337" ht="15.75" hidden="1" customHeight="1">
      <c r="A1337" s="38">
        <v>5141707.0</v>
      </c>
      <c r="B1337" s="39" t="s">
        <v>847</v>
      </c>
      <c r="C1337" s="39" t="s">
        <v>3089</v>
      </c>
      <c r="D1337" s="39" t="s">
        <v>224</v>
      </c>
      <c r="E1337" s="39" t="s">
        <v>849</v>
      </c>
      <c r="F1337" s="39" t="s">
        <v>333</v>
      </c>
      <c r="G1337" s="39" t="s">
        <v>301</v>
      </c>
      <c r="H1337" s="39" t="s">
        <v>3090</v>
      </c>
      <c r="I1337" s="39" t="s">
        <v>229</v>
      </c>
    </row>
    <row r="1338" ht="15.75" hidden="1" customHeight="1">
      <c r="A1338" s="36">
        <v>5276471.0</v>
      </c>
      <c r="B1338" s="37" t="s">
        <v>329</v>
      </c>
      <c r="C1338" s="37" t="s">
        <v>3091</v>
      </c>
      <c r="D1338" s="37" t="s">
        <v>224</v>
      </c>
      <c r="E1338" s="37" t="s">
        <v>1407</v>
      </c>
      <c r="F1338" s="37" t="s">
        <v>333</v>
      </c>
      <c r="G1338" s="37" t="s">
        <v>301</v>
      </c>
      <c r="H1338" s="37" t="s">
        <v>3092</v>
      </c>
      <c r="I1338" s="37" t="s">
        <v>229</v>
      </c>
    </row>
    <row r="1339" ht="15.75" hidden="1" customHeight="1">
      <c r="A1339" s="38">
        <v>5141770.0</v>
      </c>
      <c r="B1339" s="39" t="s">
        <v>847</v>
      </c>
      <c r="C1339" s="39" t="s">
        <v>3093</v>
      </c>
      <c r="D1339" s="39" t="s">
        <v>224</v>
      </c>
      <c r="E1339" s="39" t="s">
        <v>1418</v>
      </c>
      <c r="F1339" s="39" t="s">
        <v>333</v>
      </c>
      <c r="G1339" s="39" t="s">
        <v>301</v>
      </c>
      <c r="H1339" s="39" t="s">
        <v>3094</v>
      </c>
      <c r="I1339" s="39" t="s">
        <v>229</v>
      </c>
    </row>
    <row r="1340" ht="15.75" hidden="1" customHeight="1">
      <c r="A1340" s="36">
        <v>5276498.0</v>
      </c>
      <c r="B1340" s="37" t="s">
        <v>329</v>
      </c>
      <c r="C1340" s="37" t="s">
        <v>3095</v>
      </c>
      <c r="D1340" s="37" t="s">
        <v>224</v>
      </c>
      <c r="E1340" s="37" t="s">
        <v>1407</v>
      </c>
      <c r="F1340" s="37" t="s">
        <v>333</v>
      </c>
      <c r="G1340" s="37" t="s">
        <v>301</v>
      </c>
      <c r="H1340" s="37" t="s">
        <v>3096</v>
      </c>
      <c r="I1340" s="37" t="s">
        <v>229</v>
      </c>
    </row>
    <row r="1341" ht="15.75" hidden="1" customHeight="1">
      <c r="A1341" s="38">
        <v>5442759.0</v>
      </c>
      <c r="B1341" s="39" t="s">
        <v>329</v>
      </c>
      <c r="C1341" s="39" t="s">
        <v>3097</v>
      </c>
      <c r="D1341" s="39" t="s">
        <v>224</v>
      </c>
      <c r="E1341" s="39" t="s">
        <v>1407</v>
      </c>
      <c r="F1341" s="39" t="s">
        <v>333</v>
      </c>
      <c r="G1341" s="39" t="s">
        <v>301</v>
      </c>
      <c r="H1341" s="39" t="s">
        <v>3098</v>
      </c>
      <c r="I1341" s="39" t="s">
        <v>229</v>
      </c>
    </row>
    <row r="1342" ht="15.75" hidden="1" customHeight="1">
      <c r="A1342" s="36">
        <v>5142909.0</v>
      </c>
      <c r="B1342" s="37" t="s">
        <v>425</v>
      </c>
      <c r="C1342" s="37" t="s">
        <v>3099</v>
      </c>
      <c r="D1342" s="37" t="s">
        <v>224</v>
      </c>
      <c r="E1342" s="37" t="s">
        <v>1391</v>
      </c>
      <c r="F1342" s="37" t="s">
        <v>312</v>
      </c>
      <c r="G1342" s="37" t="s">
        <v>3</v>
      </c>
      <c r="H1342" s="37" t="s">
        <v>3100</v>
      </c>
      <c r="I1342" s="37" t="s">
        <v>260</v>
      </c>
    </row>
    <row r="1343" ht="15.75" hidden="1" customHeight="1">
      <c r="A1343" s="38">
        <v>5366284.0</v>
      </c>
      <c r="B1343" s="39" t="s">
        <v>329</v>
      </c>
      <c r="C1343" s="39" t="s">
        <v>3101</v>
      </c>
      <c r="D1343" s="39" t="s">
        <v>224</v>
      </c>
      <c r="E1343" s="39" t="s">
        <v>1407</v>
      </c>
      <c r="F1343" s="39" t="s">
        <v>333</v>
      </c>
      <c r="G1343" s="39" t="s">
        <v>301</v>
      </c>
      <c r="H1343" s="39" t="s">
        <v>3102</v>
      </c>
      <c r="I1343" s="39" t="s">
        <v>229</v>
      </c>
    </row>
    <row r="1344" ht="15.75" hidden="1" customHeight="1">
      <c r="A1344" s="36">
        <v>5534106.0</v>
      </c>
      <c r="B1344" s="37" t="s">
        <v>329</v>
      </c>
      <c r="C1344" s="37" t="s">
        <v>3103</v>
      </c>
      <c r="D1344" s="37" t="s">
        <v>224</v>
      </c>
      <c r="E1344" s="37" t="s">
        <v>1407</v>
      </c>
      <c r="F1344" s="37" t="s">
        <v>333</v>
      </c>
      <c r="G1344" s="37" t="s">
        <v>301</v>
      </c>
      <c r="H1344" s="37" t="s">
        <v>3104</v>
      </c>
      <c r="I1344" s="37" t="s">
        <v>229</v>
      </c>
    </row>
    <row r="1345" ht="15.75" hidden="1" customHeight="1">
      <c r="A1345" s="38">
        <v>5143365.0</v>
      </c>
      <c r="B1345" s="39" t="s">
        <v>457</v>
      </c>
      <c r="C1345" s="39" t="s">
        <v>3105</v>
      </c>
      <c r="D1345" s="39" t="s">
        <v>331</v>
      </c>
      <c r="E1345" s="39" t="s">
        <v>1021</v>
      </c>
      <c r="F1345" s="39" t="s">
        <v>292</v>
      </c>
      <c r="G1345" s="39" t="s">
        <v>293</v>
      </c>
      <c r="H1345" s="39" t="s">
        <v>3106</v>
      </c>
      <c r="I1345" s="39" t="s">
        <v>229</v>
      </c>
    </row>
    <row r="1346" ht="15.75" hidden="1" customHeight="1">
      <c r="A1346" s="36">
        <v>5409255.0</v>
      </c>
      <c r="B1346" s="37" t="s">
        <v>329</v>
      </c>
      <c r="C1346" s="37" t="s">
        <v>3107</v>
      </c>
      <c r="D1346" s="37" t="s">
        <v>224</v>
      </c>
      <c r="E1346" s="37" t="s">
        <v>1407</v>
      </c>
      <c r="F1346" s="37" t="s">
        <v>333</v>
      </c>
      <c r="G1346" s="37" t="s">
        <v>301</v>
      </c>
      <c r="H1346" s="37" t="s">
        <v>3108</v>
      </c>
      <c r="I1346" s="37" t="s">
        <v>229</v>
      </c>
    </row>
    <row r="1347" ht="15.75" hidden="1" customHeight="1">
      <c r="A1347" s="38">
        <v>6028287.0</v>
      </c>
      <c r="B1347" s="39" t="s">
        <v>329</v>
      </c>
      <c r="C1347" s="39" t="s">
        <v>3109</v>
      </c>
      <c r="D1347" s="39" t="s">
        <v>224</v>
      </c>
      <c r="E1347" s="39" t="s">
        <v>1407</v>
      </c>
      <c r="F1347" s="39" t="s">
        <v>333</v>
      </c>
      <c r="G1347" s="39" t="s">
        <v>301</v>
      </c>
      <c r="H1347" s="39" t="s">
        <v>3110</v>
      </c>
      <c r="I1347" s="39" t="s">
        <v>229</v>
      </c>
    </row>
    <row r="1348" ht="15.75" hidden="1" customHeight="1">
      <c r="A1348" s="36">
        <v>3255965.0</v>
      </c>
      <c r="B1348" s="37" t="s">
        <v>329</v>
      </c>
      <c r="C1348" s="37" t="s">
        <v>3111</v>
      </c>
      <c r="D1348" s="37" t="s">
        <v>224</v>
      </c>
      <c r="E1348" s="37" t="s">
        <v>1407</v>
      </c>
      <c r="F1348" s="37" t="s">
        <v>333</v>
      </c>
      <c r="G1348" s="37" t="s">
        <v>301</v>
      </c>
      <c r="H1348" s="37" t="s">
        <v>3112</v>
      </c>
      <c r="I1348" s="37" t="s">
        <v>229</v>
      </c>
    </row>
    <row r="1349" ht="15.75" hidden="1" customHeight="1">
      <c r="A1349" s="38">
        <v>5533630.0</v>
      </c>
      <c r="B1349" s="39" t="s">
        <v>329</v>
      </c>
      <c r="C1349" s="39" t="s">
        <v>3113</v>
      </c>
      <c r="D1349" s="39" t="s">
        <v>224</v>
      </c>
      <c r="E1349" s="39" t="s">
        <v>1407</v>
      </c>
      <c r="F1349" s="39" t="s">
        <v>333</v>
      </c>
      <c r="G1349" s="39" t="s">
        <v>301</v>
      </c>
      <c r="H1349" s="39" t="s">
        <v>3114</v>
      </c>
      <c r="I1349" s="39" t="s">
        <v>229</v>
      </c>
    </row>
    <row r="1350" ht="15.75" hidden="1" customHeight="1">
      <c r="A1350" s="36">
        <v>5149559.0</v>
      </c>
      <c r="B1350" s="37" t="s">
        <v>526</v>
      </c>
      <c r="C1350" s="37" t="s">
        <v>3115</v>
      </c>
      <c r="D1350" s="37" t="s">
        <v>224</v>
      </c>
      <c r="E1350" s="37" t="s">
        <v>649</v>
      </c>
      <c r="F1350" s="37" t="s">
        <v>326</v>
      </c>
      <c r="G1350" s="37" t="s">
        <v>327</v>
      </c>
      <c r="H1350" s="37" t="s">
        <v>3116</v>
      </c>
      <c r="I1350" s="37" t="s">
        <v>229</v>
      </c>
    </row>
    <row r="1351" ht="15.75" hidden="1" customHeight="1">
      <c r="A1351" s="38">
        <v>5898207.0</v>
      </c>
      <c r="B1351" s="39" t="s">
        <v>329</v>
      </c>
      <c r="C1351" s="39" t="s">
        <v>3117</v>
      </c>
      <c r="D1351" s="39" t="s">
        <v>224</v>
      </c>
      <c r="E1351" s="39" t="s">
        <v>1407</v>
      </c>
      <c r="F1351" s="39" t="s">
        <v>333</v>
      </c>
      <c r="G1351" s="39" t="s">
        <v>301</v>
      </c>
      <c r="H1351" s="39" t="s">
        <v>3118</v>
      </c>
      <c r="I1351" s="39" t="s">
        <v>229</v>
      </c>
    </row>
    <row r="1352" ht="15.75" hidden="1" customHeight="1">
      <c r="A1352" s="36">
        <v>5149566.0</v>
      </c>
      <c r="B1352" s="37" t="s">
        <v>526</v>
      </c>
      <c r="C1352" s="37" t="s">
        <v>3119</v>
      </c>
      <c r="D1352" s="37" t="s">
        <v>224</v>
      </c>
      <c r="E1352" s="37" t="s">
        <v>649</v>
      </c>
      <c r="F1352" s="37" t="s">
        <v>326</v>
      </c>
      <c r="G1352" s="37" t="s">
        <v>327</v>
      </c>
      <c r="H1352" s="37" t="s">
        <v>3120</v>
      </c>
      <c r="I1352" s="37" t="s">
        <v>229</v>
      </c>
    </row>
    <row r="1353" ht="15.75" hidden="1" customHeight="1">
      <c r="A1353" s="38">
        <v>5149618.0</v>
      </c>
      <c r="B1353" s="39" t="s">
        <v>1143</v>
      </c>
      <c r="C1353" s="39" t="s">
        <v>3121</v>
      </c>
      <c r="D1353" s="39" t="s">
        <v>224</v>
      </c>
      <c r="E1353" s="39" t="s">
        <v>459</v>
      </c>
      <c r="F1353" s="39" t="s">
        <v>292</v>
      </c>
      <c r="G1353" s="39" t="s">
        <v>293</v>
      </c>
      <c r="H1353" s="39" t="s">
        <v>3122</v>
      </c>
      <c r="I1353" s="39" t="s">
        <v>229</v>
      </c>
    </row>
    <row r="1354" ht="15.75" hidden="1" customHeight="1">
      <c r="A1354" s="36">
        <v>5149635.0</v>
      </c>
      <c r="B1354" s="37" t="s">
        <v>676</v>
      </c>
      <c r="C1354" s="37" t="s">
        <v>3123</v>
      </c>
      <c r="D1354" s="37" t="s">
        <v>224</v>
      </c>
      <c r="E1354" s="37" t="s">
        <v>1859</v>
      </c>
      <c r="F1354" s="37" t="s">
        <v>679</v>
      </c>
      <c r="G1354" s="37" t="s">
        <v>301</v>
      </c>
      <c r="H1354" s="37" t="s">
        <v>3124</v>
      </c>
      <c r="I1354" s="37" t="s">
        <v>229</v>
      </c>
    </row>
    <row r="1355" ht="15.75" hidden="1" customHeight="1">
      <c r="A1355" s="38">
        <v>5152442.0</v>
      </c>
      <c r="B1355" s="39" t="s">
        <v>847</v>
      </c>
      <c r="C1355" s="39" t="s">
        <v>3125</v>
      </c>
      <c r="D1355" s="39" t="s">
        <v>224</v>
      </c>
      <c r="E1355" s="39" t="s">
        <v>1418</v>
      </c>
      <c r="F1355" s="39" t="s">
        <v>333</v>
      </c>
      <c r="G1355" s="39" t="s">
        <v>301</v>
      </c>
      <c r="H1355" s="39" t="s">
        <v>3126</v>
      </c>
      <c r="I1355" s="39" t="s">
        <v>229</v>
      </c>
    </row>
    <row r="1356" ht="15.75" hidden="1" customHeight="1">
      <c r="A1356" s="36">
        <v>5638609.0</v>
      </c>
      <c r="B1356" s="37" t="s">
        <v>412</v>
      </c>
      <c r="C1356" s="37" t="s">
        <v>3127</v>
      </c>
      <c r="D1356" s="37" t="s">
        <v>224</v>
      </c>
      <c r="E1356" s="37" t="s">
        <v>414</v>
      </c>
      <c r="F1356" s="37" t="s">
        <v>3</v>
      </c>
      <c r="G1356" s="37" t="s">
        <v>3</v>
      </c>
      <c r="H1356" s="37" t="s">
        <v>3128</v>
      </c>
      <c r="I1356" s="37" t="s">
        <v>260</v>
      </c>
      <c r="J1356" s="1">
        <v>42.0</v>
      </c>
      <c r="L1356" s="40" t="s">
        <v>116</v>
      </c>
    </row>
    <row r="1357" ht="15.75" hidden="1" customHeight="1">
      <c r="A1357" s="38">
        <v>5152472.0</v>
      </c>
      <c r="B1357" s="39" t="s">
        <v>1695</v>
      </c>
      <c r="C1357" s="39" t="s">
        <v>3129</v>
      </c>
      <c r="D1357" s="39" t="s">
        <v>224</v>
      </c>
      <c r="E1357" s="39" t="s">
        <v>1697</v>
      </c>
      <c r="F1357" s="39" t="s">
        <v>698</v>
      </c>
      <c r="G1357" s="39" t="s">
        <v>541</v>
      </c>
      <c r="H1357" s="39" t="s">
        <v>3130</v>
      </c>
      <c r="I1357" s="39" t="s">
        <v>229</v>
      </c>
    </row>
    <row r="1358" ht="15.75" hidden="1" customHeight="1">
      <c r="A1358" s="36">
        <v>5447482.0</v>
      </c>
      <c r="B1358" s="37" t="s">
        <v>412</v>
      </c>
      <c r="C1358" s="37" t="s">
        <v>3131</v>
      </c>
      <c r="D1358" s="37" t="s">
        <v>224</v>
      </c>
      <c r="E1358" s="37" t="s">
        <v>414</v>
      </c>
      <c r="F1358" s="37" t="s">
        <v>3</v>
      </c>
      <c r="G1358" s="37" t="s">
        <v>3</v>
      </c>
      <c r="H1358" s="37" t="s">
        <v>3132</v>
      </c>
      <c r="I1358" s="37" t="s">
        <v>260</v>
      </c>
      <c r="J1358" s="1">
        <v>42.0</v>
      </c>
      <c r="L1358" s="40" t="s">
        <v>412</v>
      </c>
    </row>
    <row r="1359" ht="15.75" hidden="1" customHeight="1">
      <c r="A1359" s="38">
        <v>5152526.0</v>
      </c>
      <c r="B1359" s="39" t="s">
        <v>549</v>
      </c>
      <c r="C1359" s="39" t="s">
        <v>3133</v>
      </c>
      <c r="D1359" s="39" t="s">
        <v>224</v>
      </c>
      <c r="E1359" s="39" t="s">
        <v>551</v>
      </c>
      <c r="F1359" s="39" t="s">
        <v>494</v>
      </c>
      <c r="G1359" s="39" t="s">
        <v>227</v>
      </c>
      <c r="H1359" s="39" t="s">
        <v>3134</v>
      </c>
      <c r="I1359" s="39" t="s">
        <v>260</v>
      </c>
    </row>
    <row r="1360" ht="15.75" hidden="1" customHeight="1">
      <c r="A1360" s="36">
        <v>5546275.0</v>
      </c>
      <c r="B1360" s="37" t="s">
        <v>412</v>
      </c>
      <c r="C1360" s="37" t="s">
        <v>3135</v>
      </c>
      <c r="D1360" s="37" t="s">
        <v>224</v>
      </c>
      <c r="E1360" s="37" t="s">
        <v>414</v>
      </c>
      <c r="F1360" s="37" t="s">
        <v>3</v>
      </c>
      <c r="G1360" s="37" t="s">
        <v>3</v>
      </c>
      <c r="H1360" s="37" t="s">
        <v>3136</v>
      </c>
      <c r="I1360" s="37" t="s">
        <v>260</v>
      </c>
      <c r="J1360" s="1">
        <v>42.0</v>
      </c>
      <c r="L1360" s="40" t="s">
        <v>412</v>
      </c>
    </row>
    <row r="1361" ht="15.75" hidden="1" customHeight="1">
      <c r="A1361" s="38">
        <v>5152555.0</v>
      </c>
      <c r="B1361" s="39" t="s">
        <v>695</v>
      </c>
      <c r="C1361" s="39" t="s">
        <v>3137</v>
      </c>
      <c r="D1361" s="39" t="s">
        <v>224</v>
      </c>
      <c r="E1361" s="39" t="s">
        <v>697</v>
      </c>
      <c r="F1361" s="39" t="s">
        <v>698</v>
      </c>
      <c r="G1361" s="39" t="s">
        <v>541</v>
      </c>
      <c r="H1361" s="39" t="s">
        <v>3138</v>
      </c>
      <c r="I1361" s="39" t="s">
        <v>229</v>
      </c>
    </row>
    <row r="1362" ht="15.75" hidden="1" customHeight="1">
      <c r="A1362" s="36">
        <v>5393736.0</v>
      </c>
      <c r="B1362" s="37" t="s">
        <v>412</v>
      </c>
      <c r="C1362" s="37" t="s">
        <v>3139</v>
      </c>
      <c r="D1362" s="37" t="s">
        <v>331</v>
      </c>
      <c r="E1362" s="37" t="s">
        <v>414</v>
      </c>
      <c r="F1362" s="37" t="s">
        <v>3</v>
      </c>
      <c r="G1362" s="37" t="s">
        <v>3</v>
      </c>
      <c r="H1362" s="37" t="s">
        <v>3140</v>
      </c>
      <c r="I1362" s="37" t="s">
        <v>260</v>
      </c>
      <c r="J1362" s="1">
        <v>42.0</v>
      </c>
      <c r="L1362" s="40" t="s">
        <v>412</v>
      </c>
    </row>
    <row r="1363" ht="15.75" hidden="1" customHeight="1">
      <c r="A1363" s="38">
        <v>5154195.0</v>
      </c>
      <c r="B1363" s="39" t="s">
        <v>806</v>
      </c>
      <c r="C1363" s="39" t="s">
        <v>3141</v>
      </c>
      <c r="D1363" s="39" t="s">
        <v>224</v>
      </c>
      <c r="E1363" s="39" t="s">
        <v>891</v>
      </c>
      <c r="F1363" s="39" t="s">
        <v>257</v>
      </c>
      <c r="G1363" s="39" t="s">
        <v>258</v>
      </c>
      <c r="H1363" s="39" t="s">
        <v>3142</v>
      </c>
      <c r="I1363" s="39" t="s">
        <v>260</v>
      </c>
    </row>
    <row r="1364" ht="15.75" hidden="1" customHeight="1">
      <c r="A1364" s="36">
        <v>5155620.0</v>
      </c>
      <c r="B1364" s="37" t="s">
        <v>118</v>
      </c>
      <c r="C1364" s="37" t="s">
        <v>3143</v>
      </c>
      <c r="D1364" s="37" t="s">
        <v>224</v>
      </c>
      <c r="E1364" s="37" t="s">
        <v>510</v>
      </c>
      <c r="F1364" s="37" t="s">
        <v>284</v>
      </c>
      <c r="G1364" s="37" t="s">
        <v>3</v>
      </c>
      <c r="H1364" s="37" t="s">
        <v>3144</v>
      </c>
      <c r="I1364" s="37" t="s">
        <v>260</v>
      </c>
      <c r="J1364" s="1">
        <v>42.0</v>
      </c>
      <c r="L1364" s="40" t="s">
        <v>412</v>
      </c>
    </row>
    <row r="1365" ht="15.75" hidden="1" customHeight="1">
      <c r="A1365" s="38">
        <v>5990136.0</v>
      </c>
      <c r="B1365" s="39" t="s">
        <v>412</v>
      </c>
      <c r="C1365" s="39" t="s">
        <v>3145</v>
      </c>
      <c r="D1365" s="39" t="s">
        <v>224</v>
      </c>
      <c r="E1365" s="39" t="s">
        <v>414</v>
      </c>
      <c r="F1365" s="39" t="s">
        <v>3</v>
      </c>
      <c r="G1365" s="39" t="s">
        <v>3</v>
      </c>
      <c r="H1365" s="39" t="s">
        <v>3146</v>
      </c>
      <c r="I1365" s="39" t="s">
        <v>260</v>
      </c>
      <c r="J1365" s="1">
        <v>42.0</v>
      </c>
      <c r="L1365" s="40" t="s">
        <v>118</v>
      </c>
    </row>
    <row r="1366" ht="15.75" hidden="1" customHeight="1">
      <c r="A1366" s="36">
        <v>5155694.0</v>
      </c>
      <c r="B1366" s="37" t="s">
        <v>10</v>
      </c>
      <c r="C1366" s="37" t="s">
        <v>3147</v>
      </c>
      <c r="D1366" s="37" t="s">
        <v>224</v>
      </c>
      <c r="E1366" s="37" t="s">
        <v>634</v>
      </c>
      <c r="F1366" s="37" t="s">
        <v>257</v>
      </c>
      <c r="G1366" s="37" t="s">
        <v>258</v>
      </c>
      <c r="H1366" s="37" t="s">
        <v>3148</v>
      </c>
      <c r="I1366" s="37" t="s">
        <v>260</v>
      </c>
    </row>
    <row r="1367" ht="15.75" hidden="1" customHeight="1">
      <c r="A1367" s="38">
        <v>5655278.0</v>
      </c>
      <c r="B1367" s="39" t="s">
        <v>412</v>
      </c>
      <c r="C1367" s="39" t="s">
        <v>3149</v>
      </c>
      <c r="D1367" s="39" t="s">
        <v>224</v>
      </c>
      <c r="E1367" s="39" t="s">
        <v>414</v>
      </c>
      <c r="F1367" s="39" t="s">
        <v>3</v>
      </c>
      <c r="G1367" s="39" t="s">
        <v>3</v>
      </c>
      <c r="H1367" s="39" t="s">
        <v>3150</v>
      </c>
      <c r="I1367" s="39" t="s">
        <v>260</v>
      </c>
      <c r="J1367" s="1">
        <v>42.0</v>
      </c>
      <c r="L1367" s="40" t="s">
        <v>412</v>
      </c>
    </row>
    <row r="1368" ht="15.75" hidden="1" customHeight="1">
      <c r="A1368" s="36">
        <v>5155747.0</v>
      </c>
      <c r="B1368" s="37" t="s">
        <v>835</v>
      </c>
      <c r="C1368" s="37" t="s">
        <v>3151</v>
      </c>
      <c r="D1368" s="37" t="s">
        <v>224</v>
      </c>
      <c r="E1368" s="37" t="s">
        <v>837</v>
      </c>
      <c r="F1368" s="37" t="s">
        <v>377</v>
      </c>
      <c r="G1368" s="37" t="s">
        <v>327</v>
      </c>
      <c r="H1368" s="37" t="s">
        <v>3152</v>
      </c>
      <c r="I1368" s="37" t="s">
        <v>229</v>
      </c>
    </row>
    <row r="1369" ht="15.75" hidden="1" customHeight="1">
      <c r="A1369" s="38">
        <v>5327028.0</v>
      </c>
      <c r="B1369" s="39" t="s">
        <v>412</v>
      </c>
      <c r="C1369" s="39" t="s">
        <v>3153</v>
      </c>
      <c r="D1369" s="39" t="s">
        <v>224</v>
      </c>
      <c r="E1369" s="39" t="s">
        <v>414</v>
      </c>
      <c r="F1369" s="39" t="s">
        <v>3</v>
      </c>
      <c r="G1369" s="39" t="s">
        <v>3</v>
      </c>
      <c r="H1369" s="39" t="s">
        <v>3154</v>
      </c>
      <c r="I1369" s="39" t="s">
        <v>260</v>
      </c>
      <c r="J1369" s="1">
        <v>42.0</v>
      </c>
      <c r="L1369" s="40" t="s">
        <v>412</v>
      </c>
    </row>
    <row r="1370" ht="15.75" hidden="1" customHeight="1">
      <c r="A1370" s="36">
        <v>5155775.0</v>
      </c>
      <c r="B1370" s="37" t="s">
        <v>1348</v>
      </c>
      <c r="C1370" s="37" t="s">
        <v>3155</v>
      </c>
      <c r="D1370" s="37" t="s">
        <v>224</v>
      </c>
      <c r="E1370" s="37" t="s">
        <v>1021</v>
      </c>
      <c r="F1370" s="37" t="s">
        <v>292</v>
      </c>
      <c r="G1370" s="37" t="s">
        <v>293</v>
      </c>
      <c r="H1370" s="37" t="s">
        <v>3156</v>
      </c>
      <c r="I1370" s="37" t="s">
        <v>229</v>
      </c>
    </row>
    <row r="1371" ht="15.75" hidden="1" customHeight="1">
      <c r="A1371" s="38">
        <v>5328028.0</v>
      </c>
      <c r="B1371" s="39" t="s">
        <v>412</v>
      </c>
      <c r="C1371" s="39" t="s">
        <v>3157</v>
      </c>
      <c r="D1371" s="39" t="s">
        <v>224</v>
      </c>
      <c r="E1371" s="39" t="s">
        <v>414</v>
      </c>
      <c r="F1371" s="39" t="s">
        <v>3</v>
      </c>
      <c r="G1371" s="39" t="s">
        <v>3</v>
      </c>
      <c r="H1371" s="39" t="s">
        <v>3158</v>
      </c>
      <c r="I1371" s="39" t="s">
        <v>260</v>
      </c>
      <c r="J1371" s="1">
        <v>42.0</v>
      </c>
      <c r="L1371" s="40" t="s">
        <v>412</v>
      </c>
    </row>
    <row r="1372" ht="15.75" hidden="1" customHeight="1">
      <c r="A1372" s="36">
        <v>5155777.0</v>
      </c>
      <c r="B1372" s="37" t="s">
        <v>695</v>
      </c>
      <c r="C1372" s="37" t="s">
        <v>3159</v>
      </c>
      <c r="D1372" s="37" t="s">
        <v>224</v>
      </c>
      <c r="E1372" s="37" t="s">
        <v>1697</v>
      </c>
      <c r="F1372" s="37" t="s">
        <v>698</v>
      </c>
      <c r="G1372" s="37" t="s">
        <v>541</v>
      </c>
      <c r="H1372" s="37" t="s">
        <v>3160</v>
      </c>
      <c r="I1372" s="37" t="s">
        <v>229</v>
      </c>
    </row>
    <row r="1373" ht="15.75" hidden="1" customHeight="1">
      <c r="A1373" s="38">
        <v>5624624.0</v>
      </c>
      <c r="B1373" s="39" t="s">
        <v>412</v>
      </c>
      <c r="C1373" s="39" t="s">
        <v>3161</v>
      </c>
      <c r="D1373" s="39" t="s">
        <v>224</v>
      </c>
      <c r="E1373" s="39" t="s">
        <v>414</v>
      </c>
      <c r="F1373" s="39" t="s">
        <v>3</v>
      </c>
      <c r="G1373" s="39" t="s">
        <v>3</v>
      </c>
      <c r="H1373" s="39" t="s">
        <v>3162</v>
      </c>
      <c r="I1373" s="39" t="s">
        <v>260</v>
      </c>
      <c r="J1373" s="1">
        <v>42.0</v>
      </c>
      <c r="L1373" s="40" t="s">
        <v>412</v>
      </c>
    </row>
    <row r="1374" ht="15.75" hidden="1" customHeight="1">
      <c r="A1374" s="36">
        <v>5438033.0</v>
      </c>
      <c r="B1374" s="37" t="s">
        <v>412</v>
      </c>
      <c r="C1374" s="37" t="s">
        <v>3163</v>
      </c>
      <c r="D1374" s="37" t="s">
        <v>224</v>
      </c>
      <c r="E1374" s="37" t="s">
        <v>414</v>
      </c>
      <c r="F1374" s="37" t="s">
        <v>3</v>
      </c>
      <c r="G1374" s="37" t="s">
        <v>3</v>
      </c>
      <c r="H1374" s="37" t="s">
        <v>3164</v>
      </c>
      <c r="I1374" s="37" t="s">
        <v>260</v>
      </c>
      <c r="J1374" s="1">
        <v>42.0</v>
      </c>
      <c r="L1374" s="40" t="s">
        <v>412</v>
      </c>
    </row>
    <row r="1375" ht="15.75" hidden="1" customHeight="1">
      <c r="A1375" s="38">
        <v>5155866.0</v>
      </c>
      <c r="B1375" s="39" t="s">
        <v>738</v>
      </c>
      <c r="C1375" s="39" t="s">
        <v>3165</v>
      </c>
      <c r="D1375" s="39" t="s">
        <v>224</v>
      </c>
      <c r="E1375" s="39" t="s">
        <v>1403</v>
      </c>
      <c r="F1375" s="39" t="s">
        <v>533</v>
      </c>
      <c r="G1375" s="39" t="s">
        <v>250</v>
      </c>
      <c r="H1375" s="39" t="s">
        <v>3166</v>
      </c>
      <c r="I1375" s="39" t="s">
        <v>229</v>
      </c>
    </row>
    <row r="1376" ht="15.75" hidden="1" customHeight="1">
      <c r="A1376" s="36">
        <v>3924298.0</v>
      </c>
      <c r="B1376" s="37" t="s">
        <v>412</v>
      </c>
      <c r="C1376" s="37" t="s">
        <v>3167</v>
      </c>
      <c r="D1376" s="37" t="s">
        <v>224</v>
      </c>
      <c r="E1376" s="37" t="s">
        <v>414</v>
      </c>
      <c r="F1376" s="37" t="s">
        <v>3</v>
      </c>
      <c r="G1376" s="37" t="s">
        <v>3</v>
      </c>
      <c r="H1376" s="37" t="s">
        <v>3168</v>
      </c>
      <c r="I1376" s="37" t="s">
        <v>260</v>
      </c>
      <c r="J1376" s="1">
        <v>42.0</v>
      </c>
      <c r="L1376" s="40" t="s">
        <v>412</v>
      </c>
    </row>
    <row r="1377" ht="15.75" hidden="1" customHeight="1">
      <c r="A1377" s="38">
        <v>5990164.0</v>
      </c>
      <c r="B1377" s="39" t="s">
        <v>412</v>
      </c>
      <c r="C1377" s="39" t="s">
        <v>3169</v>
      </c>
      <c r="D1377" s="39" t="s">
        <v>224</v>
      </c>
      <c r="E1377" s="39" t="s">
        <v>414</v>
      </c>
      <c r="F1377" s="39" t="s">
        <v>3</v>
      </c>
      <c r="G1377" s="39" t="s">
        <v>3</v>
      </c>
      <c r="H1377" s="39" t="s">
        <v>3170</v>
      </c>
      <c r="I1377" s="39" t="s">
        <v>260</v>
      </c>
      <c r="J1377" s="1">
        <v>42.0</v>
      </c>
      <c r="L1377" s="40" t="s">
        <v>412</v>
      </c>
    </row>
    <row r="1378" ht="15.75" hidden="1" customHeight="1">
      <c r="A1378" s="36">
        <v>5159670.0</v>
      </c>
      <c r="B1378" s="37" t="s">
        <v>847</v>
      </c>
      <c r="C1378" s="37" t="s">
        <v>3171</v>
      </c>
      <c r="D1378" s="37" t="s">
        <v>224</v>
      </c>
      <c r="E1378" s="37" t="s">
        <v>849</v>
      </c>
      <c r="F1378" s="37" t="s">
        <v>333</v>
      </c>
      <c r="G1378" s="37" t="s">
        <v>301</v>
      </c>
      <c r="H1378" s="37" t="s">
        <v>3172</v>
      </c>
      <c r="I1378" s="37" t="s">
        <v>229</v>
      </c>
    </row>
    <row r="1379" ht="15.75" hidden="1" customHeight="1">
      <c r="A1379" s="38">
        <v>5533636.0</v>
      </c>
      <c r="B1379" s="39" t="s">
        <v>412</v>
      </c>
      <c r="C1379" s="39" t="s">
        <v>3173</v>
      </c>
      <c r="D1379" s="39" t="s">
        <v>224</v>
      </c>
      <c r="E1379" s="39" t="s">
        <v>414</v>
      </c>
      <c r="F1379" s="39" t="s">
        <v>3</v>
      </c>
      <c r="G1379" s="39" t="s">
        <v>3</v>
      </c>
      <c r="H1379" s="39" t="s">
        <v>3174</v>
      </c>
      <c r="I1379" s="39" t="s">
        <v>260</v>
      </c>
      <c r="J1379" s="1">
        <v>42.0</v>
      </c>
      <c r="L1379" s="40" t="s">
        <v>412</v>
      </c>
    </row>
    <row r="1380" ht="15.75" hidden="1" customHeight="1">
      <c r="A1380" s="36">
        <v>5159673.0</v>
      </c>
      <c r="B1380" s="37" t="s">
        <v>555</v>
      </c>
      <c r="C1380" s="37" t="s">
        <v>3175</v>
      </c>
      <c r="D1380" s="37" t="s">
        <v>224</v>
      </c>
      <c r="E1380" s="37" t="s">
        <v>1069</v>
      </c>
      <c r="F1380" s="37" t="s">
        <v>558</v>
      </c>
      <c r="G1380" s="37" t="s">
        <v>541</v>
      </c>
      <c r="H1380" s="37" t="s">
        <v>3176</v>
      </c>
      <c r="I1380" s="37" t="s">
        <v>229</v>
      </c>
    </row>
    <row r="1381" ht="15.75" hidden="1" customHeight="1">
      <c r="A1381" s="38">
        <v>5870149.0</v>
      </c>
      <c r="B1381" s="39" t="s">
        <v>412</v>
      </c>
      <c r="C1381" s="39" t="s">
        <v>3177</v>
      </c>
      <c r="D1381" s="39" t="s">
        <v>224</v>
      </c>
      <c r="E1381" s="39" t="s">
        <v>414</v>
      </c>
      <c r="F1381" s="39" t="s">
        <v>3</v>
      </c>
      <c r="G1381" s="39" t="s">
        <v>3</v>
      </c>
      <c r="H1381" s="39" t="s">
        <v>3178</v>
      </c>
      <c r="I1381" s="39" t="s">
        <v>260</v>
      </c>
      <c r="J1381" s="1">
        <v>42.0</v>
      </c>
      <c r="L1381" s="40" t="s">
        <v>412</v>
      </c>
    </row>
    <row r="1382" ht="15.75" hidden="1" customHeight="1">
      <c r="A1382" s="36">
        <v>5159674.0</v>
      </c>
      <c r="B1382" s="37" t="s">
        <v>695</v>
      </c>
      <c r="C1382" s="37" t="s">
        <v>3179</v>
      </c>
      <c r="D1382" s="37" t="s">
        <v>224</v>
      </c>
      <c r="E1382" s="37" t="s">
        <v>697</v>
      </c>
      <c r="F1382" s="37" t="s">
        <v>698</v>
      </c>
      <c r="G1382" s="37" t="s">
        <v>541</v>
      </c>
      <c r="H1382" s="37" t="s">
        <v>3180</v>
      </c>
      <c r="I1382" s="37" t="s">
        <v>229</v>
      </c>
    </row>
    <row r="1383" ht="15.75" hidden="1" customHeight="1">
      <c r="A1383" s="38">
        <v>5938312.0</v>
      </c>
      <c r="B1383" s="39" t="s">
        <v>412</v>
      </c>
      <c r="C1383" s="39" t="s">
        <v>3181</v>
      </c>
      <c r="D1383" s="39" t="s">
        <v>224</v>
      </c>
      <c r="E1383" s="39" t="s">
        <v>414</v>
      </c>
      <c r="F1383" s="39" t="s">
        <v>3</v>
      </c>
      <c r="G1383" s="39" t="s">
        <v>3</v>
      </c>
      <c r="H1383" s="39" t="s">
        <v>3182</v>
      </c>
      <c r="I1383" s="39" t="s">
        <v>260</v>
      </c>
      <c r="J1383" s="1">
        <v>42.0</v>
      </c>
      <c r="L1383" s="40" t="s">
        <v>412</v>
      </c>
    </row>
    <row r="1384" ht="15.75" hidden="1" customHeight="1">
      <c r="A1384" s="36">
        <v>5159676.0</v>
      </c>
      <c r="B1384" s="37" t="s">
        <v>1746</v>
      </c>
      <c r="C1384" s="37" t="s">
        <v>3183</v>
      </c>
      <c r="D1384" s="37" t="s">
        <v>224</v>
      </c>
      <c r="E1384" s="37" t="s">
        <v>1714</v>
      </c>
      <c r="F1384" s="37" t="s">
        <v>698</v>
      </c>
      <c r="G1384" s="37" t="s">
        <v>541</v>
      </c>
      <c r="H1384" s="37" t="s">
        <v>3184</v>
      </c>
      <c r="I1384" s="37" t="s">
        <v>229</v>
      </c>
    </row>
    <row r="1385" ht="15.75" hidden="1" customHeight="1">
      <c r="A1385" s="38">
        <v>5990106.0</v>
      </c>
      <c r="B1385" s="39" t="s">
        <v>412</v>
      </c>
      <c r="C1385" s="39" t="s">
        <v>3185</v>
      </c>
      <c r="D1385" s="39" t="s">
        <v>224</v>
      </c>
      <c r="E1385" s="39" t="s">
        <v>414</v>
      </c>
      <c r="F1385" s="39" t="s">
        <v>3</v>
      </c>
      <c r="G1385" s="39" t="s">
        <v>3</v>
      </c>
      <c r="H1385" s="39" t="s">
        <v>3186</v>
      </c>
      <c r="I1385" s="39" t="s">
        <v>260</v>
      </c>
      <c r="J1385" s="1">
        <v>42.0</v>
      </c>
      <c r="L1385" s="40" t="s">
        <v>412</v>
      </c>
    </row>
    <row r="1386" ht="15.75" hidden="1" customHeight="1">
      <c r="A1386" s="36">
        <v>5159678.0</v>
      </c>
      <c r="B1386" s="37" t="s">
        <v>478</v>
      </c>
      <c r="C1386" s="37" t="s">
        <v>3187</v>
      </c>
      <c r="D1386" s="37" t="s">
        <v>224</v>
      </c>
      <c r="E1386" s="37" t="s">
        <v>480</v>
      </c>
      <c r="F1386" s="37" t="s">
        <v>481</v>
      </c>
      <c r="G1386" s="37" t="s">
        <v>293</v>
      </c>
      <c r="H1386" s="37" t="s">
        <v>3188</v>
      </c>
      <c r="I1386" s="37" t="s">
        <v>229</v>
      </c>
    </row>
    <row r="1387" ht="15.75" hidden="1" customHeight="1">
      <c r="A1387" s="38">
        <v>5990151.0</v>
      </c>
      <c r="B1387" s="39" t="s">
        <v>412</v>
      </c>
      <c r="C1387" s="39" t="s">
        <v>3189</v>
      </c>
      <c r="D1387" s="39" t="s">
        <v>224</v>
      </c>
      <c r="E1387" s="39" t="s">
        <v>414</v>
      </c>
      <c r="F1387" s="39" t="s">
        <v>3</v>
      </c>
      <c r="G1387" s="39" t="s">
        <v>3</v>
      </c>
      <c r="H1387" s="39" t="s">
        <v>3190</v>
      </c>
      <c r="I1387" s="39" t="s">
        <v>260</v>
      </c>
      <c r="J1387" s="1">
        <v>42.0</v>
      </c>
      <c r="L1387" s="40" t="s">
        <v>412</v>
      </c>
    </row>
    <row r="1388" ht="15.75" hidden="1" customHeight="1">
      <c r="A1388" s="36">
        <v>5159686.0</v>
      </c>
      <c r="B1388" s="37" t="s">
        <v>695</v>
      </c>
      <c r="C1388" s="37" t="s">
        <v>3191</v>
      </c>
      <c r="D1388" s="37" t="s">
        <v>224</v>
      </c>
      <c r="E1388" s="37" t="s">
        <v>1714</v>
      </c>
      <c r="F1388" s="37" t="s">
        <v>698</v>
      </c>
      <c r="G1388" s="37" t="s">
        <v>541</v>
      </c>
      <c r="H1388" s="37" t="s">
        <v>3192</v>
      </c>
      <c r="I1388" s="37" t="s">
        <v>229</v>
      </c>
    </row>
    <row r="1389" ht="15.75" hidden="1" customHeight="1">
      <c r="A1389" s="38">
        <v>4097616.0</v>
      </c>
      <c r="B1389" s="39" t="s">
        <v>412</v>
      </c>
      <c r="C1389" s="39" t="s">
        <v>3193</v>
      </c>
      <c r="D1389" s="39" t="s">
        <v>269</v>
      </c>
      <c r="E1389" s="39" t="s">
        <v>414</v>
      </c>
      <c r="F1389" s="39" t="s">
        <v>3</v>
      </c>
      <c r="G1389" s="39" t="s">
        <v>3</v>
      </c>
      <c r="H1389" s="39" t="s">
        <v>3194</v>
      </c>
      <c r="I1389" s="39" t="s">
        <v>260</v>
      </c>
      <c r="J1389" s="1">
        <v>42.0</v>
      </c>
      <c r="L1389" s="40" t="s">
        <v>412</v>
      </c>
    </row>
    <row r="1390" ht="15.75" hidden="1" customHeight="1">
      <c r="A1390" s="36">
        <v>5160658.0</v>
      </c>
      <c r="B1390" s="37" t="s">
        <v>478</v>
      </c>
      <c r="C1390" s="37" t="s">
        <v>3195</v>
      </c>
      <c r="D1390" s="37" t="s">
        <v>224</v>
      </c>
      <c r="E1390" s="37" t="s">
        <v>711</v>
      </c>
      <c r="F1390" s="37" t="s">
        <v>481</v>
      </c>
      <c r="G1390" s="37" t="s">
        <v>293</v>
      </c>
      <c r="H1390" s="37" t="s">
        <v>3196</v>
      </c>
      <c r="I1390" s="37" t="s">
        <v>229</v>
      </c>
    </row>
    <row r="1391" ht="15.75" hidden="1" customHeight="1">
      <c r="A1391" s="38">
        <v>5990107.0</v>
      </c>
      <c r="B1391" s="39" t="s">
        <v>412</v>
      </c>
      <c r="C1391" s="39" t="s">
        <v>3197</v>
      </c>
      <c r="D1391" s="39" t="s">
        <v>224</v>
      </c>
      <c r="E1391" s="39" t="s">
        <v>414</v>
      </c>
      <c r="F1391" s="39" t="s">
        <v>3</v>
      </c>
      <c r="G1391" s="39" t="s">
        <v>3</v>
      </c>
      <c r="H1391" s="39" t="s">
        <v>3198</v>
      </c>
      <c r="I1391" s="39" t="s">
        <v>260</v>
      </c>
      <c r="J1391" s="1">
        <v>42.0</v>
      </c>
      <c r="L1391" s="40" t="s">
        <v>412</v>
      </c>
    </row>
    <row r="1392" ht="15.75" hidden="1" customHeight="1">
      <c r="A1392" s="36">
        <v>5160825.0</v>
      </c>
      <c r="B1392" s="37" t="s">
        <v>232</v>
      </c>
      <c r="C1392" s="37" t="s">
        <v>3199</v>
      </c>
      <c r="D1392" s="37" t="s">
        <v>224</v>
      </c>
      <c r="E1392" s="37" t="s">
        <v>1207</v>
      </c>
      <c r="F1392" s="37" t="s">
        <v>226</v>
      </c>
      <c r="G1392" s="37" t="s">
        <v>227</v>
      </c>
      <c r="H1392" s="37" t="s">
        <v>3200</v>
      </c>
      <c r="I1392" s="37" t="s">
        <v>229</v>
      </c>
    </row>
    <row r="1393" ht="15.75" hidden="1" customHeight="1">
      <c r="A1393" s="38">
        <v>5650403.0</v>
      </c>
      <c r="B1393" s="39" t="s">
        <v>412</v>
      </c>
      <c r="C1393" s="39" t="s">
        <v>3201</v>
      </c>
      <c r="D1393" s="39" t="s">
        <v>224</v>
      </c>
      <c r="E1393" s="39" t="s">
        <v>414</v>
      </c>
      <c r="F1393" s="39" t="s">
        <v>3</v>
      </c>
      <c r="G1393" s="39" t="s">
        <v>3</v>
      </c>
      <c r="H1393" s="39" t="s">
        <v>3202</v>
      </c>
      <c r="I1393" s="39" t="s">
        <v>260</v>
      </c>
      <c r="J1393" s="1">
        <v>42.0</v>
      </c>
      <c r="L1393" s="40" t="s">
        <v>412</v>
      </c>
    </row>
    <row r="1394" ht="15.75" hidden="1" customHeight="1">
      <c r="A1394" s="36">
        <v>5990178.0</v>
      </c>
      <c r="B1394" s="37" t="s">
        <v>412</v>
      </c>
      <c r="C1394" s="37" t="s">
        <v>3203</v>
      </c>
      <c r="D1394" s="37" t="s">
        <v>224</v>
      </c>
      <c r="E1394" s="37" t="s">
        <v>414</v>
      </c>
      <c r="F1394" s="37" t="s">
        <v>3</v>
      </c>
      <c r="G1394" s="37" t="s">
        <v>3</v>
      </c>
      <c r="H1394" s="37" t="s">
        <v>3204</v>
      </c>
      <c r="I1394" s="37" t="s">
        <v>260</v>
      </c>
      <c r="J1394" s="1">
        <v>42.0</v>
      </c>
      <c r="L1394" s="40" t="s">
        <v>412</v>
      </c>
    </row>
    <row r="1395" ht="15.75" hidden="1" customHeight="1">
      <c r="A1395" s="38">
        <v>5161630.0</v>
      </c>
      <c r="B1395" s="39" t="s">
        <v>254</v>
      </c>
      <c r="C1395" s="39" t="s">
        <v>3205</v>
      </c>
      <c r="D1395" s="39" t="s">
        <v>269</v>
      </c>
      <c r="E1395" s="39" t="s">
        <v>634</v>
      </c>
      <c r="F1395" s="39" t="s">
        <v>257</v>
      </c>
      <c r="G1395" s="39" t="s">
        <v>258</v>
      </c>
      <c r="H1395" s="39" t="s">
        <v>3206</v>
      </c>
      <c r="I1395" s="39" t="s">
        <v>260</v>
      </c>
    </row>
    <row r="1396" ht="15.75" hidden="1" customHeight="1">
      <c r="A1396" s="36">
        <v>5694652.0</v>
      </c>
      <c r="B1396" s="37" t="s">
        <v>113</v>
      </c>
      <c r="C1396" s="37" t="s">
        <v>3207</v>
      </c>
      <c r="D1396" s="37" t="s">
        <v>269</v>
      </c>
      <c r="E1396" s="37" t="s">
        <v>420</v>
      </c>
      <c r="F1396" s="37" t="s">
        <v>421</v>
      </c>
      <c r="G1396" s="37" t="s">
        <v>227</v>
      </c>
      <c r="H1396" s="37" t="s">
        <v>3208</v>
      </c>
      <c r="I1396" s="37" t="s">
        <v>260</v>
      </c>
    </row>
    <row r="1397" ht="15.75" hidden="1" customHeight="1">
      <c r="A1397" s="38">
        <v>5165807.0</v>
      </c>
      <c r="B1397" s="39" t="s">
        <v>549</v>
      </c>
      <c r="C1397" s="39" t="s">
        <v>3209</v>
      </c>
      <c r="D1397" s="39" t="s">
        <v>224</v>
      </c>
      <c r="E1397" s="39" t="s">
        <v>551</v>
      </c>
      <c r="F1397" s="39" t="s">
        <v>494</v>
      </c>
      <c r="G1397" s="39" t="s">
        <v>227</v>
      </c>
      <c r="H1397" s="39" t="s">
        <v>3210</v>
      </c>
      <c r="I1397" s="39" t="s">
        <v>260</v>
      </c>
    </row>
    <row r="1398" ht="15.75" hidden="1" customHeight="1">
      <c r="A1398" s="36">
        <v>5878427.0</v>
      </c>
      <c r="B1398" s="37" t="s">
        <v>113</v>
      </c>
      <c r="C1398" s="37" t="s">
        <v>3211</v>
      </c>
      <c r="D1398" s="37" t="s">
        <v>224</v>
      </c>
      <c r="E1398" s="37" t="s">
        <v>420</v>
      </c>
      <c r="F1398" s="37" t="s">
        <v>421</v>
      </c>
      <c r="G1398" s="37" t="s">
        <v>227</v>
      </c>
      <c r="H1398" s="37" t="s">
        <v>3212</v>
      </c>
      <c r="I1398" s="37" t="s">
        <v>260</v>
      </c>
    </row>
    <row r="1399" ht="15.75" hidden="1" customHeight="1">
      <c r="A1399" s="38">
        <v>5168178.0</v>
      </c>
      <c r="B1399" s="39" t="s">
        <v>467</v>
      </c>
      <c r="C1399" s="39" t="s">
        <v>3213</v>
      </c>
      <c r="D1399" s="39" t="s">
        <v>234</v>
      </c>
      <c r="E1399" s="39" t="s">
        <v>469</v>
      </c>
      <c r="F1399" s="39" t="s">
        <v>470</v>
      </c>
      <c r="G1399" s="39" t="s">
        <v>327</v>
      </c>
      <c r="H1399" s="39" t="s">
        <v>3214</v>
      </c>
      <c r="I1399" s="39" t="s">
        <v>229</v>
      </c>
    </row>
    <row r="1400" ht="15.75" hidden="1" customHeight="1">
      <c r="A1400" s="36">
        <v>5168192.0</v>
      </c>
      <c r="B1400" s="37" t="s">
        <v>813</v>
      </c>
      <c r="C1400" s="37" t="s">
        <v>3215</v>
      </c>
      <c r="D1400" s="37" t="s">
        <v>224</v>
      </c>
      <c r="E1400" s="37" t="s">
        <v>815</v>
      </c>
      <c r="F1400" s="37" t="s">
        <v>679</v>
      </c>
      <c r="G1400" s="37" t="s">
        <v>301</v>
      </c>
      <c r="H1400" s="37" t="s">
        <v>3216</v>
      </c>
      <c r="I1400" s="37" t="s">
        <v>229</v>
      </c>
    </row>
    <row r="1401" ht="15.75" hidden="1" customHeight="1">
      <c r="A1401" s="38">
        <v>5861542.0</v>
      </c>
      <c r="B1401" s="39" t="s">
        <v>113</v>
      </c>
      <c r="C1401" s="39" t="s">
        <v>3217</v>
      </c>
      <c r="D1401" s="39" t="s">
        <v>224</v>
      </c>
      <c r="E1401" s="39" t="s">
        <v>420</v>
      </c>
      <c r="F1401" s="39" t="s">
        <v>421</v>
      </c>
      <c r="G1401" s="39" t="s">
        <v>227</v>
      </c>
      <c r="H1401" s="39" t="s">
        <v>3218</v>
      </c>
      <c r="I1401" s="39" t="s">
        <v>260</v>
      </c>
    </row>
    <row r="1402" ht="15.75" hidden="1" customHeight="1">
      <c r="A1402" s="36">
        <v>5305615.0</v>
      </c>
      <c r="B1402" s="37" t="s">
        <v>113</v>
      </c>
      <c r="C1402" s="37" t="s">
        <v>3219</v>
      </c>
      <c r="D1402" s="37" t="s">
        <v>224</v>
      </c>
      <c r="E1402" s="37" t="s">
        <v>420</v>
      </c>
      <c r="F1402" s="37" t="s">
        <v>421</v>
      </c>
      <c r="G1402" s="37" t="s">
        <v>227</v>
      </c>
      <c r="H1402" s="37" t="s">
        <v>3220</v>
      </c>
      <c r="I1402" s="37" t="s">
        <v>260</v>
      </c>
    </row>
    <row r="1403" ht="15.75" hidden="1" customHeight="1">
      <c r="A1403" s="38">
        <v>5168270.0</v>
      </c>
      <c r="B1403" s="39" t="s">
        <v>800</v>
      </c>
      <c r="C1403" s="39" t="s">
        <v>3221</v>
      </c>
      <c r="D1403" s="39" t="s">
        <v>224</v>
      </c>
      <c r="E1403" s="39" t="s">
        <v>802</v>
      </c>
      <c r="F1403" s="39" t="s">
        <v>333</v>
      </c>
      <c r="G1403" s="39" t="s">
        <v>301</v>
      </c>
      <c r="H1403" s="39" t="s">
        <v>3222</v>
      </c>
      <c r="I1403" s="39" t="s">
        <v>229</v>
      </c>
    </row>
    <row r="1404" ht="15.75" hidden="1" customHeight="1">
      <c r="A1404" s="36">
        <v>5693020.0</v>
      </c>
      <c r="B1404" s="37" t="s">
        <v>113</v>
      </c>
      <c r="C1404" s="37" t="s">
        <v>3223</v>
      </c>
      <c r="D1404" s="37" t="s">
        <v>224</v>
      </c>
      <c r="E1404" s="37" t="s">
        <v>420</v>
      </c>
      <c r="F1404" s="37" t="s">
        <v>421</v>
      </c>
      <c r="G1404" s="37" t="s">
        <v>227</v>
      </c>
      <c r="H1404" s="37" t="s">
        <v>3224</v>
      </c>
      <c r="I1404" s="37" t="s">
        <v>260</v>
      </c>
    </row>
    <row r="1405" ht="15.75" hidden="1" customHeight="1">
      <c r="A1405" s="38">
        <v>5171375.0</v>
      </c>
      <c r="B1405" s="39" t="s">
        <v>3225</v>
      </c>
      <c r="C1405" s="39" t="s">
        <v>3226</v>
      </c>
      <c r="D1405" s="39" t="s">
        <v>224</v>
      </c>
      <c r="E1405" s="39" t="s">
        <v>578</v>
      </c>
      <c r="F1405" s="39" t="s">
        <v>540</v>
      </c>
      <c r="G1405" s="39" t="s">
        <v>541</v>
      </c>
      <c r="H1405" s="39" t="s">
        <v>3227</v>
      </c>
      <c r="I1405" s="39" t="s">
        <v>229</v>
      </c>
    </row>
    <row r="1406" ht="15.75" hidden="1" customHeight="1">
      <c r="A1406" s="36">
        <v>5552065.0</v>
      </c>
      <c r="B1406" s="37" t="s">
        <v>113</v>
      </c>
      <c r="C1406" s="37" t="s">
        <v>3228</v>
      </c>
      <c r="D1406" s="37" t="s">
        <v>224</v>
      </c>
      <c r="E1406" s="37" t="s">
        <v>420</v>
      </c>
      <c r="F1406" s="37" t="s">
        <v>421</v>
      </c>
      <c r="G1406" s="37" t="s">
        <v>227</v>
      </c>
      <c r="H1406" s="37" t="s">
        <v>3229</v>
      </c>
      <c r="I1406" s="37" t="s">
        <v>260</v>
      </c>
    </row>
    <row r="1407" ht="15.75" hidden="1" customHeight="1">
      <c r="A1407" s="38">
        <v>5171382.0</v>
      </c>
      <c r="B1407" s="39" t="s">
        <v>374</v>
      </c>
      <c r="C1407" s="39" t="s">
        <v>3230</v>
      </c>
      <c r="D1407" s="39" t="s">
        <v>224</v>
      </c>
      <c r="E1407" s="39" t="s">
        <v>959</v>
      </c>
      <c r="F1407" s="39" t="s">
        <v>377</v>
      </c>
      <c r="G1407" s="39" t="s">
        <v>327</v>
      </c>
      <c r="H1407" s="39" t="s">
        <v>3231</v>
      </c>
      <c r="I1407" s="39" t="s">
        <v>229</v>
      </c>
    </row>
    <row r="1408" ht="15.75" hidden="1" customHeight="1">
      <c r="A1408" s="36">
        <v>5849446.0</v>
      </c>
      <c r="B1408" s="37" t="s">
        <v>113</v>
      </c>
      <c r="C1408" s="37" t="s">
        <v>3232</v>
      </c>
      <c r="D1408" s="37" t="s">
        <v>224</v>
      </c>
      <c r="E1408" s="37" t="s">
        <v>420</v>
      </c>
      <c r="F1408" s="37" t="s">
        <v>421</v>
      </c>
      <c r="G1408" s="37" t="s">
        <v>227</v>
      </c>
      <c r="H1408" s="37" t="s">
        <v>3233</v>
      </c>
      <c r="I1408" s="37" t="s">
        <v>260</v>
      </c>
    </row>
    <row r="1409" ht="15.75" hidden="1" customHeight="1">
      <c r="A1409" s="38">
        <v>5176030.0</v>
      </c>
      <c r="B1409" s="39" t="s">
        <v>1019</v>
      </c>
      <c r="C1409" s="39" t="s">
        <v>3234</v>
      </c>
      <c r="D1409" s="39" t="s">
        <v>331</v>
      </c>
      <c r="E1409" s="39" t="s">
        <v>1021</v>
      </c>
      <c r="F1409" s="39" t="s">
        <v>292</v>
      </c>
      <c r="G1409" s="39" t="s">
        <v>293</v>
      </c>
      <c r="H1409" s="39" t="s">
        <v>3235</v>
      </c>
      <c r="I1409" s="39" t="s">
        <v>229</v>
      </c>
    </row>
    <row r="1410" ht="15.75" hidden="1" customHeight="1">
      <c r="A1410" s="36">
        <v>5689035.0</v>
      </c>
      <c r="B1410" s="37" t="s">
        <v>113</v>
      </c>
      <c r="C1410" s="37" t="s">
        <v>3236</v>
      </c>
      <c r="D1410" s="37" t="s">
        <v>224</v>
      </c>
      <c r="E1410" s="37" t="s">
        <v>420</v>
      </c>
      <c r="F1410" s="37" t="s">
        <v>421</v>
      </c>
      <c r="G1410" s="37" t="s">
        <v>227</v>
      </c>
      <c r="H1410" s="37" t="s">
        <v>3237</v>
      </c>
      <c r="I1410" s="37" t="s">
        <v>260</v>
      </c>
    </row>
    <row r="1411" ht="15.75" hidden="1" customHeight="1">
      <c r="A1411" s="38">
        <v>5176082.0</v>
      </c>
      <c r="B1411" s="39" t="s">
        <v>695</v>
      </c>
      <c r="C1411" s="39" t="s">
        <v>3238</v>
      </c>
      <c r="D1411" s="39" t="s">
        <v>224</v>
      </c>
      <c r="E1411" s="39" t="s">
        <v>1697</v>
      </c>
      <c r="F1411" s="39" t="s">
        <v>698</v>
      </c>
      <c r="G1411" s="39" t="s">
        <v>541</v>
      </c>
      <c r="H1411" s="39" t="s">
        <v>3239</v>
      </c>
      <c r="I1411" s="39" t="s">
        <v>229</v>
      </c>
    </row>
    <row r="1412" ht="15.75" hidden="1" customHeight="1">
      <c r="A1412" s="36">
        <v>5693017.0</v>
      </c>
      <c r="B1412" s="37" t="s">
        <v>113</v>
      </c>
      <c r="C1412" s="37" t="s">
        <v>3240</v>
      </c>
      <c r="D1412" s="37" t="s">
        <v>224</v>
      </c>
      <c r="E1412" s="37" t="s">
        <v>420</v>
      </c>
      <c r="F1412" s="37" t="s">
        <v>421</v>
      </c>
      <c r="G1412" s="37" t="s">
        <v>227</v>
      </c>
      <c r="H1412" s="37" t="s">
        <v>3241</v>
      </c>
      <c r="I1412" s="37" t="s">
        <v>260</v>
      </c>
    </row>
    <row r="1413" ht="15.75" hidden="1" customHeight="1">
      <c r="A1413" s="38">
        <v>5302311.0</v>
      </c>
      <c r="B1413" s="39" t="s">
        <v>113</v>
      </c>
      <c r="C1413" s="39" t="s">
        <v>3242</v>
      </c>
      <c r="D1413" s="39" t="s">
        <v>269</v>
      </c>
      <c r="E1413" s="39" t="s">
        <v>420</v>
      </c>
      <c r="F1413" s="39" t="s">
        <v>421</v>
      </c>
      <c r="G1413" s="39" t="s">
        <v>227</v>
      </c>
      <c r="H1413" s="39" t="s">
        <v>3243</v>
      </c>
      <c r="I1413" s="39" t="s">
        <v>260</v>
      </c>
    </row>
    <row r="1414" ht="15.75" hidden="1" customHeight="1">
      <c r="A1414" s="36">
        <v>5176104.0</v>
      </c>
      <c r="B1414" s="37" t="s">
        <v>457</v>
      </c>
      <c r="C1414" s="37" t="s">
        <v>3244</v>
      </c>
      <c r="D1414" s="37" t="s">
        <v>224</v>
      </c>
      <c r="E1414" s="37" t="s">
        <v>1145</v>
      </c>
      <c r="F1414" s="37" t="s">
        <v>292</v>
      </c>
      <c r="G1414" s="37" t="s">
        <v>293</v>
      </c>
      <c r="H1414" s="37" t="s">
        <v>3245</v>
      </c>
      <c r="I1414" s="37" t="s">
        <v>229</v>
      </c>
    </row>
    <row r="1415" ht="15.75" hidden="1" customHeight="1">
      <c r="A1415" s="38">
        <v>5176476.0</v>
      </c>
      <c r="B1415" s="39" t="s">
        <v>526</v>
      </c>
      <c r="C1415" s="39" t="s">
        <v>3246</v>
      </c>
      <c r="D1415" s="39" t="s">
        <v>224</v>
      </c>
      <c r="E1415" s="39" t="s">
        <v>649</v>
      </c>
      <c r="F1415" s="39" t="s">
        <v>326</v>
      </c>
      <c r="G1415" s="39" t="s">
        <v>327</v>
      </c>
      <c r="H1415" s="39" t="s">
        <v>3247</v>
      </c>
      <c r="I1415" s="39" t="s">
        <v>229</v>
      </c>
    </row>
    <row r="1416" ht="15.75" hidden="1" customHeight="1">
      <c r="A1416" s="36">
        <v>5721295.0</v>
      </c>
      <c r="B1416" s="37" t="s">
        <v>1791</v>
      </c>
      <c r="C1416" s="37" t="s">
        <v>3248</v>
      </c>
      <c r="D1416" s="37" t="s">
        <v>224</v>
      </c>
      <c r="E1416" s="37" t="s">
        <v>938</v>
      </c>
      <c r="F1416" s="37" t="s">
        <v>266</v>
      </c>
      <c r="G1416" s="37" t="s">
        <v>250</v>
      </c>
      <c r="H1416" s="37" t="s">
        <v>3249</v>
      </c>
      <c r="I1416" s="37" t="s">
        <v>229</v>
      </c>
    </row>
    <row r="1417" ht="15.75" hidden="1" customHeight="1">
      <c r="A1417" s="38">
        <v>5182008.0</v>
      </c>
      <c r="B1417" s="39" t="s">
        <v>232</v>
      </c>
      <c r="C1417" s="39" t="s">
        <v>3250</v>
      </c>
      <c r="D1417" s="39" t="s">
        <v>234</v>
      </c>
      <c r="E1417" s="39" t="s">
        <v>499</v>
      </c>
      <c r="F1417" s="39" t="s">
        <v>226</v>
      </c>
      <c r="G1417" s="39" t="s">
        <v>227</v>
      </c>
      <c r="H1417" s="39" t="s">
        <v>3251</v>
      </c>
      <c r="I1417" s="39" t="s">
        <v>229</v>
      </c>
    </row>
    <row r="1418" ht="15.75" hidden="1" customHeight="1">
      <c r="A1418" s="36">
        <v>5363161.0</v>
      </c>
      <c r="B1418" s="37" t="s">
        <v>1791</v>
      </c>
      <c r="C1418" s="37" t="s">
        <v>3252</v>
      </c>
      <c r="D1418" s="37" t="s">
        <v>224</v>
      </c>
      <c r="E1418" s="37" t="s">
        <v>938</v>
      </c>
      <c r="F1418" s="37" t="s">
        <v>266</v>
      </c>
      <c r="G1418" s="37" t="s">
        <v>250</v>
      </c>
      <c r="H1418" s="37" t="s">
        <v>3253</v>
      </c>
      <c r="I1418" s="37" t="s">
        <v>229</v>
      </c>
    </row>
    <row r="1419" ht="15.75" hidden="1" customHeight="1">
      <c r="A1419" s="38">
        <v>5182011.0</v>
      </c>
      <c r="B1419" s="39" t="s">
        <v>232</v>
      </c>
      <c r="C1419" s="39" t="s">
        <v>3254</v>
      </c>
      <c r="D1419" s="39" t="s">
        <v>224</v>
      </c>
      <c r="E1419" s="39" t="s">
        <v>499</v>
      </c>
      <c r="F1419" s="39" t="s">
        <v>226</v>
      </c>
      <c r="G1419" s="39" t="s">
        <v>227</v>
      </c>
      <c r="H1419" s="39" t="s">
        <v>3255</v>
      </c>
      <c r="I1419" s="39" t="s">
        <v>229</v>
      </c>
    </row>
    <row r="1420" ht="15.75" hidden="1" customHeight="1">
      <c r="A1420" s="36">
        <v>5946212.0</v>
      </c>
      <c r="B1420" s="37" t="s">
        <v>738</v>
      </c>
      <c r="C1420" s="37" t="s">
        <v>3256</v>
      </c>
      <c r="D1420" s="37" t="s">
        <v>224</v>
      </c>
      <c r="E1420" s="37" t="s">
        <v>938</v>
      </c>
      <c r="F1420" s="37" t="s">
        <v>266</v>
      </c>
      <c r="G1420" s="37" t="s">
        <v>250</v>
      </c>
      <c r="H1420" s="37" t="s">
        <v>3257</v>
      </c>
      <c r="I1420" s="37" t="s">
        <v>229</v>
      </c>
    </row>
    <row r="1421" ht="15.75" hidden="1" customHeight="1">
      <c r="A1421" s="38">
        <v>5852508.0</v>
      </c>
      <c r="B1421" s="39" t="s">
        <v>1791</v>
      </c>
      <c r="C1421" s="39" t="s">
        <v>3258</v>
      </c>
      <c r="D1421" s="39" t="s">
        <v>224</v>
      </c>
      <c r="E1421" s="39" t="s">
        <v>938</v>
      </c>
      <c r="F1421" s="39" t="s">
        <v>266</v>
      </c>
      <c r="G1421" s="39" t="s">
        <v>250</v>
      </c>
      <c r="H1421" s="39" t="s">
        <v>3259</v>
      </c>
      <c r="I1421" s="39" t="s">
        <v>229</v>
      </c>
    </row>
    <row r="1422" ht="15.75" hidden="1" customHeight="1">
      <c r="A1422" s="36">
        <v>5908341.0</v>
      </c>
      <c r="B1422" s="37" t="s">
        <v>738</v>
      </c>
      <c r="C1422" s="37" t="s">
        <v>3260</v>
      </c>
      <c r="D1422" s="37" t="s">
        <v>224</v>
      </c>
      <c r="E1422" s="37" t="s">
        <v>938</v>
      </c>
      <c r="F1422" s="37" t="s">
        <v>266</v>
      </c>
      <c r="G1422" s="37" t="s">
        <v>250</v>
      </c>
      <c r="H1422" s="37" t="s">
        <v>3261</v>
      </c>
      <c r="I1422" s="37" t="s">
        <v>229</v>
      </c>
    </row>
    <row r="1423" ht="15.75" hidden="1" customHeight="1">
      <c r="A1423" s="38">
        <v>5196593.0</v>
      </c>
      <c r="B1423" s="39" t="s">
        <v>232</v>
      </c>
      <c r="C1423" s="39" t="s">
        <v>3262</v>
      </c>
      <c r="D1423" s="39" t="s">
        <v>224</v>
      </c>
      <c r="E1423" s="39" t="s">
        <v>790</v>
      </c>
      <c r="F1423" s="39" t="s">
        <v>226</v>
      </c>
      <c r="G1423" s="39" t="s">
        <v>227</v>
      </c>
      <c r="H1423" s="39" t="s">
        <v>3263</v>
      </c>
      <c r="I1423" s="39" t="s">
        <v>229</v>
      </c>
    </row>
    <row r="1424" ht="15.75" hidden="1" customHeight="1">
      <c r="A1424" s="36">
        <v>5196597.0</v>
      </c>
      <c r="B1424" s="37" t="s">
        <v>841</v>
      </c>
      <c r="C1424" s="37" t="s">
        <v>3264</v>
      </c>
      <c r="D1424" s="37" t="s">
        <v>224</v>
      </c>
      <c r="E1424" s="37" t="s">
        <v>843</v>
      </c>
      <c r="F1424" s="37" t="s">
        <v>242</v>
      </c>
      <c r="G1424" s="37" t="s">
        <v>227</v>
      </c>
      <c r="H1424" s="37" t="s">
        <v>3265</v>
      </c>
      <c r="I1424" s="37" t="s">
        <v>229</v>
      </c>
    </row>
    <row r="1425" ht="15.75" hidden="1" customHeight="1">
      <c r="A1425" s="38">
        <v>5259826.0</v>
      </c>
      <c r="B1425" s="39" t="s">
        <v>1791</v>
      </c>
      <c r="C1425" s="39" t="s">
        <v>3266</v>
      </c>
      <c r="D1425" s="39" t="s">
        <v>224</v>
      </c>
      <c r="E1425" s="39" t="s">
        <v>938</v>
      </c>
      <c r="F1425" s="39" t="s">
        <v>266</v>
      </c>
      <c r="G1425" s="39" t="s">
        <v>250</v>
      </c>
      <c r="H1425" s="39" t="s">
        <v>3267</v>
      </c>
      <c r="I1425" s="39" t="s">
        <v>229</v>
      </c>
    </row>
    <row r="1426" ht="15.75" hidden="1" customHeight="1">
      <c r="A1426" s="36">
        <v>5197065.0</v>
      </c>
      <c r="B1426" s="37" t="s">
        <v>841</v>
      </c>
      <c r="C1426" s="37" t="s">
        <v>3268</v>
      </c>
      <c r="D1426" s="37" t="s">
        <v>224</v>
      </c>
      <c r="E1426" s="37" t="s">
        <v>843</v>
      </c>
      <c r="F1426" s="37" t="s">
        <v>242</v>
      </c>
      <c r="G1426" s="37" t="s">
        <v>227</v>
      </c>
      <c r="H1426" s="37" t="s">
        <v>3269</v>
      </c>
      <c r="I1426" s="37" t="s">
        <v>229</v>
      </c>
    </row>
    <row r="1427" ht="15.75" hidden="1" customHeight="1">
      <c r="A1427" s="38">
        <v>5862495.0</v>
      </c>
      <c r="B1427" s="39" t="s">
        <v>425</v>
      </c>
      <c r="C1427" s="39" t="s">
        <v>3270</v>
      </c>
      <c r="D1427" s="39" t="s">
        <v>224</v>
      </c>
      <c r="E1427" s="39" t="s">
        <v>427</v>
      </c>
      <c r="F1427" s="39" t="s">
        <v>312</v>
      </c>
      <c r="G1427" s="37" t="s">
        <v>3</v>
      </c>
      <c r="H1427" s="39" t="s">
        <v>3271</v>
      </c>
      <c r="I1427" s="39" t="s">
        <v>260</v>
      </c>
    </row>
    <row r="1428" ht="15.75" hidden="1" customHeight="1">
      <c r="A1428" s="36">
        <v>5197878.0</v>
      </c>
      <c r="B1428" s="37" t="s">
        <v>841</v>
      </c>
      <c r="C1428" s="37" t="s">
        <v>3272</v>
      </c>
      <c r="D1428" s="37" t="s">
        <v>224</v>
      </c>
      <c r="E1428" s="37" t="s">
        <v>843</v>
      </c>
      <c r="F1428" s="37" t="s">
        <v>242</v>
      </c>
      <c r="G1428" s="37" t="s">
        <v>227</v>
      </c>
      <c r="H1428" s="37" t="s">
        <v>3273</v>
      </c>
      <c r="I1428" s="37" t="s">
        <v>229</v>
      </c>
    </row>
    <row r="1429" ht="15.75" hidden="1" customHeight="1">
      <c r="A1429" s="38">
        <v>5346435.0</v>
      </c>
      <c r="B1429" s="39" t="s">
        <v>425</v>
      </c>
      <c r="C1429" s="39" t="s">
        <v>3274</v>
      </c>
      <c r="D1429" s="39" t="s">
        <v>224</v>
      </c>
      <c r="E1429" s="39" t="s">
        <v>427</v>
      </c>
      <c r="F1429" s="39" t="s">
        <v>312</v>
      </c>
      <c r="G1429" s="37" t="s">
        <v>3</v>
      </c>
      <c r="H1429" s="39" t="s">
        <v>3275</v>
      </c>
      <c r="I1429" s="39" t="s">
        <v>260</v>
      </c>
    </row>
    <row r="1430" ht="15.75" hidden="1" customHeight="1">
      <c r="A1430" s="36">
        <v>5200231.0</v>
      </c>
      <c r="B1430" s="37" t="s">
        <v>738</v>
      </c>
      <c r="C1430" s="37" t="s">
        <v>3276</v>
      </c>
      <c r="D1430" s="37" t="s">
        <v>224</v>
      </c>
      <c r="E1430" s="37" t="s">
        <v>1403</v>
      </c>
      <c r="F1430" s="37" t="s">
        <v>533</v>
      </c>
      <c r="G1430" s="37" t="s">
        <v>250</v>
      </c>
      <c r="H1430" s="37" t="s">
        <v>3277</v>
      </c>
      <c r="I1430" s="37" t="s">
        <v>229</v>
      </c>
    </row>
    <row r="1431" ht="15.75" hidden="1" customHeight="1">
      <c r="A1431" s="38">
        <v>5200517.0</v>
      </c>
      <c r="B1431" s="39" t="s">
        <v>467</v>
      </c>
      <c r="C1431" s="39" t="s">
        <v>3278</v>
      </c>
      <c r="D1431" s="39" t="s">
        <v>224</v>
      </c>
      <c r="E1431" s="39" t="s">
        <v>469</v>
      </c>
      <c r="F1431" s="39" t="s">
        <v>470</v>
      </c>
      <c r="G1431" s="39" t="s">
        <v>327</v>
      </c>
      <c r="H1431" s="39" t="s">
        <v>3279</v>
      </c>
      <c r="I1431" s="39" t="s">
        <v>229</v>
      </c>
    </row>
    <row r="1432" ht="15.75" hidden="1" customHeight="1">
      <c r="A1432" s="36">
        <v>5206550.0</v>
      </c>
      <c r="B1432" s="37" t="s">
        <v>632</v>
      </c>
      <c r="C1432" s="37" t="s">
        <v>3280</v>
      </c>
      <c r="D1432" s="37" t="s">
        <v>224</v>
      </c>
      <c r="E1432" s="37" t="s">
        <v>891</v>
      </c>
      <c r="F1432" s="37" t="s">
        <v>257</v>
      </c>
      <c r="G1432" s="37" t="s">
        <v>258</v>
      </c>
      <c r="H1432" s="37" t="s">
        <v>3281</v>
      </c>
      <c r="I1432" s="37" t="s">
        <v>260</v>
      </c>
    </row>
    <row r="1433" ht="15.75" hidden="1" customHeight="1">
      <c r="A1433" s="38">
        <v>5771935.0</v>
      </c>
      <c r="B1433" s="39" t="s">
        <v>425</v>
      </c>
      <c r="C1433" s="39" t="s">
        <v>3282</v>
      </c>
      <c r="D1433" s="39" t="s">
        <v>224</v>
      </c>
      <c r="E1433" s="39" t="s">
        <v>427</v>
      </c>
      <c r="F1433" s="39" t="s">
        <v>312</v>
      </c>
      <c r="G1433" s="37" t="s">
        <v>3</v>
      </c>
      <c r="H1433" s="39" t="s">
        <v>3283</v>
      </c>
      <c r="I1433" s="39" t="s">
        <v>260</v>
      </c>
    </row>
    <row r="1434" ht="15.75" hidden="1" customHeight="1">
      <c r="A1434" s="36">
        <v>5213920.0</v>
      </c>
      <c r="B1434" s="37" t="s">
        <v>549</v>
      </c>
      <c r="C1434" s="37" t="s">
        <v>3284</v>
      </c>
      <c r="D1434" s="37" t="s">
        <v>224</v>
      </c>
      <c r="E1434" s="37" t="s">
        <v>551</v>
      </c>
      <c r="F1434" s="37" t="s">
        <v>494</v>
      </c>
      <c r="G1434" s="37" t="s">
        <v>227</v>
      </c>
      <c r="H1434" s="37" t="s">
        <v>3285</v>
      </c>
      <c r="I1434" s="37" t="s">
        <v>260</v>
      </c>
    </row>
    <row r="1435" ht="15.75" hidden="1" customHeight="1">
      <c r="A1435" s="38">
        <v>5650448.0</v>
      </c>
      <c r="B1435" s="39" t="s">
        <v>425</v>
      </c>
      <c r="C1435" s="39" t="s">
        <v>3286</v>
      </c>
      <c r="D1435" s="39" t="s">
        <v>224</v>
      </c>
      <c r="E1435" s="39" t="s">
        <v>427</v>
      </c>
      <c r="F1435" s="39" t="s">
        <v>312</v>
      </c>
      <c r="G1435" s="37" t="s">
        <v>3</v>
      </c>
      <c r="H1435" s="39" t="s">
        <v>3287</v>
      </c>
      <c r="I1435" s="39" t="s">
        <v>260</v>
      </c>
    </row>
    <row r="1436" ht="15.75" hidden="1" customHeight="1">
      <c r="A1436" s="36">
        <v>5213959.0</v>
      </c>
      <c r="B1436" s="37" t="s">
        <v>549</v>
      </c>
      <c r="C1436" s="37" t="s">
        <v>3288</v>
      </c>
      <c r="D1436" s="37" t="s">
        <v>224</v>
      </c>
      <c r="E1436" s="37" t="s">
        <v>551</v>
      </c>
      <c r="F1436" s="37" t="s">
        <v>494</v>
      </c>
      <c r="G1436" s="37" t="s">
        <v>227</v>
      </c>
      <c r="H1436" s="37" t="s">
        <v>3289</v>
      </c>
      <c r="I1436" s="37" t="s">
        <v>260</v>
      </c>
    </row>
    <row r="1437" ht="15.75" hidden="1" customHeight="1">
      <c r="A1437" s="38">
        <v>5216521.0</v>
      </c>
      <c r="B1437" s="39" t="s">
        <v>1695</v>
      </c>
      <c r="C1437" s="39" t="s">
        <v>3290</v>
      </c>
      <c r="D1437" s="39" t="s">
        <v>224</v>
      </c>
      <c r="E1437" s="39" t="s">
        <v>1697</v>
      </c>
      <c r="F1437" s="39" t="s">
        <v>698</v>
      </c>
      <c r="G1437" s="39" t="s">
        <v>541</v>
      </c>
      <c r="H1437" s="39" t="s">
        <v>3291</v>
      </c>
      <c r="I1437" s="39" t="s">
        <v>229</v>
      </c>
    </row>
    <row r="1438" ht="15.75" hidden="1" customHeight="1">
      <c r="A1438" s="36">
        <v>5216564.0</v>
      </c>
      <c r="B1438" s="37" t="s">
        <v>1791</v>
      </c>
      <c r="C1438" s="37" t="s">
        <v>3292</v>
      </c>
      <c r="D1438" s="37" t="s">
        <v>224</v>
      </c>
      <c r="E1438" s="37" t="s">
        <v>2629</v>
      </c>
      <c r="F1438" s="37" t="s">
        <v>266</v>
      </c>
      <c r="G1438" s="37" t="s">
        <v>250</v>
      </c>
      <c r="H1438" s="37" t="s">
        <v>3293</v>
      </c>
      <c r="I1438" s="37" t="s">
        <v>229</v>
      </c>
    </row>
    <row r="1439" ht="15.75" hidden="1" customHeight="1">
      <c r="A1439" s="38">
        <v>5332423.0</v>
      </c>
      <c r="B1439" s="39" t="s">
        <v>425</v>
      </c>
      <c r="C1439" s="39" t="s">
        <v>3294</v>
      </c>
      <c r="D1439" s="39" t="s">
        <v>224</v>
      </c>
      <c r="E1439" s="39" t="s">
        <v>427</v>
      </c>
      <c r="F1439" s="39" t="s">
        <v>312</v>
      </c>
      <c r="G1439" s="37" t="s">
        <v>3</v>
      </c>
      <c r="H1439" s="39" t="s">
        <v>3295</v>
      </c>
      <c r="I1439" s="39" t="s">
        <v>260</v>
      </c>
    </row>
    <row r="1440" ht="15.75" hidden="1" customHeight="1">
      <c r="A1440" s="36">
        <v>5782589.0</v>
      </c>
      <c r="B1440" s="37" t="s">
        <v>425</v>
      </c>
      <c r="C1440" s="37" t="s">
        <v>3296</v>
      </c>
      <c r="D1440" s="37" t="s">
        <v>224</v>
      </c>
      <c r="E1440" s="37" t="s">
        <v>427</v>
      </c>
      <c r="F1440" s="37" t="s">
        <v>312</v>
      </c>
      <c r="G1440" s="37" t="s">
        <v>3</v>
      </c>
      <c r="H1440" s="37" t="s">
        <v>3297</v>
      </c>
      <c r="I1440" s="37" t="s">
        <v>260</v>
      </c>
    </row>
    <row r="1441" ht="15.75" hidden="1" customHeight="1">
      <c r="A1441" s="38">
        <v>5461849.0</v>
      </c>
      <c r="B1441" s="39" t="s">
        <v>425</v>
      </c>
      <c r="C1441" s="39" t="s">
        <v>3298</v>
      </c>
      <c r="D1441" s="39" t="s">
        <v>224</v>
      </c>
      <c r="E1441" s="39" t="s">
        <v>427</v>
      </c>
      <c r="F1441" s="39" t="s">
        <v>312</v>
      </c>
      <c r="G1441" s="37" t="s">
        <v>3</v>
      </c>
      <c r="H1441" s="39" t="s">
        <v>3299</v>
      </c>
      <c r="I1441" s="39" t="s">
        <v>260</v>
      </c>
    </row>
    <row r="1442" ht="15.75" hidden="1" customHeight="1">
      <c r="A1442" s="36">
        <v>5216577.0</v>
      </c>
      <c r="B1442" s="37" t="s">
        <v>1695</v>
      </c>
      <c r="C1442" s="37" t="s">
        <v>3300</v>
      </c>
      <c r="D1442" s="37" t="s">
        <v>331</v>
      </c>
      <c r="E1442" s="37" t="s">
        <v>1697</v>
      </c>
      <c r="F1442" s="37" t="s">
        <v>698</v>
      </c>
      <c r="G1442" s="37" t="s">
        <v>541</v>
      </c>
      <c r="H1442" s="37" t="s">
        <v>3301</v>
      </c>
      <c r="I1442" s="37" t="s">
        <v>229</v>
      </c>
    </row>
    <row r="1443" ht="15.75" hidden="1" customHeight="1">
      <c r="A1443" s="38">
        <v>5782592.0</v>
      </c>
      <c r="B1443" s="39" t="s">
        <v>425</v>
      </c>
      <c r="C1443" s="39" t="s">
        <v>3302</v>
      </c>
      <c r="D1443" s="39" t="s">
        <v>224</v>
      </c>
      <c r="E1443" s="39" t="s">
        <v>427</v>
      </c>
      <c r="F1443" s="39" t="s">
        <v>312</v>
      </c>
      <c r="G1443" s="37" t="s">
        <v>3</v>
      </c>
      <c r="H1443" s="39" t="s">
        <v>3303</v>
      </c>
      <c r="I1443" s="39" t="s">
        <v>260</v>
      </c>
    </row>
    <row r="1444" ht="15.75" hidden="1" customHeight="1">
      <c r="A1444" s="36">
        <v>5217982.0</v>
      </c>
      <c r="B1444" s="37" t="s">
        <v>316</v>
      </c>
      <c r="C1444" s="37" t="s">
        <v>3304</v>
      </c>
      <c r="D1444" s="37" t="s">
        <v>224</v>
      </c>
      <c r="E1444" s="37" t="s">
        <v>1773</v>
      </c>
      <c r="F1444" s="37" t="s">
        <v>293</v>
      </c>
      <c r="G1444" s="37" t="s">
        <v>319</v>
      </c>
      <c r="H1444" s="37" t="s">
        <v>3305</v>
      </c>
      <c r="I1444" s="37" t="s">
        <v>229</v>
      </c>
    </row>
    <row r="1445" ht="15.75" hidden="1" customHeight="1">
      <c r="A1445" s="38">
        <v>5549463.0</v>
      </c>
      <c r="B1445" s="39" t="s">
        <v>425</v>
      </c>
      <c r="C1445" s="39" t="s">
        <v>3306</v>
      </c>
      <c r="D1445" s="39" t="s">
        <v>224</v>
      </c>
      <c r="E1445" s="39" t="s">
        <v>427</v>
      </c>
      <c r="F1445" s="39" t="s">
        <v>312</v>
      </c>
      <c r="G1445" s="37" t="s">
        <v>3</v>
      </c>
      <c r="H1445" s="39" t="s">
        <v>3307</v>
      </c>
      <c r="I1445" s="39" t="s">
        <v>260</v>
      </c>
    </row>
    <row r="1446" ht="15.75" hidden="1" customHeight="1">
      <c r="A1446" s="36">
        <v>5218652.0</v>
      </c>
      <c r="B1446" s="37" t="s">
        <v>549</v>
      </c>
      <c r="C1446" s="37" t="s">
        <v>3308</v>
      </c>
      <c r="D1446" s="37" t="s">
        <v>224</v>
      </c>
      <c r="E1446" s="37" t="s">
        <v>551</v>
      </c>
      <c r="F1446" s="37" t="s">
        <v>494</v>
      </c>
      <c r="G1446" s="37" t="s">
        <v>227</v>
      </c>
      <c r="H1446" s="37" t="s">
        <v>3309</v>
      </c>
      <c r="I1446" s="37" t="s">
        <v>260</v>
      </c>
    </row>
    <row r="1447" ht="15.75" hidden="1" customHeight="1">
      <c r="A1447" s="38">
        <v>5972611.0</v>
      </c>
      <c r="B1447" s="39" t="s">
        <v>425</v>
      </c>
      <c r="C1447" s="39" t="s">
        <v>3310</v>
      </c>
      <c r="D1447" s="39" t="s">
        <v>224</v>
      </c>
      <c r="E1447" s="39" t="s">
        <v>427</v>
      </c>
      <c r="F1447" s="39" t="s">
        <v>312</v>
      </c>
      <c r="G1447" s="37" t="s">
        <v>3</v>
      </c>
      <c r="H1447" s="39" t="s">
        <v>3311</v>
      </c>
      <c r="I1447" s="39" t="s">
        <v>260</v>
      </c>
    </row>
    <row r="1448" ht="15.75" hidden="1" customHeight="1">
      <c r="A1448" s="36">
        <v>5221680.0</v>
      </c>
      <c r="B1448" s="37" t="s">
        <v>246</v>
      </c>
      <c r="C1448" s="37" t="s">
        <v>3312</v>
      </c>
      <c r="D1448" s="37" t="s">
        <v>224</v>
      </c>
      <c r="E1448" s="37" t="s">
        <v>1062</v>
      </c>
      <c r="F1448" s="37" t="s">
        <v>249</v>
      </c>
      <c r="G1448" s="37" t="s">
        <v>250</v>
      </c>
      <c r="H1448" s="37" t="s">
        <v>3313</v>
      </c>
      <c r="I1448" s="37" t="s">
        <v>229</v>
      </c>
    </row>
    <row r="1449" ht="15.75" hidden="1" customHeight="1">
      <c r="A1449" s="38">
        <v>5230624.0</v>
      </c>
      <c r="B1449" s="39" t="s">
        <v>3225</v>
      </c>
      <c r="C1449" s="39" t="s">
        <v>3314</v>
      </c>
      <c r="D1449" s="39" t="s">
        <v>224</v>
      </c>
      <c r="E1449" s="39" t="s">
        <v>539</v>
      </c>
      <c r="F1449" s="39" t="s">
        <v>540</v>
      </c>
      <c r="G1449" s="39" t="s">
        <v>541</v>
      </c>
      <c r="H1449" s="39" t="s">
        <v>3315</v>
      </c>
      <c r="I1449" s="39" t="s">
        <v>229</v>
      </c>
    </row>
    <row r="1450" ht="15.75" hidden="1" customHeight="1">
      <c r="A1450" s="36">
        <v>5233818.0</v>
      </c>
      <c r="B1450" s="37" t="s">
        <v>316</v>
      </c>
      <c r="C1450" s="37" t="s">
        <v>3316</v>
      </c>
      <c r="D1450" s="37" t="s">
        <v>224</v>
      </c>
      <c r="E1450" s="37" t="s">
        <v>1453</v>
      </c>
      <c r="F1450" s="37" t="s">
        <v>293</v>
      </c>
      <c r="G1450" s="37" t="s">
        <v>319</v>
      </c>
      <c r="H1450" s="37" t="s">
        <v>3317</v>
      </c>
      <c r="I1450" s="37" t="s">
        <v>229</v>
      </c>
    </row>
    <row r="1451" ht="15.75" hidden="1" customHeight="1">
      <c r="A1451" s="38">
        <v>5908308.0</v>
      </c>
      <c r="B1451" s="39" t="s">
        <v>2372</v>
      </c>
      <c r="C1451" s="39" t="s">
        <v>3318</v>
      </c>
      <c r="D1451" s="39" t="s">
        <v>224</v>
      </c>
      <c r="E1451" s="39" t="s">
        <v>2374</v>
      </c>
      <c r="F1451" s="39" t="s">
        <v>266</v>
      </c>
      <c r="G1451" s="39" t="s">
        <v>250</v>
      </c>
      <c r="H1451" s="39" t="s">
        <v>3319</v>
      </c>
      <c r="I1451" s="39" t="s">
        <v>229</v>
      </c>
    </row>
    <row r="1452" ht="15.75" hidden="1" customHeight="1">
      <c r="A1452" s="36">
        <v>5983339.0</v>
      </c>
      <c r="B1452" s="37" t="s">
        <v>263</v>
      </c>
      <c r="C1452" s="37" t="s">
        <v>3320</v>
      </c>
      <c r="D1452" s="37" t="s">
        <v>224</v>
      </c>
      <c r="E1452" s="37" t="s">
        <v>2374</v>
      </c>
      <c r="F1452" s="37" t="s">
        <v>266</v>
      </c>
      <c r="G1452" s="37" t="s">
        <v>250</v>
      </c>
      <c r="H1452" s="37" t="s">
        <v>3321</v>
      </c>
      <c r="I1452" s="37" t="s">
        <v>229</v>
      </c>
    </row>
    <row r="1453" ht="15.75" hidden="1" customHeight="1">
      <c r="A1453" s="38">
        <v>5236447.0</v>
      </c>
      <c r="B1453" s="39" t="s">
        <v>676</v>
      </c>
      <c r="C1453" s="39" t="s">
        <v>3322</v>
      </c>
      <c r="D1453" s="39" t="s">
        <v>224</v>
      </c>
      <c r="E1453" s="39" t="s">
        <v>1859</v>
      </c>
      <c r="F1453" s="39" t="s">
        <v>679</v>
      </c>
      <c r="G1453" s="39" t="s">
        <v>301</v>
      </c>
      <c r="H1453" s="39" t="s">
        <v>3323</v>
      </c>
      <c r="I1453" s="39" t="s">
        <v>229</v>
      </c>
    </row>
    <row r="1454" ht="15.75" hidden="1" customHeight="1">
      <c r="A1454" s="36">
        <v>5236449.0</v>
      </c>
      <c r="B1454" s="37" t="s">
        <v>676</v>
      </c>
      <c r="C1454" s="37" t="s">
        <v>3324</v>
      </c>
      <c r="D1454" s="37" t="s">
        <v>224</v>
      </c>
      <c r="E1454" s="37" t="s">
        <v>678</v>
      </c>
      <c r="F1454" s="37" t="s">
        <v>679</v>
      </c>
      <c r="G1454" s="37" t="s">
        <v>301</v>
      </c>
      <c r="H1454" s="37" t="s">
        <v>3325</v>
      </c>
      <c r="I1454" s="37" t="s">
        <v>229</v>
      </c>
    </row>
    <row r="1455" ht="15.75" hidden="1" customHeight="1">
      <c r="A1455" s="38">
        <v>6082685.0</v>
      </c>
      <c r="B1455" s="39" t="s">
        <v>2372</v>
      </c>
      <c r="C1455" s="39" t="s">
        <v>3326</v>
      </c>
      <c r="D1455" s="39" t="s">
        <v>224</v>
      </c>
      <c r="E1455" s="39" t="s">
        <v>2374</v>
      </c>
      <c r="F1455" s="39" t="s">
        <v>266</v>
      </c>
      <c r="G1455" s="39" t="s">
        <v>250</v>
      </c>
      <c r="H1455" s="39" t="s">
        <v>3327</v>
      </c>
      <c r="I1455" s="39" t="s">
        <v>229</v>
      </c>
    </row>
    <row r="1456" ht="15.75" hidden="1" customHeight="1">
      <c r="A1456" s="36">
        <v>5236452.0</v>
      </c>
      <c r="B1456" s="37" t="s">
        <v>412</v>
      </c>
      <c r="C1456" s="37" t="s">
        <v>3328</v>
      </c>
      <c r="D1456" s="37" t="s">
        <v>224</v>
      </c>
      <c r="E1456" s="37" t="s">
        <v>831</v>
      </c>
      <c r="F1456" s="37" t="s">
        <v>3</v>
      </c>
      <c r="G1456" s="37" t="s">
        <v>3</v>
      </c>
      <c r="H1456" s="37" t="s">
        <v>3329</v>
      </c>
      <c r="I1456" s="37" t="s">
        <v>260</v>
      </c>
      <c r="J1456" s="1">
        <v>42.0</v>
      </c>
      <c r="L1456" s="40" t="s">
        <v>412</v>
      </c>
    </row>
    <row r="1457" ht="15.75" hidden="1" customHeight="1">
      <c r="A1457" s="38">
        <v>5976148.0</v>
      </c>
      <c r="B1457" s="39" t="s">
        <v>263</v>
      </c>
      <c r="C1457" s="39" t="s">
        <v>3330</v>
      </c>
      <c r="D1457" s="39" t="s">
        <v>224</v>
      </c>
      <c r="E1457" s="39" t="s">
        <v>2374</v>
      </c>
      <c r="F1457" s="39" t="s">
        <v>266</v>
      </c>
      <c r="G1457" s="39" t="s">
        <v>250</v>
      </c>
      <c r="H1457" s="39" t="s">
        <v>3331</v>
      </c>
      <c r="I1457" s="39" t="s">
        <v>229</v>
      </c>
    </row>
    <row r="1458" ht="15.75" hidden="1" customHeight="1">
      <c r="A1458" s="36">
        <v>5236454.0</v>
      </c>
      <c r="B1458" s="37" t="s">
        <v>676</v>
      </c>
      <c r="C1458" s="37" t="s">
        <v>3332</v>
      </c>
      <c r="D1458" s="37" t="s">
        <v>224</v>
      </c>
      <c r="E1458" s="37" t="s">
        <v>1859</v>
      </c>
      <c r="F1458" s="37" t="s">
        <v>679</v>
      </c>
      <c r="G1458" s="37" t="s">
        <v>301</v>
      </c>
      <c r="H1458" s="37" t="s">
        <v>3333</v>
      </c>
      <c r="I1458" s="37" t="s">
        <v>229</v>
      </c>
    </row>
    <row r="1459" ht="15.75" hidden="1" customHeight="1">
      <c r="A1459" s="38">
        <v>6082746.0</v>
      </c>
      <c r="B1459" s="39" t="s">
        <v>2372</v>
      </c>
      <c r="C1459" s="39" t="s">
        <v>3334</v>
      </c>
      <c r="D1459" s="39" t="s">
        <v>224</v>
      </c>
      <c r="E1459" s="39" t="s">
        <v>2374</v>
      </c>
      <c r="F1459" s="39" t="s">
        <v>266</v>
      </c>
      <c r="G1459" s="39" t="s">
        <v>250</v>
      </c>
      <c r="H1459" s="39" t="s">
        <v>3335</v>
      </c>
      <c r="I1459" s="39" t="s">
        <v>229</v>
      </c>
    </row>
    <row r="1460" ht="15.75" hidden="1" customHeight="1">
      <c r="A1460" s="36">
        <v>5982872.0</v>
      </c>
      <c r="B1460" s="37" t="s">
        <v>263</v>
      </c>
      <c r="C1460" s="37" t="s">
        <v>3336</v>
      </c>
      <c r="D1460" s="37" t="s">
        <v>224</v>
      </c>
      <c r="E1460" s="37" t="s">
        <v>2374</v>
      </c>
      <c r="F1460" s="37" t="s">
        <v>266</v>
      </c>
      <c r="G1460" s="37" t="s">
        <v>250</v>
      </c>
      <c r="H1460" s="37" t="s">
        <v>3337</v>
      </c>
      <c r="I1460" s="37" t="s">
        <v>229</v>
      </c>
    </row>
    <row r="1461" ht="15.75" hidden="1" customHeight="1">
      <c r="A1461" s="38">
        <v>5442044.0</v>
      </c>
      <c r="B1461" s="39" t="s">
        <v>2372</v>
      </c>
      <c r="C1461" s="39" t="s">
        <v>3338</v>
      </c>
      <c r="D1461" s="39" t="s">
        <v>224</v>
      </c>
      <c r="E1461" s="39" t="s">
        <v>2374</v>
      </c>
      <c r="F1461" s="39" t="s">
        <v>266</v>
      </c>
      <c r="G1461" s="39" t="s">
        <v>250</v>
      </c>
      <c r="H1461" s="39" t="s">
        <v>3339</v>
      </c>
      <c r="I1461" s="39" t="s">
        <v>229</v>
      </c>
    </row>
    <row r="1462" ht="15.75" hidden="1" customHeight="1">
      <c r="A1462" s="36">
        <v>5549700.0</v>
      </c>
      <c r="B1462" s="37" t="s">
        <v>2372</v>
      </c>
      <c r="C1462" s="37" t="s">
        <v>3340</v>
      </c>
      <c r="D1462" s="37" t="s">
        <v>224</v>
      </c>
      <c r="E1462" s="37" t="s">
        <v>2374</v>
      </c>
      <c r="F1462" s="37" t="s">
        <v>266</v>
      </c>
      <c r="G1462" s="37" t="s">
        <v>250</v>
      </c>
      <c r="H1462" s="37" t="s">
        <v>3341</v>
      </c>
      <c r="I1462" s="37" t="s">
        <v>229</v>
      </c>
    </row>
    <row r="1463" ht="15.75" hidden="1" customHeight="1">
      <c r="A1463" s="38">
        <v>5248919.0</v>
      </c>
      <c r="B1463" s="39" t="s">
        <v>522</v>
      </c>
      <c r="C1463" s="39" t="s">
        <v>3342</v>
      </c>
      <c r="D1463" s="39" t="s">
        <v>224</v>
      </c>
      <c r="E1463" s="39" t="s">
        <v>524</v>
      </c>
      <c r="F1463" s="39" t="s">
        <v>470</v>
      </c>
      <c r="G1463" s="39" t="s">
        <v>327</v>
      </c>
      <c r="H1463" s="39" t="s">
        <v>3343</v>
      </c>
      <c r="I1463" s="39" t="s">
        <v>229</v>
      </c>
    </row>
    <row r="1464" ht="15.75" hidden="1" customHeight="1">
      <c r="A1464" s="36">
        <v>5976144.0</v>
      </c>
      <c r="B1464" s="37" t="s">
        <v>263</v>
      </c>
      <c r="C1464" s="37" t="s">
        <v>3344</v>
      </c>
      <c r="D1464" s="37" t="s">
        <v>224</v>
      </c>
      <c r="E1464" s="37" t="s">
        <v>2374</v>
      </c>
      <c r="F1464" s="37" t="s">
        <v>266</v>
      </c>
      <c r="G1464" s="37" t="s">
        <v>250</v>
      </c>
      <c r="H1464" s="37" t="s">
        <v>3345</v>
      </c>
      <c r="I1464" s="37" t="s">
        <v>229</v>
      </c>
    </row>
    <row r="1465" ht="15.75" hidden="1" customHeight="1">
      <c r="A1465" s="38">
        <v>5248921.0</v>
      </c>
      <c r="B1465" s="39" t="s">
        <v>835</v>
      </c>
      <c r="C1465" s="39" t="s">
        <v>3346</v>
      </c>
      <c r="D1465" s="39" t="s">
        <v>224</v>
      </c>
      <c r="E1465" s="39" t="s">
        <v>837</v>
      </c>
      <c r="F1465" s="39" t="s">
        <v>377</v>
      </c>
      <c r="G1465" s="39" t="s">
        <v>327</v>
      </c>
      <c r="H1465" s="39" t="s">
        <v>3347</v>
      </c>
      <c r="I1465" s="39" t="s">
        <v>229</v>
      </c>
    </row>
    <row r="1466" ht="15.75" hidden="1" customHeight="1">
      <c r="A1466" s="36">
        <v>5529131.0</v>
      </c>
      <c r="B1466" s="37" t="s">
        <v>263</v>
      </c>
      <c r="C1466" s="37" t="s">
        <v>3348</v>
      </c>
      <c r="D1466" s="37" t="s">
        <v>224</v>
      </c>
      <c r="E1466" s="37" t="s">
        <v>2374</v>
      </c>
      <c r="F1466" s="37" t="s">
        <v>266</v>
      </c>
      <c r="G1466" s="37" t="s">
        <v>250</v>
      </c>
      <c r="H1466" s="37" t="s">
        <v>3349</v>
      </c>
      <c r="I1466" s="37" t="s">
        <v>229</v>
      </c>
    </row>
    <row r="1467" ht="15.75" hidden="1" customHeight="1">
      <c r="A1467" s="38">
        <v>5851501.0</v>
      </c>
      <c r="B1467" s="39" t="s">
        <v>2372</v>
      </c>
      <c r="C1467" s="39" t="s">
        <v>3350</v>
      </c>
      <c r="D1467" s="39" t="s">
        <v>224</v>
      </c>
      <c r="E1467" s="39" t="s">
        <v>2374</v>
      </c>
      <c r="F1467" s="39" t="s">
        <v>266</v>
      </c>
      <c r="G1467" s="39" t="s">
        <v>250</v>
      </c>
      <c r="H1467" s="39" t="s">
        <v>3351</v>
      </c>
      <c r="I1467" s="39" t="s">
        <v>229</v>
      </c>
    </row>
    <row r="1468" ht="15.75" hidden="1" customHeight="1">
      <c r="A1468" s="36">
        <v>5248999.0</v>
      </c>
      <c r="B1468" s="37" t="s">
        <v>485</v>
      </c>
      <c r="C1468" s="37" t="s">
        <v>3352</v>
      </c>
      <c r="D1468" s="37" t="s">
        <v>224</v>
      </c>
      <c r="E1468" s="37" t="s">
        <v>672</v>
      </c>
      <c r="F1468" s="37" t="s">
        <v>470</v>
      </c>
      <c r="G1468" s="37" t="s">
        <v>327</v>
      </c>
      <c r="H1468" s="37" t="s">
        <v>3353</v>
      </c>
      <c r="I1468" s="37" t="s">
        <v>229</v>
      </c>
    </row>
    <row r="1469" ht="15.75" hidden="1" customHeight="1">
      <c r="A1469" s="38">
        <v>5980044.0</v>
      </c>
      <c r="B1469" s="39" t="s">
        <v>263</v>
      </c>
      <c r="C1469" s="39" t="s">
        <v>3354</v>
      </c>
      <c r="D1469" s="39" t="s">
        <v>224</v>
      </c>
      <c r="E1469" s="39" t="s">
        <v>2374</v>
      </c>
      <c r="F1469" s="39" t="s">
        <v>266</v>
      </c>
      <c r="G1469" s="39" t="s">
        <v>250</v>
      </c>
      <c r="H1469" s="39" t="s">
        <v>3355</v>
      </c>
      <c r="I1469" s="39" t="s">
        <v>229</v>
      </c>
    </row>
    <row r="1470" ht="15.75" hidden="1" customHeight="1">
      <c r="A1470" s="36">
        <v>5249001.0</v>
      </c>
      <c r="B1470" s="37" t="s">
        <v>1791</v>
      </c>
      <c r="C1470" s="37" t="s">
        <v>3356</v>
      </c>
      <c r="D1470" s="37" t="s">
        <v>224</v>
      </c>
      <c r="E1470" s="37" t="s">
        <v>2629</v>
      </c>
      <c r="F1470" s="37" t="s">
        <v>266</v>
      </c>
      <c r="G1470" s="37" t="s">
        <v>250</v>
      </c>
      <c r="H1470" s="37" t="s">
        <v>3357</v>
      </c>
      <c r="I1470" s="37" t="s">
        <v>229</v>
      </c>
    </row>
    <row r="1471" ht="15.75" hidden="1" customHeight="1">
      <c r="A1471" s="38">
        <v>5249227.0</v>
      </c>
      <c r="B1471" s="39" t="s">
        <v>794</v>
      </c>
      <c r="C1471" s="39" t="s">
        <v>3358</v>
      </c>
      <c r="D1471" s="39" t="s">
        <v>224</v>
      </c>
      <c r="E1471" s="39" t="s">
        <v>796</v>
      </c>
      <c r="F1471" s="39" t="s">
        <v>293</v>
      </c>
      <c r="G1471" s="39" t="s">
        <v>319</v>
      </c>
      <c r="H1471" s="39" t="s">
        <v>3359</v>
      </c>
      <c r="I1471" s="39" t="s">
        <v>229</v>
      </c>
    </row>
    <row r="1472" ht="15.75" hidden="1" customHeight="1">
      <c r="A1472" s="36">
        <v>5444014.0</v>
      </c>
      <c r="B1472" s="37" t="s">
        <v>907</v>
      </c>
      <c r="C1472" s="37" t="s">
        <v>3360</v>
      </c>
      <c r="D1472" s="37" t="s">
        <v>224</v>
      </c>
      <c r="E1472" s="37" t="s">
        <v>443</v>
      </c>
      <c r="F1472" s="37" t="s">
        <v>257</v>
      </c>
      <c r="G1472" s="37" t="s">
        <v>258</v>
      </c>
      <c r="H1472" s="37" t="s">
        <v>3361</v>
      </c>
      <c r="I1472" s="37" t="s">
        <v>260</v>
      </c>
    </row>
    <row r="1473" ht="15.75" hidden="1" customHeight="1">
      <c r="A1473" s="38">
        <v>5251351.0</v>
      </c>
      <c r="B1473" s="39" t="s">
        <v>478</v>
      </c>
      <c r="C1473" s="39" t="s">
        <v>3362</v>
      </c>
      <c r="D1473" s="39" t="s">
        <v>224</v>
      </c>
      <c r="E1473" s="39" t="s">
        <v>1323</v>
      </c>
      <c r="F1473" s="39" t="s">
        <v>481</v>
      </c>
      <c r="G1473" s="39" t="s">
        <v>293</v>
      </c>
      <c r="H1473" s="39" t="s">
        <v>3363</v>
      </c>
      <c r="I1473" s="39" t="s">
        <v>229</v>
      </c>
    </row>
    <row r="1474" ht="15.75" hidden="1" customHeight="1">
      <c r="A1474" s="36">
        <v>5862467.0</v>
      </c>
      <c r="B1474" s="37" t="s">
        <v>441</v>
      </c>
      <c r="C1474" s="37" t="s">
        <v>3364</v>
      </c>
      <c r="D1474" s="37" t="s">
        <v>224</v>
      </c>
      <c r="E1474" s="37" t="s">
        <v>443</v>
      </c>
      <c r="F1474" s="37" t="s">
        <v>257</v>
      </c>
      <c r="G1474" s="37" t="s">
        <v>258</v>
      </c>
      <c r="H1474" s="37" t="s">
        <v>3365</v>
      </c>
      <c r="I1474" s="37" t="s">
        <v>260</v>
      </c>
    </row>
    <row r="1475" ht="15.75" hidden="1" customHeight="1">
      <c r="A1475" s="38">
        <v>5258169.0</v>
      </c>
      <c r="B1475" s="39" t="s">
        <v>289</v>
      </c>
      <c r="C1475" s="39" t="s">
        <v>3366</v>
      </c>
      <c r="D1475" s="39" t="s">
        <v>224</v>
      </c>
      <c r="E1475" s="39" t="s">
        <v>1048</v>
      </c>
      <c r="F1475" s="39" t="s">
        <v>292</v>
      </c>
      <c r="G1475" s="39" t="s">
        <v>293</v>
      </c>
      <c r="H1475" s="39" t="s">
        <v>3367</v>
      </c>
      <c r="I1475" s="39" t="s">
        <v>229</v>
      </c>
    </row>
    <row r="1476" ht="15.75" hidden="1" customHeight="1">
      <c r="A1476" s="36">
        <v>5529065.0</v>
      </c>
      <c r="B1476" s="37" t="s">
        <v>254</v>
      </c>
      <c r="C1476" s="37" t="s">
        <v>3368</v>
      </c>
      <c r="D1476" s="37" t="s">
        <v>224</v>
      </c>
      <c r="E1476" s="37" t="s">
        <v>443</v>
      </c>
      <c r="F1476" s="37" t="s">
        <v>257</v>
      </c>
      <c r="G1476" s="37" t="s">
        <v>258</v>
      </c>
      <c r="H1476" s="37" t="s">
        <v>3369</v>
      </c>
      <c r="I1476" s="37" t="s">
        <v>260</v>
      </c>
    </row>
    <row r="1477" ht="15.75" hidden="1" customHeight="1">
      <c r="A1477" s="38">
        <v>5359852.0</v>
      </c>
      <c r="B1477" s="39" t="s">
        <v>994</v>
      </c>
      <c r="C1477" s="39" t="s">
        <v>3370</v>
      </c>
      <c r="D1477" s="39" t="s">
        <v>224</v>
      </c>
      <c r="E1477" s="39" t="s">
        <v>443</v>
      </c>
      <c r="F1477" s="39" t="s">
        <v>257</v>
      </c>
      <c r="G1477" s="39" t="s">
        <v>258</v>
      </c>
      <c r="H1477" s="39" t="s">
        <v>3371</v>
      </c>
      <c r="I1477" s="39" t="s">
        <v>260</v>
      </c>
    </row>
    <row r="1478" ht="15.75" hidden="1" customHeight="1">
      <c r="A1478" s="36">
        <v>5331342.0</v>
      </c>
      <c r="B1478" s="37" t="s">
        <v>907</v>
      </c>
      <c r="C1478" s="37" t="s">
        <v>3372</v>
      </c>
      <c r="D1478" s="37" t="s">
        <v>224</v>
      </c>
      <c r="E1478" s="37" t="s">
        <v>443</v>
      </c>
      <c r="F1478" s="37" t="s">
        <v>257</v>
      </c>
      <c r="G1478" s="37" t="s">
        <v>258</v>
      </c>
      <c r="H1478" s="37" t="s">
        <v>3373</v>
      </c>
      <c r="I1478" s="37" t="s">
        <v>260</v>
      </c>
    </row>
    <row r="1479" ht="15.75" hidden="1" customHeight="1">
      <c r="A1479" s="38">
        <v>5266800.0</v>
      </c>
      <c r="B1479" s="39" t="s">
        <v>316</v>
      </c>
      <c r="C1479" s="39" t="s">
        <v>3374</v>
      </c>
      <c r="D1479" s="39" t="s">
        <v>224</v>
      </c>
      <c r="E1479" s="39" t="s">
        <v>761</v>
      </c>
      <c r="F1479" s="39" t="s">
        <v>293</v>
      </c>
      <c r="G1479" s="39" t="s">
        <v>319</v>
      </c>
      <c r="H1479" s="39" t="s">
        <v>3375</v>
      </c>
      <c r="I1479" s="39" t="s">
        <v>229</v>
      </c>
    </row>
    <row r="1480" ht="15.75" hidden="1" customHeight="1">
      <c r="A1480" s="36">
        <v>5475773.0</v>
      </c>
      <c r="B1480" s="37" t="s">
        <v>441</v>
      </c>
      <c r="C1480" s="37" t="s">
        <v>3376</v>
      </c>
      <c r="D1480" s="37" t="s">
        <v>224</v>
      </c>
      <c r="E1480" s="37" t="s">
        <v>443</v>
      </c>
      <c r="F1480" s="37" t="s">
        <v>257</v>
      </c>
      <c r="G1480" s="37" t="s">
        <v>258</v>
      </c>
      <c r="H1480" s="37" t="s">
        <v>3377</v>
      </c>
      <c r="I1480" s="37" t="s">
        <v>260</v>
      </c>
    </row>
    <row r="1481" ht="15.75" hidden="1" customHeight="1">
      <c r="A1481" s="38">
        <v>5266808.0</v>
      </c>
      <c r="B1481" s="39" t="s">
        <v>1746</v>
      </c>
      <c r="C1481" s="39" t="s">
        <v>3378</v>
      </c>
      <c r="D1481" s="39" t="s">
        <v>224</v>
      </c>
      <c r="E1481" s="39" t="s">
        <v>697</v>
      </c>
      <c r="F1481" s="39" t="s">
        <v>698</v>
      </c>
      <c r="G1481" s="39" t="s">
        <v>541</v>
      </c>
      <c r="H1481" s="39" t="s">
        <v>3379</v>
      </c>
      <c r="I1481" s="39" t="s">
        <v>229</v>
      </c>
    </row>
    <row r="1482" ht="15.75" hidden="1" customHeight="1">
      <c r="A1482" s="36">
        <v>5426214.0</v>
      </c>
      <c r="B1482" s="37" t="s">
        <v>907</v>
      </c>
      <c r="C1482" s="37" t="s">
        <v>3380</v>
      </c>
      <c r="D1482" s="37" t="s">
        <v>224</v>
      </c>
      <c r="E1482" s="37" t="s">
        <v>443</v>
      </c>
      <c r="F1482" s="37" t="s">
        <v>257</v>
      </c>
      <c r="G1482" s="37" t="s">
        <v>258</v>
      </c>
      <c r="H1482" s="37" t="s">
        <v>3381</v>
      </c>
      <c r="I1482" s="37" t="s">
        <v>260</v>
      </c>
    </row>
    <row r="1483" ht="15.75" hidden="1" customHeight="1">
      <c r="A1483" s="38">
        <v>5266935.0</v>
      </c>
      <c r="B1483" s="39" t="s">
        <v>1746</v>
      </c>
      <c r="C1483" s="39" t="s">
        <v>3382</v>
      </c>
      <c r="D1483" s="39" t="s">
        <v>234</v>
      </c>
      <c r="E1483" s="39" t="s">
        <v>1697</v>
      </c>
      <c r="F1483" s="39" t="s">
        <v>698</v>
      </c>
      <c r="G1483" s="39" t="s">
        <v>541</v>
      </c>
      <c r="H1483" s="39" t="s">
        <v>3383</v>
      </c>
      <c r="I1483" s="39" t="s">
        <v>229</v>
      </c>
    </row>
    <row r="1484" ht="15.75" hidden="1" customHeight="1">
      <c r="A1484" s="36">
        <v>6008897.0</v>
      </c>
      <c r="B1484" s="37" t="s">
        <v>254</v>
      </c>
      <c r="C1484" s="37" t="s">
        <v>3384</v>
      </c>
      <c r="D1484" s="37" t="s">
        <v>224</v>
      </c>
      <c r="E1484" s="37" t="s">
        <v>443</v>
      </c>
      <c r="F1484" s="37" t="s">
        <v>257</v>
      </c>
      <c r="G1484" s="37" t="s">
        <v>258</v>
      </c>
      <c r="H1484" s="37" t="s">
        <v>3385</v>
      </c>
      <c r="I1484" s="37" t="s">
        <v>260</v>
      </c>
    </row>
    <row r="1485" ht="15.75" hidden="1" customHeight="1">
      <c r="A1485" s="38">
        <v>5998246.0</v>
      </c>
      <c r="B1485" s="39" t="s">
        <v>254</v>
      </c>
      <c r="C1485" s="39" t="s">
        <v>3386</v>
      </c>
      <c r="D1485" s="39" t="s">
        <v>224</v>
      </c>
      <c r="E1485" s="39" t="s">
        <v>443</v>
      </c>
      <c r="F1485" s="39" t="s">
        <v>257</v>
      </c>
      <c r="G1485" s="39" t="s">
        <v>258</v>
      </c>
      <c r="H1485" s="39" t="s">
        <v>3387</v>
      </c>
      <c r="I1485" s="39" t="s">
        <v>260</v>
      </c>
    </row>
    <row r="1486" ht="15.75" hidden="1" customHeight="1">
      <c r="A1486" s="36">
        <v>5782588.0</v>
      </c>
      <c r="B1486" s="37" t="s">
        <v>441</v>
      </c>
      <c r="C1486" s="37" t="s">
        <v>3388</v>
      </c>
      <c r="D1486" s="37" t="s">
        <v>224</v>
      </c>
      <c r="E1486" s="37" t="s">
        <v>443</v>
      </c>
      <c r="F1486" s="37" t="s">
        <v>257</v>
      </c>
      <c r="G1486" s="37" t="s">
        <v>258</v>
      </c>
      <c r="H1486" s="37" t="s">
        <v>3389</v>
      </c>
      <c r="I1486" s="37" t="s">
        <v>260</v>
      </c>
    </row>
    <row r="1487" ht="15.75" hidden="1" customHeight="1">
      <c r="A1487" s="38">
        <v>5275204.0</v>
      </c>
      <c r="B1487" s="39" t="s">
        <v>1348</v>
      </c>
      <c r="C1487" s="39" t="s">
        <v>3390</v>
      </c>
      <c r="D1487" s="39" t="s">
        <v>224</v>
      </c>
      <c r="E1487" s="39" t="s">
        <v>1145</v>
      </c>
      <c r="F1487" s="39" t="s">
        <v>292</v>
      </c>
      <c r="G1487" s="39" t="s">
        <v>293</v>
      </c>
      <c r="H1487" s="39" t="s">
        <v>3391</v>
      </c>
      <c r="I1487" s="39" t="s">
        <v>229</v>
      </c>
    </row>
    <row r="1488" ht="15.75" hidden="1" customHeight="1">
      <c r="A1488" s="36">
        <v>5275207.0</v>
      </c>
      <c r="B1488" s="37" t="s">
        <v>587</v>
      </c>
      <c r="C1488" s="37" t="s">
        <v>3392</v>
      </c>
      <c r="D1488" s="37" t="s">
        <v>224</v>
      </c>
      <c r="E1488" s="37" t="s">
        <v>598</v>
      </c>
      <c r="F1488" s="37" t="s">
        <v>249</v>
      </c>
      <c r="G1488" s="37" t="s">
        <v>250</v>
      </c>
      <c r="H1488" s="37" t="s">
        <v>3393</v>
      </c>
      <c r="I1488" s="37" t="s">
        <v>229</v>
      </c>
    </row>
    <row r="1489" ht="15.75" hidden="1" customHeight="1">
      <c r="A1489" s="38">
        <v>5275209.0</v>
      </c>
      <c r="B1489" s="39" t="s">
        <v>1177</v>
      </c>
      <c r="C1489" s="39" t="s">
        <v>3394</v>
      </c>
      <c r="D1489" s="39" t="s">
        <v>224</v>
      </c>
      <c r="E1489" s="39" t="s">
        <v>524</v>
      </c>
      <c r="F1489" s="39" t="s">
        <v>470</v>
      </c>
      <c r="G1489" s="39" t="s">
        <v>327</v>
      </c>
      <c r="H1489" s="39" t="s">
        <v>3395</v>
      </c>
      <c r="I1489" s="39" t="s">
        <v>229</v>
      </c>
    </row>
    <row r="1490" ht="15.75" hidden="1" customHeight="1">
      <c r="A1490" s="36">
        <v>5471389.0</v>
      </c>
      <c r="B1490" s="37" t="s">
        <v>1348</v>
      </c>
      <c r="C1490" s="37" t="s">
        <v>3396</v>
      </c>
      <c r="D1490" s="37" t="s">
        <v>224</v>
      </c>
      <c r="E1490" s="37" t="s">
        <v>459</v>
      </c>
      <c r="F1490" s="37" t="s">
        <v>292</v>
      </c>
      <c r="G1490" s="37" t="s">
        <v>293</v>
      </c>
      <c r="H1490" s="37" t="s">
        <v>3397</v>
      </c>
      <c r="I1490" s="37" t="s">
        <v>229</v>
      </c>
    </row>
    <row r="1491" ht="15.75" hidden="1" customHeight="1">
      <c r="A1491" s="38">
        <v>5275850.0</v>
      </c>
      <c r="B1491" s="39" t="s">
        <v>555</v>
      </c>
      <c r="C1491" s="39" t="s">
        <v>3398</v>
      </c>
      <c r="D1491" s="39" t="s">
        <v>224</v>
      </c>
      <c r="E1491" s="39" t="s">
        <v>1069</v>
      </c>
      <c r="F1491" s="39" t="s">
        <v>558</v>
      </c>
      <c r="G1491" s="39" t="s">
        <v>541</v>
      </c>
      <c r="H1491" s="39" t="s">
        <v>3399</v>
      </c>
      <c r="I1491" s="39" t="s">
        <v>229</v>
      </c>
    </row>
    <row r="1492" ht="15.75" hidden="1" customHeight="1">
      <c r="A1492" s="36">
        <v>5276154.0</v>
      </c>
      <c r="B1492" s="37" t="s">
        <v>1019</v>
      </c>
      <c r="C1492" s="37" t="s">
        <v>3400</v>
      </c>
      <c r="D1492" s="37" t="s">
        <v>224</v>
      </c>
      <c r="E1492" s="37" t="s">
        <v>1021</v>
      </c>
      <c r="F1492" s="37" t="s">
        <v>292</v>
      </c>
      <c r="G1492" s="37" t="s">
        <v>293</v>
      </c>
      <c r="H1492" s="37" t="s">
        <v>3401</v>
      </c>
      <c r="I1492" s="37" t="s">
        <v>229</v>
      </c>
    </row>
    <row r="1493" ht="15.75" hidden="1" customHeight="1">
      <c r="A1493" s="38">
        <v>5276530.0</v>
      </c>
      <c r="B1493" s="39" t="s">
        <v>289</v>
      </c>
      <c r="C1493" s="39" t="s">
        <v>3402</v>
      </c>
      <c r="D1493" s="39" t="s">
        <v>224</v>
      </c>
      <c r="E1493" s="39" t="s">
        <v>1048</v>
      </c>
      <c r="F1493" s="39" t="s">
        <v>292</v>
      </c>
      <c r="G1493" s="39" t="s">
        <v>293</v>
      </c>
      <c r="H1493" s="39" t="s">
        <v>3403</v>
      </c>
      <c r="I1493" s="39" t="s">
        <v>229</v>
      </c>
    </row>
    <row r="1494" ht="15.75" hidden="1" customHeight="1">
      <c r="A1494" s="36">
        <v>5276550.0</v>
      </c>
      <c r="B1494" s="37" t="s">
        <v>526</v>
      </c>
      <c r="C1494" s="37" t="s">
        <v>3404</v>
      </c>
      <c r="D1494" s="37" t="s">
        <v>224</v>
      </c>
      <c r="E1494" s="37" t="s">
        <v>649</v>
      </c>
      <c r="F1494" s="37" t="s">
        <v>326</v>
      </c>
      <c r="G1494" s="37" t="s">
        <v>327</v>
      </c>
      <c r="H1494" s="37" t="s">
        <v>3405</v>
      </c>
      <c r="I1494" s="37" t="s">
        <v>229</v>
      </c>
    </row>
    <row r="1495" ht="15.75" hidden="1" customHeight="1">
      <c r="A1495" s="38">
        <v>5276553.0</v>
      </c>
      <c r="B1495" s="39" t="s">
        <v>800</v>
      </c>
      <c r="C1495" s="39" t="s">
        <v>3406</v>
      </c>
      <c r="D1495" s="39" t="s">
        <v>224</v>
      </c>
      <c r="E1495" s="39" t="s">
        <v>802</v>
      </c>
      <c r="F1495" s="39" t="s">
        <v>333</v>
      </c>
      <c r="G1495" s="39" t="s">
        <v>301</v>
      </c>
      <c r="H1495" s="39" t="s">
        <v>3407</v>
      </c>
      <c r="I1495" s="39" t="s">
        <v>229</v>
      </c>
    </row>
    <row r="1496" ht="15.75" hidden="1" customHeight="1">
      <c r="A1496" s="36">
        <v>5480709.0</v>
      </c>
      <c r="B1496" s="37" t="s">
        <v>457</v>
      </c>
      <c r="C1496" s="37" t="s">
        <v>3408</v>
      </c>
      <c r="D1496" s="37" t="s">
        <v>224</v>
      </c>
      <c r="E1496" s="37" t="s">
        <v>459</v>
      </c>
      <c r="F1496" s="37" t="s">
        <v>292</v>
      </c>
      <c r="G1496" s="37" t="s">
        <v>293</v>
      </c>
      <c r="H1496" s="37" t="s">
        <v>3409</v>
      </c>
      <c r="I1496" s="37" t="s">
        <v>229</v>
      </c>
    </row>
    <row r="1497" ht="15.75" hidden="1" customHeight="1">
      <c r="A1497" s="38">
        <v>5276554.0</v>
      </c>
      <c r="B1497" s="39" t="s">
        <v>323</v>
      </c>
      <c r="C1497" s="39" t="s">
        <v>3410</v>
      </c>
      <c r="D1497" s="39" t="s">
        <v>224</v>
      </c>
      <c r="E1497" s="39" t="s">
        <v>583</v>
      </c>
      <c r="F1497" s="39" t="s">
        <v>326</v>
      </c>
      <c r="G1497" s="39" t="s">
        <v>327</v>
      </c>
      <c r="H1497" s="39" t="s">
        <v>3411</v>
      </c>
      <c r="I1497" s="39" t="s">
        <v>229</v>
      </c>
    </row>
    <row r="1498" ht="15.75" hidden="1" customHeight="1">
      <c r="A1498" s="36">
        <v>5277163.0</v>
      </c>
      <c r="B1498" s="37" t="s">
        <v>847</v>
      </c>
      <c r="C1498" s="37" t="s">
        <v>3412</v>
      </c>
      <c r="D1498" s="37" t="s">
        <v>224</v>
      </c>
      <c r="E1498" s="37" t="s">
        <v>849</v>
      </c>
      <c r="F1498" s="37" t="s">
        <v>333</v>
      </c>
      <c r="G1498" s="37" t="s">
        <v>301</v>
      </c>
      <c r="H1498" s="37" t="s">
        <v>3413</v>
      </c>
      <c r="I1498" s="37" t="s">
        <v>229</v>
      </c>
    </row>
    <row r="1499" ht="15.75" hidden="1" customHeight="1">
      <c r="A1499" s="38">
        <v>5846048.0</v>
      </c>
      <c r="B1499" s="39" t="s">
        <v>457</v>
      </c>
      <c r="C1499" s="39" t="s">
        <v>3414</v>
      </c>
      <c r="D1499" s="39" t="s">
        <v>224</v>
      </c>
      <c r="E1499" s="39" t="s">
        <v>459</v>
      </c>
      <c r="F1499" s="39" t="s">
        <v>292</v>
      </c>
      <c r="G1499" s="39" t="s">
        <v>293</v>
      </c>
      <c r="H1499" s="39" t="s">
        <v>3415</v>
      </c>
      <c r="I1499" s="39" t="s">
        <v>229</v>
      </c>
    </row>
    <row r="1500" ht="15.75" hidden="1" customHeight="1">
      <c r="A1500" s="36">
        <v>5278044.0</v>
      </c>
      <c r="B1500" s="37" t="s">
        <v>118</v>
      </c>
      <c r="C1500" s="37" t="s">
        <v>3416</v>
      </c>
      <c r="D1500" s="37" t="s">
        <v>224</v>
      </c>
      <c r="E1500" s="37" t="s">
        <v>3417</v>
      </c>
      <c r="F1500" s="37" t="s">
        <v>284</v>
      </c>
      <c r="G1500" s="37" t="s">
        <v>3</v>
      </c>
      <c r="H1500" s="37" t="s">
        <v>3418</v>
      </c>
      <c r="I1500" s="37" t="s">
        <v>260</v>
      </c>
      <c r="J1500" s="1">
        <v>42.0</v>
      </c>
      <c r="L1500" s="40" t="s">
        <v>412</v>
      </c>
    </row>
    <row r="1501" ht="15.75" hidden="1" customHeight="1">
      <c r="A1501" s="38">
        <v>5658366.0</v>
      </c>
      <c r="B1501" s="39" t="s">
        <v>1143</v>
      </c>
      <c r="C1501" s="39" t="s">
        <v>3419</v>
      </c>
      <c r="D1501" s="39" t="s">
        <v>224</v>
      </c>
      <c r="E1501" s="39" t="s">
        <v>459</v>
      </c>
      <c r="F1501" s="39" t="s">
        <v>292</v>
      </c>
      <c r="G1501" s="39" t="s">
        <v>293</v>
      </c>
      <c r="H1501" s="39" t="s">
        <v>3420</v>
      </c>
      <c r="I1501" s="39" t="s">
        <v>229</v>
      </c>
    </row>
    <row r="1502" ht="15.75" hidden="1" customHeight="1">
      <c r="A1502" s="36">
        <v>5471395.0</v>
      </c>
      <c r="B1502" s="37" t="s">
        <v>1143</v>
      </c>
      <c r="C1502" s="37" t="s">
        <v>3421</v>
      </c>
      <c r="D1502" s="37" t="s">
        <v>224</v>
      </c>
      <c r="E1502" s="37" t="s">
        <v>459</v>
      </c>
      <c r="F1502" s="37" t="s">
        <v>292</v>
      </c>
      <c r="G1502" s="37" t="s">
        <v>293</v>
      </c>
      <c r="H1502" s="37" t="s">
        <v>3422</v>
      </c>
      <c r="I1502" s="37" t="s">
        <v>229</v>
      </c>
    </row>
    <row r="1503" ht="15.75" hidden="1" customHeight="1">
      <c r="A1503" s="38">
        <v>5278433.0</v>
      </c>
      <c r="B1503" s="39" t="s">
        <v>316</v>
      </c>
      <c r="C1503" s="39" t="s">
        <v>3423</v>
      </c>
      <c r="D1503" s="39" t="s">
        <v>224</v>
      </c>
      <c r="E1503" s="39" t="s">
        <v>761</v>
      </c>
      <c r="F1503" s="39" t="s">
        <v>293</v>
      </c>
      <c r="G1503" s="39" t="s">
        <v>319</v>
      </c>
      <c r="H1503" s="39" t="s">
        <v>3424</v>
      </c>
      <c r="I1503" s="39" t="s">
        <v>229</v>
      </c>
    </row>
    <row r="1504" ht="15.75" hidden="1" customHeight="1">
      <c r="A1504" s="36">
        <v>5846026.0</v>
      </c>
      <c r="B1504" s="37" t="s">
        <v>457</v>
      </c>
      <c r="C1504" s="37" t="s">
        <v>3425</v>
      </c>
      <c r="D1504" s="37" t="s">
        <v>224</v>
      </c>
      <c r="E1504" s="37" t="s">
        <v>459</v>
      </c>
      <c r="F1504" s="37" t="s">
        <v>292</v>
      </c>
      <c r="G1504" s="37" t="s">
        <v>293</v>
      </c>
      <c r="H1504" s="37" t="s">
        <v>3426</v>
      </c>
      <c r="I1504" s="37" t="s">
        <v>229</v>
      </c>
    </row>
    <row r="1505" ht="15.75" hidden="1" customHeight="1">
      <c r="A1505" s="38">
        <v>5280128.0</v>
      </c>
      <c r="B1505" s="39" t="s">
        <v>526</v>
      </c>
      <c r="C1505" s="39" t="s">
        <v>3427</v>
      </c>
      <c r="D1505" s="39" t="s">
        <v>224</v>
      </c>
      <c r="E1505" s="39" t="s">
        <v>667</v>
      </c>
      <c r="F1505" s="39" t="s">
        <v>326</v>
      </c>
      <c r="G1505" s="39" t="s">
        <v>327</v>
      </c>
      <c r="H1505" s="39" t="s">
        <v>3428</v>
      </c>
      <c r="I1505" s="39" t="s">
        <v>229</v>
      </c>
    </row>
    <row r="1506" ht="15.75" hidden="1" customHeight="1">
      <c r="A1506" s="36">
        <v>5471401.0</v>
      </c>
      <c r="B1506" s="37" t="s">
        <v>1143</v>
      </c>
      <c r="C1506" s="37" t="s">
        <v>3429</v>
      </c>
      <c r="D1506" s="37" t="s">
        <v>234</v>
      </c>
      <c r="E1506" s="37" t="s">
        <v>459</v>
      </c>
      <c r="F1506" s="37" t="s">
        <v>292</v>
      </c>
      <c r="G1506" s="37" t="s">
        <v>293</v>
      </c>
      <c r="H1506" s="37" t="s">
        <v>3430</v>
      </c>
      <c r="I1506" s="37" t="s">
        <v>229</v>
      </c>
    </row>
    <row r="1507" ht="15.75" hidden="1" customHeight="1">
      <c r="A1507" s="38">
        <v>5281322.0</v>
      </c>
      <c r="B1507" s="39" t="s">
        <v>323</v>
      </c>
      <c r="C1507" s="39" t="s">
        <v>3431</v>
      </c>
      <c r="D1507" s="39" t="s">
        <v>234</v>
      </c>
      <c r="E1507" s="39" t="s">
        <v>2152</v>
      </c>
      <c r="F1507" s="39" t="s">
        <v>326</v>
      </c>
      <c r="G1507" s="39" t="s">
        <v>327</v>
      </c>
      <c r="H1507" s="39" t="s">
        <v>3432</v>
      </c>
      <c r="I1507" s="39" t="s">
        <v>229</v>
      </c>
    </row>
    <row r="1508" ht="15.75" hidden="1" customHeight="1">
      <c r="A1508" s="36">
        <v>5480702.0</v>
      </c>
      <c r="B1508" s="37" t="s">
        <v>457</v>
      </c>
      <c r="C1508" s="37" t="s">
        <v>3433</v>
      </c>
      <c r="D1508" s="37" t="s">
        <v>224</v>
      </c>
      <c r="E1508" s="37" t="s">
        <v>459</v>
      </c>
      <c r="F1508" s="37" t="s">
        <v>292</v>
      </c>
      <c r="G1508" s="37" t="s">
        <v>293</v>
      </c>
      <c r="H1508" s="37" t="s">
        <v>3434</v>
      </c>
      <c r="I1508" s="37" t="s">
        <v>229</v>
      </c>
    </row>
    <row r="1509" ht="15.75" hidden="1" customHeight="1">
      <c r="A1509" s="38">
        <v>5863958.0</v>
      </c>
      <c r="B1509" s="39" t="s">
        <v>1348</v>
      </c>
      <c r="C1509" s="39" t="s">
        <v>3435</v>
      </c>
      <c r="D1509" s="39" t="s">
        <v>224</v>
      </c>
      <c r="E1509" s="39" t="s">
        <v>459</v>
      </c>
      <c r="F1509" s="39" t="s">
        <v>292</v>
      </c>
      <c r="G1509" s="39" t="s">
        <v>293</v>
      </c>
      <c r="H1509" s="39" t="s">
        <v>3436</v>
      </c>
      <c r="I1509" s="39" t="s">
        <v>229</v>
      </c>
    </row>
    <row r="1510" ht="15.75" hidden="1" customHeight="1">
      <c r="A1510" s="36">
        <v>5282707.0</v>
      </c>
      <c r="B1510" s="37" t="s">
        <v>695</v>
      </c>
      <c r="C1510" s="37" t="s">
        <v>3437</v>
      </c>
      <c r="D1510" s="37" t="s">
        <v>224</v>
      </c>
      <c r="E1510" s="37" t="s">
        <v>1714</v>
      </c>
      <c r="F1510" s="37" t="s">
        <v>698</v>
      </c>
      <c r="G1510" s="37" t="s">
        <v>541</v>
      </c>
      <c r="H1510" s="37" t="s">
        <v>3438</v>
      </c>
      <c r="I1510" s="37" t="s">
        <v>229</v>
      </c>
    </row>
    <row r="1511" ht="15.75" hidden="1" customHeight="1">
      <c r="A1511" s="38">
        <v>5846019.0</v>
      </c>
      <c r="B1511" s="39" t="s">
        <v>1348</v>
      </c>
      <c r="C1511" s="39" t="s">
        <v>3439</v>
      </c>
      <c r="D1511" s="39" t="s">
        <v>224</v>
      </c>
      <c r="E1511" s="39" t="s">
        <v>459</v>
      </c>
      <c r="F1511" s="39" t="s">
        <v>292</v>
      </c>
      <c r="G1511" s="39" t="s">
        <v>293</v>
      </c>
      <c r="H1511" s="39" t="s">
        <v>3440</v>
      </c>
      <c r="I1511" s="39" t="s">
        <v>229</v>
      </c>
    </row>
    <row r="1512" ht="15.75" hidden="1" customHeight="1">
      <c r="A1512" s="36">
        <v>5283604.0</v>
      </c>
      <c r="B1512" s="37" t="s">
        <v>316</v>
      </c>
      <c r="C1512" s="37" t="s">
        <v>3441</v>
      </c>
      <c r="D1512" s="37" t="s">
        <v>224</v>
      </c>
      <c r="E1512" s="37" t="s">
        <v>1773</v>
      </c>
      <c r="F1512" s="37" t="s">
        <v>293</v>
      </c>
      <c r="G1512" s="37" t="s">
        <v>319</v>
      </c>
      <c r="H1512" s="37" t="s">
        <v>3442</v>
      </c>
      <c r="I1512" s="37" t="s">
        <v>229</v>
      </c>
    </row>
    <row r="1513" ht="15.75" hidden="1" customHeight="1">
      <c r="A1513" s="38">
        <v>5846036.0</v>
      </c>
      <c r="B1513" s="39" t="s">
        <v>853</v>
      </c>
      <c r="C1513" s="39" t="s">
        <v>3443</v>
      </c>
      <c r="D1513" s="39" t="s">
        <v>224</v>
      </c>
      <c r="E1513" s="39" t="s">
        <v>459</v>
      </c>
      <c r="F1513" s="39" t="s">
        <v>292</v>
      </c>
      <c r="G1513" s="39" t="s">
        <v>293</v>
      </c>
      <c r="H1513" s="39" t="s">
        <v>3444</v>
      </c>
      <c r="I1513" s="39" t="s">
        <v>229</v>
      </c>
    </row>
    <row r="1514" ht="15.75" hidden="1" customHeight="1">
      <c r="A1514" s="36">
        <v>5283814.0</v>
      </c>
      <c r="B1514" s="37" t="s">
        <v>632</v>
      </c>
      <c r="C1514" s="37" t="s">
        <v>3445</v>
      </c>
      <c r="D1514" s="37" t="s">
        <v>224</v>
      </c>
      <c r="E1514" s="37" t="s">
        <v>634</v>
      </c>
      <c r="F1514" s="37" t="s">
        <v>257</v>
      </c>
      <c r="G1514" s="37" t="s">
        <v>258</v>
      </c>
      <c r="H1514" s="37" t="s">
        <v>3446</v>
      </c>
      <c r="I1514" s="37" t="s">
        <v>260</v>
      </c>
    </row>
    <row r="1515" ht="15.75" hidden="1" customHeight="1">
      <c r="A1515" s="38">
        <v>5863828.0</v>
      </c>
      <c r="B1515" s="39" t="s">
        <v>853</v>
      </c>
      <c r="C1515" s="39" t="s">
        <v>3447</v>
      </c>
      <c r="D1515" s="39" t="s">
        <v>224</v>
      </c>
      <c r="E1515" s="39" t="s">
        <v>459</v>
      </c>
      <c r="F1515" s="39" t="s">
        <v>292</v>
      </c>
      <c r="G1515" s="39" t="s">
        <v>293</v>
      </c>
      <c r="H1515" s="39" t="s">
        <v>3448</v>
      </c>
      <c r="I1515" s="39" t="s">
        <v>229</v>
      </c>
    </row>
    <row r="1516" ht="15.75" hidden="1" customHeight="1">
      <c r="A1516" s="36">
        <v>5283867.0</v>
      </c>
      <c r="B1516" s="37" t="s">
        <v>485</v>
      </c>
      <c r="C1516" s="37" t="s">
        <v>3449</v>
      </c>
      <c r="D1516" s="37" t="s">
        <v>224</v>
      </c>
      <c r="E1516" s="37" t="s">
        <v>672</v>
      </c>
      <c r="F1516" s="37" t="s">
        <v>470</v>
      </c>
      <c r="G1516" s="37" t="s">
        <v>327</v>
      </c>
      <c r="H1516" s="37" t="s">
        <v>3450</v>
      </c>
      <c r="I1516" s="37" t="s">
        <v>229</v>
      </c>
    </row>
    <row r="1517" ht="15.75" hidden="1" customHeight="1">
      <c r="A1517" s="38">
        <v>5284012.0</v>
      </c>
      <c r="B1517" s="39" t="s">
        <v>316</v>
      </c>
      <c r="C1517" s="39" t="s">
        <v>3451</v>
      </c>
      <c r="D1517" s="39" t="s">
        <v>224</v>
      </c>
      <c r="E1517" s="39" t="s">
        <v>1773</v>
      </c>
      <c r="F1517" s="39" t="s">
        <v>293</v>
      </c>
      <c r="G1517" s="39" t="s">
        <v>319</v>
      </c>
      <c r="H1517" s="39" t="s">
        <v>3452</v>
      </c>
      <c r="I1517" s="39" t="s">
        <v>229</v>
      </c>
    </row>
    <row r="1518" ht="15.75" hidden="1" customHeight="1">
      <c r="A1518" s="36">
        <v>5327026.0</v>
      </c>
      <c r="B1518" s="37" t="s">
        <v>323</v>
      </c>
      <c r="C1518" s="37" t="s">
        <v>3453</v>
      </c>
      <c r="D1518" s="37" t="s">
        <v>224</v>
      </c>
      <c r="E1518" s="37" t="s">
        <v>3454</v>
      </c>
      <c r="F1518" s="37" t="s">
        <v>3455</v>
      </c>
      <c r="G1518" s="37" t="s">
        <v>3456</v>
      </c>
      <c r="H1518" s="37" t="s">
        <v>3457</v>
      </c>
      <c r="I1518" s="37" t="s">
        <v>229</v>
      </c>
    </row>
    <row r="1519" ht="15.75" hidden="1" customHeight="1">
      <c r="A1519" s="38">
        <v>4891948.0</v>
      </c>
      <c r="B1519" s="39" t="s">
        <v>323</v>
      </c>
      <c r="C1519" s="39" t="s">
        <v>3458</v>
      </c>
      <c r="D1519" s="39" t="s">
        <v>224</v>
      </c>
      <c r="E1519" s="39" t="s">
        <v>3454</v>
      </c>
      <c r="F1519" s="39" t="s">
        <v>3455</v>
      </c>
      <c r="G1519" s="39" t="s">
        <v>3456</v>
      </c>
      <c r="H1519" s="39" t="s">
        <v>3459</v>
      </c>
      <c r="I1519" s="39" t="s">
        <v>229</v>
      </c>
    </row>
    <row r="1520" ht="15.75" hidden="1" customHeight="1">
      <c r="A1520" s="36">
        <v>6105354.0</v>
      </c>
      <c r="B1520" s="37" t="s">
        <v>323</v>
      </c>
      <c r="C1520" s="37" t="s">
        <v>3460</v>
      </c>
      <c r="D1520" s="37" t="s">
        <v>224</v>
      </c>
      <c r="E1520" s="37" t="s">
        <v>3454</v>
      </c>
      <c r="F1520" s="37" t="s">
        <v>3455</v>
      </c>
      <c r="G1520" s="37" t="s">
        <v>3456</v>
      </c>
      <c r="H1520" s="37" t="s">
        <v>3461</v>
      </c>
      <c r="I1520" s="37" t="s">
        <v>229</v>
      </c>
    </row>
    <row r="1521" ht="15.75" hidden="1" customHeight="1">
      <c r="A1521" s="38">
        <v>5284026.0</v>
      </c>
      <c r="B1521" s="39" t="s">
        <v>847</v>
      </c>
      <c r="C1521" s="39" t="s">
        <v>3462</v>
      </c>
      <c r="D1521" s="39" t="s">
        <v>224</v>
      </c>
      <c r="E1521" s="39" t="s">
        <v>849</v>
      </c>
      <c r="F1521" s="39" t="s">
        <v>333</v>
      </c>
      <c r="G1521" s="39" t="s">
        <v>301</v>
      </c>
      <c r="H1521" s="39" t="s">
        <v>3463</v>
      </c>
      <c r="I1521" s="39" t="s">
        <v>229</v>
      </c>
    </row>
    <row r="1522" ht="15.75" hidden="1" customHeight="1">
      <c r="A1522" s="36">
        <v>3705710.0</v>
      </c>
      <c r="B1522" s="37" t="s">
        <v>522</v>
      </c>
      <c r="C1522" s="37" t="s">
        <v>3464</v>
      </c>
      <c r="D1522" s="37" t="s">
        <v>224</v>
      </c>
      <c r="E1522" s="37" t="s">
        <v>3454</v>
      </c>
      <c r="F1522" s="37" t="s">
        <v>3455</v>
      </c>
      <c r="G1522" s="37" t="s">
        <v>3456</v>
      </c>
      <c r="H1522" s="37" t="s">
        <v>3465</v>
      </c>
      <c r="I1522" s="37" t="s">
        <v>229</v>
      </c>
    </row>
    <row r="1523" ht="15.75" hidden="1" customHeight="1">
      <c r="A1523" s="38">
        <v>6105372.0</v>
      </c>
      <c r="B1523" s="39" t="s">
        <v>323</v>
      </c>
      <c r="C1523" s="39" t="s">
        <v>3466</v>
      </c>
      <c r="D1523" s="39" t="s">
        <v>224</v>
      </c>
      <c r="E1523" s="39" t="s">
        <v>3454</v>
      </c>
      <c r="F1523" s="39" t="s">
        <v>3455</v>
      </c>
      <c r="G1523" s="39" t="s">
        <v>3456</v>
      </c>
      <c r="H1523" s="39" t="s">
        <v>3467</v>
      </c>
      <c r="I1523" s="39" t="s">
        <v>229</v>
      </c>
    </row>
    <row r="1524" ht="15.75" hidden="1" customHeight="1">
      <c r="A1524" s="36">
        <v>6055893.0</v>
      </c>
      <c r="B1524" s="37" t="s">
        <v>522</v>
      </c>
      <c r="C1524" s="37" t="s">
        <v>3468</v>
      </c>
      <c r="D1524" s="37" t="s">
        <v>224</v>
      </c>
      <c r="E1524" s="37" t="s">
        <v>3454</v>
      </c>
      <c r="F1524" s="37" t="s">
        <v>3455</v>
      </c>
      <c r="G1524" s="37" t="s">
        <v>3456</v>
      </c>
      <c r="H1524" s="37" t="s">
        <v>3469</v>
      </c>
      <c r="I1524" s="37" t="s">
        <v>229</v>
      </c>
    </row>
    <row r="1525" ht="15.75" hidden="1" customHeight="1">
      <c r="A1525" s="38">
        <v>5284147.0</v>
      </c>
      <c r="B1525" s="39" t="s">
        <v>522</v>
      </c>
      <c r="C1525" s="39" t="s">
        <v>3470</v>
      </c>
      <c r="D1525" s="39" t="s">
        <v>224</v>
      </c>
      <c r="E1525" s="39" t="s">
        <v>658</v>
      </c>
      <c r="F1525" s="39" t="s">
        <v>470</v>
      </c>
      <c r="G1525" s="39" t="s">
        <v>327</v>
      </c>
      <c r="H1525" s="39" t="s">
        <v>3471</v>
      </c>
      <c r="I1525" s="39" t="s">
        <v>229</v>
      </c>
    </row>
    <row r="1526" ht="15.75" hidden="1" customHeight="1">
      <c r="A1526" s="36">
        <v>6054350.0</v>
      </c>
      <c r="B1526" s="37" t="s">
        <v>522</v>
      </c>
      <c r="C1526" s="37" t="s">
        <v>3472</v>
      </c>
      <c r="D1526" s="37" t="s">
        <v>224</v>
      </c>
      <c r="E1526" s="37" t="s">
        <v>3454</v>
      </c>
      <c r="F1526" s="37" t="s">
        <v>3455</v>
      </c>
      <c r="G1526" s="37" t="s">
        <v>3456</v>
      </c>
      <c r="H1526" s="37" t="s">
        <v>3473</v>
      </c>
      <c r="I1526" s="37" t="s">
        <v>229</v>
      </c>
    </row>
    <row r="1527" ht="15.75" hidden="1" customHeight="1">
      <c r="A1527" s="38">
        <v>5284177.0</v>
      </c>
      <c r="B1527" s="39" t="s">
        <v>526</v>
      </c>
      <c r="C1527" s="39" t="s">
        <v>3474</v>
      </c>
      <c r="D1527" s="39" t="s">
        <v>224</v>
      </c>
      <c r="E1527" s="39" t="s">
        <v>667</v>
      </c>
      <c r="F1527" s="39" t="s">
        <v>326</v>
      </c>
      <c r="G1527" s="39" t="s">
        <v>327</v>
      </c>
      <c r="H1527" s="39" t="s">
        <v>3475</v>
      </c>
      <c r="I1527" s="39" t="s">
        <v>229</v>
      </c>
    </row>
    <row r="1528" ht="15.75" hidden="1" customHeight="1">
      <c r="A1528" s="36">
        <v>6050412.0</v>
      </c>
      <c r="B1528" s="37" t="s">
        <v>522</v>
      </c>
      <c r="C1528" s="37" t="s">
        <v>3476</v>
      </c>
      <c r="D1528" s="37" t="s">
        <v>224</v>
      </c>
      <c r="E1528" s="37" t="s">
        <v>3454</v>
      </c>
      <c r="F1528" s="37" t="s">
        <v>3455</v>
      </c>
      <c r="G1528" s="37" t="s">
        <v>3456</v>
      </c>
      <c r="H1528" s="37" t="s">
        <v>3477</v>
      </c>
      <c r="I1528" s="37" t="s">
        <v>229</v>
      </c>
    </row>
    <row r="1529" ht="15.75" hidden="1" customHeight="1">
      <c r="A1529" s="38">
        <v>4984021.0</v>
      </c>
      <c r="B1529" s="39" t="s">
        <v>485</v>
      </c>
      <c r="C1529" s="39" t="s">
        <v>3478</v>
      </c>
      <c r="D1529" s="39" t="s">
        <v>224</v>
      </c>
      <c r="E1529" s="39" t="s">
        <v>3454</v>
      </c>
      <c r="F1529" s="39" t="s">
        <v>3455</v>
      </c>
      <c r="G1529" s="39" t="s">
        <v>3456</v>
      </c>
      <c r="H1529" s="39" t="s">
        <v>3479</v>
      </c>
      <c r="I1529" s="39" t="s">
        <v>229</v>
      </c>
    </row>
    <row r="1530" ht="15.75" hidden="1" customHeight="1">
      <c r="A1530" s="36">
        <v>6105426.0</v>
      </c>
      <c r="B1530" s="37" t="s">
        <v>323</v>
      </c>
      <c r="C1530" s="37" t="s">
        <v>3480</v>
      </c>
      <c r="D1530" s="37" t="s">
        <v>224</v>
      </c>
      <c r="E1530" s="37" t="s">
        <v>3454</v>
      </c>
      <c r="F1530" s="37" t="s">
        <v>3455</v>
      </c>
      <c r="G1530" s="37" t="s">
        <v>3456</v>
      </c>
      <c r="H1530" s="37" t="s">
        <v>3481</v>
      </c>
      <c r="I1530" s="37" t="s">
        <v>229</v>
      </c>
    </row>
    <row r="1531" ht="15.75" hidden="1" customHeight="1">
      <c r="A1531" s="38">
        <v>5284883.0</v>
      </c>
      <c r="B1531" s="39" t="s">
        <v>316</v>
      </c>
      <c r="C1531" s="39" t="s">
        <v>3482</v>
      </c>
      <c r="D1531" s="39" t="s">
        <v>224</v>
      </c>
      <c r="E1531" s="39" t="s">
        <v>1453</v>
      </c>
      <c r="F1531" s="39" t="s">
        <v>293</v>
      </c>
      <c r="G1531" s="39" t="s">
        <v>319</v>
      </c>
      <c r="H1531" s="39" t="s">
        <v>3483</v>
      </c>
      <c r="I1531" s="39" t="s">
        <v>229</v>
      </c>
    </row>
    <row r="1532" ht="15.75" hidden="1" customHeight="1">
      <c r="A1532" s="36">
        <v>6105445.0</v>
      </c>
      <c r="B1532" s="37" t="s">
        <v>485</v>
      </c>
      <c r="C1532" s="37" t="s">
        <v>3484</v>
      </c>
      <c r="D1532" s="37" t="s">
        <v>224</v>
      </c>
      <c r="E1532" s="37" t="s">
        <v>3454</v>
      </c>
      <c r="F1532" s="37" t="s">
        <v>3455</v>
      </c>
      <c r="G1532" s="37" t="s">
        <v>3456</v>
      </c>
      <c r="H1532" s="37" t="s">
        <v>3485</v>
      </c>
      <c r="I1532" s="37" t="s">
        <v>229</v>
      </c>
    </row>
    <row r="1533" ht="15.75" hidden="1" customHeight="1">
      <c r="A1533" s="38">
        <v>5285101.0</v>
      </c>
      <c r="B1533" s="39" t="s">
        <v>794</v>
      </c>
      <c r="C1533" s="39" t="s">
        <v>3486</v>
      </c>
      <c r="D1533" s="39" t="s">
        <v>224</v>
      </c>
      <c r="E1533" s="39" t="s">
        <v>761</v>
      </c>
      <c r="F1533" s="39" t="s">
        <v>293</v>
      </c>
      <c r="G1533" s="39" t="s">
        <v>319</v>
      </c>
      <c r="H1533" s="39" t="s">
        <v>3487</v>
      </c>
      <c r="I1533" s="39" t="s">
        <v>229</v>
      </c>
    </row>
    <row r="1534" ht="15.75" hidden="1" customHeight="1">
      <c r="A1534" s="36">
        <v>5846260.0</v>
      </c>
      <c r="B1534" s="37" t="s">
        <v>522</v>
      </c>
      <c r="C1534" s="37" t="s">
        <v>3488</v>
      </c>
      <c r="D1534" s="37" t="s">
        <v>224</v>
      </c>
      <c r="E1534" s="37" t="s">
        <v>3454</v>
      </c>
      <c r="F1534" s="37" t="s">
        <v>3455</v>
      </c>
      <c r="G1534" s="37" t="s">
        <v>3456</v>
      </c>
      <c r="H1534" s="37" t="s">
        <v>3489</v>
      </c>
      <c r="I1534" s="37" t="s">
        <v>229</v>
      </c>
    </row>
    <row r="1535" ht="15.75" hidden="1" customHeight="1">
      <c r="A1535" s="38">
        <v>6105330.0</v>
      </c>
      <c r="B1535" s="39" t="s">
        <v>485</v>
      </c>
      <c r="C1535" s="39" t="s">
        <v>3490</v>
      </c>
      <c r="D1535" s="39" t="s">
        <v>224</v>
      </c>
      <c r="E1535" s="39" t="s">
        <v>3454</v>
      </c>
      <c r="F1535" s="39" t="s">
        <v>3455</v>
      </c>
      <c r="G1535" s="39" t="s">
        <v>3456</v>
      </c>
      <c r="H1535" s="39" t="s">
        <v>3491</v>
      </c>
      <c r="I1535" s="39" t="s">
        <v>229</v>
      </c>
    </row>
    <row r="1536" ht="15.75" hidden="1" customHeight="1">
      <c r="A1536" s="36">
        <v>5285107.0</v>
      </c>
      <c r="B1536" s="37" t="s">
        <v>1746</v>
      </c>
      <c r="C1536" s="37" t="s">
        <v>3492</v>
      </c>
      <c r="D1536" s="37" t="s">
        <v>224</v>
      </c>
      <c r="E1536" s="37" t="s">
        <v>1714</v>
      </c>
      <c r="F1536" s="37" t="s">
        <v>698</v>
      </c>
      <c r="G1536" s="37" t="s">
        <v>541</v>
      </c>
      <c r="H1536" s="37" t="s">
        <v>3493</v>
      </c>
      <c r="I1536" s="37" t="s">
        <v>229</v>
      </c>
    </row>
    <row r="1537" ht="15.75" hidden="1" customHeight="1">
      <c r="A1537" s="38">
        <v>2380860.0</v>
      </c>
      <c r="B1537" s="39" t="s">
        <v>522</v>
      </c>
      <c r="C1537" s="39" t="s">
        <v>3494</v>
      </c>
      <c r="D1537" s="39" t="s">
        <v>224</v>
      </c>
      <c r="E1537" s="39" t="s">
        <v>3454</v>
      </c>
      <c r="F1537" s="39" t="s">
        <v>3455</v>
      </c>
      <c r="G1537" s="39" t="s">
        <v>3456</v>
      </c>
      <c r="H1537" s="39" t="s">
        <v>3495</v>
      </c>
      <c r="I1537" s="39" t="s">
        <v>229</v>
      </c>
    </row>
    <row r="1538" ht="15.75" hidden="1" customHeight="1">
      <c r="A1538" s="36">
        <v>5285318.0</v>
      </c>
      <c r="B1538" s="37" t="s">
        <v>1695</v>
      </c>
      <c r="C1538" s="37" t="s">
        <v>3496</v>
      </c>
      <c r="D1538" s="37" t="s">
        <v>224</v>
      </c>
      <c r="E1538" s="37" t="s">
        <v>1714</v>
      </c>
      <c r="F1538" s="37" t="s">
        <v>698</v>
      </c>
      <c r="G1538" s="37" t="s">
        <v>541</v>
      </c>
      <c r="H1538" s="37" t="s">
        <v>3497</v>
      </c>
      <c r="I1538" s="37" t="s">
        <v>229</v>
      </c>
    </row>
    <row r="1539" ht="15.75" hidden="1" customHeight="1">
      <c r="A1539" s="38">
        <v>6105319.0</v>
      </c>
      <c r="B1539" s="39" t="s">
        <v>485</v>
      </c>
      <c r="C1539" s="39" t="s">
        <v>3498</v>
      </c>
      <c r="D1539" s="39" t="s">
        <v>224</v>
      </c>
      <c r="E1539" s="39" t="s">
        <v>3454</v>
      </c>
      <c r="F1539" s="39" t="s">
        <v>3455</v>
      </c>
      <c r="G1539" s="39" t="s">
        <v>3456</v>
      </c>
      <c r="H1539" s="39" t="s">
        <v>3499</v>
      </c>
      <c r="I1539" s="39" t="s">
        <v>229</v>
      </c>
    </row>
    <row r="1540" ht="15.75" hidden="1" customHeight="1">
      <c r="A1540" s="36">
        <v>5286249.0</v>
      </c>
      <c r="B1540" s="37" t="s">
        <v>2285</v>
      </c>
      <c r="C1540" s="37" t="s">
        <v>3500</v>
      </c>
      <c r="D1540" s="37" t="s">
        <v>224</v>
      </c>
      <c r="E1540" s="37" t="s">
        <v>1604</v>
      </c>
      <c r="F1540" s="37" t="s">
        <v>540</v>
      </c>
      <c r="G1540" s="37" t="s">
        <v>541</v>
      </c>
      <c r="H1540" s="37" t="s">
        <v>3501</v>
      </c>
      <c r="I1540" s="37" t="s">
        <v>229</v>
      </c>
    </row>
    <row r="1541" ht="15.75" hidden="1" customHeight="1">
      <c r="A1541" s="38">
        <v>5286263.0</v>
      </c>
      <c r="B1541" s="39" t="s">
        <v>806</v>
      </c>
      <c r="C1541" s="39" t="s">
        <v>3502</v>
      </c>
      <c r="D1541" s="39" t="s">
        <v>224</v>
      </c>
      <c r="E1541" s="39" t="s">
        <v>891</v>
      </c>
      <c r="F1541" s="39" t="s">
        <v>257</v>
      </c>
      <c r="G1541" s="39" t="s">
        <v>258</v>
      </c>
      <c r="H1541" s="39" t="s">
        <v>3503</v>
      </c>
      <c r="I1541" s="39" t="s">
        <v>260</v>
      </c>
    </row>
    <row r="1542" ht="15.75" hidden="1" customHeight="1">
      <c r="A1542" s="36">
        <v>5288043.0</v>
      </c>
      <c r="B1542" s="37" t="s">
        <v>695</v>
      </c>
      <c r="C1542" s="37" t="s">
        <v>3504</v>
      </c>
      <c r="D1542" s="37" t="s">
        <v>224</v>
      </c>
      <c r="E1542" s="37" t="s">
        <v>697</v>
      </c>
      <c r="F1542" s="37" t="s">
        <v>698</v>
      </c>
      <c r="G1542" s="37" t="s">
        <v>541</v>
      </c>
      <c r="H1542" s="37" t="s">
        <v>3505</v>
      </c>
      <c r="I1542" s="37" t="s">
        <v>229</v>
      </c>
    </row>
    <row r="1543" ht="15.75" hidden="1" customHeight="1">
      <c r="A1543" s="38">
        <v>5291076.0</v>
      </c>
      <c r="B1543" s="39" t="s">
        <v>847</v>
      </c>
      <c r="C1543" s="39" t="s">
        <v>3506</v>
      </c>
      <c r="D1543" s="39" t="s">
        <v>224</v>
      </c>
      <c r="E1543" s="39" t="s">
        <v>849</v>
      </c>
      <c r="F1543" s="39" t="s">
        <v>333</v>
      </c>
      <c r="G1543" s="39" t="s">
        <v>301</v>
      </c>
      <c r="H1543" s="39" t="s">
        <v>3507</v>
      </c>
      <c r="I1543" s="39" t="s">
        <v>229</v>
      </c>
    </row>
    <row r="1544" ht="15.75" hidden="1" customHeight="1">
      <c r="A1544" s="36">
        <v>5292006.0</v>
      </c>
      <c r="B1544" s="37" t="s">
        <v>316</v>
      </c>
      <c r="C1544" s="37" t="s">
        <v>3508</v>
      </c>
      <c r="D1544" s="37" t="s">
        <v>224</v>
      </c>
      <c r="E1544" s="37" t="s">
        <v>1773</v>
      </c>
      <c r="F1544" s="37" t="s">
        <v>293</v>
      </c>
      <c r="G1544" s="37" t="s">
        <v>319</v>
      </c>
      <c r="H1544" s="37" t="s">
        <v>3509</v>
      </c>
      <c r="I1544" s="37" t="s">
        <v>229</v>
      </c>
    </row>
    <row r="1545" ht="15.75" hidden="1" customHeight="1">
      <c r="A1545" s="38">
        <v>5292007.0</v>
      </c>
      <c r="B1545" s="39" t="s">
        <v>676</v>
      </c>
      <c r="C1545" s="39" t="s">
        <v>3510</v>
      </c>
      <c r="D1545" s="39" t="s">
        <v>224</v>
      </c>
      <c r="E1545" s="39" t="s">
        <v>678</v>
      </c>
      <c r="F1545" s="39" t="s">
        <v>679</v>
      </c>
      <c r="G1545" s="39" t="s">
        <v>301</v>
      </c>
      <c r="H1545" s="39" t="s">
        <v>3511</v>
      </c>
      <c r="I1545" s="39" t="s">
        <v>229</v>
      </c>
    </row>
    <row r="1546" ht="15.75" hidden="1" customHeight="1">
      <c r="A1546" s="36">
        <v>5292216.0</v>
      </c>
      <c r="B1546" s="37" t="s">
        <v>847</v>
      </c>
      <c r="C1546" s="37" t="s">
        <v>3512</v>
      </c>
      <c r="D1546" s="37" t="s">
        <v>224</v>
      </c>
      <c r="E1546" s="37" t="s">
        <v>849</v>
      </c>
      <c r="F1546" s="37" t="s">
        <v>333</v>
      </c>
      <c r="G1546" s="37" t="s">
        <v>301</v>
      </c>
      <c r="H1546" s="37" t="s">
        <v>3513</v>
      </c>
      <c r="I1546" s="37" t="s">
        <v>229</v>
      </c>
    </row>
    <row r="1547" ht="15.75" hidden="1" customHeight="1">
      <c r="A1547" s="38">
        <v>5292237.0</v>
      </c>
      <c r="B1547" s="39" t="s">
        <v>316</v>
      </c>
      <c r="C1547" s="39" t="s">
        <v>3514</v>
      </c>
      <c r="D1547" s="39" t="s">
        <v>224</v>
      </c>
      <c r="E1547" s="39" t="s">
        <v>761</v>
      </c>
      <c r="F1547" s="39" t="s">
        <v>293</v>
      </c>
      <c r="G1547" s="39" t="s">
        <v>319</v>
      </c>
      <c r="H1547" s="39" t="s">
        <v>3515</v>
      </c>
      <c r="I1547" s="39" t="s">
        <v>229</v>
      </c>
    </row>
    <row r="1548" ht="15.75" hidden="1" customHeight="1">
      <c r="A1548" s="36">
        <v>5292238.0</v>
      </c>
      <c r="B1548" s="37" t="s">
        <v>555</v>
      </c>
      <c r="C1548" s="37" t="s">
        <v>3516</v>
      </c>
      <c r="D1548" s="37" t="s">
        <v>224</v>
      </c>
      <c r="E1548" s="37" t="s">
        <v>1069</v>
      </c>
      <c r="F1548" s="37" t="s">
        <v>558</v>
      </c>
      <c r="G1548" s="37" t="s">
        <v>541</v>
      </c>
      <c r="H1548" s="37" t="s">
        <v>3517</v>
      </c>
      <c r="I1548" s="37" t="s">
        <v>229</v>
      </c>
    </row>
    <row r="1549" ht="15.75" hidden="1" customHeight="1">
      <c r="A1549" s="38">
        <v>5640842.0</v>
      </c>
      <c r="B1549" s="39" t="s">
        <v>467</v>
      </c>
      <c r="C1549" s="39" t="s">
        <v>3518</v>
      </c>
      <c r="D1549" s="39" t="s">
        <v>224</v>
      </c>
      <c r="E1549" s="39" t="s">
        <v>469</v>
      </c>
      <c r="F1549" s="39" t="s">
        <v>470</v>
      </c>
      <c r="G1549" s="39" t="s">
        <v>327</v>
      </c>
      <c r="H1549" s="39" t="s">
        <v>3519</v>
      </c>
      <c r="I1549" s="39" t="s">
        <v>229</v>
      </c>
    </row>
    <row r="1550" ht="15.75" hidden="1" customHeight="1">
      <c r="A1550" s="36">
        <v>5292350.0</v>
      </c>
      <c r="B1550" s="37" t="s">
        <v>316</v>
      </c>
      <c r="C1550" s="37" t="s">
        <v>3520</v>
      </c>
      <c r="D1550" s="37" t="s">
        <v>234</v>
      </c>
      <c r="E1550" s="37" t="s">
        <v>796</v>
      </c>
      <c r="F1550" s="37" t="s">
        <v>293</v>
      </c>
      <c r="G1550" s="37" t="s">
        <v>319</v>
      </c>
      <c r="H1550" s="37" t="s">
        <v>3521</v>
      </c>
      <c r="I1550" s="37" t="s">
        <v>229</v>
      </c>
    </row>
    <row r="1551" ht="15.75" hidden="1" customHeight="1">
      <c r="A1551" s="38">
        <v>5640835.0</v>
      </c>
      <c r="B1551" s="39" t="s">
        <v>467</v>
      </c>
      <c r="C1551" s="39" t="s">
        <v>3522</v>
      </c>
      <c r="D1551" s="39" t="s">
        <v>224</v>
      </c>
      <c r="E1551" s="39" t="s">
        <v>469</v>
      </c>
      <c r="F1551" s="39" t="s">
        <v>470</v>
      </c>
      <c r="G1551" s="39" t="s">
        <v>327</v>
      </c>
      <c r="H1551" s="39" t="s">
        <v>3523</v>
      </c>
      <c r="I1551" s="39" t="s">
        <v>229</v>
      </c>
    </row>
    <row r="1552" ht="15.75" hidden="1" customHeight="1">
      <c r="A1552" s="36">
        <v>5292357.0</v>
      </c>
      <c r="B1552" s="37" t="s">
        <v>316</v>
      </c>
      <c r="C1552" s="37" t="s">
        <v>3524</v>
      </c>
      <c r="D1552" s="37" t="s">
        <v>224</v>
      </c>
      <c r="E1552" s="37" t="s">
        <v>1453</v>
      </c>
      <c r="F1552" s="37" t="s">
        <v>293</v>
      </c>
      <c r="G1552" s="37" t="s">
        <v>319</v>
      </c>
      <c r="H1552" s="37" t="s">
        <v>3525</v>
      </c>
      <c r="I1552" s="37" t="s">
        <v>229</v>
      </c>
    </row>
    <row r="1553" ht="15.75" hidden="1" customHeight="1">
      <c r="A1553" s="38">
        <v>5698081.0</v>
      </c>
      <c r="B1553" s="39" t="s">
        <v>467</v>
      </c>
      <c r="C1553" s="39" t="s">
        <v>3526</v>
      </c>
      <c r="D1553" s="39" t="s">
        <v>224</v>
      </c>
      <c r="E1553" s="39" t="s">
        <v>469</v>
      </c>
      <c r="F1553" s="39" t="s">
        <v>470</v>
      </c>
      <c r="G1553" s="39" t="s">
        <v>327</v>
      </c>
      <c r="H1553" s="39" t="s">
        <v>3527</v>
      </c>
      <c r="I1553" s="39" t="s">
        <v>229</v>
      </c>
    </row>
    <row r="1554" ht="15.75" hidden="1" customHeight="1">
      <c r="A1554" s="36">
        <v>5292374.0</v>
      </c>
      <c r="B1554" s="37" t="s">
        <v>1695</v>
      </c>
      <c r="C1554" s="37" t="s">
        <v>3528</v>
      </c>
      <c r="D1554" s="37" t="s">
        <v>224</v>
      </c>
      <c r="E1554" s="37" t="s">
        <v>1697</v>
      </c>
      <c r="F1554" s="37" t="s">
        <v>698</v>
      </c>
      <c r="G1554" s="37" t="s">
        <v>541</v>
      </c>
      <c r="H1554" s="37" t="s">
        <v>3529</v>
      </c>
      <c r="I1554" s="37" t="s">
        <v>229</v>
      </c>
    </row>
    <row r="1555" ht="15.75" hidden="1" customHeight="1">
      <c r="A1555" s="38">
        <v>5350468.0</v>
      </c>
      <c r="B1555" s="39" t="s">
        <v>467</v>
      </c>
      <c r="C1555" s="39" t="s">
        <v>3530</v>
      </c>
      <c r="D1555" s="39" t="s">
        <v>224</v>
      </c>
      <c r="E1555" s="39" t="s">
        <v>469</v>
      </c>
      <c r="F1555" s="39" t="s">
        <v>470</v>
      </c>
      <c r="G1555" s="39" t="s">
        <v>327</v>
      </c>
      <c r="H1555" s="39" t="s">
        <v>3531</v>
      </c>
      <c r="I1555" s="39" t="s">
        <v>229</v>
      </c>
    </row>
    <row r="1556" ht="15.75" hidden="1" customHeight="1">
      <c r="A1556" s="36">
        <v>5640810.0</v>
      </c>
      <c r="B1556" s="37" t="s">
        <v>467</v>
      </c>
      <c r="C1556" s="37" t="s">
        <v>3532</v>
      </c>
      <c r="D1556" s="37" t="s">
        <v>224</v>
      </c>
      <c r="E1556" s="37" t="s">
        <v>469</v>
      </c>
      <c r="F1556" s="37" t="s">
        <v>470</v>
      </c>
      <c r="G1556" s="37" t="s">
        <v>327</v>
      </c>
      <c r="H1556" s="37" t="s">
        <v>3533</v>
      </c>
      <c r="I1556" s="37" t="s">
        <v>229</v>
      </c>
    </row>
    <row r="1557" ht="15.75" hidden="1" customHeight="1">
      <c r="A1557" s="38">
        <v>5640816.0</v>
      </c>
      <c r="B1557" s="39" t="s">
        <v>467</v>
      </c>
      <c r="C1557" s="39" t="s">
        <v>3534</v>
      </c>
      <c r="D1557" s="39" t="s">
        <v>224</v>
      </c>
      <c r="E1557" s="39" t="s">
        <v>469</v>
      </c>
      <c r="F1557" s="39" t="s">
        <v>470</v>
      </c>
      <c r="G1557" s="39" t="s">
        <v>327</v>
      </c>
      <c r="H1557" s="39" t="s">
        <v>3535</v>
      </c>
      <c r="I1557" s="39" t="s">
        <v>229</v>
      </c>
    </row>
    <row r="1558" ht="15.75" hidden="1" customHeight="1">
      <c r="A1558" s="36">
        <v>5292425.0</v>
      </c>
      <c r="B1558" s="37" t="s">
        <v>316</v>
      </c>
      <c r="C1558" s="37" t="s">
        <v>3536</v>
      </c>
      <c r="D1558" s="37" t="s">
        <v>224</v>
      </c>
      <c r="E1558" s="37" t="s">
        <v>796</v>
      </c>
      <c r="F1558" s="37" t="s">
        <v>293</v>
      </c>
      <c r="G1558" s="37" t="s">
        <v>319</v>
      </c>
      <c r="H1558" s="37" t="s">
        <v>3537</v>
      </c>
      <c r="I1558" s="37" t="s">
        <v>229</v>
      </c>
    </row>
    <row r="1559" ht="15.75" hidden="1" customHeight="1">
      <c r="A1559" s="38">
        <v>5671144.0</v>
      </c>
      <c r="B1559" s="39" t="s">
        <v>467</v>
      </c>
      <c r="C1559" s="39" t="s">
        <v>3538</v>
      </c>
      <c r="D1559" s="39" t="s">
        <v>224</v>
      </c>
      <c r="E1559" s="39" t="s">
        <v>469</v>
      </c>
      <c r="F1559" s="39" t="s">
        <v>470</v>
      </c>
      <c r="G1559" s="39" t="s">
        <v>327</v>
      </c>
      <c r="H1559" s="39" t="s">
        <v>3539</v>
      </c>
      <c r="I1559" s="39" t="s">
        <v>229</v>
      </c>
    </row>
    <row r="1560" ht="15.75" hidden="1" customHeight="1">
      <c r="A1560" s="36">
        <v>5292438.0</v>
      </c>
      <c r="B1560" s="37" t="s">
        <v>1695</v>
      </c>
      <c r="C1560" s="37" t="s">
        <v>3540</v>
      </c>
      <c r="D1560" s="37" t="s">
        <v>224</v>
      </c>
      <c r="E1560" s="37" t="s">
        <v>1697</v>
      </c>
      <c r="F1560" s="37" t="s">
        <v>698</v>
      </c>
      <c r="G1560" s="37" t="s">
        <v>541</v>
      </c>
      <c r="H1560" s="37" t="s">
        <v>3541</v>
      </c>
      <c r="I1560" s="37" t="s">
        <v>229</v>
      </c>
    </row>
    <row r="1561" ht="15.75" hidden="1" customHeight="1">
      <c r="A1561" s="38">
        <v>5292443.0</v>
      </c>
      <c r="B1561" s="39" t="s">
        <v>1746</v>
      </c>
      <c r="C1561" s="39" t="s">
        <v>3542</v>
      </c>
      <c r="D1561" s="39" t="s">
        <v>234</v>
      </c>
      <c r="E1561" s="39" t="s">
        <v>1697</v>
      </c>
      <c r="F1561" s="39" t="s">
        <v>698</v>
      </c>
      <c r="G1561" s="39" t="s">
        <v>541</v>
      </c>
      <c r="H1561" s="39" t="s">
        <v>3543</v>
      </c>
      <c r="I1561" s="39" t="s">
        <v>229</v>
      </c>
    </row>
    <row r="1562" ht="15.75" hidden="1" customHeight="1">
      <c r="A1562" s="36">
        <v>5295569.0</v>
      </c>
      <c r="B1562" s="37" t="s">
        <v>555</v>
      </c>
      <c r="C1562" s="37" t="s">
        <v>3544</v>
      </c>
      <c r="D1562" s="37" t="s">
        <v>224</v>
      </c>
      <c r="E1562" s="37" t="s">
        <v>1069</v>
      </c>
      <c r="F1562" s="37" t="s">
        <v>558</v>
      </c>
      <c r="G1562" s="37" t="s">
        <v>541</v>
      </c>
      <c r="H1562" s="37" t="s">
        <v>3545</v>
      </c>
      <c r="I1562" s="37" t="s">
        <v>229</v>
      </c>
    </row>
    <row r="1563" ht="15.75" hidden="1" customHeight="1">
      <c r="A1563" s="38">
        <v>5538392.0</v>
      </c>
      <c r="B1563" s="39" t="s">
        <v>467</v>
      </c>
      <c r="C1563" s="39" t="s">
        <v>3546</v>
      </c>
      <c r="D1563" s="39" t="s">
        <v>331</v>
      </c>
      <c r="E1563" s="39" t="s">
        <v>469</v>
      </c>
      <c r="F1563" s="39" t="s">
        <v>470</v>
      </c>
      <c r="G1563" s="39" t="s">
        <v>327</v>
      </c>
      <c r="H1563" s="39" t="s">
        <v>3547</v>
      </c>
      <c r="I1563" s="39" t="s">
        <v>229</v>
      </c>
    </row>
    <row r="1564" ht="15.75" hidden="1" customHeight="1">
      <c r="A1564" s="36">
        <v>5295598.0</v>
      </c>
      <c r="B1564" s="37" t="s">
        <v>847</v>
      </c>
      <c r="C1564" s="37" t="s">
        <v>3548</v>
      </c>
      <c r="D1564" s="37" t="s">
        <v>224</v>
      </c>
      <c r="E1564" s="37" t="s">
        <v>1418</v>
      </c>
      <c r="F1564" s="37" t="s">
        <v>333</v>
      </c>
      <c r="G1564" s="37" t="s">
        <v>301</v>
      </c>
      <c r="H1564" s="37" t="s">
        <v>3549</v>
      </c>
      <c r="I1564" s="37" t="s">
        <v>229</v>
      </c>
    </row>
    <row r="1565" ht="15.75" hidden="1" customHeight="1">
      <c r="A1565" s="38">
        <v>5719500.0</v>
      </c>
      <c r="B1565" s="39" t="s">
        <v>467</v>
      </c>
      <c r="C1565" s="39" t="s">
        <v>3550</v>
      </c>
      <c r="D1565" s="39" t="s">
        <v>224</v>
      </c>
      <c r="E1565" s="39" t="s">
        <v>469</v>
      </c>
      <c r="F1565" s="39" t="s">
        <v>470</v>
      </c>
      <c r="G1565" s="39" t="s">
        <v>327</v>
      </c>
      <c r="H1565" s="39" t="s">
        <v>3551</v>
      </c>
      <c r="I1565" s="39" t="s">
        <v>229</v>
      </c>
    </row>
    <row r="1566" ht="15.75" hidden="1" customHeight="1">
      <c r="A1566" s="36">
        <v>5295601.0</v>
      </c>
      <c r="B1566" s="37" t="s">
        <v>835</v>
      </c>
      <c r="C1566" s="37" t="s">
        <v>3552</v>
      </c>
      <c r="D1566" s="37" t="s">
        <v>224</v>
      </c>
      <c r="E1566" s="37" t="s">
        <v>837</v>
      </c>
      <c r="F1566" s="37" t="s">
        <v>377</v>
      </c>
      <c r="G1566" s="37" t="s">
        <v>327</v>
      </c>
      <c r="H1566" s="37" t="s">
        <v>3553</v>
      </c>
      <c r="I1566" s="37" t="s">
        <v>229</v>
      </c>
    </row>
    <row r="1567" ht="15.75" hidden="1" customHeight="1">
      <c r="A1567" s="38">
        <v>5721226.0</v>
      </c>
      <c r="B1567" s="39" t="s">
        <v>467</v>
      </c>
      <c r="C1567" s="39" t="s">
        <v>3554</v>
      </c>
      <c r="D1567" s="39" t="s">
        <v>224</v>
      </c>
      <c r="E1567" s="39" t="s">
        <v>469</v>
      </c>
      <c r="F1567" s="39" t="s">
        <v>470</v>
      </c>
      <c r="G1567" s="39" t="s">
        <v>327</v>
      </c>
      <c r="H1567" s="39" t="s">
        <v>3555</v>
      </c>
      <c r="I1567" s="39" t="s">
        <v>229</v>
      </c>
    </row>
    <row r="1568" ht="15.75" hidden="1" customHeight="1">
      <c r="A1568" s="36">
        <v>5864034.0</v>
      </c>
      <c r="B1568" s="37" t="s">
        <v>467</v>
      </c>
      <c r="C1568" s="37" t="s">
        <v>3556</v>
      </c>
      <c r="D1568" s="37" t="s">
        <v>224</v>
      </c>
      <c r="E1568" s="37" t="s">
        <v>469</v>
      </c>
      <c r="F1568" s="37" t="s">
        <v>470</v>
      </c>
      <c r="G1568" s="37" t="s">
        <v>327</v>
      </c>
      <c r="H1568" s="37" t="s">
        <v>3557</v>
      </c>
      <c r="I1568" s="37" t="s">
        <v>229</v>
      </c>
    </row>
    <row r="1569" ht="15.75" hidden="1" customHeight="1">
      <c r="A1569" s="38">
        <v>5295727.0</v>
      </c>
      <c r="B1569" s="39" t="s">
        <v>847</v>
      </c>
      <c r="C1569" s="39" t="s">
        <v>3558</v>
      </c>
      <c r="D1569" s="39" t="s">
        <v>224</v>
      </c>
      <c r="E1569" s="39" t="s">
        <v>849</v>
      </c>
      <c r="F1569" s="39" t="s">
        <v>333</v>
      </c>
      <c r="G1569" s="39" t="s">
        <v>301</v>
      </c>
      <c r="H1569" s="39" t="s">
        <v>3559</v>
      </c>
      <c r="I1569" s="39" t="s">
        <v>229</v>
      </c>
    </row>
    <row r="1570" ht="15.75" hidden="1" customHeight="1">
      <c r="A1570" s="36">
        <v>5438590.0</v>
      </c>
      <c r="B1570" s="37" t="s">
        <v>467</v>
      </c>
      <c r="C1570" s="37" t="s">
        <v>3560</v>
      </c>
      <c r="D1570" s="37" t="s">
        <v>224</v>
      </c>
      <c r="E1570" s="37" t="s">
        <v>469</v>
      </c>
      <c r="F1570" s="37" t="s">
        <v>470</v>
      </c>
      <c r="G1570" s="37" t="s">
        <v>327</v>
      </c>
      <c r="H1570" s="37" t="s">
        <v>3561</v>
      </c>
      <c r="I1570" s="37" t="s">
        <v>229</v>
      </c>
    </row>
    <row r="1571" ht="15.75" hidden="1" customHeight="1">
      <c r="A1571" s="38">
        <v>5295729.0</v>
      </c>
      <c r="B1571" s="39" t="s">
        <v>478</v>
      </c>
      <c r="C1571" s="39" t="s">
        <v>3562</v>
      </c>
      <c r="D1571" s="39" t="s">
        <v>224</v>
      </c>
      <c r="E1571" s="39" t="s">
        <v>1323</v>
      </c>
      <c r="F1571" s="39" t="s">
        <v>481</v>
      </c>
      <c r="G1571" s="39" t="s">
        <v>293</v>
      </c>
      <c r="H1571" s="39" t="s">
        <v>3563</v>
      </c>
      <c r="I1571" s="39" t="s">
        <v>229</v>
      </c>
    </row>
    <row r="1572" ht="15.75" hidden="1" customHeight="1">
      <c r="A1572" s="36">
        <v>5898224.0</v>
      </c>
      <c r="B1572" s="37" t="s">
        <v>467</v>
      </c>
      <c r="C1572" s="37" t="s">
        <v>3564</v>
      </c>
      <c r="D1572" s="37" t="s">
        <v>224</v>
      </c>
      <c r="E1572" s="37" t="s">
        <v>469</v>
      </c>
      <c r="F1572" s="37" t="s">
        <v>470</v>
      </c>
      <c r="G1572" s="37" t="s">
        <v>327</v>
      </c>
      <c r="H1572" s="37" t="s">
        <v>3565</v>
      </c>
      <c r="I1572" s="37" t="s">
        <v>229</v>
      </c>
    </row>
    <row r="1573" ht="15.75" hidden="1" customHeight="1">
      <c r="A1573" s="38">
        <v>5640843.0</v>
      </c>
      <c r="B1573" s="39" t="s">
        <v>467</v>
      </c>
      <c r="C1573" s="39" t="s">
        <v>3566</v>
      </c>
      <c r="D1573" s="39" t="s">
        <v>224</v>
      </c>
      <c r="E1573" s="39" t="s">
        <v>469</v>
      </c>
      <c r="F1573" s="39" t="s">
        <v>470</v>
      </c>
      <c r="G1573" s="39" t="s">
        <v>327</v>
      </c>
      <c r="H1573" s="39" t="s">
        <v>3567</v>
      </c>
      <c r="I1573" s="39" t="s">
        <v>229</v>
      </c>
    </row>
    <row r="1574" ht="15.75" hidden="1" customHeight="1">
      <c r="A1574" s="36">
        <v>5296718.0</v>
      </c>
      <c r="B1574" s="37" t="s">
        <v>478</v>
      </c>
      <c r="C1574" s="37" t="s">
        <v>3568</v>
      </c>
      <c r="D1574" s="37" t="s">
        <v>224</v>
      </c>
      <c r="E1574" s="37" t="s">
        <v>480</v>
      </c>
      <c r="F1574" s="37" t="s">
        <v>481</v>
      </c>
      <c r="G1574" s="37" t="s">
        <v>293</v>
      </c>
      <c r="H1574" s="37" t="s">
        <v>3569</v>
      </c>
      <c r="I1574" s="37" t="s">
        <v>229</v>
      </c>
    </row>
    <row r="1575" ht="15.75" hidden="1" customHeight="1">
      <c r="A1575" s="38">
        <v>5832391.0</v>
      </c>
      <c r="B1575" s="39" t="s">
        <v>118</v>
      </c>
      <c r="C1575" s="39" t="s">
        <v>3570</v>
      </c>
      <c r="D1575" s="39" t="s">
        <v>224</v>
      </c>
      <c r="E1575" s="39" t="s">
        <v>3417</v>
      </c>
      <c r="F1575" s="39" t="s">
        <v>284</v>
      </c>
      <c r="G1575" s="39" t="s">
        <v>3</v>
      </c>
      <c r="H1575" s="39" t="s">
        <v>3571</v>
      </c>
      <c r="I1575" s="39" t="s">
        <v>260</v>
      </c>
      <c r="J1575" s="1">
        <v>42.0</v>
      </c>
      <c r="L1575" s="40" t="s">
        <v>118</v>
      </c>
    </row>
    <row r="1576" ht="15.75" hidden="1" customHeight="1">
      <c r="A1576" s="36">
        <v>5296778.0</v>
      </c>
      <c r="B1576" s="37" t="s">
        <v>806</v>
      </c>
      <c r="C1576" s="37" t="s">
        <v>3572</v>
      </c>
      <c r="D1576" s="37" t="s">
        <v>224</v>
      </c>
      <c r="E1576" s="37" t="s">
        <v>891</v>
      </c>
      <c r="F1576" s="37" t="s">
        <v>257</v>
      </c>
      <c r="G1576" s="37" t="s">
        <v>258</v>
      </c>
      <c r="H1576" s="37" t="s">
        <v>3573</v>
      </c>
      <c r="I1576" s="37" t="s">
        <v>260</v>
      </c>
    </row>
    <row r="1577" ht="15.75" hidden="1" customHeight="1">
      <c r="A1577" s="38">
        <v>5906066.0</v>
      </c>
      <c r="B1577" s="39" t="s">
        <v>118</v>
      </c>
      <c r="C1577" s="39" t="s">
        <v>3574</v>
      </c>
      <c r="D1577" s="39" t="s">
        <v>224</v>
      </c>
      <c r="E1577" s="39" t="s">
        <v>3417</v>
      </c>
      <c r="F1577" s="39" t="s">
        <v>284</v>
      </c>
      <c r="G1577" s="39" t="s">
        <v>3</v>
      </c>
      <c r="H1577" s="39" t="s">
        <v>3575</v>
      </c>
      <c r="I1577" s="39" t="s">
        <v>260</v>
      </c>
      <c r="J1577" s="1">
        <v>42.0</v>
      </c>
      <c r="L1577" s="40" t="s">
        <v>118</v>
      </c>
    </row>
    <row r="1578" ht="15.75" hidden="1" customHeight="1">
      <c r="A1578" s="36">
        <v>5918196.0</v>
      </c>
      <c r="B1578" s="37" t="s">
        <v>118</v>
      </c>
      <c r="C1578" s="37" t="s">
        <v>3576</v>
      </c>
      <c r="D1578" s="37" t="s">
        <v>224</v>
      </c>
      <c r="E1578" s="37" t="s">
        <v>3417</v>
      </c>
      <c r="F1578" s="37" t="s">
        <v>284</v>
      </c>
      <c r="G1578" s="37" t="s">
        <v>3</v>
      </c>
      <c r="H1578" s="37" t="s">
        <v>3577</v>
      </c>
      <c r="I1578" s="37" t="s">
        <v>260</v>
      </c>
      <c r="J1578" s="1">
        <v>42.0</v>
      </c>
      <c r="L1578" s="40" t="s">
        <v>118</v>
      </c>
    </row>
    <row r="1579" ht="15.75" hidden="1" customHeight="1">
      <c r="A1579" s="38">
        <v>5297866.0</v>
      </c>
      <c r="B1579" s="39" t="s">
        <v>478</v>
      </c>
      <c r="C1579" s="39" t="s">
        <v>3578</v>
      </c>
      <c r="D1579" s="39" t="s">
        <v>224</v>
      </c>
      <c r="E1579" s="39" t="s">
        <v>480</v>
      </c>
      <c r="F1579" s="39" t="s">
        <v>481</v>
      </c>
      <c r="G1579" s="39" t="s">
        <v>293</v>
      </c>
      <c r="H1579" s="39" t="s">
        <v>3579</v>
      </c>
      <c r="I1579" s="39" t="s">
        <v>229</v>
      </c>
    </row>
    <row r="1580" ht="15.75" hidden="1" customHeight="1">
      <c r="A1580" s="36">
        <v>5983656.0</v>
      </c>
      <c r="B1580" s="37" t="s">
        <v>118</v>
      </c>
      <c r="C1580" s="37" t="s">
        <v>3580</v>
      </c>
      <c r="D1580" s="37" t="s">
        <v>224</v>
      </c>
      <c r="E1580" s="37" t="s">
        <v>3417</v>
      </c>
      <c r="F1580" s="37" t="s">
        <v>284</v>
      </c>
      <c r="G1580" s="37" t="s">
        <v>3</v>
      </c>
      <c r="H1580" s="37" t="s">
        <v>3581</v>
      </c>
      <c r="I1580" s="37" t="s">
        <v>260</v>
      </c>
      <c r="J1580" s="1">
        <v>42.0</v>
      </c>
      <c r="L1580" s="40" t="s">
        <v>118</v>
      </c>
    </row>
    <row r="1581" ht="15.75" hidden="1" customHeight="1">
      <c r="A1581" s="38">
        <v>5297875.0</v>
      </c>
      <c r="B1581" s="39" t="s">
        <v>1143</v>
      </c>
      <c r="C1581" s="39" t="s">
        <v>3582</v>
      </c>
      <c r="D1581" s="39" t="s">
        <v>224</v>
      </c>
      <c r="E1581" s="39" t="s">
        <v>1145</v>
      </c>
      <c r="F1581" s="39" t="s">
        <v>292</v>
      </c>
      <c r="G1581" s="39" t="s">
        <v>293</v>
      </c>
      <c r="H1581" s="39" t="s">
        <v>3583</v>
      </c>
      <c r="I1581" s="39" t="s">
        <v>229</v>
      </c>
    </row>
    <row r="1582" ht="15.75" hidden="1" customHeight="1">
      <c r="A1582" s="36">
        <v>5981942.0</v>
      </c>
      <c r="B1582" s="37" t="s">
        <v>118</v>
      </c>
      <c r="C1582" s="37" t="s">
        <v>3584</v>
      </c>
      <c r="D1582" s="37" t="s">
        <v>224</v>
      </c>
      <c r="E1582" s="37" t="s">
        <v>3417</v>
      </c>
      <c r="F1582" s="37" t="s">
        <v>284</v>
      </c>
      <c r="G1582" s="37" t="s">
        <v>3</v>
      </c>
      <c r="H1582" s="37" t="s">
        <v>3585</v>
      </c>
      <c r="I1582" s="37" t="s">
        <v>260</v>
      </c>
      <c r="J1582" s="1">
        <v>42.0</v>
      </c>
      <c r="L1582" s="40" t="s">
        <v>118</v>
      </c>
    </row>
    <row r="1583" ht="15.75" hidden="1" customHeight="1">
      <c r="A1583" s="38">
        <v>5297879.0</v>
      </c>
      <c r="B1583" s="39" t="s">
        <v>374</v>
      </c>
      <c r="C1583" s="39" t="s">
        <v>3586</v>
      </c>
      <c r="D1583" s="39" t="s">
        <v>224</v>
      </c>
      <c r="E1583" s="39" t="s">
        <v>376</v>
      </c>
      <c r="F1583" s="39" t="s">
        <v>377</v>
      </c>
      <c r="G1583" s="39" t="s">
        <v>327</v>
      </c>
      <c r="H1583" s="39" t="s">
        <v>3587</v>
      </c>
      <c r="I1583" s="39" t="s">
        <v>229</v>
      </c>
    </row>
    <row r="1584" ht="15.75" hidden="1" customHeight="1">
      <c r="A1584" s="36">
        <v>5380526.0</v>
      </c>
      <c r="B1584" s="37" t="s">
        <v>118</v>
      </c>
      <c r="C1584" s="37" t="s">
        <v>3588</v>
      </c>
      <c r="D1584" s="37" t="s">
        <v>269</v>
      </c>
      <c r="E1584" s="37" t="s">
        <v>3417</v>
      </c>
      <c r="F1584" s="37" t="s">
        <v>284</v>
      </c>
      <c r="G1584" s="37" t="s">
        <v>3</v>
      </c>
      <c r="H1584" s="37" t="s">
        <v>3589</v>
      </c>
      <c r="I1584" s="37" t="s">
        <v>260</v>
      </c>
      <c r="J1584" s="1">
        <v>42.0</v>
      </c>
      <c r="L1584" s="40" t="s">
        <v>118</v>
      </c>
    </row>
    <row r="1585" ht="15.75" hidden="1" customHeight="1">
      <c r="A1585" s="38">
        <v>5298014.0</v>
      </c>
      <c r="B1585" s="39" t="s">
        <v>374</v>
      </c>
      <c r="C1585" s="39" t="s">
        <v>3590</v>
      </c>
      <c r="D1585" s="39" t="s">
        <v>224</v>
      </c>
      <c r="E1585" s="39" t="s">
        <v>959</v>
      </c>
      <c r="F1585" s="39" t="s">
        <v>377</v>
      </c>
      <c r="G1585" s="39" t="s">
        <v>327</v>
      </c>
      <c r="H1585" s="39" t="s">
        <v>3591</v>
      </c>
      <c r="I1585" s="39" t="s">
        <v>229</v>
      </c>
    </row>
    <row r="1586" ht="15.75" hidden="1" customHeight="1">
      <c r="A1586" s="36">
        <v>5383503.0</v>
      </c>
      <c r="B1586" s="37" t="s">
        <v>118</v>
      </c>
      <c r="C1586" s="37" t="s">
        <v>3592</v>
      </c>
      <c r="D1586" s="37" t="s">
        <v>331</v>
      </c>
      <c r="E1586" s="37" t="s">
        <v>3417</v>
      </c>
      <c r="F1586" s="37" t="s">
        <v>284</v>
      </c>
      <c r="G1586" s="37" t="s">
        <v>3</v>
      </c>
      <c r="H1586" s="37" t="s">
        <v>3593</v>
      </c>
      <c r="I1586" s="37" t="s">
        <v>260</v>
      </c>
      <c r="J1586" s="1">
        <v>42.0</v>
      </c>
      <c r="L1586" s="40" t="s">
        <v>118</v>
      </c>
    </row>
    <row r="1587" ht="15.75" hidden="1" customHeight="1">
      <c r="A1587" s="38">
        <v>5986776.0</v>
      </c>
      <c r="B1587" s="39" t="s">
        <v>118</v>
      </c>
      <c r="C1587" s="39" t="s">
        <v>3594</v>
      </c>
      <c r="D1587" s="39" t="s">
        <v>224</v>
      </c>
      <c r="E1587" s="39" t="s">
        <v>3417</v>
      </c>
      <c r="F1587" s="39" t="s">
        <v>284</v>
      </c>
      <c r="G1587" s="39" t="s">
        <v>3</v>
      </c>
      <c r="H1587" s="39" t="s">
        <v>3595</v>
      </c>
      <c r="I1587" s="39" t="s">
        <v>260</v>
      </c>
      <c r="J1587" s="1">
        <v>42.0</v>
      </c>
      <c r="L1587" s="40" t="s">
        <v>118</v>
      </c>
    </row>
    <row r="1588" ht="15.75" hidden="1" customHeight="1">
      <c r="A1588" s="36">
        <v>5305585.0</v>
      </c>
      <c r="B1588" s="37" t="s">
        <v>425</v>
      </c>
      <c r="C1588" s="37" t="s">
        <v>3596</v>
      </c>
      <c r="D1588" s="37" t="s">
        <v>224</v>
      </c>
      <c r="E1588" s="37" t="s">
        <v>1391</v>
      </c>
      <c r="F1588" s="37" t="s">
        <v>312</v>
      </c>
      <c r="G1588" s="37" t="s">
        <v>3</v>
      </c>
      <c r="H1588" s="37" t="s">
        <v>3597</v>
      </c>
      <c r="I1588" s="37" t="s">
        <v>260</v>
      </c>
    </row>
    <row r="1589" ht="15.75" hidden="1" customHeight="1">
      <c r="A1589" s="38">
        <v>5958458.0</v>
      </c>
      <c r="B1589" s="39" t="s">
        <v>118</v>
      </c>
      <c r="C1589" s="39" t="s">
        <v>3598</v>
      </c>
      <c r="D1589" s="39" t="s">
        <v>224</v>
      </c>
      <c r="E1589" s="39" t="s">
        <v>3417</v>
      </c>
      <c r="F1589" s="39" t="s">
        <v>284</v>
      </c>
      <c r="G1589" s="39" t="s">
        <v>3</v>
      </c>
      <c r="H1589" s="39" t="s">
        <v>3599</v>
      </c>
      <c r="I1589" s="39" t="s">
        <v>260</v>
      </c>
      <c r="J1589" s="1">
        <v>42.0</v>
      </c>
      <c r="L1589" s="40" t="s">
        <v>118</v>
      </c>
    </row>
    <row r="1590" ht="15.75" hidden="1" customHeight="1">
      <c r="A1590" s="36">
        <v>5988701.0</v>
      </c>
      <c r="B1590" s="37" t="s">
        <v>118</v>
      </c>
      <c r="C1590" s="37" t="s">
        <v>3600</v>
      </c>
      <c r="D1590" s="37" t="s">
        <v>224</v>
      </c>
      <c r="E1590" s="37" t="s">
        <v>3417</v>
      </c>
      <c r="F1590" s="37" t="s">
        <v>284</v>
      </c>
      <c r="G1590" s="37" t="s">
        <v>3</v>
      </c>
      <c r="H1590" s="37" t="s">
        <v>3601</v>
      </c>
      <c r="I1590" s="37" t="s">
        <v>260</v>
      </c>
      <c r="J1590" s="1">
        <v>42.0</v>
      </c>
      <c r="L1590" s="40" t="s">
        <v>118</v>
      </c>
    </row>
    <row r="1591" ht="15.75" hidden="1" customHeight="1">
      <c r="A1591" s="38">
        <v>5309251.0</v>
      </c>
      <c r="B1591" s="39" t="s">
        <v>738</v>
      </c>
      <c r="C1591" s="39" t="s">
        <v>3602</v>
      </c>
      <c r="D1591" s="39" t="s">
        <v>224</v>
      </c>
      <c r="E1591" s="39" t="s">
        <v>740</v>
      </c>
      <c r="F1591" s="39" t="s">
        <v>533</v>
      </c>
      <c r="G1591" s="39" t="s">
        <v>250</v>
      </c>
      <c r="H1591" s="39" t="s">
        <v>3603</v>
      </c>
      <c r="I1591" s="39" t="s">
        <v>229</v>
      </c>
    </row>
    <row r="1592" ht="15.75" hidden="1" customHeight="1">
      <c r="A1592" s="36">
        <v>5989052.0</v>
      </c>
      <c r="B1592" s="37" t="s">
        <v>118</v>
      </c>
      <c r="C1592" s="37" t="s">
        <v>3604</v>
      </c>
      <c r="D1592" s="37" t="s">
        <v>224</v>
      </c>
      <c r="E1592" s="37" t="s">
        <v>3417</v>
      </c>
      <c r="F1592" s="37" t="s">
        <v>284</v>
      </c>
      <c r="G1592" s="37" t="s">
        <v>3</v>
      </c>
      <c r="H1592" s="37" t="s">
        <v>3605</v>
      </c>
      <c r="I1592" s="37" t="s">
        <v>260</v>
      </c>
      <c r="J1592" s="1">
        <v>42.0</v>
      </c>
      <c r="L1592" s="40" t="s">
        <v>118</v>
      </c>
    </row>
    <row r="1593" ht="15.75" hidden="1" customHeight="1">
      <c r="A1593" s="38">
        <v>5310410.0</v>
      </c>
      <c r="B1593" s="39" t="s">
        <v>113</v>
      </c>
      <c r="C1593" s="39" t="s">
        <v>3606</v>
      </c>
      <c r="D1593" s="39" t="s">
        <v>224</v>
      </c>
      <c r="E1593" s="39" t="s">
        <v>2307</v>
      </c>
      <c r="F1593" s="39" t="s">
        <v>421</v>
      </c>
      <c r="G1593" s="39" t="s">
        <v>227</v>
      </c>
      <c r="H1593" s="39" t="s">
        <v>3607</v>
      </c>
      <c r="I1593" s="39" t="s">
        <v>260</v>
      </c>
    </row>
    <row r="1594" ht="15.75" hidden="1" customHeight="1">
      <c r="A1594" s="36">
        <v>5524914.0</v>
      </c>
      <c r="B1594" s="37" t="s">
        <v>118</v>
      </c>
      <c r="C1594" s="37" t="s">
        <v>3608</v>
      </c>
      <c r="D1594" s="37" t="s">
        <v>224</v>
      </c>
      <c r="E1594" s="37" t="s">
        <v>3417</v>
      </c>
      <c r="F1594" s="37" t="s">
        <v>284</v>
      </c>
      <c r="G1594" s="37" t="s">
        <v>3</v>
      </c>
      <c r="H1594" s="37" t="s">
        <v>3609</v>
      </c>
      <c r="I1594" s="37" t="s">
        <v>260</v>
      </c>
      <c r="J1594" s="1">
        <v>42.0</v>
      </c>
      <c r="L1594" s="40" t="s">
        <v>118</v>
      </c>
    </row>
    <row r="1595" ht="15.75" hidden="1" customHeight="1">
      <c r="A1595" s="38">
        <v>5311615.0</v>
      </c>
      <c r="B1595" s="39" t="s">
        <v>1143</v>
      </c>
      <c r="C1595" s="39" t="s">
        <v>3610</v>
      </c>
      <c r="D1595" s="39" t="s">
        <v>224</v>
      </c>
      <c r="E1595" s="39" t="s">
        <v>1021</v>
      </c>
      <c r="F1595" s="39" t="s">
        <v>292</v>
      </c>
      <c r="G1595" s="39" t="s">
        <v>293</v>
      </c>
      <c r="H1595" s="39" t="s">
        <v>3611</v>
      </c>
      <c r="I1595" s="39" t="s">
        <v>229</v>
      </c>
    </row>
    <row r="1596" ht="15.75" hidden="1" customHeight="1">
      <c r="A1596" s="36">
        <v>5879695.0</v>
      </c>
      <c r="B1596" s="37" t="s">
        <v>118</v>
      </c>
      <c r="C1596" s="37" t="s">
        <v>3612</v>
      </c>
      <c r="D1596" s="37" t="s">
        <v>224</v>
      </c>
      <c r="E1596" s="37" t="s">
        <v>3417</v>
      </c>
      <c r="F1596" s="37" t="s">
        <v>284</v>
      </c>
      <c r="G1596" s="37" t="s">
        <v>3</v>
      </c>
      <c r="H1596" s="37" t="s">
        <v>3613</v>
      </c>
      <c r="I1596" s="37" t="s">
        <v>260</v>
      </c>
      <c r="J1596" s="1">
        <v>42.0</v>
      </c>
      <c r="L1596" s="40" t="s">
        <v>118</v>
      </c>
    </row>
    <row r="1597" ht="15.75" hidden="1" customHeight="1">
      <c r="A1597" s="38">
        <v>5346462.0</v>
      </c>
      <c r="B1597" s="39" t="s">
        <v>118</v>
      </c>
      <c r="C1597" s="39" t="s">
        <v>3614</v>
      </c>
      <c r="D1597" s="39" t="s">
        <v>224</v>
      </c>
      <c r="E1597" s="39" t="s">
        <v>3417</v>
      </c>
      <c r="F1597" s="39" t="s">
        <v>284</v>
      </c>
      <c r="G1597" s="39" t="s">
        <v>3</v>
      </c>
      <c r="H1597" s="39" t="s">
        <v>3615</v>
      </c>
      <c r="I1597" s="39" t="s">
        <v>260</v>
      </c>
      <c r="J1597" s="1">
        <v>42.0</v>
      </c>
      <c r="L1597" s="40" t="s">
        <v>118</v>
      </c>
    </row>
    <row r="1598" ht="15.75" hidden="1" customHeight="1">
      <c r="A1598" s="36">
        <v>5311828.0</v>
      </c>
      <c r="B1598" s="37" t="s">
        <v>1602</v>
      </c>
      <c r="C1598" s="37" t="s">
        <v>3616</v>
      </c>
      <c r="D1598" s="37" t="s">
        <v>224</v>
      </c>
      <c r="E1598" s="37" t="s">
        <v>578</v>
      </c>
      <c r="F1598" s="37" t="s">
        <v>540</v>
      </c>
      <c r="G1598" s="37" t="s">
        <v>541</v>
      </c>
      <c r="H1598" s="37" t="s">
        <v>3617</v>
      </c>
      <c r="I1598" s="37" t="s">
        <v>229</v>
      </c>
    </row>
    <row r="1599" ht="15.75" hidden="1" customHeight="1">
      <c r="A1599" s="38">
        <v>5978458.0</v>
      </c>
      <c r="B1599" s="39" t="s">
        <v>118</v>
      </c>
      <c r="C1599" s="39" t="s">
        <v>3618</v>
      </c>
      <c r="D1599" s="39" t="s">
        <v>224</v>
      </c>
      <c r="E1599" s="39" t="s">
        <v>3417</v>
      </c>
      <c r="F1599" s="39" t="s">
        <v>284</v>
      </c>
      <c r="G1599" s="39" t="s">
        <v>3</v>
      </c>
      <c r="H1599" s="39" t="s">
        <v>3619</v>
      </c>
      <c r="I1599" s="39" t="s">
        <v>260</v>
      </c>
      <c r="J1599" s="1">
        <v>42.0</v>
      </c>
      <c r="L1599" s="40" t="s">
        <v>118</v>
      </c>
    </row>
    <row r="1600" ht="15.75" hidden="1" customHeight="1">
      <c r="A1600" s="36">
        <v>5188802.0</v>
      </c>
      <c r="B1600" s="37" t="s">
        <v>526</v>
      </c>
      <c r="C1600" s="37" t="s">
        <v>3620</v>
      </c>
      <c r="D1600" s="37" t="s">
        <v>224</v>
      </c>
      <c r="E1600" s="37" t="s">
        <v>3621</v>
      </c>
      <c r="F1600" s="37" t="s">
        <v>3455</v>
      </c>
      <c r="G1600" s="37" t="s">
        <v>3456</v>
      </c>
      <c r="H1600" s="37" t="s">
        <v>3622</v>
      </c>
      <c r="I1600" s="37" t="s">
        <v>229</v>
      </c>
    </row>
    <row r="1601" ht="15.75" hidden="1" customHeight="1">
      <c r="A1601" s="38">
        <v>5313584.0</v>
      </c>
      <c r="B1601" s="39" t="s">
        <v>457</v>
      </c>
      <c r="C1601" s="39" t="s">
        <v>3623</v>
      </c>
      <c r="D1601" s="39" t="s">
        <v>224</v>
      </c>
      <c r="E1601" s="39" t="s">
        <v>1145</v>
      </c>
      <c r="F1601" s="39" t="s">
        <v>292</v>
      </c>
      <c r="G1601" s="39" t="s">
        <v>293</v>
      </c>
      <c r="H1601" s="39" t="s">
        <v>3624</v>
      </c>
      <c r="I1601" s="39" t="s">
        <v>229</v>
      </c>
    </row>
    <row r="1602" ht="15.75" hidden="1" customHeight="1">
      <c r="A1602" s="36">
        <v>6050404.0</v>
      </c>
      <c r="B1602" s="37" t="s">
        <v>526</v>
      </c>
      <c r="C1602" s="37" t="s">
        <v>3625</v>
      </c>
      <c r="D1602" s="37" t="s">
        <v>224</v>
      </c>
      <c r="E1602" s="37" t="s">
        <v>3621</v>
      </c>
      <c r="F1602" s="37" t="s">
        <v>3455</v>
      </c>
      <c r="G1602" s="37" t="s">
        <v>3456</v>
      </c>
      <c r="H1602" s="37" t="s">
        <v>3626</v>
      </c>
      <c r="I1602" s="37" t="s">
        <v>229</v>
      </c>
    </row>
    <row r="1603" ht="15.75" hidden="1" customHeight="1">
      <c r="A1603" s="38">
        <v>5313595.0</v>
      </c>
      <c r="B1603" s="39" t="s">
        <v>457</v>
      </c>
      <c r="C1603" s="39" t="s">
        <v>3627</v>
      </c>
      <c r="D1603" s="39" t="s">
        <v>224</v>
      </c>
      <c r="E1603" s="39" t="s">
        <v>1145</v>
      </c>
      <c r="F1603" s="39" t="s">
        <v>292</v>
      </c>
      <c r="G1603" s="39" t="s">
        <v>293</v>
      </c>
      <c r="H1603" s="39" t="s">
        <v>3628</v>
      </c>
      <c r="I1603" s="39" t="s">
        <v>229</v>
      </c>
    </row>
    <row r="1604" ht="15.75" hidden="1" customHeight="1">
      <c r="A1604" s="36">
        <v>6050408.0</v>
      </c>
      <c r="B1604" s="37" t="s">
        <v>526</v>
      </c>
      <c r="C1604" s="37" t="s">
        <v>3629</v>
      </c>
      <c r="D1604" s="37" t="s">
        <v>224</v>
      </c>
      <c r="E1604" s="37" t="s">
        <v>3621</v>
      </c>
      <c r="F1604" s="37" t="s">
        <v>3455</v>
      </c>
      <c r="G1604" s="37" t="s">
        <v>3456</v>
      </c>
      <c r="H1604" s="37" t="s">
        <v>3630</v>
      </c>
      <c r="I1604" s="37" t="s">
        <v>229</v>
      </c>
    </row>
    <row r="1605" ht="15.75" hidden="1" customHeight="1">
      <c r="A1605" s="38">
        <v>5313602.0</v>
      </c>
      <c r="B1605" s="39" t="s">
        <v>331</v>
      </c>
      <c r="C1605" s="39" t="s">
        <v>3631</v>
      </c>
      <c r="D1605" s="39" t="s">
        <v>331</v>
      </c>
      <c r="E1605" s="39" t="s">
        <v>2071</v>
      </c>
      <c r="F1605" s="39" t="s">
        <v>300</v>
      </c>
      <c r="G1605" s="39" t="s">
        <v>301</v>
      </c>
      <c r="H1605" s="39" t="s">
        <v>3632</v>
      </c>
      <c r="I1605" s="39" t="s">
        <v>229</v>
      </c>
    </row>
    <row r="1606" ht="15.75" hidden="1" customHeight="1">
      <c r="A1606" s="36">
        <v>6054413.0</v>
      </c>
      <c r="B1606" s="37" t="s">
        <v>526</v>
      </c>
      <c r="C1606" s="37" t="s">
        <v>3633</v>
      </c>
      <c r="D1606" s="37" t="s">
        <v>224</v>
      </c>
      <c r="E1606" s="37" t="s">
        <v>3621</v>
      </c>
      <c r="F1606" s="37" t="s">
        <v>3455</v>
      </c>
      <c r="G1606" s="37" t="s">
        <v>3456</v>
      </c>
      <c r="H1606" s="37" t="s">
        <v>3634</v>
      </c>
      <c r="I1606" s="37" t="s">
        <v>229</v>
      </c>
    </row>
    <row r="1607" ht="15.75" hidden="1" customHeight="1">
      <c r="A1607" s="38">
        <v>6054426.0</v>
      </c>
      <c r="B1607" s="39" t="s">
        <v>526</v>
      </c>
      <c r="C1607" s="39" t="s">
        <v>3635</v>
      </c>
      <c r="D1607" s="39" t="s">
        <v>224</v>
      </c>
      <c r="E1607" s="39" t="s">
        <v>3621</v>
      </c>
      <c r="F1607" s="39" t="s">
        <v>3455</v>
      </c>
      <c r="G1607" s="39" t="s">
        <v>3456</v>
      </c>
      <c r="H1607" s="39" t="s">
        <v>3636</v>
      </c>
      <c r="I1607" s="39" t="s">
        <v>229</v>
      </c>
    </row>
    <row r="1608" ht="15.75" hidden="1" customHeight="1">
      <c r="A1608" s="36">
        <v>5314863.0</v>
      </c>
      <c r="B1608" s="37" t="s">
        <v>3225</v>
      </c>
      <c r="C1608" s="37" t="s">
        <v>3637</v>
      </c>
      <c r="D1608" s="37" t="s">
        <v>224</v>
      </c>
      <c r="E1608" s="37" t="s">
        <v>539</v>
      </c>
      <c r="F1608" s="37" t="s">
        <v>540</v>
      </c>
      <c r="G1608" s="37" t="s">
        <v>541</v>
      </c>
      <c r="H1608" s="37" t="s">
        <v>3638</v>
      </c>
      <c r="I1608" s="37" t="s">
        <v>229</v>
      </c>
    </row>
    <row r="1609" ht="15.75" hidden="1" customHeight="1">
      <c r="A1609" s="38">
        <v>6048722.0</v>
      </c>
      <c r="B1609" s="39" t="s">
        <v>738</v>
      </c>
      <c r="C1609" s="39" t="s">
        <v>3639</v>
      </c>
      <c r="D1609" s="39" t="s">
        <v>224</v>
      </c>
      <c r="E1609" s="39" t="s">
        <v>3640</v>
      </c>
      <c r="F1609" s="39" t="s">
        <v>3641</v>
      </c>
      <c r="G1609" s="39" t="s">
        <v>3456</v>
      </c>
      <c r="H1609" s="39" t="s">
        <v>3642</v>
      </c>
      <c r="I1609" s="39" t="s">
        <v>229</v>
      </c>
    </row>
    <row r="1610" ht="15.75" hidden="1" customHeight="1">
      <c r="A1610" s="36">
        <v>6095726.0</v>
      </c>
      <c r="B1610" s="37" t="s">
        <v>853</v>
      </c>
      <c r="C1610" s="37" t="s">
        <v>3643</v>
      </c>
      <c r="D1610" s="37" t="s">
        <v>224</v>
      </c>
      <c r="E1610" s="37" t="s">
        <v>3640</v>
      </c>
      <c r="F1610" s="37" t="s">
        <v>3641</v>
      </c>
      <c r="G1610" s="37" t="s">
        <v>3456</v>
      </c>
      <c r="H1610" s="37" t="s">
        <v>3644</v>
      </c>
      <c r="I1610" s="37" t="s">
        <v>229</v>
      </c>
    </row>
    <row r="1611" ht="15.75" hidden="1" customHeight="1">
      <c r="A1611" s="38">
        <v>6101518.0</v>
      </c>
      <c r="B1611" s="39" t="s">
        <v>416</v>
      </c>
      <c r="C1611" s="39" t="s">
        <v>3645</v>
      </c>
      <c r="D1611" s="39" t="s">
        <v>224</v>
      </c>
      <c r="E1611" s="39" t="s">
        <v>3640</v>
      </c>
      <c r="F1611" s="39" t="s">
        <v>3641</v>
      </c>
      <c r="G1611" s="39" t="s">
        <v>3456</v>
      </c>
      <c r="H1611" s="39" t="s">
        <v>3646</v>
      </c>
      <c r="I1611" s="39" t="s">
        <v>260</v>
      </c>
    </row>
    <row r="1612" ht="15.75" hidden="1" customHeight="1">
      <c r="A1612" s="36">
        <v>6093034.0</v>
      </c>
      <c r="B1612" s="37" t="s">
        <v>738</v>
      </c>
      <c r="C1612" s="37" t="s">
        <v>3647</v>
      </c>
      <c r="D1612" s="37" t="s">
        <v>224</v>
      </c>
      <c r="E1612" s="37" t="s">
        <v>3640</v>
      </c>
      <c r="F1612" s="37" t="s">
        <v>3641</v>
      </c>
      <c r="G1612" s="37" t="s">
        <v>3456</v>
      </c>
      <c r="H1612" s="37" t="s">
        <v>3648</v>
      </c>
      <c r="I1612" s="37" t="s">
        <v>229</v>
      </c>
    </row>
    <row r="1613" ht="15.75" hidden="1" customHeight="1">
      <c r="A1613" s="38">
        <v>5316838.0</v>
      </c>
      <c r="B1613" s="39" t="s">
        <v>316</v>
      </c>
      <c r="C1613" s="39" t="s">
        <v>3649</v>
      </c>
      <c r="D1613" s="39" t="s">
        <v>224</v>
      </c>
      <c r="E1613" s="39" t="s">
        <v>761</v>
      </c>
      <c r="F1613" s="39" t="s">
        <v>293</v>
      </c>
      <c r="G1613" s="39" t="s">
        <v>319</v>
      </c>
      <c r="H1613" s="39" t="s">
        <v>3650</v>
      </c>
      <c r="I1613" s="39" t="s">
        <v>229</v>
      </c>
    </row>
    <row r="1614" ht="15.75" hidden="1" customHeight="1">
      <c r="A1614" s="36">
        <v>6096256.0</v>
      </c>
      <c r="B1614" s="37" t="s">
        <v>853</v>
      </c>
      <c r="C1614" s="37" t="s">
        <v>3651</v>
      </c>
      <c r="D1614" s="37" t="s">
        <v>224</v>
      </c>
      <c r="E1614" s="37" t="s">
        <v>3640</v>
      </c>
      <c r="F1614" s="37" t="s">
        <v>3641</v>
      </c>
      <c r="G1614" s="37" t="s">
        <v>3456</v>
      </c>
      <c r="H1614" s="37" t="s">
        <v>3652</v>
      </c>
      <c r="I1614" s="37" t="s">
        <v>229</v>
      </c>
    </row>
    <row r="1615" ht="15.75" hidden="1" customHeight="1">
      <c r="A1615" s="38">
        <v>5318057.0</v>
      </c>
      <c r="B1615" s="39" t="s">
        <v>361</v>
      </c>
      <c r="C1615" s="39" t="s">
        <v>3653</v>
      </c>
      <c r="D1615" s="39" t="s">
        <v>224</v>
      </c>
      <c r="E1615" s="39" t="s">
        <v>563</v>
      </c>
      <c r="F1615" s="39" t="s">
        <v>312</v>
      </c>
      <c r="G1615" s="39" t="s">
        <v>258</v>
      </c>
      <c r="H1615" s="39" t="s">
        <v>3654</v>
      </c>
      <c r="I1615" s="39" t="s">
        <v>260</v>
      </c>
    </row>
    <row r="1616" ht="15.75" hidden="1" customHeight="1">
      <c r="A1616" s="36">
        <v>6104435.0</v>
      </c>
      <c r="B1616" s="37" t="s">
        <v>416</v>
      </c>
      <c r="C1616" s="37" t="s">
        <v>3655</v>
      </c>
      <c r="D1616" s="37" t="s">
        <v>224</v>
      </c>
      <c r="E1616" s="37" t="s">
        <v>3640</v>
      </c>
      <c r="F1616" s="37" t="s">
        <v>3641</v>
      </c>
      <c r="G1616" s="37" t="s">
        <v>3456</v>
      </c>
      <c r="H1616" s="37" t="s">
        <v>3646</v>
      </c>
      <c r="I1616" s="37" t="s">
        <v>260</v>
      </c>
    </row>
    <row r="1617" ht="15.75" hidden="1" customHeight="1">
      <c r="A1617" s="38">
        <v>5318583.0</v>
      </c>
      <c r="B1617" s="39" t="s">
        <v>835</v>
      </c>
      <c r="C1617" s="39" t="s">
        <v>3656</v>
      </c>
      <c r="D1617" s="39" t="s">
        <v>224</v>
      </c>
      <c r="E1617" s="39" t="s">
        <v>837</v>
      </c>
      <c r="F1617" s="39" t="s">
        <v>377</v>
      </c>
      <c r="G1617" s="39" t="s">
        <v>327</v>
      </c>
      <c r="H1617" s="39" t="s">
        <v>3657</v>
      </c>
      <c r="I1617" s="39" t="s">
        <v>229</v>
      </c>
    </row>
    <row r="1618" ht="15.75" hidden="1" customHeight="1">
      <c r="A1618" s="36">
        <v>6092836.0</v>
      </c>
      <c r="B1618" s="37" t="s">
        <v>263</v>
      </c>
      <c r="C1618" s="37" t="s">
        <v>3658</v>
      </c>
      <c r="D1618" s="37" t="s">
        <v>224</v>
      </c>
      <c r="E1618" s="37" t="s">
        <v>3640</v>
      </c>
      <c r="F1618" s="37" t="s">
        <v>3641</v>
      </c>
      <c r="G1618" s="37" t="s">
        <v>3456</v>
      </c>
      <c r="H1618" s="37" t="s">
        <v>3659</v>
      </c>
      <c r="I1618" s="37" t="s">
        <v>229</v>
      </c>
    </row>
    <row r="1619" ht="15.75" hidden="1" customHeight="1">
      <c r="A1619" s="38">
        <v>5318586.0</v>
      </c>
      <c r="B1619" s="39" t="s">
        <v>485</v>
      </c>
      <c r="C1619" s="39" t="s">
        <v>3660</v>
      </c>
      <c r="D1619" s="39" t="s">
        <v>224</v>
      </c>
      <c r="E1619" s="39" t="s">
        <v>672</v>
      </c>
      <c r="F1619" s="39" t="s">
        <v>470</v>
      </c>
      <c r="G1619" s="39" t="s">
        <v>327</v>
      </c>
      <c r="H1619" s="39" t="s">
        <v>3661</v>
      </c>
      <c r="I1619" s="39" t="s">
        <v>229</v>
      </c>
    </row>
    <row r="1620" ht="15.75" hidden="1" customHeight="1">
      <c r="A1620" s="36">
        <v>6048757.0</v>
      </c>
      <c r="B1620" s="37" t="s">
        <v>738</v>
      </c>
      <c r="C1620" s="37" t="s">
        <v>3662</v>
      </c>
      <c r="D1620" s="37" t="s">
        <v>224</v>
      </c>
      <c r="E1620" s="37" t="s">
        <v>3640</v>
      </c>
      <c r="F1620" s="37" t="s">
        <v>3641</v>
      </c>
      <c r="G1620" s="37" t="s">
        <v>3456</v>
      </c>
      <c r="H1620" s="37" t="s">
        <v>3663</v>
      </c>
      <c r="I1620" s="37" t="s">
        <v>229</v>
      </c>
    </row>
    <row r="1621" ht="15.75" hidden="1" customHeight="1">
      <c r="A1621" s="38">
        <v>5319897.0</v>
      </c>
      <c r="B1621" s="39" t="s">
        <v>485</v>
      </c>
      <c r="C1621" s="39" t="s">
        <v>3664</v>
      </c>
      <c r="D1621" s="39" t="s">
        <v>224</v>
      </c>
      <c r="E1621" s="39" t="s">
        <v>487</v>
      </c>
      <c r="F1621" s="39" t="s">
        <v>470</v>
      </c>
      <c r="G1621" s="39" t="s">
        <v>327</v>
      </c>
      <c r="H1621" s="39" t="s">
        <v>3665</v>
      </c>
      <c r="I1621" s="39" t="s">
        <v>229</v>
      </c>
    </row>
    <row r="1622" ht="15.75" hidden="1" customHeight="1">
      <c r="A1622" s="36">
        <v>6050341.0</v>
      </c>
      <c r="B1622" s="37" t="s">
        <v>738</v>
      </c>
      <c r="C1622" s="37" t="s">
        <v>3666</v>
      </c>
      <c r="D1622" s="37" t="s">
        <v>224</v>
      </c>
      <c r="E1622" s="37" t="s">
        <v>3640</v>
      </c>
      <c r="F1622" s="37" t="s">
        <v>3641</v>
      </c>
      <c r="G1622" s="37" t="s">
        <v>3456</v>
      </c>
      <c r="H1622" s="37" t="s">
        <v>3667</v>
      </c>
      <c r="I1622" s="37" t="s">
        <v>229</v>
      </c>
    </row>
    <row r="1623" ht="15.75" hidden="1" customHeight="1">
      <c r="A1623" s="38">
        <v>6092828.0</v>
      </c>
      <c r="B1623" s="39" t="s">
        <v>853</v>
      </c>
      <c r="C1623" s="39" t="s">
        <v>3668</v>
      </c>
      <c r="D1623" s="39" t="s">
        <v>224</v>
      </c>
      <c r="E1623" s="39" t="s">
        <v>3640</v>
      </c>
      <c r="F1623" s="39" t="s">
        <v>3641</v>
      </c>
      <c r="G1623" s="39" t="s">
        <v>3456</v>
      </c>
      <c r="H1623" s="39" t="s">
        <v>3669</v>
      </c>
      <c r="I1623" s="39" t="s">
        <v>229</v>
      </c>
    </row>
    <row r="1624" ht="15.75" hidden="1" customHeight="1">
      <c r="A1624" s="36">
        <v>6093024.0</v>
      </c>
      <c r="B1624" s="37" t="s">
        <v>738</v>
      </c>
      <c r="C1624" s="37" t="s">
        <v>3670</v>
      </c>
      <c r="D1624" s="37" t="s">
        <v>224</v>
      </c>
      <c r="E1624" s="37" t="s">
        <v>3640</v>
      </c>
      <c r="F1624" s="37" t="s">
        <v>3641</v>
      </c>
      <c r="G1624" s="37" t="s">
        <v>3456</v>
      </c>
      <c r="H1624" s="37" t="s">
        <v>3671</v>
      </c>
      <c r="I1624" s="37" t="s">
        <v>229</v>
      </c>
    </row>
    <row r="1625" ht="15.75" hidden="1" customHeight="1">
      <c r="A1625" s="38">
        <v>6091732.0</v>
      </c>
      <c r="B1625" s="39" t="s">
        <v>738</v>
      </c>
      <c r="C1625" s="39" t="s">
        <v>3672</v>
      </c>
      <c r="D1625" s="39" t="s">
        <v>224</v>
      </c>
      <c r="E1625" s="39" t="s">
        <v>3640</v>
      </c>
      <c r="F1625" s="39" t="s">
        <v>3641</v>
      </c>
      <c r="G1625" s="39" t="s">
        <v>3456</v>
      </c>
      <c r="H1625" s="39" t="s">
        <v>3673</v>
      </c>
      <c r="I1625" s="39" t="s">
        <v>229</v>
      </c>
    </row>
    <row r="1626" ht="15.75" hidden="1" customHeight="1">
      <c r="A1626" s="36">
        <v>6092901.0</v>
      </c>
      <c r="B1626" s="37" t="s">
        <v>263</v>
      </c>
      <c r="C1626" s="37" t="s">
        <v>3674</v>
      </c>
      <c r="D1626" s="37" t="s">
        <v>224</v>
      </c>
      <c r="E1626" s="37" t="s">
        <v>3640</v>
      </c>
      <c r="F1626" s="37" t="s">
        <v>3641</v>
      </c>
      <c r="G1626" s="37" t="s">
        <v>3456</v>
      </c>
      <c r="H1626" s="37" t="s">
        <v>3675</v>
      </c>
      <c r="I1626" s="37" t="s">
        <v>229</v>
      </c>
    </row>
    <row r="1627" ht="15.75" hidden="1" customHeight="1">
      <c r="A1627" s="38">
        <v>6091736.0</v>
      </c>
      <c r="B1627" s="39" t="s">
        <v>263</v>
      </c>
      <c r="C1627" s="39" t="s">
        <v>3676</v>
      </c>
      <c r="D1627" s="39" t="s">
        <v>224</v>
      </c>
      <c r="E1627" s="39" t="s">
        <v>3640</v>
      </c>
      <c r="F1627" s="39" t="s">
        <v>3641</v>
      </c>
      <c r="G1627" s="39" t="s">
        <v>3456</v>
      </c>
      <c r="H1627" s="39" t="s">
        <v>3677</v>
      </c>
      <c r="I1627" s="39" t="s">
        <v>229</v>
      </c>
    </row>
    <row r="1628" ht="15.75" hidden="1" customHeight="1">
      <c r="A1628" s="36">
        <v>6048720.0</v>
      </c>
      <c r="B1628" s="37" t="s">
        <v>738</v>
      </c>
      <c r="C1628" s="37" t="s">
        <v>3678</v>
      </c>
      <c r="D1628" s="37" t="s">
        <v>224</v>
      </c>
      <c r="E1628" s="37" t="s">
        <v>3640</v>
      </c>
      <c r="F1628" s="37" t="s">
        <v>3641</v>
      </c>
      <c r="G1628" s="37" t="s">
        <v>3456</v>
      </c>
      <c r="H1628" s="37" t="s">
        <v>3679</v>
      </c>
      <c r="I1628" s="37" t="s">
        <v>229</v>
      </c>
    </row>
    <row r="1629" ht="15.75" hidden="1" customHeight="1">
      <c r="A1629" s="38">
        <v>5321065.0</v>
      </c>
      <c r="B1629" s="39" t="s">
        <v>120</v>
      </c>
      <c r="C1629" s="39" t="s">
        <v>3680</v>
      </c>
      <c r="D1629" s="39" t="s">
        <v>224</v>
      </c>
      <c r="E1629" s="39" t="s">
        <v>1015</v>
      </c>
      <c r="F1629" s="39" t="s">
        <v>644</v>
      </c>
      <c r="G1629" s="39" t="s">
        <v>3</v>
      </c>
      <c r="H1629" s="39" t="s">
        <v>3681</v>
      </c>
      <c r="I1629" s="39" t="s">
        <v>260</v>
      </c>
      <c r="J1629" s="1">
        <v>42.0</v>
      </c>
      <c r="L1629" s="40" t="s">
        <v>118</v>
      </c>
    </row>
    <row r="1630" ht="15.75" hidden="1" customHeight="1">
      <c r="A1630" s="36">
        <v>6091731.0</v>
      </c>
      <c r="B1630" s="37" t="s">
        <v>738</v>
      </c>
      <c r="C1630" s="37" t="s">
        <v>3682</v>
      </c>
      <c r="D1630" s="37" t="s">
        <v>224</v>
      </c>
      <c r="E1630" s="37" t="s">
        <v>3640</v>
      </c>
      <c r="F1630" s="37" t="s">
        <v>3641</v>
      </c>
      <c r="G1630" s="37" t="s">
        <v>3456</v>
      </c>
      <c r="H1630" s="37" t="s">
        <v>3683</v>
      </c>
      <c r="I1630" s="37" t="s">
        <v>229</v>
      </c>
    </row>
    <row r="1631" ht="15.75" hidden="1" customHeight="1">
      <c r="A1631" s="38">
        <v>5321070.0</v>
      </c>
      <c r="B1631" s="39" t="s">
        <v>361</v>
      </c>
      <c r="C1631" s="39" t="s">
        <v>3684</v>
      </c>
      <c r="D1631" s="39" t="s">
        <v>224</v>
      </c>
      <c r="E1631" s="39" t="s">
        <v>563</v>
      </c>
      <c r="F1631" s="39" t="s">
        <v>312</v>
      </c>
      <c r="G1631" s="39" t="s">
        <v>258</v>
      </c>
      <c r="H1631" s="39" t="s">
        <v>3685</v>
      </c>
      <c r="I1631" s="39" t="s">
        <v>260</v>
      </c>
    </row>
    <row r="1632" ht="15.75" hidden="1" customHeight="1">
      <c r="A1632" s="36">
        <v>6092312.0</v>
      </c>
      <c r="B1632" s="37" t="s">
        <v>738</v>
      </c>
      <c r="C1632" s="37" t="s">
        <v>3686</v>
      </c>
      <c r="D1632" s="37" t="s">
        <v>224</v>
      </c>
      <c r="E1632" s="37" t="s">
        <v>3640</v>
      </c>
      <c r="F1632" s="37" t="s">
        <v>3641</v>
      </c>
      <c r="G1632" s="37" t="s">
        <v>3456</v>
      </c>
      <c r="H1632" s="37" t="s">
        <v>3687</v>
      </c>
      <c r="I1632" s="37" t="s">
        <v>229</v>
      </c>
    </row>
    <row r="1633" ht="15.75" hidden="1" customHeight="1">
      <c r="A1633" s="38">
        <v>6092925.0</v>
      </c>
      <c r="B1633" s="39" t="s">
        <v>738</v>
      </c>
      <c r="C1633" s="39" t="s">
        <v>3688</v>
      </c>
      <c r="D1633" s="39" t="s">
        <v>224</v>
      </c>
      <c r="E1633" s="39" t="s">
        <v>3640</v>
      </c>
      <c r="F1633" s="39" t="s">
        <v>3641</v>
      </c>
      <c r="G1633" s="39" t="s">
        <v>3456</v>
      </c>
      <c r="H1633" s="39" t="s">
        <v>3689</v>
      </c>
      <c r="I1633" s="39" t="s">
        <v>229</v>
      </c>
    </row>
    <row r="1634" ht="15.75" hidden="1" customHeight="1">
      <c r="A1634" s="36">
        <v>6098558.0</v>
      </c>
      <c r="B1634" s="37" t="s">
        <v>853</v>
      </c>
      <c r="C1634" s="37" t="s">
        <v>3690</v>
      </c>
      <c r="D1634" s="37" t="s">
        <v>224</v>
      </c>
      <c r="E1634" s="37" t="s">
        <v>3640</v>
      </c>
      <c r="F1634" s="37" t="s">
        <v>3641</v>
      </c>
      <c r="G1634" s="37" t="s">
        <v>3456</v>
      </c>
      <c r="H1634" s="37" t="s">
        <v>3691</v>
      </c>
      <c r="I1634" s="37" t="s">
        <v>229</v>
      </c>
    </row>
    <row r="1635" ht="15.75" hidden="1" customHeight="1">
      <c r="A1635" s="38">
        <v>5327774.0</v>
      </c>
      <c r="B1635" s="39" t="s">
        <v>800</v>
      </c>
      <c r="C1635" s="39" t="s">
        <v>3692</v>
      </c>
      <c r="D1635" s="39" t="s">
        <v>224</v>
      </c>
      <c r="E1635" s="39" t="s">
        <v>802</v>
      </c>
      <c r="F1635" s="39" t="s">
        <v>333</v>
      </c>
      <c r="G1635" s="39" t="s">
        <v>301</v>
      </c>
      <c r="H1635" s="39" t="s">
        <v>3693</v>
      </c>
      <c r="I1635" s="39" t="s">
        <v>229</v>
      </c>
    </row>
    <row r="1636" ht="15.75" hidden="1" customHeight="1">
      <c r="A1636" s="36">
        <v>5255393.0</v>
      </c>
      <c r="B1636" s="37" t="s">
        <v>738</v>
      </c>
      <c r="C1636" s="37" t="s">
        <v>3694</v>
      </c>
      <c r="D1636" s="37" t="s">
        <v>224</v>
      </c>
      <c r="E1636" s="37" t="s">
        <v>3640</v>
      </c>
      <c r="F1636" s="37" t="s">
        <v>3641</v>
      </c>
      <c r="G1636" s="37" t="s">
        <v>3456</v>
      </c>
      <c r="H1636" s="37" t="s">
        <v>3695</v>
      </c>
      <c r="I1636" s="37" t="s">
        <v>229</v>
      </c>
    </row>
    <row r="1637" ht="15.75" hidden="1" customHeight="1">
      <c r="A1637" s="38">
        <v>6095662.0</v>
      </c>
      <c r="B1637" s="39" t="s">
        <v>738</v>
      </c>
      <c r="C1637" s="39" t="s">
        <v>3696</v>
      </c>
      <c r="D1637" s="39" t="s">
        <v>224</v>
      </c>
      <c r="E1637" s="39" t="s">
        <v>3640</v>
      </c>
      <c r="F1637" s="39" t="s">
        <v>3641</v>
      </c>
      <c r="G1637" s="39" t="s">
        <v>3456</v>
      </c>
      <c r="H1637" s="39" t="s">
        <v>3697</v>
      </c>
      <c r="I1637" s="39" t="s">
        <v>229</v>
      </c>
    </row>
    <row r="1638" ht="15.75" hidden="1" customHeight="1">
      <c r="A1638" s="36">
        <v>5327781.0</v>
      </c>
      <c r="B1638" s="37" t="s">
        <v>120</v>
      </c>
      <c r="C1638" s="37" t="s">
        <v>3698</v>
      </c>
      <c r="D1638" s="37" t="s">
        <v>331</v>
      </c>
      <c r="E1638" s="37" t="s">
        <v>1015</v>
      </c>
      <c r="F1638" s="37" t="s">
        <v>644</v>
      </c>
      <c r="G1638" s="37" t="s">
        <v>3</v>
      </c>
      <c r="H1638" s="37" t="s">
        <v>3699</v>
      </c>
      <c r="I1638" s="37" t="s">
        <v>260</v>
      </c>
      <c r="J1638" s="1">
        <v>42.0</v>
      </c>
      <c r="L1638" s="40" t="s">
        <v>120</v>
      </c>
    </row>
    <row r="1639" ht="15.75" hidden="1" customHeight="1">
      <c r="A1639" s="38">
        <v>5327794.0</v>
      </c>
      <c r="B1639" s="39" t="s">
        <v>506</v>
      </c>
      <c r="C1639" s="39" t="s">
        <v>3700</v>
      </c>
      <c r="D1639" s="39" t="s">
        <v>269</v>
      </c>
      <c r="E1639" s="39" t="s">
        <v>831</v>
      </c>
      <c r="F1639" s="39" t="s">
        <v>284</v>
      </c>
      <c r="G1639" s="39" t="s">
        <v>3</v>
      </c>
      <c r="H1639" s="39" t="s">
        <v>3701</v>
      </c>
      <c r="I1639" s="39" t="s">
        <v>260</v>
      </c>
      <c r="J1639" s="1">
        <v>42.0</v>
      </c>
      <c r="L1639" s="40" t="s">
        <v>120</v>
      </c>
    </row>
    <row r="1640" ht="15.75" hidden="1" customHeight="1">
      <c r="A1640" s="36">
        <v>5327797.0</v>
      </c>
      <c r="B1640" s="37" t="s">
        <v>506</v>
      </c>
      <c r="C1640" s="37" t="s">
        <v>3702</v>
      </c>
      <c r="D1640" s="37" t="s">
        <v>224</v>
      </c>
      <c r="E1640" s="37" t="s">
        <v>510</v>
      </c>
      <c r="F1640" s="37" t="s">
        <v>284</v>
      </c>
      <c r="G1640" s="37" t="s">
        <v>3</v>
      </c>
      <c r="H1640" s="37" t="s">
        <v>3703</v>
      </c>
      <c r="I1640" s="37" t="s">
        <v>260</v>
      </c>
      <c r="J1640" s="1">
        <v>42.0</v>
      </c>
      <c r="L1640" s="40" t="s">
        <v>506</v>
      </c>
    </row>
    <row r="1641" ht="15.75" hidden="1" customHeight="1">
      <c r="A1641" s="38">
        <v>5327801.0</v>
      </c>
      <c r="B1641" s="39" t="s">
        <v>506</v>
      </c>
      <c r="C1641" s="39" t="s">
        <v>3704</v>
      </c>
      <c r="D1641" s="39" t="s">
        <v>224</v>
      </c>
      <c r="E1641" s="39" t="s">
        <v>831</v>
      </c>
      <c r="F1641" s="39" t="s">
        <v>284</v>
      </c>
      <c r="G1641" s="39" t="s">
        <v>3</v>
      </c>
      <c r="H1641" s="39" t="s">
        <v>3705</v>
      </c>
      <c r="I1641" s="39" t="s">
        <v>260</v>
      </c>
      <c r="J1641" s="1">
        <v>42.0</v>
      </c>
      <c r="L1641" s="40" t="s">
        <v>506</v>
      </c>
    </row>
    <row r="1642" ht="15.75" hidden="1" customHeight="1">
      <c r="A1642" s="36">
        <v>5339787.0</v>
      </c>
      <c r="B1642" s="37" t="s">
        <v>485</v>
      </c>
      <c r="C1642" s="37" t="s">
        <v>3706</v>
      </c>
      <c r="D1642" s="37" t="s">
        <v>224</v>
      </c>
      <c r="E1642" s="37" t="s">
        <v>487</v>
      </c>
      <c r="F1642" s="37" t="s">
        <v>470</v>
      </c>
      <c r="G1642" s="37" t="s">
        <v>327</v>
      </c>
      <c r="H1642" s="37" t="s">
        <v>3707</v>
      </c>
      <c r="I1642" s="37" t="s">
        <v>229</v>
      </c>
    </row>
    <row r="1643" ht="15.75" hidden="1" customHeight="1">
      <c r="A1643" s="38">
        <v>5327804.0</v>
      </c>
      <c r="B1643" s="39" t="s">
        <v>3225</v>
      </c>
      <c r="C1643" s="39" t="s">
        <v>3708</v>
      </c>
      <c r="D1643" s="39" t="s">
        <v>224</v>
      </c>
      <c r="E1643" s="39" t="s">
        <v>578</v>
      </c>
      <c r="F1643" s="39" t="s">
        <v>540</v>
      </c>
      <c r="G1643" s="39" t="s">
        <v>541</v>
      </c>
      <c r="H1643" s="39" t="s">
        <v>3709</v>
      </c>
      <c r="I1643" s="39" t="s">
        <v>229</v>
      </c>
    </row>
    <row r="1644" ht="15.75" hidden="1" customHeight="1">
      <c r="A1644" s="36">
        <v>5331340.0</v>
      </c>
      <c r="B1644" s="37" t="s">
        <v>806</v>
      </c>
      <c r="C1644" s="37" t="s">
        <v>3710</v>
      </c>
      <c r="D1644" s="37" t="s">
        <v>224</v>
      </c>
      <c r="E1644" s="37" t="s">
        <v>891</v>
      </c>
      <c r="F1644" s="37" t="s">
        <v>257</v>
      </c>
      <c r="G1644" s="37" t="s">
        <v>258</v>
      </c>
      <c r="H1644" s="37" t="s">
        <v>3711</v>
      </c>
      <c r="I1644" s="37" t="s">
        <v>260</v>
      </c>
    </row>
    <row r="1645" ht="15.75" hidden="1" customHeight="1">
      <c r="A1645" s="38">
        <v>5673344.0</v>
      </c>
      <c r="B1645" s="39" t="s">
        <v>485</v>
      </c>
      <c r="C1645" s="39" t="s">
        <v>3712</v>
      </c>
      <c r="D1645" s="39" t="s">
        <v>224</v>
      </c>
      <c r="E1645" s="39" t="s">
        <v>487</v>
      </c>
      <c r="F1645" s="39" t="s">
        <v>470</v>
      </c>
      <c r="G1645" s="39" t="s">
        <v>327</v>
      </c>
      <c r="H1645" s="39" t="s">
        <v>3713</v>
      </c>
      <c r="I1645" s="39" t="s">
        <v>229</v>
      </c>
    </row>
    <row r="1646" ht="15.75" hidden="1" customHeight="1">
      <c r="A1646" s="36">
        <v>5653304.0</v>
      </c>
      <c r="B1646" s="37" t="s">
        <v>485</v>
      </c>
      <c r="C1646" s="37" t="s">
        <v>3714</v>
      </c>
      <c r="D1646" s="37" t="s">
        <v>224</v>
      </c>
      <c r="E1646" s="37" t="s">
        <v>487</v>
      </c>
      <c r="F1646" s="37" t="s">
        <v>470</v>
      </c>
      <c r="G1646" s="37" t="s">
        <v>327</v>
      </c>
      <c r="H1646" s="37" t="s">
        <v>3715</v>
      </c>
      <c r="I1646" s="37" t="s">
        <v>229</v>
      </c>
    </row>
    <row r="1647" ht="15.75" hidden="1" customHeight="1">
      <c r="A1647" s="38">
        <v>5331348.0</v>
      </c>
      <c r="B1647" s="39" t="s">
        <v>316</v>
      </c>
      <c r="C1647" s="39" t="s">
        <v>3716</v>
      </c>
      <c r="D1647" s="39" t="s">
        <v>224</v>
      </c>
      <c r="E1647" s="39" t="s">
        <v>761</v>
      </c>
      <c r="F1647" s="39" t="s">
        <v>293</v>
      </c>
      <c r="G1647" s="39" t="s">
        <v>319</v>
      </c>
      <c r="H1647" s="39" t="s">
        <v>3717</v>
      </c>
      <c r="I1647" s="39" t="s">
        <v>229</v>
      </c>
    </row>
    <row r="1648" ht="15.75" hidden="1" customHeight="1">
      <c r="A1648" s="36">
        <v>5537177.0</v>
      </c>
      <c r="B1648" s="37" t="s">
        <v>485</v>
      </c>
      <c r="C1648" s="37" t="s">
        <v>3718</v>
      </c>
      <c r="D1648" s="37" t="s">
        <v>224</v>
      </c>
      <c r="E1648" s="37" t="s">
        <v>487</v>
      </c>
      <c r="F1648" s="37" t="s">
        <v>470</v>
      </c>
      <c r="G1648" s="37" t="s">
        <v>327</v>
      </c>
      <c r="H1648" s="37" t="s">
        <v>3719</v>
      </c>
      <c r="I1648" s="37" t="s">
        <v>229</v>
      </c>
    </row>
    <row r="1649" ht="15.75" hidden="1" customHeight="1">
      <c r="A1649" s="38">
        <v>5439893.0</v>
      </c>
      <c r="B1649" s="39" t="s">
        <v>485</v>
      </c>
      <c r="C1649" s="39" t="s">
        <v>3720</v>
      </c>
      <c r="D1649" s="39" t="s">
        <v>224</v>
      </c>
      <c r="E1649" s="39" t="s">
        <v>487</v>
      </c>
      <c r="F1649" s="39" t="s">
        <v>470</v>
      </c>
      <c r="G1649" s="39" t="s">
        <v>327</v>
      </c>
      <c r="H1649" s="39" t="s">
        <v>3721</v>
      </c>
      <c r="I1649" s="39" t="s">
        <v>229</v>
      </c>
    </row>
    <row r="1650" ht="15.75" hidden="1" customHeight="1">
      <c r="A1650" s="36">
        <v>5638593.0</v>
      </c>
      <c r="B1650" s="37" t="s">
        <v>485</v>
      </c>
      <c r="C1650" s="37" t="s">
        <v>3722</v>
      </c>
      <c r="D1650" s="37" t="s">
        <v>224</v>
      </c>
      <c r="E1650" s="37" t="s">
        <v>487</v>
      </c>
      <c r="F1650" s="37" t="s">
        <v>470</v>
      </c>
      <c r="G1650" s="37" t="s">
        <v>327</v>
      </c>
      <c r="H1650" s="37" t="s">
        <v>3723</v>
      </c>
      <c r="I1650" s="37" t="s">
        <v>229</v>
      </c>
    </row>
    <row r="1651" ht="15.75" hidden="1" customHeight="1">
      <c r="A1651" s="38">
        <v>5332071.0</v>
      </c>
      <c r="B1651" s="39" t="s">
        <v>222</v>
      </c>
      <c r="C1651" s="39" t="s">
        <v>3724</v>
      </c>
      <c r="D1651" s="39" t="s">
        <v>224</v>
      </c>
      <c r="E1651" s="39" t="s">
        <v>1127</v>
      </c>
      <c r="F1651" s="39" t="s">
        <v>226</v>
      </c>
      <c r="G1651" s="39" t="s">
        <v>227</v>
      </c>
      <c r="H1651" s="39" t="s">
        <v>3725</v>
      </c>
      <c r="I1651" s="39" t="s">
        <v>229</v>
      </c>
    </row>
    <row r="1652" ht="15.75" hidden="1" customHeight="1">
      <c r="A1652" s="36">
        <v>5694858.0</v>
      </c>
      <c r="B1652" s="37" t="s">
        <v>485</v>
      </c>
      <c r="C1652" s="37" t="s">
        <v>3726</v>
      </c>
      <c r="D1652" s="37" t="s">
        <v>224</v>
      </c>
      <c r="E1652" s="37" t="s">
        <v>487</v>
      </c>
      <c r="F1652" s="37" t="s">
        <v>470</v>
      </c>
      <c r="G1652" s="37" t="s">
        <v>327</v>
      </c>
      <c r="H1652" s="37" t="s">
        <v>3727</v>
      </c>
      <c r="I1652" s="37" t="s">
        <v>229</v>
      </c>
    </row>
    <row r="1653" ht="15.75" hidden="1" customHeight="1">
      <c r="A1653" s="38">
        <v>5332081.0</v>
      </c>
      <c r="B1653" s="39" t="s">
        <v>232</v>
      </c>
      <c r="C1653" s="39" t="s">
        <v>3728</v>
      </c>
      <c r="D1653" s="39" t="s">
        <v>224</v>
      </c>
      <c r="E1653" s="39" t="s">
        <v>932</v>
      </c>
      <c r="F1653" s="39" t="s">
        <v>226</v>
      </c>
      <c r="G1653" s="39" t="s">
        <v>227</v>
      </c>
      <c r="H1653" s="39" t="s">
        <v>3729</v>
      </c>
      <c r="I1653" s="39" t="s">
        <v>229</v>
      </c>
    </row>
    <row r="1654" ht="15.75" hidden="1" customHeight="1">
      <c r="A1654" s="36">
        <v>5887116.0</v>
      </c>
      <c r="B1654" s="37" t="s">
        <v>485</v>
      </c>
      <c r="C1654" s="37" t="s">
        <v>3730</v>
      </c>
      <c r="D1654" s="37" t="s">
        <v>224</v>
      </c>
      <c r="E1654" s="37" t="s">
        <v>487</v>
      </c>
      <c r="F1654" s="37" t="s">
        <v>470</v>
      </c>
      <c r="G1654" s="37" t="s">
        <v>327</v>
      </c>
      <c r="H1654" s="37" t="s">
        <v>3731</v>
      </c>
      <c r="I1654" s="37" t="s">
        <v>229</v>
      </c>
    </row>
    <row r="1655" ht="15.75" hidden="1" customHeight="1">
      <c r="A1655" s="38">
        <v>5332092.0</v>
      </c>
      <c r="B1655" s="39" t="s">
        <v>841</v>
      </c>
      <c r="C1655" s="39" t="s">
        <v>3732</v>
      </c>
      <c r="D1655" s="39" t="s">
        <v>224</v>
      </c>
      <c r="E1655" s="39" t="s">
        <v>843</v>
      </c>
      <c r="F1655" s="39" t="s">
        <v>242</v>
      </c>
      <c r="G1655" s="39" t="s">
        <v>227</v>
      </c>
      <c r="H1655" s="39" t="s">
        <v>3733</v>
      </c>
      <c r="I1655" s="39" t="s">
        <v>229</v>
      </c>
    </row>
    <row r="1656" ht="15.75" hidden="1" customHeight="1">
      <c r="A1656" s="36">
        <v>5887400.0</v>
      </c>
      <c r="B1656" s="37" t="s">
        <v>555</v>
      </c>
      <c r="C1656" s="37" t="s">
        <v>3734</v>
      </c>
      <c r="D1656" s="37" t="s">
        <v>224</v>
      </c>
      <c r="E1656" s="37" t="s">
        <v>557</v>
      </c>
      <c r="F1656" s="37" t="s">
        <v>558</v>
      </c>
      <c r="G1656" s="37" t="s">
        <v>541</v>
      </c>
      <c r="H1656" s="37" t="s">
        <v>3735</v>
      </c>
      <c r="I1656" s="37" t="s">
        <v>229</v>
      </c>
    </row>
    <row r="1657" ht="15.75" hidden="1" customHeight="1">
      <c r="A1657" s="38">
        <v>5332996.0</v>
      </c>
      <c r="B1657" s="39" t="s">
        <v>232</v>
      </c>
      <c r="C1657" s="39" t="s">
        <v>3736</v>
      </c>
      <c r="D1657" s="39" t="s">
        <v>224</v>
      </c>
      <c r="E1657" s="39" t="s">
        <v>932</v>
      </c>
      <c r="F1657" s="39" t="s">
        <v>226</v>
      </c>
      <c r="G1657" s="39" t="s">
        <v>227</v>
      </c>
      <c r="H1657" s="39" t="s">
        <v>3737</v>
      </c>
      <c r="I1657" s="39" t="s">
        <v>229</v>
      </c>
    </row>
    <row r="1658" ht="15.75" hidden="1" customHeight="1">
      <c r="A1658" s="36">
        <v>5333432.0</v>
      </c>
      <c r="B1658" s="37" t="s">
        <v>549</v>
      </c>
      <c r="C1658" s="37" t="s">
        <v>3738</v>
      </c>
      <c r="D1658" s="37" t="s">
        <v>224</v>
      </c>
      <c r="E1658" s="37" t="s">
        <v>551</v>
      </c>
      <c r="F1658" s="37" t="s">
        <v>494</v>
      </c>
      <c r="G1658" s="37" t="s">
        <v>227</v>
      </c>
      <c r="H1658" s="37" t="s">
        <v>3739</v>
      </c>
      <c r="I1658" s="37" t="s">
        <v>260</v>
      </c>
    </row>
    <row r="1659" ht="15.75" hidden="1" customHeight="1">
      <c r="A1659" s="38">
        <v>5650116.0</v>
      </c>
      <c r="B1659" s="39" t="s">
        <v>555</v>
      </c>
      <c r="C1659" s="39" t="s">
        <v>3740</v>
      </c>
      <c r="D1659" s="39" t="s">
        <v>234</v>
      </c>
      <c r="E1659" s="39" t="s">
        <v>557</v>
      </c>
      <c r="F1659" s="39" t="s">
        <v>558</v>
      </c>
      <c r="G1659" s="39" t="s">
        <v>541</v>
      </c>
      <c r="H1659" s="39" t="s">
        <v>3741</v>
      </c>
      <c r="I1659" s="39" t="s">
        <v>229</v>
      </c>
    </row>
    <row r="1660" ht="15.75" hidden="1" customHeight="1">
      <c r="A1660" s="36">
        <v>6031148.0</v>
      </c>
      <c r="B1660" s="37" t="s">
        <v>555</v>
      </c>
      <c r="C1660" s="37" t="s">
        <v>3742</v>
      </c>
      <c r="D1660" s="37" t="s">
        <v>224</v>
      </c>
      <c r="E1660" s="37" t="s">
        <v>557</v>
      </c>
      <c r="F1660" s="37" t="s">
        <v>558</v>
      </c>
      <c r="G1660" s="37" t="s">
        <v>541</v>
      </c>
      <c r="H1660" s="37" t="s">
        <v>3743</v>
      </c>
      <c r="I1660" s="37" t="s">
        <v>229</v>
      </c>
    </row>
    <row r="1661" ht="15.75" hidden="1" customHeight="1">
      <c r="A1661" s="38">
        <v>5333575.0</v>
      </c>
      <c r="B1661" s="39" t="s">
        <v>10</v>
      </c>
      <c r="C1661" s="39" t="s">
        <v>3744</v>
      </c>
      <c r="D1661" s="39" t="s">
        <v>224</v>
      </c>
      <c r="E1661" s="39" t="s">
        <v>891</v>
      </c>
      <c r="F1661" s="39" t="s">
        <v>257</v>
      </c>
      <c r="G1661" s="39" t="s">
        <v>258</v>
      </c>
      <c r="H1661" s="39" t="s">
        <v>3745</v>
      </c>
      <c r="I1661" s="39" t="s">
        <v>260</v>
      </c>
    </row>
    <row r="1662" ht="15.75" hidden="1" customHeight="1">
      <c r="A1662" s="36">
        <v>5887364.0</v>
      </c>
      <c r="B1662" s="37" t="s">
        <v>555</v>
      </c>
      <c r="C1662" s="37" t="s">
        <v>3746</v>
      </c>
      <c r="D1662" s="37" t="s">
        <v>224</v>
      </c>
      <c r="E1662" s="37" t="s">
        <v>557</v>
      </c>
      <c r="F1662" s="37" t="s">
        <v>558</v>
      </c>
      <c r="G1662" s="37" t="s">
        <v>541</v>
      </c>
      <c r="H1662" s="37" t="s">
        <v>3747</v>
      </c>
      <c r="I1662" s="37" t="s">
        <v>229</v>
      </c>
    </row>
    <row r="1663" ht="15.75" hidden="1" customHeight="1">
      <c r="A1663" s="38">
        <v>5333577.0</v>
      </c>
      <c r="B1663" s="39" t="s">
        <v>331</v>
      </c>
      <c r="C1663" s="39" t="s">
        <v>3748</v>
      </c>
      <c r="D1663" s="39" t="s">
        <v>346</v>
      </c>
      <c r="E1663" s="39" t="s">
        <v>1301</v>
      </c>
      <c r="F1663" s="39" t="s">
        <v>349</v>
      </c>
      <c r="G1663" s="39" t="s">
        <v>1302</v>
      </c>
      <c r="H1663" s="39" t="s">
        <v>3749</v>
      </c>
      <c r="I1663" s="39" t="s">
        <v>260</v>
      </c>
    </row>
    <row r="1664" ht="15.75" hidden="1" customHeight="1">
      <c r="A1664" s="36">
        <v>5341992.0</v>
      </c>
      <c r="B1664" s="37" t="s">
        <v>555</v>
      </c>
      <c r="C1664" s="37" t="s">
        <v>3750</v>
      </c>
      <c r="D1664" s="37" t="s">
        <v>234</v>
      </c>
      <c r="E1664" s="37" t="s">
        <v>557</v>
      </c>
      <c r="F1664" s="37" t="s">
        <v>558</v>
      </c>
      <c r="G1664" s="37" t="s">
        <v>541</v>
      </c>
      <c r="H1664" s="37" t="s">
        <v>3751</v>
      </c>
      <c r="I1664" s="37" t="s">
        <v>229</v>
      </c>
    </row>
    <row r="1665" ht="15.75" hidden="1" customHeight="1">
      <c r="A1665" s="38">
        <v>5530084.0</v>
      </c>
      <c r="B1665" s="39" t="s">
        <v>555</v>
      </c>
      <c r="C1665" s="39" t="s">
        <v>3752</v>
      </c>
      <c r="D1665" s="39" t="s">
        <v>331</v>
      </c>
      <c r="E1665" s="39" t="s">
        <v>557</v>
      </c>
      <c r="F1665" s="39" t="s">
        <v>558</v>
      </c>
      <c r="G1665" s="39" t="s">
        <v>541</v>
      </c>
      <c r="H1665" s="39" t="s">
        <v>3753</v>
      </c>
      <c r="I1665" s="39" t="s">
        <v>229</v>
      </c>
    </row>
    <row r="1666" ht="15.75" hidden="1" customHeight="1">
      <c r="A1666" s="36">
        <v>5530085.0</v>
      </c>
      <c r="B1666" s="37" t="s">
        <v>555</v>
      </c>
      <c r="C1666" s="37" t="s">
        <v>3754</v>
      </c>
      <c r="D1666" s="37" t="s">
        <v>224</v>
      </c>
      <c r="E1666" s="37" t="s">
        <v>557</v>
      </c>
      <c r="F1666" s="37" t="s">
        <v>558</v>
      </c>
      <c r="G1666" s="37" t="s">
        <v>541</v>
      </c>
      <c r="H1666" s="37" t="s">
        <v>3755</v>
      </c>
      <c r="I1666" s="37" t="s">
        <v>229</v>
      </c>
    </row>
    <row r="1667" ht="15.75" hidden="1" customHeight="1">
      <c r="A1667" s="38">
        <v>5333586.0</v>
      </c>
      <c r="B1667" s="39" t="s">
        <v>1044</v>
      </c>
      <c r="C1667" s="39" t="s">
        <v>3756</v>
      </c>
      <c r="D1667" s="39" t="s">
        <v>224</v>
      </c>
      <c r="E1667" s="39" t="s">
        <v>891</v>
      </c>
      <c r="F1667" s="39" t="s">
        <v>257</v>
      </c>
      <c r="G1667" s="39" t="s">
        <v>258</v>
      </c>
      <c r="H1667" s="39" t="s">
        <v>3757</v>
      </c>
      <c r="I1667" s="39" t="s">
        <v>260</v>
      </c>
    </row>
    <row r="1668" ht="15.75" hidden="1" customHeight="1">
      <c r="A1668" s="36">
        <v>5530086.0</v>
      </c>
      <c r="B1668" s="37" t="s">
        <v>555</v>
      </c>
      <c r="C1668" s="37" t="s">
        <v>3758</v>
      </c>
      <c r="D1668" s="37" t="s">
        <v>224</v>
      </c>
      <c r="E1668" s="37" t="s">
        <v>557</v>
      </c>
      <c r="F1668" s="37" t="s">
        <v>558</v>
      </c>
      <c r="G1668" s="37" t="s">
        <v>541</v>
      </c>
      <c r="H1668" s="37" t="s">
        <v>3759</v>
      </c>
      <c r="I1668" s="37" t="s">
        <v>229</v>
      </c>
    </row>
    <row r="1669" ht="15.75" hidden="1" customHeight="1">
      <c r="A1669" s="38">
        <v>5333587.0</v>
      </c>
      <c r="B1669" s="39" t="s">
        <v>1746</v>
      </c>
      <c r="C1669" s="39" t="s">
        <v>3760</v>
      </c>
      <c r="D1669" s="39" t="s">
        <v>224</v>
      </c>
      <c r="E1669" s="39" t="s">
        <v>1714</v>
      </c>
      <c r="F1669" s="39" t="s">
        <v>698</v>
      </c>
      <c r="G1669" s="39" t="s">
        <v>541</v>
      </c>
      <c r="H1669" s="39" t="s">
        <v>3761</v>
      </c>
      <c r="I1669" s="39" t="s">
        <v>229</v>
      </c>
    </row>
    <row r="1670" ht="15.75" hidden="1" customHeight="1">
      <c r="A1670" s="36">
        <v>5695059.0</v>
      </c>
      <c r="B1670" s="37" t="s">
        <v>555</v>
      </c>
      <c r="C1670" s="37" t="s">
        <v>3762</v>
      </c>
      <c r="D1670" s="37" t="s">
        <v>224</v>
      </c>
      <c r="E1670" s="37" t="s">
        <v>557</v>
      </c>
      <c r="F1670" s="37" t="s">
        <v>558</v>
      </c>
      <c r="G1670" s="37" t="s">
        <v>541</v>
      </c>
      <c r="H1670" s="37" t="s">
        <v>3763</v>
      </c>
      <c r="I1670" s="37" t="s">
        <v>229</v>
      </c>
    </row>
    <row r="1671" ht="15.75" hidden="1" customHeight="1">
      <c r="A1671" s="38">
        <v>5726237.0</v>
      </c>
      <c r="B1671" s="39" t="s">
        <v>555</v>
      </c>
      <c r="C1671" s="39" t="s">
        <v>3764</v>
      </c>
      <c r="D1671" s="39" t="s">
        <v>224</v>
      </c>
      <c r="E1671" s="39" t="s">
        <v>557</v>
      </c>
      <c r="F1671" s="39" t="s">
        <v>558</v>
      </c>
      <c r="G1671" s="39" t="s">
        <v>541</v>
      </c>
      <c r="H1671" s="39" t="s">
        <v>3765</v>
      </c>
      <c r="I1671" s="39" t="s">
        <v>229</v>
      </c>
    </row>
    <row r="1672" ht="15.75" hidden="1" customHeight="1">
      <c r="A1672" s="36">
        <v>5333592.0</v>
      </c>
      <c r="B1672" s="37" t="s">
        <v>1044</v>
      </c>
      <c r="C1672" s="37" t="s">
        <v>3766</v>
      </c>
      <c r="D1672" s="37" t="s">
        <v>224</v>
      </c>
      <c r="E1672" s="37" t="s">
        <v>891</v>
      </c>
      <c r="F1672" s="37" t="s">
        <v>257</v>
      </c>
      <c r="G1672" s="37" t="s">
        <v>258</v>
      </c>
      <c r="H1672" s="37" t="s">
        <v>3767</v>
      </c>
      <c r="I1672" s="37" t="s">
        <v>260</v>
      </c>
    </row>
    <row r="1673" ht="15.75" hidden="1" customHeight="1">
      <c r="A1673" s="38">
        <v>6031150.0</v>
      </c>
      <c r="B1673" s="39" t="s">
        <v>555</v>
      </c>
      <c r="C1673" s="39" t="s">
        <v>3768</v>
      </c>
      <c r="D1673" s="39" t="s">
        <v>224</v>
      </c>
      <c r="E1673" s="39" t="s">
        <v>557</v>
      </c>
      <c r="F1673" s="39" t="s">
        <v>558</v>
      </c>
      <c r="G1673" s="39" t="s">
        <v>541</v>
      </c>
      <c r="H1673" s="39" t="s">
        <v>3769</v>
      </c>
      <c r="I1673" s="39" t="s">
        <v>229</v>
      </c>
    </row>
    <row r="1674" ht="15.75" hidden="1" customHeight="1">
      <c r="A1674" s="36">
        <v>5333596.0</v>
      </c>
      <c r="B1674" s="37" t="s">
        <v>323</v>
      </c>
      <c r="C1674" s="37" t="s">
        <v>3770</v>
      </c>
      <c r="D1674" s="37" t="s">
        <v>224</v>
      </c>
      <c r="E1674" s="37" t="s">
        <v>649</v>
      </c>
      <c r="F1674" s="37" t="s">
        <v>326</v>
      </c>
      <c r="G1674" s="37" t="s">
        <v>327</v>
      </c>
      <c r="H1674" s="37" t="s">
        <v>3771</v>
      </c>
      <c r="I1674" s="37" t="s">
        <v>229</v>
      </c>
    </row>
    <row r="1675" ht="15.75" hidden="1" customHeight="1">
      <c r="A1675" s="38">
        <v>5899719.0</v>
      </c>
      <c r="B1675" s="39" t="s">
        <v>555</v>
      </c>
      <c r="C1675" s="39" t="s">
        <v>3772</v>
      </c>
      <c r="D1675" s="39" t="s">
        <v>224</v>
      </c>
      <c r="E1675" s="39" t="s">
        <v>557</v>
      </c>
      <c r="F1675" s="39" t="s">
        <v>558</v>
      </c>
      <c r="G1675" s="39" t="s">
        <v>541</v>
      </c>
      <c r="H1675" s="39" t="s">
        <v>3773</v>
      </c>
      <c r="I1675" s="39" t="s">
        <v>229</v>
      </c>
    </row>
    <row r="1676" ht="15.75" hidden="1" customHeight="1">
      <c r="A1676" s="36">
        <v>5333599.0</v>
      </c>
      <c r="B1676" s="37" t="s">
        <v>806</v>
      </c>
      <c r="C1676" s="37" t="s">
        <v>3774</v>
      </c>
      <c r="D1676" s="37" t="s">
        <v>224</v>
      </c>
      <c r="E1676" s="37" t="s">
        <v>891</v>
      </c>
      <c r="F1676" s="37" t="s">
        <v>257</v>
      </c>
      <c r="G1676" s="37" t="s">
        <v>258</v>
      </c>
      <c r="H1676" s="37" t="s">
        <v>3775</v>
      </c>
      <c r="I1676" s="37" t="s">
        <v>260</v>
      </c>
    </row>
    <row r="1677" ht="15.75" hidden="1" customHeight="1">
      <c r="A1677" s="38">
        <v>5333691.0</v>
      </c>
      <c r="B1677" s="39" t="s">
        <v>1932</v>
      </c>
      <c r="C1677" s="39" t="s">
        <v>3776</v>
      </c>
      <c r="D1677" s="39" t="s">
        <v>224</v>
      </c>
      <c r="E1677" s="39" t="s">
        <v>2071</v>
      </c>
      <c r="F1677" s="39" t="s">
        <v>300</v>
      </c>
      <c r="G1677" s="39" t="s">
        <v>301</v>
      </c>
      <c r="H1677" s="39" t="s">
        <v>3777</v>
      </c>
      <c r="I1677" s="39" t="s">
        <v>229</v>
      </c>
    </row>
    <row r="1678" ht="15.75" hidden="1" customHeight="1">
      <c r="A1678" s="36">
        <v>5887099.0</v>
      </c>
      <c r="B1678" s="37" t="s">
        <v>555</v>
      </c>
      <c r="C1678" s="37" t="s">
        <v>3778</v>
      </c>
      <c r="D1678" s="37" t="s">
        <v>224</v>
      </c>
      <c r="E1678" s="37" t="s">
        <v>557</v>
      </c>
      <c r="F1678" s="37" t="s">
        <v>558</v>
      </c>
      <c r="G1678" s="37" t="s">
        <v>541</v>
      </c>
      <c r="H1678" s="37" t="s">
        <v>3779</v>
      </c>
      <c r="I1678" s="37" t="s">
        <v>229</v>
      </c>
    </row>
    <row r="1679" ht="15.75" hidden="1" customHeight="1">
      <c r="A1679" s="38">
        <v>6031073.0</v>
      </c>
      <c r="B1679" s="39" t="s">
        <v>555</v>
      </c>
      <c r="C1679" s="39" t="s">
        <v>3780</v>
      </c>
      <c r="D1679" s="39" t="s">
        <v>224</v>
      </c>
      <c r="E1679" s="39" t="s">
        <v>557</v>
      </c>
      <c r="F1679" s="39" t="s">
        <v>558</v>
      </c>
      <c r="G1679" s="39" t="s">
        <v>541</v>
      </c>
      <c r="H1679" s="39" t="s">
        <v>3781</v>
      </c>
      <c r="I1679" s="39" t="s">
        <v>229</v>
      </c>
    </row>
    <row r="1680" ht="15.75" hidden="1" customHeight="1">
      <c r="A1680" s="36">
        <v>5514631.0</v>
      </c>
      <c r="B1680" s="37" t="s">
        <v>491</v>
      </c>
      <c r="C1680" s="37" t="s">
        <v>3782</v>
      </c>
      <c r="D1680" s="37" t="s">
        <v>224</v>
      </c>
      <c r="E1680" s="37" t="s">
        <v>493</v>
      </c>
      <c r="F1680" s="37" t="s">
        <v>494</v>
      </c>
      <c r="G1680" s="37" t="s">
        <v>227</v>
      </c>
      <c r="H1680" s="37" t="s">
        <v>3783</v>
      </c>
      <c r="I1680" s="37" t="s">
        <v>260</v>
      </c>
    </row>
    <row r="1681" ht="15.75" hidden="1" customHeight="1">
      <c r="A1681" s="38">
        <v>6000226.0</v>
      </c>
      <c r="B1681" s="39" t="s">
        <v>3784</v>
      </c>
      <c r="C1681" s="39" t="s">
        <v>3785</v>
      </c>
      <c r="D1681" s="39" t="s">
        <v>224</v>
      </c>
      <c r="E1681" s="39" t="s">
        <v>493</v>
      </c>
      <c r="F1681" s="39" t="s">
        <v>494</v>
      </c>
      <c r="G1681" s="39" t="s">
        <v>227</v>
      </c>
      <c r="H1681" s="39" t="s">
        <v>3786</v>
      </c>
      <c r="I1681" s="39" t="s">
        <v>260</v>
      </c>
    </row>
    <row r="1682" ht="15.75" hidden="1" customHeight="1">
      <c r="A1682" s="36">
        <v>5538376.0</v>
      </c>
      <c r="B1682" s="37" t="s">
        <v>491</v>
      </c>
      <c r="C1682" s="37" t="s">
        <v>3787</v>
      </c>
      <c r="D1682" s="37" t="s">
        <v>224</v>
      </c>
      <c r="E1682" s="37" t="s">
        <v>493</v>
      </c>
      <c r="F1682" s="37" t="s">
        <v>494</v>
      </c>
      <c r="G1682" s="37" t="s">
        <v>227</v>
      </c>
      <c r="H1682" s="37" t="s">
        <v>3788</v>
      </c>
      <c r="I1682" s="37" t="s">
        <v>260</v>
      </c>
    </row>
    <row r="1683" ht="15.75" hidden="1" customHeight="1">
      <c r="A1683" s="38">
        <v>5620758.0</v>
      </c>
      <c r="B1683" s="39" t="s">
        <v>491</v>
      </c>
      <c r="C1683" s="39" t="s">
        <v>3789</v>
      </c>
      <c r="D1683" s="39" t="s">
        <v>224</v>
      </c>
      <c r="E1683" s="39" t="s">
        <v>493</v>
      </c>
      <c r="F1683" s="39" t="s">
        <v>494</v>
      </c>
      <c r="G1683" s="39" t="s">
        <v>227</v>
      </c>
      <c r="H1683" s="39" t="s">
        <v>3790</v>
      </c>
      <c r="I1683" s="39" t="s">
        <v>260</v>
      </c>
    </row>
    <row r="1684" ht="15.75" hidden="1" customHeight="1">
      <c r="A1684" s="36">
        <v>5340572.0</v>
      </c>
      <c r="B1684" s="37" t="s">
        <v>835</v>
      </c>
      <c r="C1684" s="37" t="s">
        <v>3791</v>
      </c>
      <c r="D1684" s="37" t="s">
        <v>224</v>
      </c>
      <c r="E1684" s="37" t="s">
        <v>837</v>
      </c>
      <c r="F1684" s="37" t="s">
        <v>377</v>
      </c>
      <c r="G1684" s="37" t="s">
        <v>327</v>
      </c>
      <c r="H1684" s="37" t="s">
        <v>3792</v>
      </c>
      <c r="I1684" s="37" t="s">
        <v>229</v>
      </c>
    </row>
    <row r="1685" ht="15.75" hidden="1" customHeight="1">
      <c r="A1685" s="38">
        <v>5712929.0</v>
      </c>
      <c r="B1685" s="39" t="s">
        <v>491</v>
      </c>
      <c r="C1685" s="39" t="s">
        <v>3793</v>
      </c>
      <c r="D1685" s="39" t="s">
        <v>224</v>
      </c>
      <c r="E1685" s="39" t="s">
        <v>493</v>
      </c>
      <c r="F1685" s="39" t="s">
        <v>494</v>
      </c>
      <c r="G1685" s="39" t="s">
        <v>227</v>
      </c>
      <c r="H1685" s="39" t="s">
        <v>3794</v>
      </c>
      <c r="I1685" s="39" t="s">
        <v>260</v>
      </c>
    </row>
    <row r="1686" ht="15.75" hidden="1" customHeight="1">
      <c r="A1686" s="36">
        <v>5401142.0</v>
      </c>
      <c r="B1686" s="37" t="s">
        <v>491</v>
      </c>
      <c r="C1686" s="37" t="s">
        <v>3795</v>
      </c>
      <c r="D1686" s="37" t="s">
        <v>224</v>
      </c>
      <c r="E1686" s="37" t="s">
        <v>493</v>
      </c>
      <c r="F1686" s="37" t="s">
        <v>494</v>
      </c>
      <c r="G1686" s="37" t="s">
        <v>227</v>
      </c>
      <c r="H1686" s="37" t="s">
        <v>3796</v>
      </c>
      <c r="I1686" s="37" t="s">
        <v>260</v>
      </c>
    </row>
    <row r="1687" ht="15.75" hidden="1" customHeight="1">
      <c r="A1687" s="38">
        <v>5442164.0</v>
      </c>
      <c r="B1687" s="39" t="s">
        <v>491</v>
      </c>
      <c r="C1687" s="39" t="s">
        <v>3797</v>
      </c>
      <c r="D1687" s="39" t="s">
        <v>269</v>
      </c>
      <c r="E1687" s="39" t="s">
        <v>493</v>
      </c>
      <c r="F1687" s="39" t="s">
        <v>494</v>
      </c>
      <c r="G1687" s="39" t="s">
        <v>227</v>
      </c>
      <c r="H1687" s="39" t="s">
        <v>3798</v>
      </c>
      <c r="I1687" s="39" t="s">
        <v>260</v>
      </c>
    </row>
    <row r="1688" ht="15.75" hidden="1" customHeight="1">
      <c r="A1688" s="36">
        <v>5622332.0</v>
      </c>
      <c r="B1688" s="37" t="s">
        <v>3784</v>
      </c>
      <c r="C1688" s="37" t="s">
        <v>3799</v>
      </c>
      <c r="D1688" s="37" t="s">
        <v>224</v>
      </c>
      <c r="E1688" s="37" t="s">
        <v>493</v>
      </c>
      <c r="F1688" s="37" t="s">
        <v>494</v>
      </c>
      <c r="G1688" s="37" t="s">
        <v>227</v>
      </c>
      <c r="H1688" s="37" t="s">
        <v>3800</v>
      </c>
      <c r="I1688" s="37" t="s">
        <v>260</v>
      </c>
    </row>
    <row r="1689" ht="15.75" hidden="1" customHeight="1">
      <c r="A1689" s="38">
        <v>5344446.0</v>
      </c>
      <c r="B1689" s="39" t="s">
        <v>847</v>
      </c>
      <c r="C1689" s="39" t="s">
        <v>3801</v>
      </c>
      <c r="D1689" s="39" t="s">
        <v>224</v>
      </c>
      <c r="E1689" s="39" t="s">
        <v>849</v>
      </c>
      <c r="F1689" s="39" t="s">
        <v>333</v>
      </c>
      <c r="G1689" s="39" t="s">
        <v>301</v>
      </c>
      <c r="H1689" s="39" t="s">
        <v>3802</v>
      </c>
      <c r="I1689" s="39" t="s">
        <v>229</v>
      </c>
    </row>
    <row r="1690" ht="15.75" hidden="1" customHeight="1">
      <c r="A1690" s="36">
        <v>5624225.0</v>
      </c>
      <c r="B1690" s="37" t="s">
        <v>491</v>
      </c>
      <c r="C1690" s="37" t="s">
        <v>3803</v>
      </c>
      <c r="D1690" s="37" t="s">
        <v>224</v>
      </c>
      <c r="E1690" s="37" t="s">
        <v>493</v>
      </c>
      <c r="F1690" s="37" t="s">
        <v>494</v>
      </c>
      <c r="G1690" s="37" t="s">
        <v>227</v>
      </c>
      <c r="H1690" s="37" t="s">
        <v>3804</v>
      </c>
      <c r="I1690" s="37" t="s">
        <v>260</v>
      </c>
    </row>
    <row r="1691" ht="15.75" hidden="1" customHeight="1">
      <c r="A1691" s="38">
        <v>5830517.0</v>
      </c>
      <c r="B1691" s="39" t="s">
        <v>491</v>
      </c>
      <c r="C1691" s="39" t="s">
        <v>3805</v>
      </c>
      <c r="D1691" s="39" t="s">
        <v>224</v>
      </c>
      <c r="E1691" s="39" t="s">
        <v>493</v>
      </c>
      <c r="F1691" s="39" t="s">
        <v>494</v>
      </c>
      <c r="G1691" s="39" t="s">
        <v>227</v>
      </c>
      <c r="H1691" s="39" t="s">
        <v>3806</v>
      </c>
      <c r="I1691" s="39" t="s">
        <v>260</v>
      </c>
    </row>
    <row r="1692" ht="15.75" hidden="1" customHeight="1">
      <c r="A1692" s="36">
        <v>5346320.0</v>
      </c>
      <c r="B1692" s="37" t="s">
        <v>323</v>
      </c>
      <c r="C1692" s="37" t="s">
        <v>3807</v>
      </c>
      <c r="D1692" s="37" t="s">
        <v>224</v>
      </c>
      <c r="E1692" s="37" t="s">
        <v>583</v>
      </c>
      <c r="F1692" s="37" t="s">
        <v>326</v>
      </c>
      <c r="G1692" s="37" t="s">
        <v>327</v>
      </c>
      <c r="H1692" s="37" t="s">
        <v>3808</v>
      </c>
      <c r="I1692" s="37" t="s">
        <v>229</v>
      </c>
    </row>
    <row r="1693" ht="15.75" hidden="1" customHeight="1">
      <c r="A1693" s="38">
        <v>5712869.0</v>
      </c>
      <c r="B1693" s="39" t="s">
        <v>491</v>
      </c>
      <c r="C1693" s="39" t="s">
        <v>3809</v>
      </c>
      <c r="D1693" s="39" t="s">
        <v>224</v>
      </c>
      <c r="E1693" s="39" t="s">
        <v>493</v>
      </c>
      <c r="F1693" s="39" t="s">
        <v>494</v>
      </c>
      <c r="G1693" s="39" t="s">
        <v>227</v>
      </c>
      <c r="H1693" s="39" t="s">
        <v>3810</v>
      </c>
      <c r="I1693" s="39" t="s">
        <v>260</v>
      </c>
    </row>
    <row r="1694" ht="15.75" hidden="1" customHeight="1">
      <c r="A1694" s="36">
        <v>5346398.0</v>
      </c>
      <c r="B1694" s="37" t="s">
        <v>1177</v>
      </c>
      <c r="C1694" s="37" t="s">
        <v>3811</v>
      </c>
      <c r="D1694" s="37" t="s">
        <v>224</v>
      </c>
      <c r="E1694" s="37" t="s">
        <v>524</v>
      </c>
      <c r="F1694" s="37" t="s">
        <v>470</v>
      </c>
      <c r="G1694" s="37" t="s">
        <v>327</v>
      </c>
      <c r="H1694" s="37" t="s">
        <v>3812</v>
      </c>
      <c r="I1694" s="37" t="s">
        <v>229</v>
      </c>
    </row>
    <row r="1695" ht="15.75" hidden="1" customHeight="1">
      <c r="A1695" s="38">
        <v>5980043.0</v>
      </c>
      <c r="B1695" s="39" t="s">
        <v>738</v>
      </c>
      <c r="C1695" s="39" t="s">
        <v>3813</v>
      </c>
      <c r="D1695" s="39" t="s">
        <v>224</v>
      </c>
      <c r="E1695" s="39" t="s">
        <v>740</v>
      </c>
      <c r="F1695" s="39" t="s">
        <v>533</v>
      </c>
      <c r="G1695" s="39" t="s">
        <v>250</v>
      </c>
      <c r="H1695" s="39" t="s">
        <v>3814</v>
      </c>
      <c r="I1695" s="39" t="s">
        <v>229</v>
      </c>
    </row>
    <row r="1696" ht="15.75" hidden="1" customHeight="1">
      <c r="A1696" s="36">
        <v>5346602.0</v>
      </c>
      <c r="B1696" s="37" t="s">
        <v>374</v>
      </c>
      <c r="C1696" s="37" t="s">
        <v>3815</v>
      </c>
      <c r="D1696" s="37" t="s">
        <v>224</v>
      </c>
      <c r="E1696" s="37" t="s">
        <v>959</v>
      </c>
      <c r="F1696" s="37" t="s">
        <v>377</v>
      </c>
      <c r="G1696" s="37" t="s">
        <v>327</v>
      </c>
      <c r="H1696" s="37" t="s">
        <v>3816</v>
      </c>
      <c r="I1696" s="37" t="s">
        <v>229</v>
      </c>
    </row>
    <row r="1697" ht="15.75" hidden="1" customHeight="1">
      <c r="A1697" s="38">
        <v>5682509.0</v>
      </c>
      <c r="B1697" s="39" t="s">
        <v>738</v>
      </c>
      <c r="C1697" s="39" t="s">
        <v>3817</v>
      </c>
      <c r="D1697" s="39" t="s">
        <v>224</v>
      </c>
      <c r="E1697" s="39" t="s">
        <v>740</v>
      </c>
      <c r="F1697" s="39" t="s">
        <v>533</v>
      </c>
      <c r="G1697" s="39" t="s">
        <v>250</v>
      </c>
      <c r="H1697" s="39" t="s">
        <v>3818</v>
      </c>
      <c r="I1697" s="39" t="s">
        <v>229</v>
      </c>
    </row>
    <row r="1698" ht="15.75" hidden="1" customHeight="1">
      <c r="A1698" s="36">
        <v>5346605.0</v>
      </c>
      <c r="B1698" s="37" t="s">
        <v>120</v>
      </c>
      <c r="C1698" s="37" t="s">
        <v>3819</v>
      </c>
      <c r="D1698" s="37" t="s">
        <v>224</v>
      </c>
      <c r="E1698" s="37" t="s">
        <v>1015</v>
      </c>
      <c r="F1698" s="37" t="s">
        <v>644</v>
      </c>
      <c r="G1698" s="37" t="s">
        <v>3</v>
      </c>
      <c r="H1698" s="37" t="s">
        <v>3820</v>
      </c>
      <c r="I1698" s="37" t="s">
        <v>260</v>
      </c>
      <c r="J1698" s="1">
        <v>42.0</v>
      </c>
      <c r="L1698" s="40" t="s">
        <v>506</v>
      </c>
    </row>
    <row r="1699" ht="15.75" hidden="1" customHeight="1">
      <c r="A1699" s="38">
        <v>5155835.0</v>
      </c>
      <c r="B1699" s="39" t="s">
        <v>738</v>
      </c>
      <c r="C1699" s="39" t="s">
        <v>3821</v>
      </c>
      <c r="D1699" s="39" t="s">
        <v>224</v>
      </c>
      <c r="E1699" s="39" t="s">
        <v>740</v>
      </c>
      <c r="F1699" s="39" t="s">
        <v>533</v>
      </c>
      <c r="G1699" s="39" t="s">
        <v>250</v>
      </c>
      <c r="H1699" s="39" t="s">
        <v>3822</v>
      </c>
      <c r="I1699" s="39" t="s">
        <v>229</v>
      </c>
    </row>
    <row r="1700" ht="15.75" hidden="1" customHeight="1">
      <c r="A1700" s="36">
        <v>5346785.0</v>
      </c>
      <c r="B1700" s="37" t="s">
        <v>695</v>
      </c>
      <c r="C1700" s="37" t="s">
        <v>3823</v>
      </c>
      <c r="D1700" s="37" t="s">
        <v>224</v>
      </c>
      <c r="E1700" s="37" t="s">
        <v>1714</v>
      </c>
      <c r="F1700" s="37" t="s">
        <v>698</v>
      </c>
      <c r="G1700" s="37" t="s">
        <v>541</v>
      </c>
      <c r="H1700" s="37" t="s">
        <v>3824</v>
      </c>
      <c r="I1700" s="37" t="s">
        <v>229</v>
      </c>
    </row>
    <row r="1701" ht="15.75" hidden="1" customHeight="1">
      <c r="A1701" s="38">
        <v>5542574.0</v>
      </c>
      <c r="B1701" s="39" t="s">
        <v>738</v>
      </c>
      <c r="C1701" s="39" t="s">
        <v>3825</v>
      </c>
      <c r="D1701" s="39" t="s">
        <v>224</v>
      </c>
      <c r="E1701" s="39" t="s">
        <v>740</v>
      </c>
      <c r="F1701" s="39" t="s">
        <v>533</v>
      </c>
      <c r="G1701" s="39" t="s">
        <v>250</v>
      </c>
      <c r="H1701" s="39" t="s">
        <v>3826</v>
      </c>
      <c r="I1701" s="39" t="s">
        <v>229</v>
      </c>
    </row>
    <row r="1702" ht="15.75" hidden="1" customHeight="1">
      <c r="A1702" s="36">
        <v>5348014.0</v>
      </c>
      <c r="B1702" s="37" t="s">
        <v>331</v>
      </c>
      <c r="C1702" s="37" t="s">
        <v>3827</v>
      </c>
      <c r="D1702" s="37" t="s">
        <v>331</v>
      </c>
      <c r="E1702" s="37" t="s">
        <v>2082</v>
      </c>
      <c r="F1702" s="37" t="s">
        <v>319</v>
      </c>
      <c r="G1702" s="37" t="s">
        <v>2083</v>
      </c>
      <c r="H1702" s="37" t="s">
        <v>3828</v>
      </c>
      <c r="I1702" s="37" t="s">
        <v>229</v>
      </c>
    </row>
    <row r="1703" ht="15.75" hidden="1" customHeight="1">
      <c r="A1703" s="38">
        <v>5908267.0</v>
      </c>
      <c r="B1703" s="39" t="s">
        <v>738</v>
      </c>
      <c r="C1703" s="39" t="s">
        <v>3829</v>
      </c>
      <c r="D1703" s="39" t="s">
        <v>224</v>
      </c>
      <c r="E1703" s="39" t="s">
        <v>740</v>
      </c>
      <c r="F1703" s="39" t="s">
        <v>533</v>
      </c>
      <c r="G1703" s="39" t="s">
        <v>250</v>
      </c>
      <c r="H1703" s="39" t="s">
        <v>3830</v>
      </c>
      <c r="I1703" s="39" t="s">
        <v>229</v>
      </c>
    </row>
    <row r="1704" ht="15.75" hidden="1" customHeight="1">
      <c r="A1704" s="36">
        <v>5979727.0</v>
      </c>
      <c r="B1704" s="37" t="s">
        <v>738</v>
      </c>
      <c r="C1704" s="37" t="s">
        <v>3831</v>
      </c>
      <c r="D1704" s="37" t="s">
        <v>224</v>
      </c>
      <c r="E1704" s="37" t="s">
        <v>740</v>
      </c>
      <c r="F1704" s="37" t="s">
        <v>533</v>
      </c>
      <c r="G1704" s="37" t="s">
        <v>250</v>
      </c>
      <c r="H1704" s="37" t="s">
        <v>3832</v>
      </c>
      <c r="I1704" s="37" t="s">
        <v>229</v>
      </c>
    </row>
    <row r="1705" ht="15.75" hidden="1" customHeight="1">
      <c r="A1705" s="38">
        <v>5349456.0</v>
      </c>
      <c r="B1705" s="39" t="s">
        <v>530</v>
      </c>
      <c r="C1705" s="39" t="s">
        <v>3833</v>
      </c>
      <c r="D1705" s="39" t="s">
        <v>224</v>
      </c>
      <c r="E1705" s="39" t="s">
        <v>1760</v>
      </c>
      <c r="F1705" s="39" t="s">
        <v>533</v>
      </c>
      <c r="G1705" s="39" t="s">
        <v>250</v>
      </c>
      <c r="H1705" s="39" t="s">
        <v>3834</v>
      </c>
      <c r="I1705" s="39" t="s">
        <v>229</v>
      </c>
    </row>
    <row r="1706" ht="15.75" hidden="1" customHeight="1">
      <c r="A1706" s="36">
        <v>5307520.0</v>
      </c>
      <c r="B1706" s="37" t="s">
        <v>738</v>
      </c>
      <c r="C1706" s="37" t="s">
        <v>3835</v>
      </c>
      <c r="D1706" s="37" t="s">
        <v>224</v>
      </c>
      <c r="E1706" s="37" t="s">
        <v>740</v>
      </c>
      <c r="F1706" s="37" t="s">
        <v>533</v>
      </c>
      <c r="G1706" s="37" t="s">
        <v>250</v>
      </c>
      <c r="H1706" s="37" t="s">
        <v>3836</v>
      </c>
      <c r="I1706" s="37" t="s">
        <v>229</v>
      </c>
    </row>
    <row r="1707" ht="15.75" hidden="1" customHeight="1">
      <c r="A1707" s="38">
        <v>5932952.0</v>
      </c>
      <c r="B1707" s="39" t="s">
        <v>738</v>
      </c>
      <c r="C1707" s="39" t="s">
        <v>3837</v>
      </c>
      <c r="D1707" s="39" t="s">
        <v>224</v>
      </c>
      <c r="E1707" s="39" t="s">
        <v>740</v>
      </c>
      <c r="F1707" s="39" t="s">
        <v>533</v>
      </c>
      <c r="G1707" s="39" t="s">
        <v>250</v>
      </c>
      <c r="H1707" s="39" t="s">
        <v>3838</v>
      </c>
      <c r="I1707" s="39" t="s">
        <v>229</v>
      </c>
    </row>
    <row r="1708" ht="15.75" hidden="1" customHeight="1">
      <c r="A1708" s="36">
        <v>5926033.0</v>
      </c>
      <c r="B1708" s="37" t="s">
        <v>232</v>
      </c>
      <c r="C1708" s="37" t="s">
        <v>3839</v>
      </c>
      <c r="D1708" s="37" t="s">
        <v>224</v>
      </c>
      <c r="E1708" s="37" t="s">
        <v>499</v>
      </c>
      <c r="F1708" s="37" t="s">
        <v>226</v>
      </c>
      <c r="G1708" s="37" t="s">
        <v>227</v>
      </c>
      <c r="H1708" s="37" t="s">
        <v>3840</v>
      </c>
      <c r="I1708" s="37" t="s">
        <v>229</v>
      </c>
    </row>
    <row r="1709" ht="15.75" hidden="1" customHeight="1">
      <c r="A1709" s="38">
        <v>5349468.0</v>
      </c>
      <c r="B1709" s="39" t="s">
        <v>1602</v>
      </c>
      <c r="C1709" s="39" t="s">
        <v>3841</v>
      </c>
      <c r="D1709" s="39" t="s">
        <v>224</v>
      </c>
      <c r="E1709" s="39" t="s">
        <v>578</v>
      </c>
      <c r="F1709" s="39" t="s">
        <v>540</v>
      </c>
      <c r="G1709" s="39" t="s">
        <v>541</v>
      </c>
      <c r="H1709" s="39" t="s">
        <v>3842</v>
      </c>
      <c r="I1709" s="39" t="s">
        <v>229</v>
      </c>
    </row>
    <row r="1710" ht="15.75" hidden="1" customHeight="1">
      <c r="A1710" s="36">
        <v>5564190.0</v>
      </c>
      <c r="B1710" s="37" t="s">
        <v>232</v>
      </c>
      <c r="C1710" s="37" t="s">
        <v>3843</v>
      </c>
      <c r="D1710" s="37" t="s">
        <v>224</v>
      </c>
      <c r="E1710" s="37" t="s">
        <v>499</v>
      </c>
      <c r="F1710" s="37" t="s">
        <v>226</v>
      </c>
      <c r="G1710" s="37" t="s">
        <v>227</v>
      </c>
      <c r="H1710" s="37" t="s">
        <v>3844</v>
      </c>
      <c r="I1710" s="37" t="s">
        <v>229</v>
      </c>
    </row>
    <row r="1711" ht="15.75" hidden="1" customHeight="1">
      <c r="A1711" s="38">
        <v>5350678.0</v>
      </c>
      <c r="B1711" s="39" t="s">
        <v>555</v>
      </c>
      <c r="C1711" s="39" t="s">
        <v>3845</v>
      </c>
      <c r="D1711" s="39" t="s">
        <v>224</v>
      </c>
      <c r="E1711" s="39" t="s">
        <v>1069</v>
      </c>
      <c r="F1711" s="39" t="s">
        <v>558</v>
      </c>
      <c r="G1711" s="39" t="s">
        <v>541</v>
      </c>
      <c r="H1711" s="39" t="s">
        <v>3846</v>
      </c>
      <c r="I1711" s="39" t="s">
        <v>229</v>
      </c>
    </row>
    <row r="1712" ht="15.75" hidden="1" customHeight="1">
      <c r="A1712" s="36">
        <v>5351891.0</v>
      </c>
      <c r="B1712" s="37" t="s">
        <v>323</v>
      </c>
      <c r="C1712" s="37" t="s">
        <v>3847</v>
      </c>
      <c r="D1712" s="37" t="s">
        <v>224</v>
      </c>
      <c r="E1712" s="37" t="s">
        <v>1328</v>
      </c>
      <c r="F1712" s="37" t="s">
        <v>326</v>
      </c>
      <c r="G1712" s="37" t="s">
        <v>327</v>
      </c>
      <c r="H1712" s="37" t="s">
        <v>3848</v>
      </c>
      <c r="I1712" s="37" t="s">
        <v>229</v>
      </c>
    </row>
    <row r="1713" ht="15.75" hidden="1" customHeight="1">
      <c r="A1713" s="38">
        <v>5353776.0</v>
      </c>
      <c r="B1713" s="39" t="s">
        <v>676</v>
      </c>
      <c r="C1713" s="39" t="s">
        <v>3849</v>
      </c>
      <c r="D1713" s="39" t="s">
        <v>224</v>
      </c>
      <c r="E1713" s="39" t="s">
        <v>1859</v>
      </c>
      <c r="F1713" s="39" t="s">
        <v>679</v>
      </c>
      <c r="G1713" s="39" t="s">
        <v>301</v>
      </c>
      <c r="H1713" s="39" t="s">
        <v>3850</v>
      </c>
      <c r="I1713" s="39" t="s">
        <v>229</v>
      </c>
    </row>
    <row r="1714" ht="15.75" hidden="1" customHeight="1">
      <c r="A1714" s="36">
        <v>5827736.0</v>
      </c>
      <c r="B1714" s="37" t="s">
        <v>232</v>
      </c>
      <c r="C1714" s="37" t="s">
        <v>3851</v>
      </c>
      <c r="D1714" s="37" t="s">
        <v>224</v>
      </c>
      <c r="E1714" s="37" t="s">
        <v>499</v>
      </c>
      <c r="F1714" s="37" t="s">
        <v>226</v>
      </c>
      <c r="G1714" s="37" t="s">
        <v>227</v>
      </c>
      <c r="H1714" s="37" t="s">
        <v>3852</v>
      </c>
      <c r="I1714" s="37" t="s">
        <v>229</v>
      </c>
    </row>
    <row r="1715" ht="15.75" hidden="1" customHeight="1">
      <c r="A1715" s="38">
        <v>5357089.0</v>
      </c>
      <c r="B1715" s="39" t="s">
        <v>416</v>
      </c>
      <c r="C1715" s="39" t="s">
        <v>3853</v>
      </c>
      <c r="D1715" s="39" t="s">
        <v>331</v>
      </c>
      <c r="E1715" s="39" t="s">
        <v>3854</v>
      </c>
      <c r="F1715" s="39" t="s">
        <v>644</v>
      </c>
      <c r="G1715" s="39" t="s">
        <v>3</v>
      </c>
      <c r="H1715" s="39" t="s">
        <v>3855</v>
      </c>
      <c r="I1715" s="39" t="s">
        <v>260</v>
      </c>
      <c r="J1715" s="1">
        <v>42.0</v>
      </c>
      <c r="L1715" s="40" t="s">
        <v>120</v>
      </c>
    </row>
    <row r="1716" ht="15.75" hidden="1" customHeight="1">
      <c r="A1716" s="36">
        <v>5357183.0</v>
      </c>
      <c r="B1716" s="37" t="s">
        <v>491</v>
      </c>
      <c r="C1716" s="37" t="s">
        <v>3856</v>
      </c>
      <c r="D1716" s="37" t="s">
        <v>234</v>
      </c>
      <c r="E1716" s="37" t="s">
        <v>573</v>
      </c>
      <c r="F1716" s="37" t="s">
        <v>494</v>
      </c>
      <c r="G1716" s="37" t="s">
        <v>227</v>
      </c>
      <c r="H1716" s="37" t="s">
        <v>3857</v>
      </c>
      <c r="I1716" s="37" t="s">
        <v>260</v>
      </c>
    </row>
    <row r="1717" ht="15.75" hidden="1" customHeight="1">
      <c r="A1717" s="38">
        <v>5358483.0</v>
      </c>
      <c r="B1717" s="39" t="s">
        <v>632</v>
      </c>
      <c r="C1717" s="39" t="s">
        <v>3858</v>
      </c>
      <c r="D1717" s="39" t="s">
        <v>224</v>
      </c>
      <c r="E1717" s="39" t="s">
        <v>891</v>
      </c>
      <c r="F1717" s="39" t="s">
        <v>257</v>
      </c>
      <c r="G1717" s="39" t="s">
        <v>258</v>
      </c>
      <c r="H1717" s="39" t="s">
        <v>3859</v>
      </c>
      <c r="I1717" s="39" t="s">
        <v>260</v>
      </c>
    </row>
    <row r="1718" ht="15.75" hidden="1" customHeight="1">
      <c r="A1718" s="36">
        <v>5358640.0</v>
      </c>
      <c r="B1718" s="37" t="s">
        <v>3225</v>
      </c>
      <c r="C1718" s="37" t="s">
        <v>3860</v>
      </c>
      <c r="D1718" s="37" t="s">
        <v>224</v>
      </c>
      <c r="E1718" s="37" t="s">
        <v>539</v>
      </c>
      <c r="F1718" s="37" t="s">
        <v>540</v>
      </c>
      <c r="G1718" s="37" t="s">
        <v>541</v>
      </c>
      <c r="H1718" s="37" t="s">
        <v>3861</v>
      </c>
      <c r="I1718" s="37" t="s">
        <v>229</v>
      </c>
    </row>
    <row r="1719" ht="15.75" hidden="1" customHeight="1">
      <c r="A1719" s="38">
        <v>5611084.0</v>
      </c>
      <c r="B1719" s="39" t="s">
        <v>232</v>
      </c>
      <c r="C1719" s="39" t="s">
        <v>3862</v>
      </c>
      <c r="D1719" s="39" t="s">
        <v>224</v>
      </c>
      <c r="E1719" s="39" t="s">
        <v>499</v>
      </c>
      <c r="F1719" s="39" t="s">
        <v>226</v>
      </c>
      <c r="G1719" s="39" t="s">
        <v>227</v>
      </c>
      <c r="H1719" s="39" t="s">
        <v>3863</v>
      </c>
      <c r="I1719" s="39" t="s">
        <v>229</v>
      </c>
    </row>
    <row r="1720" ht="15.75" hidden="1" customHeight="1">
      <c r="A1720" s="36">
        <v>5358752.0</v>
      </c>
      <c r="B1720" s="37" t="s">
        <v>120</v>
      </c>
      <c r="C1720" s="37" t="s">
        <v>3864</v>
      </c>
      <c r="D1720" s="37" t="s">
        <v>224</v>
      </c>
      <c r="E1720" s="37" t="s">
        <v>868</v>
      </c>
      <c r="F1720" s="37" t="s">
        <v>644</v>
      </c>
      <c r="G1720" s="37" t="s">
        <v>3</v>
      </c>
      <c r="H1720" s="37" t="s">
        <v>3865</v>
      </c>
      <c r="I1720" s="37" t="s">
        <v>260</v>
      </c>
      <c r="J1720" s="1">
        <v>42.0</v>
      </c>
      <c r="L1720" s="40" t="s">
        <v>416</v>
      </c>
    </row>
    <row r="1721" ht="15.75" hidden="1" customHeight="1">
      <c r="A1721" s="38">
        <v>5358844.0</v>
      </c>
      <c r="B1721" s="39" t="s">
        <v>374</v>
      </c>
      <c r="C1721" s="39" t="s">
        <v>3866</v>
      </c>
      <c r="D1721" s="39" t="s">
        <v>224</v>
      </c>
      <c r="E1721" s="39" t="s">
        <v>376</v>
      </c>
      <c r="F1721" s="39" t="s">
        <v>377</v>
      </c>
      <c r="G1721" s="39" t="s">
        <v>327</v>
      </c>
      <c r="H1721" s="39" t="s">
        <v>3867</v>
      </c>
      <c r="I1721" s="39" t="s">
        <v>229</v>
      </c>
    </row>
    <row r="1722" ht="15.75" hidden="1" customHeight="1">
      <c r="A1722" s="36">
        <v>5983635.0</v>
      </c>
      <c r="B1722" s="37" t="s">
        <v>478</v>
      </c>
      <c r="C1722" s="37" t="s">
        <v>3868</v>
      </c>
      <c r="D1722" s="37" t="s">
        <v>224</v>
      </c>
      <c r="E1722" s="37" t="s">
        <v>711</v>
      </c>
      <c r="F1722" s="37" t="s">
        <v>481</v>
      </c>
      <c r="G1722" s="37" t="s">
        <v>293</v>
      </c>
      <c r="H1722" s="37" t="s">
        <v>3869</v>
      </c>
      <c r="I1722" s="37" t="s">
        <v>229</v>
      </c>
    </row>
    <row r="1723" ht="15.75" hidden="1" customHeight="1">
      <c r="A1723" s="38">
        <v>5731928.0</v>
      </c>
      <c r="B1723" s="39" t="s">
        <v>478</v>
      </c>
      <c r="C1723" s="39" t="s">
        <v>3870</v>
      </c>
      <c r="D1723" s="39" t="s">
        <v>224</v>
      </c>
      <c r="E1723" s="39" t="s">
        <v>711</v>
      </c>
      <c r="F1723" s="39" t="s">
        <v>481</v>
      </c>
      <c r="G1723" s="39" t="s">
        <v>293</v>
      </c>
      <c r="H1723" s="39" t="s">
        <v>3871</v>
      </c>
      <c r="I1723" s="39" t="s">
        <v>229</v>
      </c>
    </row>
    <row r="1724" ht="15.75" hidden="1" customHeight="1">
      <c r="A1724" s="36">
        <v>5361208.0</v>
      </c>
      <c r="B1724" s="37" t="s">
        <v>3784</v>
      </c>
      <c r="C1724" s="37" t="s">
        <v>3872</v>
      </c>
      <c r="D1724" s="37" t="s">
        <v>224</v>
      </c>
      <c r="E1724" s="37" t="s">
        <v>573</v>
      </c>
      <c r="F1724" s="37" t="s">
        <v>494</v>
      </c>
      <c r="G1724" s="37" t="s">
        <v>227</v>
      </c>
      <c r="H1724" s="37" t="s">
        <v>3873</v>
      </c>
      <c r="I1724" s="37" t="s">
        <v>260</v>
      </c>
    </row>
    <row r="1725" ht="15.75" hidden="1" customHeight="1">
      <c r="A1725" s="38">
        <v>5363154.0</v>
      </c>
      <c r="B1725" s="39" t="s">
        <v>478</v>
      </c>
      <c r="C1725" s="39" t="s">
        <v>3874</v>
      </c>
      <c r="D1725" s="39" t="s">
        <v>224</v>
      </c>
      <c r="E1725" s="39" t="s">
        <v>711</v>
      </c>
      <c r="F1725" s="39" t="s">
        <v>481</v>
      </c>
      <c r="G1725" s="39" t="s">
        <v>293</v>
      </c>
      <c r="H1725" s="39" t="s">
        <v>3875</v>
      </c>
      <c r="I1725" s="39" t="s">
        <v>229</v>
      </c>
    </row>
    <row r="1726" ht="15.75" hidden="1" customHeight="1">
      <c r="A1726" s="36">
        <v>5361495.0</v>
      </c>
      <c r="B1726" s="37" t="s">
        <v>232</v>
      </c>
      <c r="C1726" s="37" t="s">
        <v>3876</v>
      </c>
      <c r="D1726" s="37" t="s">
        <v>224</v>
      </c>
      <c r="E1726" s="37" t="s">
        <v>1207</v>
      </c>
      <c r="F1726" s="37" t="s">
        <v>226</v>
      </c>
      <c r="G1726" s="37" t="s">
        <v>227</v>
      </c>
      <c r="H1726" s="37" t="s">
        <v>3877</v>
      </c>
      <c r="I1726" s="37" t="s">
        <v>229</v>
      </c>
    </row>
    <row r="1727" ht="15.75" hidden="1" customHeight="1">
      <c r="A1727" s="38">
        <v>5361562.0</v>
      </c>
      <c r="B1727" s="39" t="s">
        <v>835</v>
      </c>
      <c r="C1727" s="39" t="s">
        <v>3878</v>
      </c>
      <c r="D1727" s="39" t="s">
        <v>224</v>
      </c>
      <c r="E1727" s="39" t="s">
        <v>837</v>
      </c>
      <c r="F1727" s="39" t="s">
        <v>377</v>
      </c>
      <c r="G1727" s="39" t="s">
        <v>327</v>
      </c>
      <c r="H1727" s="39" t="s">
        <v>3879</v>
      </c>
      <c r="I1727" s="39" t="s">
        <v>229</v>
      </c>
    </row>
    <row r="1728" ht="15.75" hidden="1" customHeight="1">
      <c r="A1728" s="36">
        <v>5361566.0</v>
      </c>
      <c r="B1728" s="37" t="s">
        <v>695</v>
      </c>
      <c r="C1728" s="37" t="s">
        <v>3880</v>
      </c>
      <c r="D1728" s="37" t="s">
        <v>224</v>
      </c>
      <c r="E1728" s="37" t="s">
        <v>697</v>
      </c>
      <c r="F1728" s="37" t="s">
        <v>698</v>
      </c>
      <c r="G1728" s="37" t="s">
        <v>541</v>
      </c>
      <c r="H1728" s="37" t="s">
        <v>3881</v>
      </c>
      <c r="I1728" s="37" t="s">
        <v>229</v>
      </c>
    </row>
    <row r="1729" ht="15.75" hidden="1" customHeight="1">
      <c r="A1729" s="38">
        <v>5622689.0</v>
      </c>
      <c r="B1729" s="39" t="s">
        <v>478</v>
      </c>
      <c r="C1729" s="39" t="s">
        <v>3882</v>
      </c>
      <c r="D1729" s="39" t="s">
        <v>224</v>
      </c>
      <c r="E1729" s="39" t="s">
        <v>711</v>
      </c>
      <c r="F1729" s="39" t="s">
        <v>481</v>
      </c>
      <c r="G1729" s="39" t="s">
        <v>293</v>
      </c>
      <c r="H1729" s="39" t="s">
        <v>3883</v>
      </c>
      <c r="I1729" s="39" t="s">
        <v>229</v>
      </c>
    </row>
    <row r="1730" ht="15.75" hidden="1" customHeight="1">
      <c r="A1730" s="36">
        <v>5361573.0</v>
      </c>
      <c r="B1730" s="37" t="s">
        <v>522</v>
      </c>
      <c r="C1730" s="37" t="s">
        <v>3884</v>
      </c>
      <c r="D1730" s="37" t="s">
        <v>224</v>
      </c>
      <c r="E1730" s="37" t="s">
        <v>524</v>
      </c>
      <c r="F1730" s="37" t="s">
        <v>470</v>
      </c>
      <c r="G1730" s="37" t="s">
        <v>327</v>
      </c>
      <c r="H1730" s="37" t="s">
        <v>3885</v>
      </c>
      <c r="I1730" s="37" t="s">
        <v>229</v>
      </c>
    </row>
    <row r="1731" ht="15.75" hidden="1" customHeight="1">
      <c r="A1731" s="38">
        <v>5804712.0</v>
      </c>
      <c r="B1731" s="39" t="s">
        <v>478</v>
      </c>
      <c r="C1731" s="39" t="s">
        <v>3886</v>
      </c>
      <c r="D1731" s="39" t="s">
        <v>224</v>
      </c>
      <c r="E1731" s="39" t="s">
        <v>711</v>
      </c>
      <c r="F1731" s="39" t="s">
        <v>481</v>
      </c>
      <c r="G1731" s="39" t="s">
        <v>293</v>
      </c>
      <c r="H1731" s="39" t="s">
        <v>3887</v>
      </c>
      <c r="I1731" s="39" t="s">
        <v>229</v>
      </c>
    </row>
    <row r="1732" ht="15.75" hidden="1" customHeight="1">
      <c r="A1732" s="36">
        <v>5362674.0</v>
      </c>
      <c r="B1732" s="37" t="s">
        <v>800</v>
      </c>
      <c r="C1732" s="37" t="s">
        <v>3888</v>
      </c>
      <c r="D1732" s="37" t="s">
        <v>224</v>
      </c>
      <c r="E1732" s="37" t="s">
        <v>802</v>
      </c>
      <c r="F1732" s="37" t="s">
        <v>333</v>
      </c>
      <c r="G1732" s="37" t="s">
        <v>301</v>
      </c>
      <c r="H1732" s="37" t="s">
        <v>3889</v>
      </c>
      <c r="I1732" s="37" t="s">
        <v>229</v>
      </c>
    </row>
    <row r="1733" ht="15.75" hidden="1" customHeight="1">
      <c r="A1733" s="38">
        <v>5483628.0</v>
      </c>
      <c r="B1733" s="39" t="s">
        <v>478</v>
      </c>
      <c r="C1733" s="39" t="s">
        <v>3890</v>
      </c>
      <c r="D1733" s="39" t="s">
        <v>224</v>
      </c>
      <c r="E1733" s="39" t="s">
        <v>711</v>
      </c>
      <c r="F1733" s="39" t="s">
        <v>481</v>
      </c>
      <c r="G1733" s="39" t="s">
        <v>293</v>
      </c>
      <c r="H1733" s="39" t="s">
        <v>3891</v>
      </c>
      <c r="I1733" s="39" t="s">
        <v>229</v>
      </c>
    </row>
    <row r="1734" ht="15.75" hidden="1" customHeight="1">
      <c r="A1734" s="36">
        <v>5523713.0</v>
      </c>
      <c r="B1734" s="37" t="s">
        <v>9</v>
      </c>
      <c r="C1734" s="37" t="s">
        <v>3892</v>
      </c>
      <c r="D1734" s="37" t="s">
        <v>224</v>
      </c>
      <c r="E1734" s="37" t="s">
        <v>711</v>
      </c>
      <c r="F1734" s="37" t="s">
        <v>481</v>
      </c>
      <c r="G1734" s="37" t="s">
        <v>293</v>
      </c>
      <c r="H1734" s="37" t="s">
        <v>3893</v>
      </c>
      <c r="I1734" s="37" t="s">
        <v>229</v>
      </c>
    </row>
    <row r="1735" ht="15.75" hidden="1" customHeight="1">
      <c r="A1735" s="38">
        <v>5528120.0</v>
      </c>
      <c r="B1735" s="39" t="s">
        <v>478</v>
      </c>
      <c r="C1735" s="39" t="s">
        <v>3894</v>
      </c>
      <c r="D1735" s="39" t="s">
        <v>224</v>
      </c>
      <c r="E1735" s="39" t="s">
        <v>711</v>
      </c>
      <c r="F1735" s="39" t="s">
        <v>481</v>
      </c>
      <c r="G1735" s="39" t="s">
        <v>293</v>
      </c>
      <c r="H1735" s="39" t="s">
        <v>3895</v>
      </c>
      <c r="I1735" s="39" t="s">
        <v>229</v>
      </c>
    </row>
    <row r="1736" ht="15.75" hidden="1" customHeight="1">
      <c r="A1736" s="36">
        <v>5807525.0</v>
      </c>
      <c r="B1736" s="37" t="s">
        <v>478</v>
      </c>
      <c r="C1736" s="37" t="s">
        <v>3896</v>
      </c>
      <c r="D1736" s="37" t="s">
        <v>224</v>
      </c>
      <c r="E1736" s="37" t="s">
        <v>711</v>
      </c>
      <c r="F1736" s="37" t="s">
        <v>481</v>
      </c>
      <c r="G1736" s="37" t="s">
        <v>293</v>
      </c>
      <c r="H1736" s="37" t="s">
        <v>3897</v>
      </c>
      <c r="I1736" s="37" t="s">
        <v>229</v>
      </c>
    </row>
    <row r="1737" ht="15.75" hidden="1" customHeight="1">
      <c r="A1737" s="38">
        <v>5492008.0</v>
      </c>
      <c r="B1737" s="39" t="s">
        <v>478</v>
      </c>
      <c r="C1737" s="39" t="s">
        <v>3898</v>
      </c>
      <c r="D1737" s="39" t="s">
        <v>234</v>
      </c>
      <c r="E1737" s="39" t="s">
        <v>711</v>
      </c>
      <c r="F1737" s="39" t="s">
        <v>481</v>
      </c>
      <c r="G1737" s="39" t="s">
        <v>293</v>
      </c>
      <c r="H1737" s="39" t="s">
        <v>3899</v>
      </c>
      <c r="I1737" s="39" t="s">
        <v>229</v>
      </c>
    </row>
    <row r="1738" ht="15.75" hidden="1" customHeight="1">
      <c r="A1738" s="36">
        <v>5982874.0</v>
      </c>
      <c r="B1738" s="37" t="s">
        <v>478</v>
      </c>
      <c r="C1738" s="37" t="s">
        <v>3900</v>
      </c>
      <c r="D1738" s="37" t="s">
        <v>224</v>
      </c>
      <c r="E1738" s="37" t="s">
        <v>711</v>
      </c>
      <c r="F1738" s="37" t="s">
        <v>481</v>
      </c>
      <c r="G1738" s="37" t="s">
        <v>293</v>
      </c>
      <c r="H1738" s="37" t="s">
        <v>3901</v>
      </c>
      <c r="I1738" s="37" t="s">
        <v>229</v>
      </c>
    </row>
    <row r="1739" ht="15.75" hidden="1" customHeight="1">
      <c r="A1739" s="38">
        <v>5363188.0</v>
      </c>
      <c r="B1739" s="39" t="s">
        <v>695</v>
      </c>
      <c r="C1739" s="39" t="s">
        <v>3902</v>
      </c>
      <c r="D1739" s="39" t="s">
        <v>224</v>
      </c>
      <c r="E1739" s="39" t="s">
        <v>1518</v>
      </c>
      <c r="F1739" s="39" t="s">
        <v>698</v>
      </c>
      <c r="G1739" s="39" t="s">
        <v>541</v>
      </c>
      <c r="H1739" s="39" t="s">
        <v>3903</v>
      </c>
      <c r="I1739" s="39" t="s">
        <v>229</v>
      </c>
    </row>
    <row r="1740" ht="15.75" hidden="1" customHeight="1">
      <c r="A1740" s="36">
        <v>5987050.0</v>
      </c>
      <c r="B1740" s="37" t="s">
        <v>478</v>
      </c>
      <c r="C1740" s="37" t="s">
        <v>3904</v>
      </c>
      <c r="D1740" s="37" t="s">
        <v>224</v>
      </c>
      <c r="E1740" s="37" t="s">
        <v>711</v>
      </c>
      <c r="F1740" s="37" t="s">
        <v>481</v>
      </c>
      <c r="G1740" s="37" t="s">
        <v>293</v>
      </c>
      <c r="H1740" s="37" t="s">
        <v>3905</v>
      </c>
      <c r="I1740" s="37" t="s">
        <v>229</v>
      </c>
    </row>
    <row r="1741" ht="15.75" hidden="1" customHeight="1">
      <c r="A1741" s="38">
        <v>5363194.0</v>
      </c>
      <c r="B1741" s="39" t="s">
        <v>478</v>
      </c>
      <c r="C1741" s="39" t="s">
        <v>3906</v>
      </c>
      <c r="D1741" s="39" t="s">
        <v>234</v>
      </c>
      <c r="E1741" s="39" t="s">
        <v>480</v>
      </c>
      <c r="F1741" s="39" t="s">
        <v>481</v>
      </c>
      <c r="G1741" s="39" t="s">
        <v>293</v>
      </c>
      <c r="H1741" s="39" t="s">
        <v>3907</v>
      </c>
      <c r="I1741" s="39" t="s">
        <v>229</v>
      </c>
    </row>
    <row r="1742" ht="15.75" hidden="1" customHeight="1">
      <c r="A1742" s="36">
        <v>5363246.0</v>
      </c>
      <c r="B1742" s="37" t="s">
        <v>1602</v>
      </c>
      <c r="C1742" s="37" t="s">
        <v>3908</v>
      </c>
      <c r="D1742" s="37" t="s">
        <v>234</v>
      </c>
      <c r="E1742" s="37" t="s">
        <v>1604</v>
      </c>
      <c r="F1742" s="37" t="s">
        <v>540</v>
      </c>
      <c r="G1742" s="37" t="s">
        <v>541</v>
      </c>
      <c r="H1742" s="37" t="s">
        <v>3909</v>
      </c>
      <c r="I1742" s="37" t="s">
        <v>229</v>
      </c>
    </row>
    <row r="1743" ht="15.75" hidden="1" customHeight="1">
      <c r="A1743" s="38">
        <v>5363323.0</v>
      </c>
      <c r="B1743" s="39" t="s">
        <v>676</v>
      </c>
      <c r="C1743" s="39" t="s">
        <v>3910</v>
      </c>
      <c r="D1743" s="39" t="s">
        <v>224</v>
      </c>
      <c r="E1743" s="39" t="s">
        <v>678</v>
      </c>
      <c r="F1743" s="39" t="s">
        <v>679</v>
      </c>
      <c r="G1743" s="39" t="s">
        <v>301</v>
      </c>
      <c r="H1743" s="39" t="s">
        <v>3911</v>
      </c>
      <c r="I1743" s="39" t="s">
        <v>229</v>
      </c>
    </row>
    <row r="1744" ht="15.75" hidden="1" customHeight="1">
      <c r="A1744" s="36">
        <v>5891342.0</v>
      </c>
      <c r="B1744" s="37" t="s">
        <v>118</v>
      </c>
      <c r="C1744" s="37" t="s">
        <v>3912</v>
      </c>
      <c r="D1744" s="37" t="s">
        <v>224</v>
      </c>
      <c r="E1744" s="37" t="s">
        <v>510</v>
      </c>
      <c r="F1744" s="37" t="s">
        <v>284</v>
      </c>
      <c r="G1744" s="37" t="s">
        <v>3</v>
      </c>
      <c r="H1744" s="37" t="s">
        <v>3913</v>
      </c>
      <c r="I1744" s="37" t="s">
        <v>260</v>
      </c>
      <c r="J1744" s="1">
        <v>42.0</v>
      </c>
      <c r="L1744" s="40" t="s">
        <v>120</v>
      </c>
    </row>
    <row r="1745" ht="15.75" hidden="1" customHeight="1">
      <c r="A1745" s="38">
        <v>5415488.0</v>
      </c>
      <c r="B1745" s="39" t="s">
        <v>506</v>
      </c>
      <c r="C1745" s="39" t="s">
        <v>3914</v>
      </c>
      <c r="D1745" s="39" t="s">
        <v>224</v>
      </c>
      <c r="E1745" s="39" t="s">
        <v>510</v>
      </c>
      <c r="F1745" s="39" t="s">
        <v>284</v>
      </c>
      <c r="G1745" s="39" t="s">
        <v>3</v>
      </c>
      <c r="H1745" s="39" t="s">
        <v>3915</v>
      </c>
      <c r="I1745" s="39" t="s">
        <v>260</v>
      </c>
      <c r="J1745" s="1">
        <v>42.0</v>
      </c>
      <c r="L1745" s="40" t="s">
        <v>118</v>
      </c>
    </row>
    <row r="1746" ht="15.75" hidden="1" customHeight="1">
      <c r="A1746" s="36">
        <v>5363695.0</v>
      </c>
      <c r="B1746" s="37" t="s">
        <v>847</v>
      </c>
      <c r="C1746" s="37" t="s">
        <v>3916</v>
      </c>
      <c r="D1746" s="37" t="s">
        <v>224</v>
      </c>
      <c r="E1746" s="37" t="s">
        <v>1418</v>
      </c>
      <c r="F1746" s="37" t="s">
        <v>333</v>
      </c>
      <c r="G1746" s="37" t="s">
        <v>301</v>
      </c>
      <c r="H1746" s="37" t="s">
        <v>3917</v>
      </c>
      <c r="I1746" s="37" t="s">
        <v>229</v>
      </c>
    </row>
    <row r="1747" ht="15.75" hidden="1" customHeight="1">
      <c r="A1747" s="38">
        <v>5364311.0</v>
      </c>
      <c r="B1747" s="39" t="s">
        <v>316</v>
      </c>
      <c r="C1747" s="39" t="s">
        <v>3918</v>
      </c>
      <c r="D1747" s="39" t="s">
        <v>224</v>
      </c>
      <c r="E1747" s="39" t="s">
        <v>796</v>
      </c>
      <c r="F1747" s="39" t="s">
        <v>293</v>
      </c>
      <c r="G1747" s="39" t="s">
        <v>319</v>
      </c>
      <c r="H1747" s="39" t="s">
        <v>3919</v>
      </c>
      <c r="I1747" s="39" t="s">
        <v>229</v>
      </c>
    </row>
    <row r="1748" ht="15.75" hidden="1" customHeight="1">
      <c r="A1748" s="36">
        <v>5528024.0</v>
      </c>
      <c r="B1748" s="37" t="s">
        <v>506</v>
      </c>
      <c r="C1748" s="37" t="s">
        <v>3920</v>
      </c>
      <c r="D1748" s="37" t="s">
        <v>224</v>
      </c>
      <c r="E1748" s="37" t="s">
        <v>510</v>
      </c>
      <c r="F1748" s="37" t="s">
        <v>284</v>
      </c>
      <c r="G1748" s="37" t="s">
        <v>3</v>
      </c>
      <c r="H1748" s="37" t="s">
        <v>3921</v>
      </c>
      <c r="I1748" s="37" t="s">
        <v>260</v>
      </c>
      <c r="J1748" s="1">
        <v>42.0</v>
      </c>
      <c r="L1748" s="40" t="s">
        <v>506</v>
      </c>
    </row>
    <row r="1749" ht="15.75" hidden="1" customHeight="1">
      <c r="A1749" s="38">
        <v>5364382.0</v>
      </c>
      <c r="B1749" s="39" t="s">
        <v>813</v>
      </c>
      <c r="C1749" s="39" t="s">
        <v>3922</v>
      </c>
      <c r="D1749" s="39" t="s">
        <v>224</v>
      </c>
      <c r="E1749" s="39" t="s">
        <v>815</v>
      </c>
      <c r="F1749" s="39" t="s">
        <v>679</v>
      </c>
      <c r="G1749" s="39" t="s">
        <v>301</v>
      </c>
      <c r="H1749" s="39" t="s">
        <v>3923</v>
      </c>
      <c r="I1749" s="39" t="s">
        <v>229</v>
      </c>
    </row>
    <row r="1750" ht="15.75" hidden="1" customHeight="1">
      <c r="A1750" s="36">
        <v>5369437.0</v>
      </c>
      <c r="B1750" s="37" t="s">
        <v>506</v>
      </c>
      <c r="C1750" s="37" t="s">
        <v>3924</v>
      </c>
      <c r="D1750" s="37" t="s">
        <v>224</v>
      </c>
      <c r="E1750" s="37" t="s">
        <v>510</v>
      </c>
      <c r="F1750" s="37" t="s">
        <v>284</v>
      </c>
      <c r="G1750" s="37" t="s">
        <v>3</v>
      </c>
      <c r="H1750" s="37" t="s">
        <v>3925</v>
      </c>
      <c r="I1750" s="37" t="s">
        <v>260</v>
      </c>
      <c r="J1750" s="1">
        <v>42.0</v>
      </c>
      <c r="L1750" s="40" t="s">
        <v>506</v>
      </c>
    </row>
    <row r="1751" ht="15.75" hidden="1" customHeight="1">
      <c r="A1751" s="38">
        <v>5364396.0</v>
      </c>
      <c r="B1751" s="39" t="s">
        <v>374</v>
      </c>
      <c r="C1751" s="39" t="s">
        <v>3926</v>
      </c>
      <c r="D1751" s="39" t="s">
        <v>224</v>
      </c>
      <c r="E1751" s="39" t="s">
        <v>959</v>
      </c>
      <c r="F1751" s="39" t="s">
        <v>377</v>
      </c>
      <c r="G1751" s="39" t="s">
        <v>327</v>
      </c>
      <c r="H1751" s="39" t="s">
        <v>3927</v>
      </c>
      <c r="I1751" s="39" t="s">
        <v>229</v>
      </c>
    </row>
    <row r="1752" ht="15.75" hidden="1" customHeight="1">
      <c r="A1752" s="36">
        <v>5415498.0</v>
      </c>
      <c r="B1752" s="37" t="s">
        <v>506</v>
      </c>
      <c r="C1752" s="37" t="s">
        <v>3928</v>
      </c>
      <c r="D1752" s="37" t="s">
        <v>224</v>
      </c>
      <c r="E1752" s="37" t="s">
        <v>510</v>
      </c>
      <c r="F1752" s="37" t="s">
        <v>284</v>
      </c>
      <c r="G1752" s="37" t="s">
        <v>3</v>
      </c>
      <c r="H1752" s="37" t="s">
        <v>3929</v>
      </c>
      <c r="I1752" s="37" t="s">
        <v>260</v>
      </c>
      <c r="J1752" s="1">
        <v>42.0</v>
      </c>
      <c r="L1752" s="40" t="s">
        <v>506</v>
      </c>
    </row>
    <row r="1753" ht="15.75" hidden="1" customHeight="1">
      <c r="A1753" s="38">
        <v>5364469.0</v>
      </c>
      <c r="B1753" s="39" t="s">
        <v>537</v>
      </c>
      <c r="C1753" s="39" t="s">
        <v>3930</v>
      </c>
      <c r="D1753" s="39" t="s">
        <v>224</v>
      </c>
      <c r="E1753" s="39" t="s">
        <v>578</v>
      </c>
      <c r="F1753" s="39" t="s">
        <v>540</v>
      </c>
      <c r="G1753" s="39" t="s">
        <v>541</v>
      </c>
      <c r="H1753" s="39" t="s">
        <v>3931</v>
      </c>
      <c r="I1753" s="39" t="s">
        <v>229</v>
      </c>
    </row>
    <row r="1754" ht="15.75" hidden="1" customHeight="1">
      <c r="A1754" s="36">
        <v>5437194.0</v>
      </c>
      <c r="B1754" s="37" t="s">
        <v>506</v>
      </c>
      <c r="C1754" s="37" t="s">
        <v>3932</v>
      </c>
      <c r="D1754" s="37" t="s">
        <v>224</v>
      </c>
      <c r="E1754" s="37" t="s">
        <v>510</v>
      </c>
      <c r="F1754" s="37" t="s">
        <v>284</v>
      </c>
      <c r="G1754" s="37" t="s">
        <v>3</v>
      </c>
      <c r="H1754" s="37" t="s">
        <v>3933</v>
      </c>
      <c r="I1754" s="37" t="s">
        <v>260</v>
      </c>
      <c r="J1754" s="1">
        <v>42.0</v>
      </c>
      <c r="L1754" s="40" t="s">
        <v>506</v>
      </c>
    </row>
    <row r="1755" ht="15.75" hidden="1" customHeight="1">
      <c r="A1755" s="38">
        <v>5364475.0</v>
      </c>
      <c r="B1755" s="39" t="s">
        <v>800</v>
      </c>
      <c r="C1755" s="39" t="s">
        <v>3934</v>
      </c>
      <c r="D1755" s="39" t="s">
        <v>224</v>
      </c>
      <c r="E1755" s="39" t="s">
        <v>802</v>
      </c>
      <c r="F1755" s="39" t="s">
        <v>333</v>
      </c>
      <c r="G1755" s="39" t="s">
        <v>301</v>
      </c>
      <c r="H1755" s="39" t="s">
        <v>3935</v>
      </c>
      <c r="I1755" s="39" t="s">
        <v>229</v>
      </c>
    </row>
    <row r="1756" ht="15.75" hidden="1" customHeight="1">
      <c r="A1756" s="36">
        <v>5654112.0</v>
      </c>
      <c r="B1756" s="37" t="s">
        <v>118</v>
      </c>
      <c r="C1756" s="37" t="s">
        <v>3936</v>
      </c>
      <c r="D1756" s="37" t="s">
        <v>224</v>
      </c>
      <c r="E1756" s="37" t="s">
        <v>510</v>
      </c>
      <c r="F1756" s="37" t="s">
        <v>284</v>
      </c>
      <c r="G1756" s="37" t="s">
        <v>3</v>
      </c>
      <c r="H1756" s="37" t="s">
        <v>3937</v>
      </c>
      <c r="I1756" s="37" t="s">
        <v>260</v>
      </c>
      <c r="J1756" s="1">
        <v>42.0</v>
      </c>
      <c r="L1756" s="40" t="s">
        <v>506</v>
      </c>
    </row>
    <row r="1757" ht="15.75" hidden="1" customHeight="1">
      <c r="A1757" s="38">
        <v>5364822.0</v>
      </c>
      <c r="B1757" s="39" t="s">
        <v>555</v>
      </c>
      <c r="C1757" s="39" t="s">
        <v>3938</v>
      </c>
      <c r="D1757" s="39" t="s">
        <v>224</v>
      </c>
      <c r="E1757" s="39" t="s">
        <v>1069</v>
      </c>
      <c r="F1757" s="39" t="s">
        <v>558</v>
      </c>
      <c r="G1757" s="39" t="s">
        <v>541</v>
      </c>
      <c r="H1757" s="39" t="s">
        <v>3939</v>
      </c>
      <c r="I1757" s="39" t="s">
        <v>229</v>
      </c>
    </row>
    <row r="1758" ht="15.75" hidden="1" customHeight="1">
      <c r="A1758" s="36">
        <v>5503308.0</v>
      </c>
      <c r="B1758" s="37" t="s">
        <v>506</v>
      </c>
      <c r="C1758" s="37" t="s">
        <v>3940</v>
      </c>
      <c r="D1758" s="37" t="s">
        <v>224</v>
      </c>
      <c r="E1758" s="37" t="s">
        <v>510</v>
      </c>
      <c r="F1758" s="37" t="s">
        <v>284</v>
      </c>
      <c r="G1758" s="37" t="s">
        <v>3</v>
      </c>
      <c r="H1758" s="37" t="s">
        <v>3941</v>
      </c>
      <c r="I1758" s="37" t="s">
        <v>260</v>
      </c>
      <c r="J1758" s="1">
        <v>42.0</v>
      </c>
      <c r="L1758" s="40" t="s">
        <v>118</v>
      </c>
    </row>
    <row r="1759" ht="15.75" hidden="1" customHeight="1">
      <c r="A1759" s="38">
        <v>5365231.0</v>
      </c>
      <c r="B1759" s="39" t="s">
        <v>800</v>
      </c>
      <c r="C1759" s="39" t="s">
        <v>3942</v>
      </c>
      <c r="D1759" s="39" t="s">
        <v>224</v>
      </c>
      <c r="E1759" s="39" t="s">
        <v>802</v>
      </c>
      <c r="F1759" s="39" t="s">
        <v>333</v>
      </c>
      <c r="G1759" s="39" t="s">
        <v>301</v>
      </c>
      <c r="H1759" s="39" t="s">
        <v>3943</v>
      </c>
      <c r="I1759" s="39" t="s">
        <v>229</v>
      </c>
    </row>
    <row r="1760" ht="15.75" hidden="1" customHeight="1">
      <c r="A1760" s="36">
        <v>5506098.0</v>
      </c>
      <c r="B1760" s="37" t="s">
        <v>506</v>
      </c>
      <c r="C1760" s="37" t="s">
        <v>3944</v>
      </c>
      <c r="D1760" s="37" t="s">
        <v>224</v>
      </c>
      <c r="E1760" s="37" t="s">
        <v>510</v>
      </c>
      <c r="F1760" s="37" t="s">
        <v>284</v>
      </c>
      <c r="G1760" s="37" t="s">
        <v>3</v>
      </c>
      <c r="H1760" s="37" t="s">
        <v>3945</v>
      </c>
      <c r="I1760" s="37" t="s">
        <v>260</v>
      </c>
      <c r="J1760" s="1">
        <v>42.0</v>
      </c>
      <c r="L1760" s="40" t="s">
        <v>506</v>
      </c>
    </row>
    <row r="1761" ht="15.75" hidden="1" customHeight="1">
      <c r="A1761" s="38">
        <v>5365277.0</v>
      </c>
      <c r="B1761" s="39" t="s">
        <v>1602</v>
      </c>
      <c r="C1761" s="39" t="s">
        <v>3946</v>
      </c>
      <c r="D1761" s="39" t="s">
        <v>224</v>
      </c>
      <c r="E1761" s="39" t="s">
        <v>1604</v>
      </c>
      <c r="F1761" s="39" t="s">
        <v>540</v>
      </c>
      <c r="G1761" s="39" t="s">
        <v>541</v>
      </c>
      <c r="H1761" s="39" t="s">
        <v>3947</v>
      </c>
      <c r="I1761" s="39" t="s">
        <v>229</v>
      </c>
    </row>
    <row r="1762" ht="15.75" hidden="1" customHeight="1">
      <c r="A1762" s="36">
        <v>5622691.0</v>
      </c>
      <c r="B1762" s="37" t="s">
        <v>506</v>
      </c>
      <c r="C1762" s="37" t="s">
        <v>3948</v>
      </c>
      <c r="D1762" s="37" t="s">
        <v>331</v>
      </c>
      <c r="E1762" s="37" t="s">
        <v>510</v>
      </c>
      <c r="F1762" s="37" t="s">
        <v>284</v>
      </c>
      <c r="G1762" s="37" t="s">
        <v>3</v>
      </c>
      <c r="H1762" s="37" t="s">
        <v>3949</v>
      </c>
      <c r="I1762" s="37" t="s">
        <v>260</v>
      </c>
      <c r="J1762" s="1">
        <v>42.0</v>
      </c>
      <c r="L1762" s="40" t="s">
        <v>506</v>
      </c>
    </row>
    <row r="1763" ht="15.75" hidden="1" customHeight="1">
      <c r="A1763" s="38">
        <v>5641145.0</v>
      </c>
      <c r="B1763" s="39" t="s">
        <v>118</v>
      </c>
      <c r="C1763" s="39" t="s">
        <v>3950</v>
      </c>
      <c r="D1763" s="39" t="s">
        <v>224</v>
      </c>
      <c r="E1763" s="39" t="s">
        <v>510</v>
      </c>
      <c r="F1763" s="39" t="s">
        <v>284</v>
      </c>
      <c r="G1763" s="39" t="s">
        <v>3</v>
      </c>
      <c r="H1763" s="39" t="s">
        <v>3951</v>
      </c>
      <c r="I1763" s="39" t="s">
        <v>260</v>
      </c>
      <c r="J1763" s="1">
        <v>42.0</v>
      </c>
      <c r="L1763" s="40" t="s">
        <v>506</v>
      </c>
    </row>
    <row r="1764" ht="15.75" hidden="1" customHeight="1">
      <c r="A1764" s="36">
        <v>5365565.0</v>
      </c>
      <c r="B1764" s="37" t="s">
        <v>522</v>
      </c>
      <c r="C1764" s="37" t="s">
        <v>3952</v>
      </c>
      <c r="D1764" s="37" t="s">
        <v>224</v>
      </c>
      <c r="E1764" s="37" t="s">
        <v>658</v>
      </c>
      <c r="F1764" s="37" t="s">
        <v>470</v>
      </c>
      <c r="G1764" s="37" t="s">
        <v>327</v>
      </c>
      <c r="H1764" s="37" t="s">
        <v>3953</v>
      </c>
      <c r="I1764" s="37" t="s">
        <v>229</v>
      </c>
    </row>
    <row r="1765" ht="15.75" hidden="1" customHeight="1">
      <c r="A1765" s="38">
        <v>5896151.0</v>
      </c>
      <c r="B1765" s="39" t="s">
        <v>118</v>
      </c>
      <c r="C1765" s="39" t="s">
        <v>3954</v>
      </c>
      <c r="D1765" s="39" t="s">
        <v>224</v>
      </c>
      <c r="E1765" s="39" t="s">
        <v>510</v>
      </c>
      <c r="F1765" s="39" t="s">
        <v>284</v>
      </c>
      <c r="G1765" s="39" t="s">
        <v>3</v>
      </c>
      <c r="H1765" s="39" t="s">
        <v>3955</v>
      </c>
      <c r="I1765" s="39" t="s">
        <v>260</v>
      </c>
      <c r="J1765" s="1">
        <v>42.0</v>
      </c>
      <c r="L1765" s="40" t="s">
        <v>118</v>
      </c>
    </row>
    <row r="1766" ht="15.75" hidden="1" customHeight="1">
      <c r="A1766" s="36">
        <v>5365616.0</v>
      </c>
      <c r="B1766" s="37" t="s">
        <v>506</v>
      </c>
      <c r="C1766" s="37" t="s">
        <v>3956</v>
      </c>
      <c r="D1766" s="37" t="s">
        <v>224</v>
      </c>
      <c r="E1766" s="37" t="s">
        <v>831</v>
      </c>
      <c r="F1766" s="37" t="s">
        <v>284</v>
      </c>
      <c r="G1766" s="37" t="s">
        <v>3</v>
      </c>
      <c r="H1766" s="37" t="s">
        <v>3957</v>
      </c>
      <c r="I1766" s="37" t="s">
        <v>260</v>
      </c>
      <c r="J1766" s="1">
        <v>42.0</v>
      </c>
      <c r="L1766" s="40" t="s">
        <v>118</v>
      </c>
    </row>
    <row r="1767" ht="15.75" hidden="1" customHeight="1">
      <c r="A1767" s="38">
        <v>5945494.0</v>
      </c>
      <c r="B1767" s="39" t="s">
        <v>118</v>
      </c>
      <c r="C1767" s="39" t="s">
        <v>3958</v>
      </c>
      <c r="D1767" s="39" t="s">
        <v>224</v>
      </c>
      <c r="E1767" s="39" t="s">
        <v>510</v>
      </c>
      <c r="F1767" s="39" t="s">
        <v>284</v>
      </c>
      <c r="G1767" s="39" t="s">
        <v>3</v>
      </c>
      <c r="H1767" s="39" t="s">
        <v>3959</v>
      </c>
      <c r="I1767" s="39" t="s">
        <v>260</v>
      </c>
      <c r="J1767" s="1">
        <v>42.0</v>
      </c>
      <c r="L1767" s="40" t="s">
        <v>506</v>
      </c>
    </row>
    <row r="1768" ht="15.75" hidden="1" customHeight="1">
      <c r="A1768" s="36">
        <v>6028106.0</v>
      </c>
      <c r="B1768" s="37" t="s">
        <v>323</v>
      </c>
      <c r="C1768" s="37" t="s">
        <v>3960</v>
      </c>
      <c r="D1768" s="37" t="s">
        <v>224</v>
      </c>
      <c r="E1768" s="37" t="s">
        <v>1328</v>
      </c>
      <c r="F1768" s="37" t="s">
        <v>326</v>
      </c>
      <c r="G1768" s="37" t="s">
        <v>327</v>
      </c>
      <c r="H1768" s="37" t="s">
        <v>3961</v>
      </c>
      <c r="I1768" s="37" t="s">
        <v>229</v>
      </c>
    </row>
    <row r="1769" ht="15.75" hidden="1" customHeight="1">
      <c r="A1769" s="38">
        <v>5367288.0</v>
      </c>
      <c r="B1769" s="39" t="s">
        <v>416</v>
      </c>
      <c r="C1769" s="39" t="s">
        <v>3962</v>
      </c>
      <c r="D1769" s="39" t="s">
        <v>224</v>
      </c>
      <c r="E1769" s="39" t="s">
        <v>2522</v>
      </c>
      <c r="F1769" s="39" t="s">
        <v>421</v>
      </c>
      <c r="G1769" s="39" t="s">
        <v>227</v>
      </c>
      <c r="H1769" s="39" t="s">
        <v>3963</v>
      </c>
      <c r="I1769" s="39" t="s">
        <v>260</v>
      </c>
    </row>
    <row r="1770" ht="15.75" hidden="1" customHeight="1">
      <c r="A1770" s="36">
        <v>6033209.0</v>
      </c>
      <c r="B1770" s="37" t="s">
        <v>323</v>
      </c>
      <c r="C1770" s="37" t="s">
        <v>3964</v>
      </c>
      <c r="D1770" s="37" t="s">
        <v>224</v>
      </c>
      <c r="E1770" s="37" t="s">
        <v>1328</v>
      </c>
      <c r="F1770" s="37" t="s">
        <v>326</v>
      </c>
      <c r="G1770" s="37" t="s">
        <v>327</v>
      </c>
      <c r="H1770" s="37" t="s">
        <v>3965</v>
      </c>
      <c r="I1770" s="37" t="s">
        <v>229</v>
      </c>
    </row>
    <row r="1771" ht="15.75" hidden="1" customHeight="1">
      <c r="A1771" s="38">
        <v>5367299.0</v>
      </c>
      <c r="B1771" s="39" t="s">
        <v>738</v>
      </c>
      <c r="C1771" s="39" t="s">
        <v>3966</v>
      </c>
      <c r="D1771" s="39" t="s">
        <v>224</v>
      </c>
      <c r="E1771" s="39" t="s">
        <v>3967</v>
      </c>
      <c r="F1771" s="39" t="s">
        <v>533</v>
      </c>
      <c r="G1771" s="39" t="s">
        <v>250</v>
      </c>
      <c r="H1771" s="39" t="s">
        <v>3968</v>
      </c>
      <c r="I1771" s="39" t="s">
        <v>229</v>
      </c>
    </row>
    <row r="1772" ht="15.75" hidden="1" customHeight="1">
      <c r="A1772" s="36">
        <v>6032369.0</v>
      </c>
      <c r="B1772" s="37" t="s">
        <v>323</v>
      </c>
      <c r="C1772" s="37" t="s">
        <v>3969</v>
      </c>
      <c r="D1772" s="37" t="s">
        <v>224</v>
      </c>
      <c r="E1772" s="37" t="s">
        <v>1328</v>
      </c>
      <c r="F1772" s="37" t="s">
        <v>326</v>
      </c>
      <c r="G1772" s="37" t="s">
        <v>327</v>
      </c>
      <c r="H1772" s="37" t="s">
        <v>3970</v>
      </c>
      <c r="I1772" s="37" t="s">
        <v>229</v>
      </c>
    </row>
    <row r="1773" ht="15.75" hidden="1" customHeight="1">
      <c r="A1773" s="38">
        <v>5367502.0</v>
      </c>
      <c r="B1773" s="39" t="s">
        <v>506</v>
      </c>
      <c r="C1773" s="39" t="s">
        <v>3971</v>
      </c>
      <c r="D1773" s="39" t="s">
        <v>224</v>
      </c>
      <c r="E1773" s="39" t="s">
        <v>831</v>
      </c>
      <c r="F1773" s="39" t="s">
        <v>284</v>
      </c>
      <c r="G1773" s="39" t="s">
        <v>3</v>
      </c>
      <c r="H1773" s="39" t="s">
        <v>3972</v>
      </c>
      <c r="I1773" s="39" t="s">
        <v>260</v>
      </c>
      <c r="J1773" s="1">
        <v>42.0</v>
      </c>
      <c r="L1773" s="40" t="s">
        <v>118</v>
      </c>
    </row>
    <row r="1774" ht="15.75" hidden="1" customHeight="1">
      <c r="A1774" s="36">
        <v>5846035.0</v>
      </c>
      <c r="B1774" s="37" t="s">
        <v>323</v>
      </c>
      <c r="C1774" s="37" t="s">
        <v>3973</v>
      </c>
      <c r="D1774" s="37" t="s">
        <v>224</v>
      </c>
      <c r="E1774" s="37" t="s">
        <v>1328</v>
      </c>
      <c r="F1774" s="37" t="s">
        <v>326</v>
      </c>
      <c r="G1774" s="37" t="s">
        <v>327</v>
      </c>
      <c r="H1774" s="37" t="s">
        <v>3974</v>
      </c>
      <c r="I1774" s="37" t="s">
        <v>229</v>
      </c>
    </row>
    <row r="1775" ht="15.75" hidden="1" customHeight="1">
      <c r="A1775" s="38">
        <v>5367811.0</v>
      </c>
      <c r="B1775" s="39" t="s">
        <v>412</v>
      </c>
      <c r="C1775" s="39" t="s">
        <v>3975</v>
      </c>
      <c r="D1775" s="39" t="s">
        <v>224</v>
      </c>
      <c r="E1775" s="39" t="s">
        <v>831</v>
      </c>
      <c r="F1775" s="39" t="s">
        <v>3</v>
      </c>
      <c r="G1775" s="39" t="s">
        <v>3</v>
      </c>
      <c r="H1775" s="39" t="s">
        <v>3976</v>
      </c>
      <c r="I1775" s="39" t="s">
        <v>260</v>
      </c>
      <c r="J1775" s="1">
        <v>42.0</v>
      </c>
      <c r="L1775" s="40" t="s">
        <v>506</v>
      </c>
    </row>
    <row r="1776" ht="15.75" hidden="1" customHeight="1">
      <c r="A1776" s="36">
        <v>5976421.0</v>
      </c>
      <c r="B1776" s="37" t="s">
        <v>323</v>
      </c>
      <c r="C1776" s="37" t="s">
        <v>3977</v>
      </c>
      <c r="D1776" s="37" t="s">
        <v>224</v>
      </c>
      <c r="E1776" s="37" t="s">
        <v>1328</v>
      </c>
      <c r="F1776" s="37" t="s">
        <v>326</v>
      </c>
      <c r="G1776" s="37" t="s">
        <v>327</v>
      </c>
      <c r="H1776" s="37" t="s">
        <v>3978</v>
      </c>
      <c r="I1776" s="37" t="s">
        <v>229</v>
      </c>
    </row>
    <row r="1777" ht="15.75" hidden="1" customHeight="1">
      <c r="A1777" s="38">
        <v>5368034.0</v>
      </c>
      <c r="B1777" s="39" t="s">
        <v>361</v>
      </c>
      <c r="C1777" s="39" t="s">
        <v>3979</v>
      </c>
      <c r="D1777" s="39" t="s">
        <v>224</v>
      </c>
      <c r="E1777" s="39" t="s">
        <v>563</v>
      </c>
      <c r="F1777" s="39" t="s">
        <v>312</v>
      </c>
      <c r="G1777" s="39" t="s">
        <v>258</v>
      </c>
      <c r="H1777" s="39" t="s">
        <v>3980</v>
      </c>
      <c r="I1777" s="39" t="s">
        <v>260</v>
      </c>
    </row>
    <row r="1778" ht="15.75" hidden="1" customHeight="1">
      <c r="A1778" s="36">
        <v>5929630.0</v>
      </c>
      <c r="B1778" s="37" t="s">
        <v>323</v>
      </c>
      <c r="C1778" s="37" t="s">
        <v>3981</v>
      </c>
      <c r="D1778" s="37" t="s">
        <v>224</v>
      </c>
      <c r="E1778" s="37" t="s">
        <v>1328</v>
      </c>
      <c r="F1778" s="37" t="s">
        <v>326</v>
      </c>
      <c r="G1778" s="37" t="s">
        <v>327</v>
      </c>
      <c r="H1778" s="37" t="s">
        <v>3982</v>
      </c>
      <c r="I1778" s="37" t="s">
        <v>229</v>
      </c>
    </row>
    <row r="1779" ht="15.75" hidden="1" customHeight="1">
      <c r="A1779" s="38">
        <v>5838766.0</v>
      </c>
      <c r="B1779" s="39" t="s">
        <v>323</v>
      </c>
      <c r="C1779" s="39" t="s">
        <v>3983</v>
      </c>
      <c r="D1779" s="39" t="s">
        <v>224</v>
      </c>
      <c r="E1779" s="39" t="s">
        <v>1328</v>
      </c>
      <c r="F1779" s="39" t="s">
        <v>326</v>
      </c>
      <c r="G1779" s="39" t="s">
        <v>327</v>
      </c>
      <c r="H1779" s="39" t="s">
        <v>3984</v>
      </c>
      <c r="I1779" s="39" t="s">
        <v>229</v>
      </c>
    </row>
    <row r="1780" ht="15.75" hidden="1" customHeight="1">
      <c r="A1780" s="36">
        <v>5964115.0</v>
      </c>
      <c r="B1780" s="37" t="s">
        <v>323</v>
      </c>
      <c r="C1780" s="37" t="s">
        <v>3985</v>
      </c>
      <c r="D1780" s="37" t="s">
        <v>224</v>
      </c>
      <c r="E1780" s="37" t="s">
        <v>1328</v>
      </c>
      <c r="F1780" s="37" t="s">
        <v>326</v>
      </c>
      <c r="G1780" s="37" t="s">
        <v>327</v>
      </c>
      <c r="H1780" s="37" t="s">
        <v>3986</v>
      </c>
      <c r="I1780" s="37" t="s">
        <v>229</v>
      </c>
    </row>
    <row r="1781" ht="15.75" hidden="1" customHeight="1">
      <c r="A1781" s="38">
        <v>5608173.0</v>
      </c>
      <c r="B1781" s="39" t="s">
        <v>323</v>
      </c>
      <c r="C1781" s="39" t="s">
        <v>3987</v>
      </c>
      <c r="D1781" s="39" t="s">
        <v>224</v>
      </c>
      <c r="E1781" s="39" t="s">
        <v>1328</v>
      </c>
      <c r="F1781" s="39" t="s">
        <v>326</v>
      </c>
      <c r="G1781" s="39" t="s">
        <v>327</v>
      </c>
      <c r="H1781" s="39" t="s">
        <v>3988</v>
      </c>
      <c r="I1781" s="39" t="s">
        <v>229</v>
      </c>
    </row>
    <row r="1782" ht="15.75" hidden="1" customHeight="1">
      <c r="A1782" s="36">
        <v>6030537.0</v>
      </c>
      <c r="B1782" s="37" t="s">
        <v>323</v>
      </c>
      <c r="C1782" s="37" t="s">
        <v>3989</v>
      </c>
      <c r="D1782" s="37" t="s">
        <v>224</v>
      </c>
      <c r="E1782" s="37" t="s">
        <v>1328</v>
      </c>
      <c r="F1782" s="37" t="s">
        <v>326</v>
      </c>
      <c r="G1782" s="37" t="s">
        <v>327</v>
      </c>
      <c r="H1782" s="37" t="s">
        <v>3990</v>
      </c>
      <c r="I1782" s="37" t="s">
        <v>229</v>
      </c>
    </row>
    <row r="1783" ht="15.75" hidden="1" customHeight="1">
      <c r="A1783" s="38">
        <v>5698125.0</v>
      </c>
      <c r="B1783" s="39" t="s">
        <v>323</v>
      </c>
      <c r="C1783" s="39" t="s">
        <v>3991</v>
      </c>
      <c r="D1783" s="39" t="s">
        <v>224</v>
      </c>
      <c r="E1783" s="39" t="s">
        <v>1328</v>
      </c>
      <c r="F1783" s="39" t="s">
        <v>326</v>
      </c>
      <c r="G1783" s="39" t="s">
        <v>327</v>
      </c>
      <c r="H1783" s="39" t="s">
        <v>3992</v>
      </c>
      <c r="I1783" s="39" t="s">
        <v>229</v>
      </c>
    </row>
    <row r="1784" ht="15.75" hidden="1" customHeight="1">
      <c r="A1784" s="36">
        <v>5369932.0</v>
      </c>
      <c r="B1784" s="37" t="s">
        <v>323</v>
      </c>
      <c r="C1784" s="37" t="s">
        <v>3993</v>
      </c>
      <c r="D1784" s="37" t="s">
        <v>224</v>
      </c>
      <c r="E1784" s="37" t="s">
        <v>2152</v>
      </c>
      <c r="F1784" s="37" t="s">
        <v>326</v>
      </c>
      <c r="G1784" s="37" t="s">
        <v>327</v>
      </c>
      <c r="H1784" s="37" t="s">
        <v>3994</v>
      </c>
      <c r="I1784" s="37" t="s">
        <v>229</v>
      </c>
    </row>
    <row r="1785" ht="15.75" hidden="1" customHeight="1">
      <c r="A1785" s="38">
        <v>5707226.0</v>
      </c>
      <c r="B1785" s="39" t="s">
        <v>323</v>
      </c>
      <c r="C1785" s="39" t="s">
        <v>3995</v>
      </c>
      <c r="D1785" s="39" t="s">
        <v>224</v>
      </c>
      <c r="E1785" s="39" t="s">
        <v>1328</v>
      </c>
      <c r="F1785" s="39" t="s">
        <v>326</v>
      </c>
      <c r="G1785" s="39" t="s">
        <v>327</v>
      </c>
      <c r="H1785" s="39" t="s">
        <v>3996</v>
      </c>
      <c r="I1785" s="39" t="s">
        <v>229</v>
      </c>
    </row>
    <row r="1786" ht="15.75" hidden="1" customHeight="1">
      <c r="A1786" s="36">
        <v>5370257.0</v>
      </c>
      <c r="B1786" s="37" t="s">
        <v>806</v>
      </c>
      <c r="C1786" s="37" t="s">
        <v>3997</v>
      </c>
      <c r="D1786" s="37" t="s">
        <v>224</v>
      </c>
      <c r="E1786" s="37" t="s">
        <v>634</v>
      </c>
      <c r="F1786" s="37" t="s">
        <v>257</v>
      </c>
      <c r="G1786" s="37" t="s">
        <v>258</v>
      </c>
      <c r="H1786" s="37" t="s">
        <v>3998</v>
      </c>
      <c r="I1786" s="37" t="s">
        <v>260</v>
      </c>
    </row>
    <row r="1787" ht="15.75" hidden="1" customHeight="1">
      <c r="A1787" s="38">
        <v>5867462.0</v>
      </c>
      <c r="B1787" s="39" t="s">
        <v>323</v>
      </c>
      <c r="C1787" s="39" t="s">
        <v>3999</v>
      </c>
      <c r="D1787" s="39" t="s">
        <v>224</v>
      </c>
      <c r="E1787" s="39" t="s">
        <v>1328</v>
      </c>
      <c r="F1787" s="39" t="s">
        <v>326</v>
      </c>
      <c r="G1787" s="39" t="s">
        <v>327</v>
      </c>
      <c r="H1787" s="39" t="s">
        <v>4000</v>
      </c>
      <c r="I1787" s="39" t="s">
        <v>229</v>
      </c>
    </row>
    <row r="1788" ht="15.75" hidden="1" customHeight="1">
      <c r="A1788" s="36">
        <v>5370517.0</v>
      </c>
      <c r="B1788" s="37" t="s">
        <v>416</v>
      </c>
      <c r="C1788" s="37" t="s">
        <v>4001</v>
      </c>
      <c r="D1788" s="37" t="s">
        <v>224</v>
      </c>
      <c r="E1788" s="37" t="s">
        <v>2307</v>
      </c>
      <c r="F1788" s="37" t="s">
        <v>421</v>
      </c>
      <c r="G1788" s="37" t="s">
        <v>227</v>
      </c>
      <c r="H1788" s="37" t="s">
        <v>4002</v>
      </c>
      <c r="I1788" s="37" t="s">
        <v>260</v>
      </c>
    </row>
    <row r="1789" ht="15.75" hidden="1" customHeight="1">
      <c r="A1789" s="38">
        <v>5878188.0</v>
      </c>
      <c r="B1789" s="39" t="s">
        <v>323</v>
      </c>
      <c r="C1789" s="39" t="s">
        <v>4003</v>
      </c>
      <c r="D1789" s="39" t="s">
        <v>224</v>
      </c>
      <c r="E1789" s="39" t="s">
        <v>1328</v>
      </c>
      <c r="F1789" s="39" t="s">
        <v>326</v>
      </c>
      <c r="G1789" s="39" t="s">
        <v>327</v>
      </c>
      <c r="H1789" s="39" t="s">
        <v>4004</v>
      </c>
      <c r="I1789" s="39" t="s">
        <v>229</v>
      </c>
    </row>
    <row r="1790" ht="15.75" hidden="1" customHeight="1">
      <c r="A1790" s="36">
        <v>5370518.0</v>
      </c>
      <c r="B1790" s="37" t="s">
        <v>1676</v>
      </c>
      <c r="C1790" s="37" t="s">
        <v>4005</v>
      </c>
      <c r="D1790" s="37" t="s">
        <v>234</v>
      </c>
      <c r="E1790" s="37" t="s">
        <v>2522</v>
      </c>
      <c r="F1790" s="37" t="s">
        <v>421</v>
      </c>
      <c r="G1790" s="37" t="s">
        <v>227</v>
      </c>
      <c r="H1790" s="37" t="s">
        <v>4006</v>
      </c>
      <c r="I1790" s="37" t="s">
        <v>260</v>
      </c>
    </row>
    <row r="1791" ht="15.75" hidden="1" customHeight="1">
      <c r="A1791" s="38">
        <v>5898204.0</v>
      </c>
      <c r="B1791" s="39" t="s">
        <v>323</v>
      </c>
      <c r="C1791" s="39" t="s">
        <v>4007</v>
      </c>
      <c r="D1791" s="39" t="s">
        <v>331</v>
      </c>
      <c r="E1791" s="39" t="s">
        <v>1328</v>
      </c>
      <c r="F1791" s="39" t="s">
        <v>326</v>
      </c>
      <c r="G1791" s="39" t="s">
        <v>327</v>
      </c>
      <c r="H1791" s="39" t="s">
        <v>4008</v>
      </c>
      <c r="I1791" s="39" t="s">
        <v>229</v>
      </c>
    </row>
    <row r="1792" ht="15.75" hidden="1" customHeight="1">
      <c r="A1792" s="36">
        <v>5370519.0</v>
      </c>
      <c r="B1792" s="37" t="s">
        <v>416</v>
      </c>
      <c r="C1792" s="37" t="s">
        <v>4009</v>
      </c>
      <c r="D1792" s="37" t="s">
        <v>269</v>
      </c>
      <c r="E1792" s="37" t="s">
        <v>2307</v>
      </c>
      <c r="F1792" s="37" t="s">
        <v>421</v>
      </c>
      <c r="G1792" s="37" t="s">
        <v>227</v>
      </c>
      <c r="H1792" s="37" t="s">
        <v>4010</v>
      </c>
      <c r="I1792" s="37" t="s">
        <v>260</v>
      </c>
    </row>
    <row r="1793" ht="15.75" hidden="1" customHeight="1">
      <c r="A1793" s="38">
        <v>5957347.0</v>
      </c>
      <c r="B1793" s="39" t="s">
        <v>323</v>
      </c>
      <c r="C1793" s="39" t="s">
        <v>4011</v>
      </c>
      <c r="D1793" s="39" t="s">
        <v>224</v>
      </c>
      <c r="E1793" s="39" t="s">
        <v>1328</v>
      </c>
      <c r="F1793" s="39" t="s">
        <v>326</v>
      </c>
      <c r="G1793" s="39" t="s">
        <v>327</v>
      </c>
      <c r="H1793" s="39" t="s">
        <v>4012</v>
      </c>
      <c r="I1793" s="39" t="s">
        <v>229</v>
      </c>
    </row>
    <row r="1794" ht="15.75" hidden="1" customHeight="1">
      <c r="A1794" s="36">
        <v>6032263.0</v>
      </c>
      <c r="B1794" s="37" t="s">
        <v>323</v>
      </c>
      <c r="C1794" s="37" t="s">
        <v>4013</v>
      </c>
      <c r="D1794" s="37" t="s">
        <v>224</v>
      </c>
      <c r="E1794" s="37" t="s">
        <v>1328</v>
      </c>
      <c r="F1794" s="37" t="s">
        <v>326</v>
      </c>
      <c r="G1794" s="37" t="s">
        <v>327</v>
      </c>
      <c r="H1794" s="37" t="s">
        <v>4014</v>
      </c>
      <c r="I1794" s="37" t="s">
        <v>229</v>
      </c>
    </row>
    <row r="1795" ht="15.75" hidden="1" customHeight="1">
      <c r="A1795" s="38">
        <v>5371412.0</v>
      </c>
      <c r="B1795" s="39" t="s">
        <v>416</v>
      </c>
      <c r="C1795" s="39" t="s">
        <v>4015</v>
      </c>
      <c r="D1795" s="39" t="s">
        <v>224</v>
      </c>
      <c r="E1795" s="39" t="s">
        <v>2307</v>
      </c>
      <c r="F1795" s="39" t="s">
        <v>421</v>
      </c>
      <c r="G1795" s="39" t="s">
        <v>227</v>
      </c>
      <c r="H1795" s="39" t="s">
        <v>4016</v>
      </c>
      <c r="I1795" s="39" t="s">
        <v>260</v>
      </c>
    </row>
    <row r="1796" ht="15.75" hidden="1" customHeight="1">
      <c r="A1796" s="36">
        <v>5371458.0</v>
      </c>
      <c r="B1796" s="37" t="s">
        <v>847</v>
      </c>
      <c r="C1796" s="37" t="s">
        <v>4017</v>
      </c>
      <c r="D1796" s="37" t="s">
        <v>224</v>
      </c>
      <c r="E1796" s="37" t="s">
        <v>849</v>
      </c>
      <c r="F1796" s="37" t="s">
        <v>333</v>
      </c>
      <c r="G1796" s="37" t="s">
        <v>301</v>
      </c>
      <c r="H1796" s="37" t="s">
        <v>4018</v>
      </c>
      <c r="I1796" s="37" t="s">
        <v>229</v>
      </c>
    </row>
    <row r="1797" ht="15.75" hidden="1" customHeight="1">
      <c r="A1797" s="38">
        <v>5380456.0</v>
      </c>
      <c r="B1797" s="39" t="s">
        <v>316</v>
      </c>
      <c r="C1797" s="39" t="s">
        <v>4019</v>
      </c>
      <c r="D1797" s="39" t="s">
        <v>224</v>
      </c>
      <c r="E1797" s="39" t="s">
        <v>761</v>
      </c>
      <c r="F1797" s="39" t="s">
        <v>293</v>
      </c>
      <c r="G1797" s="39" t="s">
        <v>319</v>
      </c>
      <c r="H1797" s="39" t="s">
        <v>4020</v>
      </c>
      <c r="I1797" s="39" t="s">
        <v>229</v>
      </c>
    </row>
    <row r="1798" ht="15.75" hidden="1" customHeight="1">
      <c r="A1798" s="36">
        <v>5380459.0</v>
      </c>
      <c r="B1798" s="37" t="s">
        <v>555</v>
      </c>
      <c r="C1798" s="37" t="s">
        <v>4021</v>
      </c>
      <c r="D1798" s="37" t="s">
        <v>224</v>
      </c>
      <c r="E1798" s="37" t="s">
        <v>1069</v>
      </c>
      <c r="F1798" s="37" t="s">
        <v>558</v>
      </c>
      <c r="G1798" s="37" t="s">
        <v>541</v>
      </c>
      <c r="H1798" s="37" t="s">
        <v>4022</v>
      </c>
      <c r="I1798" s="37" t="s">
        <v>229</v>
      </c>
    </row>
    <row r="1799" ht="15.75" hidden="1" customHeight="1">
      <c r="A1799" s="38">
        <v>5380516.0</v>
      </c>
      <c r="B1799" s="39" t="s">
        <v>491</v>
      </c>
      <c r="C1799" s="39" t="s">
        <v>4023</v>
      </c>
      <c r="D1799" s="39" t="s">
        <v>224</v>
      </c>
      <c r="E1799" s="39" t="s">
        <v>573</v>
      </c>
      <c r="F1799" s="39" t="s">
        <v>494</v>
      </c>
      <c r="G1799" s="39" t="s">
        <v>227</v>
      </c>
      <c r="H1799" s="39" t="s">
        <v>4024</v>
      </c>
      <c r="I1799" s="39" t="s">
        <v>260</v>
      </c>
    </row>
    <row r="1800" ht="15.75" hidden="1" customHeight="1">
      <c r="A1800" s="36">
        <v>5382370.0</v>
      </c>
      <c r="B1800" s="37" t="s">
        <v>120</v>
      </c>
      <c r="C1800" s="37" t="s">
        <v>4025</v>
      </c>
      <c r="D1800" s="37" t="s">
        <v>224</v>
      </c>
      <c r="E1800" s="37" t="s">
        <v>868</v>
      </c>
      <c r="F1800" s="37" t="s">
        <v>644</v>
      </c>
      <c r="G1800" s="37" t="s">
        <v>3</v>
      </c>
      <c r="H1800" s="37" t="s">
        <v>4026</v>
      </c>
      <c r="I1800" s="37" t="s">
        <v>260</v>
      </c>
      <c r="J1800" s="1">
        <v>42.0</v>
      </c>
      <c r="L1800" s="40" t="s">
        <v>412</v>
      </c>
    </row>
    <row r="1801" ht="15.75" hidden="1" customHeight="1">
      <c r="A1801" s="38">
        <v>6054295.0</v>
      </c>
      <c r="B1801" s="39" t="s">
        <v>1177</v>
      </c>
      <c r="C1801" s="39" t="s">
        <v>4027</v>
      </c>
      <c r="D1801" s="39" t="s">
        <v>224</v>
      </c>
      <c r="E1801" s="39" t="s">
        <v>524</v>
      </c>
      <c r="F1801" s="39" t="s">
        <v>470</v>
      </c>
      <c r="G1801" s="39" t="s">
        <v>327</v>
      </c>
      <c r="H1801" s="39" t="s">
        <v>4028</v>
      </c>
      <c r="I1801" s="39" t="s">
        <v>229</v>
      </c>
    </row>
    <row r="1802" ht="15.75" hidden="1" customHeight="1">
      <c r="A1802" s="36">
        <v>5382372.0</v>
      </c>
      <c r="B1802" s="37" t="s">
        <v>120</v>
      </c>
      <c r="C1802" s="37" t="s">
        <v>4029</v>
      </c>
      <c r="D1802" s="37" t="s">
        <v>224</v>
      </c>
      <c r="E1802" s="37" t="s">
        <v>868</v>
      </c>
      <c r="F1802" s="37" t="s">
        <v>644</v>
      </c>
      <c r="G1802" s="37" t="s">
        <v>3</v>
      </c>
      <c r="H1802" s="37" t="s">
        <v>4030</v>
      </c>
      <c r="I1802" s="37" t="s">
        <v>260</v>
      </c>
      <c r="J1802" s="1">
        <v>42.0</v>
      </c>
      <c r="L1802" s="40" t="s">
        <v>120</v>
      </c>
    </row>
    <row r="1803" ht="15.75" hidden="1" customHeight="1">
      <c r="A1803" s="38">
        <v>5382373.0</v>
      </c>
      <c r="B1803" s="39" t="s">
        <v>120</v>
      </c>
      <c r="C1803" s="39" t="s">
        <v>4031</v>
      </c>
      <c r="D1803" s="39" t="s">
        <v>224</v>
      </c>
      <c r="E1803" s="39" t="s">
        <v>868</v>
      </c>
      <c r="F1803" s="39" t="s">
        <v>644</v>
      </c>
      <c r="G1803" s="39" t="s">
        <v>3</v>
      </c>
      <c r="H1803" s="39" t="s">
        <v>4032</v>
      </c>
      <c r="I1803" s="39" t="s">
        <v>260</v>
      </c>
      <c r="J1803" s="1">
        <v>42.0</v>
      </c>
      <c r="L1803" s="40" t="s">
        <v>120</v>
      </c>
    </row>
    <row r="1804" ht="15.75" hidden="1" customHeight="1">
      <c r="A1804" s="36">
        <v>5382964.0</v>
      </c>
      <c r="B1804" s="37" t="s">
        <v>738</v>
      </c>
      <c r="C1804" s="37" t="s">
        <v>4033</v>
      </c>
      <c r="D1804" s="37" t="s">
        <v>224</v>
      </c>
      <c r="E1804" s="37" t="s">
        <v>1510</v>
      </c>
      <c r="F1804" s="37" t="s">
        <v>533</v>
      </c>
      <c r="G1804" s="37" t="s">
        <v>250</v>
      </c>
      <c r="H1804" s="37" t="s">
        <v>4034</v>
      </c>
      <c r="I1804" s="37" t="s">
        <v>229</v>
      </c>
    </row>
    <row r="1805" ht="15.75" hidden="1" customHeight="1">
      <c r="A1805" s="38">
        <v>5383065.0</v>
      </c>
      <c r="B1805" s="39" t="s">
        <v>738</v>
      </c>
      <c r="C1805" s="39" t="s">
        <v>4035</v>
      </c>
      <c r="D1805" s="39" t="s">
        <v>224</v>
      </c>
      <c r="E1805" s="39" t="s">
        <v>1458</v>
      </c>
      <c r="F1805" s="39" t="s">
        <v>533</v>
      </c>
      <c r="G1805" s="39" t="s">
        <v>250</v>
      </c>
      <c r="H1805" s="39" t="s">
        <v>4036</v>
      </c>
      <c r="I1805" s="39" t="s">
        <v>229</v>
      </c>
    </row>
    <row r="1806" ht="15.75" hidden="1" customHeight="1">
      <c r="A1806" s="36">
        <v>6054448.0</v>
      </c>
      <c r="B1806" s="37" t="s">
        <v>1177</v>
      </c>
      <c r="C1806" s="37" t="s">
        <v>4037</v>
      </c>
      <c r="D1806" s="37" t="s">
        <v>224</v>
      </c>
      <c r="E1806" s="37" t="s">
        <v>524</v>
      </c>
      <c r="F1806" s="37" t="s">
        <v>470</v>
      </c>
      <c r="G1806" s="37" t="s">
        <v>327</v>
      </c>
      <c r="H1806" s="37" t="s">
        <v>4038</v>
      </c>
      <c r="I1806" s="37" t="s">
        <v>229</v>
      </c>
    </row>
    <row r="1807" ht="15.75" hidden="1" customHeight="1">
      <c r="A1807" s="38">
        <v>5489045.0</v>
      </c>
      <c r="B1807" s="39" t="s">
        <v>1177</v>
      </c>
      <c r="C1807" s="39" t="s">
        <v>4039</v>
      </c>
      <c r="D1807" s="39" t="s">
        <v>224</v>
      </c>
      <c r="E1807" s="39" t="s">
        <v>524</v>
      </c>
      <c r="F1807" s="39" t="s">
        <v>470</v>
      </c>
      <c r="G1807" s="39" t="s">
        <v>327</v>
      </c>
      <c r="H1807" s="39" t="s">
        <v>4040</v>
      </c>
      <c r="I1807" s="39" t="s">
        <v>229</v>
      </c>
    </row>
    <row r="1808" ht="15.75" hidden="1" customHeight="1">
      <c r="A1808" s="36">
        <v>5806824.0</v>
      </c>
      <c r="B1808" s="37" t="s">
        <v>1177</v>
      </c>
      <c r="C1808" s="37" t="s">
        <v>4041</v>
      </c>
      <c r="D1808" s="37" t="s">
        <v>224</v>
      </c>
      <c r="E1808" s="37" t="s">
        <v>524</v>
      </c>
      <c r="F1808" s="37" t="s">
        <v>470</v>
      </c>
      <c r="G1808" s="37" t="s">
        <v>327</v>
      </c>
      <c r="H1808" s="37" t="s">
        <v>4042</v>
      </c>
      <c r="I1808" s="37" t="s">
        <v>229</v>
      </c>
    </row>
    <row r="1809" ht="15.75" hidden="1" customHeight="1">
      <c r="A1809" s="38">
        <v>6050407.0</v>
      </c>
      <c r="B1809" s="39" t="s">
        <v>1177</v>
      </c>
      <c r="C1809" s="39" t="s">
        <v>4043</v>
      </c>
      <c r="D1809" s="39" t="s">
        <v>224</v>
      </c>
      <c r="E1809" s="39" t="s">
        <v>524</v>
      </c>
      <c r="F1809" s="39" t="s">
        <v>470</v>
      </c>
      <c r="G1809" s="39" t="s">
        <v>327</v>
      </c>
      <c r="H1809" s="39" t="s">
        <v>4044</v>
      </c>
      <c r="I1809" s="39" t="s">
        <v>229</v>
      </c>
    </row>
    <row r="1810" ht="15.75" hidden="1" customHeight="1">
      <c r="A1810" s="36">
        <v>6050414.0</v>
      </c>
      <c r="B1810" s="37" t="s">
        <v>1177</v>
      </c>
      <c r="C1810" s="37" t="s">
        <v>4045</v>
      </c>
      <c r="D1810" s="37" t="s">
        <v>224</v>
      </c>
      <c r="E1810" s="37" t="s">
        <v>524</v>
      </c>
      <c r="F1810" s="37" t="s">
        <v>470</v>
      </c>
      <c r="G1810" s="37" t="s">
        <v>327</v>
      </c>
      <c r="H1810" s="37" t="s">
        <v>4046</v>
      </c>
      <c r="I1810" s="37" t="s">
        <v>229</v>
      </c>
    </row>
    <row r="1811" ht="15.75" hidden="1" customHeight="1">
      <c r="A1811" s="38">
        <v>6052474.0</v>
      </c>
      <c r="B1811" s="39" t="s">
        <v>1177</v>
      </c>
      <c r="C1811" s="39" t="s">
        <v>4047</v>
      </c>
      <c r="D1811" s="39" t="s">
        <v>224</v>
      </c>
      <c r="E1811" s="39" t="s">
        <v>524</v>
      </c>
      <c r="F1811" s="39" t="s">
        <v>470</v>
      </c>
      <c r="G1811" s="39" t="s">
        <v>327</v>
      </c>
      <c r="H1811" s="39" t="s">
        <v>4048</v>
      </c>
      <c r="I1811" s="39" t="s">
        <v>229</v>
      </c>
    </row>
    <row r="1812" ht="15.75" hidden="1" customHeight="1">
      <c r="A1812" s="36">
        <v>5389046.0</v>
      </c>
      <c r="B1812" s="37" t="s">
        <v>120</v>
      </c>
      <c r="C1812" s="37" t="s">
        <v>4049</v>
      </c>
      <c r="D1812" s="37" t="s">
        <v>224</v>
      </c>
      <c r="E1812" s="37" t="s">
        <v>868</v>
      </c>
      <c r="F1812" s="37" t="s">
        <v>644</v>
      </c>
      <c r="G1812" s="37" t="s">
        <v>3</v>
      </c>
      <c r="H1812" s="37" t="s">
        <v>4050</v>
      </c>
      <c r="I1812" s="37" t="s">
        <v>260</v>
      </c>
      <c r="J1812" s="1">
        <v>42.0</v>
      </c>
      <c r="L1812" s="40" t="s">
        <v>120</v>
      </c>
    </row>
    <row r="1813" ht="15.75" hidden="1" customHeight="1">
      <c r="A1813" s="38">
        <v>5391920.0</v>
      </c>
      <c r="B1813" s="39" t="s">
        <v>3784</v>
      </c>
      <c r="C1813" s="39" t="s">
        <v>4051</v>
      </c>
      <c r="D1813" s="39" t="s">
        <v>224</v>
      </c>
      <c r="E1813" s="39" t="s">
        <v>573</v>
      </c>
      <c r="F1813" s="39" t="s">
        <v>494</v>
      </c>
      <c r="G1813" s="39" t="s">
        <v>227</v>
      </c>
      <c r="H1813" s="39" t="s">
        <v>4052</v>
      </c>
      <c r="I1813" s="39" t="s">
        <v>260</v>
      </c>
    </row>
    <row r="1814" ht="15.75" hidden="1" customHeight="1">
      <c r="A1814" s="36">
        <v>5646819.0</v>
      </c>
      <c r="B1814" s="37" t="s">
        <v>738</v>
      </c>
      <c r="C1814" s="37" t="s">
        <v>4053</v>
      </c>
      <c r="D1814" s="37" t="s">
        <v>224</v>
      </c>
      <c r="E1814" s="37" t="s">
        <v>532</v>
      </c>
      <c r="F1814" s="37" t="s">
        <v>533</v>
      </c>
      <c r="G1814" s="37" t="s">
        <v>250</v>
      </c>
      <c r="H1814" s="37" t="s">
        <v>4054</v>
      </c>
      <c r="I1814" s="37" t="s">
        <v>229</v>
      </c>
    </row>
    <row r="1815" ht="15.75" hidden="1" customHeight="1">
      <c r="A1815" s="38">
        <v>5391977.0</v>
      </c>
      <c r="B1815" s="39" t="s">
        <v>695</v>
      </c>
      <c r="C1815" s="39" t="s">
        <v>4055</v>
      </c>
      <c r="D1815" s="39" t="s">
        <v>224</v>
      </c>
      <c r="E1815" s="39" t="s">
        <v>1518</v>
      </c>
      <c r="F1815" s="39" t="s">
        <v>698</v>
      </c>
      <c r="G1815" s="39" t="s">
        <v>541</v>
      </c>
      <c r="H1815" s="39" t="s">
        <v>4056</v>
      </c>
      <c r="I1815" s="39" t="s">
        <v>229</v>
      </c>
    </row>
    <row r="1816" ht="15.75" hidden="1" customHeight="1">
      <c r="A1816" s="36">
        <v>5645378.0</v>
      </c>
      <c r="B1816" s="37" t="s">
        <v>738</v>
      </c>
      <c r="C1816" s="37" t="s">
        <v>4057</v>
      </c>
      <c r="D1816" s="37" t="s">
        <v>224</v>
      </c>
      <c r="E1816" s="37" t="s">
        <v>532</v>
      </c>
      <c r="F1816" s="37" t="s">
        <v>533</v>
      </c>
      <c r="G1816" s="37" t="s">
        <v>250</v>
      </c>
      <c r="H1816" s="37" t="s">
        <v>4058</v>
      </c>
      <c r="I1816" s="37" t="s">
        <v>229</v>
      </c>
    </row>
    <row r="1817" ht="15.75" hidden="1" customHeight="1">
      <c r="A1817" s="38">
        <v>5393626.0</v>
      </c>
      <c r="B1817" s="39" t="s">
        <v>695</v>
      </c>
      <c r="C1817" s="39" t="s">
        <v>4059</v>
      </c>
      <c r="D1817" s="39" t="s">
        <v>224</v>
      </c>
      <c r="E1817" s="39" t="s">
        <v>1518</v>
      </c>
      <c r="F1817" s="39" t="s">
        <v>698</v>
      </c>
      <c r="G1817" s="39" t="s">
        <v>541</v>
      </c>
      <c r="H1817" s="39" t="s">
        <v>4060</v>
      </c>
      <c r="I1817" s="39" t="s">
        <v>229</v>
      </c>
    </row>
    <row r="1818" ht="15.75" hidden="1" customHeight="1">
      <c r="A1818" s="36">
        <v>5813406.0</v>
      </c>
      <c r="B1818" s="37" t="s">
        <v>738</v>
      </c>
      <c r="C1818" s="37" t="s">
        <v>4061</v>
      </c>
      <c r="D1818" s="37" t="s">
        <v>224</v>
      </c>
      <c r="E1818" s="37" t="s">
        <v>532</v>
      </c>
      <c r="F1818" s="37" t="s">
        <v>533</v>
      </c>
      <c r="G1818" s="37" t="s">
        <v>250</v>
      </c>
      <c r="H1818" s="37" t="s">
        <v>4062</v>
      </c>
      <c r="I1818" s="37" t="s">
        <v>229</v>
      </c>
    </row>
    <row r="1819" ht="15.75" hidden="1" customHeight="1">
      <c r="A1819" s="38">
        <v>5393628.0</v>
      </c>
      <c r="B1819" s="39" t="s">
        <v>695</v>
      </c>
      <c r="C1819" s="39" t="s">
        <v>4063</v>
      </c>
      <c r="D1819" s="39" t="s">
        <v>224</v>
      </c>
      <c r="E1819" s="39" t="s">
        <v>697</v>
      </c>
      <c r="F1819" s="39" t="s">
        <v>698</v>
      </c>
      <c r="G1819" s="39" t="s">
        <v>541</v>
      </c>
      <c r="H1819" s="39" t="s">
        <v>4064</v>
      </c>
      <c r="I1819" s="39" t="s">
        <v>229</v>
      </c>
    </row>
    <row r="1820" ht="15.75" hidden="1" customHeight="1">
      <c r="A1820" s="36">
        <v>5853953.0</v>
      </c>
      <c r="B1820" s="37" t="s">
        <v>738</v>
      </c>
      <c r="C1820" s="37" t="s">
        <v>4065</v>
      </c>
      <c r="D1820" s="37" t="s">
        <v>224</v>
      </c>
      <c r="E1820" s="37" t="s">
        <v>532</v>
      </c>
      <c r="F1820" s="37" t="s">
        <v>533</v>
      </c>
      <c r="G1820" s="37" t="s">
        <v>250</v>
      </c>
      <c r="H1820" s="37" t="s">
        <v>4066</v>
      </c>
      <c r="I1820" s="37" t="s">
        <v>229</v>
      </c>
    </row>
    <row r="1821" ht="15.75" hidden="1" customHeight="1">
      <c r="A1821" s="38">
        <v>5395849.0</v>
      </c>
      <c r="B1821" s="39" t="s">
        <v>695</v>
      </c>
      <c r="C1821" s="39" t="s">
        <v>4067</v>
      </c>
      <c r="D1821" s="39" t="s">
        <v>224</v>
      </c>
      <c r="E1821" s="39" t="s">
        <v>1518</v>
      </c>
      <c r="F1821" s="39" t="s">
        <v>698</v>
      </c>
      <c r="G1821" s="39" t="s">
        <v>541</v>
      </c>
      <c r="H1821" s="39" t="s">
        <v>4068</v>
      </c>
      <c r="I1821" s="39" t="s">
        <v>229</v>
      </c>
    </row>
    <row r="1822" ht="15.75" hidden="1" customHeight="1">
      <c r="A1822" s="36">
        <v>6079039.0</v>
      </c>
      <c r="B1822" s="37" t="s">
        <v>1348</v>
      </c>
      <c r="C1822" s="37" t="s">
        <v>4069</v>
      </c>
      <c r="D1822" s="37" t="s">
        <v>224</v>
      </c>
      <c r="E1822" s="37" t="s">
        <v>4070</v>
      </c>
      <c r="F1822" s="37" t="s">
        <v>3641</v>
      </c>
      <c r="G1822" s="37" t="s">
        <v>3456</v>
      </c>
      <c r="H1822" s="37" t="s">
        <v>4071</v>
      </c>
      <c r="I1822" s="37" t="s">
        <v>229</v>
      </c>
    </row>
    <row r="1823" ht="15.75" hidden="1" customHeight="1">
      <c r="A1823" s="38">
        <v>5395882.0</v>
      </c>
      <c r="B1823" s="39" t="s">
        <v>695</v>
      </c>
      <c r="C1823" s="39" t="s">
        <v>4072</v>
      </c>
      <c r="D1823" s="39" t="s">
        <v>224</v>
      </c>
      <c r="E1823" s="39" t="s">
        <v>1697</v>
      </c>
      <c r="F1823" s="39" t="s">
        <v>698</v>
      </c>
      <c r="G1823" s="39" t="s">
        <v>541</v>
      </c>
      <c r="H1823" s="39" t="s">
        <v>4073</v>
      </c>
      <c r="I1823" s="39" t="s">
        <v>229</v>
      </c>
    </row>
    <row r="1824" ht="15.75" hidden="1" customHeight="1">
      <c r="A1824" s="36">
        <v>6077304.0</v>
      </c>
      <c r="B1824" s="37" t="s">
        <v>1348</v>
      </c>
      <c r="C1824" s="37" t="s">
        <v>4074</v>
      </c>
      <c r="D1824" s="37" t="s">
        <v>224</v>
      </c>
      <c r="E1824" s="37" t="s">
        <v>4070</v>
      </c>
      <c r="F1824" s="37" t="s">
        <v>3641</v>
      </c>
      <c r="G1824" s="37" t="s">
        <v>3456</v>
      </c>
      <c r="H1824" s="37" t="s">
        <v>4075</v>
      </c>
      <c r="I1824" s="37" t="s">
        <v>229</v>
      </c>
    </row>
    <row r="1825" ht="15.75" hidden="1" customHeight="1">
      <c r="A1825" s="38">
        <v>5395916.0</v>
      </c>
      <c r="B1825" s="39" t="s">
        <v>1746</v>
      </c>
      <c r="C1825" s="39" t="s">
        <v>4076</v>
      </c>
      <c r="D1825" s="39" t="s">
        <v>234</v>
      </c>
      <c r="E1825" s="39" t="s">
        <v>697</v>
      </c>
      <c r="F1825" s="39" t="s">
        <v>698</v>
      </c>
      <c r="G1825" s="39" t="s">
        <v>541</v>
      </c>
      <c r="H1825" s="39" t="s">
        <v>4077</v>
      </c>
      <c r="I1825" s="39" t="s">
        <v>229</v>
      </c>
    </row>
    <row r="1826" ht="15.75" hidden="1" customHeight="1">
      <c r="A1826" s="36">
        <v>6077301.0</v>
      </c>
      <c r="B1826" s="37" t="s">
        <v>1348</v>
      </c>
      <c r="C1826" s="37" t="s">
        <v>4078</v>
      </c>
      <c r="D1826" s="37" t="s">
        <v>224</v>
      </c>
      <c r="E1826" s="37" t="s">
        <v>4070</v>
      </c>
      <c r="F1826" s="37" t="s">
        <v>3641</v>
      </c>
      <c r="G1826" s="37" t="s">
        <v>3456</v>
      </c>
      <c r="H1826" s="37" t="s">
        <v>4079</v>
      </c>
      <c r="I1826" s="37" t="s">
        <v>229</v>
      </c>
    </row>
    <row r="1827" ht="15.75" hidden="1" customHeight="1">
      <c r="A1827" s="38">
        <v>5397488.0</v>
      </c>
      <c r="B1827" s="39" t="s">
        <v>695</v>
      </c>
      <c r="C1827" s="39" t="s">
        <v>4080</v>
      </c>
      <c r="D1827" s="39" t="s">
        <v>224</v>
      </c>
      <c r="E1827" s="39" t="s">
        <v>1714</v>
      </c>
      <c r="F1827" s="39" t="s">
        <v>698</v>
      </c>
      <c r="G1827" s="39" t="s">
        <v>541</v>
      </c>
      <c r="H1827" s="39" t="s">
        <v>4081</v>
      </c>
      <c r="I1827" s="39" t="s">
        <v>229</v>
      </c>
    </row>
    <row r="1828" ht="15.75" hidden="1" customHeight="1">
      <c r="A1828" s="36">
        <v>6079048.0</v>
      </c>
      <c r="B1828" s="37" t="s">
        <v>1348</v>
      </c>
      <c r="C1828" s="37" t="s">
        <v>4082</v>
      </c>
      <c r="D1828" s="37" t="s">
        <v>224</v>
      </c>
      <c r="E1828" s="37" t="s">
        <v>4070</v>
      </c>
      <c r="F1828" s="37" t="s">
        <v>3641</v>
      </c>
      <c r="G1828" s="37" t="s">
        <v>3456</v>
      </c>
      <c r="H1828" s="37" t="s">
        <v>4083</v>
      </c>
      <c r="I1828" s="37" t="s">
        <v>229</v>
      </c>
    </row>
    <row r="1829" ht="15.75" hidden="1" customHeight="1">
      <c r="A1829" s="38">
        <v>5397864.0</v>
      </c>
      <c r="B1829" s="39" t="s">
        <v>1676</v>
      </c>
      <c r="C1829" s="39" t="s">
        <v>4084</v>
      </c>
      <c r="D1829" s="39" t="s">
        <v>224</v>
      </c>
      <c r="E1829" s="39" t="s">
        <v>2522</v>
      </c>
      <c r="F1829" s="39" t="s">
        <v>421</v>
      </c>
      <c r="G1829" s="39" t="s">
        <v>227</v>
      </c>
      <c r="H1829" s="39" t="s">
        <v>4085</v>
      </c>
      <c r="I1829" s="39" t="s">
        <v>260</v>
      </c>
    </row>
    <row r="1830" ht="15.75" hidden="1" customHeight="1">
      <c r="A1830" s="36">
        <v>5498639.0</v>
      </c>
      <c r="B1830" s="37" t="s">
        <v>537</v>
      </c>
      <c r="C1830" s="37" t="s">
        <v>4086</v>
      </c>
      <c r="D1830" s="37" t="s">
        <v>234</v>
      </c>
      <c r="E1830" s="37" t="s">
        <v>539</v>
      </c>
      <c r="F1830" s="37" t="s">
        <v>540</v>
      </c>
      <c r="G1830" s="37" t="s">
        <v>541</v>
      </c>
      <c r="H1830" s="37" t="s">
        <v>4087</v>
      </c>
      <c r="I1830" s="37" t="s">
        <v>229</v>
      </c>
    </row>
    <row r="1831" ht="15.75" hidden="1" customHeight="1">
      <c r="A1831" s="38">
        <v>4943052.0</v>
      </c>
      <c r="B1831" s="39" t="s">
        <v>537</v>
      </c>
      <c r="C1831" s="39" t="s">
        <v>4088</v>
      </c>
      <c r="D1831" s="39" t="s">
        <v>224</v>
      </c>
      <c r="E1831" s="39" t="s">
        <v>539</v>
      </c>
      <c r="F1831" s="39" t="s">
        <v>540</v>
      </c>
      <c r="G1831" s="39" t="s">
        <v>541</v>
      </c>
      <c r="H1831" s="39" t="s">
        <v>4089</v>
      </c>
      <c r="I1831" s="39" t="s">
        <v>229</v>
      </c>
    </row>
    <row r="1832" ht="15.75" hidden="1" customHeight="1">
      <c r="A1832" s="36">
        <v>5407100.0</v>
      </c>
      <c r="B1832" s="37" t="s">
        <v>416</v>
      </c>
      <c r="C1832" s="37" t="s">
        <v>4090</v>
      </c>
      <c r="D1832" s="37" t="s">
        <v>224</v>
      </c>
      <c r="E1832" s="37" t="s">
        <v>2307</v>
      </c>
      <c r="F1832" s="37" t="s">
        <v>421</v>
      </c>
      <c r="G1832" s="37" t="s">
        <v>227</v>
      </c>
      <c r="H1832" s="37" t="s">
        <v>4091</v>
      </c>
      <c r="I1832" s="37" t="s">
        <v>260</v>
      </c>
    </row>
    <row r="1833" ht="15.75" hidden="1" customHeight="1">
      <c r="A1833" s="38">
        <v>5507004.0</v>
      </c>
      <c r="B1833" s="39" t="s">
        <v>3225</v>
      </c>
      <c r="C1833" s="39" t="s">
        <v>4092</v>
      </c>
      <c r="D1833" s="39" t="s">
        <v>224</v>
      </c>
      <c r="E1833" s="39" t="s">
        <v>539</v>
      </c>
      <c r="F1833" s="39" t="s">
        <v>540</v>
      </c>
      <c r="G1833" s="39" t="s">
        <v>541</v>
      </c>
      <c r="H1833" s="39" t="s">
        <v>4093</v>
      </c>
      <c r="I1833" s="39" t="s">
        <v>229</v>
      </c>
    </row>
    <row r="1834" ht="15.75" hidden="1" customHeight="1">
      <c r="A1834" s="36">
        <v>5410422.0</v>
      </c>
      <c r="B1834" s="37" t="s">
        <v>1695</v>
      </c>
      <c r="C1834" s="37" t="s">
        <v>4094</v>
      </c>
      <c r="D1834" s="37" t="s">
        <v>224</v>
      </c>
      <c r="E1834" s="37" t="s">
        <v>697</v>
      </c>
      <c r="F1834" s="37" t="s">
        <v>698</v>
      </c>
      <c r="G1834" s="37" t="s">
        <v>541</v>
      </c>
      <c r="H1834" s="37" t="s">
        <v>4095</v>
      </c>
      <c r="I1834" s="37" t="s">
        <v>229</v>
      </c>
    </row>
    <row r="1835" ht="15.75" hidden="1" customHeight="1">
      <c r="A1835" s="38">
        <v>6076204.0</v>
      </c>
      <c r="B1835" s="39" t="s">
        <v>537</v>
      </c>
      <c r="C1835" s="39" t="s">
        <v>4096</v>
      </c>
      <c r="D1835" s="39" t="s">
        <v>224</v>
      </c>
      <c r="E1835" s="39" t="s">
        <v>539</v>
      </c>
      <c r="F1835" s="39" t="s">
        <v>540</v>
      </c>
      <c r="G1835" s="39" t="s">
        <v>541</v>
      </c>
      <c r="H1835" s="39" t="s">
        <v>4097</v>
      </c>
      <c r="I1835" s="39" t="s">
        <v>229</v>
      </c>
    </row>
    <row r="1836" ht="15.75" hidden="1" customHeight="1">
      <c r="A1836" s="36">
        <v>5415501.0</v>
      </c>
      <c r="B1836" s="37" t="s">
        <v>835</v>
      </c>
      <c r="C1836" s="37" t="s">
        <v>4098</v>
      </c>
      <c r="D1836" s="37" t="s">
        <v>224</v>
      </c>
      <c r="E1836" s="37" t="s">
        <v>837</v>
      </c>
      <c r="F1836" s="37" t="s">
        <v>377</v>
      </c>
      <c r="G1836" s="37" t="s">
        <v>327</v>
      </c>
      <c r="H1836" s="37" t="s">
        <v>4099</v>
      </c>
      <c r="I1836" s="37" t="s">
        <v>229</v>
      </c>
    </row>
    <row r="1837" ht="15.75" hidden="1" customHeight="1">
      <c r="A1837" s="38">
        <v>5415627.0</v>
      </c>
      <c r="B1837" s="39" t="s">
        <v>331</v>
      </c>
      <c r="C1837" s="39" t="s">
        <v>4100</v>
      </c>
      <c r="D1837" s="39" t="s">
        <v>331</v>
      </c>
      <c r="E1837" s="39" t="s">
        <v>4101</v>
      </c>
      <c r="F1837" s="39" t="s">
        <v>4102</v>
      </c>
      <c r="G1837" s="39" t="s">
        <v>4103</v>
      </c>
      <c r="H1837" s="39" t="s">
        <v>4104</v>
      </c>
      <c r="I1837" s="39" t="s">
        <v>260</v>
      </c>
    </row>
    <row r="1838" ht="15.75" hidden="1" customHeight="1">
      <c r="A1838" s="36">
        <v>5426153.0</v>
      </c>
      <c r="B1838" s="37" t="s">
        <v>847</v>
      </c>
      <c r="C1838" s="37" t="s">
        <v>4105</v>
      </c>
      <c r="D1838" s="37" t="s">
        <v>224</v>
      </c>
      <c r="E1838" s="37" t="s">
        <v>1418</v>
      </c>
      <c r="F1838" s="37" t="s">
        <v>333</v>
      </c>
      <c r="G1838" s="37" t="s">
        <v>301</v>
      </c>
      <c r="H1838" s="37" t="s">
        <v>4106</v>
      </c>
      <c r="I1838" s="37" t="s">
        <v>229</v>
      </c>
    </row>
    <row r="1839" ht="15.75" hidden="1" customHeight="1">
      <c r="A1839" s="38">
        <v>5506177.0</v>
      </c>
      <c r="B1839" s="39" t="s">
        <v>3225</v>
      </c>
      <c r="C1839" s="39" t="s">
        <v>4107</v>
      </c>
      <c r="D1839" s="39" t="s">
        <v>224</v>
      </c>
      <c r="E1839" s="39" t="s">
        <v>539</v>
      </c>
      <c r="F1839" s="39" t="s">
        <v>540</v>
      </c>
      <c r="G1839" s="39" t="s">
        <v>541</v>
      </c>
      <c r="H1839" s="39" t="s">
        <v>4108</v>
      </c>
      <c r="I1839" s="39" t="s">
        <v>229</v>
      </c>
    </row>
    <row r="1840" ht="15.75" hidden="1" customHeight="1">
      <c r="A1840" s="36">
        <v>5426209.0</v>
      </c>
      <c r="B1840" s="37" t="s">
        <v>425</v>
      </c>
      <c r="C1840" s="37" t="s">
        <v>4109</v>
      </c>
      <c r="D1840" s="37" t="s">
        <v>224</v>
      </c>
      <c r="E1840" s="37" t="s">
        <v>1391</v>
      </c>
      <c r="F1840" s="37" t="s">
        <v>312</v>
      </c>
      <c r="G1840" s="37" t="s">
        <v>3</v>
      </c>
      <c r="H1840" s="37" t="s">
        <v>4110</v>
      </c>
      <c r="I1840" s="37" t="s">
        <v>260</v>
      </c>
    </row>
    <row r="1841" ht="15.75" hidden="1" customHeight="1">
      <c r="A1841" s="38">
        <v>5503865.0</v>
      </c>
      <c r="B1841" s="39" t="s">
        <v>3225</v>
      </c>
      <c r="C1841" s="39" t="s">
        <v>4111</v>
      </c>
      <c r="D1841" s="39" t="s">
        <v>234</v>
      </c>
      <c r="E1841" s="39" t="s">
        <v>539</v>
      </c>
      <c r="F1841" s="39" t="s">
        <v>540</v>
      </c>
      <c r="G1841" s="39" t="s">
        <v>541</v>
      </c>
      <c r="H1841" s="39" t="s">
        <v>4112</v>
      </c>
      <c r="I1841" s="39" t="s">
        <v>229</v>
      </c>
    </row>
    <row r="1842" ht="15.75" hidden="1" customHeight="1">
      <c r="A1842" s="36">
        <v>5863758.0</v>
      </c>
      <c r="B1842" s="37" t="s">
        <v>3225</v>
      </c>
      <c r="C1842" s="37" t="s">
        <v>4113</v>
      </c>
      <c r="D1842" s="37" t="s">
        <v>224</v>
      </c>
      <c r="E1842" s="37" t="s">
        <v>539</v>
      </c>
      <c r="F1842" s="37" t="s">
        <v>540</v>
      </c>
      <c r="G1842" s="37" t="s">
        <v>541</v>
      </c>
      <c r="H1842" s="37" t="s">
        <v>4114</v>
      </c>
      <c r="I1842" s="37" t="s">
        <v>229</v>
      </c>
    </row>
    <row r="1843" ht="15.75" hidden="1" customHeight="1">
      <c r="A1843" s="38">
        <v>5433886.0</v>
      </c>
      <c r="B1843" s="39" t="s">
        <v>695</v>
      </c>
      <c r="C1843" s="39" t="s">
        <v>4115</v>
      </c>
      <c r="D1843" s="39" t="s">
        <v>224</v>
      </c>
      <c r="E1843" s="39" t="s">
        <v>1714</v>
      </c>
      <c r="F1843" s="39" t="s">
        <v>698</v>
      </c>
      <c r="G1843" s="39" t="s">
        <v>541</v>
      </c>
      <c r="H1843" s="39" t="s">
        <v>4116</v>
      </c>
      <c r="I1843" s="39" t="s">
        <v>229</v>
      </c>
    </row>
    <row r="1844" ht="15.75" hidden="1" customHeight="1">
      <c r="A1844" s="36">
        <v>5503631.0</v>
      </c>
      <c r="B1844" s="37" t="s">
        <v>3225</v>
      </c>
      <c r="C1844" s="37" t="s">
        <v>4117</v>
      </c>
      <c r="D1844" s="37" t="s">
        <v>224</v>
      </c>
      <c r="E1844" s="37" t="s">
        <v>539</v>
      </c>
      <c r="F1844" s="37" t="s">
        <v>540</v>
      </c>
      <c r="G1844" s="37" t="s">
        <v>541</v>
      </c>
      <c r="H1844" s="37" t="s">
        <v>4118</v>
      </c>
      <c r="I1844" s="37" t="s">
        <v>229</v>
      </c>
    </row>
    <row r="1845" ht="15.75" hidden="1" customHeight="1">
      <c r="A1845" s="38">
        <v>5434708.0</v>
      </c>
      <c r="B1845" s="39" t="s">
        <v>4119</v>
      </c>
      <c r="C1845" s="39" t="s">
        <v>4120</v>
      </c>
      <c r="D1845" s="39" t="s">
        <v>224</v>
      </c>
      <c r="E1845" s="39" t="s">
        <v>875</v>
      </c>
      <c r="F1845" s="39" t="s">
        <v>312</v>
      </c>
      <c r="G1845" s="39" t="s">
        <v>258</v>
      </c>
      <c r="H1845" s="39" t="s">
        <v>4121</v>
      </c>
      <c r="I1845" s="39" t="s">
        <v>260</v>
      </c>
    </row>
    <row r="1846" ht="15.75" hidden="1" customHeight="1">
      <c r="A1846" s="36">
        <v>5506047.0</v>
      </c>
      <c r="B1846" s="37" t="s">
        <v>3225</v>
      </c>
      <c r="C1846" s="37" t="s">
        <v>4122</v>
      </c>
      <c r="D1846" s="37" t="s">
        <v>224</v>
      </c>
      <c r="E1846" s="37" t="s">
        <v>539</v>
      </c>
      <c r="F1846" s="37" t="s">
        <v>540</v>
      </c>
      <c r="G1846" s="37" t="s">
        <v>541</v>
      </c>
      <c r="H1846" s="37" t="s">
        <v>4123</v>
      </c>
      <c r="I1846" s="37" t="s">
        <v>229</v>
      </c>
    </row>
    <row r="1847" ht="15.75" hidden="1" customHeight="1">
      <c r="A1847" s="38">
        <v>5434856.0</v>
      </c>
      <c r="B1847" s="39" t="s">
        <v>491</v>
      </c>
      <c r="C1847" s="39" t="s">
        <v>4124</v>
      </c>
      <c r="D1847" s="39" t="s">
        <v>224</v>
      </c>
      <c r="E1847" s="39" t="s">
        <v>573</v>
      </c>
      <c r="F1847" s="39" t="s">
        <v>494</v>
      </c>
      <c r="G1847" s="39" t="s">
        <v>227</v>
      </c>
      <c r="H1847" s="39" t="s">
        <v>4125</v>
      </c>
      <c r="I1847" s="39" t="s">
        <v>260</v>
      </c>
    </row>
    <row r="1848" ht="15.75" hidden="1" customHeight="1">
      <c r="A1848" s="36">
        <v>5748572.0</v>
      </c>
      <c r="B1848" s="37" t="s">
        <v>3225</v>
      </c>
      <c r="C1848" s="37" t="s">
        <v>4126</v>
      </c>
      <c r="D1848" s="37" t="s">
        <v>224</v>
      </c>
      <c r="E1848" s="37" t="s">
        <v>539</v>
      </c>
      <c r="F1848" s="37" t="s">
        <v>540</v>
      </c>
      <c r="G1848" s="37" t="s">
        <v>541</v>
      </c>
      <c r="H1848" s="37" t="s">
        <v>4127</v>
      </c>
      <c r="I1848" s="37" t="s">
        <v>229</v>
      </c>
    </row>
    <row r="1849" ht="15.75" hidden="1" customHeight="1">
      <c r="A1849" s="38">
        <v>5434880.0</v>
      </c>
      <c r="B1849" s="39" t="s">
        <v>331</v>
      </c>
      <c r="C1849" s="39" t="s">
        <v>4128</v>
      </c>
      <c r="D1849" s="39" t="s">
        <v>331</v>
      </c>
      <c r="E1849" s="39" t="s">
        <v>573</v>
      </c>
      <c r="F1849" s="39" t="s">
        <v>494</v>
      </c>
      <c r="G1849" s="39" t="s">
        <v>227</v>
      </c>
      <c r="H1849" s="39" t="s">
        <v>4129</v>
      </c>
      <c r="I1849" s="39" t="s">
        <v>260</v>
      </c>
    </row>
    <row r="1850" ht="15.75" hidden="1" customHeight="1">
      <c r="A1850" s="36">
        <v>6029788.0</v>
      </c>
      <c r="B1850" s="37" t="s">
        <v>537</v>
      </c>
      <c r="C1850" s="37" t="s">
        <v>4130</v>
      </c>
      <c r="D1850" s="37" t="s">
        <v>224</v>
      </c>
      <c r="E1850" s="37" t="s">
        <v>539</v>
      </c>
      <c r="F1850" s="37" t="s">
        <v>540</v>
      </c>
      <c r="G1850" s="37" t="s">
        <v>541</v>
      </c>
      <c r="H1850" s="37" t="s">
        <v>4131</v>
      </c>
      <c r="I1850" s="37" t="s">
        <v>229</v>
      </c>
    </row>
    <row r="1851" ht="15.75" hidden="1" customHeight="1">
      <c r="A1851" s="38">
        <v>5434892.0</v>
      </c>
      <c r="B1851" s="39" t="s">
        <v>121</v>
      </c>
      <c r="C1851" s="39" t="s">
        <v>4132</v>
      </c>
      <c r="D1851" s="39" t="s">
        <v>224</v>
      </c>
      <c r="E1851" s="39" t="s">
        <v>643</v>
      </c>
      <c r="F1851" s="39" t="s">
        <v>644</v>
      </c>
      <c r="G1851" s="39" t="s">
        <v>3</v>
      </c>
      <c r="H1851" s="39" t="s">
        <v>4133</v>
      </c>
      <c r="I1851" s="39" t="s">
        <v>260</v>
      </c>
      <c r="J1851" s="1">
        <v>42.0</v>
      </c>
      <c r="L1851" s="40" t="s">
        <v>120</v>
      </c>
    </row>
    <row r="1852" ht="15.75" hidden="1" customHeight="1">
      <c r="A1852" s="36">
        <v>6076166.0</v>
      </c>
      <c r="B1852" s="37" t="s">
        <v>3225</v>
      </c>
      <c r="C1852" s="37" t="s">
        <v>4134</v>
      </c>
      <c r="D1852" s="37" t="s">
        <v>224</v>
      </c>
      <c r="E1852" s="37" t="s">
        <v>539</v>
      </c>
      <c r="F1852" s="37" t="s">
        <v>540</v>
      </c>
      <c r="G1852" s="37" t="s">
        <v>541</v>
      </c>
      <c r="H1852" s="37" t="s">
        <v>4135</v>
      </c>
      <c r="I1852" s="37" t="s">
        <v>229</v>
      </c>
    </row>
    <row r="1853" ht="15.75" hidden="1" customHeight="1">
      <c r="A1853" s="38">
        <v>5436051.0</v>
      </c>
      <c r="B1853" s="39" t="s">
        <v>506</v>
      </c>
      <c r="C1853" s="39" t="s">
        <v>4136</v>
      </c>
      <c r="D1853" s="39" t="s">
        <v>224</v>
      </c>
      <c r="E1853" s="39" t="s">
        <v>831</v>
      </c>
      <c r="F1853" s="39" t="s">
        <v>284</v>
      </c>
      <c r="G1853" s="39" t="s">
        <v>3</v>
      </c>
      <c r="H1853" s="39" t="s">
        <v>4137</v>
      </c>
      <c r="I1853" s="39" t="s">
        <v>260</v>
      </c>
      <c r="J1853" s="1">
        <v>42.0</v>
      </c>
      <c r="L1853" s="40" t="s">
        <v>121</v>
      </c>
    </row>
    <row r="1854" ht="15.75" hidden="1" customHeight="1">
      <c r="A1854" s="36">
        <v>5436063.0</v>
      </c>
      <c r="B1854" s="37" t="s">
        <v>506</v>
      </c>
      <c r="C1854" s="37" t="s">
        <v>4138</v>
      </c>
      <c r="D1854" s="37" t="s">
        <v>224</v>
      </c>
      <c r="E1854" s="37" t="s">
        <v>831</v>
      </c>
      <c r="F1854" s="37" t="s">
        <v>284</v>
      </c>
      <c r="G1854" s="37" t="s">
        <v>3</v>
      </c>
      <c r="H1854" s="37" t="s">
        <v>4139</v>
      </c>
      <c r="I1854" s="37" t="s">
        <v>260</v>
      </c>
      <c r="J1854" s="1">
        <v>42.0</v>
      </c>
      <c r="L1854" s="40" t="s">
        <v>506</v>
      </c>
    </row>
    <row r="1855" ht="15.75" hidden="1" customHeight="1">
      <c r="A1855" s="38">
        <v>5874103.0</v>
      </c>
      <c r="B1855" s="39" t="s">
        <v>412</v>
      </c>
      <c r="C1855" s="39" t="s">
        <v>4140</v>
      </c>
      <c r="D1855" s="39" t="s">
        <v>224</v>
      </c>
      <c r="E1855" s="39" t="s">
        <v>831</v>
      </c>
      <c r="F1855" s="39" t="s">
        <v>3</v>
      </c>
      <c r="G1855" s="39" t="s">
        <v>3</v>
      </c>
      <c r="H1855" s="39" t="s">
        <v>4141</v>
      </c>
      <c r="I1855" s="39" t="s">
        <v>260</v>
      </c>
      <c r="J1855" s="1">
        <v>42.0</v>
      </c>
      <c r="L1855" s="40" t="s">
        <v>506</v>
      </c>
    </row>
    <row r="1856" ht="15.75" hidden="1" customHeight="1">
      <c r="A1856" s="36">
        <v>5437223.0</v>
      </c>
      <c r="B1856" s="37" t="s">
        <v>2285</v>
      </c>
      <c r="C1856" s="37" t="s">
        <v>4142</v>
      </c>
      <c r="D1856" s="37" t="s">
        <v>224</v>
      </c>
      <c r="E1856" s="37" t="s">
        <v>1604</v>
      </c>
      <c r="F1856" s="37" t="s">
        <v>540</v>
      </c>
      <c r="G1856" s="37" t="s">
        <v>541</v>
      </c>
      <c r="H1856" s="37" t="s">
        <v>4143</v>
      </c>
      <c r="I1856" s="37" t="s">
        <v>229</v>
      </c>
    </row>
    <row r="1857" ht="15.75" hidden="1" customHeight="1">
      <c r="A1857" s="38">
        <v>5437224.0</v>
      </c>
      <c r="B1857" s="39" t="s">
        <v>120</v>
      </c>
      <c r="C1857" s="39" t="s">
        <v>4144</v>
      </c>
      <c r="D1857" s="39" t="s">
        <v>224</v>
      </c>
      <c r="E1857" s="39" t="s">
        <v>868</v>
      </c>
      <c r="F1857" s="39" t="s">
        <v>644</v>
      </c>
      <c r="G1857" s="39" t="s">
        <v>3</v>
      </c>
      <c r="H1857" s="39" t="s">
        <v>4145</v>
      </c>
      <c r="I1857" s="39" t="s">
        <v>260</v>
      </c>
      <c r="J1857" s="1">
        <v>42.0</v>
      </c>
      <c r="L1857" s="40" t="s">
        <v>412</v>
      </c>
    </row>
    <row r="1858" ht="15.75" hidden="1" customHeight="1">
      <c r="A1858" s="36">
        <v>5437228.0</v>
      </c>
      <c r="B1858" s="37" t="s">
        <v>2069</v>
      </c>
      <c r="C1858" s="37" t="s">
        <v>4146</v>
      </c>
      <c r="D1858" s="37" t="s">
        <v>234</v>
      </c>
      <c r="E1858" s="37" t="s">
        <v>1934</v>
      </c>
      <c r="F1858" s="37" t="s">
        <v>300</v>
      </c>
      <c r="G1858" s="37" t="s">
        <v>301</v>
      </c>
      <c r="H1858" s="37" t="s">
        <v>4147</v>
      </c>
      <c r="I1858" s="37" t="s">
        <v>229</v>
      </c>
    </row>
    <row r="1859" ht="15.75" hidden="1" customHeight="1">
      <c r="A1859" s="38">
        <v>5438542.0</v>
      </c>
      <c r="B1859" s="39" t="s">
        <v>361</v>
      </c>
      <c r="C1859" s="39" t="s">
        <v>4148</v>
      </c>
      <c r="D1859" s="39" t="s">
        <v>269</v>
      </c>
      <c r="E1859" s="39" t="s">
        <v>875</v>
      </c>
      <c r="F1859" s="39" t="s">
        <v>312</v>
      </c>
      <c r="G1859" s="39" t="s">
        <v>258</v>
      </c>
      <c r="H1859" s="39" t="s">
        <v>4149</v>
      </c>
      <c r="I1859" s="39" t="s">
        <v>260</v>
      </c>
    </row>
    <row r="1860" ht="15.75" hidden="1" customHeight="1">
      <c r="A1860" s="36">
        <v>5495273.0</v>
      </c>
      <c r="B1860" s="37" t="s">
        <v>506</v>
      </c>
      <c r="C1860" s="37" t="s">
        <v>4150</v>
      </c>
      <c r="D1860" s="37" t="s">
        <v>224</v>
      </c>
      <c r="E1860" s="37" t="s">
        <v>831</v>
      </c>
      <c r="F1860" s="37" t="s">
        <v>284</v>
      </c>
      <c r="G1860" s="37" t="s">
        <v>3</v>
      </c>
      <c r="H1860" s="37" t="s">
        <v>4151</v>
      </c>
      <c r="I1860" s="37" t="s">
        <v>260</v>
      </c>
      <c r="J1860" s="1">
        <v>42.0</v>
      </c>
      <c r="L1860" s="40" t="s">
        <v>120</v>
      </c>
    </row>
    <row r="1861" ht="15.75" hidden="1" customHeight="1">
      <c r="A1861" s="38">
        <v>5438569.0</v>
      </c>
      <c r="B1861" s="39" t="s">
        <v>361</v>
      </c>
      <c r="C1861" s="39" t="s">
        <v>4152</v>
      </c>
      <c r="D1861" s="39" t="s">
        <v>224</v>
      </c>
      <c r="E1861" s="39" t="s">
        <v>563</v>
      </c>
      <c r="F1861" s="39" t="s">
        <v>312</v>
      </c>
      <c r="G1861" s="39" t="s">
        <v>258</v>
      </c>
      <c r="H1861" s="39" t="s">
        <v>4153</v>
      </c>
      <c r="I1861" s="39" t="s">
        <v>260</v>
      </c>
    </row>
    <row r="1862" ht="15.75" hidden="1" customHeight="1">
      <c r="A1862" s="36">
        <v>5438578.0</v>
      </c>
      <c r="B1862" s="37" t="s">
        <v>835</v>
      </c>
      <c r="C1862" s="37" t="s">
        <v>4154</v>
      </c>
      <c r="D1862" s="37" t="s">
        <v>224</v>
      </c>
      <c r="E1862" s="37" t="s">
        <v>837</v>
      </c>
      <c r="F1862" s="37" t="s">
        <v>377</v>
      </c>
      <c r="G1862" s="37" t="s">
        <v>327</v>
      </c>
      <c r="H1862" s="37" t="s">
        <v>4155</v>
      </c>
      <c r="I1862" s="37" t="s">
        <v>229</v>
      </c>
    </row>
    <row r="1863" ht="15.75" hidden="1" customHeight="1">
      <c r="A1863" s="38">
        <v>5439877.0</v>
      </c>
      <c r="B1863" s="39" t="s">
        <v>506</v>
      </c>
      <c r="C1863" s="39" t="s">
        <v>4156</v>
      </c>
      <c r="D1863" s="39" t="s">
        <v>224</v>
      </c>
      <c r="E1863" s="39" t="s">
        <v>831</v>
      </c>
      <c r="F1863" s="39" t="s">
        <v>284</v>
      </c>
      <c r="G1863" s="39" t="s">
        <v>3</v>
      </c>
      <c r="H1863" s="39" t="s">
        <v>4157</v>
      </c>
      <c r="I1863" s="39" t="s">
        <v>260</v>
      </c>
      <c r="J1863" s="1">
        <v>42.0</v>
      </c>
      <c r="L1863" s="40" t="s">
        <v>506</v>
      </c>
    </row>
    <row r="1864" ht="15.75" hidden="1" customHeight="1">
      <c r="A1864" s="36">
        <v>5492755.0</v>
      </c>
      <c r="B1864" s="37" t="s">
        <v>506</v>
      </c>
      <c r="C1864" s="37" t="s">
        <v>4158</v>
      </c>
      <c r="D1864" s="37" t="s">
        <v>224</v>
      </c>
      <c r="E1864" s="37" t="s">
        <v>831</v>
      </c>
      <c r="F1864" s="37" t="s">
        <v>284</v>
      </c>
      <c r="G1864" s="37" t="s">
        <v>3</v>
      </c>
      <c r="H1864" s="37" t="s">
        <v>4159</v>
      </c>
      <c r="I1864" s="37" t="s">
        <v>260</v>
      </c>
      <c r="J1864" s="1">
        <v>42.0</v>
      </c>
      <c r="L1864" s="40" t="s">
        <v>506</v>
      </c>
    </row>
    <row r="1865" ht="15.75" hidden="1" customHeight="1">
      <c r="A1865" s="38">
        <v>5438592.0</v>
      </c>
      <c r="B1865" s="39" t="s">
        <v>2069</v>
      </c>
      <c r="C1865" s="39" t="s">
        <v>4160</v>
      </c>
      <c r="D1865" s="39" t="s">
        <v>224</v>
      </c>
      <c r="E1865" s="39" t="s">
        <v>2071</v>
      </c>
      <c r="F1865" s="39" t="s">
        <v>300</v>
      </c>
      <c r="G1865" s="39" t="s">
        <v>301</v>
      </c>
      <c r="H1865" s="39" t="s">
        <v>4161</v>
      </c>
      <c r="I1865" s="39" t="s">
        <v>229</v>
      </c>
    </row>
    <row r="1866" ht="15.75" hidden="1" customHeight="1">
      <c r="A1866" s="36">
        <v>5495278.0</v>
      </c>
      <c r="B1866" s="37" t="s">
        <v>506</v>
      </c>
      <c r="C1866" s="37" t="s">
        <v>4162</v>
      </c>
      <c r="D1866" s="37" t="s">
        <v>331</v>
      </c>
      <c r="E1866" s="37" t="s">
        <v>831</v>
      </c>
      <c r="F1866" s="37" t="s">
        <v>284</v>
      </c>
      <c r="G1866" s="37" t="s">
        <v>3</v>
      </c>
      <c r="H1866" s="37" t="s">
        <v>4163</v>
      </c>
      <c r="I1866" s="37" t="s">
        <v>260</v>
      </c>
      <c r="J1866" s="1">
        <v>42.0</v>
      </c>
      <c r="L1866" s="40" t="s">
        <v>506</v>
      </c>
    </row>
    <row r="1867" ht="15.75" hidden="1" customHeight="1">
      <c r="A1867" s="38">
        <v>5438594.0</v>
      </c>
      <c r="B1867" s="39" t="s">
        <v>835</v>
      </c>
      <c r="C1867" s="39" t="s">
        <v>4164</v>
      </c>
      <c r="D1867" s="39" t="s">
        <v>224</v>
      </c>
      <c r="E1867" s="39" t="s">
        <v>837</v>
      </c>
      <c r="F1867" s="39" t="s">
        <v>377</v>
      </c>
      <c r="G1867" s="39" t="s">
        <v>327</v>
      </c>
      <c r="H1867" s="39" t="s">
        <v>4165</v>
      </c>
      <c r="I1867" s="39" t="s">
        <v>229</v>
      </c>
    </row>
    <row r="1868" ht="15.75" hidden="1" customHeight="1">
      <c r="A1868" s="36">
        <v>5528018.0</v>
      </c>
      <c r="B1868" s="37" t="s">
        <v>506</v>
      </c>
      <c r="C1868" s="37" t="s">
        <v>4166</v>
      </c>
      <c r="D1868" s="37" t="s">
        <v>224</v>
      </c>
      <c r="E1868" s="37" t="s">
        <v>831</v>
      </c>
      <c r="F1868" s="37" t="s">
        <v>284</v>
      </c>
      <c r="G1868" s="37" t="s">
        <v>3</v>
      </c>
      <c r="H1868" s="37" t="s">
        <v>4167</v>
      </c>
      <c r="I1868" s="37" t="s">
        <v>260</v>
      </c>
      <c r="J1868" s="1">
        <v>42.0</v>
      </c>
      <c r="L1868" s="40" t="s">
        <v>506</v>
      </c>
    </row>
    <row r="1869" ht="15.75" hidden="1" customHeight="1">
      <c r="A1869" s="38">
        <v>5439618.0</v>
      </c>
      <c r="B1869" s="39" t="s">
        <v>847</v>
      </c>
      <c r="C1869" s="39" t="s">
        <v>4168</v>
      </c>
      <c r="D1869" s="39" t="s">
        <v>224</v>
      </c>
      <c r="E1869" s="39" t="s">
        <v>849</v>
      </c>
      <c r="F1869" s="39" t="s">
        <v>333</v>
      </c>
      <c r="G1869" s="39" t="s">
        <v>301</v>
      </c>
      <c r="H1869" s="39" t="s">
        <v>4169</v>
      </c>
      <c r="I1869" s="39" t="s">
        <v>229</v>
      </c>
    </row>
    <row r="1870" ht="15.75" hidden="1" customHeight="1">
      <c r="A1870" s="36">
        <v>5546277.0</v>
      </c>
      <c r="B1870" s="37" t="s">
        <v>412</v>
      </c>
      <c r="C1870" s="37" t="s">
        <v>4170</v>
      </c>
      <c r="D1870" s="37" t="s">
        <v>224</v>
      </c>
      <c r="E1870" s="37" t="s">
        <v>831</v>
      </c>
      <c r="F1870" s="37" t="s">
        <v>3</v>
      </c>
      <c r="G1870" s="37" t="s">
        <v>3</v>
      </c>
      <c r="H1870" s="37" t="s">
        <v>4171</v>
      </c>
      <c r="I1870" s="37" t="s">
        <v>260</v>
      </c>
      <c r="J1870" s="1">
        <v>42.0</v>
      </c>
      <c r="L1870" s="40" t="s">
        <v>506</v>
      </c>
    </row>
    <row r="1871" ht="15.75" hidden="1" customHeight="1">
      <c r="A1871" s="38">
        <v>5872046.0</v>
      </c>
      <c r="B1871" s="39" t="s">
        <v>412</v>
      </c>
      <c r="C1871" s="39" t="s">
        <v>4172</v>
      </c>
      <c r="D1871" s="39" t="s">
        <v>224</v>
      </c>
      <c r="E1871" s="39" t="s">
        <v>831</v>
      </c>
      <c r="F1871" s="39" t="s">
        <v>3</v>
      </c>
      <c r="G1871" s="39" t="s">
        <v>3</v>
      </c>
      <c r="H1871" s="39" t="s">
        <v>4173</v>
      </c>
      <c r="I1871" s="39" t="s">
        <v>260</v>
      </c>
      <c r="J1871" s="1">
        <v>42.0</v>
      </c>
      <c r="L1871" s="40" t="s">
        <v>412</v>
      </c>
    </row>
    <row r="1872" ht="15.75" hidden="1" customHeight="1">
      <c r="A1872" s="36">
        <v>5495419.0</v>
      </c>
      <c r="B1872" s="37" t="s">
        <v>506</v>
      </c>
      <c r="C1872" s="37" t="s">
        <v>4174</v>
      </c>
      <c r="D1872" s="37" t="s">
        <v>224</v>
      </c>
      <c r="E1872" s="37" t="s">
        <v>831</v>
      </c>
      <c r="F1872" s="37" t="s">
        <v>284</v>
      </c>
      <c r="G1872" s="37" t="s">
        <v>3</v>
      </c>
      <c r="H1872" s="37" t="s">
        <v>4175</v>
      </c>
      <c r="I1872" s="37" t="s">
        <v>260</v>
      </c>
      <c r="J1872" s="1">
        <v>42.0</v>
      </c>
      <c r="L1872" s="40" t="s">
        <v>412</v>
      </c>
    </row>
    <row r="1873" ht="15.75" hidden="1" customHeight="1">
      <c r="A1873" s="38">
        <v>5496273.0</v>
      </c>
      <c r="B1873" s="39" t="s">
        <v>412</v>
      </c>
      <c r="C1873" s="39" t="s">
        <v>4176</v>
      </c>
      <c r="D1873" s="39" t="s">
        <v>224</v>
      </c>
      <c r="E1873" s="39" t="s">
        <v>831</v>
      </c>
      <c r="F1873" s="39" t="s">
        <v>3</v>
      </c>
      <c r="G1873" s="39" t="s">
        <v>3</v>
      </c>
      <c r="H1873" s="39" t="s">
        <v>4177</v>
      </c>
      <c r="I1873" s="39" t="s">
        <v>260</v>
      </c>
      <c r="J1873" s="1">
        <v>42.0</v>
      </c>
      <c r="L1873" s="40" t="s">
        <v>506</v>
      </c>
    </row>
    <row r="1874" ht="15.75" hidden="1" customHeight="1">
      <c r="A1874" s="36">
        <v>5651670.0</v>
      </c>
      <c r="B1874" s="37" t="s">
        <v>412</v>
      </c>
      <c r="C1874" s="37" t="s">
        <v>4178</v>
      </c>
      <c r="D1874" s="37" t="s">
        <v>224</v>
      </c>
      <c r="E1874" s="37" t="s">
        <v>831</v>
      </c>
      <c r="F1874" s="37" t="s">
        <v>3</v>
      </c>
      <c r="G1874" s="37" t="s">
        <v>3</v>
      </c>
      <c r="H1874" s="37" t="s">
        <v>4179</v>
      </c>
      <c r="I1874" s="37" t="s">
        <v>260</v>
      </c>
      <c r="J1874" s="1">
        <v>42.0</v>
      </c>
      <c r="L1874" s="40" t="s">
        <v>412</v>
      </c>
    </row>
    <row r="1875" ht="15.75" hidden="1" customHeight="1">
      <c r="A1875" s="38">
        <v>5439976.0</v>
      </c>
      <c r="B1875" s="39" t="s">
        <v>526</v>
      </c>
      <c r="C1875" s="39" t="s">
        <v>4180</v>
      </c>
      <c r="D1875" s="39" t="s">
        <v>224</v>
      </c>
      <c r="E1875" s="39" t="s">
        <v>649</v>
      </c>
      <c r="F1875" s="39" t="s">
        <v>326</v>
      </c>
      <c r="G1875" s="39" t="s">
        <v>327</v>
      </c>
      <c r="H1875" s="39" t="s">
        <v>4181</v>
      </c>
      <c r="I1875" s="39" t="s">
        <v>229</v>
      </c>
    </row>
    <row r="1876" ht="15.75" hidden="1" customHeight="1">
      <c r="A1876" s="36">
        <v>5439982.0</v>
      </c>
      <c r="B1876" s="37" t="s">
        <v>2069</v>
      </c>
      <c r="C1876" s="37" t="s">
        <v>4182</v>
      </c>
      <c r="D1876" s="37" t="s">
        <v>224</v>
      </c>
      <c r="E1876" s="37" t="s">
        <v>1934</v>
      </c>
      <c r="F1876" s="37" t="s">
        <v>300</v>
      </c>
      <c r="G1876" s="37" t="s">
        <v>301</v>
      </c>
      <c r="H1876" s="37" t="s">
        <v>4183</v>
      </c>
      <c r="I1876" s="37" t="s">
        <v>229</v>
      </c>
    </row>
    <row r="1877" ht="15.75" hidden="1" customHeight="1">
      <c r="A1877" s="38">
        <v>5440074.0</v>
      </c>
      <c r="B1877" s="39" t="s">
        <v>835</v>
      </c>
      <c r="C1877" s="39" t="s">
        <v>4184</v>
      </c>
      <c r="D1877" s="39" t="s">
        <v>224</v>
      </c>
      <c r="E1877" s="39" t="s">
        <v>837</v>
      </c>
      <c r="F1877" s="39" t="s">
        <v>377</v>
      </c>
      <c r="G1877" s="39" t="s">
        <v>327</v>
      </c>
      <c r="H1877" s="39" t="s">
        <v>4185</v>
      </c>
      <c r="I1877" s="39" t="s">
        <v>229</v>
      </c>
    </row>
    <row r="1878" ht="15.75" hidden="1" customHeight="1">
      <c r="A1878" s="36">
        <v>5442754.0</v>
      </c>
      <c r="B1878" s="37" t="s">
        <v>676</v>
      </c>
      <c r="C1878" s="37" t="s">
        <v>4186</v>
      </c>
      <c r="D1878" s="37" t="s">
        <v>224</v>
      </c>
      <c r="E1878" s="37" t="s">
        <v>678</v>
      </c>
      <c r="F1878" s="37" t="s">
        <v>679</v>
      </c>
      <c r="G1878" s="37" t="s">
        <v>301</v>
      </c>
      <c r="H1878" s="37" t="s">
        <v>4187</v>
      </c>
      <c r="I1878" s="37" t="s">
        <v>229</v>
      </c>
    </row>
    <row r="1879" ht="15.75" hidden="1" customHeight="1">
      <c r="A1879" s="38">
        <v>5704761.0</v>
      </c>
      <c r="B1879" s="39" t="s">
        <v>374</v>
      </c>
      <c r="C1879" s="39" t="s">
        <v>4188</v>
      </c>
      <c r="D1879" s="39" t="s">
        <v>224</v>
      </c>
      <c r="E1879" s="39" t="s">
        <v>376</v>
      </c>
      <c r="F1879" s="39" t="s">
        <v>377</v>
      </c>
      <c r="G1879" s="39" t="s">
        <v>327</v>
      </c>
      <c r="H1879" s="39" t="s">
        <v>4189</v>
      </c>
      <c r="I1879" s="39" t="s">
        <v>229</v>
      </c>
    </row>
    <row r="1880" ht="15.75" hidden="1" customHeight="1">
      <c r="A1880" s="36">
        <v>3070823.0</v>
      </c>
      <c r="B1880" s="37" t="s">
        <v>374</v>
      </c>
      <c r="C1880" s="37" t="s">
        <v>4190</v>
      </c>
      <c r="D1880" s="37" t="s">
        <v>224</v>
      </c>
      <c r="E1880" s="37" t="s">
        <v>376</v>
      </c>
      <c r="F1880" s="37" t="s">
        <v>377</v>
      </c>
      <c r="G1880" s="37" t="s">
        <v>327</v>
      </c>
      <c r="H1880" s="37" t="s">
        <v>4191</v>
      </c>
      <c r="I1880" s="37" t="s">
        <v>229</v>
      </c>
    </row>
    <row r="1881" ht="15.75" hidden="1" customHeight="1">
      <c r="A1881" s="38">
        <v>4909432.0</v>
      </c>
      <c r="B1881" s="39" t="s">
        <v>374</v>
      </c>
      <c r="C1881" s="39" t="s">
        <v>4192</v>
      </c>
      <c r="D1881" s="39" t="s">
        <v>224</v>
      </c>
      <c r="E1881" s="39" t="s">
        <v>376</v>
      </c>
      <c r="F1881" s="39" t="s">
        <v>377</v>
      </c>
      <c r="G1881" s="39" t="s">
        <v>327</v>
      </c>
      <c r="H1881" s="39" t="s">
        <v>4193</v>
      </c>
      <c r="I1881" s="39" t="s">
        <v>229</v>
      </c>
    </row>
    <row r="1882" ht="15.75" hidden="1" customHeight="1">
      <c r="A1882" s="36">
        <v>4810538.0</v>
      </c>
      <c r="B1882" s="37" t="s">
        <v>331</v>
      </c>
      <c r="C1882" s="37" t="s">
        <v>4194</v>
      </c>
      <c r="D1882" s="37" t="s">
        <v>331</v>
      </c>
      <c r="E1882" s="37" t="s">
        <v>376</v>
      </c>
      <c r="F1882" s="37" t="s">
        <v>377</v>
      </c>
      <c r="G1882" s="37" t="s">
        <v>327</v>
      </c>
      <c r="H1882" s="37" t="s">
        <v>4195</v>
      </c>
      <c r="I1882" s="37" t="s">
        <v>229</v>
      </c>
    </row>
    <row r="1883" ht="15.75" hidden="1" customHeight="1">
      <c r="A1883" s="38">
        <v>5444254.0</v>
      </c>
      <c r="B1883" s="39" t="s">
        <v>316</v>
      </c>
      <c r="C1883" s="39" t="s">
        <v>4196</v>
      </c>
      <c r="D1883" s="39" t="s">
        <v>224</v>
      </c>
      <c r="E1883" s="39" t="s">
        <v>1453</v>
      </c>
      <c r="F1883" s="39" t="s">
        <v>293</v>
      </c>
      <c r="G1883" s="39" t="s">
        <v>319</v>
      </c>
      <c r="H1883" s="39" t="s">
        <v>4197</v>
      </c>
      <c r="I1883" s="39" t="s">
        <v>229</v>
      </c>
    </row>
    <row r="1884" ht="15.75" hidden="1" customHeight="1">
      <c r="A1884" s="36">
        <v>5449359.0</v>
      </c>
      <c r="B1884" s="37" t="s">
        <v>1791</v>
      </c>
      <c r="C1884" s="37" t="s">
        <v>4198</v>
      </c>
      <c r="D1884" s="37" t="s">
        <v>224</v>
      </c>
      <c r="E1884" s="37" t="s">
        <v>2398</v>
      </c>
      <c r="F1884" s="37" t="s">
        <v>266</v>
      </c>
      <c r="G1884" s="37" t="s">
        <v>250</v>
      </c>
      <c r="H1884" s="37" t="s">
        <v>4199</v>
      </c>
      <c r="I1884" s="37" t="s">
        <v>229</v>
      </c>
    </row>
    <row r="1885" ht="15.75" hidden="1" customHeight="1">
      <c r="A1885" s="38">
        <v>5450584.0</v>
      </c>
      <c r="B1885" s="39" t="s">
        <v>1791</v>
      </c>
      <c r="C1885" s="39" t="s">
        <v>4200</v>
      </c>
      <c r="D1885" s="39" t="s">
        <v>224</v>
      </c>
      <c r="E1885" s="39" t="s">
        <v>2398</v>
      </c>
      <c r="F1885" s="39" t="s">
        <v>266</v>
      </c>
      <c r="G1885" s="39" t="s">
        <v>250</v>
      </c>
      <c r="H1885" s="39" t="s">
        <v>4201</v>
      </c>
      <c r="I1885" s="39" t="s">
        <v>229</v>
      </c>
    </row>
    <row r="1886" ht="15.75" hidden="1" customHeight="1">
      <c r="A1886" s="36">
        <v>5514634.0</v>
      </c>
      <c r="B1886" s="37" t="s">
        <v>491</v>
      </c>
      <c r="C1886" s="37" t="s">
        <v>4202</v>
      </c>
      <c r="D1886" s="37" t="s">
        <v>224</v>
      </c>
      <c r="E1886" s="37" t="s">
        <v>573</v>
      </c>
      <c r="F1886" s="37" t="s">
        <v>494</v>
      </c>
      <c r="G1886" s="37" t="s">
        <v>227</v>
      </c>
      <c r="H1886" s="37" t="s">
        <v>4203</v>
      </c>
      <c r="I1886" s="37" t="s">
        <v>260</v>
      </c>
    </row>
    <row r="1887" ht="15.75" hidden="1" customHeight="1">
      <c r="A1887" s="38">
        <v>5456552.0</v>
      </c>
      <c r="B1887" s="39" t="s">
        <v>121</v>
      </c>
      <c r="C1887" s="39" t="s">
        <v>4204</v>
      </c>
      <c r="D1887" s="39" t="s">
        <v>224</v>
      </c>
      <c r="E1887" s="39" t="s">
        <v>643</v>
      </c>
      <c r="F1887" s="39" t="s">
        <v>644</v>
      </c>
      <c r="G1887" s="39" t="s">
        <v>3</v>
      </c>
      <c r="H1887" s="39" t="s">
        <v>4205</v>
      </c>
      <c r="I1887" s="39" t="s">
        <v>260</v>
      </c>
      <c r="J1887" s="1">
        <v>42.0</v>
      </c>
      <c r="L1887" s="40" t="s">
        <v>412</v>
      </c>
    </row>
    <row r="1888" ht="15.75" hidden="1" customHeight="1">
      <c r="A1888" s="36">
        <v>5538481.0</v>
      </c>
      <c r="B1888" s="37" t="s">
        <v>491</v>
      </c>
      <c r="C1888" s="37" t="s">
        <v>4206</v>
      </c>
      <c r="D1888" s="37" t="s">
        <v>224</v>
      </c>
      <c r="E1888" s="37" t="s">
        <v>573</v>
      </c>
      <c r="F1888" s="37" t="s">
        <v>494</v>
      </c>
      <c r="G1888" s="37" t="s">
        <v>227</v>
      </c>
      <c r="H1888" s="37" t="s">
        <v>4207</v>
      </c>
      <c r="I1888" s="37" t="s">
        <v>260</v>
      </c>
    </row>
    <row r="1889" ht="15.75" hidden="1" customHeight="1">
      <c r="A1889" s="38">
        <v>5458860.0</v>
      </c>
      <c r="B1889" s="39" t="s">
        <v>120</v>
      </c>
      <c r="C1889" s="39" t="s">
        <v>4208</v>
      </c>
      <c r="D1889" s="39" t="s">
        <v>224</v>
      </c>
      <c r="E1889" s="39" t="s">
        <v>868</v>
      </c>
      <c r="F1889" s="39" t="s">
        <v>644</v>
      </c>
      <c r="G1889" s="39" t="s">
        <v>3</v>
      </c>
      <c r="H1889" s="39" t="s">
        <v>4209</v>
      </c>
      <c r="I1889" s="39" t="s">
        <v>260</v>
      </c>
      <c r="J1889" s="1">
        <v>42.0</v>
      </c>
      <c r="L1889" s="40" t="s">
        <v>121</v>
      </c>
    </row>
    <row r="1890" ht="15.75" hidden="1" customHeight="1">
      <c r="A1890" s="36">
        <v>5461085.0</v>
      </c>
      <c r="B1890" s="37" t="s">
        <v>121</v>
      </c>
      <c r="C1890" s="37" t="s">
        <v>4210</v>
      </c>
      <c r="D1890" s="37" t="s">
        <v>224</v>
      </c>
      <c r="E1890" s="37" t="s">
        <v>643</v>
      </c>
      <c r="F1890" s="37" t="s">
        <v>644</v>
      </c>
      <c r="G1890" s="37" t="s">
        <v>3</v>
      </c>
      <c r="H1890" s="37" t="s">
        <v>4211</v>
      </c>
      <c r="I1890" s="37" t="s">
        <v>260</v>
      </c>
      <c r="J1890" s="1">
        <v>42.0</v>
      </c>
      <c r="L1890" s="40" t="s">
        <v>120</v>
      </c>
    </row>
    <row r="1891" ht="15.75" hidden="1" customHeight="1">
      <c r="A1891" s="38">
        <v>5514625.0</v>
      </c>
      <c r="B1891" s="39" t="s">
        <v>491</v>
      </c>
      <c r="C1891" s="39" t="s">
        <v>4212</v>
      </c>
      <c r="D1891" s="39" t="s">
        <v>224</v>
      </c>
      <c r="E1891" s="39" t="s">
        <v>573</v>
      </c>
      <c r="F1891" s="39" t="s">
        <v>494</v>
      </c>
      <c r="G1891" s="39" t="s">
        <v>227</v>
      </c>
      <c r="H1891" s="39" t="s">
        <v>4213</v>
      </c>
      <c r="I1891" s="39" t="s">
        <v>260</v>
      </c>
    </row>
    <row r="1892" ht="15.75" hidden="1" customHeight="1">
      <c r="A1892" s="36">
        <v>5462962.0</v>
      </c>
      <c r="B1892" s="37" t="s">
        <v>121</v>
      </c>
      <c r="C1892" s="37" t="s">
        <v>4214</v>
      </c>
      <c r="D1892" s="37" t="s">
        <v>224</v>
      </c>
      <c r="E1892" s="37" t="s">
        <v>643</v>
      </c>
      <c r="F1892" s="37" t="s">
        <v>644</v>
      </c>
      <c r="G1892" s="37" t="s">
        <v>3</v>
      </c>
      <c r="H1892" s="37" t="s">
        <v>4215</v>
      </c>
      <c r="I1892" s="37" t="s">
        <v>260</v>
      </c>
      <c r="J1892" s="1">
        <v>42.0</v>
      </c>
      <c r="L1892" s="40" t="s">
        <v>121</v>
      </c>
    </row>
    <row r="1893" ht="15.75" hidden="1" customHeight="1">
      <c r="A1893" s="38">
        <v>5463782.0</v>
      </c>
      <c r="B1893" s="39" t="s">
        <v>232</v>
      </c>
      <c r="C1893" s="39" t="s">
        <v>4216</v>
      </c>
      <c r="D1893" s="39" t="s">
        <v>224</v>
      </c>
      <c r="E1893" s="39" t="s">
        <v>932</v>
      </c>
      <c r="F1893" s="39" t="s">
        <v>226</v>
      </c>
      <c r="G1893" s="39" t="s">
        <v>227</v>
      </c>
      <c r="H1893" s="39" t="s">
        <v>4217</v>
      </c>
      <c r="I1893" s="39" t="s">
        <v>229</v>
      </c>
    </row>
    <row r="1894" ht="15.75" hidden="1" customHeight="1">
      <c r="A1894" s="36">
        <v>5514627.0</v>
      </c>
      <c r="B1894" s="37" t="s">
        <v>3784</v>
      </c>
      <c r="C1894" s="37" t="s">
        <v>4218</v>
      </c>
      <c r="D1894" s="37" t="s">
        <v>224</v>
      </c>
      <c r="E1894" s="37" t="s">
        <v>573</v>
      </c>
      <c r="F1894" s="37" t="s">
        <v>494</v>
      </c>
      <c r="G1894" s="37" t="s">
        <v>227</v>
      </c>
      <c r="H1894" s="37" t="s">
        <v>4219</v>
      </c>
      <c r="I1894" s="37" t="s">
        <v>260</v>
      </c>
    </row>
    <row r="1895" ht="15.75" hidden="1" customHeight="1">
      <c r="A1895" s="38">
        <v>5514628.0</v>
      </c>
      <c r="B1895" s="39" t="s">
        <v>3784</v>
      </c>
      <c r="C1895" s="39" t="s">
        <v>4220</v>
      </c>
      <c r="D1895" s="39" t="s">
        <v>224</v>
      </c>
      <c r="E1895" s="39" t="s">
        <v>573</v>
      </c>
      <c r="F1895" s="39" t="s">
        <v>494</v>
      </c>
      <c r="G1895" s="39" t="s">
        <v>227</v>
      </c>
      <c r="H1895" s="39" t="s">
        <v>4221</v>
      </c>
      <c r="I1895" s="39" t="s">
        <v>260</v>
      </c>
    </row>
    <row r="1896" ht="15.75" hidden="1" customHeight="1">
      <c r="A1896" s="36">
        <v>5538476.0</v>
      </c>
      <c r="B1896" s="37" t="s">
        <v>491</v>
      </c>
      <c r="C1896" s="37" t="s">
        <v>4222</v>
      </c>
      <c r="D1896" s="37" t="s">
        <v>224</v>
      </c>
      <c r="E1896" s="37" t="s">
        <v>573</v>
      </c>
      <c r="F1896" s="37" t="s">
        <v>494</v>
      </c>
      <c r="G1896" s="37" t="s">
        <v>227</v>
      </c>
      <c r="H1896" s="37" t="s">
        <v>4223</v>
      </c>
      <c r="I1896" s="37" t="s">
        <v>260</v>
      </c>
    </row>
    <row r="1897" ht="15.75" hidden="1" customHeight="1">
      <c r="A1897" s="38">
        <v>5538845.0</v>
      </c>
      <c r="B1897" s="39" t="s">
        <v>491</v>
      </c>
      <c r="C1897" s="39" t="s">
        <v>4224</v>
      </c>
      <c r="D1897" s="39" t="s">
        <v>269</v>
      </c>
      <c r="E1897" s="39" t="s">
        <v>573</v>
      </c>
      <c r="F1897" s="39" t="s">
        <v>494</v>
      </c>
      <c r="G1897" s="39" t="s">
        <v>227</v>
      </c>
      <c r="H1897" s="39" t="s">
        <v>4225</v>
      </c>
      <c r="I1897" s="39" t="s">
        <v>260</v>
      </c>
    </row>
    <row r="1898" ht="15.75" hidden="1" customHeight="1">
      <c r="A1898" s="36">
        <v>5539554.0</v>
      </c>
      <c r="B1898" s="37" t="s">
        <v>3784</v>
      </c>
      <c r="C1898" s="37" t="s">
        <v>4226</v>
      </c>
      <c r="D1898" s="37" t="s">
        <v>224</v>
      </c>
      <c r="E1898" s="37" t="s">
        <v>573</v>
      </c>
      <c r="F1898" s="37" t="s">
        <v>494</v>
      </c>
      <c r="G1898" s="37" t="s">
        <v>227</v>
      </c>
      <c r="H1898" s="37" t="s">
        <v>4227</v>
      </c>
      <c r="I1898" s="37" t="s">
        <v>260</v>
      </c>
    </row>
    <row r="1899" ht="15.75" hidden="1" customHeight="1">
      <c r="A1899" s="38">
        <v>5471399.0</v>
      </c>
      <c r="B1899" s="39" t="s">
        <v>1932</v>
      </c>
      <c r="C1899" s="39" t="s">
        <v>4228</v>
      </c>
      <c r="D1899" s="39" t="s">
        <v>224</v>
      </c>
      <c r="E1899" s="39" t="s">
        <v>2071</v>
      </c>
      <c r="F1899" s="39" t="s">
        <v>300</v>
      </c>
      <c r="G1899" s="39" t="s">
        <v>301</v>
      </c>
      <c r="H1899" s="39" t="s">
        <v>4229</v>
      </c>
      <c r="I1899" s="39" t="s">
        <v>229</v>
      </c>
    </row>
    <row r="1900" ht="15.75" hidden="1" customHeight="1">
      <c r="A1900" s="36">
        <v>5712872.0</v>
      </c>
      <c r="B1900" s="37" t="s">
        <v>491</v>
      </c>
      <c r="C1900" s="37" t="s">
        <v>4230</v>
      </c>
      <c r="D1900" s="37" t="s">
        <v>269</v>
      </c>
      <c r="E1900" s="37" t="s">
        <v>573</v>
      </c>
      <c r="F1900" s="37" t="s">
        <v>494</v>
      </c>
      <c r="G1900" s="37" t="s">
        <v>227</v>
      </c>
      <c r="H1900" s="37" t="s">
        <v>4231</v>
      </c>
      <c r="I1900" s="37" t="s">
        <v>260</v>
      </c>
    </row>
    <row r="1901" ht="15.75" hidden="1" customHeight="1">
      <c r="A1901" s="38">
        <v>5471400.0</v>
      </c>
      <c r="B1901" s="39" t="s">
        <v>1143</v>
      </c>
      <c r="C1901" s="39" t="s">
        <v>4232</v>
      </c>
      <c r="D1901" s="39" t="s">
        <v>224</v>
      </c>
      <c r="E1901" s="39" t="s">
        <v>1021</v>
      </c>
      <c r="F1901" s="39" t="s">
        <v>292</v>
      </c>
      <c r="G1901" s="39" t="s">
        <v>293</v>
      </c>
      <c r="H1901" s="39" t="s">
        <v>4233</v>
      </c>
      <c r="I1901" s="39" t="s">
        <v>229</v>
      </c>
    </row>
    <row r="1902" ht="15.75" hidden="1" customHeight="1">
      <c r="A1902" s="36">
        <v>5999803.0</v>
      </c>
      <c r="B1902" s="37" t="s">
        <v>491</v>
      </c>
      <c r="C1902" s="37" t="s">
        <v>4234</v>
      </c>
      <c r="D1902" s="37" t="s">
        <v>224</v>
      </c>
      <c r="E1902" s="37" t="s">
        <v>573</v>
      </c>
      <c r="F1902" s="37" t="s">
        <v>494</v>
      </c>
      <c r="G1902" s="37" t="s">
        <v>227</v>
      </c>
      <c r="H1902" s="37" t="s">
        <v>4235</v>
      </c>
      <c r="I1902" s="37" t="s">
        <v>260</v>
      </c>
    </row>
    <row r="1903" ht="15.75" hidden="1" customHeight="1">
      <c r="A1903" s="38">
        <v>5473708.0</v>
      </c>
      <c r="B1903" s="39" t="s">
        <v>835</v>
      </c>
      <c r="C1903" s="39" t="s">
        <v>4236</v>
      </c>
      <c r="D1903" s="39" t="s">
        <v>224</v>
      </c>
      <c r="E1903" s="39" t="s">
        <v>837</v>
      </c>
      <c r="F1903" s="39" t="s">
        <v>377</v>
      </c>
      <c r="G1903" s="39" t="s">
        <v>327</v>
      </c>
      <c r="H1903" s="39" t="s">
        <v>4237</v>
      </c>
      <c r="I1903" s="39" t="s">
        <v>229</v>
      </c>
    </row>
    <row r="1904" ht="15.75" hidden="1" customHeight="1">
      <c r="A1904" s="36">
        <v>5999763.0</v>
      </c>
      <c r="B1904" s="37" t="s">
        <v>3784</v>
      </c>
      <c r="C1904" s="37" t="s">
        <v>4238</v>
      </c>
      <c r="D1904" s="37" t="s">
        <v>224</v>
      </c>
      <c r="E1904" s="37" t="s">
        <v>573</v>
      </c>
      <c r="F1904" s="37" t="s">
        <v>494</v>
      </c>
      <c r="G1904" s="37" t="s">
        <v>227</v>
      </c>
      <c r="H1904" s="37" t="s">
        <v>4239</v>
      </c>
      <c r="I1904" s="37" t="s">
        <v>260</v>
      </c>
    </row>
    <row r="1905" ht="15.75" hidden="1" customHeight="1">
      <c r="A1905" s="38">
        <v>5475728.0</v>
      </c>
      <c r="B1905" s="39" t="s">
        <v>316</v>
      </c>
      <c r="C1905" s="39" t="s">
        <v>4240</v>
      </c>
      <c r="D1905" s="39" t="s">
        <v>224</v>
      </c>
      <c r="E1905" s="39" t="s">
        <v>761</v>
      </c>
      <c r="F1905" s="39" t="s">
        <v>293</v>
      </c>
      <c r="G1905" s="39" t="s">
        <v>319</v>
      </c>
      <c r="H1905" s="39" t="s">
        <v>4241</v>
      </c>
      <c r="I1905" s="39" t="s">
        <v>229</v>
      </c>
    </row>
    <row r="1906" ht="15.75" hidden="1" customHeight="1">
      <c r="A1906" s="36">
        <v>5478165.0</v>
      </c>
      <c r="B1906" s="37" t="s">
        <v>738</v>
      </c>
      <c r="C1906" s="37" t="s">
        <v>4242</v>
      </c>
      <c r="D1906" s="37" t="s">
        <v>224</v>
      </c>
      <c r="E1906" s="37" t="s">
        <v>3967</v>
      </c>
      <c r="F1906" s="37" t="s">
        <v>533</v>
      </c>
      <c r="G1906" s="37" t="s">
        <v>250</v>
      </c>
      <c r="H1906" s="37" t="s">
        <v>4243</v>
      </c>
      <c r="I1906" s="37" t="s">
        <v>229</v>
      </c>
    </row>
    <row r="1907" ht="15.75" hidden="1" customHeight="1">
      <c r="A1907" s="38">
        <v>5479613.0</v>
      </c>
      <c r="B1907" s="39" t="s">
        <v>374</v>
      </c>
      <c r="C1907" s="39" t="s">
        <v>4244</v>
      </c>
      <c r="D1907" s="39" t="s">
        <v>224</v>
      </c>
      <c r="E1907" s="39" t="s">
        <v>959</v>
      </c>
      <c r="F1907" s="39" t="s">
        <v>377</v>
      </c>
      <c r="G1907" s="39" t="s">
        <v>327</v>
      </c>
      <c r="H1907" s="39" t="s">
        <v>4245</v>
      </c>
      <c r="I1907" s="39" t="s">
        <v>229</v>
      </c>
    </row>
    <row r="1908" ht="15.75" hidden="1" customHeight="1">
      <c r="A1908" s="36">
        <v>5560655.0</v>
      </c>
      <c r="B1908" s="37" t="s">
        <v>549</v>
      </c>
      <c r="C1908" s="37" t="s">
        <v>4246</v>
      </c>
      <c r="D1908" s="37" t="s">
        <v>224</v>
      </c>
      <c r="E1908" s="37" t="s">
        <v>551</v>
      </c>
      <c r="F1908" s="37" t="s">
        <v>494</v>
      </c>
      <c r="G1908" s="37" t="s">
        <v>227</v>
      </c>
      <c r="H1908" s="37" t="s">
        <v>4247</v>
      </c>
      <c r="I1908" s="37" t="s">
        <v>260</v>
      </c>
    </row>
    <row r="1909" ht="15.75" hidden="1" customHeight="1">
      <c r="A1909" s="38">
        <v>5479615.0</v>
      </c>
      <c r="B1909" s="39" t="s">
        <v>289</v>
      </c>
      <c r="C1909" s="39" t="s">
        <v>4248</v>
      </c>
      <c r="D1909" s="39" t="s">
        <v>224</v>
      </c>
      <c r="E1909" s="39" t="s">
        <v>1048</v>
      </c>
      <c r="F1909" s="39" t="s">
        <v>292</v>
      </c>
      <c r="G1909" s="39" t="s">
        <v>293</v>
      </c>
      <c r="H1909" s="39" t="s">
        <v>4249</v>
      </c>
      <c r="I1909" s="39" t="s">
        <v>229</v>
      </c>
    </row>
    <row r="1910" ht="15.75" hidden="1" customHeight="1">
      <c r="A1910" s="36">
        <v>5884819.0</v>
      </c>
      <c r="B1910" s="37" t="s">
        <v>549</v>
      </c>
      <c r="C1910" s="37" t="s">
        <v>4250</v>
      </c>
      <c r="D1910" s="37" t="s">
        <v>224</v>
      </c>
      <c r="E1910" s="37" t="s">
        <v>551</v>
      </c>
      <c r="F1910" s="37" t="s">
        <v>494</v>
      </c>
      <c r="G1910" s="37" t="s">
        <v>227</v>
      </c>
      <c r="H1910" s="37" t="s">
        <v>4251</v>
      </c>
      <c r="I1910" s="37" t="s">
        <v>260</v>
      </c>
    </row>
    <row r="1911" ht="15.75" hidden="1" customHeight="1">
      <c r="A1911" s="38">
        <v>5480706.0</v>
      </c>
      <c r="B1911" s="39" t="s">
        <v>457</v>
      </c>
      <c r="C1911" s="39" t="s">
        <v>4252</v>
      </c>
      <c r="D1911" s="39" t="s">
        <v>234</v>
      </c>
      <c r="E1911" s="39" t="s">
        <v>1411</v>
      </c>
      <c r="F1911" s="39" t="s">
        <v>292</v>
      </c>
      <c r="G1911" s="39" t="s">
        <v>293</v>
      </c>
      <c r="H1911" s="39" t="s">
        <v>4253</v>
      </c>
      <c r="I1911" s="39" t="s">
        <v>229</v>
      </c>
    </row>
    <row r="1912" ht="15.75" hidden="1" customHeight="1">
      <c r="A1912" s="36">
        <v>5480707.0</v>
      </c>
      <c r="B1912" s="37" t="s">
        <v>457</v>
      </c>
      <c r="C1912" s="37" t="s">
        <v>4254</v>
      </c>
      <c r="D1912" s="37" t="s">
        <v>331</v>
      </c>
      <c r="E1912" s="37" t="s">
        <v>1145</v>
      </c>
      <c r="F1912" s="37" t="s">
        <v>292</v>
      </c>
      <c r="G1912" s="37" t="s">
        <v>293</v>
      </c>
      <c r="H1912" s="37" t="s">
        <v>4255</v>
      </c>
      <c r="I1912" s="37" t="s">
        <v>229</v>
      </c>
    </row>
    <row r="1913" ht="15.75" hidden="1" customHeight="1">
      <c r="A1913" s="38">
        <v>5559031.0</v>
      </c>
      <c r="B1913" s="39" t="s">
        <v>549</v>
      </c>
      <c r="C1913" s="39" t="s">
        <v>4256</v>
      </c>
      <c r="D1913" s="39" t="s">
        <v>224</v>
      </c>
      <c r="E1913" s="39" t="s">
        <v>551</v>
      </c>
      <c r="F1913" s="39" t="s">
        <v>494</v>
      </c>
      <c r="G1913" s="39" t="s">
        <v>227</v>
      </c>
      <c r="H1913" s="39" t="s">
        <v>4257</v>
      </c>
      <c r="I1913" s="39" t="s">
        <v>260</v>
      </c>
    </row>
    <row r="1914" ht="15.75" hidden="1" customHeight="1">
      <c r="A1914" s="36">
        <v>5481515.0</v>
      </c>
      <c r="B1914" s="37" t="s">
        <v>847</v>
      </c>
      <c r="C1914" s="37" t="s">
        <v>4258</v>
      </c>
      <c r="D1914" s="37" t="s">
        <v>224</v>
      </c>
      <c r="E1914" s="37" t="s">
        <v>849</v>
      </c>
      <c r="F1914" s="37" t="s">
        <v>333</v>
      </c>
      <c r="G1914" s="37" t="s">
        <v>301</v>
      </c>
      <c r="H1914" s="37" t="s">
        <v>4259</v>
      </c>
      <c r="I1914" s="37" t="s">
        <v>229</v>
      </c>
    </row>
    <row r="1915" ht="15.75" hidden="1" customHeight="1">
      <c r="A1915" s="38">
        <v>5481528.0</v>
      </c>
      <c r="B1915" s="39" t="s">
        <v>847</v>
      </c>
      <c r="C1915" s="39" t="s">
        <v>4260</v>
      </c>
      <c r="D1915" s="39" t="s">
        <v>224</v>
      </c>
      <c r="E1915" s="39" t="s">
        <v>849</v>
      </c>
      <c r="F1915" s="39" t="s">
        <v>333</v>
      </c>
      <c r="G1915" s="39" t="s">
        <v>301</v>
      </c>
      <c r="H1915" s="39" t="s">
        <v>4261</v>
      </c>
      <c r="I1915" s="39" t="s">
        <v>229</v>
      </c>
    </row>
    <row r="1916" ht="15.75" hidden="1" customHeight="1">
      <c r="A1916" s="36">
        <v>5481714.0</v>
      </c>
      <c r="B1916" s="37" t="s">
        <v>738</v>
      </c>
      <c r="C1916" s="37" t="s">
        <v>4262</v>
      </c>
      <c r="D1916" s="37" t="s">
        <v>224</v>
      </c>
      <c r="E1916" s="37" t="s">
        <v>3967</v>
      </c>
      <c r="F1916" s="37" t="s">
        <v>533</v>
      </c>
      <c r="G1916" s="37" t="s">
        <v>250</v>
      </c>
      <c r="H1916" s="37" t="s">
        <v>4263</v>
      </c>
      <c r="I1916" s="37" t="s">
        <v>229</v>
      </c>
    </row>
    <row r="1917" ht="15.75" hidden="1" customHeight="1">
      <c r="A1917" s="38">
        <v>5482480.0</v>
      </c>
      <c r="B1917" s="39" t="s">
        <v>361</v>
      </c>
      <c r="C1917" s="39" t="s">
        <v>4264</v>
      </c>
      <c r="D1917" s="39" t="s">
        <v>224</v>
      </c>
      <c r="E1917" s="39" t="s">
        <v>875</v>
      </c>
      <c r="F1917" s="39" t="s">
        <v>312</v>
      </c>
      <c r="G1917" s="39" t="s">
        <v>258</v>
      </c>
      <c r="H1917" s="39" t="s">
        <v>4265</v>
      </c>
      <c r="I1917" s="39" t="s">
        <v>260</v>
      </c>
    </row>
    <row r="1918" ht="15.75" hidden="1" customHeight="1">
      <c r="A1918" s="36">
        <v>5862753.0</v>
      </c>
      <c r="B1918" s="37" t="s">
        <v>549</v>
      </c>
      <c r="C1918" s="37" t="s">
        <v>4266</v>
      </c>
      <c r="D1918" s="37" t="s">
        <v>224</v>
      </c>
      <c r="E1918" s="37" t="s">
        <v>551</v>
      </c>
      <c r="F1918" s="37" t="s">
        <v>494</v>
      </c>
      <c r="G1918" s="37" t="s">
        <v>227</v>
      </c>
      <c r="H1918" s="37" t="s">
        <v>4267</v>
      </c>
      <c r="I1918" s="37" t="s">
        <v>260</v>
      </c>
    </row>
    <row r="1919" ht="15.75" hidden="1" customHeight="1">
      <c r="A1919" s="38">
        <v>5861553.0</v>
      </c>
      <c r="B1919" s="39" t="s">
        <v>549</v>
      </c>
      <c r="C1919" s="39" t="s">
        <v>4268</v>
      </c>
      <c r="D1919" s="39" t="s">
        <v>224</v>
      </c>
      <c r="E1919" s="39" t="s">
        <v>551</v>
      </c>
      <c r="F1919" s="39" t="s">
        <v>494</v>
      </c>
      <c r="G1919" s="39" t="s">
        <v>227</v>
      </c>
      <c r="H1919" s="39" t="s">
        <v>4269</v>
      </c>
      <c r="I1919" s="39" t="s">
        <v>260</v>
      </c>
    </row>
    <row r="1920" ht="15.75" hidden="1" customHeight="1">
      <c r="A1920" s="36">
        <v>5791693.0</v>
      </c>
      <c r="B1920" s="37" t="s">
        <v>549</v>
      </c>
      <c r="C1920" s="37" t="s">
        <v>4270</v>
      </c>
      <c r="D1920" s="37" t="s">
        <v>224</v>
      </c>
      <c r="E1920" s="37" t="s">
        <v>551</v>
      </c>
      <c r="F1920" s="37" t="s">
        <v>494</v>
      </c>
      <c r="G1920" s="37" t="s">
        <v>227</v>
      </c>
      <c r="H1920" s="37" t="s">
        <v>4271</v>
      </c>
      <c r="I1920" s="37" t="s">
        <v>260</v>
      </c>
    </row>
    <row r="1921" ht="15.75" hidden="1" customHeight="1">
      <c r="A1921" s="38">
        <v>5787552.0</v>
      </c>
      <c r="B1921" s="39" t="s">
        <v>549</v>
      </c>
      <c r="C1921" s="39" t="s">
        <v>4272</v>
      </c>
      <c r="D1921" s="39" t="s">
        <v>224</v>
      </c>
      <c r="E1921" s="39" t="s">
        <v>551</v>
      </c>
      <c r="F1921" s="39" t="s">
        <v>494</v>
      </c>
      <c r="G1921" s="39" t="s">
        <v>227</v>
      </c>
      <c r="H1921" s="39" t="s">
        <v>4273</v>
      </c>
      <c r="I1921" s="39" t="s">
        <v>260</v>
      </c>
    </row>
    <row r="1922" ht="15.75" hidden="1" customHeight="1">
      <c r="A1922" s="36">
        <v>5483681.0</v>
      </c>
      <c r="B1922" s="37" t="s">
        <v>478</v>
      </c>
      <c r="C1922" s="37" t="s">
        <v>4274</v>
      </c>
      <c r="D1922" s="37" t="s">
        <v>224</v>
      </c>
      <c r="E1922" s="37" t="s">
        <v>1323</v>
      </c>
      <c r="F1922" s="37" t="s">
        <v>481</v>
      </c>
      <c r="G1922" s="37" t="s">
        <v>293</v>
      </c>
      <c r="H1922" s="37" t="s">
        <v>4275</v>
      </c>
      <c r="I1922" s="37" t="s">
        <v>229</v>
      </c>
    </row>
    <row r="1923" ht="15.75" hidden="1" customHeight="1">
      <c r="A1923" s="38">
        <v>5791683.0</v>
      </c>
      <c r="B1923" s="39" t="s">
        <v>549</v>
      </c>
      <c r="C1923" s="39" t="s">
        <v>4276</v>
      </c>
      <c r="D1923" s="39" t="s">
        <v>224</v>
      </c>
      <c r="E1923" s="39" t="s">
        <v>551</v>
      </c>
      <c r="F1923" s="39" t="s">
        <v>494</v>
      </c>
      <c r="G1923" s="39" t="s">
        <v>227</v>
      </c>
      <c r="H1923" s="39" t="s">
        <v>4277</v>
      </c>
      <c r="I1923" s="39" t="s">
        <v>260</v>
      </c>
    </row>
    <row r="1924" ht="15.75" hidden="1" customHeight="1">
      <c r="A1924" s="36">
        <v>5483682.0</v>
      </c>
      <c r="B1924" s="37" t="s">
        <v>695</v>
      </c>
      <c r="C1924" s="37" t="s">
        <v>4278</v>
      </c>
      <c r="D1924" s="37" t="s">
        <v>224</v>
      </c>
      <c r="E1924" s="37" t="s">
        <v>697</v>
      </c>
      <c r="F1924" s="37" t="s">
        <v>698</v>
      </c>
      <c r="G1924" s="37" t="s">
        <v>541</v>
      </c>
      <c r="H1924" s="37" t="s">
        <v>4279</v>
      </c>
      <c r="I1924" s="37" t="s">
        <v>229</v>
      </c>
    </row>
    <row r="1925" ht="15.75" hidden="1" customHeight="1">
      <c r="A1925" s="38">
        <v>5793963.0</v>
      </c>
      <c r="B1925" s="39" t="s">
        <v>549</v>
      </c>
      <c r="C1925" s="39" t="s">
        <v>4280</v>
      </c>
      <c r="D1925" s="39" t="s">
        <v>224</v>
      </c>
      <c r="E1925" s="39" t="s">
        <v>551</v>
      </c>
      <c r="F1925" s="39" t="s">
        <v>494</v>
      </c>
      <c r="G1925" s="39" t="s">
        <v>227</v>
      </c>
      <c r="H1925" s="39" t="s">
        <v>4281</v>
      </c>
      <c r="I1925" s="39" t="s">
        <v>260</v>
      </c>
    </row>
    <row r="1926" ht="15.75" hidden="1" customHeight="1">
      <c r="A1926" s="36">
        <v>5861548.0</v>
      </c>
      <c r="B1926" s="37" t="s">
        <v>549</v>
      </c>
      <c r="C1926" s="37" t="s">
        <v>4282</v>
      </c>
      <c r="D1926" s="37" t="s">
        <v>224</v>
      </c>
      <c r="E1926" s="37" t="s">
        <v>551</v>
      </c>
      <c r="F1926" s="37" t="s">
        <v>494</v>
      </c>
      <c r="G1926" s="37" t="s">
        <v>227</v>
      </c>
      <c r="H1926" s="37" t="s">
        <v>4283</v>
      </c>
      <c r="I1926" s="37" t="s">
        <v>260</v>
      </c>
    </row>
    <row r="1927" ht="15.75" hidden="1" customHeight="1">
      <c r="A1927" s="38">
        <v>5484162.0</v>
      </c>
      <c r="B1927" s="39" t="s">
        <v>316</v>
      </c>
      <c r="C1927" s="39" t="s">
        <v>4284</v>
      </c>
      <c r="D1927" s="39" t="s">
        <v>224</v>
      </c>
      <c r="E1927" s="39" t="s">
        <v>1453</v>
      </c>
      <c r="F1927" s="39" t="s">
        <v>293</v>
      </c>
      <c r="G1927" s="39" t="s">
        <v>319</v>
      </c>
      <c r="H1927" s="39" t="s">
        <v>4285</v>
      </c>
      <c r="I1927" s="39" t="s">
        <v>229</v>
      </c>
    </row>
    <row r="1928" ht="15.75" hidden="1" customHeight="1">
      <c r="A1928" s="36">
        <v>5486642.0</v>
      </c>
      <c r="B1928" s="37" t="s">
        <v>676</v>
      </c>
      <c r="C1928" s="37" t="s">
        <v>4286</v>
      </c>
      <c r="D1928" s="37" t="s">
        <v>224</v>
      </c>
      <c r="E1928" s="37" t="s">
        <v>678</v>
      </c>
      <c r="F1928" s="37" t="s">
        <v>679</v>
      </c>
      <c r="G1928" s="37" t="s">
        <v>301</v>
      </c>
      <c r="H1928" s="37" t="s">
        <v>4287</v>
      </c>
      <c r="I1928" s="37" t="s">
        <v>229</v>
      </c>
    </row>
    <row r="1929" ht="15.75" hidden="1" customHeight="1">
      <c r="A1929" s="38">
        <v>5489044.0</v>
      </c>
      <c r="B1929" s="39" t="s">
        <v>485</v>
      </c>
      <c r="C1929" s="39" t="s">
        <v>4288</v>
      </c>
      <c r="D1929" s="39" t="s">
        <v>224</v>
      </c>
      <c r="E1929" s="39" t="s">
        <v>672</v>
      </c>
      <c r="F1929" s="39" t="s">
        <v>470</v>
      </c>
      <c r="G1929" s="39" t="s">
        <v>327</v>
      </c>
      <c r="H1929" s="39" t="s">
        <v>4289</v>
      </c>
      <c r="I1929" s="39" t="s">
        <v>229</v>
      </c>
    </row>
    <row r="1930" ht="15.75" hidden="1" customHeight="1">
      <c r="A1930" s="36">
        <v>5936939.0</v>
      </c>
      <c r="B1930" s="37" t="s">
        <v>361</v>
      </c>
      <c r="C1930" s="37" t="s">
        <v>4290</v>
      </c>
      <c r="D1930" s="37" t="s">
        <v>224</v>
      </c>
      <c r="E1930" s="37" t="s">
        <v>563</v>
      </c>
      <c r="F1930" s="37" t="s">
        <v>312</v>
      </c>
      <c r="G1930" s="37" t="s">
        <v>258</v>
      </c>
      <c r="H1930" s="37" t="s">
        <v>4291</v>
      </c>
      <c r="I1930" s="37" t="s">
        <v>260</v>
      </c>
    </row>
    <row r="1931" ht="15.75" hidden="1" customHeight="1">
      <c r="A1931" s="38">
        <v>5489046.0</v>
      </c>
      <c r="B1931" s="39" t="s">
        <v>316</v>
      </c>
      <c r="C1931" s="39" t="s">
        <v>4292</v>
      </c>
      <c r="D1931" s="39" t="s">
        <v>331</v>
      </c>
      <c r="E1931" s="39" t="s">
        <v>1773</v>
      </c>
      <c r="F1931" s="39" t="s">
        <v>293</v>
      </c>
      <c r="G1931" s="39" t="s">
        <v>319</v>
      </c>
      <c r="H1931" s="39" t="s">
        <v>4293</v>
      </c>
      <c r="I1931" s="39" t="s">
        <v>229</v>
      </c>
    </row>
    <row r="1932" ht="15.75" hidden="1" customHeight="1">
      <c r="A1932" s="36">
        <v>6027943.0</v>
      </c>
      <c r="B1932" s="37" t="s">
        <v>361</v>
      </c>
      <c r="C1932" s="37" t="s">
        <v>4294</v>
      </c>
      <c r="D1932" s="37" t="s">
        <v>224</v>
      </c>
      <c r="E1932" s="37" t="s">
        <v>563</v>
      </c>
      <c r="F1932" s="37" t="s">
        <v>312</v>
      </c>
      <c r="G1932" s="37" t="s">
        <v>258</v>
      </c>
      <c r="H1932" s="37" t="s">
        <v>4295</v>
      </c>
      <c r="I1932" s="37" t="s">
        <v>260</v>
      </c>
    </row>
    <row r="1933" ht="15.75" hidden="1" customHeight="1">
      <c r="A1933" s="38">
        <v>5489048.0</v>
      </c>
      <c r="B1933" s="39" t="s">
        <v>323</v>
      </c>
      <c r="C1933" s="39" t="s">
        <v>4296</v>
      </c>
      <c r="D1933" s="39" t="s">
        <v>224</v>
      </c>
      <c r="E1933" s="39" t="s">
        <v>583</v>
      </c>
      <c r="F1933" s="39" t="s">
        <v>326</v>
      </c>
      <c r="G1933" s="39" t="s">
        <v>327</v>
      </c>
      <c r="H1933" s="39" t="s">
        <v>4297</v>
      </c>
      <c r="I1933" s="39" t="s">
        <v>229</v>
      </c>
    </row>
    <row r="1934" ht="15.75" hidden="1" customHeight="1">
      <c r="A1934" s="36">
        <v>5489051.0</v>
      </c>
      <c r="B1934" s="37" t="s">
        <v>695</v>
      </c>
      <c r="C1934" s="37" t="s">
        <v>4298</v>
      </c>
      <c r="D1934" s="37" t="s">
        <v>224</v>
      </c>
      <c r="E1934" s="37" t="s">
        <v>1518</v>
      </c>
      <c r="F1934" s="37" t="s">
        <v>698</v>
      </c>
      <c r="G1934" s="37" t="s">
        <v>541</v>
      </c>
      <c r="H1934" s="37" t="s">
        <v>4299</v>
      </c>
      <c r="I1934" s="37" t="s">
        <v>229</v>
      </c>
    </row>
    <row r="1935" ht="15.75" hidden="1" customHeight="1">
      <c r="A1935" s="38">
        <v>5489058.0</v>
      </c>
      <c r="B1935" s="39" t="s">
        <v>695</v>
      </c>
      <c r="C1935" s="39" t="s">
        <v>4300</v>
      </c>
      <c r="D1935" s="39" t="s">
        <v>224</v>
      </c>
      <c r="E1935" s="39" t="s">
        <v>1714</v>
      </c>
      <c r="F1935" s="39" t="s">
        <v>698</v>
      </c>
      <c r="G1935" s="39" t="s">
        <v>541</v>
      </c>
      <c r="H1935" s="39" t="s">
        <v>4301</v>
      </c>
      <c r="I1935" s="39" t="s">
        <v>229</v>
      </c>
    </row>
    <row r="1936" ht="15.75" hidden="1" customHeight="1">
      <c r="A1936" s="36">
        <v>5489059.0</v>
      </c>
      <c r="B1936" s="37" t="s">
        <v>1746</v>
      </c>
      <c r="C1936" s="37" t="s">
        <v>4302</v>
      </c>
      <c r="D1936" s="37" t="s">
        <v>224</v>
      </c>
      <c r="E1936" s="37" t="s">
        <v>1714</v>
      </c>
      <c r="F1936" s="37" t="s">
        <v>698</v>
      </c>
      <c r="G1936" s="37" t="s">
        <v>541</v>
      </c>
      <c r="H1936" s="37" t="s">
        <v>4303</v>
      </c>
      <c r="I1936" s="37" t="s">
        <v>229</v>
      </c>
    </row>
    <row r="1937" ht="15.75" hidden="1" customHeight="1">
      <c r="A1937" s="38">
        <v>5489414.0</v>
      </c>
      <c r="B1937" s="39" t="s">
        <v>1791</v>
      </c>
      <c r="C1937" s="39" t="s">
        <v>4304</v>
      </c>
      <c r="D1937" s="39" t="s">
        <v>224</v>
      </c>
      <c r="E1937" s="39" t="s">
        <v>2398</v>
      </c>
      <c r="F1937" s="39" t="s">
        <v>266</v>
      </c>
      <c r="G1937" s="39" t="s">
        <v>250</v>
      </c>
      <c r="H1937" s="39" t="s">
        <v>4305</v>
      </c>
      <c r="I1937" s="39" t="s">
        <v>229</v>
      </c>
    </row>
    <row r="1938" ht="15.75" hidden="1" customHeight="1">
      <c r="A1938" s="36">
        <v>5896389.0</v>
      </c>
      <c r="B1938" s="37" t="s">
        <v>361</v>
      </c>
      <c r="C1938" s="37" t="s">
        <v>4306</v>
      </c>
      <c r="D1938" s="37" t="s">
        <v>224</v>
      </c>
      <c r="E1938" s="37" t="s">
        <v>563</v>
      </c>
      <c r="F1938" s="37" t="s">
        <v>312</v>
      </c>
      <c r="G1938" s="37" t="s">
        <v>258</v>
      </c>
      <c r="H1938" s="37" t="s">
        <v>4307</v>
      </c>
      <c r="I1938" s="37" t="s">
        <v>260</v>
      </c>
    </row>
    <row r="1939" ht="15.75" hidden="1" customHeight="1">
      <c r="A1939" s="38">
        <v>5489426.0</v>
      </c>
      <c r="B1939" s="39" t="s">
        <v>537</v>
      </c>
      <c r="C1939" s="39" t="s">
        <v>4308</v>
      </c>
      <c r="D1939" s="39" t="s">
        <v>224</v>
      </c>
      <c r="E1939" s="39" t="s">
        <v>578</v>
      </c>
      <c r="F1939" s="39" t="s">
        <v>540</v>
      </c>
      <c r="G1939" s="39" t="s">
        <v>541</v>
      </c>
      <c r="H1939" s="39" t="s">
        <v>4309</v>
      </c>
      <c r="I1939" s="39" t="s">
        <v>229</v>
      </c>
    </row>
    <row r="1940" ht="15.75" hidden="1" customHeight="1">
      <c r="A1940" s="36">
        <v>5692874.0</v>
      </c>
      <c r="B1940" s="37" t="s">
        <v>361</v>
      </c>
      <c r="C1940" s="37" t="s">
        <v>4310</v>
      </c>
      <c r="D1940" s="37" t="s">
        <v>224</v>
      </c>
      <c r="E1940" s="37" t="s">
        <v>563</v>
      </c>
      <c r="F1940" s="37" t="s">
        <v>312</v>
      </c>
      <c r="G1940" s="37" t="s">
        <v>258</v>
      </c>
      <c r="H1940" s="37" t="s">
        <v>4311</v>
      </c>
      <c r="I1940" s="37" t="s">
        <v>260</v>
      </c>
    </row>
    <row r="1941" ht="15.75" hidden="1" customHeight="1">
      <c r="A1941" s="38">
        <v>5489430.0</v>
      </c>
      <c r="B1941" s="39" t="s">
        <v>555</v>
      </c>
      <c r="C1941" s="39" t="s">
        <v>4312</v>
      </c>
      <c r="D1941" s="39" t="s">
        <v>234</v>
      </c>
      <c r="E1941" s="39" t="s">
        <v>1069</v>
      </c>
      <c r="F1941" s="39" t="s">
        <v>558</v>
      </c>
      <c r="G1941" s="39" t="s">
        <v>541</v>
      </c>
      <c r="H1941" s="39" t="s">
        <v>4313</v>
      </c>
      <c r="I1941" s="39" t="s">
        <v>229</v>
      </c>
    </row>
    <row r="1942" ht="15.75" hidden="1" customHeight="1">
      <c r="A1942" s="36">
        <v>5896391.0</v>
      </c>
      <c r="B1942" s="37" t="s">
        <v>361</v>
      </c>
      <c r="C1942" s="37" t="s">
        <v>4314</v>
      </c>
      <c r="D1942" s="37" t="s">
        <v>224</v>
      </c>
      <c r="E1942" s="37" t="s">
        <v>563</v>
      </c>
      <c r="F1942" s="37" t="s">
        <v>312</v>
      </c>
      <c r="G1942" s="37" t="s">
        <v>258</v>
      </c>
      <c r="H1942" s="37" t="s">
        <v>4315</v>
      </c>
      <c r="I1942" s="37" t="s">
        <v>260</v>
      </c>
    </row>
    <row r="1943" ht="15.75" hidden="1" customHeight="1">
      <c r="A1943" s="38">
        <v>5350458.0</v>
      </c>
      <c r="B1943" s="39" t="s">
        <v>361</v>
      </c>
      <c r="C1943" s="39" t="s">
        <v>4316</v>
      </c>
      <c r="D1943" s="39" t="s">
        <v>224</v>
      </c>
      <c r="E1943" s="39" t="s">
        <v>563</v>
      </c>
      <c r="F1943" s="39" t="s">
        <v>312</v>
      </c>
      <c r="G1943" s="39" t="s">
        <v>258</v>
      </c>
      <c r="H1943" s="39" t="s">
        <v>4317</v>
      </c>
      <c r="I1943" s="39" t="s">
        <v>260</v>
      </c>
    </row>
    <row r="1944" ht="15.75" hidden="1" customHeight="1">
      <c r="A1944" s="36">
        <v>4907179.0</v>
      </c>
      <c r="B1944" s="37" t="s">
        <v>361</v>
      </c>
      <c r="C1944" s="37" t="s">
        <v>4318</v>
      </c>
      <c r="D1944" s="37" t="s">
        <v>224</v>
      </c>
      <c r="E1944" s="37" t="s">
        <v>563</v>
      </c>
      <c r="F1944" s="37" t="s">
        <v>312</v>
      </c>
      <c r="G1944" s="37" t="s">
        <v>258</v>
      </c>
      <c r="H1944" s="37" t="s">
        <v>4319</v>
      </c>
      <c r="I1944" s="37" t="s">
        <v>260</v>
      </c>
    </row>
    <row r="1945" ht="15.75" hidden="1" customHeight="1">
      <c r="A1945" s="38">
        <v>5491913.0</v>
      </c>
      <c r="B1945" s="39" t="s">
        <v>246</v>
      </c>
      <c r="C1945" s="39" t="s">
        <v>4320</v>
      </c>
      <c r="D1945" s="39" t="s">
        <v>224</v>
      </c>
      <c r="E1945" s="39" t="s">
        <v>598</v>
      </c>
      <c r="F1945" s="39" t="s">
        <v>249</v>
      </c>
      <c r="G1945" s="39" t="s">
        <v>250</v>
      </c>
      <c r="H1945" s="39" t="s">
        <v>4321</v>
      </c>
      <c r="I1945" s="39" t="s">
        <v>229</v>
      </c>
    </row>
    <row r="1946" ht="15.75" hidden="1" customHeight="1">
      <c r="A1946" s="36">
        <v>6085457.0</v>
      </c>
      <c r="B1946" s="37" t="s">
        <v>416</v>
      </c>
      <c r="C1946" s="37" t="s">
        <v>4322</v>
      </c>
      <c r="D1946" s="37" t="s">
        <v>224</v>
      </c>
      <c r="E1946" s="37" t="s">
        <v>3854</v>
      </c>
      <c r="F1946" s="37" t="s">
        <v>644</v>
      </c>
      <c r="G1946" s="37" t="s">
        <v>3</v>
      </c>
      <c r="H1946" s="37" t="s">
        <v>4323</v>
      </c>
      <c r="I1946" s="37" t="s">
        <v>260</v>
      </c>
      <c r="J1946" s="1">
        <v>42.0</v>
      </c>
      <c r="L1946" s="40" t="s">
        <v>121</v>
      </c>
    </row>
    <row r="1947" ht="15.75" hidden="1" customHeight="1">
      <c r="A1947" s="38">
        <v>6085496.0</v>
      </c>
      <c r="B1947" s="39" t="s">
        <v>113</v>
      </c>
      <c r="C1947" s="39" t="s">
        <v>4324</v>
      </c>
      <c r="D1947" s="39" t="s">
        <v>224</v>
      </c>
      <c r="E1947" s="39" t="s">
        <v>3854</v>
      </c>
      <c r="F1947" s="39" t="s">
        <v>644</v>
      </c>
      <c r="G1947" s="39" t="s">
        <v>3</v>
      </c>
      <c r="H1947" s="39" t="s">
        <v>4325</v>
      </c>
      <c r="I1947" s="39" t="s">
        <v>260</v>
      </c>
      <c r="J1947" s="1">
        <v>42.0</v>
      </c>
      <c r="L1947" s="40" t="s">
        <v>416</v>
      </c>
    </row>
    <row r="1948" ht="15.75" hidden="1" customHeight="1">
      <c r="A1948" s="36">
        <v>6075956.0</v>
      </c>
      <c r="B1948" s="37" t="s">
        <v>113</v>
      </c>
      <c r="C1948" s="37" t="s">
        <v>4326</v>
      </c>
      <c r="D1948" s="37" t="s">
        <v>224</v>
      </c>
      <c r="E1948" s="37" t="s">
        <v>3854</v>
      </c>
      <c r="F1948" s="37" t="s">
        <v>644</v>
      </c>
      <c r="G1948" s="37" t="s">
        <v>3</v>
      </c>
      <c r="H1948" s="37" t="s">
        <v>4327</v>
      </c>
      <c r="I1948" s="37" t="s">
        <v>260</v>
      </c>
      <c r="J1948" s="1">
        <v>42.0</v>
      </c>
      <c r="L1948" s="40" t="s">
        <v>113</v>
      </c>
    </row>
    <row r="1949" ht="15.75" hidden="1" customHeight="1">
      <c r="A1949" s="38">
        <v>5814421.0</v>
      </c>
      <c r="B1949" s="39" t="s">
        <v>113</v>
      </c>
      <c r="C1949" s="39" t="s">
        <v>4328</v>
      </c>
      <c r="D1949" s="39" t="s">
        <v>224</v>
      </c>
      <c r="E1949" s="39" t="s">
        <v>3854</v>
      </c>
      <c r="F1949" s="39" t="s">
        <v>644</v>
      </c>
      <c r="G1949" s="39" t="s">
        <v>3</v>
      </c>
      <c r="H1949" s="39" t="s">
        <v>4329</v>
      </c>
      <c r="I1949" s="39" t="s">
        <v>260</v>
      </c>
      <c r="J1949" s="1">
        <v>42.0</v>
      </c>
      <c r="L1949" s="40" t="s">
        <v>113</v>
      </c>
    </row>
    <row r="1950" ht="15.75" hidden="1" customHeight="1">
      <c r="A1950" s="36">
        <v>5492007.0</v>
      </c>
      <c r="B1950" s="37" t="s">
        <v>835</v>
      </c>
      <c r="C1950" s="37" t="s">
        <v>4330</v>
      </c>
      <c r="D1950" s="37" t="s">
        <v>224</v>
      </c>
      <c r="E1950" s="37" t="s">
        <v>837</v>
      </c>
      <c r="F1950" s="37" t="s">
        <v>377</v>
      </c>
      <c r="G1950" s="37" t="s">
        <v>327</v>
      </c>
      <c r="H1950" s="37" t="s">
        <v>4331</v>
      </c>
      <c r="I1950" s="37" t="s">
        <v>229</v>
      </c>
    </row>
    <row r="1951" ht="15.75" hidden="1" customHeight="1">
      <c r="A1951" s="38">
        <v>6085939.0</v>
      </c>
      <c r="B1951" s="39" t="s">
        <v>416</v>
      </c>
      <c r="C1951" s="39" t="s">
        <v>4332</v>
      </c>
      <c r="D1951" s="39" t="s">
        <v>224</v>
      </c>
      <c r="E1951" s="39" t="s">
        <v>3854</v>
      </c>
      <c r="F1951" s="39" t="s">
        <v>644</v>
      </c>
      <c r="G1951" s="39" t="s">
        <v>3</v>
      </c>
      <c r="H1951" s="39" t="s">
        <v>4333</v>
      </c>
      <c r="I1951" s="39" t="s">
        <v>260</v>
      </c>
      <c r="J1951" s="1">
        <v>42.0</v>
      </c>
      <c r="L1951" s="40" t="s">
        <v>113</v>
      </c>
    </row>
    <row r="1952" ht="15.75" hidden="1" customHeight="1">
      <c r="A1952" s="36">
        <v>6082860.0</v>
      </c>
      <c r="B1952" s="37" t="s">
        <v>416</v>
      </c>
      <c r="C1952" s="37" t="s">
        <v>4334</v>
      </c>
      <c r="D1952" s="37" t="s">
        <v>224</v>
      </c>
      <c r="E1952" s="37" t="s">
        <v>3854</v>
      </c>
      <c r="F1952" s="37" t="s">
        <v>644</v>
      </c>
      <c r="G1952" s="37" t="s">
        <v>3</v>
      </c>
      <c r="H1952" s="37" t="s">
        <v>4335</v>
      </c>
      <c r="I1952" s="37" t="s">
        <v>260</v>
      </c>
      <c r="J1952" s="1">
        <v>42.0</v>
      </c>
      <c r="L1952" s="40" t="s">
        <v>416</v>
      </c>
    </row>
    <row r="1953" ht="15.75" hidden="1" customHeight="1">
      <c r="A1953" s="38">
        <v>5492745.0</v>
      </c>
      <c r="B1953" s="39" t="s">
        <v>289</v>
      </c>
      <c r="C1953" s="39" t="s">
        <v>4336</v>
      </c>
      <c r="D1953" s="39" t="s">
        <v>224</v>
      </c>
      <c r="E1953" s="39" t="s">
        <v>1048</v>
      </c>
      <c r="F1953" s="39" t="s">
        <v>292</v>
      </c>
      <c r="G1953" s="39" t="s">
        <v>293</v>
      </c>
      <c r="H1953" s="39" t="s">
        <v>4337</v>
      </c>
      <c r="I1953" s="39" t="s">
        <v>229</v>
      </c>
    </row>
    <row r="1954" ht="15.75" hidden="1" customHeight="1">
      <c r="A1954" s="36">
        <v>5655519.0</v>
      </c>
      <c r="B1954" s="37" t="s">
        <v>113</v>
      </c>
      <c r="C1954" s="37" t="s">
        <v>4338</v>
      </c>
      <c r="D1954" s="37" t="s">
        <v>331</v>
      </c>
      <c r="E1954" s="37" t="s">
        <v>3854</v>
      </c>
      <c r="F1954" s="37" t="s">
        <v>644</v>
      </c>
      <c r="G1954" s="37" t="s">
        <v>3</v>
      </c>
      <c r="H1954" s="37" t="s">
        <v>4339</v>
      </c>
      <c r="I1954" s="37" t="s">
        <v>260</v>
      </c>
      <c r="J1954" s="1">
        <v>42.0</v>
      </c>
      <c r="L1954" s="40" t="s">
        <v>416</v>
      </c>
    </row>
    <row r="1955" ht="15.75" hidden="1" customHeight="1">
      <c r="A1955" s="38">
        <v>6075228.0</v>
      </c>
      <c r="B1955" s="39" t="s">
        <v>416</v>
      </c>
      <c r="C1955" s="39" t="s">
        <v>4340</v>
      </c>
      <c r="D1955" s="39" t="s">
        <v>224</v>
      </c>
      <c r="E1955" s="39" t="s">
        <v>3854</v>
      </c>
      <c r="F1955" s="39" t="s">
        <v>644</v>
      </c>
      <c r="G1955" s="39" t="s">
        <v>3</v>
      </c>
      <c r="H1955" s="39" t="s">
        <v>4341</v>
      </c>
      <c r="I1955" s="39" t="s">
        <v>260</v>
      </c>
      <c r="J1955" s="1">
        <v>42.0</v>
      </c>
      <c r="L1955" s="40" t="s">
        <v>113</v>
      </c>
    </row>
    <row r="1956" ht="15.75" hidden="1" customHeight="1">
      <c r="A1956" s="36">
        <v>6076029.0</v>
      </c>
      <c r="B1956" s="37" t="s">
        <v>113</v>
      </c>
      <c r="C1956" s="37" t="s">
        <v>4342</v>
      </c>
      <c r="D1956" s="37" t="s">
        <v>224</v>
      </c>
      <c r="E1956" s="37" t="s">
        <v>3854</v>
      </c>
      <c r="F1956" s="37" t="s">
        <v>644</v>
      </c>
      <c r="G1956" s="37" t="s">
        <v>3</v>
      </c>
      <c r="H1956" s="37" t="s">
        <v>4343</v>
      </c>
      <c r="I1956" s="37" t="s">
        <v>260</v>
      </c>
      <c r="J1956" s="1">
        <v>42.0</v>
      </c>
      <c r="L1956" s="40" t="s">
        <v>416</v>
      </c>
    </row>
    <row r="1957" ht="15.75" hidden="1" customHeight="1">
      <c r="A1957" s="38">
        <v>5493567.0</v>
      </c>
      <c r="B1957" s="39" t="s">
        <v>1143</v>
      </c>
      <c r="C1957" s="39" t="s">
        <v>4344</v>
      </c>
      <c r="D1957" s="39" t="s">
        <v>224</v>
      </c>
      <c r="E1957" s="39" t="s">
        <v>1145</v>
      </c>
      <c r="F1957" s="39" t="s">
        <v>292</v>
      </c>
      <c r="G1957" s="39" t="s">
        <v>293</v>
      </c>
      <c r="H1957" s="39" t="s">
        <v>4345</v>
      </c>
      <c r="I1957" s="39" t="s">
        <v>229</v>
      </c>
    </row>
    <row r="1958" ht="15.75" hidden="1" customHeight="1">
      <c r="A1958" s="36">
        <v>5334857.0</v>
      </c>
      <c r="B1958" s="37" t="s">
        <v>113</v>
      </c>
      <c r="C1958" s="37" t="s">
        <v>4346</v>
      </c>
      <c r="D1958" s="37" t="s">
        <v>224</v>
      </c>
      <c r="E1958" s="37" t="s">
        <v>3854</v>
      </c>
      <c r="F1958" s="37" t="s">
        <v>644</v>
      </c>
      <c r="G1958" s="37" t="s">
        <v>3</v>
      </c>
      <c r="H1958" s="37" t="s">
        <v>4347</v>
      </c>
      <c r="I1958" s="37" t="s">
        <v>260</v>
      </c>
      <c r="J1958" s="1">
        <v>42.0</v>
      </c>
      <c r="L1958" s="40" t="s">
        <v>113</v>
      </c>
    </row>
    <row r="1959" ht="15.75" hidden="1" customHeight="1">
      <c r="A1959" s="38">
        <v>6085468.0</v>
      </c>
      <c r="B1959" s="39" t="s">
        <v>113</v>
      </c>
      <c r="C1959" s="39" t="s">
        <v>4348</v>
      </c>
      <c r="D1959" s="39" t="s">
        <v>224</v>
      </c>
      <c r="E1959" s="39" t="s">
        <v>3854</v>
      </c>
      <c r="F1959" s="39" t="s">
        <v>644</v>
      </c>
      <c r="G1959" s="39" t="s">
        <v>3</v>
      </c>
      <c r="H1959" s="39" t="s">
        <v>4349</v>
      </c>
      <c r="I1959" s="39" t="s">
        <v>260</v>
      </c>
      <c r="J1959" s="1">
        <v>42.0</v>
      </c>
      <c r="L1959" s="40" t="s">
        <v>113</v>
      </c>
    </row>
    <row r="1960" ht="15.75" hidden="1" customHeight="1">
      <c r="A1960" s="36">
        <v>6075229.0</v>
      </c>
      <c r="B1960" s="37" t="s">
        <v>416</v>
      </c>
      <c r="C1960" s="37" t="s">
        <v>4350</v>
      </c>
      <c r="D1960" s="37" t="s">
        <v>224</v>
      </c>
      <c r="E1960" s="37" t="s">
        <v>3854</v>
      </c>
      <c r="F1960" s="37" t="s">
        <v>644</v>
      </c>
      <c r="G1960" s="37" t="s">
        <v>3</v>
      </c>
      <c r="H1960" s="37" t="s">
        <v>4351</v>
      </c>
      <c r="I1960" s="37" t="s">
        <v>260</v>
      </c>
      <c r="J1960" s="1">
        <v>42.0</v>
      </c>
      <c r="L1960" s="40" t="s">
        <v>113</v>
      </c>
    </row>
    <row r="1961" ht="15.75" hidden="1" customHeight="1">
      <c r="A1961" s="38">
        <v>6085952.0</v>
      </c>
      <c r="B1961" s="39" t="s">
        <v>113</v>
      </c>
      <c r="C1961" s="39" t="s">
        <v>4352</v>
      </c>
      <c r="D1961" s="39" t="s">
        <v>224</v>
      </c>
      <c r="E1961" s="39" t="s">
        <v>3854</v>
      </c>
      <c r="F1961" s="39" t="s">
        <v>644</v>
      </c>
      <c r="G1961" s="39" t="s">
        <v>3</v>
      </c>
      <c r="H1961" s="39" t="s">
        <v>4353</v>
      </c>
      <c r="I1961" s="39" t="s">
        <v>260</v>
      </c>
      <c r="J1961" s="1">
        <v>42.0</v>
      </c>
      <c r="L1961" s="40" t="s">
        <v>416</v>
      </c>
    </row>
    <row r="1962" ht="15.75" hidden="1" customHeight="1">
      <c r="A1962" s="36">
        <v>5495338.0</v>
      </c>
      <c r="B1962" s="37" t="s">
        <v>246</v>
      </c>
      <c r="C1962" s="37" t="s">
        <v>4354</v>
      </c>
      <c r="D1962" s="37" t="s">
        <v>224</v>
      </c>
      <c r="E1962" s="37" t="s">
        <v>598</v>
      </c>
      <c r="F1962" s="37" t="s">
        <v>249</v>
      </c>
      <c r="G1962" s="37" t="s">
        <v>250</v>
      </c>
      <c r="H1962" s="37" t="s">
        <v>4355</v>
      </c>
      <c r="I1962" s="37" t="s">
        <v>229</v>
      </c>
    </row>
    <row r="1963" ht="15.75" hidden="1" customHeight="1">
      <c r="A1963" s="38">
        <v>6076286.0</v>
      </c>
      <c r="B1963" s="39" t="s">
        <v>416</v>
      </c>
      <c r="C1963" s="39" t="s">
        <v>4356</v>
      </c>
      <c r="D1963" s="39" t="s">
        <v>224</v>
      </c>
      <c r="E1963" s="39" t="s">
        <v>3854</v>
      </c>
      <c r="F1963" s="39" t="s">
        <v>644</v>
      </c>
      <c r="G1963" s="39" t="s">
        <v>3</v>
      </c>
      <c r="H1963" s="39" t="s">
        <v>4357</v>
      </c>
      <c r="I1963" s="39" t="s">
        <v>260</v>
      </c>
      <c r="J1963" s="1">
        <v>42.0</v>
      </c>
      <c r="L1963" s="40" t="s">
        <v>113</v>
      </c>
    </row>
    <row r="1964" ht="15.75" hidden="1" customHeight="1">
      <c r="A1964" s="36">
        <v>6075226.0</v>
      </c>
      <c r="B1964" s="37" t="s">
        <v>416</v>
      </c>
      <c r="C1964" s="37" t="s">
        <v>4358</v>
      </c>
      <c r="D1964" s="37" t="s">
        <v>224</v>
      </c>
      <c r="E1964" s="37" t="s">
        <v>3854</v>
      </c>
      <c r="F1964" s="37" t="s">
        <v>644</v>
      </c>
      <c r="G1964" s="37" t="s">
        <v>3</v>
      </c>
      <c r="H1964" s="37" t="s">
        <v>4359</v>
      </c>
      <c r="I1964" s="37" t="s">
        <v>260</v>
      </c>
      <c r="J1964" s="1">
        <v>42.0</v>
      </c>
      <c r="L1964" s="40" t="s">
        <v>416</v>
      </c>
    </row>
    <row r="1965" ht="15.75" hidden="1" customHeight="1">
      <c r="A1965" s="38">
        <v>5495425.0</v>
      </c>
      <c r="B1965" s="39" t="s">
        <v>695</v>
      </c>
      <c r="C1965" s="39" t="s">
        <v>4360</v>
      </c>
      <c r="D1965" s="39" t="s">
        <v>224</v>
      </c>
      <c r="E1965" s="39" t="s">
        <v>1697</v>
      </c>
      <c r="F1965" s="39" t="s">
        <v>698</v>
      </c>
      <c r="G1965" s="39" t="s">
        <v>541</v>
      </c>
      <c r="H1965" s="39" t="s">
        <v>4361</v>
      </c>
      <c r="I1965" s="39" t="s">
        <v>229</v>
      </c>
    </row>
    <row r="1966" ht="15.75" hidden="1" customHeight="1">
      <c r="A1966" s="36">
        <v>5495495.0</v>
      </c>
      <c r="B1966" s="37" t="s">
        <v>1143</v>
      </c>
      <c r="C1966" s="37" t="s">
        <v>4362</v>
      </c>
      <c r="D1966" s="37" t="s">
        <v>224</v>
      </c>
      <c r="E1966" s="37" t="s">
        <v>1145</v>
      </c>
      <c r="F1966" s="37" t="s">
        <v>292</v>
      </c>
      <c r="G1966" s="37" t="s">
        <v>293</v>
      </c>
      <c r="H1966" s="37" t="s">
        <v>4363</v>
      </c>
      <c r="I1966" s="37" t="s">
        <v>229</v>
      </c>
    </row>
    <row r="1967" ht="15.75" hidden="1" customHeight="1">
      <c r="A1967" s="38">
        <v>5496416.0</v>
      </c>
      <c r="B1967" s="39" t="s">
        <v>232</v>
      </c>
      <c r="C1967" s="39" t="s">
        <v>4364</v>
      </c>
      <c r="D1967" s="39" t="s">
        <v>224</v>
      </c>
      <c r="E1967" s="39" t="s">
        <v>1207</v>
      </c>
      <c r="F1967" s="39" t="s">
        <v>226</v>
      </c>
      <c r="G1967" s="39" t="s">
        <v>227</v>
      </c>
      <c r="H1967" s="39" t="s">
        <v>4365</v>
      </c>
      <c r="I1967" s="39" t="s">
        <v>229</v>
      </c>
    </row>
    <row r="1968" ht="15.75" hidden="1" customHeight="1">
      <c r="A1968" s="36">
        <v>5502407.0</v>
      </c>
      <c r="B1968" s="37" t="s">
        <v>232</v>
      </c>
      <c r="C1968" s="37" t="s">
        <v>4366</v>
      </c>
      <c r="D1968" s="37" t="s">
        <v>224</v>
      </c>
      <c r="E1968" s="37" t="s">
        <v>790</v>
      </c>
      <c r="F1968" s="37" t="s">
        <v>226</v>
      </c>
      <c r="G1968" s="37" t="s">
        <v>227</v>
      </c>
      <c r="H1968" s="37" t="s">
        <v>4367</v>
      </c>
      <c r="I1968" s="37" t="s">
        <v>229</v>
      </c>
    </row>
    <row r="1969" ht="15.75" hidden="1" customHeight="1">
      <c r="A1969" s="38">
        <v>4609757.0</v>
      </c>
      <c r="B1969" s="39" t="s">
        <v>1602</v>
      </c>
      <c r="C1969" s="39" t="s">
        <v>4368</v>
      </c>
      <c r="D1969" s="39" t="s">
        <v>224</v>
      </c>
      <c r="E1969" s="39" t="s">
        <v>1604</v>
      </c>
      <c r="F1969" s="39" t="s">
        <v>540</v>
      </c>
      <c r="G1969" s="39" t="s">
        <v>541</v>
      </c>
      <c r="H1969" s="39" t="s">
        <v>4369</v>
      </c>
      <c r="I1969" s="39" t="s">
        <v>229</v>
      </c>
    </row>
    <row r="1970" ht="15.75" hidden="1" customHeight="1">
      <c r="A1970" s="36">
        <v>5503324.0</v>
      </c>
      <c r="B1970" s="37" t="s">
        <v>794</v>
      </c>
      <c r="C1970" s="37" t="s">
        <v>4370</v>
      </c>
      <c r="D1970" s="37" t="s">
        <v>224</v>
      </c>
      <c r="E1970" s="37" t="s">
        <v>1453</v>
      </c>
      <c r="F1970" s="37" t="s">
        <v>293</v>
      </c>
      <c r="G1970" s="37" t="s">
        <v>319</v>
      </c>
      <c r="H1970" s="37" t="s">
        <v>4371</v>
      </c>
      <c r="I1970" s="37" t="s">
        <v>229</v>
      </c>
    </row>
    <row r="1971" ht="15.75" hidden="1" customHeight="1">
      <c r="A1971" s="38">
        <v>6076154.0</v>
      </c>
      <c r="B1971" s="39" t="s">
        <v>537</v>
      </c>
      <c r="C1971" s="39" t="s">
        <v>4372</v>
      </c>
      <c r="D1971" s="39" t="s">
        <v>224</v>
      </c>
      <c r="E1971" s="39" t="s">
        <v>1604</v>
      </c>
      <c r="F1971" s="39" t="s">
        <v>540</v>
      </c>
      <c r="G1971" s="39" t="s">
        <v>541</v>
      </c>
      <c r="H1971" s="39" t="s">
        <v>4373</v>
      </c>
      <c r="I1971" s="39" t="s">
        <v>229</v>
      </c>
    </row>
    <row r="1972" ht="15.75" hidden="1" customHeight="1">
      <c r="A1972" s="36">
        <v>5503621.0</v>
      </c>
      <c r="B1972" s="37" t="s">
        <v>3225</v>
      </c>
      <c r="C1972" s="37" t="s">
        <v>4374</v>
      </c>
      <c r="D1972" s="37" t="s">
        <v>224</v>
      </c>
      <c r="E1972" s="37" t="s">
        <v>578</v>
      </c>
      <c r="F1972" s="37" t="s">
        <v>540</v>
      </c>
      <c r="G1972" s="37" t="s">
        <v>541</v>
      </c>
      <c r="H1972" s="37" t="s">
        <v>4375</v>
      </c>
      <c r="I1972" s="37" t="s">
        <v>229</v>
      </c>
    </row>
    <row r="1973" ht="15.75" hidden="1" customHeight="1">
      <c r="A1973" s="38">
        <v>5503876.0</v>
      </c>
      <c r="B1973" s="39" t="s">
        <v>478</v>
      </c>
      <c r="C1973" s="39" t="s">
        <v>4376</v>
      </c>
      <c r="D1973" s="39" t="s">
        <v>224</v>
      </c>
      <c r="E1973" s="39" t="s">
        <v>1323</v>
      </c>
      <c r="F1973" s="39" t="s">
        <v>481</v>
      </c>
      <c r="G1973" s="39" t="s">
        <v>293</v>
      </c>
      <c r="H1973" s="39" t="s">
        <v>4377</v>
      </c>
      <c r="I1973" s="39" t="s">
        <v>229</v>
      </c>
    </row>
    <row r="1974" ht="15.75" hidden="1" customHeight="1">
      <c r="A1974" s="36">
        <v>5529068.0</v>
      </c>
      <c r="B1974" s="37" t="s">
        <v>1602</v>
      </c>
      <c r="C1974" s="37" t="s">
        <v>4378</v>
      </c>
      <c r="D1974" s="37" t="s">
        <v>224</v>
      </c>
      <c r="E1974" s="37" t="s">
        <v>1604</v>
      </c>
      <c r="F1974" s="37" t="s">
        <v>540</v>
      </c>
      <c r="G1974" s="37" t="s">
        <v>541</v>
      </c>
      <c r="H1974" s="37" t="s">
        <v>4379</v>
      </c>
      <c r="I1974" s="37" t="s">
        <v>229</v>
      </c>
    </row>
    <row r="1975" ht="15.75" hidden="1" customHeight="1">
      <c r="A1975" s="38">
        <v>5506009.0</v>
      </c>
      <c r="B1975" s="39" t="s">
        <v>847</v>
      </c>
      <c r="C1975" s="39" t="s">
        <v>4380</v>
      </c>
      <c r="D1975" s="39" t="s">
        <v>224</v>
      </c>
      <c r="E1975" s="39" t="s">
        <v>849</v>
      </c>
      <c r="F1975" s="39" t="s">
        <v>333</v>
      </c>
      <c r="G1975" s="39" t="s">
        <v>301</v>
      </c>
      <c r="H1975" s="39" t="s">
        <v>4381</v>
      </c>
      <c r="I1975" s="39" t="s">
        <v>229</v>
      </c>
    </row>
    <row r="1976" ht="15.75" hidden="1" customHeight="1">
      <c r="A1976" s="36">
        <v>6019102.0</v>
      </c>
      <c r="B1976" s="37" t="s">
        <v>2285</v>
      </c>
      <c r="C1976" s="37" t="s">
        <v>4382</v>
      </c>
      <c r="D1976" s="37" t="s">
        <v>224</v>
      </c>
      <c r="E1976" s="37" t="s">
        <v>1604</v>
      </c>
      <c r="F1976" s="37" t="s">
        <v>540</v>
      </c>
      <c r="G1976" s="37" t="s">
        <v>541</v>
      </c>
      <c r="H1976" s="37" t="s">
        <v>4383</v>
      </c>
      <c r="I1976" s="37" t="s">
        <v>229</v>
      </c>
    </row>
    <row r="1977" ht="15.75" hidden="1" customHeight="1">
      <c r="A1977" s="38">
        <v>5883525.0</v>
      </c>
      <c r="B1977" s="39" t="s">
        <v>2285</v>
      </c>
      <c r="C1977" s="39" t="s">
        <v>4384</v>
      </c>
      <c r="D1977" s="39" t="s">
        <v>224</v>
      </c>
      <c r="E1977" s="39" t="s">
        <v>1604</v>
      </c>
      <c r="F1977" s="39" t="s">
        <v>540</v>
      </c>
      <c r="G1977" s="39" t="s">
        <v>541</v>
      </c>
      <c r="H1977" s="39" t="s">
        <v>4385</v>
      </c>
      <c r="I1977" s="39" t="s">
        <v>229</v>
      </c>
    </row>
    <row r="1978" ht="15.75" hidden="1" customHeight="1">
      <c r="A1978" s="36">
        <v>6076157.0</v>
      </c>
      <c r="B1978" s="37" t="s">
        <v>537</v>
      </c>
      <c r="C1978" s="37" t="s">
        <v>4386</v>
      </c>
      <c r="D1978" s="37" t="s">
        <v>224</v>
      </c>
      <c r="E1978" s="37" t="s">
        <v>1604</v>
      </c>
      <c r="F1978" s="37" t="s">
        <v>540</v>
      </c>
      <c r="G1978" s="37" t="s">
        <v>541</v>
      </c>
      <c r="H1978" s="37" t="s">
        <v>4387</v>
      </c>
      <c r="I1978" s="37" t="s">
        <v>229</v>
      </c>
    </row>
    <row r="1979" ht="15.75" hidden="1" customHeight="1">
      <c r="A1979" s="38">
        <v>5863785.0</v>
      </c>
      <c r="B1979" s="39" t="s">
        <v>2285</v>
      </c>
      <c r="C1979" s="39" t="s">
        <v>4388</v>
      </c>
      <c r="D1979" s="39" t="s">
        <v>224</v>
      </c>
      <c r="E1979" s="39" t="s">
        <v>1604</v>
      </c>
      <c r="F1979" s="39" t="s">
        <v>540</v>
      </c>
      <c r="G1979" s="39" t="s">
        <v>541</v>
      </c>
      <c r="H1979" s="39" t="s">
        <v>4389</v>
      </c>
      <c r="I1979" s="39" t="s">
        <v>229</v>
      </c>
    </row>
    <row r="1980" ht="15.75" hidden="1" customHeight="1">
      <c r="A1980" s="36">
        <v>5507103.0</v>
      </c>
      <c r="B1980" s="37" t="s">
        <v>478</v>
      </c>
      <c r="C1980" s="37" t="s">
        <v>4390</v>
      </c>
      <c r="D1980" s="37" t="s">
        <v>224</v>
      </c>
      <c r="E1980" s="37" t="s">
        <v>480</v>
      </c>
      <c r="F1980" s="37" t="s">
        <v>481</v>
      </c>
      <c r="G1980" s="37" t="s">
        <v>293</v>
      </c>
      <c r="H1980" s="37" t="s">
        <v>4391</v>
      </c>
      <c r="I1980" s="37" t="s">
        <v>229</v>
      </c>
    </row>
    <row r="1981" ht="15.75" hidden="1" customHeight="1">
      <c r="A1981" s="38">
        <v>5507104.0</v>
      </c>
      <c r="B1981" s="39" t="s">
        <v>555</v>
      </c>
      <c r="C1981" s="39" t="s">
        <v>4392</v>
      </c>
      <c r="D1981" s="39" t="s">
        <v>224</v>
      </c>
      <c r="E1981" s="39" t="s">
        <v>1069</v>
      </c>
      <c r="F1981" s="39" t="s">
        <v>558</v>
      </c>
      <c r="G1981" s="39" t="s">
        <v>541</v>
      </c>
      <c r="H1981" s="39" t="s">
        <v>4393</v>
      </c>
      <c r="I1981" s="39" t="s">
        <v>229</v>
      </c>
    </row>
    <row r="1982" ht="15.75" hidden="1" customHeight="1">
      <c r="A1982" s="36">
        <v>6076155.0</v>
      </c>
      <c r="B1982" s="37" t="s">
        <v>1602</v>
      </c>
      <c r="C1982" s="37" t="s">
        <v>4394</v>
      </c>
      <c r="D1982" s="37" t="s">
        <v>224</v>
      </c>
      <c r="E1982" s="37" t="s">
        <v>578</v>
      </c>
      <c r="F1982" s="37" t="s">
        <v>540</v>
      </c>
      <c r="G1982" s="37" t="s">
        <v>541</v>
      </c>
      <c r="H1982" s="37" t="s">
        <v>4395</v>
      </c>
      <c r="I1982" s="37" t="s">
        <v>229</v>
      </c>
    </row>
    <row r="1983" ht="15.75" hidden="1" customHeight="1">
      <c r="A1983" s="38">
        <v>5507108.0</v>
      </c>
      <c r="B1983" s="39" t="s">
        <v>4119</v>
      </c>
      <c r="C1983" s="39" t="s">
        <v>4396</v>
      </c>
      <c r="D1983" s="39" t="s">
        <v>224</v>
      </c>
      <c r="E1983" s="39" t="s">
        <v>875</v>
      </c>
      <c r="F1983" s="39" t="s">
        <v>312</v>
      </c>
      <c r="G1983" s="39" t="s">
        <v>258</v>
      </c>
      <c r="H1983" s="39" t="s">
        <v>4397</v>
      </c>
      <c r="I1983" s="39" t="s">
        <v>260</v>
      </c>
    </row>
    <row r="1984" ht="15.75" hidden="1" customHeight="1">
      <c r="A1984" s="36">
        <v>5508828.0</v>
      </c>
      <c r="B1984" s="37" t="s">
        <v>416</v>
      </c>
      <c r="C1984" s="37" t="s">
        <v>4398</v>
      </c>
      <c r="D1984" s="37" t="s">
        <v>224</v>
      </c>
      <c r="E1984" s="37" t="s">
        <v>2307</v>
      </c>
      <c r="F1984" s="37" t="s">
        <v>421</v>
      </c>
      <c r="G1984" s="37" t="s">
        <v>227</v>
      </c>
      <c r="H1984" s="37" t="s">
        <v>4399</v>
      </c>
      <c r="I1984" s="37" t="s">
        <v>260</v>
      </c>
    </row>
    <row r="1985" ht="15.75" hidden="1" customHeight="1">
      <c r="A1985" s="38">
        <v>6033447.0</v>
      </c>
      <c r="B1985" s="39" t="s">
        <v>537</v>
      </c>
      <c r="C1985" s="39" t="s">
        <v>4400</v>
      </c>
      <c r="D1985" s="39" t="s">
        <v>224</v>
      </c>
      <c r="E1985" s="39" t="s">
        <v>578</v>
      </c>
      <c r="F1985" s="39" t="s">
        <v>540</v>
      </c>
      <c r="G1985" s="39" t="s">
        <v>541</v>
      </c>
      <c r="H1985" s="39" t="s">
        <v>4401</v>
      </c>
      <c r="I1985" s="39" t="s">
        <v>229</v>
      </c>
    </row>
    <row r="1986" ht="15.75" hidden="1" customHeight="1">
      <c r="A1986" s="36">
        <v>6076158.0</v>
      </c>
      <c r="B1986" s="37" t="s">
        <v>3225</v>
      </c>
      <c r="C1986" s="37" t="s">
        <v>4402</v>
      </c>
      <c r="D1986" s="37" t="s">
        <v>224</v>
      </c>
      <c r="E1986" s="37" t="s">
        <v>578</v>
      </c>
      <c r="F1986" s="37" t="s">
        <v>540</v>
      </c>
      <c r="G1986" s="37" t="s">
        <v>541</v>
      </c>
      <c r="H1986" s="37" t="s">
        <v>4403</v>
      </c>
      <c r="I1986" s="37" t="s">
        <v>229</v>
      </c>
    </row>
    <row r="1987" ht="15.75" hidden="1" customHeight="1">
      <c r="A1987" s="38">
        <v>5528866.0</v>
      </c>
      <c r="B1987" s="39" t="s">
        <v>1602</v>
      </c>
      <c r="C1987" s="39" t="s">
        <v>4404</v>
      </c>
      <c r="D1987" s="39" t="s">
        <v>224</v>
      </c>
      <c r="E1987" s="39" t="s">
        <v>578</v>
      </c>
      <c r="F1987" s="39" t="s">
        <v>540</v>
      </c>
      <c r="G1987" s="39" t="s">
        <v>541</v>
      </c>
      <c r="H1987" s="39" t="s">
        <v>4405</v>
      </c>
      <c r="I1987" s="39" t="s">
        <v>229</v>
      </c>
    </row>
    <row r="1988" ht="15.75" hidden="1" customHeight="1">
      <c r="A1988" s="36">
        <v>5508888.0</v>
      </c>
      <c r="B1988" s="37" t="s">
        <v>841</v>
      </c>
      <c r="C1988" s="37" t="s">
        <v>4406</v>
      </c>
      <c r="D1988" s="37" t="s">
        <v>224</v>
      </c>
      <c r="E1988" s="37" t="s">
        <v>843</v>
      </c>
      <c r="F1988" s="37" t="s">
        <v>242</v>
      </c>
      <c r="G1988" s="37" t="s">
        <v>227</v>
      </c>
      <c r="H1988" s="37" t="s">
        <v>4407</v>
      </c>
      <c r="I1988" s="37" t="s">
        <v>229</v>
      </c>
    </row>
    <row r="1989" ht="15.75" hidden="1" customHeight="1">
      <c r="A1989" s="38">
        <v>5666856.0</v>
      </c>
      <c r="B1989" s="39" t="s">
        <v>537</v>
      </c>
      <c r="C1989" s="39" t="s">
        <v>4408</v>
      </c>
      <c r="D1989" s="39" t="s">
        <v>224</v>
      </c>
      <c r="E1989" s="39" t="s">
        <v>578</v>
      </c>
      <c r="F1989" s="39" t="s">
        <v>540</v>
      </c>
      <c r="G1989" s="39" t="s">
        <v>541</v>
      </c>
      <c r="H1989" s="39" t="s">
        <v>4409</v>
      </c>
      <c r="I1989" s="39" t="s">
        <v>229</v>
      </c>
    </row>
    <row r="1990" ht="15.75" hidden="1" customHeight="1">
      <c r="A1990" s="36">
        <v>5513326.0</v>
      </c>
      <c r="B1990" s="37" t="s">
        <v>555</v>
      </c>
      <c r="C1990" s="37" t="s">
        <v>4410</v>
      </c>
      <c r="D1990" s="37" t="s">
        <v>224</v>
      </c>
      <c r="E1990" s="37" t="s">
        <v>1069</v>
      </c>
      <c r="F1990" s="37" t="s">
        <v>558</v>
      </c>
      <c r="G1990" s="37" t="s">
        <v>541</v>
      </c>
      <c r="H1990" s="37" t="s">
        <v>4411</v>
      </c>
      <c r="I1990" s="37" t="s">
        <v>229</v>
      </c>
    </row>
    <row r="1991" ht="15.75" hidden="1" customHeight="1">
      <c r="A1991" s="38">
        <v>5313589.0</v>
      </c>
      <c r="B1991" s="39" t="s">
        <v>3225</v>
      </c>
      <c r="C1991" s="39" t="s">
        <v>4412</v>
      </c>
      <c r="D1991" s="39" t="s">
        <v>224</v>
      </c>
      <c r="E1991" s="39" t="s">
        <v>578</v>
      </c>
      <c r="F1991" s="39" t="s">
        <v>540</v>
      </c>
      <c r="G1991" s="39" t="s">
        <v>541</v>
      </c>
      <c r="H1991" s="39" t="s">
        <v>4413</v>
      </c>
      <c r="I1991" s="39" t="s">
        <v>229</v>
      </c>
    </row>
    <row r="1992" ht="15.75" hidden="1" customHeight="1">
      <c r="A1992" s="36">
        <v>5513981.0</v>
      </c>
      <c r="B1992" s="37" t="s">
        <v>416</v>
      </c>
      <c r="C1992" s="37" t="s">
        <v>4414</v>
      </c>
      <c r="D1992" s="37" t="s">
        <v>224</v>
      </c>
      <c r="E1992" s="37" t="s">
        <v>2522</v>
      </c>
      <c r="F1992" s="37" t="s">
        <v>421</v>
      </c>
      <c r="G1992" s="37" t="s">
        <v>227</v>
      </c>
      <c r="H1992" s="37" t="s">
        <v>4415</v>
      </c>
      <c r="I1992" s="37" t="s">
        <v>260</v>
      </c>
    </row>
    <row r="1993" ht="15.75" hidden="1" customHeight="1">
      <c r="A1993" s="38">
        <v>5297830.0</v>
      </c>
      <c r="B1993" s="39" t="s">
        <v>3225</v>
      </c>
      <c r="C1993" s="39" t="s">
        <v>4416</v>
      </c>
      <c r="D1993" s="39" t="s">
        <v>224</v>
      </c>
      <c r="E1993" s="39" t="s">
        <v>578</v>
      </c>
      <c r="F1993" s="39" t="s">
        <v>540</v>
      </c>
      <c r="G1993" s="39" t="s">
        <v>541</v>
      </c>
      <c r="H1993" s="39" t="s">
        <v>4417</v>
      </c>
      <c r="I1993" s="39" t="s">
        <v>229</v>
      </c>
    </row>
    <row r="1994" ht="15.75" hidden="1" customHeight="1">
      <c r="A1994" s="36">
        <v>6076209.0</v>
      </c>
      <c r="B1994" s="37" t="s">
        <v>3225</v>
      </c>
      <c r="C1994" s="37" t="s">
        <v>4418</v>
      </c>
      <c r="D1994" s="37" t="s">
        <v>224</v>
      </c>
      <c r="E1994" s="37" t="s">
        <v>578</v>
      </c>
      <c r="F1994" s="37" t="s">
        <v>540</v>
      </c>
      <c r="G1994" s="37" t="s">
        <v>541</v>
      </c>
      <c r="H1994" s="37" t="s">
        <v>4419</v>
      </c>
      <c r="I1994" s="37" t="s">
        <v>229</v>
      </c>
    </row>
    <row r="1995" ht="15.75" hidden="1" customHeight="1">
      <c r="A1995" s="38">
        <v>5666962.0</v>
      </c>
      <c r="B1995" s="39" t="s">
        <v>537</v>
      </c>
      <c r="C1995" s="39" t="s">
        <v>4420</v>
      </c>
      <c r="D1995" s="39" t="s">
        <v>224</v>
      </c>
      <c r="E1995" s="39" t="s">
        <v>578</v>
      </c>
      <c r="F1995" s="39" t="s">
        <v>540</v>
      </c>
      <c r="G1995" s="39" t="s">
        <v>541</v>
      </c>
      <c r="H1995" s="39" t="s">
        <v>4421</v>
      </c>
      <c r="I1995" s="39" t="s">
        <v>229</v>
      </c>
    </row>
    <row r="1996" ht="15.75" hidden="1" customHeight="1">
      <c r="A1996" s="36">
        <v>4699518.0</v>
      </c>
      <c r="B1996" s="37" t="s">
        <v>246</v>
      </c>
      <c r="C1996" s="37" t="s">
        <v>4422</v>
      </c>
      <c r="D1996" s="37" t="s">
        <v>224</v>
      </c>
      <c r="E1996" s="37" t="s">
        <v>598</v>
      </c>
      <c r="F1996" s="37" t="s">
        <v>249</v>
      </c>
      <c r="G1996" s="37" t="s">
        <v>250</v>
      </c>
      <c r="H1996" s="37" t="s">
        <v>4423</v>
      </c>
      <c r="I1996" s="37" t="s">
        <v>229</v>
      </c>
    </row>
    <row r="1997" ht="15.75" hidden="1" customHeight="1">
      <c r="A1997" s="38">
        <v>5523485.0</v>
      </c>
      <c r="B1997" s="39" t="s">
        <v>835</v>
      </c>
      <c r="C1997" s="39" t="s">
        <v>4424</v>
      </c>
      <c r="D1997" s="39" t="s">
        <v>224</v>
      </c>
      <c r="E1997" s="39" t="s">
        <v>837</v>
      </c>
      <c r="F1997" s="39" t="s">
        <v>377</v>
      </c>
      <c r="G1997" s="39" t="s">
        <v>327</v>
      </c>
      <c r="H1997" s="39" t="s">
        <v>4425</v>
      </c>
      <c r="I1997" s="39" t="s">
        <v>229</v>
      </c>
    </row>
    <row r="1998" ht="15.75" hidden="1" customHeight="1">
      <c r="A1998" s="36">
        <v>5523595.0</v>
      </c>
      <c r="B1998" s="37" t="s">
        <v>2069</v>
      </c>
      <c r="C1998" s="37" t="s">
        <v>4426</v>
      </c>
      <c r="D1998" s="37" t="s">
        <v>224</v>
      </c>
      <c r="E1998" s="37" t="s">
        <v>1934</v>
      </c>
      <c r="F1998" s="37" t="s">
        <v>300</v>
      </c>
      <c r="G1998" s="37" t="s">
        <v>301</v>
      </c>
      <c r="H1998" s="37" t="s">
        <v>4427</v>
      </c>
      <c r="I1998" s="37" t="s">
        <v>229</v>
      </c>
    </row>
    <row r="1999" ht="15.75" hidden="1" customHeight="1">
      <c r="A1999" s="38">
        <v>5523681.0</v>
      </c>
      <c r="B1999" s="39" t="s">
        <v>478</v>
      </c>
      <c r="C1999" s="39" t="s">
        <v>4428</v>
      </c>
      <c r="D1999" s="39" t="s">
        <v>224</v>
      </c>
      <c r="E1999" s="39" t="s">
        <v>1323</v>
      </c>
      <c r="F1999" s="39" t="s">
        <v>481</v>
      </c>
      <c r="G1999" s="39" t="s">
        <v>293</v>
      </c>
      <c r="H1999" s="39" t="s">
        <v>4429</v>
      </c>
      <c r="I1999" s="39" t="s">
        <v>229</v>
      </c>
    </row>
    <row r="2000" ht="15.75" hidden="1" customHeight="1">
      <c r="A2000" s="36">
        <v>5523684.0</v>
      </c>
      <c r="B2000" s="37" t="s">
        <v>478</v>
      </c>
      <c r="C2000" s="37" t="s">
        <v>4430</v>
      </c>
      <c r="D2000" s="37" t="s">
        <v>224</v>
      </c>
      <c r="E2000" s="37" t="s">
        <v>1323</v>
      </c>
      <c r="F2000" s="37" t="s">
        <v>481</v>
      </c>
      <c r="G2000" s="37" t="s">
        <v>293</v>
      </c>
      <c r="H2000" s="37" t="s">
        <v>4431</v>
      </c>
      <c r="I2000" s="37" t="s">
        <v>229</v>
      </c>
    </row>
    <row r="2001" ht="15.75" hidden="1" customHeight="1">
      <c r="A2001" s="38">
        <v>5523709.0</v>
      </c>
      <c r="B2001" s="39" t="s">
        <v>2069</v>
      </c>
      <c r="C2001" s="39" t="s">
        <v>4432</v>
      </c>
      <c r="D2001" s="39" t="s">
        <v>234</v>
      </c>
      <c r="E2001" s="39" t="s">
        <v>1934</v>
      </c>
      <c r="F2001" s="39" t="s">
        <v>300</v>
      </c>
      <c r="G2001" s="39" t="s">
        <v>301</v>
      </c>
      <c r="H2001" s="39" t="s">
        <v>4433</v>
      </c>
      <c r="I2001" s="39" t="s">
        <v>229</v>
      </c>
    </row>
    <row r="2002" ht="15.75" hidden="1" customHeight="1">
      <c r="A2002" s="36">
        <v>5803183.0</v>
      </c>
      <c r="B2002" s="37" t="s">
        <v>246</v>
      </c>
      <c r="C2002" s="37" t="s">
        <v>4434</v>
      </c>
      <c r="D2002" s="37" t="s">
        <v>224</v>
      </c>
      <c r="E2002" s="37" t="s">
        <v>598</v>
      </c>
      <c r="F2002" s="37" t="s">
        <v>249</v>
      </c>
      <c r="G2002" s="37" t="s">
        <v>250</v>
      </c>
      <c r="H2002" s="37" t="s">
        <v>4435</v>
      </c>
      <c r="I2002" s="37" t="s">
        <v>229</v>
      </c>
    </row>
    <row r="2003" ht="15.75" hidden="1" customHeight="1">
      <c r="A2003" s="38">
        <v>5523717.0</v>
      </c>
      <c r="B2003" s="39" t="s">
        <v>2069</v>
      </c>
      <c r="C2003" s="39" t="s">
        <v>4436</v>
      </c>
      <c r="D2003" s="39" t="s">
        <v>224</v>
      </c>
      <c r="E2003" s="39" t="s">
        <v>1934</v>
      </c>
      <c r="F2003" s="39" t="s">
        <v>300</v>
      </c>
      <c r="G2003" s="39" t="s">
        <v>301</v>
      </c>
      <c r="H2003" s="39" t="s">
        <v>4437</v>
      </c>
      <c r="I2003" s="39" t="s">
        <v>229</v>
      </c>
    </row>
    <row r="2004" ht="15.75" hidden="1" customHeight="1">
      <c r="A2004" s="36">
        <v>5804441.0</v>
      </c>
      <c r="B2004" s="37" t="s">
        <v>246</v>
      </c>
      <c r="C2004" s="37" t="s">
        <v>4438</v>
      </c>
      <c r="D2004" s="37" t="s">
        <v>224</v>
      </c>
      <c r="E2004" s="37" t="s">
        <v>598</v>
      </c>
      <c r="F2004" s="37" t="s">
        <v>249</v>
      </c>
      <c r="G2004" s="37" t="s">
        <v>250</v>
      </c>
      <c r="H2004" s="37" t="s">
        <v>4439</v>
      </c>
      <c r="I2004" s="37" t="s">
        <v>229</v>
      </c>
    </row>
    <row r="2005" ht="15.75" hidden="1" customHeight="1">
      <c r="A2005" s="38">
        <v>5887112.0</v>
      </c>
      <c r="B2005" s="39" t="s">
        <v>246</v>
      </c>
      <c r="C2005" s="39" t="s">
        <v>4440</v>
      </c>
      <c r="D2005" s="39" t="s">
        <v>224</v>
      </c>
      <c r="E2005" s="39" t="s">
        <v>598</v>
      </c>
      <c r="F2005" s="39" t="s">
        <v>249</v>
      </c>
      <c r="G2005" s="39" t="s">
        <v>250</v>
      </c>
      <c r="H2005" s="39" t="s">
        <v>4441</v>
      </c>
      <c r="I2005" s="39" t="s">
        <v>229</v>
      </c>
    </row>
    <row r="2006" ht="15.75" hidden="1" customHeight="1">
      <c r="A2006" s="36">
        <v>6028147.0</v>
      </c>
      <c r="B2006" s="37" t="s">
        <v>246</v>
      </c>
      <c r="C2006" s="37" t="s">
        <v>4442</v>
      </c>
      <c r="D2006" s="37" t="s">
        <v>224</v>
      </c>
      <c r="E2006" s="37" t="s">
        <v>598</v>
      </c>
      <c r="F2006" s="37" t="s">
        <v>249</v>
      </c>
      <c r="G2006" s="37" t="s">
        <v>250</v>
      </c>
      <c r="H2006" s="37" t="s">
        <v>4443</v>
      </c>
      <c r="I2006" s="37" t="s">
        <v>229</v>
      </c>
    </row>
    <row r="2007" ht="15.75" hidden="1" customHeight="1">
      <c r="A2007" s="38">
        <v>5650127.0</v>
      </c>
      <c r="B2007" s="39" t="s">
        <v>1746</v>
      </c>
      <c r="C2007" s="39" t="s">
        <v>4444</v>
      </c>
      <c r="D2007" s="39" t="s">
        <v>224</v>
      </c>
      <c r="E2007" s="39" t="s">
        <v>1714</v>
      </c>
      <c r="F2007" s="39" t="s">
        <v>698</v>
      </c>
      <c r="G2007" s="39" t="s">
        <v>541</v>
      </c>
      <c r="H2007" s="39" t="s">
        <v>4445</v>
      </c>
      <c r="I2007" s="39" t="s">
        <v>229</v>
      </c>
    </row>
    <row r="2008" ht="15.75" hidden="1" customHeight="1">
      <c r="A2008" s="36">
        <v>5528166.0</v>
      </c>
      <c r="B2008" s="37" t="s">
        <v>1932</v>
      </c>
      <c r="C2008" s="37" t="s">
        <v>4446</v>
      </c>
      <c r="D2008" s="37" t="s">
        <v>224</v>
      </c>
      <c r="E2008" s="37" t="s">
        <v>2071</v>
      </c>
      <c r="F2008" s="37" t="s">
        <v>300</v>
      </c>
      <c r="G2008" s="37" t="s">
        <v>301</v>
      </c>
      <c r="H2008" s="37" t="s">
        <v>4447</v>
      </c>
      <c r="I2008" s="37" t="s">
        <v>229</v>
      </c>
    </row>
    <row r="2009" ht="15.75" hidden="1" customHeight="1">
      <c r="A2009" s="38">
        <v>6019197.0</v>
      </c>
      <c r="B2009" s="39" t="s">
        <v>695</v>
      </c>
      <c r="C2009" s="39" t="s">
        <v>4448</v>
      </c>
      <c r="D2009" s="39" t="s">
        <v>224</v>
      </c>
      <c r="E2009" s="39" t="s">
        <v>1714</v>
      </c>
      <c r="F2009" s="39" t="s">
        <v>698</v>
      </c>
      <c r="G2009" s="39" t="s">
        <v>541</v>
      </c>
      <c r="H2009" s="39" t="s">
        <v>4449</v>
      </c>
      <c r="I2009" s="39" t="s">
        <v>229</v>
      </c>
    </row>
    <row r="2010" ht="15.75" hidden="1" customHeight="1">
      <c r="A2010" s="36">
        <v>5876895.0</v>
      </c>
      <c r="B2010" s="37" t="s">
        <v>695</v>
      </c>
      <c r="C2010" s="37" t="s">
        <v>4450</v>
      </c>
      <c r="D2010" s="37" t="s">
        <v>224</v>
      </c>
      <c r="E2010" s="37" t="s">
        <v>1714</v>
      </c>
      <c r="F2010" s="37" t="s">
        <v>698</v>
      </c>
      <c r="G2010" s="37" t="s">
        <v>541</v>
      </c>
      <c r="H2010" s="37" t="s">
        <v>4451</v>
      </c>
      <c r="I2010" s="37" t="s">
        <v>229</v>
      </c>
    </row>
    <row r="2011" ht="15.75" hidden="1" customHeight="1">
      <c r="A2011" s="38">
        <v>5529138.0</v>
      </c>
      <c r="B2011" s="39" t="s">
        <v>555</v>
      </c>
      <c r="C2011" s="39" t="s">
        <v>4452</v>
      </c>
      <c r="D2011" s="39" t="s">
        <v>224</v>
      </c>
      <c r="E2011" s="39" t="s">
        <v>1069</v>
      </c>
      <c r="F2011" s="39" t="s">
        <v>558</v>
      </c>
      <c r="G2011" s="39" t="s">
        <v>541</v>
      </c>
      <c r="H2011" s="39" t="s">
        <v>4453</v>
      </c>
      <c r="I2011" s="39" t="s">
        <v>229</v>
      </c>
    </row>
    <row r="2012" ht="15.75" hidden="1" customHeight="1">
      <c r="A2012" s="36">
        <v>6019104.0</v>
      </c>
      <c r="B2012" s="37" t="s">
        <v>695</v>
      </c>
      <c r="C2012" s="37" t="s">
        <v>4454</v>
      </c>
      <c r="D2012" s="37" t="s">
        <v>224</v>
      </c>
      <c r="E2012" s="37" t="s">
        <v>1714</v>
      </c>
      <c r="F2012" s="37" t="s">
        <v>698</v>
      </c>
      <c r="G2012" s="37" t="s">
        <v>541</v>
      </c>
      <c r="H2012" s="37" t="s">
        <v>4455</v>
      </c>
      <c r="I2012" s="37" t="s">
        <v>229</v>
      </c>
    </row>
    <row r="2013" ht="15.75" hidden="1" customHeight="1">
      <c r="A2013" s="38">
        <v>5529171.0</v>
      </c>
      <c r="B2013" s="39" t="s">
        <v>847</v>
      </c>
      <c r="C2013" s="39" t="s">
        <v>4456</v>
      </c>
      <c r="D2013" s="39" t="s">
        <v>331</v>
      </c>
      <c r="E2013" s="39" t="s">
        <v>849</v>
      </c>
      <c r="F2013" s="39" t="s">
        <v>333</v>
      </c>
      <c r="G2013" s="39" t="s">
        <v>301</v>
      </c>
      <c r="H2013" s="39" t="s">
        <v>4457</v>
      </c>
      <c r="I2013" s="39" t="s">
        <v>229</v>
      </c>
    </row>
    <row r="2014" ht="15.75" hidden="1" customHeight="1">
      <c r="A2014" s="36">
        <v>5530083.0</v>
      </c>
      <c r="B2014" s="37" t="s">
        <v>813</v>
      </c>
      <c r="C2014" s="37" t="s">
        <v>4458</v>
      </c>
      <c r="D2014" s="37" t="s">
        <v>234</v>
      </c>
      <c r="E2014" s="37" t="s">
        <v>815</v>
      </c>
      <c r="F2014" s="37" t="s">
        <v>679</v>
      </c>
      <c r="G2014" s="37" t="s">
        <v>301</v>
      </c>
      <c r="H2014" s="37" t="s">
        <v>4459</v>
      </c>
      <c r="I2014" s="37" t="s">
        <v>229</v>
      </c>
    </row>
    <row r="2015" ht="15.75" hidden="1" customHeight="1">
      <c r="A2015" s="38">
        <v>6019136.0</v>
      </c>
      <c r="B2015" s="39" t="s">
        <v>695</v>
      </c>
      <c r="C2015" s="39" t="s">
        <v>4460</v>
      </c>
      <c r="D2015" s="39" t="s">
        <v>224</v>
      </c>
      <c r="E2015" s="39" t="s">
        <v>1714</v>
      </c>
      <c r="F2015" s="39" t="s">
        <v>698</v>
      </c>
      <c r="G2015" s="39" t="s">
        <v>541</v>
      </c>
      <c r="H2015" s="39" t="s">
        <v>4461</v>
      </c>
      <c r="I2015" s="39" t="s">
        <v>229</v>
      </c>
    </row>
    <row r="2016" ht="15.75" hidden="1" customHeight="1">
      <c r="A2016" s="36">
        <v>5530139.0</v>
      </c>
      <c r="B2016" s="37" t="s">
        <v>847</v>
      </c>
      <c r="C2016" s="37" t="s">
        <v>4462</v>
      </c>
      <c r="D2016" s="37" t="s">
        <v>224</v>
      </c>
      <c r="E2016" s="37" t="s">
        <v>849</v>
      </c>
      <c r="F2016" s="37" t="s">
        <v>333</v>
      </c>
      <c r="G2016" s="37" t="s">
        <v>301</v>
      </c>
      <c r="H2016" s="37" t="s">
        <v>4463</v>
      </c>
      <c r="I2016" s="37" t="s">
        <v>229</v>
      </c>
    </row>
    <row r="2017" ht="15.75" hidden="1" customHeight="1">
      <c r="A2017" s="38">
        <v>5807553.0</v>
      </c>
      <c r="B2017" s="39" t="s">
        <v>695</v>
      </c>
      <c r="C2017" s="39" t="s">
        <v>4464</v>
      </c>
      <c r="D2017" s="39" t="s">
        <v>224</v>
      </c>
      <c r="E2017" s="39" t="s">
        <v>1714</v>
      </c>
      <c r="F2017" s="39" t="s">
        <v>698</v>
      </c>
      <c r="G2017" s="39" t="s">
        <v>541</v>
      </c>
      <c r="H2017" s="39" t="s">
        <v>4465</v>
      </c>
      <c r="I2017" s="39" t="s">
        <v>229</v>
      </c>
    </row>
    <row r="2018" ht="15.75" hidden="1" customHeight="1">
      <c r="A2018" s="36">
        <v>5876858.0</v>
      </c>
      <c r="B2018" s="37" t="s">
        <v>695</v>
      </c>
      <c r="C2018" s="37" t="s">
        <v>4466</v>
      </c>
      <c r="D2018" s="37" t="s">
        <v>224</v>
      </c>
      <c r="E2018" s="37" t="s">
        <v>1714</v>
      </c>
      <c r="F2018" s="37" t="s">
        <v>698</v>
      </c>
      <c r="G2018" s="37" t="s">
        <v>541</v>
      </c>
      <c r="H2018" s="37" t="s">
        <v>4467</v>
      </c>
      <c r="I2018" s="37" t="s">
        <v>229</v>
      </c>
    </row>
    <row r="2019" ht="15.75" hidden="1" customHeight="1">
      <c r="A2019" s="38">
        <v>5530157.0</v>
      </c>
      <c r="B2019" s="39" t="s">
        <v>847</v>
      </c>
      <c r="C2019" s="39" t="s">
        <v>4468</v>
      </c>
      <c r="D2019" s="39" t="s">
        <v>224</v>
      </c>
      <c r="E2019" s="39" t="s">
        <v>1418</v>
      </c>
      <c r="F2019" s="39" t="s">
        <v>333</v>
      </c>
      <c r="G2019" s="39" t="s">
        <v>301</v>
      </c>
      <c r="H2019" s="39" t="s">
        <v>4469</v>
      </c>
      <c r="I2019" s="39" t="s">
        <v>229</v>
      </c>
    </row>
    <row r="2020" ht="15.75" hidden="1" customHeight="1">
      <c r="A2020" s="36">
        <v>5876896.0</v>
      </c>
      <c r="B2020" s="37" t="s">
        <v>1746</v>
      </c>
      <c r="C2020" s="37" t="s">
        <v>4470</v>
      </c>
      <c r="D2020" s="37" t="s">
        <v>224</v>
      </c>
      <c r="E2020" s="37" t="s">
        <v>1714</v>
      </c>
      <c r="F2020" s="37" t="s">
        <v>698</v>
      </c>
      <c r="G2020" s="37" t="s">
        <v>541</v>
      </c>
      <c r="H2020" s="37" t="s">
        <v>4471</v>
      </c>
      <c r="I2020" s="37" t="s">
        <v>229</v>
      </c>
    </row>
    <row r="2021" ht="15.75" hidden="1" customHeight="1">
      <c r="A2021" s="38">
        <v>5228097.0</v>
      </c>
      <c r="B2021" s="39" t="s">
        <v>695</v>
      </c>
      <c r="C2021" s="39" t="s">
        <v>4472</v>
      </c>
      <c r="D2021" s="39" t="s">
        <v>224</v>
      </c>
      <c r="E2021" s="39" t="s">
        <v>1714</v>
      </c>
      <c r="F2021" s="39" t="s">
        <v>698</v>
      </c>
      <c r="G2021" s="39" t="s">
        <v>541</v>
      </c>
      <c r="H2021" s="39" t="s">
        <v>4473</v>
      </c>
      <c r="I2021" s="39" t="s">
        <v>229</v>
      </c>
    </row>
    <row r="2022" ht="15.75" hidden="1" customHeight="1">
      <c r="A2022" s="36">
        <v>5530338.0</v>
      </c>
      <c r="B2022" s="37" t="s">
        <v>478</v>
      </c>
      <c r="C2022" s="37" t="s">
        <v>4474</v>
      </c>
      <c r="D2022" s="37" t="s">
        <v>224</v>
      </c>
      <c r="E2022" s="37" t="s">
        <v>1323</v>
      </c>
      <c r="F2022" s="37" t="s">
        <v>481</v>
      </c>
      <c r="G2022" s="37" t="s">
        <v>293</v>
      </c>
      <c r="H2022" s="37" t="s">
        <v>4475</v>
      </c>
      <c r="I2022" s="37" t="s">
        <v>229</v>
      </c>
    </row>
    <row r="2023" ht="15.75" hidden="1" customHeight="1">
      <c r="A2023" s="38">
        <v>5533340.0</v>
      </c>
      <c r="B2023" s="39" t="s">
        <v>2069</v>
      </c>
      <c r="C2023" s="39" t="s">
        <v>4476</v>
      </c>
      <c r="D2023" s="39" t="s">
        <v>224</v>
      </c>
      <c r="E2023" s="39" t="s">
        <v>1934</v>
      </c>
      <c r="F2023" s="39" t="s">
        <v>300</v>
      </c>
      <c r="G2023" s="39" t="s">
        <v>301</v>
      </c>
      <c r="H2023" s="39" t="s">
        <v>4477</v>
      </c>
      <c r="I2023" s="39" t="s">
        <v>229</v>
      </c>
    </row>
    <row r="2024" ht="15.75" hidden="1" customHeight="1">
      <c r="A2024" s="36">
        <v>5533341.0</v>
      </c>
      <c r="B2024" s="37" t="s">
        <v>2069</v>
      </c>
      <c r="C2024" s="37" t="s">
        <v>4478</v>
      </c>
      <c r="D2024" s="37" t="s">
        <v>224</v>
      </c>
      <c r="E2024" s="37" t="s">
        <v>1934</v>
      </c>
      <c r="F2024" s="37" t="s">
        <v>300</v>
      </c>
      <c r="G2024" s="37" t="s">
        <v>301</v>
      </c>
      <c r="H2024" s="37" t="s">
        <v>4479</v>
      </c>
      <c r="I2024" s="37" t="s">
        <v>229</v>
      </c>
    </row>
    <row r="2025" ht="15.75" hidden="1" customHeight="1">
      <c r="A2025" s="38">
        <v>5864470.0</v>
      </c>
      <c r="B2025" s="39" t="s">
        <v>695</v>
      </c>
      <c r="C2025" s="39" t="s">
        <v>4480</v>
      </c>
      <c r="D2025" s="39" t="s">
        <v>224</v>
      </c>
      <c r="E2025" s="39" t="s">
        <v>1714</v>
      </c>
      <c r="F2025" s="39" t="s">
        <v>698</v>
      </c>
      <c r="G2025" s="39" t="s">
        <v>541</v>
      </c>
      <c r="H2025" s="39" t="s">
        <v>4481</v>
      </c>
      <c r="I2025" s="39" t="s">
        <v>229</v>
      </c>
    </row>
    <row r="2026" ht="15.75" hidden="1" customHeight="1">
      <c r="A2026" s="36">
        <v>5533343.0</v>
      </c>
      <c r="B2026" s="37" t="s">
        <v>425</v>
      </c>
      <c r="C2026" s="37" t="s">
        <v>4482</v>
      </c>
      <c r="D2026" s="37" t="s">
        <v>224</v>
      </c>
      <c r="E2026" s="37" t="s">
        <v>1391</v>
      </c>
      <c r="F2026" s="37" t="s">
        <v>312</v>
      </c>
      <c r="G2026" s="37" t="s">
        <v>3</v>
      </c>
      <c r="H2026" s="37" t="s">
        <v>4483</v>
      </c>
      <c r="I2026" s="37" t="s">
        <v>260</v>
      </c>
    </row>
    <row r="2027" ht="15.75" hidden="1" customHeight="1">
      <c r="A2027" s="38">
        <v>5876853.0</v>
      </c>
      <c r="B2027" s="39" t="s">
        <v>695</v>
      </c>
      <c r="C2027" s="39" t="s">
        <v>4484</v>
      </c>
      <c r="D2027" s="39" t="s">
        <v>234</v>
      </c>
      <c r="E2027" s="39" t="s">
        <v>1714</v>
      </c>
      <c r="F2027" s="39" t="s">
        <v>698</v>
      </c>
      <c r="G2027" s="39" t="s">
        <v>541</v>
      </c>
      <c r="H2027" s="39" t="s">
        <v>4485</v>
      </c>
      <c r="I2027" s="39" t="s">
        <v>229</v>
      </c>
    </row>
    <row r="2028" ht="15.75" hidden="1" customHeight="1">
      <c r="A2028" s="36">
        <v>5533467.0</v>
      </c>
      <c r="B2028" s="37" t="s">
        <v>289</v>
      </c>
      <c r="C2028" s="37" t="s">
        <v>4486</v>
      </c>
      <c r="D2028" s="37" t="s">
        <v>331</v>
      </c>
      <c r="E2028" s="37" t="s">
        <v>1048</v>
      </c>
      <c r="F2028" s="37" t="s">
        <v>292</v>
      </c>
      <c r="G2028" s="37" t="s">
        <v>293</v>
      </c>
      <c r="H2028" s="37" t="s">
        <v>4487</v>
      </c>
      <c r="I2028" s="37" t="s">
        <v>229</v>
      </c>
    </row>
    <row r="2029" ht="15.75" hidden="1" customHeight="1">
      <c r="A2029" s="38">
        <v>5796163.0</v>
      </c>
      <c r="B2029" s="39" t="s">
        <v>120</v>
      </c>
      <c r="C2029" s="39" t="s">
        <v>4488</v>
      </c>
      <c r="D2029" s="39" t="s">
        <v>224</v>
      </c>
      <c r="E2029" s="39" t="s">
        <v>1015</v>
      </c>
      <c r="F2029" s="39" t="s">
        <v>644</v>
      </c>
      <c r="G2029" s="39" t="s">
        <v>3</v>
      </c>
      <c r="H2029" s="39" t="s">
        <v>4489</v>
      </c>
      <c r="I2029" s="39" t="s">
        <v>260</v>
      </c>
      <c r="J2029" s="1">
        <v>42.0</v>
      </c>
      <c r="L2029" s="40" t="s">
        <v>416</v>
      </c>
    </row>
    <row r="2030" ht="15.75" hidden="1" customHeight="1">
      <c r="A2030" s="36">
        <v>5902689.0</v>
      </c>
      <c r="B2030" s="37" t="s">
        <v>120</v>
      </c>
      <c r="C2030" s="37" t="s">
        <v>4490</v>
      </c>
      <c r="D2030" s="37" t="s">
        <v>224</v>
      </c>
      <c r="E2030" s="37" t="s">
        <v>1015</v>
      </c>
      <c r="F2030" s="37" t="s">
        <v>644</v>
      </c>
      <c r="G2030" s="37" t="s">
        <v>3</v>
      </c>
      <c r="H2030" s="37" t="s">
        <v>4491</v>
      </c>
      <c r="I2030" s="37" t="s">
        <v>260</v>
      </c>
      <c r="J2030" s="1">
        <v>42.0</v>
      </c>
      <c r="L2030" s="40" t="s">
        <v>120</v>
      </c>
    </row>
    <row r="2031" ht="15.75" hidden="1" customHeight="1">
      <c r="A2031" s="38">
        <v>5534539.0</v>
      </c>
      <c r="B2031" s="39" t="s">
        <v>738</v>
      </c>
      <c r="C2031" s="39" t="s">
        <v>4492</v>
      </c>
      <c r="D2031" s="39" t="s">
        <v>224</v>
      </c>
      <c r="E2031" s="39" t="s">
        <v>1760</v>
      </c>
      <c r="F2031" s="39" t="s">
        <v>533</v>
      </c>
      <c r="G2031" s="39" t="s">
        <v>250</v>
      </c>
      <c r="H2031" s="39" t="s">
        <v>4493</v>
      </c>
      <c r="I2031" s="39" t="s">
        <v>229</v>
      </c>
    </row>
    <row r="2032" ht="15.75" hidden="1" customHeight="1">
      <c r="A2032" s="36">
        <v>5650492.0</v>
      </c>
      <c r="B2032" s="37" t="s">
        <v>120</v>
      </c>
      <c r="C2032" s="37" t="s">
        <v>4494</v>
      </c>
      <c r="D2032" s="37" t="s">
        <v>224</v>
      </c>
      <c r="E2032" s="37" t="s">
        <v>1015</v>
      </c>
      <c r="F2032" s="37" t="s">
        <v>644</v>
      </c>
      <c r="G2032" s="37" t="s">
        <v>3</v>
      </c>
      <c r="H2032" s="37" t="s">
        <v>4495</v>
      </c>
      <c r="I2032" s="37" t="s">
        <v>260</v>
      </c>
      <c r="J2032" s="1">
        <v>42.0</v>
      </c>
      <c r="L2032" s="40" t="s">
        <v>120</v>
      </c>
    </row>
    <row r="2033" ht="15.75" hidden="1" customHeight="1">
      <c r="A2033" s="38">
        <v>5534584.0</v>
      </c>
      <c r="B2033" s="39" t="s">
        <v>485</v>
      </c>
      <c r="C2033" s="39" t="s">
        <v>4496</v>
      </c>
      <c r="D2033" s="39" t="s">
        <v>224</v>
      </c>
      <c r="E2033" s="39" t="s">
        <v>672</v>
      </c>
      <c r="F2033" s="39" t="s">
        <v>470</v>
      </c>
      <c r="G2033" s="39" t="s">
        <v>327</v>
      </c>
      <c r="H2033" s="39" t="s">
        <v>4497</v>
      </c>
      <c r="I2033" s="39" t="s">
        <v>229</v>
      </c>
    </row>
    <row r="2034" ht="15.75" hidden="1" customHeight="1">
      <c r="A2034" s="36">
        <v>5901136.0</v>
      </c>
      <c r="B2034" s="37" t="s">
        <v>120</v>
      </c>
      <c r="C2034" s="37" t="s">
        <v>4498</v>
      </c>
      <c r="D2034" s="37" t="s">
        <v>224</v>
      </c>
      <c r="E2034" s="37" t="s">
        <v>1015</v>
      </c>
      <c r="F2034" s="37" t="s">
        <v>644</v>
      </c>
      <c r="G2034" s="37" t="s">
        <v>3</v>
      </c>
      <c r="H2034" s="37" t="s">
        <v>4499</v>
      </c>
      <c r="I2034" s="37" t="s">
        <v>260</v>
      </c>
      <c r="J2034" s="1">
        <v>42.0</v>
      </c>
      <c r="L2034" s="40" t="s">
        <v>120</v>
      </c>
    </row>
    <row r="2035" ht="15.75" hidden="1" customHeight="1">
      <c r="A2035" s="38">
        <v>5534887.0</v>
      </c>
      <c r="B2035" s="39" t="s">
        <v>1932</v>
      </c>
      <c r="C2035" s="39" t="s">
        <v>4500</v>
      </c>
      <c r="D2035" s="39" t="s">
        <v>224</v>
      </c>
      <c r="E2035" s="39" t="s">
        <v>1934</v>
      </c>
      <c r="F2035" s="39" t="s">
        <v>300</v>
      </c>
      <c r="G2035" s="39" t="s">
        <v>301</v>
      </c>
      <c r="H2035" s="39" t="s">
        <v>4501</v>
      </c>
      <c r="I2035" s="39" t="s">
        <v>229</v>
      </c>
    </row>
    <row r="2036" ht="15.75" hidden="1" customHeight="1">
      <c r="A2036" s="36">
        <v>5887325.0</v>
      </c>
      <c r="B2036" s="37" t="s">
        <v>120</v>
      </c>
      <c r="C2036" s="37" t="s">
        <v>4502</v>
      </c>
      <c r="D2036" s="37" t="s">
        <v>224</v>
      </c>
      <c r="E2036" s="37" t="s">
        <v>1015</v>
      </c>
      <c r="F2036" s="37" t="s">
        <v>644</v>
      </c>
      <c r="G2036" s="37" t="s">
        <v>3</v>
      </c>
      <c r="H2036" s="37" t="s">
        <v>4503</v>
      </c>
      <c r="I2036" s="37" t="s">
        <v>260</v>
      </c>
      <c r="J2036" s="1">
        <v>42.0</v>
      </c>
      <c r="L2036" s="40" t="s">
        <v>120</v>
      </c>
    </row>
    <row r="2037" ht="15.75" hidden="1" customHeight="1">
      <c r="A2037" s="38">
        <v>5537174.0</v>
      </c>
      <c r="B2037" s="39" t="s">
        <v>323</v>
      </c>
      <c r="C2037" s="39" t="s">
        <v>4504</v>
      </c>
      <c r="D2037" s="39" t="s">
        <v>224</v>
      </c>
      <c r="E2037" s="39" t="s">
        <v>2152</v>
      </c>
      <c r="F2037" s="39" t="s">
        <v>326</v>
      </c>
      <c r="G2037" s="39" t="s">
        <v>327</v>
      </c>
      <c r="H2037" s="39" t="s">
        <v>4505</v>
      </c>
      <c r="I2037" s="39" t="s">
        <v>229</v>
      </c>
    </row>
    <row r="2038" ht="15.75" hidden="1" customHeight="1">
      <c r="A2038" s="36">
        <v>5843621.0</v>
      </c>
      <c r="B2038" s="37" t="s">
        <v>120</v>
      </c>
      <c r="C2038" s="37" t="s">
        <v>4506</v>
      </c>
      <c r="D2038" s="37" t="s">
        <v>224</v>
      </c>
      <c r="E2038" s="37" t="s">
        <v>1015</v>
      </c>
      <c r="F2038" s="37" t="s">
        <v>644</v>
      </c>
      <c r="G2038" s="37" t="s">
        <v>3</v>
      </c>
      <c r="H2038" s="37" t="s">
        <v>4507</v>
      </c>
      <c r="I2038" s="37" t="s">
        <v>260</v>
      </c>
      <c r="J2038" s="1">
        <v>42.0</v>
      </c>
      <c r="L2038" s="40" t="s">
        <v>120</v>
      </c>
    </row>
    <row r="2039" ht="15.75" hidden="1" customHeight="1">
      <c r="A2039" s="38">
        <v>5537603.0</v>
      </c>
      <c r="B2039" s="39" t="s">
        <v>289</v>
      </c>
      <c r="C2039" s="39" t="s">
        <v>4508</v>
      </c>
      <c r="D2039" s="39" t="s">
        <v>224</v>
      </c>
      <c r="E2039" s="39" t="s">
        <v>1048</v>
      </c>
      <c r="F2039" s="39" t="s">
        <v>292</v>
      </c>
      <c r="G2039" s="39" t="s">
        <v>293</v>
      </c>
      <c r="H2039" s="39" t="s">
        <v>4509</v>
      </c>
      <c r="I2039" s="39" t="s">
        <v>229</v>
      </c>
    </row>
    <row r="2040" ht="15.75" hidden="1" customHeight="1">
      <c r="A2040" s="36">
        <v>5902645.0</v>
      </c>
      <c r="B2040" s="37" t="s">
        <v>120</v>
      </c>
      <c r="C2040" s="37" t="s">
        <v>4510</v>
      </c>
      <c r="D2040" s="37" t="s">
        <v>224</v>
      </c>
      <c r="E2040" s="37" t="s">
        <v>1015</v>
      </c>
      <c r="F2040" s="37" t="s">
        <v>644</v>
      </c>
      <c r="G2040" s="37" t="s">
        <v>3</v>
      </c>
      <c r="H2040" s="37" t="s">
        <v>4511</v>
      </c>
      <c r="I2040" s="37" t="s">
        <v>260</v>
      </c>
      <c r="J2040" s="1">
        <v>42.0</v>
      </c>
      <c r="L2040" s="40" t="s">
        <v>120</v>
      </c>
    </row>
    <row r="2041" ht="15.75" hidden="1" customHeight="1">
      <c r="A2041" s="38">
        <v>5545829.0</v>
      </c>
      <c r="B2041" s="39" t="s">
        <v>120</v>
      </c>
      <c r="C2041" s="39" t="s">
        <v>4512</v>
      </c>
      <c r="D2041" s="39" t="s">
        <v>224</v>
      </c>
      <c r="E2041" s="39" t="s">
        <v>1015</v>
      </c>
      <c r="F2041" s="39" t="s">
        <v>644</v>
      </c>
      <c r="G2041" s="39" t="s">
        <v>3</v>
      </c>
      <c r="H2041" s="39" t="s">
        <v>4513</v>
      </c>
      <c r="I2041" s="39" t="s">
        <v>260</v>
      </c>
      <c r="J2041" s="1">
        <v>42.0</v>
      </c>
      <c r="L2041" s="40" t="s">
        <v>120</v>
      </c>
    </row>
    <row r="2042" ht="15.75" hidden="1" customHeight="1">
      <c r="A2042" s="36">
        <v>5834578.0</v>
      </c>
      <c r="B2042" s="37" t="s">
        <v>120</v>
      </c>
      <c r="C2042" s="37" t="s">
        <v>4514</v>
      </c>
      <c r="D2042" s="37" t="s">
        <v>224</v>
      </c>
      <c r="E2042" s="37" t="s">
        <v>1015</v>
      </c>
      <c r="F2042" s="37" t="s">
        <v>644</v>
      </c>
      <c r="G2042" s="37" t="s">
        <v>3</v>
      </c>
      <c r="H2042" s="37" t="s">
        <v>4515</v>
      </c>
      <c r="I2042" s="37" t="s">
        <v>260</v>
      </c>
      <c r="J2042" s="1">
        <v>42.0</v>
      </c>
      <c r="L2042" s="40" t="s">
        <v>120</v>
      </c>
    </row>
    <row r="2043" ht="15.75" hidden="1" customHeight="1">
      <c r="A2043" s="38">
        <v>5903014.0</v>
      </c>
      <c r="B2043" s="39" t="s">
        <v>120</v>
      </c>
      <c r="C2043" s="39" t="s">
        <v>4516</v>
      </c>
      <c r="D2043" s="39" t="s">
        <v>224</v>
      </c>
      <c r="E2043" s="39" t="s">
        <v>1015</v>
      </c>
      <c r="F2043" s="39" t="s">
        <v>644</v>
      </c>
      <c r="G2043" s="39" t="s">
        <v>3</v>
      </c>
      <c r="H2043" s="39" t="s">
        <v>4517</v>
      </c>
      <c r="I2043" s="39" t="s">
        <v>260</v>
      </c>
      <c r="J2043" s="1">
        <v>42.0</v>
      </c>
      <c r="L2043" s="40" t="s">
        <v>120</v>
      </c>
    </row>
    <row r="2044" ht="15.75" hidden="1" customHeight="1">
      <c r="A2044" s="36">
        <v>5827463.0</v>
      </c>
      <c r="B2044" s="37" t="s">
        <v>120</v>
      </c>
      <c r="C2044" s="37" t="s">
        <v>4518</v>
      </c>
      <c r="D2044" s="37" t="s">
        <v>224</v>
      </c>
      <c r="E2044" s="37" t="s">
        <v>1015</v>
      </c>
      <c r="F2044" s="37" t="s">
        <v>644</v>
      </c>
      <c r="G2044" s="37" t="s">
        <v>3</v>
      </c>
      <c r="H2044" s="37" t="s">
        <v>4519</v>
      </c>
      <c r="I2044" s="37" t="s">
        <v>260</v>
      </c>
      <c r="J2044" s="1">
        <v>42.0</v>
      </c>
      <c r="L2044" s="40" t="s">
        <v>120</v>
      </c>
    </row>
    <row r="2045" ht="15.75" hidden="1" customHeight="1">
      <c r="A2045" s="38">
        <v>5959234.0</v>
      </c>
      <c r="B2045" s="39" t="s">
        <v>120</v>
      </c>
      <c r="C2045" s="39" t="s">
        <v>4520</v>
      </c>
      <c r="D2045" s="39" t="s">
        <v>224</v>
      </c>
      <c r="E2045" s="39" t="s">
        <v>1015</v>
      </c>
      <c r="F2045" s="39" t="s">
        <v>644</v>
      </c>
      <c r="G2045" s="39" t="s">
        <v>3</v>
      </c>
      <c r="H2045" s="39" t="s">
        <v>4521</v>
      </c>
      <c r="I2045" s="39" t="s">
        <v>260</v>
      </c>
      <c r="J2045" s="1">
        <v>42.0</v>
      </c>
      <c r="L2045" s="40" t="s">
        <v>120</v>
      </c>
    </row>
    <row r="2046" ht="15.75" hidden="1" customHeight="1">
      <c r="A2046" s="36">
        <v>5538416.0</v>
      </c>
      <c r="B2046" s="37" t="s">
        <v>232</v>
      </c>
      <c r="C2046" s="37" t="s">
        <v>4522</v>
      </c>
      <c r="D2046" s="37" t="s">
        <v>224</v>
      </c>
      <c r="E2046" s="37" t="s">
        <v>1207</v>
      </c>
      <c r="F2046" s="37" t="s">
        <v>226</v>
      </c>
      <c r="G2046" s="37" t="s">
        <v>227</v>
      </c>
      <c r="H2046" s="37" t="s">
        <v>4523</v>
      </c>
      <c r="I2046" s="37" t="s">
        <v>229</v>
      </c>
    </row>
    <row r="2047" ht="15.75" hidden="1" customHeight="1">
      <c r="A2047" s="38">
        <v>5538463.0</v>
      </c>
      <c r="B2047" s="39" t="s">
        <v>232</v>
      </c>
      <c r="C2047" s="39" t="s">
        <v>4524</v>
      </c>
      <c r="D2047" s="39" t="s">
        <v>224</v>
      </c>
      <c r="E2047" s="39" t="s">
        <v>1207</v>
      </c>
      <c r="F2047" s="39" t="s">
        <v>226</v>
      </c>
      <c r="G2047" s="39" t="s">
        <v>227</v>
      </c>
      <c r="H2047" s="39" t="s">
        <v>4525</v>
      </c>
      <c r="I2047" s="39" t="s">
        <v>229</v>
      </c>
    </row>
    <row r="2048" ht="15.75" hidden="1" customHeight="1">
      <c r="A2048" s="36">
        <v>5645466.0</v>
      </c>
      <c r="B2048" s="37" t="s">
        <v>120</v>
      </c>
      <c r="C2048" s="37" t="s">
        <v>4526</v>
      </c>
      <c r="D2048" s="37" t="s">
        <v>224</v>
      </c>
      <c r="E2048" s="37" t="s">
        <v>1015</v>
      </c>
      <c r="F2048" s="37" t="s">
        <v>644</v>
      </c>
      <c r="G2048" s="37" t="s">
        <v>3</v>
      </c>
      <c r="H2048" s="37" t="s">
        <v>4527</v>
      </c>
      <c r="I2048" s="37" t="s">
        <v>260</v>
      </c>
      <c r="J2048" s="1">
        <v>42.0</v>
      </c>
      <c r="L2048" s="40" t="s">
        <v>120</v>
      </c>
    </row>
    <row r="2049" ht="15.75" hidden="1" customHeight="1">
      <c r="A2049" s="38">
        <v>5943965.0</v>
      </c>
      <c r="B2049" s="39" t="s">
        <v>120</v>
      </c>
      <c r="C2049" s="39" t="s">
        <v>4528</v>
      </c>
      <c r="D2049" s="39" t="s">
        <v>224</v>
      </c>
      <c r="E2049" s="39" t="s">
        <v>1015</v>
      </c>
      <c r="F2049" s="39" t="s">
        <v>644</v>
      </c>
      <c r="G2049" s="39" t="s">
        <v>3</v>
      </c>
      <c r="H2049" s="39" t="s">
        <v>4529</v>
      </c>
      <c r="I2049" s="39" t="s">
        <v>260</v>
      </c>
      <c r="J2049" s="1">
        <v>42.0</v>
      </c>
      <c r="L2049" s="40" t="s">
        <v>120</v>
      </c>
    </row>
    <row r="2050" ht="15.75" hidden="1" customHeight="1">
      <c r="A2050" s="36">
        <v>5908887.0</v>
      </c>
      <c r="B2050" s="37" t="s">
        <v>120</v>
      </c>
      <c r="C2050" s="37" t="s">
        <v>4530</v>
      </c>
      <c r="D2050" s="37" t="s">
        <v>224</v>
      </c>
      <c r="E2050" s="37" t="s">
        <v>1015</v>
      </c>
      <c r="F2050" s="37" t="s">
        <v>644</v>
      </c>
      <c r="G2050" s="37" t="s">
        <v>3</v>
      </c>
      <c r="H2050" s="37" t="s">
        <v>4531</v>
      </c>
      <c r="I2050" s="37" t="s">
        <v>260</v>
      </c>
      <c r="J2050" s="1">
        <v>42.0</v>
      </c>
      <c r="L2050" s="40" t="s">
        <v>120</v>
      </c>
    </row>
    <row r="2051" ht="15.75" hidden="1" customHeight="1">
      <c r="A2051" s="38">
        <v>5538486.0</v>
      </c>
      <c r="B2051" s="39" t="s">
        <v>841</v>
      </c>
      <c r="C2051" s="39" t="s">
        <v>4532</v>
      </c>
      <c r="D2051" s="39" t="s">
        <v>224</v>
      </c>
      <c r="E2051" s="39" t="s">
        <v>843</v>
      </c>
      <c r="F2051" s="39" t="s">
        <v>242</v>
      </c>
      <c r="G2051" s="39" t="s">
        <v>227</v>
      </c>
      <c r="H2051" s="39" t="s">
        <v>4533</v>
      </c>
      <c r="I2051" s="39" t="s">
        <v>229</v>
      </c>
    </row>
    <row r="2052" ht="15.75" hidden="1" customHeight="1">
      <c r="A2052" s="36">
        <v>6074509.0</v>
      </c>
      <c r="B2052" s="37" t="s">
        <v>121</v>
      </c>
      <c r="C2052" s="37" t="s">
        <v>4534</v>
      </c>
      <c r="D2052" s="37" t="s">
        <v>224</v>
      </c>
      <c r="E2052" s="37" t="s">
        <v>643</v>
      </c>
      <c r="F2052" s="37" t="s">
        <v>644</v>
      </c>
      <c r="G2052" s="37" t="s">
        <v>3</v>
      </c>
      <c r="H2052" s="37" t="s">
        <v>4535</v>
      </c>
      <c r="I2052" s="37" t="s">
        <v>260</v>
      </c>
      <c r="J2052" s="1">
        <v>42.0</v>
      </c>
      <c r="L2052" s="40" t="s">
        <v>120</v>
      </c>
    </row>
    <row r="2053" ht="15.75" hidden="1" customHeight="1">
      <c r="A2053" s="38">
        <v>6075227.0</v>
      </c>
      <c r="B2053" s="39" t="s">
        <v>121</v>
      </c>
      <c r="C2053" s="39" t="s">
        <v>4536</v>
      </c>
      <c r="D2053" s="39" t="s">
        <v>224</v>
      </c>
      <c r="E2053" s="39" t="s">
        <v>643</v>
      </c>
      <c r="F2053" s="39" t="s">
        <v>644</v>
      </c>
      <c r="G2053" s="39" t="s">
        <v>3</v>
      </c>
      <c r="H2053" s="39" t="s">
        <v>4537</v>
      </c>
      <c r="I2053" s="39" t="s">
        <v>260</v>
      </c>
      <c r="J2053" s="1">
        <v>42.0</v>
      </c>
      <c r="L2053" s="40" t="s">
        <v>121</v>
      </c>
    </row>
    <row r="2054" ht="15.75" hidden="1" customHeight="1">
      <c r="A2054" s="36">
        <v>5538528.0</v>
      </c>
      <c r="B2054" s="37" t="s">
        <v>232</v>
      </c>
      <c r="C2054" s="37" t="s">
        <v>4538</v>
      </c>
      <c r="D2054" s="37" t="s">
        <v>224</v>
      </c>
      <c r="E2054" s="37" t="s">
        <v>1207</v>
      </c>
      <c r="F2054" s="37" t="s">
        <v>226</v>
      </c>
      <c r="G2054" s="37" t="s">
        <v>227</v>
      </c>
      <c r="H2054" s="37" t="s">
        <v>4539</v>
      </c>
      <c r="I2054" s="37" t="s">
        <v>229</v>
      </c>
    </row>
    <row r="2055" ht="15.75" hidden="1" customHeight="1">
      <c r="A2055" s="38">
        <v>6075686.0</v>
      </c>
      <c r="B2055" s="39" t="s">
        <v>121</v>
      </c>
      <c r="C2055" s="39" t="s">
        <v>4540</v>
      </c>
      <c r="D2055" s="39" t="s">
        <v>224</v>
      </c>
      <c r="E2055" s="39" t="s">
        <v>643</v>
      </c>
      <c r="F2055" s="39" t="s">
        <v>644</v>
      </c>
      <c r="G2055" s="39" t="s">
        <v>3</v>
      </c>
      <c r="H2055" s="39" t="s">
        <v>4541</v>
      </c>
      <c r="I2055" s="39" t="s">
        <v>260</v>
      </c>
      <c r="J2055" s="1">
        <v>42.0</v>
      </c>
      <c r="L2055" s="40" t="s">
        <v>121</v>
      </c>
    </row>
    <row r="2056" ht="15.75" hidden="1" customHeight="1">
      <c r="A2056" s="36">
        <v>4297251.0</v>
      </c>
      <c r="B2056" s="37" t="s">
        <v>121</v>
      </c>
      <c r="C2056" s="37" t="s">
        <v>4542</v>
      </c>
      <c r="D2056" s="37" t="s">
        <v>224</v>
      </c>
      <c r="E2056" s="37" t="s">
        <v>643</v>
      </c>
      <c r="F2056" s="37" t="s">
        <v>644</v>
      </c>
      <c r="G2056" s="37" t="s">
        <v>3</v>
      </c>
      <c r="H2056" s="37" t="s">
        <v>4543</v>
      </c>
      <c r="I2056" s="37" t="s">
        <v>260</v>
      </c>
      <c r="J2056" s="1">
        <v>42.0</v>
      </c>
      <c r="L2056" s="40" t="s">
        <v>121</v>
      </c>
    </row>
    <row r="2057" ht="15.75" hidden="1" customHeight="1">
      <c r="A2057" s="38">
        <v>5995192.0</v>
      </c>
      <c r="B2057" s="39" t="s">
        <v>121</v>
      </c>
      <c r="C2057" s="39" t="s">
        <v>4544</v>
      </c>
      <c r="D2057" s="39" t="s">
        <v>224</v>
      </c>
      <c r="E2057" s="39" t="s">
        <v>643</v>
      </c>
      <c r="F2057" s="39" t="s">
        <v>644</v>
      </c>
      <c r="G2057" s="39" t="s">
        <v>3</v>
      </c>
      <c r="H2057" s="39" t="s">
        <v>4545</v>
      </c>
      <c r="I2057" s="39" t="s">
        <v>260</v>
      </c>
      <c r="J2057" s="1">
        <v>42.0</v>
      </c>
      <c r="L2057" s="40" t="s">
        <v>121</v>
      </c>
    </row>
    <row r="2058" ht="15.75" hidden="1" customHeight="1">
      <c r="A2058" s="36">
        <v>5538886.0</v>
      </c>
      <c r="B2058" s="37" t="s">
        <v>232</v>
      </c>
      <c r="C2058" s="37" t="s">
        <v>4546</v>
      </c>
      <c r="D2058" s="37" t="s">
        <v>224</v>
      </c>
      <c r="E2058" s="37" t="s">
        <v>790</v>
      </c>
      <c r="F2058" s="37" t="s">
        <v>226</v>
      </c>
      <c r="G2058" s="37" t="s">
        <v>227</v>
      </c>
      <c r="H2058" s="37" t="s">
        <v>4547</v>
      </c>
      <c r="I2058" s="37" t="s">
        <v>229</v>
      </c>
    </row>
    <row r="2059" ht="15.75" hidden="1" customHeight="1">
      <c r="A2059" s="38">
        <v>5538887.0</v>
      </c>
      <c r="B2059" s="39" t="s">
        <v>232</v>
      </c>
      <c r="C2059" s="39" t="s">
        <v>4548</v>
      </c>
      <c r="D2059" s="39" t="s">
        <v>224</v>
      </c>
      <c r="E2059" s="39" t="s">
        <v>1207</v>
      </c>
      <c r="F2059" s="39" t="s">
        <v>226</v>
      </c>
      <c r="G2059" s="39" t="s">
        <v>227</v>
      </c>
      <c r="H2059" s="39" t="s">
        <v>4549</v>
      </c>
      <c r="I2059" s="39" t="s">
        <v>229</v>
      </c>
    </row>
    <row r="2060" ht="15.75" hidden="1" customHeight="1">
      <c r="A2060" s="36">
        <v>5971431.0</v>
      </c>
      <c r="B2060" s="37" t="s">
        <v>121</v>
      </c>
      <c r="C2060" s="37" t="s">
        <v>4550</v>
      </c>
      <c r="D2060" s="37" t="s">
        <v>224</v>
      </c>
      <c r="E2060" s="37" t="s">
        <v>643</v>
      </c>
      <c r="F2060" s="37" t="s">
        <v>644</v>
      </c>
      <c r="G2060" s="37" t="s">
        <v>3</v>
      </c>
      <c r="H2060" s="37" t="s">
        <v>4551</v>
      </c>
      <c r="I2060" s="37" t="s">
        <v>260</v>
      </c>
      <c r="J2060" s="1">
        <v>42.0</v>
      </c>
      <c r="L2060" s="40" t="s">
        <v>121</v>
      </c>
    </row>
    <row r="2061" ht="15.75" hidden="1" customHeight="1">
      <c r="A2061" s="38">
        <v>5545140.0</v>
      </c>
      <c r="B2061" s="39" t="s">
        <v>120</v>
      </c>
      <c r="C2061" s="39" t="s">
        <v>4552</v>
      </c>
      <c r="D2061" s="39" t="s">
        <v>224</v>
      </c>
      <c r="E2061" s="39" t="s">
        <v>868</v>
      </c>
      <c r="F2061" s="39" t="s">
        <v>644</v>
      </c>
      <c r="G2061" s="39" t="s">
        <v>3</v>
      </c>
      <c r="H2061" s="39" t="s">
        <v>4553</v>
      </c>
      <c r="I2061" s="39" t="s">
        <v>260</v>
      </c>
      <c r="J2061" s="1">
        <v>42.0</v>
      </c>
      <c r="L2061" s="40" t="s">
        <v>121</v>
      </c>
    </row>
    <row r="2062" ht="15.75" hidden="1" customHeight="1">
      <c r="A2062" s="36">
        <v>5862602.0</v>
      </c>
      <c r="B2062" s="37" t="s">
        <v>121</v>
      </c>
      <c r="C2062" s="37" t="s">
        <v>4554</v>
      </c>
      <c r="D2062" s="37" t="s">
        <v>224</v>
      </c>
      <c r="E2062" s="37" t="s">
        <v>643</v>
      </c>
      <c r="F2062" s="37" t="s">
        <v>644</v>
      </c>
      <c r="G2062" s="37" t="s">
        <v>3</v>
      </c>
      <c r="H2062" s="37" t="s">
        <v>4555</v>
      </c>
      <c r="I2062" s="37" t="s">
        <v>260</v>
      </c>
      <c r="J2062" s="1">
        <v>42.0</v>
      </c>
      <c r="L2062" s="40" t="s">
        <v>120</v>
      </c>
    </row>
    <row r="2063" ht="15.75" hidden="1" customHeight="1">
      <c r="A2063" s="38">
        <v>5658371.0</v>
      </c>
      <c r="B2063" s="39" t="s">
        <v>121</v>
      </c>
      <c r="C2063" s="39" t="s">
        <v>4556</v>
      </c>
      <c r="D2063" s="39" t="s">
        <v>224</v>
      </c>
      <c r="E2063" s="39" t="s">
        <v>643</v>
      </c>
      <c r="F2063" s="39" t="s">
        <v>644</v>
      </c>
      <c r="G2063" s="39" t="s">
        <v>3</v>
      </c>
      <c r="H2063" s="39" t="s">
        <v>4557</v>
      </c>
      <c r="I2063" s="39" t="s">
        <v>260</v>
      </c>
      <c r="J2063" s="1">
        <v>42.0</v>
      </c>
      <c r="L2063" s="40" t="s">
        <v>121</v>
      </c>
    </row>
    <row r="2064" ht="15.75" hidden="1" customHeight="1">
      <c r="A2064" s="36">
        <v>5546182.0</v>
      </c>
      <c r="B2064" s="37" t="s">
        <v>331</v>
      </c>
      <c r="C2064" s="37" t="s">
        <v>4558</v>
      </c>
      <c r="D2064" s="37" t="s">
        <v>346</v>
      </c>
      <c r="E2064" s="37" t="s">
        <v>1301</v>
      </c>
      <c r="F2064" s="37" t="s">
        <v>349</v>
      </c>
      <c r="G2064" s="37" t="s">
        <v>1302</v>
      </c>
      <c r="H2064" s="37" t="s">
        <v>4559</v>
      </c>
      <c r="I2064" s="37" t="s">
        <v>260</v>
      </c>
    </row>
    <row r="2065" ht="15.75" hidden="1" customHeight="1">
      <c r="A2065" s="38">
        <v>5972234.0</v>
      </c>
      <c r="B2065" s="39" t="s">
        <v>425</v>
      </c>
      <c r="C2065" s="39" t="s">
        <v>4560</v>
      </c>
      <c r="D2065" s="39" t="s">
        <v>224</v>
      </c>
      <c r="E2065" s="39" t="s">
        <v>643</v>
      </c>
      <c r="F2065" s="39" t="s">
        <v>644</v>
      </c>
      <c r="G2065" s="37" t="s">
        <v>3</v>
      </c>
      <c r="H2065" s="39" t="s">
        <v>4561</v>
      </c>
      <c r="I2065" s="39" t="s">
        <v>260</v>
      </c>
      <c r="J2065" s="1">
        <v>42.0</v>
      </c>
      <c r="L2065" s="40" t="s">
        <v>121</v>
      </c>
    </row>
    <row r="2066" ht="15.75" hidden="1" customHeight="1">
      <c r="A2066" s="36">
        <v>5972755.0</v>
      </c>
      <c r="B2066" s="37" t="s">
        <v>121</v>
      </c>
      <c r="C2066" s="37" t="s">
        <v>4562</v>
      </c>
      <c r="D2066" s="37" t="s">
        <v>224</v>
      </c>
      <c r="E2066" s="37" t="s">
        <v>643</v>
      </c>
      <c r="F2066" s="37" t="s">
        <v>644</v>
      </c>
      <c r="G2066" s="37" t="s">
        <v>3</v>
      </c>
      <c r="H2066" s="37" t="s">
        <v>4563</v>
      </c>
      <c r="I2066" s="37" t="s">
        <v>260</v>
      </c>
      <c r="J2066" s="1">
        <v>42.0</v>
      </c>
      <c r="L2066" s="40" t="s">
        <v>425</v>
      </c>
    </row>
    <row r="2067" ht="15.75" hidden="1" customHeight="1">
      <c r="A2067" s="38">
        <v>6075225.0</v>
      </c>
      <c r="B2067" s="39" t="s">
        <v>121</v>
      </c>
      <c r="C2067" s="39" t="s">
        <v>4564</v>
      </c>
      <c r="D2067" s="39" t="s">
        <v>224</v>
      </c>
      <c r="E2067" s="39" t="s">
        <v>643</v>
      </c>
      <c r="F2067" s="39" t="s">
        <v>644</v>
      </c>
      <c r="G2067" s="39" t="s">
        <v>3</v>
      </c>
      <c r="H2067" s="39" t="s">
        <v>4565</v>
      </c>
      <c r="I2067" s="39" t="s">
        <v>260</v>
      </c>
      <c r="J2067" s="1">
        <v>42.0</v>
      </c>
      <c r="L2067" s="40" t="s">
        <v>121</v>
      </c>
    </row>
    <row r="2068" ht="15.75" hidden="1" customHeight="1">
      <c r="A2068" s="36">
        <v>5882201.0</v>
      </c>
      <c r="B2068" s="37" t="s">
        <v>121</v>
      </c>
      <c r="C2068" s="37" t="s">
        <v>4566</v>
      </c>
      <c r="D2068" s="37" t="s">
        <v>224</v>
      </c>
      <c r="E2068" s="37" t="s">
        <v>643</v>
      </c>
      <c r="F2068" s="37" t="s">
        <v>644</v>
      </c>
      <c r="G2068" s="37" t="s">
        <v>3</v>
      </c>
      <c r="H2068" s="37" t="s">
        <v>4567</v>
      </c>
      <c r="I2068" s="37" t="s">
        <v>260</v>
      </c>
      <c r="J2068" s="1">
        <v>42.0</v>
      </c>
      <c r="L2068" s="40" t="s">
        <v>121</v>
      </c>
    </row>
    <row r="2069" ht="15.75" hidden="1" customHeight="1">
      <c r="A2069" s="38">
        <v>5974138.0</v>
      </c>
      <c r="B2069" s="39" t="s">
        <v>121</v>
      </c>
      <c r="C2069" s="39" t="s">
        <v>4568</v>
      </c>
      <c r="D2069" s="39" t="s">
        <v>224</v>
      </c>
      <c r="E2069" s="39" t="s">
        <v>643</v>
      </c>
      <c r="F2069" s="39" t="s">
        <v>644</v>
      </c>
      <c r="G2069" s="39" t="s">
        <v>3</v>
      </c>
      <c r="H2069" s="39" t="s">
        <v>4569</v>
      </c>
      <c r="I2069" s="39" t="s">
        <v>260</v>
      </c>
      <c r="J2069" s="1">
        <v>42.0</v>
      </c>
      <c r="L2069" s="40" t="s">
        <v>121</v>
      </c>
    </row>
    <row r="2070" ht="15.75" hidden="1" customHeight="1">
      <c r="A2070" s="36">
        <v>4095167.0</v>
      </c>
      <c r="B2070" s="37" t="s">
        <v>121</v>
      </c>
      <c r="C2070" s="37" t="s">
        <v>4570</v>
      </c>
      <c r="D2070" s="37" t="s">
        <v>224</v>
      </c>
      <c r="E2070" s="37" t="s">
        <v>643</v>
      </c>
      <c r="F2070" s="37" t="s">
        <v>644</v>
      </c>
      <c r="G2070" s="37" t="s">
        <v>3</v>
      </c>
      <c r="H2070" s="37" t="s">
        <v>4571</v>
      </c>
      <c r="I2070" s="37" t="s">
        <v>260</v>
      </c>
      <c r="J2070" s="1">
        <v>42.0</v>
      </c>
      <c r="L2070" s="40" t="s">
        <v>121</v>
      </c>
    </row>
    <row r="2071" ht="15.75" hidden="1" customHeight="1">
      <c r="A2071" s="38">
        <v>6074375.0</v>
      </c>
      <c r="B2071" s="39" t="s">
        <v>121</v>
      </c>
      <c r="C2071" s="39" t="s">
        <v>4572</v>
      </c>
      <c r="D2071" s="39" t="s">
        <v>224</v>
      </c>
      <c r="E2071" s="39" t="s">
        <v>643</v>
      </c>
      <c r="F2071" s="39" t="s">
        <v>644</v>
      </c>
      <c r="G2071" s="39" t="s">
        <v>3</v>
      </c>
      <c r="H2071" s="39" t="s">
        <v>4573</v>
      </c>
      <c r="I2071" s="39" t="s">
        <v>260</v>
      </c>
      <c r="J2071" s="1">
        <v>42.0</v>
      </c>
      <c r="L2071" s="40" t="s">
        <v>121</v>
      </c>
    </row>
    <row r="2072" ht="15.75" hidden="1" customHeight="1">
      <c r="A2072" s="36">
        <v>5905764.0</v>
      </c>
      <c r="B2072" s="37" t="s">
        <v>526</v>
      </c>
      <c r="C2072" s="37" t="s">
        <v>4574</v>
      </c>
      <c r="D2072" s="37" t="s">
        <v>224</v>
      </c>
      <c r="E2072" s="37" t="s">
        <v>649</v>
      </c>
      <c r="F2072" s="37" t="s">
        <v>326</v>
      </c>
      <c r="G2072" s="37" t="s">
        <v>327</v>
      </c>
      <c r="H2072" s="37" t="s">
        <v>4575</v>
      </c>
      <c r="I2072" s="37" t="s">
        <v>229</v>
      </c>
    </row>
    <row r="2073" ht="15.75" hidden="1" customHeight="1">
      <c r="A2073" s="38">
        <v>5549482.0</v>
      </c>
      <c r="B2073" s="39" t="s">
        <v>907</v>
      </c>
      <c r="C2073" s="39" t="s">
        <v>4576</v>
      </c>
      <c r="D2073" s="39" t="s">
        <v>224</v>
      </c>
      <c r="E2073" s="39" t="s">
        <v>634</v>
      </c>
      <c r="F2073" s="39" t="s">
        <v>257</v>
      </c>
      <c r="G2073" s="39" t="s">
        <v>258</v>
      </c>
      <c r="H2073" s="39" t="s">
        <v>4577</v>
      </c>
      <c r="I2073" s="39" t="s">
        <v>260</v>
      </c>
    </row>
    <row r="2074" ht="15.75" hidden="1" customHeight="1">
      <c r="A2074" s="36">
        <v>5775488.0</v>
      </c>
      <c r="B2074" s="37" t="s">
        <v>526</v>
      </c>
      <c r="C2074" s="37" t="s">
        <v>4578</v>
      </c>
      <c r="D2074" s="37" t="s">
        <v>224</v>
      </c>
      <c r="E2074" s="37" t="s">
        <v>649</v>
      </c>
      <c r="F2074" s="37" t="s">
        <v>326</v>
      </c>
      <c r="G2074" s="37" t="s">
        <v>327</v>
      </c>
      <c r="H2074" s="37" t="s">
        <v>4579</v>
      </c>
      <c r="I2074" s="37" t="s">
        <v>229</v>
      </c>
    </row>
    <row r="2075" ht="15.75" hidden="1" customHeight="1">
      <c r="A2075" s="38">
        <v>5559370.0</v>
      </c>
      <c r="B2075" s="39" t="s">
        <v>416</v>
      </c>
      <c r="C2075" s="39" t="s">
        <v>4580</v>
      </c>
      <c r="D2075" s="39" t="s">
        <v>224</v>
      </c>
      <c r="E2075" s="39" t="s">
        <v>2522</v>
      </c>
      <c r="F2075" s="39" t="s">
        <v>421</v>
      </c>
      <c r="G2075" s="39" t="s">
        <v>227</v>
      </c>
      <c r="H2075" s="39" t="s">
        <v>4581</v>
      </c>
      <c r="I2075" s="39" t="s">
        <v>260</v>
      </c>
    </row>
    <row r="2076" ht="15.75" hidden="1" customHeight="1">
      <c r="A2076" s="36">
        <v>5905744.0</v>
      </c>
      <c r="B2076" s="37" t="s">
        <v>526</v>
      </c>
      <c r="C2076" s="37" t="s">
        <v>4582</v>
      </c>
      <c r="D2076" s="37" t="s">
        <v>224</v>
      </c>
      <c r="E2076" s="37" t="s">
        <v>649</v>
      </c>
      <c r="F2076" s="37" t="s">
        <v>326</v>
      </c>
      <c r="G2076" s="37" t="s">
        <v>327</v>
      </c>
      <c r="H2076" s="37" t="s">
        <v>4583</v>
      </c>
      <c r="I2076" s="37" t="s">
        <v>229</v>
      </c>
    </row>
    <row r="2077" ht="15.75" hidden="1" customHeight="1">
      <c r="A2077" s="38">
        <v>5560661.0</v>
      </c>
      <c r="B2077" s="39" t="s">
        <v>416</v>
      </c>
      <c r="C2077" s="39" t="s">
        <v>4584</v>
      </c>
      <c r="D2077" s="39" t="s">
        <v>224</v>
      </c>
      <c r="E2077" s="39" t="s">
        <v>2307</v>
      </c>
      <c r="F2077" s="39" t="s">
        <v>421</v>
      </c>
      <c r="G2077" s="39" t="s">
        <v>227</v>
      </c>
      <c r="H2077" s="39" t="s">
        <v>4585</v>
      </c>
      <c r="I2077" s="39" t="s">
        <v>260</v>
      </c>
    </row>
    <row r="2078" ht="15.75" hidden="1" customHeight="1">
      <c r="A2078" s="36">
        <v>5905768.0</v>
      </c>
      <c r="B2078" s="37" t="s">
        <v>526</v>
      </c>
      <c r="C2078" s="37" t="s">
        <v>4586</v>
      </c>
      <c r="D2078" s="37" t="s">
        <v>224</v>
      </c>
      <c r="E2078" s="37" t="s">
        <v>649</v>
      </c>
      <c r="F2078" s="37" t="s">
        <v>326</v>
      </c>
      <c r="G2078" s="37" t="s">
        <v>327</v>
      </c>
      <c r="H2078" s="37" t="s">
        <v>4587</v>
      </c>
      <c r="I2078" s="37" t="s">
        <v>229</v>
      </c>
    </row>
    <row r="2079" ht="15.75" hidden="1" customHeight="1">
      <c r="A2079" s="38">
        <v>5564192.0</v>
      </c>
      <c r="B2079" s="39" t="s">
        <v>841</v>
      </c>
      <c r="C2079" s="39" t="s">
        <v>4588</v>
      </c>
      <c r="D2079" s="39" t="s">
        <v>224</v>
      </c>
      <c r="E2079" s="39" t="s">
        <v>843</v>
      </c>
      <c r="F2079" s="39" t="s">
        <v>242</v>
      </c>
      <c r="G2079" s="39" t="s">
        <v>227</v>
      </c>
      <c r="H2079" s="39" t="s">
        <v>4589</v>
      </c>
      <c r="I2079" s="39" t="s">
        <v>229</v>
      </c>
    </row>
    <row r="2080" ht="15.75" hidden="1" customHeight="1">
      <c r="A2080" s="36">
        <v>5846038.0</v>
      </c>
      <c r="B2080" s="37" t="s">
        <v>526</v>
      </c>
      <c r="C2080" s="37" t="s">
        <v>4590</v>
      </c>
      <c r="D2080" s="37" t="s">
        <v>224</v>
      </c>
      <c r="E2080" s="37" t="s">
        <v>649</v>
      </c>
      <c r="F2080" s="37" t="s">
        <v>326</v>
      </c>
      <c r="G2080" s="37" t="s">
        <v>327</v>
      </c>
      <c r="H2080" s="37" t="s">
        <v>4591</v>
      </c>
      <c r="I2080" s="37" t="s">
        <v>229</v>
      </c>
    </row>
    <row r="2081" ht="15.75" hidden="1" customHeight="1">
      <c r="A2081" s="38">
        <v>5905774.0</v>
      </c>
      <c r="B2081" s="39" t="s">
        <v>526</v>
      </c>
      <c r="C2081" s="39" t="s">
        <v>4592</v>
      </c>
      <c r="D2081" s="39" t="s">
        <v>224</v>
      </c>
      <c r="E2081" s="39" t="s">
        <v>649</v>
      </c>
      <c r="F2081" s="39" t="s">
        <v>326</v>
      </c>
      <c r="G2081" s="39" t="s">
        <v>327</v>
      </c>
      <c r="H2081" s="39" t="s">
        <v>4593</v>
      </c>
      <c r="I2081" s="39" t="s">
        <v>229</v>
      </c>
    </row>
    <row r="2082" ht="15.75" hidden="1" customHeight="1">
      <c r="A2082" s="36">
        <v>5564194.0</v>
      </c>
      <c r="B2082" s="37" t="s">
        <v>232</v>
      </c>
      <c r="C2082" s="37" t="s">
        <v>4594</v>
      </c>
      <c r="D2082" s="37" t="s">
        <v>224</v>
      </c>
      <c r="E2082" s="37" t="s">
        <v>1207</v>
      </c>
      <c r="F2082" s="37" t="s">
        <v>226</v>
      </c>
      <c r="G2082" s="37" t="s">
        <v>227</v>
      </c>
      <c r="H2082" s="37" t="s">
        <v>4595</v>
      </c>
      <c r="I2082" s="37" t="s">
        <v>229</v>
      </c>
    </row>
    <row r="2083" ht="15.75" hidden="1" customHeight="1">
      <c r="A2083" s="38">
        <v>5905754.0</v>
      </c>
      <c r="B2083" s="39" t="s">
        <v>526</v>
      </c>
      <c r="C2083" s="39" t="s">
        <v>4596</v>
      </c>
      <c r="D2083" s="39" t="s">
        <v>224</v>
      </c>
      <c r="E2083" s="39" t="s">
        <v>649</v>
      </c>
      <c r="F2083" s="39" t="s">
        <v>326</v>
      </c>
      <c r="G2083" s="39" t="s">
        <v>327</v>
      </c>
      <c r="H2083" s="39" t="s">
        <v>4597</v>
      </c>
      <c r="I2083" s="39" t="s">
        <v>229</v>
      </c>
    </row>
    <row r="2084" ht="15.75" hidden="1" customHeight="1">
      <c r="A2084" s="36">
        <v>5564195.0</v>
      </c>
      <c r="B2084" s="37" t="s">
        <v>232</v>
      </c>
      <c r="C2084" s="37" t="s">
        <v>4598</v>
      </c>
      <c r="D2084" s="37" t="s">
        <v>224</v>
      </c>
      <c r="E2084" s="37" t="s">
        <v>1207</v>
      </c>
      <c r="F2084" s="37" t="s">
        <v>226</v>
      </c>
      <c r="G2084" s="37" t="s">
        <v>227</v>
      </c>
      <c r="H2084" s="37" t="s">
        <v>4599</v>
      </c>
      <c r="I2084" s="37" t="s">
        <v>229</v>
      </c>
    </row>
    <row r="2085" ht="15.75" hidden="1" customHeight="1">
      <c r="A2085" s="38">
        <v>5906095.0</v>
      </c>
      <c r="B2085" s="39" t="s">
        <v>526</v>
      </c>
      <c r="C2085" s="39" t="s">
        <v>4600</v>
      </c>
      <c r="D2085" s="39" t="s">
        <v>224</v>
      </c>
      <c r="E2085" s="39" t="s">
        <v>649</v>
      </c>
      <c r="F2085" s="39" t="s">
        <v>326</v>
      </c>
      <c r="G2085" s="39" t="s">
        <v>327</v>
      </c>
      <c r="H2085" s="39" t="s">
        <v>4601</v>
      </c>
      <c r="I2085" s="39" t="s">
        <v>229</v>
      </c>
    </row>
    <row r="2086" ht="15.75" hidden="1" customHeight="1">
      <c r="A2086" s="36">
        <v>5564197.0</v>
      </c>
      <c r="B2086" s="37" t="s">
        <v>331</v>
      </c>
      <c r="C2086" s="37" t="s">
        <v>4602</v>
      </c>
      <c r="D2086" s="37" t="s">
        <v>346</v>
      </c>
      <c r="E2086" s="37" t="s">
        <v>1301</v>
      </c>
      <c r="F2086" s="37" t="s">
        <v>349</v>
      </c>
      <c r="G2086" s="37" t="s">
        <v>1302</v>
      </c>
      <c r="H2086" s="37" t="s">
        <v>4603</v>
      </c>
      <c r="I2086" s="37" t="s">
        <v>229</v>
      </c>
    </row>
    <row r="2087" ht="15.75" hidden="1" customHeight="1">
      <c r="A2087" s="38">
        <v>5771572.0</v>
      </c>
      <c r="B2087" s="39" t="s">
        <v>526</v>
      </c>
      <c r="C2087" s="39" t="s">
        <v>4604</v>
      </c>
      <c r="D2087" s="39" t="s">
        <v>224</v>
      </c>
      <c r="E2087" s="39" t="s">
        <v>649</v>
      </c>
      <c r="F2087" s="39" t="s">
        <v>326</v>
      </c>
      <c r="G2087" s="39" t="s">
        <v>327</v>
      </c>
      <c r="H2087" s="39" t="s">
        <v>4605</v>
      </c>
      <c r="I2087" s="39" t="s">
        <v>229</v>
      </c>
    </row>
    <row r="2088" ht="15.75" hidden="1" customHeight="1">
      <c r="A2088" s="36">
        <v>5597015.0</v>
      </c>
      <c r="B2088" s="37" t="s">
        <v>1791</v>
      </c>
      <c r="C2088" s="37" t="s">
        <v>4606</v>
      </c>
      <c r="D2088" s="37" t="s">
        <v>224</v>
      </c>
      <c r="E2088" s="37" t="s">
        <v>2398</v>
      </c>
      <c r="F2088" s="37" t="s">
        <v>266</v>
      </c>
      <c r="G2088" s="37" t="s">
        <v>250</v>
      </c>
      <c r="H2088" s="37" t="s">
        <v>4607</v>
      </c>
      <c r="I2088" s="37" t="s">
        <v>229</v>
      </c>
    </row>
    <row r="2089" ht="15.75" hidden="1" customHeight="1">
      <c r="A2089" s="38">
        <v>5601475.0</v>
      </c>
      <c r="B2089" s="39" t="s">
        <v>853</v>
      </c>
      <c r="C2089" s="39" t="s">
        <v>4608</v>
      </c>
      <c r="D2089" s="39" t="s">
        <v>224</v>
      </c>
      <c r="E2089" s="39" t="s">
        <v>1458</v>
      </c>
      <c r="F2089" s="39" t="s">
        <v>533</v>
      </c>
      <c r="G2089" s="39" t="s">
        <v>250</v>
      </c>
      <c r="H2089" s="39" t="s">
        <v>4609</v>
      </c>
      <c r="I2089" s="39" t="s">
        <v>229</v>
      </c>
    </row>
    <row r="2090" ht="15.75" hidden="1" customHeight="1">
      <c r="A2090" s="36">
        <v>5608436.0</v>
      </c>
      <c r="B2090" s="37" t="s">
        <v>309</v>
      </c>
      <c r="C2090" s="37" t="s">
        <v>4610</v>
      </c>
      <c r="D2090" s="37" t="s">
        <v>224</v>
      </c>
      <c r="E2090" s="37" t="s">
        <v>311</v>
      </c>
      <c r="F2090" s="37" t="s">
        <v>312</v>
      </c>
      <c r="G2090" s="37" t="s">
        <v>258</v>
      </c>
      <c r="H2090" s="37" t="s">
        <v>4611</v>
      </c>
      <c r="I2090" s="37" t="s">
        <v>260</v>
      </c>
    </row>
    <row r="2091" ht="15.75" hidden="1" customHeight="1">
      <c r="A2091" s="38">
        <v>5611087.0</v>
      </c>
      <c r="B2091" s="39" t="s">
        <v>841</v>
      </c>
      <c r="C2091" s="39" t="s">
        <v>4612</v>
      </c>
      <c r="D2091" s="39" t="s">
        <v>224</v>
      </c>
      <c r="E2091" s="39" t="s">
        <v>843</v>
      </c>
      <c r="F2091" s="39" t="s">
        <v>242</v>
      </c>
      <c r="G2091" s="39" t="s">
        <v>227</v>
      </c>
      <c r="H2091" s="39" t="s">
        <v>4613</v>
      </c>
      <c r="I2091" s="39" t="s">
        <v>229</v>
      </c>
    </row>
    <row r="2092" ht="15.75" hidden="1" customHeight="1">
      <c r="A2092" s="36">
        <v>5611088.0</v>
      </c>
      <c r="B2092" s="37" t="s">
        <v>841</v>
      </c>
      <c r="C2092" s="37" t="s">
        <v>4614</v>
      </c>
      <c r="D2092" s="37" t="s">
        <v>224</v>
      </c>
      <c r="E2092" s="37" t="s">
        <v>843</v>
      </c>
      <c r="F2092" s="37" t="s">
        <v>242</v>
      </c>
      <c r="G2092" s="37" t="s">
        <v>227</v>
      </c>
      <c r="H2092" s="37" t="s">
        <v>4615</v>
      </c>
      <c r="I2092" s="37" t="s">
        <v>229</v>
      </c>
    </row>
    <row r="2093" ht="15.75" hidden="1" customHeight="1">
      <c r="A2093" s="38">
        <v>5611120.0</v>
      </c>
      <c r="B2093" s="39" t="s">
        <v>309</v>
      </c>
      <c r="C2093" s="39" t="s">
        <v>4616</v>
      </c>
      <c r="D2093" s="39" t="s">
        <v>224</v>
      </c>
      <c r="E2093" s="39" t="s">
        <v>634</v>
      </c>
      <c r="F2093" s="39" t="s">
        <v>257</v>
      </c>
      <c r="G2093" s="39" t="s">
        <v>258</v>
      </c>
      <c r="H2093" s="39" t="s">
        <v>4617</v>
      </c>
      <c r="I2093" s="39" t="s">
        <v>260</v>
      </c>
    </row>
    <row r="2094" ht="15.75" hidden="1" customHeight="1">
      <c r="A2094" s="36">
        <v>5613242.0</v>
      </c>
      <c r="B2094" s="37" t="s">
        <v>232</v>
      </c>
      <c r="C2094" s="37" t="s">
        <v>4618</v>
      </c>
      <c r="D2094" s="37" t="s">
        <v>224</v>
      </c>
      <c r="E2094" s="37" t="s">
        <v>1207</v>
      </c>
      <c r="F2094" s="37" t="s">
        <v>226</v>
      </c>
      <c r="G2094" s="37" t="s">
        <v>227</v>
      </c>
      <c r="H2094" s="37" t="s">
        <v>4619</v>
      </c>
      <c r="I2094" s="37" t="s">
        <v>229</v>
      </c>
    </row>
    <row r="2095" ht="15.75" hidden="1" customHeight="1">
      <c r="A2095" s="38">
        <v>5611129.0</v>
      </c>
      <c r="B2095" s="39" t="s">
        <v>441</v>
      </c>
      <c r="C2095" s="39" t="s">
        <v>4620</v>
      </c>
      <c r="D2095" s="39" t="s">
        <v>224</v>
      </c>
      <c r="E2095" s="39" t="s">
        <v>634</v>
      </c>
      <c r="F2095" s="39" t="s">
        <v>257</v>
      </c>
      <c r="G2095" s="39" t="s">
        <v>258</v>
      </c>
      <c r="H2095" s="39" t="s">
        <v>4621</v>
      </c>
      <c r="I2095" s="39" t="s">
        <v>260</v>
      </c>
    </row>
    <row r="2096" ht="15.75" hidden="1" customHeight="1">
      <c r="A2096" s="36">
        <v>5613253.0</v>
      </c>
      <c r="B2096" s="37" t="s">
        <v>232</v>
      </c>
      <c r="C2096" s="37" t="s">
        <v>4622</v>
      </c>
      <c r="D2096" s="37" t="s">
        <v>224</v>
      </c>
      <c r="E2096" s="37" t="s">
        <v>1207</v>
      </c>
      <c r="F2096" s="37" t="s">
        <v>226</v>
      </c>
      <c r="G2096" s="37" t="s">
        <v>227</v>
      </c>
      <c r="H2096" s="37" t="s">
        <v>4623</v>
      </c>
      <c r="I2096" s="37" t="s">
        <v>229</v>
      </c>
    </row>
    <row r="2097" ht="15.75" hidden="1" customHeight="1">
      <c r="A2097" s="38">
        <v>5926034.0</v>
      </c>
      <c r="B2097" s="39" t="s">
        <v>232</v>
      </c>
      <c r="C2097" s="39" t="s">
        <v>4624</v>
      </c>
      <c r="D2097" s="39" t="s">
        <v>224</v>
      </c>
      <c r="E2097" s="39" t="s">
        <v>1207</v>
      </c>
      <c r="F2097" s="39" t="s">
        <v>226</v>
      </c>
      <c r="G2097" s="39" t="s">
        <v>227</v>
      </c>
      <c r="H2097" s="39" t="s">
        <v>4625</v>
      </c>
      <c r="I2097" s="39" t="s">
        <v>229</v>
      </c>
    </row>
    <row r="2098" ht="15.75" hidden="1" customHeight="1">
      <c r="A2098" s="36">
        <v>5613246.0</v>
      </c>
      <c r="B2098" s="37" t="s">
        <v>232</v>
      </c>
      <c r="C2098" s="37" t="s">
        <v>4626</v>
      </c>
      <c r="D2098" s="37" t="s">
        <v>224</v>
      </c>
      <c r="E2098" s="37" t="s">
        <v>790</v>
      </c>
      <c r="F2098" s="37" t="s">
        <v>226</v>
      </c>
      <c r="G2098" s="37" t="s">
        <v>227</v>
      </c>
      <c r="H2098" s="37" t="s">
        <v>4627</v>
      </c>
      <c r="I2098" s="37" t="s">
        <v>229</v>
      </c>
    </row>
    <row r="2099" ht="15.75" hidden="1" customHeight="1">
      <c r="A2099" s="38">
        <v>5761383.0</v>
      </c>
      <c r="B2099" s="39" t="s">
        <v>232</v>
      </c>
      <c r="C2099" s="39" t="s">
        <v>4628</v>
      </c>
      <c r="D2099" s="39" t="s">
        <v>269</v>
      </c>
      <c r="E2099" s="39" t="s">
        <v>1207</v>
      </c>
      <c r="F2099" s="39" t="s">
        <v>226</v>
      </c>
      <c r="G2099" s="39" t="s">
        <v>227</v>
      </c>
      <c r="H2099" s="39" t="s">
        <v>4629</v>
      </c>
      <c r="I2099" s="39" t="s">
        <v>229</v>
      </c>
    </row>
    <row r="2100" ht="15.75" hidden="1" customHeight="1">
      <c r="A2100" s="36">
        <v>4926628.0</v>
      </c>
      <c r="B2100" s="37" t="s">
        <v>232</v>
      </c>
      <c r="C2100" s="37" t="s">
        <v>4630</v>
      </c>
      <c r="D2100" s="37" t="s">
        <v>224</v>
      </c>
      <c r="E2100" s="37" t="s">
        <v>1207</v>
      </c>
      <c r="F2100" s="37" t="s">
        <v>226</v>
      </c>
      <c r="G2100" s="37" t="s">
        <v>227</v>
      </c>
      <c r="H2100" s="37" t="s">
        <v>4631</v>
      </c>
      <c r="I2100" s="37" t="s">
        <v>229</v>
      </c>
    </row>
    <row r="2101" ht="15.75" hidden="1" customHeight="1">
      <c r="A2101" s="38">
        <v>5613334.0</v>
      </c>
      <c r="B2101" s="39" t="s">
        <v>232</v>
      </c>
      <c r="C2101" s="39" t="s">
        <v>4632</v>
      </c>
      <c r="D2101" s="39" t="s">
        <v>224</v>
      </c>
      <c r="E2101" s="39" t="s">
        <v>932</v>
      </c>
      <c r="F2101" s="39" t="s">
        <v>226</v>
      </c>
      <c r="G2101" s="39" t="s">
        <v>227</v>
      </c>
      <c r="H2101" s="39" t="s">
        <v>4633</v>
      </c>
      <c r="I2101" s="39" t="s">
        <v>229</v>
      </c>
    </row>
    <row r="2102" ht="15.75" hidden="1" customHeight="1">
      <c r="A2102" s="36">
        <v>5828681.0</v>
      </c>
      <c r="B2102" s="37" t="s">
        <v>632</v>
      </c>
      <c r="C2102" s="37" t="s">
        <v>4634</v>
      </c>
      <c r="D2102" s="37" t="s">
        <v>269</v>
      </c>
      <c r="E2102" s="37" t="s">
        <v>891</v>
      </c>
      <c r="F2102" s="37" t="s">
        <v>257</v>
      </c>
      <c r="G2102" s="37" t="s">
        <v>258</v>
      </c>
      <c r="H2102" s="37" t="s">
        <v>4635</v>
      </c>
      <c r="I2102" s="37" t="s">
        <v>260</v>
      </c>
    </row>
    <row r="2103" ht="15.75" hidden="1" customHeight="1">
      <c r="A2103" s="38">
        <v>5613462.0</v>
      </c>
      <c r="B2103" s="39" t="s">
        <v>232</v>
      </c>
      <c r="C2103" s="39" t="s">
        <v>4636</v>
      </c>
      <c r="D2103" s="39" t="s">
        <v>224</v>
      </c>
      <c r="E2103" s="39" t="s">
        <v>932</v>
      </c>
      <c r="F2103" s="39" t="s">
        <v>226</v>
      </c>
      <c r="G2103" s="39" t="s">
        <v>227</v>
      </c>
      <c r="H2103" s="39" t="s">
        <v>4637</v>
      </c>
      <c r="I2103" s="39" t="s">
        <v>229</v>
      </c>
    </row>
    <row r="2104" ht="15.75" hidden="1" customHeight="1">
      <c r="A2104" s="36">
        <v>5616008.0</v>
      </c>
      <c r="B2104" s="37" t="s">
        <v>232</v>
      </c>
      <c r="C2104" s="37" t="s">
        <v>4638</v>
      </c>
      <c r="D2104" s="37" t="s">
        <v>224</v>
      </c>
      <c r="E2104" s="37" t="s">
        <v>790</v>
      </c>
      <c r="F2104" s="37" t="s">
        <v>226</v>
      </c>
      <c r="G2104" s="37" t="s">
        <v>227</v>
      </c>
      <c r="H2104" s="37" t="s">
        <v>4639</v>
      </c>
      <c r="I2104" s="37" t="s">
        <v>229</v>
      </c>
    </row>
    <row r="2105" ht="15.75" hidden="1" customHeight="1">
      <c r="A2105" s="38">
        <v>5616322.0</v>
      </c>
      <c r="B2105" s="39" t="s">
        <v>232</v>
      </c>
      <c r="C2105" s="39" t="s">
        <v>4640</v>
      </c>
      <c r="D2105" s="39" t="s">
        <v>224</v>
      </c>
      <c r="E2105" s="39" t="s">
        <v>790</v>
      </c>
      <c r="F2105" s="39" t="s">
        <v>226</v>
      </c>
      <c r="G2105" s="39" t="s">
        <v>227</v>
      </c>
      <c r="H2105" s="39" t="s">
        <v>4641</v>
      </c>
      <c r="I2105" s="39" t="s">
        <v>229</v>
      </c>
    </row>
    <row r="2106" ht="15.75" hidden="1" customHeight="1">
      <c r="A2106" s="36">
        <v>5775173.0</v>
      </c>
      <c r="B2106" s="37" t="s">
        <v>1044</v>
      </c>
      <c r="C2106" s="37" t="s">
        <v>4642</v>
      </c>
      <c r="D2106" s="37" t="s">
        <v>224</v>
      </c>
      <c r="E2106" s="37" t="s">
        <v>891</v>
      </c>
      <c r="F2106" s="37" t="s">
        <v>257</v>
      </c>
      <c r="G2106" s="37" t="s">
        <v>258</v>
      </c>
      <c r="H2106" s="37" t="s">
        <v>4643</v>
      </c>
      <c r="I2106" s="37" t="s">
        <v>260</v>
      </c>
    </row>
    <row r="2107" ht="15.75" hidden="1" customHeight="1">
      <c r="A2107" s="38">
        <v>5616323.0</v>
      </c>
      <c r="B2107" s="39" t="s">
        <v>232</v>
      </c>
      <c r="C2107" s="39" t="s">
        <v>4644</v>
      </c>
      <c r="D2107" s="39" t="s">
        <v>224</v>
      </c>
      <c r="E2107" s="39" t="s">
        <v>790</v>
      </c>
      <c r="F2107" s="39" t="s">
        <v>226</v>
      </c>
      <c r="G2107" s="39" t="s">
        <v>227</v>
      </c>
      <c r="H2107" s="39" t="s">
        <v>4645</v>
      </c>
      <c r="I2107" s="39" t="s">
        <v>229</v>
      </c>
    </row>
    <row r="2108" ht="15.75" hidden="1" customHeight="1">
      <c r="A2108" s="36">
        <v>5616324.0</v>
      </c>
      <c r="B2108" s="37" t="s">
        <v>232</v>
      </c>
      <c r="C2108" s="37" t="s">
        <v>4646</v>
      </c>
      <c r="D2108" s="37" t="s">
        <v>224</v>
      </c>
      <c r="E2108" s="37" t="s">
        <v>932</v>
      </c>
      <c r="F2108" s="37" t="s">
        <v>226</v>
      </c>
      <c r="G2108" s="37" t="s">
        <v>227</v>
      </c>
      <c r="H2108" s="37" t="s">
        <v>4647</v>
      </c>
      <c r="I2108" s="37" t="s">
        <v>229</v>
      </c>
    </row>
    <row r="2109" ht="15.75" hidden="1" customHeight="1">
      <c r="A2109" s="38">
        <v>5620756.0</v>
      </c>
      <c r="B2109" s="39" t="s">
        <v>232</v>
      </c>
      <c r="C2109" s="39" t="s">
        <v>4648</v>
      </c>
      <c r="D2109" s="39" t="s">
        <v>224</v>
      </c>
      <c r="E2109" s="39" t="s">
        <v>932</v>
      </c>
      <c r="F2109" s="39" t="s">
        <v>226</v>
      </c>
      <c r="G2109" s="39" t="s">
        <v>227</v>
      </c>
      <c r="H2109" s="39" t="s">
        <v>4649</v>
      </c>
      <c r="I2109" s="39" t="s">
        <v>229</v>
      </c>
    </row>
    <row r="2110" ht="15.75" hidden="1" customHeight="1">
      <c r="A2110" s="36">
        <v>5622694.0</v>
      </c>
      <c r="B2110" s="37" t="s">
        <v>2069</v>
      </c>
      <c r="C2110" s="37" t="s">
        <v>4650</v>
      </c>
      <c r="D2110" s="37" t="s">
        <v>224</v>
      </c>
      <c r="E2110" s="37" t="s">
        <v>1934</v>
      </c>
      <c r="F2110" s="37" t="s">
        <v>300</v>
      </c>
      <c r="G2110" s="37" t="s">
        <v>301</v>
      </c>
      <c r="H2110" s="37" t="s">
        <v>4651</v>
      </c>
      <c r="I2110" s="37" t="s">
        <v>229</v>
      </c>
    </row>
    <row r="2111" ht="15.75" hidden="1" customHeight="1">
      <c r="A2111" s="38">
        <v>5622705.0</v>
      </c>
      <c r="B2111" s="39" t="s">
        <v>1746</v>
      </c>
      <c r="C2111" s="39" t="s">
        <v>4652</v>
      </c>
      <c r="D2111" s="39" t="s">
        <v>224</v>
      </c>
      <c r="E2111" s="39" t="s">
        <v>1518</v>
      </c>
      <c r="F2111" s="39" t="s">
        <v>698</v>
      </c>
      <c r="G2111" s="39" t="s">
        <v>541</v>
      </c>
      <c r="H2111" s="39" t="s">
        <v>4653</v>
      </c>
      <c r="I2111" s="39" t="s">
        <v>229</v>
      </c>
    </row>
    <row r="2112" ht="15.75" hidden="1" customHeight="1">
      <c r="A2112" s="36">
        <v>5870146.0</v>
      </c>
      <c r="B2112" s="37" t="s">
        <v>522</v>
      </c>
      <c r="C2112" s="37" t="s">
        <v>4654</v>
      </c>
      <c r="D2112" s="37" t="s">
        <v>224</v>
      </c>
      <c r="E2112" s="37" t="s">
        <v>658</v>
      </c>
      <c r="F2112" s="37" t="s">
        <v>470</v>
      </c>
      <c r="G2112" s="37" t="s">
        <v>327</v>
      </c>
      <c r="H2112" s="37" t="s">
        <v>4655</v>
      </c>
      <c r="I2112" s="37" t="s">
        <v>229</v>
      </c>
    </row>
    <row r="2113" ht="15.75" hidden="1" customHeight="1">
      <c r="A2113" s="38">
        <v>5922617.0</v>
      </c>
      <c r="B2113" s="39" t="s">
        <v>522</v>
      </c>
      <c r="C2113" s="39" t="s">
        <v>4656</v>
      </c>
      <c r="D2113" s="39" t="s">
        <v>224</v>
      </c>
      <c r="E2113" s="39" t="s">
        <v>658</v>
      </c>
      <c r="F2113" s="39" t="s">
        <v>470</v>
      </c>
      <c r="G2113" s="39" t="s">
        <v>327</v>
      </c>
      <c r="H2113" s="39" t="s">
        <v>4657</v>
      </c>
      <c r="I2113" s="39" t="s">
        <v>229</v>
      </c>
    </row>
    <row r="2114" ht="15.75" hidden="1" customHeight="1">
      <c r="A2114" s="36">
        <v>5872834.0</v>
      </c>
      <c r="B2114" s="37" t="s">
        <v>522</v>
      </c>
      <c r="C2114" s="37" t="s">
        <v>4658</v>
      </c>
      <c r="D2114" s="37" t="s">
        <v>224</v>
      </c>
      <c r="E2114" s="37" t="s">
        <v>658</v>
      </c>
      <c r="F2114" s="37" t="s">
        <v>470</v>
      </c>
      <c r="G2114" s="37" t="s">
        <v>327</v>
      </c>
      <c r="H2114" s="37" t="s">
        <v>4659</v>
      </c>
      <c r="I2114" s="37" t="s">
        <v>229</v>
      </c>
    </row>
    <row r="2115" ht="15.75" hidden="1" customHeight="1">
      <c r="A2115" s="38">
        <v>5645561.0</v>
      </c>
      <c r="B2115" s="39" t="s">
        <v>120</v>
      </c>
      <c r="C2115" s="39" t="s">
        <v>4660</v>
      </c>
      <c r="D2115" s="39" t="s">
        <v>224</v>
      </c>
      <c r="E2115" s="39" t="s">
        <v>868</v>
      </c>
      <c r="F2115" s="39" t="s">
        <v>644</v>
      </c>
      <c r="G2115" s="39" t="s">
        <v>3</v>
      </c>
      <c r="H2115" s="39" t="s">
        <v>4661</v>
      </c>
      <c r="I2115" s="39" t="s">
        <v>260</v>
      </c>
      <c r="J2115" s="1">
        <v>42.0</v>
      </c>
      <c r="L2115" s="40" t="s">
        <v>121</v>
      </c>
    </row>
    <row r="2116" ht="15.75" hidden="1" customHeight="1">
      <c r="A2116" s="36">
        <v>5080438.0</v>
      </c>
      <c r="B2116" s="37" t="s">
        <v>522</v>
      </c>
      <c r="C2116" s="37" t="s">
        <v>4662</v>
      </c>
      <c r="D2116" s="37" t="s">
        <v>224</v>
      </c>
      <c r="E2116" s="37" t="s">
        <v>658</v>
      </c>
      <c r="F2116" s="37" t="s">
        <v>470</v>
      </c>
      <c r="G2116" s="37" t="s">
        <v>327</v>
      </c>
      <c r="H2116" s="37" t="s">
        <v>4663</v>
      </c>
      <c r="I2116" s="37" t="s">
        <v>229</v>
      </c>
    </row>
    <row r="2117" ht="15.75" hidden="1" customHeight="1">
      <c r="A2117" s="38">
        <v>5103811.0</v>
      </c>
      <c r="B2117" s="39" t="s">
        <v>323</v>
      </c>
      <c r="C2117" s="39" t="s">
        <v>4664</v>
      </c>
      <c r="D2117" s="39" t="s">
        <v>224</v>
      </c>
      <c r="E2117" s="39" t="s">
        <v>2152</v>
      </c>
      <c r="F2117" s="39" t="s">
        <v>326</v>
      </c>
      <c r="G2117" s="39" t="s">
        <v>327</v>
      </c>
      <c r="H2117" s="39" t="s">
        <v>4665</v>
      </c>
      <c r="I2117" s="39" t="s">
        <v>229</v>
      </c>
    </row>
    <row r="2118" ht="15.75" hidden="1" customHeight="1">
      <c r="A2118" s="36">
        <v>5846416.0</v>
      </c>
      <c r="B2118" s="37" t="s">
        <v>323</v>
      </c>
      <c r="C2118" s="37" t="s">
        <v>4666</v>
      </c>
      <c r="D2118" s="37" t="s">
        <v>224</v>
      </c>
      <c r="E2118" s="37" t="s">
        <v>2152</v>
      </c>
      <c r="F2118" s="37" t="s">
        <v>326</v>
      </c>
      <c r="G2118" s="37" t="s">
        <v>327</v>
      </c>
      <c r="H2118" s="37" t="s">
        <v>4667</v>
      </c>
      <c r="I2118" s="37" t="s">
        <v>229</v>
      </c>
    </row>
    <row r="2119" ht="15.75" hidden="1" customHeight="1">
      <c r="A2119" s="38">
        <v>2102227.0</v>
      </c>
      <c r="B2119" s="39" t="s">
        <v>323</v>
      </c>
      <c r="C2119" s="39" t="s">
        <v>4668</v>
      </c>
      <c r="D2119" s="39" t="s">
        <v>224</v>
      </c>
      <c r="E2119" s="39" t="s">
        <v>2152</v>
      </c>
      <c r="F2119" s="39" t="s">
        <v>326</v>
      </c>
      <c r="G2119" s="39" t="s">
        <v>327</v>
      </c>
      <c r="H2119" s="39" t="s">
        <v>4669</v>
      </c>
      <c r="I2119" s="39" t="s">
        <v>229</v>
      </c>
    </row>
    <row r="2120" ht="15.75" hidden="1" customHeight="1">
      <c r="A2120" s="36">
        <v>5948319.0</v>
      </c>
      <c r="B2120" s="37" t="s">
        <v>323</v>
      </c>
      <c r="C2120" s="37" t="s">
        <v>4670</v>
      </c>
      <c r="D2120" s="37" t="s">
        <v>224</v>
      </c>
      <c r="E2120" s="37" t="s">
        <v>2152</v>
      </c>
      <c r="F2120" s="37" t="s">
        <v>326</v>
      </c>
      <c r="G2120" s="37" t="s">
        <v>327</v>
      </c>
      <c r="H2120" s="37" t="s">
        <v>4671</v>
      </c>
      <c r="I2120" s="37" t="s">
        <v>229</v>
      </c>
    </row>
    <row r="2121" ht="15.75" hidden="1" customHeight="1">
      <c r="A2121" s="38">
        <v>5651669.0</v>
      </c>
      <c r="B2121" s="39" t="s">
        <v>835</v>
      </c>
      <c r="C2121" s="39" t="s">
        <v>4672</v>
      </c>
      <c r="D2121" s="39" t="s">
        <v>224</v>
      </c>
      <c r="E2121" s="39" t="s">
        <v>837</v>
      </c>
      <c r="F2121" s="39" t="s">
        <v>377</v>
      </c>
      <c r="G2121" s="39" t="s">
        <v>327</v>
      </c>
      <c r="H2121" s="39" t="s">
        <v>4673</v>
      </c>
      <c r="I2121" s="39" t="s">
        <v>229</v>
      </c>
    </row>
    <row r="2122" ht="15.75" hidden="1" customHeight="1">
      <c r="A2122" s="36">
        <v>5867458.0</v>
      </c>
      <c r="B2122" s="37" t="s">
        <v>323</v>
      </c>
      <c r="C2122" s="37" t="s">
        <v>4674</v>
      </c>
      <c r="D2122" s="37" t="s">
        <v>331</v>
      </c>
      <c r="E2122" s="37" t="s">
        <v>2152</v>
      </c>
      <c r="F2122" s="37" t="s">
        <v>326</v>
      </c>
      <c r="G2122" s="37" t="s">
        <v>327</v>
      </c>
      <c r="H2122" s="37" t="s">
        <v>4675</v>
      </c>
      <c r="I2122" s="37" t="s">
        <v>229</v>
      </c>
    </row>
    <row r="2123" ht="15.75" hidden="1" customHeight="1">
      <c r="A2123" s="38">
        <v>5651703.0</v>
      </c>
      <c r="B2123" s="39" t="s">
        <v>847</v>
      </c>
      <c r="C2123" s="39" t="s">
        <v>4676</v>
      </c>
      <c r="D2123" s="39" t="s">
        <v>224</v>
      </c>
      <c r="E2123" s="39" t="s">
        <v>1418</v>
      </c>
      <c r="F2123" s="39" t="s">
        <v>333</v>
      </c>
      <c r="G2123" s="39" t="s">
        <v>301</v>
      </c>
      <c r="H2123" s="39" t="s">
        <v>4677</v>
      </c>
      <c r="I2123" s="39" t="s">
        <v>229</v>
      </c>
    </row>
    <row r="2124" ht="15.75" hidden="1" customHeight="1">
      <c r="A2124" s="36">
        <v>5710521.0</v>
      </c>
      <c r="B2124" s="37" t="s">
        <v>323</v>
      </c>
      <c r="C2124" s="37" t="s">
        <v>4678</v>
      </c>
      <c r="D2124" s="37" t="s">
        <v>224</v>
      </c>
      <c r="E2124" s="37" t="s">
        <v>2152</v>
      </c>
      <c r="F2124" s="37" t="s">
        <v>326</v>
      </c>
      <c r="G2124" s="37" t="s">
        <v>327</v>
      </c>
      <c r="H2124" s="37" t="s">
        <v>4679</v>
      </c>
      <c r="I2124" s="37" t="s">
        <v>229</v>
      </c>
    </row>
    <row r="2125" ht="15.75" hidden="1" customHeight="1">
      <c r="A2125" s="38">
        <v>5976423.0</v>
      </c>
      <c r="B2125" s="39" t="s">
        <v>323</v>
      </c>
      <c r="C2125" s="39" t="s">
        <v>4680</v>
      </c>
      <c r="D2125" s="39" t="s">
        <v>224</v>
      </c>
      <c r="E2125" s="39" t="s">
        <v>2152</v>
      </c>
      <c r="F2125" s="39" t="s">
        <v>326</v>
      </c>
      <c r="G2125" s="39" t="s">
        <v>327</v>
      </c>
      <c r="H2125" s="39" t="s">
        <v>4681</v>
      </c>
      <c r="I2125" s="39" t="s">
        <v>229</v>
      </c>
    </row>
    <row r="2126" ht="15.75" hidden="1" customHeight="1">
      <c r="A2126" s="36">
        <v>5671133.0</v>
      </c>
      <c r="B2126" s="37" t="s">
        <v>323</v>
      </c>
      <c r="C2126" s="37" t="s">
        <v>4682</v>
      </c>
      <c r="D2126" s="37" t="s">
        <v>331</v>
      </c>
      <c r="E2126" s="37" t="s">
        <v>2152</v>
      </c>
      <c r="F2126" s="37" t="s">
        <v>326</v>
      </c>
      <c r="G2126" s="37" t="s">
        <v>327</v>
      </c>
      <c r="H2126" s="37" t="s">
        <v>4683</v>
      </c>
      <c r="I2126" s="37" t="s">
        <v>229</v>
      </c>
    </row>
    <row r="2127" ht="15.75" hidden="1" customHeight="1">
      <c r="A2127" s="38">
        <v>5964081.0</v>
      </c>
      <c r="B2127" s="39" t="s">
        <v>323</v>
      </c>
      <c r="C2127" s="39" t="s">
        <v>4684</v>
      </c>
      <c r="D2127" s="39" t="s">
        <v>224</v>
      </c>
      <c r="E2127" s="39" t="s">
        <v>2152</v>
      </c>
      <c r="F2127" s="39" t="s">
        <v>326</v>
      </c>
      <c r="G2127" s="39" t="s">
        <v>327</v>
      </c>
      <c r="H2127" s="39" t="s">
        <v>4685</v>
      </c>
      <c r="I2127" s="39" t="s">
        <v>229</v>
      </c>
    </row>
    <row r="2128" ht="15.75" hidden="1" customHeight="1">
      <c r="A2128" s="36">
        <v>4792419.0</v>
      </c>
      <c r="B2128" s="37" t="s">
        <v>323</v>
      </c>
      <c r="C2128" s="37" t="s">
        <v>4686</v>
      </c>
      <c r="D2128" s="37" t="s">
        <v>224</v>
      </c>
      <c r="E2128" s="37" t="s">
        <v>2152</v>
      </c>
      <c r="F2128" s="37" t="s">
        <v>326</v>
      </c>
      <c r="G2128" s="37" t="s">
        <v>327</v>
      </c>
      <c r="H2128" s="37" t="s">
        <v>4687</v>
      </c>
      <c r="I2128" s="37" t="s">
        <v>229</v>
      </c>
    </row>
    <row r="2129" ht="15.75" hidden="1" customHeight="1">
      <c r="A2129" s="38">
        <v>5976420.0</v>
      </c>
      <c r="B2129" s="39" t="s">
        <v>323</v>
      </c>
      <c r="C2129" s="39" t="s">
        <v>4688</v>
      </c>
      <c r="D2129" s="39" t="s">
        <v>224</v>
      </c>
      <c r="E2129" s="39" t="s">
        <v>2152</v>
      </c>
      <c r="F2129" s="39" t="s">
        <v>326</v>
      </c>
      <c r="G2129" s="39" t="s">
        <v>327</v>
      </c>
      <c r="H2129" s="39" t="s">
        <v>4689</v>
      </c>
      <c r="I2129" s="39" t="s">
        <v>229</v>
      </c>
    </row>
    <row r="2130" ht="15.75" hidden="1" customHeight="1">
      <c r="A2130" s="36">
        <v>5948317.0</v>
      </c>
      <c r="B2130" s="37" t="s">
        <v>323</v>
      </c>
      <c r="C2130" s="37" t="s">
        <v>4690</v>
      </c>
      <c r="D2130" s="37" t="s">
        <v>224</v>
      </c>
      <c r="E2130" s="37" t="s">
        <v>2152</v>
      </c>
      <c r="F2130" s="37" t="s">
        <v>326</v>
      </c>
      <c r="G2130" s="37" t="s">
        <v>327</v>
      </c>
      <c r="H2130" s="37" t="s">
        <v>4691</v>
      </c>
      <c r="I2130" s="37" t="s">
        <v>229</v>
      </c>
    </row>
    <row r="2131" ht="15.75" hidden="1" customHeight="1">
      <c r="A2131" s="38">
        <v>5775483.0</v>
      </c>
      <c r="B2131" s="39" t="s">
        <v>323</v>
      </c>
      <c r="C2131" s="39" t="s">
        <v>4692</v>
      </c>
      <c r="D2131" s="39" t="s">
        <v>224</v>
      </c>
      <c r="E2131" s="39" t="s">
        <v>2152</v>
      </c>
      <c r="F2131" s="39" t="s">
        <v>326</v>
      </c>
      <c r="G2131" s="39" t="s">
        <v>327</v>
      </c>
      <c r="H2131" s="39" t="s">
        <v>4693</v>
      </c>
      <c r="I2131" s="39" t="s">
        <v>229</v>
      </c>
    </row>
    <row r="2132" ht="15.75" hidden="1" customHeight="1">
      <c r="A2132" s="36">
        <v>5654114.0</v>
      </c>
      <c r="B2132" s="37" t="s">
        <v>425</v>
      </c>
      <c r="C2132" s="37" t="s">
        <v>4694</v>
      </c>
      <c r="D2132" s="37" t="s">
        <v>224</v>
      </c>
      <c r="E2132" s="37" t="s">
        <v>1391</v>
      </c>
      <c r="F2132" s="37" t="s">
        <v>312</v>
      </c>
      <c r="G2132" s="37" t="s">
        <v>3</v>
      </c>
      <c r="H2132" s="37" t="s">
        <v>4695</v>
      </c>
      <c r="I2132" s="37" t="s">
        <v>260</v>
      </c>
    </row>
    <row r="2133" ht="15.75" hidden="1" customHeight="1">
      <c r="A2133" s="38">
        <v>5866042.0</v>
      </c>
      <c r="B2133" s="39" t="s">
        <v>323</v>
      </c>
      <c r="C2133" s="39" t="s">
        <v>4696</v>
      </c>
      <c r="D2133" s="39" t="s">
        <v>224</v>
      </c>
      <c r="E2133" s="39" t="s">
        <v>2152</v>
      </c>
      <c r="F2133" s="39" t="s">
        <v>326</v>
      </c>
      <c r="G2133" s="39" t="s">
        <v>327</v>
      </c>
      <c r="H2133" s="39" t="s">
        <v>4697</v>
      </c>
      <c r="I2133" s="39" t="s">
        <v>229</v>
      </c>
    </row>
    <row r="2134" ht="15.75" hidden="1" customHeight="1">
      <c r="A2134" s="36">
        <v>5655167.0</v>
      </c>
      <c r="B2134" s="37" t="s">
        <v>425</v>
      </c>
      <c r="C2134" s="37" t="s">
        <v>4698</v>
      </c>
      <c r="D2134" s="37" t="s">
        <v>224</v>
      </c>
      <c r="E2134" s="37" t="s">
        <v>1391</v>
      </c>
      <c r="F2134" s="37" t="s">
        <v>312</v>
      </c>
      <c r="G2134" s="37" t="s">
        <v>3</v>
      </c>
      <c r="H2134" s="37" t="s">
        <v>4699</v>
      </c>
      <c r="I2134" s="37" t="s">
        <v>260</v>
      </c>
    </row>
    <row r="2135" ht="15.75" hidden="1" customHeight="1">
      <c r="A2135" s="38">
        <v>5929866.0</v>
      </c>
      <c r="B2135" s="39" t="s">
        <v>323</v>
      </c>
      <c r="C2135" s="39" t="s">
        <v>4700</v>
      </c>
      <c r="D2135" s="39" t="s">
        <v>224</v>
      </c>
      <c r="E2135" s="39" t="s">
        <v>2152</v>
      </c>
      <c r="F2135" s="39" t="s">
        <v>326</v>
      </c>
      <c r="G2135" s="39" t="s">
        <v>327</v>
      </c>
      <c r="H2135" s="39" t="s">
        <v>4701</v>
      </c>
      <c r="I2135" s="39" t="s">
        <v>229</v>
      </c>
    </row>
    <row r="2136" ht="15.75" hidden="1" customHeight="1">
      <c r="A2136" s="36">
        <v>5666866.0</v>
      </c>
      <c r="B2136" s="37" t="s">
        <v>323</v>
      </c>
      <c r="C2136" s="37" t="s">
        <v>4702</v>
      </c>
      <c r="D2136" s="37" t="s">
        <v>224</v>
      </c>
      <c r="E2136" s="37" t="s">
        <v>2152</v>
      </c>
      <c r="F2136" s="37" t="s">
        <v>326</v>
      </c>
      <c r="G2136" s="37" t="s">
        <v>327</v>
      </c>
      <c r="H2136" s="37" t="s">
        <v>4703</v>
      </c>
      <c r="I2136" s="37" t="s">
        <v>229</v>
      </c>
    </row>
    <row r="2137" ht="15.75" hidden="1" customHeight="1">
      <c r="A2137" s="38">
        <v>5655475.0</v>
      </c>
      <c r="B2137" s="39" t="s">
        <v>813</v>
      </c>
      <c r="C2137" s="39" t="s">
        <v>4704</v>
      </c>
      <c r="D2137" s="39" t="s">
        <v>224</v>
      </c>
      <c r="E2137" s="39" t="s">
        <v>815</v>
      </c>
      <c r="F2137" s="39" t="s">
        <v>679</v>
      </c>
      <c r="G2137" s="39" t="s">
        <v>301</v>
      </c>
      <c r="H2137" s="39" t="s">
        <v>4705</v>
      </c>
      <c r="I2137" s="39" t="s">
        <v>229</v>
      </c>
    </row>
    <row r="2138" ht="15.75" hidden="1" customHeight="1">
      <c r="A2138" s="36">
        <v>5656992.0</v>
      </c>
      <c r="B2138" s="37" t="s">
        <v>478</v>
      </c>
      <c r="C2138" s="37" t="s">
        <v>4706</v>
      </c>
      <c r="D2138" s="37" t="s">
        <v>224</v>
      </c>
      <c r="E2138" s="37" t="s">
        <v>1323</v>
      </c>
      <c r="F2138" s="37" t="s">
        <v>481</v>
      </c>
      <c r="G2138" s="37" t="s">
        <v>293</v>
      </c>
      <c r="H2138" s="37" t="s">
        <v>4707</v>
      </c>
      <c r="I2138" s="37" t="s">
        <v>229</v>
      </c>
    </row>
    <row r="2139" ht="15.75" hidden="1" customHeight="1">
      <c r="A2139" s="38">
        <v>5905745.0</v>
      </c>
      <c r="B2139" s="39" t="s">
        <v>526</v>
      </c>
      <c r="C2139" s="39" t="s">
        <v>4708</v>
      </c>
      <c r="D2139" s="39" t="s">
        <v>224</v>
      </c>
      <c r="E2139" s="39" t="s">
        <v>667</v>
      </c>
      <c r="F2139" s="39" t="s">
        <v>326</v>
      </c>
      <c r="G2139" s="39" t="s">
        <v>327</v>
      </c>
      <c r="H2139" s="39" t="s">
        <v>4709</v>
      </c>
      <c r="I2139" s="39" t="s">
        <v>229</v>
      </c>
    </row>
    <row r="2140" ht="15.75" hidden="1" customHeight="1">
      <c r="A2140" s="36">
        <v>5657299.0</v>
      </c>
      <c r="B2140" s="37" t="s">
        <v>374</v>
      </c>
      <c r="C2140" s="37" t="s">
        <v>4710</v>
      </c>
      <c r="D2140" s="37" t="s">
        <v>224</v>
      </c>
      <c r="E2140" s="37" t="s">
        <v>959</v>
      </c>
      <c r="F2140" s="37" t="s">
        <v>377</v>
      </c>
      <c r="G2140" s="37" t="s">
        <v>327</v>
      </c>
      <c r="H2140" s="37" t="s">
        <v>4711</v>
      </c>
      <c r="I2140" s="37" t="s">
        <v>229</v>
      </c>
    </row>
    <row r="2141" ht="15.75" hidden="1" customHeight="1">
      <c r="A2141" s="38">
        <v>5709264.0</v>
      </c>
      <c r="B2141" s="39" t="s">
        <v>526</v>
      </c>
      <c r="C2141" s="39" t="s">
        <v>4712</v>
      </c>
      <c r="D2141" s="39" t="s">
        <v>224</v>
      </c>
      <c r="E2141" s="39" t="s">
        <v>667</v>
      </c>
      <c r="F2141" s="39" t="s">
        <v>326</v>
      </c>
      <c r="G2141" s="39" t="s">
        <v>327</v>
      </c>
      <c r="H2141" s="39" t="s">
        <v>4713</v>
      </c>
      <c r="I2141" s="39" t="s">
        <v>229</v>
      </c>
    </row>
    <row r="2142" ht="15.75" hidden="1" customHeight="1">
      <c r="A2142" s="36">
        <v>5693239.0</v>
      </c>
      <c r="B2142" s="37" t="s">
        <v>526</v>
      </c>
      <c r="C2142" s="37" t="s">
        <v>4714</v>
      </c>
      <c r="D2142" s="37" t="s">
        <v>224</v>
      </c>
      <c r="E2142" s="37" t="s">
        <v>667</v>
      </c>
      <c r="F2142" s="37" t="s">
        <v>326</v>
      </c>
      <c r="G2142" s="37" t="s">
        <v>327</v>
      </c>
      <c r="H2142" s="37" t="s">
        <v>4715</v>
      </c>
      <c r="I2142" s="37" t="s">
        <v>229</v>
      </c>
    </row>
    <row r="2143" ht="15.75" hidden="1" customHeight="1">
      <c r="A2143" s="38">
        <v>5658360.0</v>
      </c>
      <c r="B2143" s="39" t="s">
        <v>478</v>
      </c>
      <c r="C2143" s="39" t="s">
        <v>4716</v>
      </c>
      <c r="D2143" s="39" t="s">
        <v>224</v>
      </c>
      <c r="E2143" s="39" t="s">
        <v>1323</v>
      </c>
      <c r="F2143" s="39" t="s">
        <v>481</v>
      </c>
      <c r="G2143" s="39" t="s">
        <v>293</v>
      </c>
      <c r="H2143" s="39" t="s">
        <v>4717</v>
      </c>
      <c r="I2143" s="39" t="s">
        <v>229</v>
      </c>
    </row>
    <row r="2144" ht="15.75" hidden="1" customHeight="1">
      <c r="A2144" s="36">
        <v>5658361.0</v>
      </c>
      <c r="B2144" s="37" t="s">
        <v>457</v>
      </c>
      <c r="C2144" s="37" t="s">
        <v>4718</v>
      </c>
      <c r="D2144" s="37" t="s">
        <v>224</v>
      </c>
      <c r="E2144" s="37" t="s">
        <v>1145</v>
      </c>
      <c r="F2144" s="37" t="s">
        <v>292</v>
      </c>
      <c r="G2144" s="37" t="s">
        <v>293</v>
      </c>
      <c r="H2144" s="37" t="s">
        <v>4719</v>
      </c>
      <c r="I2144" s="37" t="s">
        <v>229</v>
      </c>
    </row>
    <row r="2145" ht="15.75" hidden="1" customHeight="1">
      <c r="A2145" s="38">
        <v>5658364.0</v>
      </c>
      <c r="B2145" s="39" t="s">
        <v>1348</v>
      </c>
      <c r="C2145" s="39" t="s">
        <v>4720</v>
      </c>
      <c r="D2145" s="39" t="s">
        <v>224</v>
      </c>
      <c r="E2145" s="39" t="s">
        <v>1021</v>
      </c>
      <c r="F2145" s="39" t="s">
        <v>292</v>
      </c>
      <c r="G2145" s="39" t="s">
        <v>293</v>
      </c>
      <c r="H2145" s="39" t="s">
        <v>4721</v>
      </c>
      <c r="I2145" s="39" t="s">
        <v>229</v>
      </c>
    </row>
    <row r="2146" ht="15.75" hidden="1" customHeight="1">
      <c r="A2146" s="36">
        <v>5709349.0</v>
      </c>
      <c r="B2146" s="37" t="s">
        <v>526</v>
      </c>
      <c r="C2146" s="37" t="s">
        <v>4722</v>
      </c>
      <c r="D2146" s="37" t="s">
        <v>224</v>
      </c>
      <c r="E2146" s="37" t="s">
        <v>667</v>
      </c>
      <c r="F2146" s="37" t="s">
        <v>326</v>
      </c>
      <c r="G2146" s="37" t="s">
        <v>327</v>
      </c>
      <c r="H2146" s="37" t="s">
        <v>4723</v>
      </c>
      <c r="I2146" s="37" t="s">
        <v>229</v>
      </c>
    </row>
    <row r="2147" ht="15.75" hidden="1" customHeight="1">
      <c r="A2147" s="38">
        <v>5846415.0</v>
      </c>
      <c r="B2147" s="39" t="s">
        <v>526</v>
      </c>
      <c r="C2147" s="39" t="s">
        <v>4724</v>
      </c>
      <c r="D2147" s="39" t="s">
        <v>224</v>
      </c>
      <c r="E2147" s="39" t="s">
        <v>667</v>
      </c>
      <c r="F2147" s="39" t="s">
        <v>326</v>
      </c>
      <c r="G2147" s="39" t="s">
        <v>327</v>
      </c>
      <c r="H2147" s="39" t="s">
        <v>4725</v>
      </c>
      <c r="I2147" s="39" t="s">
        <v>229</v>
      </c>
    </row>
    <row r="2148" ht="15.75" hidden="1" customHeight="1">
      <c r="A2148" s="36">
        <v>5771581.0</v>
      </c>
      <c r="B2148" s="37" t="s">
        <v>526</v>
      </c>
      <c r="C2148" s="37" t="s">
        <v>4726</v>
      </c>
      <c r="D2148" s="37" t="s">
        <v>224</v>
      </c>
      <c r="E2148" s="37" t="s">
        <v>667</v>
      </c>
      <c r="F2148" s="37" t="s">
        <v>326</v>
      </c>
      <c r="G2148" s="37" t="s">
        <v>327</v>
      </c>
      <c r="H2148" s="37" t="s">
        <v>4727</v>
      </c>
      <c r="I2148" s="37" t="s">
        <v>229</v>
      </c>
    </row>
    <row r="2149" ht="15.75" hidden="1" customHeight="1">
      <c r="A2149" s="38">
        <v>5905769.0</v>
      </c>
      <c r="B2149" s="39" t="s">
        <v>526</v>
      </c>
      <c r="C2149" s="39" t="s">
        <v>4728</v>
      </c>
      <c r="D2149" s="39" t="s">
        <v>224</v>
      </c>
      <c r="E2149" s="39" t="s">
        <v>667</v>
      </c>
      <c r="F2149" s="39" t="s">
        <v>326</v>
      </c>
      <c r="G2149" s="39" t="s">
        <v>327</v>
      </c>
      <c r="H2149" s="39" t="s">
        <v>4729</v>
      </c>
      <c r="I2149" s="39" t="s">
        <v>229</v>
      </c>
    </row>
    <row r="2150" ht="15.75" hidden="1" customHeight="1">
      <c r="A2150" s="36">
        <v>5659932.0</v>
      </c>
      <c r="B2150" s="37" t="s">
        <v>361</v>
      </c>
      <c r="C2150" s="37" t="s">
        <v>4730</v>
      </c>
      <c r="D2150" s="37" t="s">
        <v>224</v>
      </c>
      <c r="E2150" s="37" t="s">
        <v>875</v>
      </c>
      <c r="F2150" s="37" t="s">
        <v>312</v>
      </c>
      <c r="G2150" s="37" t="s">
        <v>258</v>
      </c>
      <c r="H2150" s="37" t="s">
        <v>4731</v>
      </c>
      <c r="I2150" s="37" t="s">
        <v>260</v>
      </c>
    </row>
    <row r="2151" ht="15.75" hidden="1" customHeight="1">
      <c r="A2151" s="38">
        <v>5868838.0</v>
      </c>
      <c r="B2151" s="39" t="s">
        <v>526</v>
      </c>
      <c r="C2151" s="39" t="s">
        <v>4732</v>
      </c>
      <c r="D2151" s="39" t="s">
        <v>224</v>
      </c>
      <c r="E2151" s="39" t="s">
        <v>667</v>
      </c>
      <c r="F2151" s="39" t="s">
        <v>326</v>
      </c>
      <c r="G2151" s="39" t="s">
        <v>327</v>
      </c>
      <c r="H2151" s="39" t="s">
        <v>4733</v>
      </c>
      <c r="I2151" s="39" t="s">
        <v>229</v>
      </c>
    </row>
    <row r="2152" ht="15.75" hidden="1" customHeight="1">
      <c r="A2152" s="36">
        <v>5905766.0</v>
      </c>
      <c r="B2152" s="37" t="s">
        <v>526</v>
      </c>
      <c r="C2152" s="37" t="s">
        <v>4734</v>
      </c>
      <c r="D2152" s="37" t="s">
        <v>224</v>
      </c>
      <c r="E2152" s="37" t="s">
        <v>667</v>
      </c>
      <c r="F2152" s="37" t="s">
        <v>326</v>
      </c>
      <c r="G2152" s="37" t="s">
        <v>327</v>
      </c>
      <c r="H2152" s="37" t="s">
        <v>4735</v>
      </c>
      <c r="I2152" s="37" t="s">
        <v>229</v>
      </c>
    </row>
    <row r="2153" ht="15.75" hidden="1" customHeight="1">
      <c r="A2153" s="38">
        <v>5664860.0</v>
      </c>
      <c r="B2153" s="39" t="s">
        <v>425</v>
      </c>
      <c r="C2153" s="39" t="s">
        <v>4736</v>
      </c>
      <c r="D2153" s="39" t="s">
        <v>224</v>
      </c>
      <c r="E2153" s="39" t="s">
        <v>1391</v>
      </c>
      <c r="F2153" s="39" t="s">
        <v>312</v>
      </c>
      <c r="G2153" s="37" t="s">
        <v>3</v>
      </c>
      <c r="H2153" s="39" t="s">
        <v>4737</v>
      </c>
      <c r="I2153" s="39" t="s">
        <v>260</v>
      </c>
    </row>
    <row r="2154" ht="15.75" hidden="1" customHeight="1">
      <c r="A2154" s="36">
        <v>5905751.0</v>
      </c>
      <c r="B2154" s="37" t="s">
        <v>526</v>
      </c>
      <c r="C2154" s="37" t="s">
        <v>4738</v>
      </c>
      <c r="D2154" s="37" t="s">
        <v>224</v>
      </c>
      <c r="E2154" s="37" t="s">
        <v>667</v>
      </c>
      <c r="F2154" s="37" t="s">
        <v>326</v>
      </c>
      <c r="G2154" s="37" t="s">
        <v>327</v>
      </c>
      <c r="H2154" s="37" t="s">
        <v>4739</v>
      </c>
      <c r="I2154" s="37" t="s">
        <v>229</v>
      </c>
    </row>
    <row r="2155" ht="15.75" hidden="1" customHeight="1">
      <c r="A2155" s="38">
        <v>5665383.0</v>
      </c>
      <c r="B2155" s="39" t="s">
        <v>416</v>
      </c>
      <c r="C2155" s="39" t="s">
        <v>4740</v>
      </c>
      <c r="D2155" s="39" t="s">
        <v>224</v>
      </c>
      <c r="E2155" s="39" t="s">
        <v>2522</v>
      </c>
      <c r="F2155" s="39" t="s">
        <v>421</v>
      </c>
      <c r="G2155" s="39" t="s">
        <v>227</v>
      </c>
      <c r="H2155" s="39" t="s">
        <v>4741</v>
      </c>
      <c r="I2155" s="39" t="s">
        <v>260</v>
      </c>
    </row>
    <row r="2156" ht="15.75" hidden="1" customHeight="1">
      <c r="A2156" s="36">
        <v>5948310.0</v>
      </c>
      <c r="B2156" s="37" t="s">
        <v>526</v>
      </c>
      <c r="C2156" s="37" t="s">
        <v>4742</v>
      </c>
      <c r="D2156" s="37" t="s">
        <v>224</v>
      </c>
      <c r="E2156" s="37" t="s">
        <v>667</v>
      </c>
      <c r="F2156" s="37" t="s">
        <v>326</v>
      </c>
      <c r="G2156" s="37" t="s">
        <v>327</v>
      </c>
      <c r="H2156" s="37" t="s">
        <v>4743</v>
      </c>
      <c r="I2156" s="37" t="s">
        <v>229</v>
      </c>
    </row>
    <row r="2157" ht="15.75" hidden="1" customHeight="1">
      <c r="A2157" s="38">
        <v>5666850.0</v>
      </c>
      <c r="B2157" s="39" t="s">
        <v>1363</v>
      </c>
      <c r="C2157" s="39" t="s">
        <v>4744</v>
      </c>
      <c r="D2157" s="39" t="s">
        <v>224</v>
      </c>
      <c r="E2157" s="39" t="s">
        <v>1453</v>
      </c>
      <c r="F2157" s="39" t="s">
        <v>293</v>
      </c>
      <c r="G2157" s="39" t="s">
        <v>319</v>
      </c>
      <c r="H2157" s="39" t="s">
        <v>4745</v>
      </c>
      <c r="I2157" s="39" t="s">
        <v>229</v>
      </c>
    </row>
    <row r="2158" ht="15.75" hidden="1" customHeight="1">
      <c r="A2158" s="36">
        <v>5666867.0</v>
      </c>
      <c r="B2158" s="37" t="s">
        <v>1746</v>
      </c>
      <c r="C2158" s="37" t="s">
        <v>4746</v>
      </c>
      <c r="D2158" s="37" t="s">
        <v>224</v>
      </c>
      <c r="E2158" s="37" t="s">
        <v>1697</v>
      </c>
      <c r="F2158" s="37" t="s">
        <v>698</v>
      </c>
      <c r="G2158" s="37" t="s">
        <v>541</v>
      </c>
      <c r="H2158" s="37" t="s">
        <v>4747</v>
      </c>
      <c r="I2158" s="37" t="s">
        <v>229</v>
      </c>
    </row>
    <row r="2159" ht="15.75" hidden="1" customHeight="1">
      <c r="A2159" s="38">
        <v>5666956.0</v>
      </c>
      <c r="B2159" s="39" t="s">
        <v>1695</v>
      </c>
      <c r="C2159" s="39" t="s">
        <v>4748</v>
      </c>
      <c r="D2159" s="39" t="s">
        <v>224</v>
      </c>
      <c r="E2159" s="39" t="s">
        <v>1697</v>
      </c>
      <c r="F2159" s="39" t="s">
        <v>698</v>
      </c>
      <c r="G2159" s="39" t="s">
        <v>541</v>
      </c>
      <c r="H2159" s="39" t="s">
        <v>4749</v>
      </c>
      <c r="I2159" s="39" t="s">
        <v>229</v>
      </c>
    </row>
    <row r="2160" ht="15.75" hidden="1" customHeight="1">
      <c r="A2160" s="36">
        <v>5666963.0</v>
      </c>
      <c r="B2160" s="37" t="s">
        <v>555</v>
      </c>
      <c r="C2160" s="37" t="s">
        <v>4750</v>
      </c>
      <c r="D2160" s="37" t="s">
        <v>224</v>
      </c>
      <c r="E2160" s="37" t="s">
        <v>1069</v>
      </c>
      <c r="F2160" s="37" t="s">
        <v>558</v>
      </c>
      <c r="G2160" s="37" t="s">
        <v>541</v>
      </c>
      <c r="H2160" s="37" t="s">
        <v>4751</v>
      </c>
      <c r="I2160" s="37" t="s">
        <v>229</v>
      </c>
    </row>
    <row r="2161" ht="15.75" hidden="1" customHeight="1">
      <c r="A2161" s="38">
        <v>5976426.0</v>
      </c>
      <c r="B2161" s="39" t="s">
        <v>847</v>
      </c>
      <c r="C2161" s="39" t="s">
        <v>4752</v>
      </c>
      <c r="D2161" s="39" t="s">
        <v>224</v>
      </c>
      <c r="E2161" s="39" t="s">
        <v>849</v>
      </c>
      <c r="F2161" s="39" t="s">
        <v>333</v>
      </c>
      <c r="G2161" s="39" t="s">
        <v>301</v>
      </c>
      <c r="H2161" s="39" t="s">
        <v>4753</v>
      </c>
      <c r="I2161" s="39" t="s">
        <v>229</v>
      </c>
    </row>
    <row r="2162" ht="15.75" hidden="1" customHeight="1">
      <c r="A2162" s="36">
        <v>5671009.0</v>
      </c>
      <c r="B2162" s="37" t="s">
        <v>2069</v>
      </c>
      <c r="C2162" s="37" t="s">
        <v>4754</v>
      </c>
      <c r="D2162" s="37" t="s">
        <v>224</v>
      </c>
      <c r="E2162" s="37" t="s">
        <v>1934</v>
      </c>
      <c r="F2162" s="37" t="s">
        <v>300</v>
      </c>
      <c r="G2162" s="37" t="s">
        <v>301</v>
      </c>
      <c r="H2162" s="37" t="s">
        <v>4755</v>
      </c>
      <c r="I2162" s="37" t="s">
        <v>229</v>
      </c>
    </row>
    <row r="2163" ht="15.75" hidden="1" customHeight="1">
      <c r="A2163" s="38">
        <v>5671038.0</v>
      </c>
      <c r="B2163" s="39" t="s">
        <v>2069</v>
      </c>
      <c r="C2163" s="39" t="s">
        <v>4756</v>
      </c>
      <c r="D2163" s="39" t="s">
        <v>224</v>
      </c>
      <c r="E2163" s="39" t="s">
        <v>1934</v>
      </c>
      <c r="F2163" s="39" t="s">
        <v>300</v>
      </c>
      <c r="G2163" s="39" t="s">
        <v>301</v>
      </c>
      <c r="H2163" s="39" t="s">
        <v>4757</v>
      </c>
      <c r="I2163" s="39" t="s">
        <v>229</v>
      </c>
    </row>
    <row r="2164" ht="15.75" hidden="1" customHeight="1">
      <c r="A2164" s="36">
        <v>5671086.0</v>
      </c>
      <c r="B2164" s="37" t="s">
        <v>2069</v>
      </c>
      <c r="C2164" s="37" t="s">
        <v>4758</v>
      </c>
      <c r="D2164" s="37" t="s">
        <v>224</v>
      </c>
      <c r="E2164" s="37" t="s">
        <v>1934</v>
      </c>
      <c r="F2164" s="37" t="s">
        <v>300</v>
      </c>
      <c r="G2164" s="37" t="s">
        <v>301</v>
      </c>
      <c r="H2164" s="37" t="s">
        <v>4759</v>
      </c>
      <c r="I2164" s="37" t="s">
        <v>229</v>
      </c>
    </row>
    <row r="2165" ht="15.75" hidden="1" customHeight="1">
      <c r="A2165" s="38">
        <v>5867234.0</v>
      </c>
      <c r="B2165" s="39" t="s">
        <v>847</v>
      </c>
      <c r="C2165" s="39" t="s">
        <v>4760</v>
      </c>
      <c r="D2165" s="39" t="s">
        <v>224</v>
      </c>
      <c r="E2165" s="39" t="s">
        <v>849</v>
      </c>
      <c r="F2165" s="39" t="s">
        <v>333</v>
      </c>
      <c r="G2165" s="39" t="s">
        <v>301</v>
      </c>
      <c r="H2165" s="39" t="s">
        <v>4761</v>
      </c>
      <c r="I2165" s="39" t="s">
        <v>229</v>
      </c>
    </row>
    <row r="2166" ht="15.75" hidden="1" customHeight="1">
      <c r="A2166" s="36">
        <v>5671096.0</v>
      </c>
      <c r="B2166" s="37" t="s">
        <v>485</v>
      </c>
      <c r="C2166" s="37" t="s">
        <v>4762</v>
      </c>
      <c r="D2166" s="37" t="s">
        <v>224</v>
      </c>
      <c r="E2166" s="37" t="s">
        <v>672</v>
      </c>
      <c r="F2166" s="37" t="s">
        <v>470</v>
      </c>
      <c r="G2166" s="37" t="s">
        <v>327</v>
      </c>
      <c r="H2166" s="37" t="s">
        <v>4763</v>
      </c>
      <c r="I2166" s="37" t="s">
        <v>229</v>
      </c>
    </row>
    <row r="2167" ht="15.75" hidden="1" customHeight="1">
      <c r="A2167" s="38">
        <v>5804496.0</v>
      </c>
      <c r="B2167" s="39" t="s">
        <v>847</v>
      </c>
      <c r="C2167" s="39" t="s">
        <v>4764</v>
      </c>
      <c r="D2167" s="39" t="s">
        <v>224</v>
      </c>
      <c r="E2167" s="39" t="s">
        <v>849</v>
      </c>
      <c r="F2167" s="39" t="s">
        <v>333</v>
      </c>
      <c r="G2167" s="39" t="s">
        <v>301</v>
      </c>
      <c r="H2167" s="39" t="s">
        <v>4765</v>
      </c>
      <c r="I2167" s="39" t="s">
        <v>229</v>
      </c>
    </row>
    <row r="2168" ht="15.75" hidden="1" customHeight="1">
      <c r="A2168" s="36">
        <v>5804706.0</v>
      </c>
      <c r="B2168" s="37" t="s">
        <v>847</v>
      </c>
      <c r="C2168" s="37" t="s">
        <v>4766</v>
      </c>
      <c r="D2168" s="37" t="s">
        <v>224</v>
      </c>
      <c r="E2168" s="37" t="s">
        <v>849</v>
      </c>
      <c r="F2168" s="37" t="s">
        <v>333</v>
      </c>
      <c r="G2168" s="37" t="s">
        <v>301</v>
      </c>
      <c r="H2168" s="37" t="s">
        <v>4767</v>
      </c>
      <c r="I2168" s="37" t="s">
        <v>229</v>
      </c>
    </row>
    <row r="2169" ht="15.75" hidden="1" customHeight="1">
      <c r="A2169" s="38">
        <v>5671138.0</v>
      </c>
      <c r="B2169" s="39" t="s">
        <v>800</v>
      </c>
      <c r="C2169" s="39" t="s">
        <v>4768</v>
      </c>
      <c r="D2169" s="39" t="s">
        <v>224</v>
      </c>
      <c r="E2169" s="39" t="s">
        <v>802</v>
      </c>
      <c r="F2169" s="39" t="s">
        <v>333</v>
      </c>
      <c r="G2169" s="39" t="s">
        <v>301</v>
      </c>
      <c r="H2169" s="39" t="s">
        <v>4769</v>
      </c>
      <c r="I2169" s="39" t="s">
        <v>229</v>
      </c>
    </row>
    <row r="2170" ht="15.75" hidden="1" customHeight="1">
      <c r="A2170" s="36">
        <v>5321184.0</v>
      </c>
      <c r="B2170" s="37" t="s">
        <v>676</v>
      </c>
      <c r="C2170" s="37" t="s">
        <v>4770</v>
      </c>
      <c r="D2170" s="37" t="s">
        <v>224</v>
      </c>
      <c r="E2170" s="37" t="s">
        <v>678</v>
      </c>
      <c r="F2170" s="37" t="s">
        <v>679</v>
      </c>
      <c r="G2170" s="37" t="s">
        <v>301</v>
      </c>
      <c r="H2170" s="37" t="s">
        <v>4771</v>
      </c>
      <c r="I2170" s="37" t="s">
        <v>229</v>
      </c>
    </row>
    <row r="2171" ht="15.75" hidden="1" customHeight="1">
      <c r="A2171" s="38">
        <v>5674585.0</v>
      </c>
      <c r="B2171" s="39" t="s">
        <v>416</v>
      </c>
      <c r="C2171" s="39" t="s">
        <v>4772</v>
      </c>
      <c r="D2171" s="39" t="s">
        <v>224</v>
      </c>
      <c r="E2171" s="39" t="s">
        <v>2307</v>
      </c>
      <c r="F2171" s="39" t="s">
        <v>421</v>
      </c>
      <c r="G2171" s="39" t="s">
        <v>227</v>
      </c>
      <c r="H2171" s="39" t="s">
        <v>4773</v>
      </c>
      <c r="I2171" s="39" t="s">
        <v>260</v>
      </c>
    </row>
    <row r="2172" ht="15.75" hidden="1" customHeight="1">
      <c r="A2172" s="36">
        <v>5676261.0</v>
      </c>
      <c r="B2172" s="37" t="s">
        <v>2069</v>
      </c>
      <c r="C2172" s="37" t="s">
        <v>4774</v>
      </c>
      <c r="D2172" s="37" t="s">
        <v>224</v>
      </c>
      <c r="E2172" s="37" t="s">
        <v>1934</v>
      </c>
      <c r="F2172" s="37" t="s">
        <v>300</v>
      </c>
      <c r="G2172" s="37" t="s">
        <v>301</v>
      </c>
      <c r="H2172" s="37" t="s">
        <v>4775</v>
      </c>
      <c r="I2172" s="37" t="s">
        <v>229</v>
      </c>
    </row>
    <row r="2173" ht="15.75" hidden="1" customHeight="1">
      <c r="A2173" s="38">
        <v>5682845.0</v>
      </c>
      <c r="B2173" s="39" t="s">
        <v>361</v>
      </c>
      <c r="C2173" s="39" t="s">
        <v>4776</v>
      </c>
      <c r="D2173" s="39" t="s">
        <v>224</v>
      </c>
      <c r="E2173" s="39" t="s">
        <v>875</v>
      </c>
      <c r="F2173" s="39" t="s">
        <v>312</v>
      </c>
      <c r="G2173" s="39" t="s">
        <v>258</v>
      </c>
      <c r="H2173" s="39" t="s">
        <v>4777</v>
      </c>
      <c r="I2173" s="39" t="s">
        <v>260</v>
      </c>
    </row>
    <row r="2174" ht="15.75" hidden="1" customHeight="1">
      <c r="A2174" s="36">
        <v>5948322.0</v>
      </c>
      <c r="B2174" s="37" t="s">
        <v>676</v>
      </c>
      <c r="C2174" s="37" t="s">
        <v>4778</v>
      </c>
      <c r="D2174" s="37" t="s">
        <v>224</v>
      </c>
      <c r="E2174" s="37" t="s">
        <v>678</v>
      </c>
      <c r="F2174" s="37" t="s">
        <v>679</v>
      </c>
      <c r="G2174" s="37" t="s">
        <v>301</v>
      </c>
      <c r="H2174" s="37" t="s">
        <v>4779</v>
      </c>
      <c r="I2174" s="37" t="s">
        <v>229</v>
      </c>
    </row>
    <row r="2175" ht="15.75" hidden="1" customHeight="1">
      <c r="A2175" s="38">
        <v>5682851.0</v>
      </c>
      <c r="B2175" s="39" t="s">
        <v>361</v>
      </c>
      <c r="C2175" s="39" t="s">
        <v>4780</v>
      </c>
      <c r="D2175" s="39" t="s">
        <v>224</v>
      </c>
      <c r="E2175" s="39" t="s">
        <v>311</v>
      </c>
      <c r="F2175" s="39" t="s">
        <v>312</v>
      </c>
      <c r="G2175" s="39" t="s">
        <v>258</v>
      </c>
      <c r="H2175" s="39" t="s">
        <v>4781</v>
      </c>
      <c r="I2175" s="39" t="s">
        <v>260</v>
      </c>
    </row>
    <row r="2176" ht="15.75" hidden="1" customHeight="1">
      <c r="A2176" s="36">
        <v>5846031.0</v>
      </c>
      <c r="B2176" s="37" t="s">
        <v>676</v>
      </c>
      <c r="C2176" s="37" t="s">
        <v>4782</v>
      </c>
      <c r="D2176" s="37" t="s">
        <v>224</v>
      </c>
      <c r="E2176" s="37" t="s">
        <v>678</v>
      </c>
      <c r="F2176" s="37" t="s">
        <v>679</v>
      </c>
      <c r="G2176" s="37" t="s">
        <v>301</v>
      </c>
      <c r="H2176" s="37" t="s">
        <v>4783</v>
      </c>
      <c r="I2176" s="37" t="s">
        <v>229</v>
      </c>
    </row>
    <row r="2177" ht="15.75" hidden="1" customHeight="1">
      <c r="A2177" s="38">
        <v>5687252.0</v>
      </c>
      <c r="B2177" s="39" t="s">
        <v>361</v>
      </c>
      <c r="C2177" s="39" t="s">
        <v>4784</v>
      </c>
      <c r="D2177" s="39" t="s">
        <v>224</v>
      </c>
      <c r="E2177" s="39" t="s">
        <v>875</v>
      </c>
      <c r="F2177" s="39" t="s">
        <v>312</v>
      </c>
      <c r="G2177" s="39" t="s">
        <v>258</v>
      </c>
      <c r="H2177" s="39" t="s">
        <v>4785</v>
      </c>
      <c r="I2177" s="39" t="s">
        <v>260</v>
      </c>
    </row>
    <row r="2178" ht="15.75" hidden="1" customHeight="1">
      <c r="A2178" s="36">
        <v>5695062.0</v>
      </c>
      <c r="B2178" s="37" t="s">
        <v>676</v>
      </c>
      <c r="C2178" s="37" t="s">
        <v>4786</v>
      </c>
      <c r="D2178" s="37" t="s">
        <v>224</v>
      </c>
      <c r="E2178" s="37" t="s">
        <v>678</v>
      </c>
      <c r="F2178" s="37" t="s">
        <v>679</v>
      </c>
      <c r="G2178" s="37" t="s">
        <v>301</v>
      </c>
      <c r="H2178" s="37" t="s">
        <v>4787</v>
      </c>
      <c r="I2178" s="37" t="s">
        <v>229</v>
      </c>
    </row>
    <row r="2179" ht="15.75" hidden="1" customHeight="1">
      <c r="A2179" s="38">
        <v>5693241.0</v>
      </c>
      <c r="B2179" s="39" t="s">
        <v>289</v>
      </c>
      <c r="C2179" s="39" t="s">
        <v>4788</v>
      </c>
      <c r="D2179" s="39" t="s">
        <v>224</v>
      </c>
      <c r="E2179" s="39" t="s">
        <v>1048</v>
      </c>
      <c r="F2179" s="39" t="s">
        <v>292</v>
      </c>
      <c r="G2179" s="39" t="s">
        <v>293</v>
      </c>
      <c r="H2179" s="39" t="s">
        <v>4789</v>
      </c>
      <c r="I2179" s="39" t="s">
        <v>229</v>
      </c>
    </row>
    <row r="2180" ht="15.75" hidden="1" customHeight="1">
      <c r="A2180" s="36">
        <v>5694848.0</v>
      </c>
      <c r="B2180" s="37" t="s">
        <v>289</v>
      </c>
      <c r="C2180" s="37" t="s">
        <v>4790</v>
      </c>
      <c r="D2180" s="37" t="s">
        <v>224</v>
      </c>
      <c r="E2180" s="37" t="s">
        <v>1048</v>
      </c>
      <c r="F2180" s="37" t="s">
        <v>292</v>
      </c>
      <c r="G2180" s="37" t="s">
        <v>293</v>
      </c>
      <c r="H2180" s="37" t="s">
        <v>4791</v>
      </c>
      <c r="I2180" s="37" t="s">
        <v>229</v>
      </c>
    </row>
    <row r="2181" ht="15.75" hidden="1" customHeight="1">
      <c r="A2181" s="38">
        <v>5694850.0</v>
      </c>
      <c r="B2181" s="39" t="s">
        <v>485</v>
      </c>
      <c r="C2181" s="39" t="s">
        <v>4792</v>
      </c>
      <c r="D2181" s="39" t="s">
        <v>224</v>
      </c>
      <c r="E2181" s="39" t="s">
        <v>672</v>
      </c>
      <c r="F2181" s="39" t="s">
        <v>470</v>
      </c>
      <c r="G2181" s="39" t="s">
        <v>327</v>
      </c>
      <c r="H2181" s="39" t="s">
        <v>4793</v>
      </c>
      <c r="I2181" s="39" t="s">
        <v>229</v>
      </c>
    </row>
    <row r="2182" ht="15.75" hidden="1" customHeight="1">
      <c r="A2182" s="36">
        <v>5694878.0</v>
      </c>
      <c r="B2182" s="37" t="s">
        <v>485</v>
      </c>
      <c r="C2182" s="37" t="s">
        <v>4794</v>
      </c>
      <c r="D2182" s="37" t="s">
        <v>224</v>
      </c>
      <c r="E2182" s="37" t="s">
        <v>672</v>
      </c>
      <c r="F2182" s="37" t="s">
        <v>470</v>
      </c>
      <c r="G2182" s="37" t="s">
        <v>327</v>
      </c>
      <c r="H2182" s="37" t="s">
        <v>4795</v>
      </c>
      <c r="I2182" s="37" t="s">
        <v>229</v>
      </c>
    </row>
    <row r="2183" ht="15.75" hidden="1" customHeight="1">
      <c r="A2183" s="38">
        <v>5695057.0</v>
      </c>
      <c r="B2183" s="39" t="s">
        <v>676</v>
      </c>
      <c r="C2183" s="39" t="s">
        <v>4796</v>
      </c>
      <c r="D2183" s="39" t="s">
        <v>224</v>
      </c>
      <c r="E2183" s="39" t="s">
        <v>1859</v>
      </c>
      <c r="F2183" s="39" t="s">
        <v>679</v>
      </c>
      <c r="G2183" s="39" t="s">
        <v>301</v>
      </c>
      <c r="H2183" s="39" t="s">
        <v>4797</v>
      </c>
      <c r="I2183" s="39" t="s">
        <v>229</v>
      </c>
    </row>
    <row r="2184" ht="15.75" hidden="1" customHeight="1">
      <c r="A2184" s="36">
        <v>5835554.0</v>
      </c>
      <c r="B2184" s="37" t="s">
        <v>232</v>
      </c>
      <c r="C2184" s="37" t="s">
        <v>4798</v>
      </c>
      <c r="D2184" s="37" t="s">
        <v>224</v>
      </c>
      <c r="E2184" s="37" t="s">
        <v>932</v>
      </c>
      <c r="F2184" s="37" t="s">
        <v>226</v>
      </c>
      <c r="G2184" s="37" t="s">
        <v>227</v>
      </c>
      <c r="H2184" s="37" t="s">
        <v>4799</v>
      </c>
      <c r="I2184" s="37" t="s">
        <v>229</v>
      </c>
    </row>
    <row r="2185" ht="15.75" hidden="1" customHeight="1">
      <c r="A2185" s="38">
        <v>5926023.0</v>
      </c>
      <c r="B2185" s="39" t="s">
        <v>232</v>
      </c>
      <c r="C2185" s="39" t="s">
        <v>4800</v>
      </c>
      <c r="D2185" s="39" t="s">
        <v>224</v>
      </c>
      <c r="E2185" s="39" t="s">
        <v>932</v>
      </c>
      <c r="F2185" s="39" t="s">
        <v>226</v>
      </c>
      <c r="G2185" s="39" t="s">
        <v>227</v>
      </c>
      <c r="H2185" s="39" t="s">
        <v>4801</v>
      </c>
      <c r="I2185" s="39" t="s">
        <v>229</v>
      </c>
    </row>
    <row r="2186" ht="15.75" hidden="1" customHeight="1">
      <c r="A2186" s="36">
        <v>5534598.0</v>
      </c>
      <c r="B2186" s="37" t="s">
        <v>232</v>
      </c>
      <c r="C2186" s="37" t="s">
        <v>4802</v>
      </c>
      <c r="D2186" s="37" t="s">
        <v>224</v>
      </c>
      <c r="E2186" s="37" t="s">
        <v>932</v>
      </c>
      <c r="F2186" s="37" t="s">
        <v>226</v>
      </c>
      <c r="G2186" s="37" t="s">
        <v>227</v>
      </c>
      <c r="H2186" s="37" t="s">
        <v>4803</v>
      </c>
      <c r="I2186" s="37" t="s">
        <v>229</v>
      </c>
    </row>
    <row r="2187" ht="15.75" hidden="1" customHeight="1">
      <c r="A2187" s="38">
        <v>5698084.0</v>
      </c>
      <c r="B2187" s="39" t="s">
        <v>289</v>
      </c>
      <c r="C2187" s="39" t="s">
        <v>4804</v>
      </c>
      <c r="D2187" s="39" t="s">
        <v>224</v>
      </c>
      <c r="E2187" s="39" t="s">
        <v>1048</v>
      </c>
      <c r="F2187" s="39" t="s">
        <v>292</v>
      </c>
      <c r="G2187" s="39" t="s">
        <v>293</v>
      </c>
      <c r="H2187" s="39" t="s">
        <v>4805</v>
      </c>
      <c r="I2187" s="39" t="s">
        <v>229</v>
      </c>
    </row>
    <row r="2188" ht="15.75" hidden="1" customHeight="1">
      <c r="A2188" s="36">
        <v>5987328.0</v>
      </c>
      <c r="B2188" s="37" t="s">
        <v>457</v>
      </c>
      <c r="C2188" s="37" t="s">
        <v>4806</v>
      </c>
      <c r="D2188" s="37" t="s">
        <v>331</v>
      </c>
      <c r="E2188" s="37" t="s">
        <v>1021</v>
      </c>
      <c r="F2188" s="37" t="s">
        <v>292</v>
      </c>
      <c r="G2188" s="37" t="s">
        <v>293</v>
      </c>
      <c r="H2188" s="37" t="s">
        <v>4807</v>
      </c>
      <c r="I2188" s="37" t="s">
        <v>229</v>
      </c>
    </row>
    <row r="2189" ht="15.75" hidden="1" customHeight="1">
      <c r="A2189" s="38">
        <v>5864037.0</v>
      </c>
      <c r="B2189" s="39" t="s">
        <v>1348</v>
      </c>
      <c r="C2189" s="39" t="s">
        <v>4808</v>
      </c>
      <c r="D2189" s="39" t="s">
        <v>224</v>
      </c>
      <c r="E2189" s="39" t="s">
        <v>1021</v>
      </c>
      <c r="F2189" s="39" t="s">
        <v>292</v>
      </c>
      <c r="G2189" s="39" t="s">
        <v>293</v>
      </c>
      <c r="H2189" s="39" t="s">
        <v>4809</v>
      </c>
      <c r="I2189" s="39" t="s">
        <v>229</v>
      </c>
    </row>
    <row r="2190" ht="15.75" hidden="1" customHeight="1">
      <c r="A2190" s="36">
        <v>5702877.0</v>
      </c>
      <c r="B2190" s="37" t="s">
        <v>847</v>
      </c>
      <c r="C2190" s="37" t="s">
        <v>4810</v>
      </c>
      <c r="D2190" s="37" t="s">
        <v>224</v>
      </c>
      <c r="E2190" s="37" t="s">
        <v>1418</v>
      </c>
      <c r="F2190" s="37" t="s">
        <v>333</v>
      </c>
      <c r="G2190" s="37" t="s">
        <v>301</v>
      </c>
      <c r="H2190" s="37" t="s">
        <v>4811</v>
      </c>
      <c r="I2190" s="37" t="s">
        <v>229</v>
      </c>
    </row>
    <row r="2191" ht="15.75" hidden="1" customHeight="1">
      <c r="A2191" s="38">
        <v>5845986.0</v>
      </c>
      <c r="B2191" s="39" t="s">
        <v>457</v>
      </c>
      <c r="C2191" s="39" t="s">
        <v>4812</v>
      </c>
      <c r="D2191" s="39" t="s">
        <v>224</v>
      </c>
      <c r="E2191" s="39" t="s">
        <v>1021</v>
      </c>
      <c r="F2191" s="39" t="s">
        <v>292</v>
      </c>
      <c r="G2191" s="39" t="s">
        <v>293</v>
      </c>
      <c r="H2191" s="39" t="s">
        <v>4813</v>
      </c>
      <c r="I2191" s="39" t="s">
        <v>229</v>
      </c>
    </row>
    <row r="2192" ht="15.75" hidden="1" customHeight="1">
      <c r="A2192" s="36">
        <v>5702885.0</v>
      </c>
      <c r="B2192" s="37" t="s">
        <v>1348</v>
      </c>
      <c r="C2192" s="37" t="s">
        <v>4814</v>
      </c>
      <c r="D2192" s="37" t="s">
        <v>224</v>
      </c>
      <c r="E2192" s="37" t="s">
        <v>1145</v>
      </c>
      <c r="F2192" s="37" t="s">
        <v>292</v>
      </c>
      <c r="G2192" s="37" t="s">
        <v>293</v>
      </c>
      <c r="H2192" s="37" t="s">
        <v>4815</v>
      </c>
      <c r="I2192" s="37" t="s">
        <v>229</v>
      </c>
    </row>
    <row r="2193" ht="15.75" hidden="1" customHeight="1">
      <c r="A2193" s="38">
        <v>5702887.0</v>
      </c>
      <c r="B2193" s="39" t="s">
        <v>1348</v>
      </c>
      <c r="C2193" s="39" t="s">
        <v>4816</v>
      </c>
      <c r="D2193" s="39" t="s">
        <v>224</v>
      </c>
      <c r="E2193" s="39" t="s">
        <v>1145</v>
      </c>
      <c r="F2193" s="39" t="s">
        <v>292</v>
      </c>
      <c r="G2193" s="39" t="s">
        <v>293</v>
      </c>
      <c r="H2193" s="39" t="s">
        <v>4817</v>
      </c>
      <c r="I2193" s="39" t="s">
        <v>229</v>
      </c>
    </row>
    <row r="2194" ht="15.75" hidden="1" customHeight="1">
      <c r="A2194" s="36">
        <v>5702888.0</v>
      </c>
      <c r="B2194" s="37" t="s">
        <v>1348</v>
      </c>
      <c r="C2194" s="37" t="s">
        <v>4818</v>
      </c>
      <c r="D2194" s="37" t="s">
        <v>224</v>
      </c>
      <c r="E2194" s="37" t="s">
        <v>1021</v>
      </c>
      <c r="F2194" s="37" t="s">
        <v>292</v>
      </c>
      <c r="G2194" s="37" t="s">
        <v>293</v>
      </c>
      <c r="H2194" s="37" t="s">
        <v>4819</v>
      </c>
      <c r="I2194" s="37" t="s">
        <v>229</v>
      </c>
    </row>
    <row r="2195" ht="15.75" hidden="1" customHeight="1">
      <c r="A2195" s="38">
        <v>5706992.0</v>
      </c>
      <c r="B2195" s="39" t="s">
        <v>738</v>
      </c>
      <c r="C2195" s="39" t="s">
        <v>4820</v>
      </c>
      <c r="D2195" s="39" t="s">
        <v>331</v>
      </c>
      <c r="E2195" s="39" t="s">
        <v>2629</v>
      </c>
      <c r="F2195" s="39" t="s">
        <v>266</v>
      </c>
      <c r="G2195" s="39" t="s">
        <v>250</v>
      </c>
      <c r="H2195" s="39" t="s">
        <v>4821</v>
      </c>
      <c r="I2195" s="39" t="s">
        <v>229</v>
      </c>
    </row>
    <row r="2196" ht="15.75" hidden="1" customHeight="1">
      <c r="A2196" s="36">
        <v>5707232.0</v>
      </c>
      <c r="B2196" s="37" t="s">
        <v>2069</v>
      </c>
      <c r="C2196" s="37" t="s">
        <v>4822</v>
      </c>
      <c r="D2196" s="37" t="s">
        <v>224</v>
      </c>
      <c r="E2196" s="37" t="s">
        <v>2071</v>
      </c>
      <c r="F2196" s="37" t="s">
        <v>300</v>
      </c>
      <c r="G2196" s="37" t="s">
        <v>301</v>
      </c>
      <c r="H2196" s="37" t="s">
        <v>4823</v>
      </c>
      <c r="I2196" s="37" t="s">
        <v>229</v>
      </c>
    </row>
    <row r="2197" ht="15.75" hidden="1" customHeight="1">
      <c r="A2197" s="38">
        <v>5707233.0</v>
      </c>
      <c r="B2197" s="39" t="s">
        <v>1932</v>
      </c>
      <c r="C2197" s="39" t="s">
        <v>4824</v>
      </c>
      <c r="D2197" s="39" t="s">
        <v>224</v>
      </c>
      <c r="E2197" s="39" t="s">
        <v>2071</v>
      </c>
      <c r="F2197" s="39" t="s">
        <v>300</v>
      </c>
      <c r="G2197" s="39" t="s">
        <v>301</v>
      </c>
      <c r="H2197" s="39" t="s">
        <v>4825</v>
      </c>
      <c r="I2197" s="39" t="s">
        <v>229</v>
      </c>
    </row>
    <row r="2198" ht="15.75" hidden="1" customHeight="1">
      <c r="A2198" s="36">
        <v>5707239.0</v>
      </c>
      <c r="B2198" s="37" t="s">
        <v>1932</v>
      </c>
      <c r="C2198" s="37" t="s">
        <v>4826</v>
      </c>
      <c r="D2198" s="37" t="s">
        <v>224</v>
      </c>
      <c r="E2198" s="37" t="s">
        <v>1934</v>
      </c>
      <c r="F2198" s="37" t="s">
        <v>300</v>
      </c>
      <c r="G2198" s="37" t="s">
        <v>301</v>
      </c>
      <c r="H2198" s="37" t="s">
        <v>4827</v>
      </c>
      <c r="I2198" s="37" t="s">
        <v>229</v>
      </c>
    </row>
    <row r="2199" ht="15.75" hidden="1" customHeight="1">
      <c r="A2199" s="38">
        <v>5707240.0</v>
      </c>
      <c r="B2199" s="39" t="s">
        <v>738</v>
      </c>
      <c r="C2199" s="39" t="s">
        <v>4828</v>
      </c>
      <c r="D2199" s="39" t="s">
        <v>224</v>
      </c>
      <c r="E2199" s="39" t="s">
        <v>1403</v>
      </c>
      <c r="F2199" s="39" t="s">
        <v>533</v>
      </c>
      <c r="G2199" s="39" t="s">
        <v>250</v>
      </c>
      <c r="H2199" s="39" t="s">
        <v>4829</v>
      </c>
      <c r="I2199" s="39" t="s">
        <v>229</v>
      </c>
    </row>
    <row r="2200" ht="15.75" hidden="1" customHeight="1">
      <c r="A2200" s="36">
        <v>5866038.0</v>
      </c>
      <c r="B2200" s="37" t="s">
        <v>1348</v>
      </c>
      <c r="C2200" s="37" t="s">
        <v>4830</v>
      </c>
      <c r="D2200" s="37" t="s">
        <v>224</v>
      </c>
      <c r="E2200" s="37" t="s">
        <v>1021</v>
      </c>
      <c r="F2200" s="37" t="s">
        <v>292</v>
      </c>
      <c r="G2200" s="37" t="s">
        <v>293</v>
      </c>
      <c r="H2200" s="37" t="s">
        <v>4831</v>
      </c>
      <c r="I2200" s="37" t="s">
        <v>229</v>
      </c>
    </row>
    <row r="2201" ht="15.75" hidden="1" customHeight="1">
      <c r="A2201" s="38">
        <v>5732441.0</v>
      </c>
      <c r="B2201" s="39" t="s">
        <v>1348</v>
      </c>
      <c r="C2201" s="39" t="s">
        <v>4832</v>
      </c>
      <c r="D2201" s="39" t="s">
        <v>224</v>
      </c>
      <c r="E2201" s="39" t="s">
        <v>1021</v>
      </c>
      <c r="F2201" s="39" t="s">
        <v>292</v>
      </c>
      <c r="G2201" s="39" t="s">
        <v>293</v>
      </c>
      <c r="H2201" s="39" t="s">
        <v>4833</v>
      </c>
      <c r="I2201" s="39" t="s">
        <v>229</v>
      </c>
    </row>
    <row r="2202" ht="15.75" hidden="1" customHeight="1">
      <c r="A2202" s="36">
        <v>5709345.0</v>
      </c>
      <c r="B2202" s="37" t="s">
        <v>2069</v>
      </c>
      <c r="C2202" s="37" t="s">
        <v>4834</v>
      </c>
      <c r="D2202" s="37" t="s">
        <v>224</v>
      </c>
      <c r="E2202" s="37" t="s">
        <v>1934</v>
      </c>
      <c r="F2202" s="37" t="s">
        <v>300</v>
      </c>
      <c r="G2202" s="37" t="s">
        <v>301</v>
      </c>
      <c r="H2202" s="37" t="s">
        <v>4835</v>
      </c>
      <c r="I2202" s="37" t="s">
        <v>229</v>
      </c>
    </row>
    <row r="2203" ht="15.75" hidden="1" customHeight="1">
      <c r="A2203" s="38">
        <v>5886031.0</v>
      </c>
      <c r="B2203" s="39" t="s">
        <v>1348</v>
      </c>
      <c r="C2203" s="39" t="s">
        <v>4836</v>
      </c>
      <c r="D2203" s="39" t="s">
        <v>224</v>
      </c>
      <c r="E2203" s="39" t="s">
        <v>1021</v>
      </c>
      <c r="F2203" s="39" t="s">
        <v>292</v>
      </c>
      <c r="G2203" s="39" t="s">
        <v>293</v>
      </c>
      <c r="H2203" s="39" t="s">
        <v>4837</v>
      </c>
      <c r="I2203" s="39" t="s">
        <v>229</v>
      </c>
    </row>
    <row r="2204" ht="15.75" hidden="1" customHeight="1">
      <c r="A2204" s="36">
        <v>5709738.0</v>
      </c>
      <c r="B2204" s="37" t="s">
        <v>530</v>
      </c>
      <c r="C2204" s="37" t="s">
        <v>4838</v>
      </c>
      <c r="D2204" s="37" t="s">
        <v>224</v>
      </c>
      <c r="E2204" s="37" t="s">
        <v>1510</v>
      </c>
      <c r="F2204" s="37" t="s">
        <v>533</v>
      </c>
      <c r="G2204" s="37" t="s">
        <v>250</v>
      </c>
      <c r="H2204" s="37" t="s">
        <v>4839</v>
      </c>
      <c r="I2204" s="37" t="s">
        <v>229</v>
      </c>
    </row>
    <row r="2205" ht="15.75" hidden="1" customHeight="1">
      <c r="A2205" s="38">
        <v>5709749.0</v>
      </c>
      <c r="B2205" s="39" t="s">
        <v>1932</v>
      </c>
      <c r="C2205" s="39" t="s">
        <v>4840</v>
      </c>
      <c r="D2205" s="39" t="s">
        <v>224</v>
      </c>
      <c r="E2205" s="39" t="s">
        <v>2071</v>
      </c>
      <c r="F2205" s="39" t="s">
        <v>300</v>
      </c>
      <c r="G2205" s="39" t="s">
        <v>301</v>
      </c>
      <c r="H2205" s="39" t="s">
        <v>4841</v>
      </c>
      <c r="I2205" s="39" t="s">
        <v>229</v>
      </c>
    </row>
    <row r="2206" ht="15.75" hidden="1" customHeight="1">
      <c r="A2206" s="36">
        <v>5709756.0</v>
      </c>
      <c r="B2206" s="37" t="s">
        <v>1932</v>
      </c>
      <c r="C2206" s="37" t="s">
        <v>4842</v>
      </c>
      <c r="D2206" s="37" t="s">
        <v>224</v>
      </c>
      <c r="E2206" s="37" t="s">
        <v>1934</v>
      </c>
      <c r="F2206" s="37" t="s">
        <v>300</v>
      </c>
      <c r="G2206" s="37" t="s">
        <v>301</v>
      </c>
      <c r="H2206" s="37" t="s">
        <v>4843</v>
      </c>
      <c r="I2206" s="37" t="s">
        <v>229</v>
      </c>
    </row>
    <row r="2207" ht="15.75" hidden="1" customHeight="1">
      <c r="A2207" s="38">
        <v>5899718.0</v>
      </c>
      <c r="B2207" s="39" t="s">
        <v>695</v>
      </c>
      <c r="C2207" s="39" t="s">
        <v>4844</v>
      </c>
      <c r="D2207" s="39" t="s">
        <v>224</v>
      </c>
      <c r="E2207" s="39" t="s">
        <v>697</v>
      </c>
      <c r="F2207" s="39" t="s">
        <v>698</v>
      </c>
      <c r="G2207" s="39" t="s">
        <v>541</v>
      </c>
      <c r="H2207" s="39" t="s">
        <v>4845</v>
      </c>
      <c r="I2207" s="39" t="s">
        <v>229</v>
      </c>
    </row>
    <row r="2208" ht="15.75" hidden="1" customHeight="1">
      <c r="A2208" s="36">
        <v>5712870.0</v>
      </c>
      <c r="B2208" s="37" t="s">
        <v>113</v>
      </c>
      <c r="C2208" s="37" t="s">
        <v>4846</v>
      </c>
      <c r="D2208" s="37" t="s">
        <v>224</v>
      </c>
      <c r="E2208" s="37" t="s">
        <v>2522</v>
      </c>
      <c r="F2208" s="37" t="s">
        <v>421</v>
      </c>
      <c r="G2208" s="37" t="s">
        <v>227</v>
      </c>
      <c r="H2208" s="37" t="s">
        <v>4847</v>
      </c>
      <c r="I2208" s="37" t="s">
        <v>260</v>
      </c>
    </row>
    <row r="2209" ht="15.75" hidden="1" customHeight="1">
      <c r="A2209" s="38">
        <v>5899415.0</v>
      </c>
      <c r="B2209" s="39" t="s">
        <v>695</v>
      </c>
      <c r="C2209" s="39" t="s">
        <v>4848</v>
      </c>
      <c r="D2209" s="39" t="s">
        <v>224</v>
      </c>
      <c r="E2209" s="39" t="s">
        <v>697</v>
      </c>
      <c r="F2209" s="39" t="s">
        <v>698</v>
      </c>
      <c r="G2209" s="39" t="s">
        <v>541</v>
      </c>
      <c r="H2209" s="39" t="s">
        <v>4849</v>
      </c>
      <c r="I2209" s="39" t="s">
        <v>229</v>
      </c>
    </row>
    <row r="2210" ht="15.75" hidden="1" customHeight="1">
      <c r="A2210" s="36">
        <v>5714504.0</v>
      </c>
      <c r="B2210" s="37" t="s">
        <v>1791</v>
      </c>
      <c r="C2210" s="37" t="s">
        <v>4850</v>
      </c>
      <c r="D2210" s="37" t="s">
        <v>224</v>
      </c>
      <c r="E2210" s="37" t="s">
        <v>2398</v>
      </c>
      <c r="F2210" s="37" t="s">
        <v>266</v>
      </c>
      <c r="G2210" s="37" t="s">
        <v>250</v>
      </c>
      <c r="H2210" s="37" t="s">
        <v>4851</v>
      </c>
      <c r="I2210" s="37" t="s">
        <v>229</v>
      </c>
    </row>
    <row r="2211" ht="15.75" hidden="1" customHeight="1">
      <c r="A2211" s="38">
        <v>5719451.0</v>
      </c>
      <c r="B2211" s="39" t="s">
        <v>323</v>
      </c>
      <c r="C2211" s="39" t="s">
        <v>4852</v>
      </c>
      <c r="D2211" s="39" t="s">
        <v>224</v>
      </c>
      <c r="E2211" s="39" t="s">
        <v>583</v>
      </c>
      <c r="F2211" s="39" t="s">
        <v>326</v>
      </c>
      <c r="G2211" s="39" t="s">
        <v>327</v>
      </c>
      <c r="H2211" s="39" t="s">
        <v>4853</v>
      </c>
      <c r="I2211" s="39" t="s">
        <v>229</v>
      </c>
    </row>
    <row r="2212" ht="15.75" hidden="1" customHeight="1">
      <c r="A2212" s="36">
        <v>5721148.0</v>
      </c>
      <c r="B2212" s="37" t="s">
        <v>1791</v>
      </c>
      <c r="C2212" s="37" t="s">
        <v>4854</v>
      </c>
      <c r="D2212" s="37" t="s">
        <v>224</v>
      </c>
      <c r="E2212" s="37" t="s">
        <v>2629</v>
      </c>
      <c r="F2212" s="37" t="s">
        <v>266</v>
      </c>
      <c r="G2212" s="37" t="s">
        <v>250</v>
      </c>
      <c r="H2212" s="37" t="s">
        <v>4855</v>
      </c>
      <c r="I2212" s="37" t="s">
        <v>229</v>
      </c>
    </row>
    <row r="2213" ht="15.75" hidden="1" customHeight="1">
      <c r="A2213" s="38">
        <v>5876599.0</v>
      </c>
      <c r="B2213" s="39" t="s">
        <v>695</v>
      </c>
      <c r="C2213" s="39" t="s">
        <v>4856</v>
      </c>
      <c r="D2213" s="39" t="s">
        <v>224</v>
      </c>
      <c r="E2213" s="39" t="s">
        <v>697</v>
      </c>
      <c r="F2213" s="39" t="s">
        <v>698</v>
      </c>
      <c r="G2213" s="39" t="s">
        <v>541</v>
      </c>
      <c r="H2213" s="39" t="s">
        <v>4857</v>
      </c>
      <c r="I2213" s="39" t="s">
        <v>229</v>
      </c>
    </row>
    <row r="2214" ht="15.75" hidden="1" customHeight="1">
      <c r="A2214" s="36">
        <v>5876899.0</v>
      </c>
      <c r="B2214" s="37" t="s">
        <v>1746</v>
      </c>
      <c r="C2214" s="37" t="s">
        <v>4858</v>
      </c>
      <c r="D2214" s="37" t="s">
        <v>224</v>
      </c>
      <c r="E2214" s="37" t="s">
        <v>697</v>
      </c>
      <c r="F2214" s="37" t="s">
        <v>698</v>
      </c>
      <c r="G2214" s="37" t="s">
        <v>541</v>
      </c>
      <c r="H2214" s="37" t="s">
        <v>4859</v>
      </c>
      <c r="I2214" s="37" t="s">
        <v>229</v>
      </c>
    </row>
    <row r="2215" ht="15.75" hidden="1" customHeight="1">
      <c r="A2215" s="38">
        <v>5899379.0</v>
      </c>
      <c r="B2215" s="39" t="s">
        <v>695</v>
      </c>
      <c r="C2215" s="39" t="s">
        <v>4860</v>
      </c>
      <c r="D2215" s="39" t="s">
        <v>224</v>
      </c>
      <c r="E2215" s="39" t="s">
        <v>697</v>
      </c>
      <c r="F2215" s="39" t="s">
        <v>698</v>
      </c>
      <c r="G2215" s="39" t="s">
        <v>541</v>
      </c>
      <c r="H2215" s="39" t="s">
        <v>4861</v>
      </c>
      <c r="I2215" s="39" t="s">
        <v>229</v>
      </c>
    </row>
    <row r="2216" ht="15.75" hidden="1" customHeight="1">
      <c r="A2216" s="36">
        <v>5726239.0</v>
      </c>
      <c r="B2216" s="37" t="s">
        <v>555</v>
      </c>
      <c r="C2216" s="37" t="s">
        <v>4862</v>
      </c>
      <c r="D2216" s="37" t="s">
        <v>224</v>
      </c>
      <c r="E2216" s="37" t="s">
        <v>1069</v>
      </c>
      <c r="F2216" s="37" t="s">
        <v>558</v>
      </c>
      <c r="G2216" s="37" t="s">
        <v>541</v>
      </c>
      <c r="H2216" s="37" t="s">
        <v>4863</v>
      </c>
      <c r="I2216" s="37" t="s">
        <v>229</v>
      </c>
    </row>
    <row r="2217" ht="15.75" hidden="1" customHeight="1">
      <c r="A2217" s="38">
        <v>5726245.0</v>
      </c>
      <c r="B2217" s="39" t="s">
        <v>555</v>
      </c>
      <c r="C2217" s="39" t="s">
        <v>4864</v>
      </c>
      <c r="D2217" s="39" t="s">
        <v>224</v>
      </c>
      <c r="E2217" s="39" t="s">
        <v>1069</v>
      </c>
      <c r="F2217" s="39" t="s">
        <v>558</v>
      </c>
      <c r="G2217" s="39" t="s">
        <v>541</v>
      </c>
      <c r="H2217" s="39" t="s">
        <v>4865</v>
      </c>
      <c r="I2217" s="39" t="s">
        <v>229</v>
      </c>
    </row>
    <row r="2218" ht="15.75" hidden="1" customHeight="1">
      <c r="A2218" s="36">
        <v>5731922.0</v>
      </c>
      <c r="B2218" s="37" t="s">
        <v>316</v>
      </c>
      <c r="C2218" s="37" t="s">
        <v>4866</v>
      </c>
      <c r="D2218" s="37" t="s">
        <v>224</v>
      </c>
      <c r="E2218" s="37" t="s">
        <v>1453</v>
      </c>
      <c r="F2218" s="37" t="s">
        <v>293</v>
      </c>
      <c r="G2218" s="37" t="s">
        <v>319</v>
      </c>
      <c r="H2218" s="37" t="s">
        <v>4867</v>
      </c>
      <c r="I2218" s="37" t="s">
        <v>229</v>
      </c>
    </row>
    <row r="2219" ht="15.75" hidden="1" customHeight="1">
      <c r="A2219" s="38">
        <v>5731929.0</v>
      </c>
      <c r="B2219" s="39" t="s">
        <v>1695</v>
      </c>
      <c r="C2219" s="39" t="s">
        <v>4868</v>
      </c>
      <c r="D2219" s="39" t="s">
        <v>224</v>
      </c>
      <c r="E2219" s="39" t="s">
        <v>1697</v>
      </c>
      <c r="F2219" s="39" t="s">
        <v>698</v>
      </c>
      <c r="G2219" s="39" t="s">
        <v>541</v>
      </c>
      <c r="H2219" s="39" t="s">
        <v>4869</v>
      </c>
      <c r="I2219" s="39" t="s">
        <v>229</v>
      </c>
    </row>
    <row r="2220" ht="15.75" hidden="1" customHeight="1">
      <c r="A2220" s="36">
        <v>5731934.0</v>
      </c>
      <c r="B2220" s="37" t="s">
        <v>794</v>
      </c>
      <c r="C2220" s="37" t="s">
        <v>4870</v>
      </c>
      <c r="D2220" s="37" t="s">
        <v>224</v>
      </c>
      <c r="E2220" s="37" t="s">
        <v>1453</v>
      </c>
      <c r="F2220" s="37" t="s">
        <v>293</v>
      </c>
      <c r="G2220" s="37" t="s">
        <v>319</v>
      </c>
      <c r="H2220" s="37" t="s">
        <v>4871</v>
      </c>
      <c r="I2220" s="37" t="s">
        <v>229</v>
      </c>
    </row>
    <row r="2221" ht="15.75" hidden="1" customHeight="1">
      <c r="A2221" s="38">
        <v>5731956.0</v>
      </c>
      <c r="B2221" s="39" t="s">
        <v>1695</v>
      </c>
      <c r="C2221" s="39" t="s">
        <v>4872</v>
      </c>
      <c r="D2221" s="39" t="s">
        <v>224</v>
      </c>
      <c r="E2221" s="39" t="s">
        <v>1697</v>
      </c>
      <c r="F2221" s="39" t="s">
        <v>698</v>
      </c>
      <c r="G2221" s="39" t="s">
        <v>541</v>
      </c>
      <c r="H2221" s="39" t="s">
        <v>4873</v>
      </c>
      <c r="I2221" s="39" t="s">
        <v>229</v>
      </c>
    </row>
    <row r="2222" ht="15.75" hidden="1" customHeight="1">
      <c r="A2222" s="36">
        <v>5732086.0</v>
      </c>
      <c r="B2222" s="37" t="s">
        <v>1363</v>
      </c>
      <c r="C2222" s="37" t="s">
        <v>4874</v>
      </c>
      <c r="D2222" s="37" t="s">
        <v>224</v>
      </c>
      <c r="E2222" s="37" t="s">
        <v>796</v>
      </c>
      <c r="F2222" s="37" t="s">
        <v>293</v>
      </c>
      <c r="G2222" s="37" t="s">
        <v>319</v>
      </c>
      <c r="H2222" s="37" t="s">
        <v>4875</v>
      </c>
      <c r="I2222" s="37" t="s">
        <v>229</v>
      </c>
    </row>
    <row r="2223" ht="15.75" hidden="1" customHeight="1">
      <c r="A2223" s="38">
        <v>5732430.0</v>
      </c>
      <c r="B2223" s="39" t="s">
        <v>478</v>
      </c>
      <c r="C2223" s="39" t="s">
        <v>4876</v>
      </c>
      <c r="D2223" s="39" t="s">
        <v>224</v>
      </c>
      <c r="E2223" s="39" t="s">
        <v>480</v>
      </c>
      <c r="F2223" s="39" t="s">
        <v>481</v>
      </c>
      <c r="G2223" s="39" t="s">
        <v>293</v>
      </c>
      <c r="H2223" s="39" t="s">
        <v>4877</v>
      </c>
      <c r="I2223" s="39" t="s">
        <v>229</v>
      </c>
    </row>
    <row r="2224" ht="15.75" hidden="1" customHeight="1">
      <c r="A2224" s="36">
        <v>5732436.0</v>
      </c>
      <c r="B2224" s="37" t="s">
        <v>1143</v>
      </c>
      <c r="C2224" s="37" t="s">
        <v>4878</v>
      </c>
      <c r="D2224" s="37" t="s">
        <v>224</v>
      </c>
      <c r="E2224" s="37" t="s">
        <v>1145</v>
      </c>
      <c r="F2224" s="37" t="s">
        <v>292</v>
      </c>
      <c r="G2224" s="37" t="s">
        <v>293</v>
      </c>
      <c r="H2224" s="37" t="s">
        <v>4879</v>
      </c>
      <c r="I2224" s="37" t="s">
        <v>229</v>
      </c>
    </row>
    <row r="2225" ht="15.75" hidden="1" customHeight="1">
      <c r="A2225" s="38">
        <v>5732451.0</v>
      </c>
      <c r="B2225" s="39" t="s">
        <v>457</v>
      </c>
      <c r="C2225" s="39" t="s">
        <v>4880</v>
      </c>
      <c r="D2225" s="39" t="s">
        <v>224</v>
      </c>
      <c r="E2225" s="39" t="s">
        <v>1145</v>
      </c>
      <c r="F2225" s="39" t="s">
        <v>292</v>
      </c>
      <c r="G2225" s="39" t="s">
        <v>293</v>
      </c>
      <c r="H2225" s="39" t="s">
        <v>4881</v>
      </c>
      <c r="I2225" s="39" t="s">
        <v>229</v>
      </c>
    </row>
    <row r="2226" ht="15.75" hidden="1" customHeight="1">
      <c r="A2226" s="36">
        <v>5740891.0</v>
      </c>
      <c r="B2226" s="37" t="s">
        <v>1348</v>
      </c>
      <c r="C2226" s="37" t="s">
        <v>4882</v>
      </c>
      <c r="D2226" s="37" t="s">
        <v>224</v>
      </c>
      <c r="E2226" s="37" t="s">
        <v>1145</v>
      </c>
      <c r="F2226" s="37" t="s">
        <v>292</v>
      </c>
      <c r="G2226" s="37" t="s">
        <v>293</v>
      </c>
      <c r="H2226" s="37" t="s">
        <v>4883</v>
      </c>
      <c r="I2226" s="37" t="s">
        <v>229</v>
      </c>
    </row>
    <row r="2227" ht="15.75" hidden="1" customHeight="1">
      <c r="A2227" s="38">
        <v>5745768.0</v>
      </c>
      <c r="B2227" s="39" t="s">
        <v>530</v>
      </c>
      <c r="C2227" s="39" t="s">
        <v>4884</v>
      </c>
      <c r="D2227" s="39" t="s">
        <v>224</v>
      </c>
      <c r="E2227" s="39" t="s">
        <v>1760</v>
      </c>
      <c r="F2227" s="39" t="s">
        <v>533</v>
      </c>
      <c r="G2227" s="39" t="s">
        <v>250</v>
      </c>
      <c r="H2227" s="39" t="s">
        <v>4885</v>
      </c>
      <c r="I2227" s="39" t="s">
        <v>229</v>
      </c>
    </row>
    <row r="2228" ht="15.75" hidden="1" customHeight="1">
      <c r="A2228" s="36">
        <v>5752220.0</v>
      </c>
      <c r="B2228" s="37" t="s">
        <v>232</v>
      </c>
      <c r="C2228" s="37" t="s">
        <v>4886</v>
      </c>
      <c r="D2228" s="37" t="s">
        <v>224</v>
      </c>
      <c r="E2228" s="37" t="s">
        <v>790</v>
      </c>
      <c r="F2228" s="37" t="s">
        <v>226</v>
      </c>
      <c r="G2228" s="37" t="s">
        <v>227</v>
      </c>
      <c r="H2228" s="37" t="s">
        <v>4887</v>
      </c>
      <c r="I2228" s="37" t="s">
        <v>229</v>
      </c>
    </row>
    <row r="2229" ht="15.75" hidden="1" customHeight="1">
      <c r="A2229" s="38">
        <v>5763573.0</v>
      </c>
      <c r="B2229" s="39" t="s">
        <v>1363</v>
      </c>
      <c r="C2229" s="39" t="s">
        <v>4888</v>
      </c>
      <c r="D2229" s="39" t="s">
        <v>234</v>
      </c>
      <c r="E2229" s="39" t="s">
        <v>1773</v>
      </c>
      <c r="F2229" s="39" t="s">
        <v>293</v>
      </c>
      <c r="G2229" s="39" t="s">
        <v>319</v>
      </c>
      <c r="H2229" s="39" t="s">
        <v>4889</v>
      </c>
      <c r="I2229" s="39" t="s">
        <v>229</v>
      </c>
    </row>
    <row r="2230" ht="15.75" hidden="1" customHeight="1">
      <c r="A2230" s="36">
        <v>5766574.0</v>
      </c>
      <c r="B2230" s="37" t="s">
        <v>813</v>
      </c>
      <c r="C2230" s="37" t="s">
        <v>4890</v>
      </c>
      <c r="D2230" s="37" t="s">
        <v>224</v>
      </c>
      <c r="E2230" s="37" t="s">
        <v>815</v>
      </c>
      <c r="F2230" s="37" t="s">
        <v>679</v>
      </c>
      <c r="G2230" s="37" t="s">
        <v>301</v>
      </c>
      <c r="H2230" s="37" t="s">
        <v>4891</v>
      </c>
      <c r="I2230" s="37" t="s">
        <v>229</v>
      </c>
    </row>
    <row r="2231" ht="15.75" hidden="1" customHeight="1">
      <c r="A2231" s="38">
        <v>5832431.0</v>
      </c>
      <c r="B2231" s="39" t="s">
        <v>416</v>
      </c>
      <c r="C2231" s="39" t="s">
        <v>4892</v>
      </c>
      <c r="D2231" s="39" t="s">
        <v>224</v>
      </c>
      <c r="E2231" s="39" t="s">
        <v>2307</v>
      </c>
      <c r="F2231" s="39" t="s">
        <v>421</v>
      </c>
      <c r="G2231" s="39" t="s">
        <v>227</v>
      </c>
      <c r="H2231" s="39" t="s">
        <v>4893</v>
      </c>
      <c r="I2231" s="39" t="s">
        <v>260</v>
      </c>
    </row>
    <row r="2232" ht="15.75" hidden="1" customHeight="1">
      <c r="A2232" s="36">
        <v>5767921.0</v>
      </c>
      <c r="B2232" s="37" t="s">
        <v>361</v>
      </c>
      <c r="C2232" s="37" t="s">
        <v>4894</v>
      </c>
      <c r="D2232" s="37" t="s">
        <v>224</v>
      </c>
      <c r="E2232" s="37" t="s">
        <v>875</v>
      </c>
      <c r="F2232" s="37" t="s">
        <v>312</v>
      </c>
      <c r="G2232" s="37" t="s">
        <v>258</v>
      </c>
      <c r="H2232" s="37" t="s">
        <v>4895</v>
      </c>
      <c r="I2232" s="37" t="s">
        <v>260</v>
      </c>
    </row>
    <row r="2233" ht="15.75" hidden="1" customHeight="1">
      <c r="A2233" s="38">
        <v>5771568.0</v>
      </c>
      <c r="B2233" s="39" t="s">
        <v>1363</v>
      </c>
      <c r="C2233" s="39" t="s">
        <v>4896</v>
      </c>
      <c r="D2233" s="39" t="s">
        <v>224</v>
      </c>
      <c r="E2233" s="39" t="s">
        <v>796</v>
      </c>
      <c r="F2233" s="39" t="s">
        <v>293</v>
      </c>
      <c r="G2233" s="39" t="s">
        <v>319</v>
      </c>
      <c r="H2233" s="39" t="s">
        <v>4897</v>
      </c>
      <c r="I2233" s="39" t="s">
        <v>229</v>
      </c>
    </row>
    <row r="2234" ht="15.75" hidden="1" customHeight="1">
      <c r="A2234" s="36">
        <v>5771570.0</v>
      </c>
      <c r="B2234" s="37" t="s">
        <v>813</v>
      </c>
      <c r="C2234" s="37" t="s">
        <v>4898</v>
      </c>
      <c r="D2234" s="37" t="s">
        <v>224</v>
      </c>
      <c r="E2234" s="37" t="s">
        <v>815</v>
      </c>
      <c r="F2234" s="37" t="s">
        <v>679</v>
      </c>
      <c r="G2234" s="37" t="s">
        <v>301</v>
      </c>
      <c r="H2234" s="37" t="s">
        <v>4899</v>
      </c>
      <c r="I2234" s="37" t="s">
        <v>229</v>
      </c>
    </row>
    <row r="2235" ht="15.75" hidden="1" customHeight="1">
      <c r="A2235" s="38">
        <v>5867161.0</v>
      </c>
      <c r="B2235" s="39" t="s">
        <v>416</v>
      </c>
      <c r="C2235" s="39" t="s">
        <v>4900</v>
      </c>
      <c r="D2235" s="39" t="s">
        <v>224</v>
      </c>
      <c r="E2235" s="39" t="s">
        <v>2307</v>
      </c>
      <c r="F2235" s="39" t="s">
        <v>421</v>
      </c>
      <c r="G2235" s="39" t="s">
        <v>227</v>
      </c>
      <c r="H2235" s="39" t="s">
        <v>4901</v>
      </c>
      <c r="I2235" s="39" t="s">
        <v>260</v>
      </c>
    </row>
    <row r="2236" ht="15.75" hidden="1" customHeight="1">
      <c r="A2236" s="36">
        <v>5771796.0</v>
      </c>
      <c r="B2236" s="37" t="s">
        <v>323</v>
      </c>
      <c r="C2236" s="37" t="s">
        <v>4902</v>
      </c>
      <c r="D2236" s="37" t="s">
        <v>224</v>
      </c>
      <c r="E2236" s="37" t="s">
        <v>583</v>
      </c>
      <c r="F2236" s="37" t="s">
        <v>326</v>
      </c>
      <c r="G2236" s="37" t="s">
        <v>327</v>
      </c>
      <c r="H2236" s="37" t="s">
        <v>4903</v>
      </c>
      <c r="I2236" s="37" t="s">
        <v>229</v>
      </c>
    </row>
    <row r="2237" ht="15.75" hidden="1" customHeight="1">
      <c r="A2237" s="38">
        <v>5872238.0</v>
      </c>
      <c r="B2237" s="39" t="s">
        <v>416</v>
      </c>
      <c r="C2237" s="39" t="s">
        <v>4904</v>
      </c>
      <c r="D2237" s="39" t="s">
        <v>224</v>
      </c>
      <c r="E2237" s="39" t="s">
        <v>2307</v>
      </c>
      <c r="F2237" s="39" t="s">
        <v>421</v>
      </c>
      <c r="G2237" s="39" t="s">
        <v>227</v>
      </c>
      <c r="H2237" s="39" t="s">
        <v>4905</v>
      </c>
      <c r="I2237" s="39" t="s">
        <v>260</v>
      </c>
    </row>
    <row r="2238" ht="15.75" hidden="1" customHeight="1">
      <c r="A2238" s="36">
        <v>5820337.0</v>
      </c>
      <c r="B2238" s="37" t="s">
        <v>416</v>
      </c>
      <c r="C2238" s="37" t="s">
        <v>4906</v>
      </c>
      <c r="D2238" s="37" t="s">
        <v>224</v>
      </c>
      <c r="E2238" s="37" t="s">
        <v>2307</v>
      </c>
      <c r="F2238" s="37" t="s">
        <v>421</v>
      </c>
      <c r="G2238" s="37" t="s">
        <v>227</v>
      </c>
      <c r="H2238" s="37" t="s">
        <v>4907</v>
      </c>
      <c r="I2238" s="37" t="s">
        <v>260</v>
      </c>
    </row>
    <row r="2239" ht="15.75" hidden="1" customHeight="1">
      <c r="A2239" s="38">
        <v>5832209.0</v>
      </c>
      <c r="B2239" s="39" t="s">
        <v>416</v>
      </c>
      <c r="C2239" s="39" t="s">
        <v>4908</v>
      </c>
      <c r="D2239" s="39" t="s">
        <v>224</v>
      </c>
      <c r="E2239" s="39" t="s">
        <v>2307</v>
      </c>
      <c r="F2239" s="39" t="s">
        <v>421</v>
      </c>
      <c r="G2239" s="39" t="s">
        <v>227</v>
      </c>
      <c r="H2239" s="39" t="s">
        <v>4909</v>
      </c>
      <c r="I2239" s="39" t="s">
        <v>260</v>
      </c>
    </row>
    <row r="2240" ht="15.75" hidden="1" customHeight="1">
      <c r="A2240" s="36">
        <v>5868840.0</v>
      </c>
      <c r="B2240" s="37" t="s">
        <v>416</v>
      </c>
      <c r="C2240" s="37" t="s">
        <v>4910</v>
      </c>
      <c r="D2240" s="37" t="s">
        <v>224</v>
      </c>
      <c r="E2240" s="37" t="s">
        <v>2307</v>
      </c>
      <c r="F2240" s="37" t="s">
        <v>421</v>
      </c>
      <c r="G2240" s="37" t="s">
        <v>227</v>
      </c>
      <c r="H2240" s="37" t="s">
        <v>4911</v>
      </c>
      <c r="I2240" s="37" t="s">
        <v>260</v>
      </c>
    </row>
    <row r="2241" ht="15.75" hidden="1" customHeight="1">
      <c r="A2241" s="38">
        <v>5777293.0</v>
      </c>
      <c r="B2241" s="39" t="s">
        <v>120</v>
      </c>
      <c r="C2241" s="39" t="s">
        <v>4912</v>
      </c>
      <c r="D2241" s="39" t="s">
        <v>224</v>
      </c>
      <c r="E2241" s="39" t="s">
        <v>868</v>
      </c>
      <c r="F2241" s="39" t="s">
        <v>644</v>
      </c>
      <c r="G2241" s="39" t="s">
        <v>3</v>
      </c>
      <c r="H2241" s="39" t="s">
        <v>4913</v>
      </c>
      <c r="I2241" s="39" t="s">
        <v>260</v>
      </c>
      <c r="J2241" s="1">
        <v>42.0</v>
      </c>
      <c r="L2241" s="40" t="s">
        <v>120</v>
      </c>
    </row>
    <row r="2242" ht="15.75" hidden="1" customHeight="1">
      <c r="A2242" s="36">
        <v>2762534.0</v>
      </c>
      <c r="B2242" s="37" t="s">
        <v>738</v>
      </c>
      <c r="C2242" s="37" t="s">
        <v>4914</v>
      </c>
      <c r="D2242" s="37" t="s">
        <v>224</v>
      </c>
      <c r="E2242" s="37" t="s">
        <v>3967</v>
      </c>
      <c r="F2242" s="37" t="s">
        <v>533</v>
      </c>
      <c r="G2242" s="37" t="s">
        <v>250</v>
      </c>
      <c r="H2242" s="37" t="s">
        <v>4915</v>
      </c>
      <c r="I2242" s="37" t="s">
        <v>229</v>
      </c>
    </row>
    <row r="2243" ht="15.75" hidden="1" customHeight="1">
      <c r="A2243" s="38">
        <v>4570274.0</v>
      </c>
      <c r="B2243" s="39" t="s">
        <v>1060</v>
      </c>
      <c r="C2243" s="39" t="s">
        <v>4916</v>
      </c>
      <c r="D2243" s="39" t="s">
        <v>224</v>
      </c>
      <c r="E2243" s="39" t="s">
        <v>1062</v>
      </c>
      <c r="F2243" s="39" t="s">
        <v>249</v>
      </c>
      <c r="G2243" s="39" t="s">
        <v>250</v>
      </c>
      <c r="H2243" s="39" t="s">
        <v>4917</v>
      </c>
      <c r="I2243" s="39" t="s">
        <v>229</v>
      </c>
    </row>
    <row r="2244" ht="15.75" hidden="1" customHeight="1">
      <c r="A2244" s="36">
        <v>5552116.0</v>
      </c>
      <c r="B2244" s="37" t="s">
        <v>254</v>
      </c>
      <c r="C2244" s="37" t="s">
        <v>4918</v>
      </c>
      <c r="D2244" s="37" t="s">
        <v>224</v>
      </c>
      <c r="E2244" s="37" t="s">
        <v>634</v>
      </c>
      <c r="F2244" s="37" t="s">
        <v>257</v>
      </c>
      <c r="G2244" s="37" t="s">
        <v>258</v>
      </c>
      <c r="H2244" s="37" t="s">
        <v>4919</v>
      </c>
      <c r="I2244" s="37" t="s">
        <v>260</v>
      </c>
    </row>
    <row r="2245" ht="15.75" hidden="1" customHeight="1">
      <c r="A2245" s="38">
        <v>5872120.0</v>
      </c>
      <c r="B2245" s="39" t="s">
        <v>254</v>
      </c>
      <c r="C2245" s="39" t="s">
        <v>4920</v>
      </c>
      <c r="D2245" s="39" t="s">
        <v>224</v>
      </c>
      <c r="E2245" s="39" t="s">
        <v>634</v>
      </c>
      <c r="F2245" s="39" t="s">
        <v>257</v>
      </c>
      <c r="G2245" s="39" t="s">
        <v>258</v>
      </c>
      <c r="H2245" s="39" t="s">
        <v>4921</v>
      </c>
      <c r="I2245" s="39" t="s">
        <v>260</v>
      </c>
    </row>
    <row r="2246" ht="15.75" hidden="1" customHeight="1">
      <c r="A2246" s="36">
        <v>5828685.0</v>
      </c>
      <c r="B2246" s="37" t="s">
        <v>806</v>
      </c>
      <c r="C2246" s="37" t="s">
        <v>4922</v>
      </c>
      <c r="D2246" s="37" t="s">
        <v>224</v>
      </c>
      <c r="E2246" s="37" t="s">
        <v>634</v>
      </c>
      <c r="F2246" s="37" t="s">
        <v>257</v>
      </c>
      <c r="G2246" s="37" t="s">
        <v>258</v>
      </c>
      <c r="H2246" s="37" t="s">
        <v>4923</v>
      </c>
      <c r="I2246" s="37" t="s">
        <v>260</v>
      </c>
    </row>
    <row r="2247" ht="15.75" hidden="1" customHeight="1">
      <c r="A2247" s="38">
        <v>5843589.0</v>
      </c>
      <c r="B2247" s="39" t="s">
        <v>907</v>
      </c>
      <c r="C2247" s="39" t="s">
        <v>4924</v>
      </c>
      <c r="D2247" s="39" t="s">
        <v>224</v>
      </c>
      <c r="E2247" s="39" t="s">
        <v>634</v>
      </c>
      <c r="F2247" s="39" t="s">
        <v>257</v>
      </c>
      <c r="G2247" s="39" t="s">
        <v>258</v>
      </c>
      <c r="H2247" s="39" t="s">
        <v>4925</v>
      </c>
      <c r="I2247" s="39" t="s">
        <v>260</v>
      </c>
    </row>
    <row r="2248" ht="15.75" hidden="1" customHeight="1">
      <c r="A2248" s="36">
        <v>5782593.0</v>
      </c>
      <c r="B2248" s="37" t="s">
        <v>530</v>
      </c>
      <c r="C2248" s="37" t="s">
        <v>4926</v>
      </c>
      <c r="D2248" s="37" t="s">
        <v>224</v>
      </c>
      <c r="E2248" s="37" t="s">
        <v>1760</v>
      </c>
      <c r="F2248" s="37" t="s">
        <v>533</v>
      </c>
      <c r="G2248" s="37" t="s">
        <v>250</v>
      </c>
      <c r="H2248" s="37" t="s">
        <v>4927</v>
      </c>
      <c r="I2248" s="37" t="s">
        <v>229</v>
      </c>
    </row>
    <row r="2249" ht="15.75" hidden="1" customHeight="1">
      <c r="A2249" s="38">
        <v>5785993.0</v>
      </c>
      <c r="B2249" s="39" t="s">
        <v>309</v>
      </c>
      <c r="C2249" s="39" t="s">
        <v>4928</v>
      </c>
      <c r="D2249" s="39" t="s">
        <v>224</v>
      </c>
      <c r="E2249" s="39" t="s">
        <v>311</v>
      </c>
      <c r="F2249" s="39" t="s">
        <v>312</v>
      </c>
      <c r="G2249" s="39" t="s">
        <v>258</v>
      </c>
      <c r="H2249" s="39" t="s">
        <v>4929</v>
      </c>
      <c r="I2249" s="39" t="s">
        <v>260</v>
      </c>
    </row>
    <row r="2250" ht="15.75" hidden="1" customHeight="1">
      <c r="A2250" s="36">
        <v>5828686.0</v>
      </c>
      <c r="B2250" s="37" t="s">
        <v>1044</v>
      </c>
      <c r="C2250" s="37" t="s">
        <v>4930</v>
      </c>
      <c r="D2250" s="37" t="s">
        <v>224</v>
      </c>
      <c r="E2250" s="37" t="s">
        <v>634</v>
      </c>
      <c r="F2250" s="37" t="s">
        <v>257</v>
      </c>
      <c r="G2250" s="37" t="s">
        <v>258</v>
      </c>
      <c r="H2250" s="37" t="s">
        <v>4931</v>
      </c>
      <c r="I2250" s="37" t="s">
        <v>260</v>
      </c>
    </row>
    <row r="2251" ht="15.75" hidden="1" customHeight="1">
      <c r="A2251" s="38">
        <v>5259818.0</v>
      </c>
      <c r="B2251" s="39" t="s">
        <v>1791</v>
      </c>
      <c r="C2251" s="39" t="s">
        <v>4932</v>
      </c>
      <c r="D2251" s="39" t="s">
        <v>224</v>
      </c>
      <c r="E2251" s="39" t="s">
        <v>2629</v>
      </c>
      <c r="F2251" s="39" t="s">
        <v>266</v>
      </c>
      <c r="G2251" s="39" t="s">
        <v>250</v>
      </c>
      <c r="H2251" s="39" t="s">
        <v>4933</v>
      </c>
      <c r="I2251" s="39" t="s">
        <v>229</v>
      </c>
    </row>
    <row r="2252" ht="15.75" hidden="1" customHeight="1">
      <c r="A2252" s="36">
        <v>5849357.0</v>
      </c>
      <c r="B2252" s="37" t="s">
        <v>1791</v>
      </c>
      <c r="C2252" s="37" t="s">
        <v>4934</v>
      </c>
      <c r="D2252" s="37" t="s">
        <v>224</v>
      </c>
      <c r="E2252" s="37" t="s">
        <v>2629</v>
      </c>
      <c r="F2252" s="37" t="s">
        <v>266</v>
      </c>
      <c r="G2252" s="37" t="s">
        <v>250</v>
      </c>
      <c r="H2252" s="37" t="s">
        <v>4935</v>
      </c>
      <c r="I2252" s="37" t="s">
        <v>229</v>
      </c>
    </row>
    <row r="2253" ht="15.75" hidden="1" customHeight="1">
      <c r="A2253" s="38">
        <v>5882681.0</v>
      </c>
      <c r="B2253" s="39" t="s">
        <v>1791</v>
      </c>
      <c r="C2253" s="39" t="s">
        <v>4936</v>
      </c>
      <c r="D2253" s="39" t="s">
        <v>224</v>
      </c>
      <c r="E2253" s="39" t="s">
        <v>2629</v>
      </c>
      <c r="F2253" s="39" t="s">
        <v>266</v>
      </c>
      <c r="G2253" s="39" t="s">
        <v>250</v>
      </c>
      <c r="H2253" s="39" t="s">
        <v>4937</v>
      </c>
      <c r="I2253" s="39" t="s">
        <v>229</v>
      </c>
    </row>
    <row r="2254" ht="15.75" hidden="1" customHeight="1">
      <c r="A2254" s="36">
        <v>5794115.0</v>
      </c>
      <c r="B2254" s="37" t="s">
        <v>309</v>
      </c>
      <c r="C2254" s="37" t="s">
        <v>4938</v>
      </c>
      <c r="D2254" s="37" t="s">
        <v>224</v>
      </c>
      <c r="E2254" s="37" t="s">
        <v>311</v>
      </c>
      <c r="F2254" s="37" t="s">
        <v>312</v>
      </c>
      <c r="G2254" s="37" t="s">
        <v>258</v>
      </c>
      <c r="H2254" s="37" t="s">
        <v>4939</v>
      </c>
      <c r="I2254" s="37" t="s">
        <v>260</v>
      </c>
    </row>
    <row r="2255" ht="15.75" hidden="1" customHeight="1">
      <c r="A2255" s="38">
        <v>5800474.0</v>
      </c>
      <c r="B2255" s="39" t="s">
        <v>113</v>
      </c>
      <c r="C2255" s="39" t="s">
        <v>4940</v>
      </c>
      <c r="D2255" s="39" t="s">
        <v>269</v>
      </c>
      <c r="E2255" s="39" t="s">
        <v>2522</v>
      </c>
      <c r="F2255" s="39" t="s">
        <v>421</v>
      </c>
      <c r="G2255" s="39" t="s">
        <v>227</v>
      </c>
      <c r="H2255" s="39" t="s">
        <v>4941</v>
      </c>
      <c r="I2255" s="39" t="s">
        <v>260</v>
      </c>
    </row>
    <row r="2256" ht="15.75" hidden="1" customHeight="1">
      <c r="A2256" s="36">
        <v>5807910.0</v>
      </c>
      <c r="B2256" s="37" t="s">
        <v>316</v>
      </c>
      <c r="C2256" s="37" t="s">
        <v>4942</v>
      </c>
      <c r="D2256" s="37" t="s">
        <v>224</v>
      </c>
      <c r="E2256" s="37" t="s">
        <v>761</v>
      </c>
      <c r="F2256" s="37" t="s">
        <v>293</v>
      </c>
      <c r="G2256" s="37" t="s">
        <v>319</v>
      </c>
      <c r="H2256" s="37" t="s">
        <v>4943</v>
      </c>
      <c r="I2256" s="37" t="s">
        <v>229</v>
      </c>
    </row>
    <row r="2257" ht="15.75" hidden="1" customHeight="1">
      <c r="A2257" s="38">
        <v>5803400.0</v>
      </c>
      <c r="B2257" s="39" t="s">
        <v>323</v>
      </c>
      <c r="C2257" s="39" t="s">
        <v>4944</v>
      </c>
      <c r="D2257" s="39" t="s">
        <v>224</v>
      </c>
      <c r="E2257" s="39" t="s">
        <v>583</v>
      </c>
      <c r="F2257" s="39" t="s">
        <v>326</v>
      </c>
      <c r="G2257" s="39" t="s">
        <v>327</v>
      </c>
      <c r="H2257" s="39" t="s">
        <v>4945</v>
      </c>
      <c r="I2257" s="39" t="s">
        <v>229</v>
      </c>
    </row>
    <row r="2258" ht="15.75" hidden="1" customHeight="1">
      <c r="A2258" s="36">
        <v>5803435.0</v>
      </c>
      <c r="B2258" s="37" t="s">
        <v>222</v>
      </c>
      <c r="C2258" s="37" t="s">
        <v>4946</v>
      </c>
      <c r="D2258" s="37" t="s">
        <v>224</v>
      </c>
      <c r="E2258" s="37" t="s">
        <v>1127</v>
      </c>
      <c r="F2258" s="37" t="s">
        <v>226</v>
      </c>
      <c r="G2258" s="37" t="s">
        <v>227</v>
      </c>
      <c r="H2258" s="37" t="s">
        <v>4947</v>
      </c>
      <c r="I2258" s="37" t="s">
        <v>229</v>
      </c>
    </row>
    <row r="2259" ht="15.75" hidden="1" customHeight="1">
      <c r="A2259" s="38">
        <v>5847293.0</v>
      </c>
      <c r="B2259" s="39" t="s">
        <v>1363</v>
      </c>
      <c r="C2259" s="39" t="s">
        <v>4948</v>
      </c>
      <c r="D2259" s="39" t="s">
        <v>224</v>
      </c>
      <c r="E2259" s="39" t="s">
        <v>761</v>
      </c>
      <c r="F2259" s="39" t="s">
        <v>293</v>
      </c>
      <c r="G2259" s="39" t="s">
        <v>319</v>
      </c>
      <c r="H2259" s="39" t="s">
        <v>4949</v>
      </c>
      <c r="I2259" s="39" t="s">
        <v>229</v>
      </c>
    </row>
    <row r="2260" ht="15.75" hidden="1" customHeight="1">
      <c r="A2260" s="36">
        <v>5100504.0</v>
      </c>
      <c r="B2260" s="37" t="s">
        <v>1363</v>
      </c>
      <c r="C2260" s="37" t="s">
        <v>4950</v>
      </c>
      <c r="D2260" s="37" t="s">
        <v>224</v>
      </c>
      <c r="E2260" s="37" t="s">
        <v>761</v>
      </c>
      <c r="F2260" s="37" t="s">
        <v>293</v>
      </c>
      <c r="G2260" s="37" t="s">
        <v>319</v>
      </c>
      <c r="H2260" s="37" t="s">
        <v>4951</v>
      </c>
      <c r="I2260" s="37" t="s">
        <v>229</v>
      </c>
    </row>
    <row r="2261" ht="15.75" hidden="1" customHeight="1">
      <c r="A2261" s="38">
        <v>5674621.0</v>
      </c>
      <c r="B2261" s="39" t="s">
        <v>316</v>
      </c>
      <c r="C2261" s="39" t="s">
        <v>4952</v>
      </c>
      <c r="D2261" s="39" t="s">
        <v>224</v>
      </c>
      <c r="E2261" s="39" t="s">
        <v>761</v>
      </c>
      <c r="F2261" s="39" t="s">
        <v>293</v>
      </c>
      <c r="G2261" s="39" t="s">
        <v>319</v>
      </c>
      <c r="H2261" s="39" t="s">
        <v>4953</v>
      </c>
      <c r="I2261" s="39" t="s">
        <v>229</v>
      </c>
    </row>
    <row r="2262" ht="15.75" hidden="1" customHeight="1">
      <c r="A2262" s="36">
        <v>5804439.0</v>
      </c>
      <c r="B2262" s="37" t="s">
        <v>289</v>
      </c>
      <c r="C2262" s="37" t="s">
        <v>4954</v>
      </c>
      <c r="D2262" s="37" t="s">
        <v>224</v>
      </c>
      <c r="E2262" s="37" t="s">
        <v>1048</v>
      </c>
      <c r="F2262" s="37" t="s">
        <v>292</v>
      </c>
      <c r="G2262" s="37" t="s">
        <v>293</v>
      </c>
      <c r="H2262" s="37" t="s">
        <v>4955</v>
      </c>
      <c r="I2262" s="37" t="s">
        <v>229</v>
      </c>
    </row>
    <row r="2263" ht="15.75" hidden="1" customHeight="1">
      <c r="A2263" s="38">
        <v>5804440.0</v>
      </c>
      <c r="B2263" s="39" t="s">
        <v>222</v>
      </c>
      <c r="C2263" s="39" t="s">
        <v>4956</v>
      </c>
      <c r="D2263" s="39" t="s">
        <v>224</v>
      </c>
      <c r="E2263" s="39" t="s">
        <v>1127</v>
      </c>
      <c r="F2263" s="39" t="s">
        <v>226</v>
      </c>
      <c r="G2263" s="39" t="s">
        <v>227</v>
      </c>
      <c r="H2263" s="39" t="s">
        <v>4957</v>
      </c>
      <c r="I2263" s="39" t="s">
        <v>229</v>
      </c>
    </row>
    <row r="2264" ht="15.75" hidden="1" customHeight="1">
      <c r="A2264" s="36">
        <v>6019133.0</v>
      </c>
      <c r="B2264" s="37" t="s">
        <v>316</v>
      </c>
      <c r="C2264" s="37" t="s">
        <v>4958</v>
      </c>
      <c r="D2264" s="37" t="s">
        <v>224</v>
      </c>
      <c r="E2264" s="37" t="s">
        <v>761</v>
      </c>
      <c r="F2264" s="37" t="s">
        <v>293</v>
      </c>
      <c r="G2264" s="37" t="s">
        <v>319</v>
      </c>
      <c r="H2264" s="37" t="s">
        <v>4959</v>
      </c>
      <c r="I2264" s="37" t="s">
        <v>229</v>
      </c>
    </row>
    <row r="2265" ht="15.75" hidden="1" customHeight="1">
      <c r="A2265" s="38">
        <v>5804442.0</v>
      </c>
      <c r="B2265" s="39" t="s">
        <v>813</v>
      </c>
      <c r="C2265" s="39" t="s">
        <v>4960</v>
      </c>
      <c r="D2265" s="39" t="s">
        <v>224</v>
      </c>
      <c r="E2265" s="39" t="s">
        <v>815</v>
      </c>
      <c r="F2265" s="39" t="s">
        <v>679</v>
      </c>
      <c r="G2265" s="39" t="s">
        <v>301</v>
      </c>
      <c r="H2265" s="39" t="s">
        <v>4961</v>
      </c>
      <c r="I2265" s="39" t="s">
        <v>229</v>
      </c>
    </row>
    <row r="2266" ht="15.75" hidden="1" customHeight="1">
      <c r="A2266" s="36">
        <v>5842418.0</v>
      </c>
      <c r="B2266" s="37" t="s">
        <v>316</v>
      </c>
      <c r="C2266" s="37" t="s">
        <v>4962</v>
      </c>
      <c r="D2266" s="37" t="s">
        <v>224</v>
      </c>
      <c r="E2266" s="37" t="s">
        <v>761</v>
      </c>
      <c r="F2266" s="37" t="s">
        <v>293</v>
      </c>
      <c r="G2266" s="37" t="s">
        <v>319</v>
      </c>
      <c r="H2266" s="37" t="s">
        <v>4963</v>
      </c>
      <c r="I2266" s="37" t="s">
        <v>229</v>
      </c>
    </row>
    <row r="2267" ht="15.75" hidden="1" customHeight="1">
      <c r="A2267" s="38">
        <v>5691723.0</v>
      </c>
      <c r="B2267" s="39" t="s">
        <v>1363</v>
      </c>
      <c r="C2267" s="39" t="s">
        <v>4964</v>
      </c>
      <c r="D2267" s="39" t="s">
        <v>224</v>
      </c>
      <c r="E2267" s="39" t="s">
        <v>761</v>
      </c>
      <c r="F2267" s="39" t="s">
        <v>293</v>
      </c>
      <c r="G2267" s="39" t="s">
        <v>319</v>
      </c>
      <c r="H2267" s="39" t="s">
        <v>4965</v>
      </c>
      <c r="I2267" s="39" t="s">
        <v>229</v>
      </c>
    </row>
    <row r="2268" ht="15.75" hidden="1" customHeight="1">
      <c r="A2268" s="36">
        <v>5804446.0</v>
      </c>
      <c r="B2268" s="37" t="s">
        <v>289</v>
      </c>
      <c r="C2268" s="37" t="s">
        <v>4966</v>
      </c>
      <c r="D2268" s="37" t="s">
        <v>224</v>
      </c>
      <c r="E2268" s="37" t="s">
        <v>1048</v>
      </c>
      <c r="F2268" s="37" t="s">
        <v>292</v>
      </c>
      <c r="G2268" s="37" t="s">
        <v>293</v>
      </c>
      <c r="H2268" s="37" t="s">
        <v>4967</v>
      </c>
      <c r="I2268" s="37" t="s">
        <v>229</v>
      </c>
    </row>
    <row r="2269" ht="15.75" hidden="1" customHeight="1">
      <c r="A2269" s="38">
        <v>5926460.0</v>
      </c>
      <c r="B2269" s="39" t="s">
        <v>1363</v>
      </c>
      <c r="C2269" s="39" t="s">
        <v>4968</v>
      </c>
      <c r="D2269" s="39" t="s">
        <v>224</v>
      </c>
      <c r="E2269" s="39" t="s">
        <v>761</v>
      </c>
      <c r="F2269" s="39" t="s">
        <v>293</v>
      </c>
      <c r="G2269" s="39" t="s">
        <v>319</v>
      </c>
      <c r="H2269" s="39" t="s">
        <v>4969</v>
      </c>
      <c r="I2269" s="39" t="s">
        <v>229</v>
      </c>
    </row>
    <row r="2270" ht="15.75" hidden="1" customHeight="1">
      <c r="A2270" s="36">
        <v>5804448.0</v>
      </c>
      <c r="B2270" s="37" t="s">
        <v>289</v>
      </c>
      <c r="C2270" s="37" t="s">
        <v>4970</v>
      </c>
      <c r="D2270" s="37" t="s">
        <v>224</v>
      </c>
      <c r="E2270" s="37" t="s">
        <v>1048</v>
      </c>
      <c r="F2270" s="37" t="s">
        <v>292</v>
      </c>
      <c r="G2270" s="37" t="s">
        <v>293</v>
      </c>
      <c r="H2270" s="37" t="s">
        <v>4971</v>
      </c>
      <c r="I2270" s="37" t="s">
        <v>229</v>
      </c>
    </row>
    <row r="2271" ht="15.75" hidden="1" customHeight="1">
      <c r="A2271" s="38">
        <v>4734504.0</v>
      </c>
      <c r="B2271" s="39" t="s">
        <v>1363</v>
      </c>
      <c r="C2271" s="39" t="s">
        <v>4972</v>
      </c>
      <c r="D2271" s="39" t="s">
        <v>224</v>
      </c>
      <c r="E2271" s="39" t="s">
        <v>761</v>
      </c>
      <c r="F2271" s="39" t="s">
        <v>293</v>
      </c>
      <c r="G2271" s="39" t="s">
        <v>319</v>
      </c>
      <c r="H2271" s="39" t="s">
        <v>4973</v>
      </c>
      <c r="I2271" s="39" t="s">
        <v>229</v>
      </c>
    </row>
    <row r="2272" ht="15.75" hidden="1" customHeight="1">
      <c r="A2272" s="36">
        <v>5804487.0</v>
      </c>
      <c r="B2272" s="37" t="s">
        <v>847</v>
      </c>
      <c r="C2272" s="37" t="s">
        <v>4974</v>
      </c>
      <c r="D2272" s="37" t="s">
        <v>224</v>
      </c>
      <c r="E2272" s="37" t="s">
        <v>1418</v>
      </c>
      <c r="F2272" s="37" t="s">
        <v>333</v>
      </c>
      <c r="G2272" s="37" t="s">
        <v>301</v>
      </c>
      <c r="H2272" s="37" t="s">
        <v>4975</v>
      </c>
      <c r="I2272" s="37" t="s">
        <v>229</v>
      </c>
    </row>
    <row r="2273" ht="15.75" hidden="1" customHeight="1">
      <c r="A2273" s="38">
        <v>5618617.0</v>
      </c>
      <c r="B2273" s="39" t="s">
        <v>316</v>
      </c>
      <c r="C2273" s="39" t="s">
        <v>4976</v>
      </c>
      <c r="D2273" s="39" t="s">
        <v>224</v>
      </c>
      <c r="E2273" s="39" t="s">
        <v>761</v>
      </c>
      <c r="F2273" s="39" t="s">
        <v>293</v>
      </c>
      <c r="G2273" s="39" t="s">
        <v>319</v>
      </c>
      <c r="H2273" s="39" t="s">
        <v>4977</v>
      </c>
      <c r="I2273" s="39" t="s">
        <v>229</v>
      </c>
    </row>
    <row r="2274" ht="15.75" hidden="1" customHeight="1">
      <c r="A2274" s="36">
        <v>5804488.0</v>
      </c>
      <c r="B2274" s="37" t="s">
        <v>289</v>
      </c>
      <c r="C2274" s="37" t="s">
        <v>4978</v>
      </c>
      <c r="D2274" s="37" t="s">
        <v>224</v>
      </c>
      <c r="E2274" s="37" t="s">
        <v>1048</v>
      </c>
      <c r="F2274" s="37" t="s">
        <v>292</v>
      </c>
      <c r="G2274" s="37" t="s">
        <v>293</v>
      </c>
      <c r="H2274" s="37" t="s">
        <v>4979</v>
      </c>
      <c r="I2274" s="37" t="s">
        <v>229</v>
      </c>
    </row>
    <row r="2275" ht="15.75" hidden="1" customHeight="1">
      <c r="A2275" s="38">
        <v>5778673.0</v>
      </c>
      <c r="B2275" s="39" t="s">
        <v>316</v>
      </c>
      <c r="C2275" s="39" t="s">
        <v>4980</v>
      </c>
      <c r="D2275" s="39" t="s">
        <v>224</v>
      </c>
      <c r="E2275" s="39" t="s">
        <v>761</v>
      </c>
      <c r="F2275" s="39" t="s">
        <v>293</v>
      </c>
      <c r="G2275" s="39" t="s">
        <v>319</v>
      </c>
      <c r="H2275" s="39" t="s">
        <v>4981</v>
      </c>
      <c r="I2275" s="39" t="s">
        <v>229</v>
      </c>
    </row>
    <row r="2276" ht="15.75" hidden="1" customHeight="1">
      <c r="A2276" s="36">
        <v>5804535.0</v>
      </c>
      <c r="B2276" s="37" t="s">
        <v>323</v>
      </c>
      <c r="C2276" s="37" t="s">
        <v>4982</v>
      </c>
      <c r="D2276" s="37" t="s">
        <v>224</v>
      </c>
      <c r="E2276" s="37" t="s">
        <v>583</v>
      </c>
      <c r="F2276" s="37" t="s">
        <v>326</v>
      </c>
      <c r="G2276" s="37" t="s">
        <v>327</v>
      </c>
      <c r="H2276" s="37" t="s">
        <v>4983</v>
      </c>
      <c r="I2276" s="37" t="s">
        <v>229</v>
      </c>
    </row>
    <row r="2277" ht="15.75" hidden="1" customHeight="1">
      <c r="A2277" s="38">
        <v>5804612.0</v>
      </c>
      <c r="B2277" s="39" t="s">
        <v>222</v>
      </c>
      <c r="C2277" s="39" t="s">
        <v>4984</v>
      </c>
      <c r="D2277" s="39" t="s">
        <v>224</v>
      </c>
      <c r="E2277" s="39" t="s">
        <v>1127</v>
      </c>
      <c r="F2277" s="39" t="s">
        <v>226</v>
      </c>
      <c r="G2277" s="39" t="s">
        <v>227</v>
      </c>
      <c r="H2277" s="39" t="s">
        <v>4985</v>
      </c>
      <c r="I2277" s="39" t="s">
        <v>229</v>
      </c>
    </row>
    <row r="2278" ht="15.75" hidden="1" customHeight="1">
      <c r="A2278" s="36">
        <v>5846022.0</v>
      </c>
      <c r="B2278" s="37" t="s">
        <v>331</v>
      </c>
      <c r="C2278" s="37" t="s">
        <v>4986</v>
      </c>
      <c r="D2278" s="37" t="s">
        <v>331</v>
      </c>
      <c r="E2278" s="37" t="s">
        <v>1523</v>
      </c>
      <c r="F2278" s="37" t="s">
        <v>1524</v>
      </c>
      <c r="G2278" s="37" t="s">
        <v>1525</v>
      </c>
      <c r="H2278" s="37" t="s">
        <v>4987</v>
      </c>
      <c r="I2278" s="37" t="s">
        <v>229</v>
      </c>
    </row>
    <row r="2279" ht="15.75" hidden="1" customHeight="1">
      <c r="A2279" s="38">
        <v>5806437.0</v>
      </c>
      <c r="B2279" s="39" t="s">
        <v>1932</v>
      </c>
      <c r="C2279" s="39" t="s">
        <v>4988</v>
      </c>
      <c r="D2279" s="39" t="s">
        <v>224</v>
      </c>
      <c r="E2279" s="39" t="s">
        <v>2071</v>
      </c>
      <c r="F2279" s="39" t="s">
        <v>300</v>
      </c>
      <c r="G2279" s="39" t="s">
        <v>301</v>
      </c>
      <c r="H2279" s="39" t="s">
        <v>4989</v>
      </c>
      <c r="I2279" s="39" t="s">
        <v>229</v>
      </c>
    </row>
    <row r="2280" ht="15.75" hidden="1" customHeight="1">
      <c r="A2280" s="36">
        <v>5341994.0</v>
      </c>
      <c r="B2280" s="37" t="s">
        <v>1348</v>
      </c>
      <c r="C2280" s="37" t="s">
        <v>4990</v>
      </c>
      <c r="D2280" s="37" t="s">
        <v>234</v>
      </c>
      <c r="E2280" s="37" t="s">
        <v>1411</v>
      </c>
      <c r="F2280" s="37" t="s">
        <v>292</v>
      </c>
      <c r="G2280" s="37" t="s">
        <v>293</v>
      </c>
      <c r="H2280" s="37" t="s">
        <v>4991</v>
      </c>
      <c r="I2280" s="37" t="s">
        <v>229</v>
      </c>
    </row>
    <row r="2281" ht="15.75" hidden="1" customHeight="1">
      <c r="A2281" s="38">
        <v>5808847.0</v>
      </c>
      <c r="B2281" s="39" t="s">
        <v>1695</v>
      </c>
      <c r="C2281" s="39" t="s">
        <v>4992</v>
      </c>
      <c r="D2281" s="39" t="s">
        <v>224</v>
      </c>
      <c r="E2281" s="39" t="s">
        <v>1697</v>
      </c>
      <c r="F2281" s="39" t="s">
        <v>698</v>
      </c>
      <c r="G2281" s="39" t="s">
        <v>541</v>
      </c>
      <c r="H2281" s="39" t="s">
        <v>4993</v>
      </c>
      <c r="I2281" s="39" t="s">
        <v>229</v>
      </c>
    </row>
    <row r="2282" ht="15.75" hidden="1" customHeight="1">
      <c r="A2282" s="36">
        <v>5899646.0</v>
      </c>
      <c r="B2282" s="37" t="s">
        <v>800</v>
      </c>
      <c r="C2282" s="37" t="s">
        <v>4994</v>
      </c>
      <c r="D2282" s="37" t="s">
        <v>224</v>
      </c>
      <c r="E2282" s="37" t="s">
        <v>802</v>
      </c>
      <c r="F2282" s="37" t="s">
        <v>333</v>
      </c>
      <c r="G2282" s="37" t="s">
        <v>301</v>
      </c>
      <c r="H2282" s="37" t="s">
        <v>4995</v>
      </c>
      <c r="I2282" s="37" t="s">
        <v>229</v>
      </c>
    </row>
    <row r="2283" ht="15.75" hidden="1" customHeight="1">
      <c r="A2283" s="38">
        <v>5806532.0</v>
      </c>
      <c r="B2283" s="39" t="s">
        <v>4119</v>
      </c>
      <c r="C2283" s="39" t="s">
        <v>4996</v>
      </c>
      <c r="D2283" s="39" t="s">
        <v>224</v>
      </c>
      <c r="E2283" s="39" t="s">
        <v>875</v>
      </c>
      <c r="F2283" s="39" t="s">
        <v>312</v>
      </c>
      <c r="G2283" s="39" t="s">
        <v>258</v>
      </c>
      <c r="H2283" s="39" t="s">
        <v>4997</v>
      </c>
      <c r="I2283" s="39" t="s">
        <v>260</v>
      </c>
    </row>
    <row r="2284" ht="15.75" hidden="1" customHeight="1">
      <c r="A2284" s="36">
        <v>5808860.0</v>
      </c>
      <c r="B2284" s="37" t="s">
        <v>695</v>
      </c>
      <c r="C2284" s="37" t="s">
        <v>4998</v>
      </c>
      <c r="D2284" s="37" t="s">
        <v>224</v>
      </c>
      <c r="E2284" s="37" t="s">
        <v>1697</v>
      </c>
      <c r="F2284" s="37" t="s">
        <v>698</v>
      </c>
      <c r="G2284" s="37" t="s">
        <v>541</v>
      </c>
      <c r="H2284" s="37" t="s">
        <v>4999</v>
      </c>
      <c r="I2284" s="37" t="s">
        <v>229</v>
      </c>
    </row>
    <row r="2285" ht="15.75" hidden="1" customHeight="1">
      <c r="A2285" s="38">
        <v>5809824.0</v>
      </c>
      <c r="B2285" s="39" t="s">
        <v>425</v>
      </c>
      <c r="C2285" s="39" t="s">
        <v>5000</v>
      </c>
      <c r="D2285" s="39" t="s">
        <v>224</v>
      </c>
      <c r="E2285" s="39" t="s">
        <v>1391</v>
      </c>
      <c r="F2285" s="39" t="s">
        <v>312</v>
      </c>
      <c r="G2285" s="37" t="s">
        <v>3</v>
      </c>
      <c r="H2285" s="39" t="s">
        <v>5001</v>
      </c>
      <c r="I2285" s="39" t="s">
        <v>260</v>
      </c>
    </row>
    <row r="2286" ht="15.75" hidden="1" customHeight="1">
      <c r="A2286" s="36">
        <v>5812835.0</v>
      </c>
      <c r="B2286" s="37" t="s">
        <v>738</v>
      </c>
      <c r="C2286" s="37" t="s">
        <v>5002</v>
      </c>
      <c r="D2286" s="37" t="s">
        <v>224</v>
      </c>
      <c r="E2286" s="37" t="s">
        <v>1510</v>
      </c>
      <c r="F2286" s="37" t="s">
        <v>533</v>
      </c>
      <c r="G2286" s="37" t="s">
        <v>250</v>
      </c>
      <c r="H2286" s="37" t="s">
        <v>5003</v>
      </c>
      <c r="I2286" s="37" t="s">
        <v>229</v>
      </c>
    </row>
    <row r="2287" ht="15.75" hidden="1" customHeight="1">
      <c r="A2287" s="38">
        <v>5533612.0</v>
      </c>
      <c r="B2287" s="39" t="s">
        <v>800</v>
      </c>
      <c r="C2287" s="39" t="s">
        <v>5004</v>
      </c>
      <c r="D2287" s="39" t="s">
        <v>224</v>
      </c>
      <c r="E2287" s="39" t="s">
        <v>802</v>
      </c>
      <c r="F2287" s="39" t="s">
        <v>333</v>
      </c>
      <c r="G2287" s="39" t="s">
        <v>301</v>
      </c>
      <c r="H2287" s="39" t="s">
        <v>5005</v>
      </c>
      <c r="I2287" s="39" t="s">
        <v>229</v>
      </c>
    </row>
    <row r="2288" ht="15.75" hidden="1" customHeight="1">
      <c r="A2288" s="36">
        <v>5878422.0</v>
      </c>
      <c r="B2288" s="37" t="s">
        <v>800</v>
      </c>
      <c r="C2288" s="37" t="s">
        <v>5006</v>
      </c>
      <c r="D2288" s="37" t="s">
        <v>224</v>
      </c>
      <c r="E2288" s="37" t="s">
        <v>802</v>
      </c>
      <c r="F2288" s="37" t="s">
        <v>333</v>
      </c>
      <c r="G2288" s="37" t="s">
        <v>301</v>
      </c>
      <c r="H2288" s="37" t="s">
        <v>5007</v>
      </c>
      <c r="I2288" s="37" t="s">
        <v>229</v>
      </c>
    </row>
    <row r="2289" ht="15.75" hidden="1" customHeight="1">
      <c r="A2289" s="38">
        <v>4979179.0</v>
      </c>
      <c r="B2289" s="39" t="s">
        <v>222</v>
      </c>
      <c r="C2289" s="39" t="s">
        <v>5008</v>
      </c>
      <c r="D2289" s="39" t="s">
        <v>224</v>
      </c>
      <c r="E2289" s="39" t="s">
        <v>1127</v>
      </c>
      <c r="F2289" s="39" t="s">
        <v>226</v>
      </c>
      <c r="G2289" s="39" t="s">
        <v>227</v>
      </c>
      <c r="H2289" s="39" t="s">
        <v>5009</v>
      </c>
      <c r="I2289" s="39" t="s">
        <v>229</v>
      </c>
    </row>
    <row r="2290" ht="15.75" hidden="1" customHeight="1">
      <c r="A2290" s="36">
        <v>5898229.0</v>
      </c>
      <c r="B2290" s="37" t="s">
        <v>800</v>
      </c>
      <c r="C2290" s="37" t="s">
        <v>5010</v>
      </c>
      <c r="D2290" s="37" t="s">
        <v>224</v>
      </c>
      <c r="E2290" s="37" t="s">
        <v>802</v>
      </c>
      <c r="F2290" s="37" t="s">
        <v>333</v>
      </c>
      <c r="G2290" s="37" t="s">
        <v>301</v>
      </c>
      <c r="H2290" s="37" t="s">
        <v>5011</v>
      </c>
      <c r="I2290" s="37" t="s">
        <v>229</v>
      </c>
    </row>
    <row r="2291" ht="15.75" hidden="1" customHeight="1">
      <c r="A2291" s="38">
        <v>5827739.0</v>
      </c>
      <c r="B2291" s="39" t="s">
        <v>222</v>
      </c>
      <c r="C2291" s="39" t="s">
        <v>5012</v>
      </c>
      <c r="D2291" s="39" t="s">
        <v>224</v>
      </c>
      <c r="E2291" s="39" t="s">
        <v>1127</v>
      </c>
      <c r="F2291" s="39" t="s">
        <v>226</v>
      </c>
      <c r="G2291" s="39" t="s">
        <v>227</v>
      </c>
      <c r="H2291" s="39" t="s">
        <v>5013</v>
      </c>
      <c r="I2291" s="39" t="s">
        <v>229</v>
      </c>
    </row>
    <row r="2292" ht="15.75" hidden="1" customHeight="1">
      <c r="A2292" s="36">
        <v>3174965.0</v>
      </c>
      <c r="B2292" s="37" t="s">
        <v>361</v>
      </c>
      <c r="C2292" s="37" t="s">
        <v>5014</v>
      </c>
      <c r="D2292" s="37" t="s">
        <v>224</v>
      </c>
      <c r="E2292" s="37" t="s">
        <v>311</v>
      </c>
      <c r="F2292" s="37" t="s">
        <v>312</v>
      </c>
      <c r="G2292" s="37" t="s">
        <v>258</v>
      </c>
      <c r="H2292" s="37" t="s">
        <v>5015</v>
      </c>
      <c r="I2292" s="37" t="s">
        <v>260</v>
      </c>
    </row>
    <row r="2293" ht="15.75" hidden="1" customHeight="1">
      <c r="A2293" s="38">
        <v>5827740.0</v>
      </c>
      <c r="B2293" s="39" t="s">
        <v>841</v>
      </c>
      <c r="C2293" s="39" t="s">
        <v>5016</v>
      </c>
      <c r="D2293" s="39" t="s">
        <v>224</v>
      </c>
      <c r="E2293" s="39" t="s">
        <v>843</v>
      </c>
      <c r="F2293" s="39" t="s">
        <v>242</v>
      </c>
      <c r="G2293" s="39" t="s">
        <v>227</v>
      </c>
      <c r="H2293" s="39" t="s">
        <v>5017</v>
      </c>
      <c r="I2293" s="39" t="s">
        <v>229</v>
      </c>
    </row>
    <row r="2294" ht="15.75" hidden="1" customHeight="1">
      <c r="A2294" s="36">
        <v>5827790.0</v>
      </c>
      <c r="B2294" s="37" t="s">
        <v>416</v>
      </c>
      <c r="C2294" s="37" t="s">
        <v>5018</v>
      </c>
      <c r="D2294" s="37" t="s">
        <v>269</v>
      </c>
      <c r="E2294" s="37" t="s">
        <v>2522</v>
      </c>
      <c r="F2294" s="37" t="s">
        <v>421</v>
      </c>
      <c r="G2294" s="37" t="s">
        <v>227</v>
      </c>
      <c r="H2294" s="37" t="s">
        <v>5019</v>
      </c>
      <c r="I2294" s="37" t="s">
        <v>260</v>
      </c>
    </row>
    <row r="2295" ht="15.75" hidden="1" customHeight="1">
      <c r="A2295" s="38">
        <v>6038855.0</v>
      </c>
      <c r="B2295" s="39" t="s">
        <v>4119</v>
      </c>
      <c r="C2295" s="39" t="s">
        <v>5020</v>
      </c>
      <c r="D2295" s="39" t="s">
        <v>224</v>
      </c>
      <c r="E2295" s="39" t="s">
        <v>311</v>
      </c>
      <c r="F2295" s="39" t="s">
        <v>312</v>
      </c>
      <c r="G2295" s="39" t="s">
        <v>258</v>
      </c>
      <c r="H2295" s="39" t="s">
        <v>5021</v>
      </c>
      <c r="I2295" s="39" t="s">
        <v>260</v>
      </c>
    </row>
    <row r="2296" ht="15.75" hidden="1" customHeight="1">
      <c r="A2296" s="36">
        <v>5830938.0</v>
      </c>
      <c r="B2296" s="37" t="s">
        <v>416</v>
      </c>
      <c r="C2296" s="37" t="s">
        <v>5022</v>
      </c>
      <c r="D2296" s="37" t="s">
        <v>224</v>
      </c>
      <c r="E2296" s="37" t="s">
        <v>2522</v>
      </c>
      <c r="F2296" s="37" t="s">
        <v>421</v>
      </c>
      <c r="G2296" s="37" t="s">
        <v>227</v>
      </c>
      <c r="H2296" s="37" t="s">
        <v>5023</v>
      </c>
      <c r="I2296" s="37" t="s">
        <v>260</v>
      </c>
    </row>
    <row r="2297" ht="15.75" hidden="1" customHeight="1">
      <c r="A2297" s="38">
        <v>5698076.0</v>
      </c>
      <c r="B2297" s="39" t="s">
        <v>361</v>
      </c>
      <c r="C2297" s="39" t="s">
        <v>5024</v>
      </c>
      <c r="D2297" s="39" t="s">
        <v>224</v>
      </c>
      <c r="E2297" s="39" t="s">
        <v>311</v>
      </c>
      <c r="F2297" s="39" t="s">
        <v>312</v>
      </c>
      <c r="G2297" s="39" t="s">
        <v>258</v>
      </c>
      <c r="H2297" s="39" t="s">
        <v>5025</v>
      </c>
      <c r="I2297" s="39" t="s">
        <v>260</v>
      </c>
    </row>
    <row r="2298" ht="15.75" hidden="1" customHeight="1">
      <c r="A2298" s="36">
        <v>5846156.0</v>
      </c>
      <c r="B2298" s="37" t="s">
        <v>361</v>
      </c>
      <c r="C2298" s="37" t="s">
        <v>5026</v>
      </c>
      <c r="D2298" s="37" t="s">
        <v>224</v>
      </c>
      <c r="E2298" s="37" t="s">
        <v>311</v>
      </c>
      <c r="F2298" s="37" t="s">
        <v>312</v>
      </c>
      <c r="G2298" s="37" t="s">
        <v>258</v>
      </c>
      <c r="H2298" s="37" t="s">
        <v>5027</v>
      </c>
      <c r="I2298" s="37" t="s">
        <v>260</v>
      </c>
    </row>
    <row r="2299" ht="15.75" hidden="1" customHeight="1">
      <c r="A2299" s="38">
        <v>5834135.0</v>
      </c>
      <c r="B2299" s="39" t="s">
        <v>120</v>
      </c>
      <c r="C2299" s="39" t="s">
        <v>5028</v>
      </c>
      <c r="D2299" s="39" t="s">
        <v>224</v>
      </c>
      <c r="E2299" s="39" t="s">
        <v>868</v>
      </c>
      <c r="F2299" s="39" t="s">
        <v>644</v>
      </c>
      <c r="G2299" s="39" t="s">
        <v>3</v>
      </c>
      <c r="H2299" s="39" t="s">
        <v>5029</v>
      </c>
      <c r="I2299" s="39" t="s">
        <v>260</v>
      </c>
      <c r="J2299" s="1">
        <v>42.0</v>
      </c>
      <c r="L2299" s="40" t="s">
        <v>120</v>
      </c>
    </row>
    <row r="2300" ht="15.75" hidden="1" customHeight="1">
      <c r="A2300" s="36">
        <v>6038883.0</v>
      </c>
      <c r="B2300" s="37" t="s">
        <v>4119</v>
      </c>
      <c r="C2300" s="37" t="s">
        <v>5030</v>
      </c>
      <c r="D2300" s="37" t="s">
        <v>224</v>
      </c>
      <c r="E2300" s="37" t="s">
        <v>311</v>
      </c>
      <c r="F2300" s="37" t="s">
        <v>312</v>
      </c>
      <c r="G2300" s="37" t="s">
        <v>258</v>
      </c>
      <c r="H2300" s="37" t="s">
        <v>5031</v>
      </c>
      <c r="I2300" s="37" t="s">
        <v>260</v>
      </c>
    </row>
    <row r="2301" ht="15.75" hidden="1" customHeight="1">
      <c r="A2301" s="38">
        <v>5564257.0</v>
      </c>
      <c r="B2301" s="39" t="s">
        <v>1932</v>
      </c>
      <c r="C2301" s="39" t="s">
        <v>5032</v>
      </c>
      <c r="D2301" s="39" t="s">
        <v>224</v>
      </c>
      <c r="E2301" s="39" t="s">
        <v>2071</v>
      </c>
      <c r="F2301" s="39" t="s">
        <v>300</v>
      </c>
      <c r="G2301" s="39" t="s">
        <v>301</v>
      </c>
      <c r="H2301" s="39" t="s">
        <v>5033</v>
      </c>
      <c r="I2301" s="39" t="s">
        <v>229</v>
      </c>
    </row>
    <row r="2302" ht="15.75" hidden="1" customHeight="1">
      <c r="A2302" s="36">
        <v>5929852.0</v>
      </c>
      <c r="B2302" s="37" t="s">
        <v>323</v>
      </c>
      <c r="C2302" s="37" t="s">
        <v>5034</v>
      </c>
      <c r="D2302" s="37" t="s">
        <v>224</v>
      </c>
      <c r="E2302" s="37" t="s">
        <v>583</v>
      </c>
      <c r="F2302" s="37" t="s">
        <v>326</v>
      </c>
      <c r="G2302" s="37" t="s">
        <v>327</v>
      </c>
      <c r="H2302" s="37" t="s">
        <v>5035</v>
      </c>
      <c r="I2302" s="37" t="s">
        <v>229</v>
      </c>
    </row>
    <row r="2303" ht="15.75" hidden="1" customHeight="1">
      <c r="A2303" s="38">
        <v>5564254.0</v>
      </c>
      <c r="B2303" s="39" t="s">
        <v>835</v>
      </c>
      <c r="C2303" s="39" t="s">
        <v>5036</v>
      </c>
      <c r="D2303" s="39" t="s">
        <v>224</v>
      </c>
      <c r="E2303" s="39" t="s">
        <v>837</v>
      </c>
      <c r="F2303" s="39" t="s">
        <v>377</v>
      </c>
      <c r="G2303" s="39" t="s">
        <v>327</v>
      </c>
      <c r="H2303" s="39" t="s">
        <v>5037</v>
      </c>
      <c r="I2303" s="39" t="s">
        <v>229</v>
      </c>
    </row>
    <row r="2304" ht="15.75" hidden="1" customHeight="1">
      <c r="A2304" s="36">
        <v>5285097.0</v>
      </c>
      <c r="B2304" s="37" t="s">
        <v>323</v>
      </c>
      <c r="C2304" s="37" t="s">
        <v>5038</v>
      </c>
      <c r="D2304" s="37" t="s">
        <v>224</v>
      </c>
      <c r="E2304" s="37" t="s">
        <v>583</v>
      </c>
      <c r="F2304" s="37" t="s">
        <v>326</v>
      </c>
      <c r="G2304" s="37" t="s">
        <v>327</v>
      </c>
      <c r="H2304" s="37" t="s">
        <v>5039</v>
      </c>
      <c r="I2304" s="37" t="s">
        <v>229</v>
      </c>
    </row>
    <row r="2305" ht="15.75" hidden="1" customHeight="1">
      <c r="A2305" s="38">
        <v>5834647.0</v>
      </c>
      <c r="B2305" s="39" t="s">
        <v>425</v>
      </c>
      <c r="C2305" s="39" t="s">
        <v>5040</v>
      </c>
      <c r="D2305" s="39" t="s">
        <v>224</v>
      </c>
      <c r="E2305" s="39" t="s">
        <v>1391</v>
      </c>
      <c r="F2305" s="39" t="s">
        <v>312</v>
      </c>
      <c r="G2305" s="37" t="s">
        <v>3</v>
      </c>
      <c r="H2305" s="39" t="s">
        <v>5041</v>
      </c>
      <c r="I2305" s="39" t="s">
        <v>260</v>
      </c>
    </row>
    <row r="2306" ht="15.75" hidden="1" customHeight="1">
      <c r="A2306" s="36">
        <v>5835435.0</v>
      </c>
      <c r="B2306" s="37" t="s">
        <v>120</v>
      </c>
      <c r="C2306" s="37" t="s">
        <v>5042</v>
      </c>
      <c r="D2306" s="37" t="s">
        <v>224</v>
      </c>
      <c r="E2306" s="37" t="s">
        <v>868</v>
      </c>
      <c r="F2306" s="37" t="s">
        <v>644</v>
      </c>
      <c r="G2306" s="37" t="s">
        <v>3</v>
      </c>
      <c r="H2306" s="37" t="s">
        <v>5043</v>
      </c>
      <c r="I2306" s="37" t="s">
        <v>260</v>
      </c>
      <c r="J2306" s="1">
        <v>42.0</v>
      </c>
      <c r="L2306" s="40" t="s">
        <v>120</v>
      </c>
    </row>
    <row r="2307" ht="15.75" hidden="1" customHeight="1">
      <c r="A2307" s="38">
        <v>5867464.0</v>
      </c>
      <c r="B2307" s="39" t="s">
        <v>323</v>
      </c>
      <c r="C2307" s="39" t="s">
        <v>5044</v>
      </c>
      <c r="D2307" s="39" t="s">
        <v>224</v>
      </c>
      <c r="E2307" s="39" t="s">
        <v>583</v>
      </c>
      <c r="F2307" s="39" t="s">
        <v>326</v>
      </c>
      <c r="G2307" s="39" t="s">
        <v>327</v>
      </c>
      <c r="H2307" s="39" t="s">
        <v>5045</v>
      </c>
      <c r="I2307" s="39" t="s">
        <v>229</v>
      </c>
    </row>
    <row r="2308" ht="15.75" hidden="1" customHeight="1">
      <c r="A2308" s="36">
        <v>5834642.0</v>
      </c>
      <c r="B2308" s="37" t="s">
        <v>120</v>
      </c>
      <c r="C2308" s="37" t="s">
        <v>5046</v>
      </c>
      <c r="D2308" s="37" t="s">
        <v>224</v>
      </c>
      <c r="E2308" s="37" t="s">
        <v>868</v>
      </c>
      <c r="F2308" s="37" t="s">
        <v>644</v>
      </c>
      <c r="G2308" s="37" t="s">
        <v>3</v>
      </c>
      <c r="H2308" s="37" t="s">
        <v>5047</v>
      </c>
      <c r="I2308" s="37" t="s">
        <v>260</v>
      </c>
      <c r="J2308" s="1">
        <v>42.0</v>
      </c>
      <c r="L2308" s="40" t="s">
        <v>120</v>
      </c>
    </row>
    <row r="2309" ht="15.75" hidden="1" customHeight="1">
      <c r="A2309" s="38">
        <v>5964111.0</v>
      </c>
      <c r="B2309" s="39" t="s">
        <v>323</v>
      </c>
      <c r="C2309" s="39" t="s">
        <v>5048</v>
      </c>
      <c r="D2309" s="39" t="s">
        <v>224</v>
      </c>
      <c r="E2309" s="39" t="s">
        <v>583</v>
      </c>
      <c r="F2309" s="39" t="s">
        <v>326</v>
      </c>
      <c r="G2309" s="39" t="s">
        <v>327</v>
      </c>
      <c r="H2309" s="39" t="s">
        <v>5049</v>
      </c>
      <c r="I2309" s="39" t="s">
        <v>229</v>
      </c>
    </row>
    <row r="2310" ht="15.75" hidden="1" customHeight="1">
      <c r="A2310" s="36">
        <v>5929867.0</v>
      </c>
      <c r="B2310" s="37" t="s">
        <v>323</v>
      </c>
      <c r="C2310" s="37" t="s">
        <v>5050</v>
      </c>
      <c r="D2310" s="37" t="s">
        <v>224</v>
      </c>
      <c r="E2310" s="37" t="s">
        <v>583</v>
      </c>
      <c r="F2310" s="37" t="s">
        <v>326</v>
      </c>
      <c r="G2310" s="37" t="s">
        <v>327</v>
      </c>
      <c r="H2310" s="37" t="s">
        <v>5051</v>
      </c>
      <c r="I2310" s="37" t="s">
        <v>229</v>
      </c>
    </row>
    <row r="2311" ht="15.75" hidden="1" customHeight="1">
      <c r="A2311" s="38">
        <v>4798978.0</v>
      </c>
      <c r="B2311" s="39" t="s">
        <v>478</v>
      </c>
      <c r="C2311" s="39" t="s">
        <v>5052</v>
      </c>
      <c r="D2311" s="39" t="s">
        <v>224</v>
      </c>
      <c r="E2311" s="39" t="s">
        <v>480</v>
      </c>
      <c r="F2311" s="39" t="s">
        <v>481</v>
      </c>
      <c r="G2311" s="39" t="s">
        <v>293</v>
      </c>
      <c r="H2311" s="39" t="s">
        <v>5053</v>
      </c>
      <c r="I2311" s="39" t="s">
        <v>229</v>
      </c>
    </row>
    <row r="2312" ht="15.75" hidden="1" customHeight="1">
      <c r="A2312" s="36">
        <v>5931582.0</v>
      </c>
      <c r="B2312" s="37" t="s">
        <v>323</v>
      </c>
      <c r="C2312" s="37" t="s">
        <v>5054</v>
      </c>
      <c r="D2312" s="37" t="s">
        <v>224</v>
      </c>
      <c r="E2312" s="37" t="s">
        <v>583</v>
      </c>
      <c r="F2312" s="37" t="s">
        <v>326</v>
      </c>
      <c r="G2312" s="37" t="s">
        <v>327</v>
      </c>
      <c r="H2312" s="37" t="s">
        <v>5055</v>
      </c>
      <c r="I2312" s="37" t="s">
        <v>229</v>
      </c>
    </row>
    <row r="2313" ht="15.75" hidden="1" customHeight="1">
      <c r="A2313" s="38">
        <v>5846032.0</v>
      </c>
      <c r="B2313" s="39" t="s">
        <v>323</v>
      </c>
      <c r="C2313" s="39" t="s">
        <v>5056</v>
      </c>
      <c r="D2313" s="39" t="s">
        <v>224</v>
      </c>
      <c r="E2313" s="39" t="s">
        <v>583</v>
      </c>
      <c r="F2313" s="39" t="s">
        <v>326</v>
      </c>
      <c r="G2313" s="39" t="s">
        <v>327</v>
      </c>
      <c r="H2313" s="39" t="s">
        <v>5057</v>
      </c>
      <c r="I2313" s="39" t="s">
        <v>229</v>
      </c>
    </row>
    <row r="2314" ht="15.75" hidden="1" customHeight="1">
      <c r="A2314" s="36">
        <v>5842669.0</v>
      </c>
      <c r="B2314" s="37" t="s">
        <v>316</v>
      </c>
      <c r="C2314" s="37" t="s">
        <v>5058</v>
      </c>
      <c r="D2314" s="37" t="s">
        <v>224</v>
      </c>
      <c r="E2314" s="37" t="s">
        <v>1773</v>
      </c>
      <c r="F2314" s="37" t="s">
        <v>293</v>
      </c>
      <c r="G2314" s="37" t="s">
        <v>319</v>
      </c>
      <c r="H2314" s="37" t="s">
        <v>5059</v>
      </c>
      <c r="I2314" s="37" t="s">
        <v>229</v>
      </c>
    </row>
    <row r="2315" ht="15.75" hidden="1" customHeight="1">
      <c r="A2315" s="38">
        <v>5842404.0</v>
      </c>
      <c r="B2315" s="39" t="s">
        <v>316</v>
      </c>
      <c r="C2315" s="39" t="s">
        <v>5060</v>
      </c>
      <c r="D2315" s="39" t="s">
        <v>224</v>
      </c>
      <c r="E2315" s="39" t="s">
        <v>1773</v>
      </c>
      <c r="F2315" s="39" t="s">
        <v>293</v>
      </c>
      <c r="G2315" s="39" t="s">
        <v>319</v>
      </c>
      <c r="H2315" s="39" t="s">
        <v>5061</v>
      </c>
      <c r="I2315" s="39" t="s">
        <v>229</v>
      </c>
    </row>
    <row r="2316" ht="15.75" hidden="1" customHeight="1">
      <c r="A2316" s="36">
        <v>5942476.0</v>
      </c>
      <c r="B2316" s="37" t="s">
        <v>323</v>
      </c>
      <c r="C2316" s="37" t="s">
        <v>5062</v>
      </c>
      <c r="D2316" s="37" t="s">
        <v>224</v>
      </c>
      <c r="E2316" s="37" t="s">
        <v>583</v>
      </c>
      <c r="F2316" s="37" t="s">
        <v>326</v>
      </c>
      <c r="G2316" s="37" t="s">
        <v>327</v>
      </c>
      <c r="H2316" s="37" t="s">
        <v>5063</v>
      </c>
      <c r="I2316" s="37" t="s">
        <v>229</v>
      </c>
    </row>
    <row r="2317" ht="15.75" hidden="1" customHeight="1">
      <c r="A2317" s="38">
        <v>5842677.0</v>
      </c>
      <c r="B2317" s="39" t="s">
        <v>316</v>
      </c>
      <c r="C2317" s="39" t="s">
        <v>5064</v>
      </c>
      <c r="D2317" s="39" t="s">
        <v>224</v>
      </c>
      <c r="E2317" s="39" t="s">
        <v>796</v>
      </c>
      <c r="F2317" s="39" t="s">
        <v>293</v>
      </c>
      <c r="G2317" s="39" t="s">
        <v>319</v>
      </c>
      <c r="H2317" s="39" t="s">
        <v>5065</v>
      </c>
      <c r="I2317" s="39" t="s">
        <v>229</v>
      </c>
    </row>
    <row r="2318" ht="15.75" hidden="1" customHeight="1">
      <c r="A2318" s="36">
        <v>5898227.0</v>
      </c>
      <c r="B2318" s="37" t="s">
        <v>323</v>
      </c>
      <c r="C2318" s="37" t="s">
        <v>5066</v>
      </c>
      <c r="D2318" s="37" t="s">
        <v>224</v>
      </c>
      <c r="E2318" s="37" t="s">
        <v>583</v>
      </c>
      <c r="F2318" s="37" t="s">
        <v>326</v>
      </c>
      <c r="G2318" s="37" t="s">
        <v>327</v>
      </c>
      <c r="H2318" s="37" t="s">
        <v>5067</v>
      </c>
      <c r="I2318" s="37" t="s">
        <v>229</v>
      </c>
    </row>
    <row r="2319" ht="15.75" hidden="1" customHeight="1">
      <c r="A2319" s="38">
        <v>5846030.0</v>
      </c>
      <c r="B2319" s="39" t="s">
        <v>323</v>
      </c>
      <c r="C2319" s="39" t="s">
        <v>5068</v>
      </c>
      <c r="D2319" s="39" t="s">
        <v>224</v>
      </c>
      <c r="E2319" s="39" t="s">
        <v>583</v>
      </c>
      <c r="F2319" s="39" t="s">
        <v>326</v>
      </c>
      <c r="G2319" s="39" t="s">
        <v>327</v>
      </c>
      <c r="H2319" s="39" t="s">
        <v>5069</v>
      </c>
      <c r="I2319" s="39" t="s">
        <v>229</v>
      </c>
    </row>
    <row r="2320" ht="15.75" hidden="1" customHeight="1">
      <c r="A2320" s="36">
        <v>5929618.0</v>
      </c>
      <c r="B2320" s="37" t="s">
        <v>323</v>
      </c>
      <c r="C2320" s="37" t="s">
        <v>5070</v>
      </c>
      <c r="D2320" s="37" t="s">
        <v>224</v>
      </c>
      <c r="E2320" s="37" t="s">
        <v>583</v>
      </c>
      <c r="F2320" s="37" t="s">
        <v>326</v>
      </c>
      <c r="G2320" s="37" t="s">
        <v>327</v>
      </c>
      <c r="H2320" s="37" t="s">
        <v>5071</v>
      </c>
      <c r="I2320" s="37" t="s">
        <v>229</v>
      </c>
    </row>
    <row r="2321" ht="15.75" hidden="1" customHeight="1">
      <c r="A2321" s="38">
        <v>5898249.0</v>
      </c>
      <c r="B2321" s="39" t="s">
        <v>323</v>
      </c>
      <c r="C2321" s="39" t="s">
        <v>5072</v>
      </c>
      <c r="D2321" s="39" t="s">
        <v>224</v>
      </c>
      <c r="E2321" s="39" t="s">
        <v>583</v>
      </c>
      <c r="F2321" s="39" t="s">
        <v>326</v>
      </c>
      <c r="G2321" s="39" t="s">
        <v>327</v>
      </c>
      <c r="H2321" s="39" t="s">
        <v>5073</v>
      </c>
      <c r="I2321" s="39" t="s">
        <v>229</v>
      </c>
    </row>
    <row r="2322" ht="15.75" hidden="1" customHeight="1">
      <c r="A2322" s="36">
        <v>5832033.0</v>
      </c>
      <c r="B2322" s="37" t="s">
        <v>425</v>
      </c>
      <c r="C2322" s="37" t="s">
        <v>5074</v>
      </c>
      <c r="D2322" s="37" t="s">
        <v>224</v>
      </c>
      <c r="E2322" s="37" t="s">
        <v>1391</v>
      </c>
      <c r="F2322" s="37" t="s">
        <v>312</v>
      </c>
      <c r="G2322" s="37" t="s">
        <v>3</v>
      </c>
      <c r="H2322" s="37" t="s">
        <v>5075</v>
      </c>
      <c r="I2322" s="37" t="s">
        <v>260</v>
      </c>
    </row>
    <row r="2323" ht="15.75" hidden="1" customHeight="1">
      <c r="A2323" s="38">
        <v>6028110.0</v>
      </c>
      <c r="B2323" s="39" t="s">
        <v>323</v>
      </c>
      <c r="C2323" s="39" t="s">
        <v>5076</v>
      </c>
      <c r="D2323" s="39" t="s">
        <v>224</v>
      </c>
      <c r="E2323" s="39" t="s">
        <v>583</v>
      </c>
      <c r="F2323" s="39" t="s">
        <v>326</v>
      </c>
      <c r="G2323" s="39" t="s">
        <v>327</v>
      </c>
      <c r="H2323" s="39" t="s">
        <v>5077</v>
      </c>
      <c r="I2323" s="39" t="s">
        <v>229</v>
      </c>
    </row>
    <row r="2324" ht="15.75" hidden="1" customHeight="1">
      <c r="A2324" s="36">
        <v>5948314.0</v>
      </c>
      <c r="B2324" s="37" t="s">
        <v>323</v>
      </c>
      <c r="C2324" s="37" t="s">
        <v>5078</v>
      </c>
      <c r="D2324" s="37" t="s">
        <v>224</v>
      </c>
      <c r="E2324" s="37" t="s">
        <v>583</v>
      </c>
      <c r="F2324" s="37" t="s">
        <v>326</v>
      </c>
      <c r="G2324" s="37" t="s">
        <v>327</v>
      </c>
      <c r="H2324" s="37" t="s">
        <v>5079</v>
      </c>
      <c r="I2324" s="37" t="s">
        <v>229</v>
      </c>
    </row>
    <row r="2325" ht="15.75" hidden="1" customHeight="1">
      <c r="A2325" s="38">
        <v>5899498.0</v>
      </c>
      <c r="B2325" s="39" t="s">
        <v>232</v>
      </c>
      <c r="C2325" s="39" t="s">
        <v>5080</v>
      </c>
      <c r="D2325" s="39" t="s">
        <v>224</v>
      </c>
      <c r="E2325" s="39" t="s">
        <v>790</v>
      </c>
      <c r="F2325" s="39" t="s">
        <v>226</v>
      </c>
      <c r="G2325" s="39" t="s">
        <v>227</v>
      </c>
      <c r="H2325" s="39" t="s">
        <v>5081</v>
      </c>
      <c r="I2325" s="39" t="s">
        <v>229</v>
      </c>
    </row>
    <row r="2326" ht="15.75" hidden="1" customHeight="1">
      <c r="A2326" s="36">
        <v>5900821.0</v>
      </c>
      <c r="B2326" s="37" t="s">
        <v>232</v>
      </c>
      <c r="C2326" s="37" t="s">
        <v>5082</v>
      </c>
      <c r="D2326" s="37" t="s">
        <v>224</v>
      </c>
      <c r="E2326" s="37" t="s">
        <v>790</v>
      </c>
      <c r="F2326" s="37" t="s">
        <v>226</v>
      </c>
      <c r="G2326" s="37" t="s">
        <v>227</v>
      </c>
      <c r="H2326" s="37" t="s">
        <v>5083</v>
      </c>
      <c r="I2326" s="37" t="s">
        <v>229</v>
      </c>
    </row>
    <row r="2327" ht="15.75" hidden="1" customHeight="1">
      <c r="A2327" s="38">
        <v>5847496.0</v>
      </c>
      <c r="B2327" s="39" t="s">
        <v>738</v>
      </c>
      <c r="C2327" s="39" t="s">
        <v>5084</v>
      </c>
      <c r="D2327" s="39" t="s">
        <v>224</v>
      </c>
      <c r="E2327" s="39" t="s">
        <v>2181</v>
      </c>
      <c r="F2327" s="39" t="s">
        <v>533</v>
      </c>
      <c r="G2327" s="39" t="s">
        <v>250</v>
      </c>
      <c r="H2327" s="39" t="s">
        <v>5085</v>
      </c>
      <c r="I2327" s="39" t="s">
        <v>229</v>
      </c>
    </row>
    <row r="2328" ht="15.75" hidden="1" customHeight="1">
      <c r="A2328" s="36">
        <v>5847506.0</v>
      </c>
      <c r="B2328" s="37" t="s">
        <v>738</v>
      </c>
      <c r="C2328" s="37" t="s">
        <v>5086</v>
      </c>
      <c r="D2328" s="37" t="s">
        <v>224</v>
      </c>
      <c r="E2328" s="37" t="s">
        <v>1458</v>
      </c>
      <c r="F2328" s="37" t="s">
        <v>533</v>
      </c>
      <c r="G2328" s="37" t="s">
        <v>250</v>
      </c>
      <c r="H2328" s="37" t="s">
        <v>5087</v>
      </c>
      <c r="I2328" s="37" t="s">
        <v>229</v>
      </c>
    </row>
    <row r="2329" ht="15.75" hidden="1" customHeight="1">
      <c r="A2329" s="38">
        <v>5847494.0</v>
      </c>
      <c r="B2329" s="39" t="s">
        <v>530</v>
      </c>
      <c r="C2329" s="39" t="s">
        <v>5088</v>
      </c>
      <c r="D2329" s="39" t="s">
        <v>224</v>
      </c>
      <c r="E2329" s="39" t="s">
        <v>1458</v>
      </c>
      <c r="F2329" s="39" t="s">
        <v>533</v>
      </c>
      <c r="G2329" s="39" t="s">
        <v>250</v>
      </c>
      <c r="H2329" s="39" t="s">
        <v>5089</v>
      </c>
      <c r="I2329" s="39" t="s">
        <v>229</v>
      </c>
    </row>
    <row r="2330" ht="15.75" hidden="1" customHeight="1">
      <c r="A2330" s="36">
        <v>5506626.0</v>
      </c>
      <c r="B2330" s="37" t="s">
        <v>316</v>
      </c>
      <c r="C2330" s="37" t="s">
        <v>5090</v>
      </c>
      <c r="D2330" s="37" t="s">
        <v>224</v>
      </c>
      <c r="E2330" s="37" t="s">
        <v>796</v>
      </c>
      <c r="F2330" s="37" t="s">
        <v>293</v>
      </c>
      <c r="G2330" s="37" t="s">
        <v>319</v>
      </c>
      <c r="H2330" s="37" t="s">
        <v>5091</v>
      </c>
      <c r="I2330" s="37" t="s">
        <v>229</v>
      </c>
    </row>
    <row r="2331" ht="15.75" hidden="1" customHeight="1">
      <c r="A2331" s="38">
        <v>5876901.0</v>
      </c>
      <c r="B2331" s="39" t="s">
        <v>316</v>
      </c>
      <c r="C2331" s="39" t="s">
        <v>5092</v>
      </c>
      <c r="D2331" s="39" t="s">
        <v>224</v>
      </c>
      <c r="E2331" s="39" t="s">
        <v>796</v>
      </c>
      <c r="F2331" s="39" t="s">
        <v>293</v>
      </c>
      <c r="G2331" s="39" t="s">
        <v>319</v>
      </c>
      <c r="H2331" s="39" t="s">
        <v>5093</v>
      </c>
      <c r="I2331" s="39" t="s">
        <v>229</v>
      </c>
    </row>
    <row r="2332" ht="15.75" hidden="1" customHeight="1">
      <c r="A2332" s="36">
        <v>5853941.0</v>
      </c>
      <c r="B2332" s="37" t="s">
        <v>738</v>
      </c>
      <c r="C2332" s="37" t="s">
        <v>5094</v>
      </c>
      <c r="D2332" s="37" t="s">
        <v>224</v>
      </c>
      <c r="E2332" s="37" t="s">
        <v>1458</v>
      </c>
      <c r="F2332" s="37" t="s">
        <v>533</v>
      </c>
      <c r="G2332" s="37" t="s">
        <v>250</v>
      </c>
      <c r="H2332" s="37" t="s">
        <v>5095</v>
      </c>
      <c r="I2332" s="37" t="s">
        <v>229</v>
      </c>
    </row>
    <row r="2333" ht="15.75" hidden="1" customHeight="1">
      <c r="A2333" s="38">
        <v>5853965.0</v>
      </c>
      <c r="B2333" s="39" t="s">
        <v>738</v>
      </c>
      <c r="C2333" s="39" t="s">
        <v>5096</v>
      </c>
      <c r="D2333" s="39" t="s">
        <v>224</v>
      </c>
      <c r="E2333" s="39" t="s">
        <v>2181</v>
      </c>
      <c r="F2333" s="39" t="s">
        <v>533</v>
      </c>
      <c r="G2333" s="39" t="s">
        <v>250</v>
      </c>
      <c r="H2333" s="39" t="s">
        <v>5097</v>
      </c>
      <c r="I2333" s="39" t="s">
        <v>229</v>
      </c>
    </row>
    <row r="2334" ht="15.75" hidden="1" customHeight="1">
      <c r="A2334" s="36">
        <v>5983627.0</v>
      </c>
      <c r="B2334" s="37" t="s">
        <v>478</v>
      </c>
      <c r="C2334" s="37" t="s">
        <v>5098</v>
      </c>
      <c r="D2334" s="37" t="s">
        <v>224</v>
      </c>
      <c r="E2334" s="37" t="s">
        <v>480</v>
      </c>
      <c r="F2334" s="37" t="s">
        <v>481</v>
      </c>
      <c r="G2334" s="37" t="s">
        <v>293</v>
      </c>
      <c r="H2334" s="37" t="s">
        <v>5099</v>
      </c>
      <c r="I2334" s="37" t="s">
        <v>229</v>
      </c>
    </row>
    <row r="2335" ht="15.75" hidden="1" customHeight="1">
      <c r="A2335" s="38">
        <v>5853968.0</v>
      </c>
      <c r="B2335" s="39" t="s">
        <v>738</v>
      </c>
      <c r="C2335" s="39" t="s">
        <v>5100</v>
      </c>
      <c r="D2335" s="39" t="s">
        <v>224</v>
      </c>
      <c r="E2335" s="39" t="s">
        <v>2181</v>
      </c>
      <c r="F2335" s="39" t="s">
        <v>533</v>
      </c>
      <c r="G2335" s="39" t="s">
        <v>250</v>
      </c>
      <c r="H2335" s="39" t="s">
        <v>5101</v>
      </c>
      <c r="I2335" s="39" t="s">
        <v>229</v>
      </c>
    </row>
    <row r="2336" ht="15.75" hidden="1" customHeight="1">
      <c r="A2336" s="36">
        <v>5854949.0</v>
      </c>
      <c r="B2336" s="37" t="s">
        <v>738</v>
      </c>
      <c r="C2336" s="37" t="s">
        <v>5102</v>
      </c>
      <c r="D2336" s="37" t="s">
        <v>224</v>
      </c>
      <c r="E2336" s="37" t="s">
        <v>1458</v>
      </c>
      <c r="F2336" s="37" t="s">
        <v>533</v>
      </c>
      <c r="G2336" s="37" t="s">
        <v>250</v>
      </c>
      <c r="H2336" s="37" t="s">
        <v>5103</v>
      </c>
      <c r="I2336" s="37" t="s">
        <v>229</v>
      </c>
    </row>
    <row r="2337" ht="15.75" hidden="1" customHeight="1">
      <c r="A2337" s="38">
        <v>5866139.0</v>
      </c>
      <c r="B2337" s="39" t="s">
        <v>478</v>
      </c>
      <c r="C2337" s="39" t="s">
        <v>5104</v>
      </c>
      <c r="D2337" s="39" t="s">
        <v>224</v>
      </c>
      <c r="E2337" s="39" t="s">
        <v>480</v>
      </c>
      <c r="F2337" s="39" t="s">
        <v>481</v>
      </c>
      <c r="G2337" s="39" t="s">
        <v>293</v>
      </c>
      <c r="H2337" s="39" t="s">
        <v>5105</v>
      </c>
      <c r="I2337" s="39" t="s">
        <v>229</v>
      </c>
    </row>
    <row r="2338" ht="15.75" hidden="1" customHeight="1">
      <c r="A2338" s="36">
        <v>5967620.0</v>
      </c>
      <c r="B2338" s="37" t="s">
        <v>478</v>
      </c>
      <c r="C2338" s="37" t="s">
        <v>5106</v>
      </c>
      <c r="D2338" s="37" t="s">
        <v>224</v>
      </c>
      <c r="E2338" s="37" t="s">
        <v>480</v>
      </c>
      <c r="F2338" s="37" t="s">
        <v>481</v>
      </c>
      <c r="G2338" s="37" t="s">
        <v>293</v>
      </c>
      <c r="H2338" s="37" t="s">
        <v>5107</v>
      </c>
      <c r="I2338" s="37" t="s">
        <v>229</v>
      </c>
    </row>
    <row r="2339" ht="15.75" hidden="1" customHeight="1">
      <c r="A2339" s="38">
        <v>5983629.0</v>
      </c>
      <c r="B2339" s="39" t="s">
        <v>9</v>
      </c>
      <c r="C2339" s="39" t="s">
        <v>5108</v>
      </c>
      <c r="D2339" s="39" t="s">
        <v>224</v>
      </c>
      <c r="E2339" s="39" t="s">
        <v>480</v>
      </c>
      <c r="F2339" s="39" t="s">
        <v>481</v>
      </c>
      <c r="G2339" s="39" t="s">
        <v>293</v>
      </c>
      <c r="H2339" s="39" t="s">
        <v>5109</v>
      </c>
      <c r="I2339" s="39" t="s">
        <v>229</v>
      </c>
    </row>
    <row r="2340" ht="15.75" hidden="1" customHeight="1">
      <c r="A2340" s="36">
        <v>5863756.0</v>
      </c>
      <c r="B2340" s="37" t="s">
        <v>1746</v>
      </c>
      <c r="C2340" s="37" t="s">
        <v>5110</v>
      </c>
      <c r="D2340" s="37" t="s">
        <v>224</v>
      </c>
      <c r="E2340" s="37" t="s">
        <v>1518</v>
      </c>
      <c r="F2340" s="37" t="s">
        <v>698</v>
      </c>
      <c r="G2340" s="37" t="s">
        <v>541</v>
      </c>
      <c r="H2340" s="37" t="s">
        <v>5111</v>
      </c>
      <c r="I2340" s="37" t="s">
        <v>229</v>
      </c>
    </row>
    <row r="2341" ht="15.75" hidden="1" customHeight="1">
      <c r="A2341" s="38">
        <v>5863961.0</v>
      </c>
      <c r="B2341" s="39" t="s">
        <v>1746</v>
      </c>
      <c r="C2341" s="39" t="s">
        <v>5112</v>
      </c>
      <c r="D2341" s="39" t="s">
        <v>224</v>
      </c>
      <c r="E2341" s="39" t="s">
        <v>1518</v>
      </c>
      <c r="F2341" s="39" t="s">
        <v>698</v>
      </c>
      <c r="G2341" s="39" t="s">
        <v>541</v>
      </c>
      <c r="H2341" s="39" t="s">
        <v>5113</v>
      </c>
      <c r="I2341" s="39" t="s">
        <v>229</v>
      </c>
    </row>
    <row r="2342" ht="15.75" hidden="1" customHeight="1">
      <c r="A2342" s="36">
        <v>5983370.0</v>
      </c>
      <c r="B2342" s="37" t="s">
        <v>478</v>
      </c>
      <c r="C2342" s="37" t="s">
        <v>5114</v>
      </c>
      <c r="D2342" s="37" t="s">
        <v>224</v>
      </c>
      <c r="E2342" s="37" t="s">
        <v>480</v>
      </c>
      <c r="F2342" s="37" t="s">
        <v>481</v>
      </c>
      <c r="G2342" s="37" t="s">
        <v>293</v>
      </c>
      <c r="H2342" s="37" t="s">
        <v>5115</v>
      </c>
      <c r="I2342" s="37" t="s">
        <v>229</v>
      </c>
    </row>
    <row r="2343" ht="15.75" hidden="1" customHeight="1">
      <c r="A2343" s="38">
        <v>5863754.0</v>
      </c>
      <c r="B2343" s="39" t="s">
        <v>1363</v>
      </c>
      <c r="C2343" s="39" t="s">
        <v>5116</v>
      </c>
      <c r="D2343" s="39" t="s">
        <v>331</v>
      </c>
      <c r="E2343" s="39" t="s">
        <v>1773</v>
      </c>
      <c r="F2343" s="39" t="s">
        <v>293</v>
      </c>
      <c r="G2343" s="39" t="s">
        <v>319</v>
      </c>
      <c r="H2343" s="39" t="s">
        <v>5117</v>
      </c>
      <c r="I2343" s="39" t="s">
        <v>229</v>
      </c>
    </row>
    <row r="2344" ht="15.75" hidden="1" customHeight="1">
      <c r="A2344" s="36">
        <v>6079036.0</v>
      </c>
      <c r="B2344" s="37" t="s">
        <v>1363</v>
      </c>
      <c r="C2344" s="37" t="s">
        <v>5118</v>
      </c>
      <c r="D2344" s="37" t="s">
        <v>224</v>
      </c>
      <c r="E2344" s="37" t="s">
        <v>5119</v>
      </c>
      <c r="F2344" s="37" t="s">
        <v>3641</v>
      </c>
      <c r="G2344" s="37" t="s">
        <v>3456</v>
      </c>
      <c r="H2344" s="37" t="s">
        <v>5120</v>
      </c>
      <c r="I2344" s="37" t="s">
        <v>229</v>
      </c>
    </row>
    <row r="2345" ht="15.75" hidden="1" customHeight="1">
      <c r="A2345" s="38">
        <v>6079047.0</v>
      </c>
      <c r="B2345" s="39" t="s">
        <v>1363</v>
      </c>
      <c r="C2345" s="39" t="s">
        <v>5121</v>
      </c>
      <c r="D2345" s="39" t="s">
        <v>224</v>
      </c>
      <c r="E2345" s="39" t="s">
        <v>5119</v>
      </c>
      <c r="F2345" s="39" t="s">
        <v>3641</v>
      </c>
      <c r="G2345" s="39" t="s">
        <v>3456</v>
      </c>
      <c r="H2345" s="39" t="s">
        <v>5122</v>
      </c>
      <c r="I2345" s="39" t="s">
        <v>229</v>
      </c>
    </row>
    <row r="2346" ht="15.75" hidden="1" customHeight="1">
      <c r="A2346" s="36">
        <v>5863760.0</v>
      </c>
      <c r="B2346" s="37" t="s">
        <v>813</v>
      </c>
      <c r="C2346" s="37" t="s">
        <v>5123</v>
      </c>
      <c r="D2346" s="37" t="s">
        <v>224</v>
      </c>
      <c r="E2346" s="37" t="s">
        <v>815</v>
      </c>
      <c r="F2346" s="37" t="s">
        <v>679</v>
      </c>
      <c r="G2346" s="37" t="s">
        <v>301</v>
      </c>
      <c r="H2346" s="37" t="s">
        <v>5124</v>
      </c>
      <c r="I2346" s="37" t="s">
        <v>229</v>
      </c>
    </row>
    <row r="2347" ht="15.75" hidden="1" customHeight="1">
      <c r="A2347" s="38">
        <v>6076302.0</v>
      </c>
      <c r="B2347" s="39" t="s">
        <v>1363</v>
      </c>
      <c r="C2347" s="39" t="s">
        <v>5125</v>
      </c>
      <c r="D2347" s="39" t="s">
        <v>224</v>
      </c>
      <c r="E2347" s="39" t="s">
        <v>5119</v>
      </c>
      <c r="F2347" s="39" t="s">
        <v>3641</v>
      </c>
      <c r="G2347" s="39" t="s">
        <v>3456</v>
      </c>
      <c r="H2347" s="39" t="s">
        <v>5126</v>
      </c>
      <c r="I2347" s="39" t="s">
        <v>229</v>
      </c>
    </row>
    <row r="2348" ht="15.75" hidden="1" customHeight="1">
      <c r="A2348" s="36">
        <v>4607163.0</v>
      </c>
      <c r="B2348" s="37" t="s">
        <v>1348</v>
      </c>
      <c r="C2348" s="37" t="s">
        <v>5127</v>
      </c>
      <c r="D2348" s="37" t="s">
        <v>224</v>
      </c>
      <c r="E2348" s="37" t="s">
        <v>1145</v>
      </c>
      <c r="F2348" s="37" t="s">
        <v>292</v>
      </c>
      <c r="G2348" s="37" t="s">
        <v>293</v>
      </c>
      <c r="H2348" s="37" t="s">
        <v>5128</v>
      </c>
      <c r="I2348" s="37" t="s">
        <v>229</v>
      </c>
    </row>
    <row r="2349" ht="15.75" hidden="1" customHeight="1">
      <c r="A2349" s="38">
        <v>6077501.0</v>
      </c>
      <c r="B2349" s="39" t="s">
        <v>738</v>
      </c>
      <c r="C2349" s="39" t="s">
        <v>5129</v>
      </c>
      <c r="D2349" s="39" t="s">
        <v>224</v>
      </c>
      <c r="E2349" s="39" t="s">
        <v>5130</v>
      </c>
      <c r="F2349" s="39" t="s">
        <v>3641</v>
      </c>
      <c r="G2349" s="39" t="s">
        <v>3456</v>
      </c>
      <c r="H2349" s="39" t="s">
        <v>5131</v>
      </c>
      <c r="I2349" s="39" t="s">
        <v>229</v>
      </c>
    </row>
    <row r="2350" ht="15.75" hidden="1" customHeight="1">
      <c r="A2350" s="36">
        <v>5614519.0</v>
      </c>
      <c r="B2350" s="37" t="s">
        <v>738</v>
      </c>
      <c r="C2350" s="37" t="s">
        <v>5132</v>
      </c>
      <c r="D2350" s="37" t="s">
        <v>224</v>
      </c>
      <c r="E2350" s="37" t="s">
        <v>5130</v>
      </c>
      <c r="F2350" s="37" t="s">
        <v>3641</v>
      </c>
      <c r="G2350" s="37" t="s">
        <v>3456</v>
      </c>
      <c r="H2350" s="37" t="s">
        <v>5133</v>
      </c>
      <c r="I2350" s="37" t="s">
        <v>229</v>
      </c>
    </row>
    <row r="2351" ht="15.75" hidden="1" customHeight="1">
      <c r="A2351" s="38">
        <v>6075957.0</v>
      </c>
      <c r="B2351" s="39" t="s">
        <v>738</v>
      </c>
      <c r="C2351" s="39" t="s">
        <v>5134</v>
      </c>
      <c r="D2351" s="39" t="s">
        <v>224</v>
      </c>
      <c r="E2351" s="39" t="s">
        <v>5130</v>
      </c>
      <c r="F2351" s="39" t="s">
        <v>3641</v>
      </c>
      <c r="G2351" s="39" t="s">
        <v>3456</v>
      </c>
      <c r="H2351" s="39" t="s">
        <v>5135</v>
      </c>
      <c r="I2351" s="39" t="s">
        <v>229</v>
      </c>
    </row>
    <row r="2352" ht="15.75" hidden="1" customHeight="1">
      <c r="A2352" s="36">
        <v>5884818.0</v>
      </c>
      <c r="B2352" s="37" t="s">
        <v>738</v>
      </c>
      <c r="C2352" s="37" t="s">
        <v>5136</v>
      </c>
      <c r="D2352" s="37" t="s">
        <v>224</v>
      </c>
      <c r="E2352" s="37" t="s">
        <v>5130</v>
      </c>
      <c r="F2352" s="37" t="s">
        <v>3641</v>
      </c>
      <c r="G2352" s="37" t="s">
        <v>3456</v>
      </c>
      <c r="H2352" s="37" t="s">
        <v>5137</v>
      </c>
      <c r="I2352" s="37" t="s">
        <v>229</v>
      </c>
    </row>
    <row r="2353" ht="15.75" hidden="1" customHeight="1">
      <c r="A2353" s="38">
        <v>6076253.0</v>
      </c>
      <c r="B2353" s="39" t="s">
        <v>738</v>
      </c>
      <c r="C2353" s="39" t="s">
        <v>5138</v>
      </c>
      <c r="D2353" s="39" t="s">
        <v>224</v>
      </c>
      <c r="E2353" s="39" t="s">
        <v>5130</v>
      </c>
      <c r="F2353" s="39" t="s">
        <v>3641</v>
      </c>
      <c r="G2353" s="39" t="s">
        <v>3456</v>
      </c>
      <c r="H2353" s="39" t="s">
        <v>5139</v>
      </c>
      <c r="I2353" s="39" t="s">
        <v>229</v>
      </c>
    </row>
    <row r="2354" ht="15.75" hidden="1" customHeight="1">
      <c r="A2354" s="36">
        <v>6074380.0</v>
      </c>
      <c r="B2354" s="37" t="s">
        <v>738</v>
      </c>
      <c r="C2354" s="37" t="s">
        <v>5140</v>
      </c>
      <c r="D2354" s="37" t="s">
        <v>224</v>
      </c>
      <c r="E2354" s="37" t="s">
        <v>5130</v>
      </c>
      <c r="F2354" s="37" t="s">
        <v>3641</v>
      </c>
      <c r="G2354" s="37" t="s">
        <v>3456</v>
      </c>
      <c r="H2354" s="37" t="s">
        <v>5141</v>
      </c>
      <c r="I2354" s="37" t="s">
        <v>229</v>
      </c>
    </row>
    <row r="2355" ht="15.75" hidden="1" customHeight="1">
      <c r="A2355" s="38">
        <v>5979702.0</v>
      </c>
      <c r="B2355" s="39" t="s">
        <v>738</v>
      </c>
      <c r="C2355" s="39" t="s">
        <v>5142</v>
      </c>
      <c r="D2355" s="39" t="s">
        <v>224</v>
      </c>
      <c r="E2355" s="39" t="s">
        <v>5130</v>
      </c>
      <c r="F2355" s="39" t="s">
        <v>3641</v>
      </c>
      <c r="G2355" s="39" t="s">
        <v>3456</v>
      </c>
      <c r="H2355" s="39" t="s">
        <v>5143</v>
      </c>
      <c r="I2355" s="39" t="s">
        <v>229</v>
      </c>
    </row>
    <row r="2356" ht="15.75" hidden="1" customHeight="1">
      <c r="A2356" s="36">
        <v>6076132.0</v>
      </c>
      <c r="B2356" s="37" t="s">
        <v>738</v>
      </c>
      <c r="C2356" s="37" t="s">
        <v>5144</v>
      </c>
      <c r="D2356" s="37" t="s">
        <v>224</v>
      </c>
      <c r="E2356" s="37" t="s">
        <v>5130</v>
      </c>
      <c r="F2356" s="37" t="s">
        <v>3641</v>
      </c>
      <c r="G2356" s="37" t="s">
        <v>3456</v>
      </c>
      <c r="H2356" s="37" t="s">
        <v>5145</v>
      </c>
      <c r="I2356" s="37" t="s">
        <v>229</v>
      </c>
    </row>
    <row r="2357" ht="15.75" hidden="1" customHeight="1">
      <c r="A2357" s="38">
        <v>6074379.0</v>
      </c>
      <c r="B2357" s="39" t="s">
        <v>738</v>
      </c>
      <c r="C2357" s="39" t="s">
        <v>5146</v>
      </c>
      <c r="D2357" s="39" t="s">
        <v>224</v>
      </c>
      <c r="E2357" s="39" t="s">
        <v>5130</v>
      </c>
      <c r="F2357" s="39" t="s">
        <v>3641</v>
      </c>
      <c r="G2357" s="39" t="s">
        <v>3456</v>
      </c>
      <c r="H2357" s="39" t="s">
        <v>5147</v>
      </c>
      <c r="I2357" s="39" t="s">
        <v>229</v>
      </c>
    </row>
    <row r="2358" ht="15.75" hidden="1" customHeight="1">
      <c r="A2358" s="36">
        <v>6075765.0</v>
      </c>
      <c r="B2358" s="37" t="s">
        <v>738</v>
      </c>
      <c r="C2358" s="37" t="s">
        <v>5148</v>
      </c>
      <c r="D2358" s="37" t="s">
        <v>224</v>
      </c>
      <c r="E2358" s="37" t="s">
        <v>5130</v>
      </c>
      <c r="F2358" s="37" t="s">
        <v>3641</v>
      </c>
      <c r="G2358" s="37" t="s">
        <v>3456</v>
      </c>
      <c r="H2358" s="37" t="s">
        <v>5149</v>
      </c>
      <c r="I2358" s="37" t="s">
        <v>229</v>
      </c>
    </row>
    <row r="2359" ht="15.75" hidden="1" customHeight="1">
      <c r="A2359" s="38">
        <v>6091733.0</v>
      </c>
      <c r="B2359" s="39" t="s">
        <v>738</v>
      </c>
      <c r="C2359" s="39" t="s">
        <v>5150</v>
      </c>
      <c r="D2359" s="39" t="s">
        <v>224</v>
      </c>
      <c r="E2359" s="39" t="s">
        <v>5130</v>
      </c>
      <c r="F2359" s="39" t="s">
        <v>3641</v>
      </c>
      <c r="G2359" s="39" t="s">
        <v>3456</v>
      </c>
      <c r="H2359" s="39" t="s">
        <v>3646</v>
      </c>
      <c r="I2359" s="39" t="s">
        <v>229</v>
      </c>
    </row>
    <row r="2360" ht="15.75" hidden="1" customHeight="1">
      <c r="A2360" s="36">
        <v>5874212.0</v>
      </c>
      <c r="B2360" s="37" t="s">
        <v>738</v>
      </c>
      <c r="C2360" s="37" t="s">
        <v>5151</v>
      </c>
      <c r="D2360" s="37" t="s">
        <v>224</v>
      </c>
      <c r="E2360" s="37" t="s">
        <v>1458</v>
      </c>
      <c r="F2360" s="37" t="s">
        <v>533</v>
      </c>
      <c r="G2360" s="37" t="s">
        <v>250</v>
      </c>
      <c r="H2360" s="37" t="s">
        <v>5152</v>
      </c>
      <c r="I2360" s="37" t="s">
        <v>229</v>
      </c>
    </row>
    <row r="2361" ht="15.75" hidden="1" customHeight="1">
      <c r="A2361" s="38">
        <v>4015489.0</v>
      </c>
      <c r="B2361" s="39" t="s">
        <v>738</v>
      </c>
      <c r="C2361" s="39" t="s">
        <v>5153</v>
      </c>
      <c r="D2361" s="39" t="s">
        <v>224</v>
      </c>
      <c r="E2361" s="39" t="s">
        <v>1403</v>
      </c>
      <c r="F2361" s="39" t="s">
        <v>533</v>
      </c>
      <c r="G2361" s="39" t="s">
        <v>250</v>
      </c>
      <c r="H2361" s="39" t="s">
        <v>5154</v>
      </c>
      <c r="I2361" s="39" t="s">
        <v>229</v>
      </c>
    </row>
    <row r="2362" ht="15.75" hidden="1" customHeight="1">
      <c r="A2362" s="36">
        <v>5874193.0</v>
      </c>
      <c r="B2362" s="37" t="s">
        <v>738</v>
      </c>
      <c r="C2362" s="37" t="s">
        <v>5155</v>
      </c>
      <c r="D2362" s="37" t="s">
        <v>224</v>
      </c>
      <c r="E2362" s="37" t="s">
        <v>2181</v>
      </c>
      <c r="F2362" s="37" t="s">
        <v>533</v>
      </c>
      <c r="G2362" s="37" t="s">
        <v>250</v>
      </c>
      <c r="H2362" s="37" t="s">
        <v>5156</v>
      </c>
      <c r="I2362" s="37" t="s">
        <v>229</v>
      </c>
    </row>
    <row r="2363" ht="15.75" hidden="1" customHeight="1">
      <c r="A2363" s="38">
        <v>5997774.0</v>
      </c>
      <c r="B2363" s="39" t="s">
        <v>841</v>
      </c>
      <c r="C2363" s="39" t="s">
        <v>5157</v>
      </c>
      <c r="D2363" s="39" t="s">
        <v>224</v>
      </c>
      <c r="E2363" s="39" t="s">
        <v>843</v>
      </c>
      <c r="F2363" s="39" t="s">
        <v>242</v>
      </c>
      <c r="G2363" s="39" t="s">
        <v>227</v>
      </c>
      <c r="H2363" s="39" t="s">
        <v>5158</v>
      </c>
      <c r="I2363" s="39" t="s">
        <v>229</v>
      </c>
    </row>
    <row r="2364" ht="15.75" hidden="1" customHeight="1">
      <c r="A2364" s="36">
        <v>5997773.0</v>
      </c>
      <c r="B2364" s="37" t="s">
        <v>841</v>
      </c>
      <c r="C2364" s="37" t="s">
        <v>5159</v>
      </c>
      <c r="D2364" s="37" t="s">
        <v>224</v>
      </c>
      <c r="E2364" s="37" t="s">
        <v>843</v>
      </c>
      <c r="F2364" s="37" t="s">
        <v>242</v>
      </c>
      <c r="G2364" s="37" t="s">
        <v>227</v>
      </c>
      <c r="H2364" s="37" t="s">
        <v>5160</v>
      </c>
      <c r="I2364" s="37" t="s">
        <v>229</v>
      </c>
    </row>
    <row r="2365" ht="15.75" hidden="1" customHeight="1">
      <c r="A2365" s="38">
        <v>5875048.0</v>
      </c>
      <c r="B2365" s="39" t="s">
        <v>738</v>
      </c>
      <c r="C2365" s="39" t="s">
        <v>5161</v>
      </c>
      <c r="D2365" s="39" t="s">
        <v>224</v>
      </c>
      <c r="E2365" s="39" t="s">
        <v>1458</v>
      </c>
      <c r="F2365" s="39" t="s">
        <v>533</v>
      </c>
      <c r="G2365" s="39" t="s">
        <v>250</v>
      </c>
      <c r="H2365" s="39" t="s">
        <v>5162</v>
      </c>
      <c r="I2365" s="39" t="s">
        <v>229</v>
      </c>
    </row>
    <row r="2366" ht="15.75" hidden="1" customHeight="1">
      <c r="A2366" s="36">
        <v>5875481.0</v>
      </c>
      <c r="B2366" s="37" t="s">
        <v>425</v>
      </c>
      <c r="C2366" s="37" t="s">
        <v>5163</v>
      </c>
      <c r="D2366" s="37" t="s">
        <v>224</v>
      </c>
      <c r="E2366" s="37" t="s">
        <v>1391</v>
      </c>
      <c r="F2366" s="37" t="s">
        <v>312</v>
      </c>
      <c r="G2366" s="37" t="s">
        <v>3</v>
      </c>
      <c r="H2366" s="37" t="s">
        <v>5164</v>
      </c>
      <c r="I2366" s="37" t="s">
        <v>260</v>
      </c>
    </row>
    <row r="2367" ht="15.75" hidden="1" customHeight="1">
      <c r="A2367" s="38">
        <v>5876897.0</v>
      </c>
      <c r="B2367" s="39" t="s">
        <v>316</v>
      </c>
      <c r="C2367" s="39" t="s">
        <v>5165</v>
      </c>
      <c r="D2367" s="39" t="s">
        <v>224</v>
      </c>
      <c r="E2367" s="39" t="s">
        <v>1773</v>
      </c>
      <c r="F2367" s="39" t="s">
        <v>293</v>
      </c>
      <c r="G2367" s="39" t="s">
        <v>319</v>
      </c>
      <c r="H2367" s="39" t="s">
        <v>5166</v>
      </c>
      <c r="I2367" s="39" t="s">
        <v>229</v>
      </c>
    </row>
    <row r="2368" ht="15.75" hidden="1" customHeight="1">
      <c r="A2368" s="36">
        <v>5876902.0</v>
      </c>
      <c r="B2368" s="37" t="s">
        <v>1363</v>
      </c>
      <c r="C2368" s="37" t="s">
        <v>5167</v>
      </c>
      <c r="D2368" s="37" t="s">
        <v>224</v>
      </c>
      <c r="E2368" s="37" t="s">
        <v>1453</v>
      </c>
      <c r="F2368" s="37" t="s">
        <v>293</v>
      </c>
      <c r="G2368" s="37" t="s">
        <v>319</v>
      </c>
      <c r="H2368" s="37" t="s">
        <v>5168</v>
      </c>
      <c r="I2368" s="37" t="s">
        <v>229</v>
      </c>
    </row>
    <row r="2369" ht="15.75" hidden="1" customHeight="1">
      <c r="A2369" s="38">
        <v>3153595.0</v>
      </c>
      <c r="B2369" s="39" t="s">
        <v>316</v>
      </c>
      <c r="C2369" s="39" t="s">
        <v>5169</v>
      </c>
      <c r="D2369" s="39" t="s">
        <v>224</v>
      </c>
      <c r="E2369" s="39" t="s">
        <v>1773</v>
      </c>
      <c r="F2369" s="39" t="s">
        <v>293</v>
      </c>
      <c r="G2369" s="39" t="s">
        <v>319</v>
      </c>
      <c r="H2369" s="39" t="s">
        <v>5170</v>
      </c>
      <c r="I2369" s="39" t="s">
        <v>229</v>
      </c>
    </row>
    <row r="2370" ht="15.75" hidden="1" customHeight="1">
      <c r="A2370" s="36">
        <v>4904088.0</v>
      </c>
      <c r="B2370" s="37" t="s">
        <v>841</v>
      </c>
      <c r="C2370" s="37" t="s">
        <v>5171</v>
      </c>
      <c r="D2370" s="37" t="s">
        <v>224</v>
      </c>
      <c r="E2370" s="37" t="s">
        <v>843</v>
      </c>
      <c r="F2370" s="37" t="s">
        <v>242</v>
      </c>
      <c r="G2370" s="37" t="s">
        <v>227</v>
      </c>
      <c r="H2370" s="37" t="s">
        <v>5172</v>
      </c>
      <c r="I2370" s="37" t="s">
        <v>229</v>
      </c>
    </row>
    <row r="2371" ht="15.75" hidden="1" customHeight="1">
      <c r="A2371" s="38">
        <v>5927684.0</v>
      </c>
      <c r="B2371" s="39" t="s">
        <v>841</v>
      </c>
      <c r="C2371" s="39" t="s">
        <v>5173</v>
      </c>
      <c r="D2371" s="39" t="s">
        <v>224</v>
      </c>
      <c r="E2371" s="39" t="s">
        <v>843</v>
      </c>
      <c r="F2371" s="39" t="s">
        <v>242</v>
      </c>
      <c r="G2371" s="39" t="s">
        <v>227</v>
      </c>
      <c r="H2371" s="39" t="s">
        <v>5174</v>
      </c>
      <c r="I2371" s="39" t="s">
        <v>229</v>
      </c>
    </row>
    <row r="2372" ht="15.75" hidden="1" customHeight="1">
      <c r="A2372" s="36">
        <v>5876601.0</v>
      </c>
      <c r="B2372" s="37" t="s">
        <v>316</v>
      </c>
      <c r="C2372" s="37" t="s">
        <v>5175</v>
      </c>
      <c r="D2372" s="37" t="s">
        <v>224</v>
      </c>
      <c r="E2372" s="37" t="s">
        <v>1773</v>
      </c>
      <c r="F2372" s="37" t="s">
        <v>293</v>
      </c>
      <c r="G2372" s="37" t="s">
        <v>319</v>
      </c>
      <c r="H2372" s="37" t="s">
        <v>5176</v>
      </c>
      <c r="I2372" s="37" t="s">
        <v>229</v>
      </c>
    </row>
    <row r="2373" ht="15.75" hidden="1" customHeight="1">
      <c r="A2373" s="38">
        <v>5926463.0</v>
      </c>
      <c r="B2373" s="39" t="s">
        <v>478</v>
      </c>
      <c r="C2373" s="39" t="s">
        <v>5177</v>
      </c>
      <c r="D2373" s="39" t="s">
        <v>224</v>
      </c>
      <c r="E2373" s="39" t="s">
        <v>1323</v>
      </c>
      <c r="F2373" s="39" t="s">
        <v>481</v>
      </c>
      <c r="G2373" s="39" t="s">
        <v>293</v>
      </c>
      <c r="H2373" s="39" t="s">
        <v>5178</v>
      </c>
      <c r="I2373" s="39" t="s">
        <v>229</v>
      </c>
    </row>
    <row r="2374" ht="15.75" hidden="1" customHeight="1">
      <c r="A2374" s="36">
        <v>5876900.0</v>
      </c>
      <c r="B2374" s="37" t="s">
        <v>1363</v>
      </c>
      <c r="C2374" s="37" t="s">
        <v>5179</v>
      </c>
      <c r="D2374" s="37" t="s">
        <v>224</v>
      </c>
      <c r="E2374" s="37" t="s">
        <v>1773</v>
      </c>
      <c r="F2374" s="37" t="s">
        <v>293</v>
      </c>
      <c r="G2374" s="37" t="s">
        <v>319</v>
      </c>
      <c r="H2374" s="37" t="s">
        <v>5180</v>
      </c>
      <c r="I2374" s="37" t="s">
        <v>229</v>
      </c>
    </row>
    <row r="2375" ht="15.75" hidden="1" customHeight="1">
      <c r="A2375" s="38">
        <v>5883510.0</v>
      </c>
      <c r="B2375" s="39" t="s">
        <v>478</v>
      </c>
      <c r="C2375" s="39" t="s">
        <v>5181</v>
      </c>
      <c r="D2375" s="39" t="s">
        <v>224</v>
      </c>
      <c r="E2375" s="39" t="s">
        <v>1323</v>
      </c>
      <c r="F2375" s="39" t="s">
        <v>481</v>
      </c>
      <c r="G2375" s="39" t="s">
        <v>293</v>
      </c>
      <c r="H2375" s="39" t="s">
        <v>5182</v>
      </c>
      <c r="I2375" s="39" t="s">
        <v>229</v>
      </c>
    </row>
    <row r="2376" ht="15.75" hidden="1" customHeight="1">
      <c r="A2376" s="36">
        <v>4721991.0</v>
      </c>
      <c r="B2376" s="37" t="s">
        <v>331</v>
      </c>
      <c r="C2376" s="37" t="s">
        <v>5183</v>
      </c>
      <c r="D2376" s="37" t="s">
        <v>331</v>
      </c>
      <c r="E2376" s="37" t="s">
        <v>1323</v>
      </c>
      <c r="F2376" s="37" t="s">
        <v>481</v>
      </c>
      <c r="G2376" s="37" t="s">
        <v>293</v>
      </c>
      <c r="H2376" s="37" t="s">
        <v>5184</v>
      </c>
      <c r="I2376" s="37" t="s">
        <v>229</v>
      </c>
    </row>
    <row r="2377" ht="15.75" hidden="1" customHeight="1">
      <c r="A2377" s="38">
        <v>5876606.0</v>
      </c>
      <c r="B2377" s="39" t="s">
        <v>1363</v>
      </c>
      <c r="C2377" s="39" t="s">
        <v>5185</v>
      </c>
      <c r="D2377" s="39" t="s">
        <v>224</v>
      </c>
      <c r="E2377" s="39" t="s">
        <v>1453</v>
      </c>
      <c r="F2377" s="39" t="s">
        <v>293</v>
      </c>
      <c r="G2377" s="39" t="s">
        <v>319</v>
      </c>
      <c r="H2377" s="39" t="s">
        <v>5186</v>
      </c>
      <c r="I2377" s="39" t="s">
        <v>229</v>
      </c>
    </row>
    <row r="2378" ht="15.75" hidden="1" customHeight="1">
      <c r="A2378" s="36">
        <v>5887515.0</v>
      </c>
      <c r="B2378" s="37" t="s">
        <v>478</v>
      </c>
      <c r="C2378" s="37" t="s">
        <v>5187</v>
      </c>
      <c r="D2378" s="37" t="s">
        <v>224</v>
      </c>
      <c r="E2378" s="37" t="s">
        <v>1323</v>
      </c>
      <c r="F2378" s="37" t="s">
        <v>481</v>
      </c>
      <c r="G2378" s="37" t="s">
        <v>293</v>
      </c>
      <c r="H2378" s="37" t="s">
        <v>5188</v>
      </c>
      <c r="I2378" s="37" t="s">
        <v>229</v>
      </c>
    </row>
    <row r="2379" ht="15.75" hidden="1" customHeight="1">
      <c r="A2379" s="38">
        <v>5883528.0</v>
      </c>
      <c r="B2379" s="39" t="s">
        <v>738</v>
      </c>
      <c r="C2379" s="39" t="s">
        <v>5189</v>
      </c>
      <c r="D2379" s="39" t="s">
        <v>224</v>
      </c>
      <c r="E2379" s="39" t="s">
        <v>1458</v>
      </c>
      <c r="F2379" s="39" t="s">
        <v>533</v>
      </c>
      <c r="G2379" s="39" t="s">
        <v>250</v>
      </c>
      <c r="H2379" s="39" t="s">
        <v>5190</v>
      </c>
      <c r="I2379" s="39" t="s">
        <v>229</v>
      </c>
    </row>
    <row r="2380" ht="15.75" hidden="1" customHeight="1">
      <c r="A2380" s="36">
        <v>5055465.0</v>
      </c>
      <c r="B2380" s="37" t="s">
        <v>478</v>
      </c>
      <c r="C2380" s="37" t="s">
        <v>5191</v>
      </c>
      <c r="D2380" s="37" t="s">
        <v>224</v>
      </c>
      <c r="E2380" s="37" t="s">
        <v>1323</v>
      </c>
      <c r="F2380" s="37" t="s">
        <v>481</v>
      </c>
      <c r="G2380" s="37" t="s">
        <v>293</v>
      </c>
      <c r="H2380" s="37" t="s">
        <v>5192</v>
      </c>
      <c r="I2380" s="37" t="s">
        <v>229</v>
      </c>
    </row>
    <row r="2381" ht="15.75" hidden="1" customHeight="1">
      <c r="A2381" s="38">
        <v>5886060.0</v>
      </c>
      <c r="B2381" s="39" t="s">
        <v>425</v>
      </c>
      <c r="C2381" s="39" t="s">
        <v>5193</v>
      </c>
      <c r="D2381" s="39" t="s">
        <v>224</v>
      </c>
      <c r="E2381" s="39" t="s">
        <v>1391</v>
      </c>
      <c r="F2381" s="39" t="s">
        <v>312</v>
      </c>
      <c r="G2381" s="37" t="s">
        <v>3</v>
      </c>
      <c r="H2381" s="39" t="s">
        <v>5194</v>
      </c>
      <c r="I2381" s="39" t="s">
        <v>260</v>
      </c>
    </row>
    <row r="2382" ht="15.75" hidden="1" customHeight="1">
      <c r="A2382" s="36">
        <v>5883509.0</v>
      </c>
      <c r="B2382" s="37" t="s">
        <v>478</v>
      </c>
      <c r="C2382" s="37" t="s">
        <v>5195</v>
      </c>
      <c r="D2382" s="37" t="s">
        <v>224</v>
      </c>
      <c r="E2382" s="37" t="s">
        <v>1323</v>
      </c>
      <c r="F2382" s="37" t="s">
        <v>481</v>
      </c>
      <c r="G2382" s="37" t="s">
        <v>293</v>
      </c>
      <c r="H2382" s="37" t="s">
        <v>5196</v>
      </c>
      <c r="I2382" s="37" t="s">
        <v>229</v>
      </c>
    </row>
    <row r="2383" ht="15.75" hidden="1" customHeight="1">
      <c r="A2383" s="38">
        <v>5987047.0</v>
      </c>
      <c r="B2383" s="39" t="s">
        <v>478</v>
      </c>
      <c r="C2383" s="39" t="s">
        <v>5197</v>
      </c>
      <c r="D2383" s="39" t="s">
        <v>224</v>
      </c>
      <c r="E2383" s="39" t="s">
        <v>1323</v>
      </c>
      <c r="F2383" s="39" t="s">
        <v>481</v>
      </c>
      <c r="G2383" s="39" t="s">
        <v>293</v>
      </c>
      <c r="H2383" s="39" t="s">
        <v>5198</v>
      </c>
      <c r="I2383" s="39" t="s">
        <v>229</v>
      </c>
    </row>
    <row r="2384" ht="15.75" hidden="1" customHeight="1">
      <c r="A2384" s="36">
        <v>5885445.0</v>
      </c>
      <c r="B2384" s="37" t="s">
        <v>329</v>
      </c>
      <c r="C2384" s="37" t="s">
        <v>5199</v>
      </c>
      <c r="D2384" s="37" t="s">
        <v>224</v>
      </c>
      <c r="E2384" s="37" t="s">
        <v>2487</v>
      </c>
      <c r="F2384" s="37" t="s">
        <v>333</v>
      </c>
      <c r="G2384" s="37" t="s">
        <v>301</v>
      </c>
      <c r="H2384" s="37" t="s">
        <v>5200</v>
      </c>
      <c r="I2384" s="37" t="s">
        <v>229</v>
      </c>
    </row>
    <row r="2385" ht="15.75" hidden="1" customHeight="1">
      <c r="A2385" s="38">
        <v>5885942.0</v>
      </c>
      <c r="B2385" s="39" t="s">
        <v>478</v>
      </c>
      <c r="C2385" s="39" t="s">
        <v>5201</v>
      </c>
      <c r="D2385" s="39" t="s">
        <v>224</v>
      </c>
      <c r="E2385" s="39" t="s">
        <v>1323</v>
      </c>
      <c r="F2385" s="39" t="s">
        <v>481</v>
      </c>
      <c r="G2385" s="39" t="s">
        <v>293</v>
      </c>
      <c r="H2385" s="39" t="s">
        <v>5202</v>
      </c>
      <c r="I2385" s="39" t="s">
        <v>229</v>
      </c>
    </row>
    <row r="2386" ht="15.75" hidden="1" customHeight="1">
      <c r="A2386" s="36">
        <v>5974292.0</v>
      </c>
      <c r="B2386" s="37" t="s">
        <v>478</v>
      </c>
      <c r="C2386" s="37" t="s">
        <v>5203</v>
      </c>
      <c r="D2386" s="37" t="s">
        <v>224</v>
      </c>
      <c r="E2386" s="37" t="s">
        <v>1323</v>
      </c>
      <c r="F2386" s="37" t="s">
        <v>481</v>
      </c>
      <c r="G2386" s="37" t="s">
        <v>293</v>
      </c>
      <c r="H2386" s="37" t="s">
        <v>5204</v>
      </c>
      <c r="I2386" s="37" t="s">
        <v>229</v>
      </c>
    </row>
    <row r="2387" ht="15.75" hidden="1" customHeight="1">
      <c r="A2387" s="38">
        <v>5883511.0</v>
      </c>
      <c r="B2387" s="39" t="s">
        <v>1932</v>
      </c>
      <c r="C2387" s="39" t="s">
        <v>5205</v>
      </c>
      <c r="D2387" s="39" t="s">
        <v>224</v>
      </c>
      <c r="E2387" s="39" t="s">
        <v>2071</v>
      </c>
      <c r="F2387" s="39" t="s">
        <v>300</v>
      </c>
      <c r="G2387" s="39" t="s">
        <v>301</v>
      </c>
      <c r="H2387" s="39" t="s">
        <v>5206</v>
      </c>
      <c r="I2387" s="39" t="s">
        <v>229</v>
      </c>
    </row>
    <row r="2388" ht="15.75" hidden="1" customHeight="1">
      <c r="A2388" s="36">
        <v>5703284.0</v>
      </c>
      <c r="B2388" s="37" t="s">
        <v>331</v>
      </c>
      <c r="C2388" s="37" t="s">
        <v>5207</v>
      </c>
      <c r="D2388" s="37" t="s">
        <v>331</v>
      </c>
      <c r="E2388" s="37" t="s">
        <v>1323</v>
      </c>
      <c r="F2388" s="37" t="s">
        <v>481</v>
      </c>
      <c r="G2388" s="37" t="s">
        <v>293</v>
      </c>
      <c r="H2388" s="37" t="s">
        <v>5208</v>
      </c>
      <c r="I2388" s="37" t="s">
        <v>229</v>
      </c>
    </row>
    <row r="2389" ht="15.75" hidden="1" customHeight="1">
      <c r="A2389" s="38">
        <v>5985709.0</v>
      </c>
      <c r="B2389" s="39" t="s">
        <v>478</v>
      </c>
      <c r="C2389" s="39" t="s">
        <v>5209</v>
      </c>
      <c r="D2389" s="39" t="s">
        <v>224</v>
      </c>
      <c r="E2389" s="39" t="s">
        <v>1323</v>
      </c>
      <c r="F2389" s="39" t="s">
        <v>481</v>
      </c>
      <c r="G2389" s="39" t="s">
        <v>293</v>
      </c>
      <c r="H2389" s="39" t="s">
        <v>5210</v>
      </c>
      <c r="I2389" s="39" t="s">
        <v>229</v>
      </c>
    </row>
    <row r="2390" ht="15.75" hidden="1" customHeight="1">
      <c r="A2390" s="36">
        <v>5884681.0</v>
      </c>
      <c r="B2390" s="37" t="s">
        <v>416</v>
      </c>
      <c r="C2390" s="37" t="s">
        <v>5211</v>
      </c>
      <c r="D2390" s="37" t="s">
        <v>224</v>
      </c>
      <c r="E2390" s="37" t="s">
        <v>2522</v>
      </c>
      <c r="F2390" s="37" t="s">
        <v>421</v>
      </c>
      <c r="G2390" s="37" t="s">
        <v>227</v>
      </c>
      <c r="H2390" s="37" t="s">
        <v>5212</v>
      </c>
      <c r="I2390" s="37" t="s">
        <v>260</v>
      </c>
    </row>
    <row r="2391" ht="15.75" hidden="1" customHeight="1">
      <c r="A2391" s="38">
        <v>5885426.0</v>
      </c>
      <c r="B2391" s="39" t="s">
        <v>416</v>
      </c>
      <c r="C2391" s="39" t="s">
        <v>5213</v>
      </c>
      <c r="D2391" s="39" t="s">
        <v>224</v>
      </c>
      <c r="E2391" s="39" t="s">
        <v>2522</v>
      </c>
      <c r="F2391" s="39" t="s">
        <v>421</v>
      </c>
      <c r="G2391" s="39" t="s">
        <v>227</v>
      </c>
      <c r="H2391" s="39" t="s">
        <v>5214</v>
      </c>
      <c r="I2391" s="39" t="s">
        <v>260</v>
      </c>
    </row>
    <row r="2392" ht="15.75" hidden="1" customHeight="1">
      <c r="A2392" s="36">
        <v>5884679.0</v>
      </c>
      <c r="B2392" s="37" t="s">
        <v>416</v>
      </c>
      <c r="C2392" s="37" t="s">
        <v>5215</v>
      </c>
      <c r="D2392" s="37" t="s">
        <v>224</v>
      </c>
      <c r="E2392" s="37" t="s">
        <v>2522</v>
      </c>
      <c r="F2392" s="37" t="s">
        <v>421</v>
      </c>
      <c r="G2392" s="37" t="s">
        <v>227</v>
      </c>
      <c r="H2392" s="37" t="s">
        <v>5216</v>
      </c>
      <c r="I2392" s="37" t="s">
        <v>260</v>
      </c>
    </row>
    <row r="2393" ht="15.75" hidden="1" customHeight="1">
      <c r="A2393" s="38">
        <v>5886033.0</v>
      </c>
      <c r="B2393" s="39" t="s">
        <v>416</v>
      </c>
      <c r="C2393" s="39" t="s">
        <v>5217</v>
      </c>
      <c r="D2393" s="39" t="s">
        <v>269</v>
      </c>
      <c r="E2393" s="39" t="s">
        <v>2522</v>
      </c>
      <c r="F2393" s="39" t="s">
        <v>421</v>
      </c>
      <c r="G2393" s="39" t="s">
        <v>227</v>
      </c>
      <c r="H2393" s="39" t="s">
        <v>5218</v>
      </c>
      <c r="I2393" s="39" t="s">
        <v>260</v>
      </c>
    </row>
    <row r="2394" ht="15.75" hidden="1" customHeight="1">
      <c r="A2394" s="36">
        <v>5887494.0</v>
      </c>
      <c r="B2394" s="37" t="s">
        <v>416</v>
      </c>
      <c r="C2394" s="37" t="s">
        <v>5219</v>
      </c>
      <c r="D2394" s="37" t="s">
        <v>224</v>
      </c>
      <c r="E2394" s="37" t="s">
        <v>2522</v>
      </c>
      <c r="F2394" s="37" t="s">
        <v>421</v>
      </c>
      <c r="G2394" s="37" t="s">
        <v>227</v>
      </c>
      <c r="H2394" s="37" t="s">
        <v>5220</v>
      </c>
      <c r="I2394" s="37" t="s">
        <v>260</v>
      </c>
    </row>
    <row r="2395" ht="15.75" hidden="1" customHeight="1">
      <c r="A2395" s="38">
        <v>5887402.0</v>
      </c>
      <c r="B2395" s="39" t="s">
        <v>1791</v>
      </c>
      <c r="C2395" s="39" t="s">
        <v>5221</v>
      </c>
      <c r="D2395" s="39" t="s">
        <v>224</v>
      </c>
      <c r="E2395" s="39" t="s">
        <v>2398</v>
      </c>
      <c r="F2395" s="39" t="s">
        <v>266</v>
      </c>
      <c r="G2395" s="39" t="s">
        <v>250</v>
      </c>
      <c r="H2395" s="39" t="s">
        <v>5222</v>
      </c>
      <c r="I2395" s="39" t="s">
        <v>229</v>
      </c>
    </row>
    <row r="2396" ht="15.75" hidden="1" customHeight="1">
      <c r="A2396" s="36">
        <v>5889273.0</v>
      </c>
      <c r="B2396" s="37" t="s">
        <v>555</v>
      </c>
      <c r="C2396" s="37" t="s">
        <v>5223</v>
      </c>
      <c r="D2396" s="37" t="s">
        <v>224</v>
      </c>
      <c r="E2396" s="37" t="s">
        <v>1069</v>
      </c>
      <c r="F2396" s="37" t="s">
        <v>558</v>
      </c>
      <c r="G2396" s="37" t="s">
        <v>541</v>
      </c>
      <c r="H2396" s="37" t="s">
        <v>5224</v>
      </c>
      <c r="I2396" s="37" t="s">
        <v>229</v>
      </c>
    </row>
    <row r="2397" ht="15.75" hidden="1" customHeight="1">
      <c r="A2397" s="38">
        <v>5887502.0</v>
      </c>
      <c r="B2397" s="39" t="s">
        <v>813</v>
      </c>
      <c r="C2397" s="39" t="s">
        <v>5225</v>
      </c>
      <c r="D2397" s="39" t="s">
        <v>224</v>
      </c>
      <c r="E2397" s="39" t="s">
        <v>815</v>
      </c>
      <c r="F2397" s="39" t="s">
        <v>679</v>
      </c>
      <c r="G2397" s="39" t="s">
        <v>301</v>
      </c>
      <c r="H2397" s="39" t="s">
        <v>5226</v>
      </c>
      <c r="I2397" s="39" t="s">
        <v>229</v>
      </c>
    </row>
    <row r="2398" ht="15.75" hidden="1" customHeight="1">
      <c r="A2398" s="36">
        <v>5889275.0</v>
      </c>
      <c r="B2398" s="37" t="s">
        <v>813</v>
      </c>
      <c r="C2398" s="37" t="s">
        <v>5227</v>
      </c>
      <c r="D2398" s="37" t="s">
        <v>331</v>
      </c>
      <c r="E2398" s="37" t="s">
        <v>815</v>
      </c>
      <c r="F2398" s="37" t="s">
        <v>679</v>
      </c>
      <c r="G2398" s="37" t="s">
        <v>301</v>
      </c>
      <c r="H2398" s="37" t="s">
        <v>5228</v>
      </c>
      <c r="I2398" s="37" t="s">
        <v>229</v>
      </c>
    </row>
    <row r="2399" ht="15.75" hidden="1" customHeight="1">
      <c r="A2399" s="38">
        <v>3626203.0</v>
      </c>
      <c r="B2399" s="39" t="s">
        <v>361</v>
      </c>
      <c r="C2399" s="39" t="s">
        <v>5229</v>
      </c>
      <c r="D2399" s="39" t="s">
        <v>224</v>
      </c>
      <c r="E2399" s="39" t="s">
        <v>875</v>
      </c>
      <c r="F2399" s="39" t="s">
        <v>312</v>
      </c>
      <c r="G2399" s="39" t="s">
        <v>258</v>
      </c>
      <c r="H2399" s="39" t="s">
        <v>5230</v>
      </c>
      <c r="I2399" s="39" t="s">
        <v>260</v>
      </c>
    </row>
    <row r="2400" ht="15.75" hidden="1" customHeight="1">
      <c r="A2400" s="36">
        <v>6028240.0</v>
      </c>
      <c r="B2400" s="37" t="s">
        <v>361</v>
      </c>
      <c r="C2400" s="37" t="s">
        <v>5231</v>
      </c>
      <c r="D2400" s="37" t="s">
        <v>224</v>
      </c>
      <c r="E2400" s="37" t="s">
        <v>875</v>
      </c>
      <c r="F2400" s="37" t="s">
        <v>312</v>
      </c>
      <c r="G2400" s="37" t="s">
        <v>258</v>
      </c>
      <c r="H2400" s="37" t="s">
        <v>5232</v>
      </c>
      <c r="I2400" s="37" t="s">
        <v>260</v>
      </c>
    </row>
    <row r="2401" ht="15.75" hidden="1" customHeight="1">
      <c r="A2401" s="38">
        <v>5241997.0</v>
      </c>
      <c r="B2401" s="39" t="s">
        <v>361</v>
      </c>
      <c r="C2401" s="39" t="s">
        <v>5233</v>
      </c>
      <c r="D2401" s="39" t="s">
        <v>224</v>
      </c>
      <c r="E2401" s="39" t="s">
        <v>875</v>
      </c>
      <c r="F2401" s="39" t="s">
        <v>312</v>
      </c>
      <c r="G2401" s="39" t="s">
        <v>258</v>
      </c>
      <c r="H2401" s="39" t="s">
        <v>5234</v>
      </c>
      <c r="I2401" s="39" t="s">
        <v>260</v>
      </c>
    </row>
    <row r="2402" ht="15.75" hidden="1" customHeight="1">
      <c r="A2402" s="36">
        <v>3432578.0</v>
      </c>
      <c r="B2402" s="37" t="s">
        <v>2069</v>
      </c>
      <c r="C2402" s="37" t="s">
        <v>5235</v>
      </c>
      <c r="D2402" s="37" t="s">
        <v>224</v>
      </c>
      <c r="E2402" s="37" t="s">
        <v>2071</v>
      </c>
      <c r="F2402" s="37" t="s">
        <v>300</v>
      </c>
      <c r="G2402" s="37" t="s">
        <v>301</v>
      </c>
      <c r="H2402" s="37" t="s">
        <v>5236</v>
      </c>
      <c r="I2402" s="37" t="s">
        <v>229</v>
      </c>
    </row>
    <row r="2403" ht="15.75" hidden="1" customHeight="1">
      <c r="A2403" s="38">
        <v>5987503.0</v>
      </c>
      <c r="B2403" s="39" t="s">
        <v>361</v>
      </c>
      <c r="C2403" s="39" t="s">
        <v>5237</v>
      </c>
      <c r="D2403" s="39" t="s">
        <v>224</v>
      </c>
      <c r="E2403" s="39" t="s">
        <v>875</v>
      </c>
      <c r="F2403" s="39" t="s">
        <v>312</v>
      </c>
      <c r="G2403" s="39" t="s">
        <v>258</v>
      </c>
      <c r="H2403" s="39" t="s">
        <v>5238</v>
      </c>
      <c r="I2403" s="39" t="s">
        <v>260</v>
      </c>
    </row>
    <row r="2404" ht="15.75" hidden="1" customHeight="1">
      <c r="A2404" s="36">
        <v>5533577.0</v>
      </c>
      <c r="B2404" s="37" t="s">
        <v>329</v>
      </c>
      <c r="C2404" s="37" t="s">
        <v>5239</v>
      </c>
      <c r="D2404" s="37" t="s">
        <v>224</v>
      </c>
      <c r="E2404" s="37" t="s">
        <v>2487</v>
      </c>
      <c r="F2404" s="37" t="s">
        <v>333</v>
      </c>
      <c r="G2404" s="37" t="s">
        <v>301</v>
      </c>
      <c r="H2404" s="37" t="s">
        <v>5240</v>
      </c>
      <c r="I2404" s="37" t="s">
        <v>229</v>
      </c>
    </row>
    <row r="2405" ht="15.75" hidden="1" customHeight="1">
      <c r="A2405" s="38">
        <v>5533616.0</v>
      </c>
      <c r="B2405" s="39" t="s">
        <v>1932</v>
      </c>
      <c r="C2405" s="39" t="s">
        <v>5241</v>
      </c>
      <c r="D2405" s="39" t="s">
        <v>224</v>
      </c>
      <c r="E2405" s="39" t="s">
        <v>2071</v>
      </c>
      <c r="F2405" s="39" t="s">
        <v>300</v>
      </c>
      <c r="G2405" s="39" t="s">
        <v>301</v>
      </c>
      <c r="H2405" s="39" t="s">
        <v>5242</v>
      </c>
      <c r="I2405" s="39" t="s">
        <v>229</v>
      </c>
    </row>
    <row r="2406" ht="15.75" hidden="1" customHeight="1">
      <c r="A2406" s="36">
        <v>5929876.0</v>
      </c>
      <c r="B2406" s="37" t="s">
        <v>361</v>
      </c>
      <c r="C2406" s="37" t="s">
        <v>5243</v>
      </c>
      <c r="D2406" s="37" t="s">
        <v>224</v>
      </c>
      <c r="E2406" s="37" t="s">
        <v>875</v>
      </c>
      <c r="F2406" s="37" t="s">
        <v>312</v>
      </c>
      <c r="G2406" s="37" t="s">
        <v>258</v>
      </c>
      <c r="H2406" s="37" t="s">
        <v>5244</v>
      </c>
      <c r="I2406" s="37" t="s">
        <v>260</v>
      </c>
    </row>
    <row r="2407" ht="15.75" hidden="1" customHeight="1">
      <c r="A2407" s="38">
        <v>6011447.0</v>
      </c>
      <c r="B2407" s="39" t="s">
        <v>361</v>
      </c>
      <c r="C2407" s="39" t="s">
        <v>5245</v>
      </c>
      <c r="D2407" s="39" t="s">
        <v>224</v>
      </c>
      <c r="E2407" s="39" t="s">
        <v>875</v>
      </c>
      <c r="F2407" s="39" t="s">
        <v>312</v>
      </c>
      <c r="G2407" s="39" t="s">
        <v>258</v>
      </c>
      <c r="H2407" s="39" t="s">
        <v>5246</v>
      </c>
      <c r="I2407" s="39" t="s">
        <v>260</v>
      </c>
    </row>
    <row r="2408" ht="15.75" hidden="1" customHeight="1">
      <c r="A2408" s="36">
        <v>6038861.0</v>
      </c>
      <c r="B2408" s="37" t="s">
        <v>4119</v>
      </c>
      <c r="C2408" s="37" t="s">
        <v>5247</v>
      </c>
      <c r="D2408" s="37" t="s">
        <v>224</v>
      </c>
      <c r="E2408" s="37" t="s">
        <v>875</v>
      </c>
      <c r="F2408" s="37" t="s">
        <v>312</v>
      </c>
      <c r="G2408" s="37" t="s">
        <v>258</v>
      </c>
      <c r="H2408" s="37" t="s">
        <v>5248</v>
      </c>
      <c r="I2408" s="37" t="s">
        <v>260</v>
      </c>
    </row>
    <row r="2409" ht="15.75" hidden="1" customHeight="1">
      <c r="A2409" s="38">
        <v>5898837.0</v>
      </c>
      <c r="B2409" s="39" t="s">
        <v>329</v>
      </c>
      <c r="C2409" s="39" t="s">
        <v>5249</v>
      </c>
      <c r="D2409" s="39" t="s">
        <v>224</v>
      </c>
      <c r="E2409" s="39" t="s">
        <v>2487</v>
      </c>
      <c r="F2409" s="39" t="s">
        <v>333</v>
      </c>
      <c r="G2409" s="39" t="s">
        <v>301</v>
      </c>
      <c r="H2409" s="39" t="s">
        <v>5250</v>
      </c>
      <c r="I2409" s="39" t="s">
        <v>229</v>
      </c>
    </row>
    <row r="2410" ht="15.75" hidden="1" customHeight="1">
      <c r="A2410" s="36">
        <v>5126446.0</v>
      </c>
      <c r="B2410" s="37" t="s">
        <v>847</v>
      </c>
      <c r="C2410" s="37" t="s">
        <v>5251</v>
      </c>
      <c r="D2410" s="37" t="s">
        <v>224</v>
      </c>
      <c r="E2410" s="37" t="s">
        <v>1418</v>
      </c>
      <c r="F2410" s="37" t="s">
        <v>333</v>
      </c>
      <c r="G2410" s="37" t="s">
        <v>301</v>
      </c>
      <c r="H2410" s="37" t="s">
        <v>5252</v>
      </c>
      <c r="I2410" s="37" t="s">
        <v>229</v>
      </c>
    </row>
    <row r="2411" ht="15.75" hidden="1" customHeight="1">
      <c r="A2411" s="38">
        <v>5898218.0</v>
      </c>
      <c r="B2411" s="39" t="s">
        <v>329</v>
      </c>
      <c r="C2411" s="39" t="s">
        <v>5253</v>
      </c>
      <c r="D2411" s="39" t="s">
        <v>224</v>
      </c>
      <c r="E2411" s="39" t="s">
        <v>2487</v>
      </c>
      <c r="F2411" s="39" t="s">
        <v>333</v>
      </c>
      <c r="G2411" s="39" t="s">
        <v>301</v>
      </c>
      <c r="H2411" s="39" t="s">
        <v>5254</v>
      </c>
      <c r="I2411" s="39" t="s">
        <v>229</v>
      </c>
    </row>
    <row r="2412" ht="15.75" hidden="1" customHeight="1">
      <c r="A2412" s="36">
        <v>5899288.0</v>
      </c>
      <c r="B2412" s="37" t="s">
        <v>222</v>
      </c>
      <c r="C2412" s="37" t="s">
        <v>5255</v>
      </c>
      <c r="D2412" s="37" t="s">
        <v>224</v>
      </c>
      <c r="E2412" s="37" t="s">
        <v>1127</v>
      </c>
      <c r="F2412" s="37" t="s">
        <v>226</v>
      </c>
      <c r="G2412" s="37" t="s">
        <v>227</v>
      </c>
      <c r="H2412" s="37" t="s">
        <v>5256</v>
      </c>
      <c r="I2412" s="37" t="s">
        <v>229</v>
      </c>
    </row>
    <row r="2413" ht="15.75" hidden="1" customHeight="1">
      <c r="A2413" s="38">
        <v>5899380.0</v>
      </c>
      <c r="B2413" s="39" t="s">
        <v>555</v>
      </c>
      <c r="C2413" s="39" t="s">
        <v>5257</v>
      </c>
      <c r="D2413" s="39" t="s">
        <v>224</v>
      </c>
      <c r="E2413" s="39" t="s">
        <v>1069</v>
      </c>
      <c r="F2413" s="39" t="s">
        <v>558</v>
      </c>
      <c r="G2413" s="39" t="s">
        <v>541</v>
      </c>
      <c r="H2413" s="39" t="s">
        <v>5258</v>
      </c>
      <c r="I2413" s="39" t="s">
        <v>229</v>
      </c>
    </row>
    <row r="2414" ht="15.75" hidden="1" customHeight="1">
      <c r="A2414" s="36">
        <v>5653971.0</v>
      </c>
      <c r="B2414" s="37" t="s">
        <v>555</v>
      </c>
      <c r="C2414" s="37" t="s">
        <v>5259</v>
      </c>
      <c r="D2414" s="37" t="s">
        <v>224</v>
      </c>
      <c r="E2414" s="37" t="s">
        <v>1069</v>
      </c>
      <c r="F2414" s="37" t="s">
        <v>558</v>
      </c>
      <c r="G2414" s="37" t="s">
        <v>541</v>
      </c>
      <c r="H2414" s="37" t="s">
        <v>5260</v>
      </c>
      <c r="I2414" s="37" t="s">
        <v>229</v>
      </c>
    </row>
    <row r="2415" ht="15.75" hidden="1" customHeight="1">
      <c r="A2415" s="38">
        <v>3255941.0</v>
      </c>
      <c r="B2415" s="39" t="s">
        <v>813</v>
      </c>
      <c r="C2415" s="39" t="s">
        <v>5261</v>
      </c>
      <c r="D2415" s="39" t="s">
        <v>224</v>
      </c>
      <c r="E2415" s="39" t="s">
        <v>815</v>
      </c>
      <c r="F2415" s="39" t="s">
        <v>679</v>
      </c>
      <c r="G2415" s="39" t="s">
        <v>301</v>
      </c>
      <c r="H2415" s="39" t="s">
        <v>5262</v>
      </c>
      <c r="I2415" s="39" t="s">
        <v>229</v>
      </c>
    </row>
    <row r="2416" ht="15.75" hidden="1" customHeight="1">
      <c r="A2416" s="36">
        <v>5921275.0</v>
      </c>
      <c r="B2416" s="37" t="s">
        <v>416</v>
      </c>
      <c r="C2416" s="37" t="s">
        <v>5263</v>
      </c>
      <c r="D2416" s="37" t="s">
        <v>224</v>
      </c>
      <c r="E2416" s="37" t="s">
        <v>2522</v>
      </c>
      <c r="F2416" s="37" t="s">
        <v>421</v>
      </c>
      <c r="G2416" s="37" t="s">
        <v>227</v>
      </c>
      <c r="H2416" s="37" t="s">
        <v>5264</v>
      </c>
      <c r="I2416" s="37" t="s">
        <v>260</v>
      </c>
    </row>
    <row r="2417" ht="15.75" hidden="1" customHeight="1">
      <c r="A2417" s="38">
        <v>5900562.0</v>
      </c>
      <c r="B2417" s="39" t="s">
        <v>555</v>
      </c>
      <c r="C2417" s="39" t="s">
        <v>5265</v>
      </c>
      <c r="D2417" s="39" t="s">
        <v>224</v>
      </c>
      <c r="E2417" s="39" t="s">
        <v>1069</v>
      </c>
      <c r="F2417" s="39" t="s">
        <v>558</v>
      </c>
      <c r="G2417" s="39" t="s">
        <v>541</v>
      </c>
      <c r="H2417" s="39" t="s">
        <v>5266</v>
      </c>
      <c r="I2417" s="39" t="s">
        <v>229</v>
      </c>
    </row>
    <row r="2418" ht="15.75" hidden="1" customHeight="1">
      <c r="A2418" s="36">
        <v>5899601.0</v>
      </c>
      <c r="B2418" s="37" t="s">
        <v>329</v>
      </c>
      <c r="C2418" s="37" t="s">
        <v>5267</v>
      </c>
      <c r="D2418" s="37" t="s">
        <v>224</v>
      </c>
      <c r="E2418" s="37" t="s">
        <v>2487</v>
      </c>
      <c r="F2418" s="37" t="s">
        <v>333</v>
      </c>
      <c r="G2418" s="37" t="s">
        <v>301</v>
      </c>
      <c r="H2418" s="37" t="s">
        <v>5268</v>
      </c>
      <c r="I2418" s="37" t="s">
        <v>229</v>
      </c>
    </row>
    <row r="2419" ht="15.75" hidden="1" customHeight="1">
      <c r="A2419" s="38">
        <v>5899591.0</v>
      </c>
      <c r="B2419" s="39" t="s">
        <v>329</v>
      </c>
      <c r="C2419" s="39" t="s">
        <v>5269</v>
      </c>
      <c r="D2419" s="39" t="s">
        <v>224</v>
      </c>
      <c r="E2419" s="39" t="s">
        <v>2487</v>
      </c>
      <c r="F2419" s="39" t="s">
        <v>333</v>
      </c>
      <c r="G2419" s="39" t="s">
        <v>301</v>
      </c>
      <c r="H2419" s="39" t="s">
        <v>5270</v>
      </c>
      <c r="I2419" s="39" t="s">
        <v>229</v>
      </c>
    </row>
    <row r="2420" ht="15.75" hidden="1" customHeight="1">
      <c r="A2420" s="36">
        <v>5205174.0</v>
      </c>
      <c r="B2420" s="37" t="s">
        <v>329</v>
      </c>
      <c r="C2420" s="37" t="s">
        <v>5271</v>
      </c>
      <c r="D2420" s="37" t="s">
        <v>224</v>
      </c>
      <c r="E2420" s="37" t="s">
        <v>2487</v>
      </c>
      <c r="F2420" s="37" t="s">
        <v>333</v>
      </c>
      <c r="G2420" s="37" t="s">
        <v>301</v>
      </c>
      <c r="H2420" s="37" t="s">
        <v>5272</v>
      </c>
      <c r="I2420" s="37" t="s">
        <v>229</v>
      </c>
    </row>
    <row r="2421" ht="15.75" hidden="1" customHeight="1">
      <c r="A2421" s="38">
        <v>6079002.0</v>
      </c>
      <c r="B2421" s="39" t="s">
        <v>835</v>
      </c>
      <c r="C2421" s="39" t="s">
        <v>5273</v>
      </c>
      <c r="D2421" s="39" t="s">
        <v>224</v>
      </c>
      <c r="E2421" s="39" t="s">
        <v>837</v>
      </c>
      <c r="F2421" s="39" t="s">
        <v>377</v>
      </c>
      <c r="G2421" s="39" t="s">
        <v>327</v>
      </c>
      <c r="H2421" s="39" t="s">
        <v>5274</v>
      </c>
      <c r="I2421" s="39" t="s">
        <v>229</v>
      </c>
    </row>
    <row r="2422" ht="15.75" hidden="1" customHeight="1">
      <c r="A2422" s="36">
        <v>5899600.0</v>
      </c>
      <c r="B2422" s="37" t="s">
        <v>329</v>
      </c>
      <c r="C2422" s="37" t="s">
        <v>5275</v>
      </c>
      <c r="D2422" s="37" t="s">
        <v>224</v>
      </c>
      <c r="E2422" s="37" t="s">
        <v>2487</v>
      </c>
      <c r="F2422" s="37" t="s">
        <v>333</v>
      </c>
      <c r="G2422" s="37" t="s">
        <v>301</v>
      </c>
      <c r="H2422" s="37" t="s">
        <v>5276</v>
      </c>
      <c r="I2422" s="37" t="s">
        <v>229</v>
      </c>
    </row>
    <row r="2423" ht="15.75" hidden="1" customHeight="1">
      <c r="A2423" s="38">
        <v>6078994.0</v>
      </c>
      <c r="B2423" s="39" t="s">
        <v>835</v>
      </c>
      <c r="C2423" s="39" t="s">
        <v>5277</v>
      </c>
      <c r="D2423" s="39" t="s">
        <v>224</v>
      </c>
      <c r="E2423" s="39" t="s">
        <v>837</v>
      </c>
      <c r="F2423" s="39" t="s">
        <v>377</v>
      </c>
      <c r="G2423" s="39" t="s">
        <v>327</v>
      </c>
      <c r="H2423" s="39" t="s">
        <v>5278</v>
      </c>
      <c r="I2423" s="39" t="s">
        <v>229</v>
      </c>
    </row>
    <row r="2424" ht="15.75" hidden="1" customHeight="1">
      <c r="A2424" s="36">
        <v>3711729.0</v>
      </c>
      <c r="B2424" s="37" t="s">
        <v>530</v>
      </c>
      <c r="C2424" s="37" t="s">
        <v>5279</v>
      </c>
      <c r="D2424" s="37" t="s">
        <v>224</v>
      </c>
      <c r="E2424" s="37" t="s">
        <v>1403</v>
      </c>
      <c r="F2424" s="37" t="s">
        <v>533</v>
      </c>
      <c r="G2424" s="37" t="s">
        <v>250</v>
      </c>
      <c r="H2424" s="37" t="s">
        <v>5280</v>
      </c>
      <c r="I2424" s="37" t="s">
        <v>229</v>
      </c>
    </row>
    <row r="2425" ht="15.75" hidden="1" customHeight="1">
      <c r="A2425" s="38">
        <v>6006188.0</v>
      </c>
      <c r="B2425" s="39" t="s">
        <v>738</v>
      </c>
      <c r="C2425" s="39" t="s">
        <v>5281</v>
      </c>
      <c r="D2425" s="39" t="s">
        <v>224</v>
      </c>
      <c r="E2425" s="39" t="s">
        <v>1458</v>
      </c>
      <c r="F2425" s="39" t="s">
        <v>533</v>
      </c>
      <c r="G2425" s="39" t="s">
        <v>250</v>
      </c>
      <c r="H2425" s="39" t="s">
        <v>5282</v>
      </c>
      <c r="I2425" s="39" t="s">
        <v>229</v>
      </c>
    </row>
    <row r="2426" ht="15.75" hidden="1" customHeight="1">
      <c r="A2426" s="36">
        <v>3582793.0</v>
      </c>
      <c r="B2426" s="37" t="s">
        <v>738</v>
      </c>
      <c r="C2426" s="37" t="s">
        <v>5283</v>
      </c>
      <c r="D2426" s="37" t="s">
        <v>224</v>
      </c>
      <c r="E2426" s="37" t="s">
        <v>1458</v>
      </c>
      <c r="F2426" s="37" t="s">
        <v>533</v>
      </c>
      <c r="G2426" s="37" t="s">
        <v>250</v>
      </c>
      <c r="H2426" s="37" t="s">
        <v>5284</v>
      </c>
      <c r="I2426" s="37" t="s">
        <v>229</v>
      </c>
    </row>
    <row r="2427" ht="15.75" hidden="1" customHeight="1">
      <c r="A2427" s="38">
        <v>5930646.0</v>
      </c>
      <c r="B2427" s="39" t="s">
        <v>738</v>
      </c>
      <c r="C2427" s="39" t="s">
        <v>5285</v>
      </c>
      <c r="D2427" s="39" t="s">
        <v>224</v>
      </c>
      <c r="E2427" s="39" t="s">
        <v>1458</v>
      </c>
      <c r="F2427" s="39" t="s">
        <v>533</v>
      </c>
      <c r="G2427" s="39" t="s">
        <v>250</v>
      </c>
      <c r="H2427" s="39" t="s">
        <v>5286</v>
      </c>
      <c r="I2427" s="39" t="s">
        <v>229</v>
      </c>
    </row>
    <row r="2428" ht="15.75" hidden="1" customHeight="1">
      <c r="A2428" s="36">
        <v>5908265.0</v>
      </c>
      <c r="B2428" s="37" t="s">
        <v>738</v>
      </c>
      <c r="C2428" s="37" t="s">
        <v>5287</v>
      </c>
      <c r="D2428" s="37" t="s">
        <v>224</v>
      </c>
      <c r="E2428" s="37" t="s">
        <v>1458</v>
      </c>
      <c r="F2428" s="37" t="s">
        <v>533</v>
      </c>
      <c r="G2428" s="37" t="s">
        <v>250</v>
      </c>
      <c r="H2428" s="37" t="s">
        <v>5288</v>
      </c>
      <c r="I2428" s="37" t="s">
        <v>229</v>
      </c>
    </row>
    <row r="2429" ht="15.75" hidden="1" customHeight="1">
      <c r="A2429" s="38">
        <v>5945328.0</v>
      </c>
      <c r="B2429" s="39" t="s">
        <v>738</v>
      </c>
      <c r="C2429" s="39" t="s">
        <v>5289</v>
      </c>
      <c r="D2429" s="39" t="s">
        <v>224</v>
      </c>
      <c r="E2429" s="39" t="s">
        <v>1458</v>
      </c>
      <c r="F2429" s="39" t="s">
        <v>533</v>
      </c>
      <c r="G2429" s="39" t="s">
        <v>250</v>
      </c>
      <c r="H2429" s="39" t="s">
        <v>5290</v>
      </c>
      <c r="I2429" s="39" t="s">
        <v>229</v>
      </c>
    </row>
    <row r="2430" ht="15.75" hidden="1" customHeight="1">
      <c r="A2430" s="36">
        <v>5908381.0</v>
      </c>
      <c r="B2430" s="37" t="s">
        <v>738</v>
      </c>
      <c r="C2430" s="37" t="s">
        <v>5291</v>
      </c>
      <c r="D2430" s="37" t="s">
        <v>224</v>
      </c>
      <c r="E2430" s="37" t="s">
        <v>2181</v>
      </c>
      <c r="F2430" s="37" t="s">
        <v>533</v>
      </c>
      <c r="G2430" s="37" t="s">
        <v>250</v>
      </c>
      <c r="H2430" s="37" t="s">
        <v>5292</v>
      </c>
      <c r="I2430" s="37" t="s">
        <v>229</v>
      </c>
    </row>
    <row r="2431" ht="15.75" hidden="1" customHeight="1">
      <c r="A2431" s="38">
        <v>5022860.0</v>
      </c>
      <c r="B2431" s="39" t="s">
        <v>738</v>
      </c>
      <c r="C2431" s="39" t="s">
        <v>5293</v>
      </c>
      <c r="D2431" s="39" t="s">
        <v>224</v>
      </c>
      <c r="E2431" s="39" t="s">
        <v>1458</v>
      </c>
      <c r="F2431" s="39" t="s">
        <v>533</v>
      </c>
      <c r="G2431" s="39" t="s">
        <v>250</v>
      </c>
      <c r="H2431" s="39" t="s">
        <v>5294</v>
      </c>
      <c r="I2431" s="39" t="s">
        <v>229</v>
      </c>
    </row>
    <row r="2432" ht="15.75" hidden="1" customHeight="1">
      <c r="A2432" s="36">
        <v>6079006.0</v>
      </c>
      <c r="B2432" s="37" t="s">
        <v>738</v>
      </c>
      <c r="C2432" s="37" t="s">
        <v>5295</v>
      </c>
      <c r="D2432" s="37" t="s">
        <v>224</v>
      </c>
      <c r="E2432" s="37" t="s">
        <v>5296</v>
      </c>
      <c r="F2432" s="37" t="s">
        <v>3641</v>
      </c>
      <c r="G2432" s="37" t="s">
        <v>3456</v>
      </c>
      <c r="H2432" s="37" t="s">
        <v>5297</v>
      </c>
      <c r="I2432" s="37" t="s">
        <v>229</v>
      </c>
    </row>
    <row r="2433" ht="15.75" hidden="1" customHeight="1">
      <c r="A2433" s="38">
        <v>6078694.0</v>
      </c>
      <c r="B2433" s="39" t="s">
        <v>738</v>
      </c>
      <c r="C2433" s="39" t="s">
        <v>5298</v>
      </c>
      <c r="D2433" s="39" t="s">
        <v>224</v>
      </c>
      <c r="E2433" s="39" t="s">
        <v>5296</v>
      </c>
      <c r="F2433" s="39" t="s">
        <v>3641</v>
      </c>
      <c r="G2433" s="39" t="s">
        <v>3456</v>
      </c>
      <c r="H2433" s="39" t="s">
        <v>5299</v>
      </c>
      <c r="I2433" s="39" t="s">
        <v>229</v>
      </c>
    </row>
    <row r="2434" ht="15.75" hidden="1" customHeight="1">
      <c r="A2434" s="36">
        <v>6078960.0</v>
      </c>
      <c r="B2434" s="37" t="s">
        <v>738</v>
      </c>
      <c r="C2434" s="37" t="s">
        <v>5300</v>
      </c>
      <c r="D2434" s="37" t="s">
        <v>224</v>
      </c>
      <c r="E2434" s="37" t="s">
        <v>5296</v>
      </c>
      <c r="F2434" s="37" t="s">
        <v>3641</v>
      </c>
      <c r="G2434" s="37" t="s">
        <v>3456</v>
      </c>
      <c r="H2434" s="37" t="s">
        <v>5301</v>
      </c>
      <c r="I2434" s="37" t="s">
        <v>229</v>
      </c>
    </row>
    <row r="2435" ht="15.75" hidden="1" customHeight="1">
      <c r="A2435" s="38">
        <v>6078701.0</v>
      </c>
      <c r="B2435" s="39" t="s">
        <v>1791</v>
      </c>
      <c r="C2435" s="39" t="s">
        <v>5302</v>
      </c>
      <c r="D2435" s="39" t="s">
        <v>224</v>
      </c>
      <c r="E2435" s="39" t="s">
        <v>5296</v>
      </c>
      <c r="F2435" s="39" t="s">
        <v>3641</v>
      </c>
      <c r="G2435" s="39" t="s">
        <v>3456</v>
      </c>
      <c r="H2435" s="39" t="s">
        <v>5303</v>
      </c>
      <c r="I2435" s="39" t="s">
        <v>229</v>
      </c>
    </row>
    <row r="2436" ht="15.75" hidden="1" customHeight="1">
      <c r="A2436" s="36">
        <v>6078698.0</v>
      </c>
      <c r="B2436" s="37" t="s">
        <v>1791</v>
      </c>
      <c r="C2436" s="37" t="s">
        <v>5304</v>
      </c>
      <c r="D2436" s="37" t="s">
        <v>224</v>
      </c>
      <c r="E2436" s="37" t="s">
        <v>5296</v>
      </c>
      <c r="F2436" s="37" t="s">
        <v>3641</v>
      </c>
      <c r="G2436" s="37" t="s">
        <v>3456</v>
      </c>
      <c r="H2436" s="37" t="s">
        <v>5305</v>
      </c>
      <c r="I2436" s="37" t="s">
        <v>229</v>
      </c>
    </row>
    <row r="2437" ht="15.75" hidden="1" customHeight="1">
      <c r="A2437" s="38">
        <v>6079111.0</v>
      </c>
      <c r="B2437" s="39" t="s">
        <v>1791</v>
      </c>
      <c r="C2437" s="39" t="s">
        <v>5306</v>
      </c>
      <c r="D2437" s="39" t="s">
        <v>224</v>
      </c>
      <c r="E2437" s="39" t="s">
        <v>5296</v>
      </c>
      <c r="F2437" s="39" t="s">
        <v>3641</v>
      </c>
      <c r="G2437" s="39" t="s">
        <v>3456</v>
      </c>
      <c r="H2437" s="39" t="s">
        <v>5307</v>
      </c>
      <c r="I2437" s="39" t="s">
        <v>229</v>
      </c>
    </row>
    <row r="2438" ht="15.75" hidden="1" customHeight="1">
      <c r="A2438" s="36">
        <v>6078696.0</v>
      </c>
      <c r="B2438" s="37" t="s">
        <v>1791</v>
      </c>
      <c r="C2438" s="37" t="s">
        <v>5308</v>
      </c>
      <c r="D2438" s="37" t="s">
        <v>224</v>
      </c>
      <c r="E2438" s="37" t="s">
        <v>5296</v>
      </c>
      <c r="F2438" s="37" t="s">
        <v>3641</v>
      </c>
      <c r="G2438" s="37" t="s">
        <v>3456</v>
      </c>
      <c r="H2438" s="37" t="s">
        <v>5309</v>
      </c>
      <c r="I2438" s="37" t="s">
        <v>229</v>
      </c>
    </row>
    <row r="2439" ht="15.75" hidden="1" customHeight="1">
      <c r="A2439" s="38">
        <v>6079106.0</v>
      </c>
      <c r="B2439" s="39" t="s">
        <v>738</v>
      </c>
      <c r="C2439" s="39" t="s">
        <v>5310</v>
      </c>
      <c r="D2439" s="39" t="s">
        <v>224</v>
      </c>
      <c r="E2439" s="39" t="s">
        <v>5296</v>
      </c>
      <c r="F2439" s="39" t="s">
        <v>3641</v>
      </c>
      <c r="G2439" s="39" t="s">
        <v>3456</v>
      </c>
      <c r="H2439" s="39" t="s">
        <v>5311</v>
      </c>
      <c r="I2439" s="39" t="s">
        <v>229</v>
      </c>
    </row>
    <row r="2440" ht="15.75" hidden="1" customHeight="1">
      <c r="A2440" s="36">
        <v>6078981.0</v>
      </c>
      <c r="B2440" s="37" t="s">
        <v>738</v>
      </c>
      <c r="C2440" s="37" t="s">
        <v>5312</v>
      </c>
      <c r="D2440" s="37" t="s">
        <v>224</v>
      </c>
      <c r="E2440" s="37" t="s">
        <v>5296</v>
      </c>
      <c r="F2440" s="37" t="s">
        <v>3641</v>
      </c>
      <c r="G2440" s="37" t="s">
        <v>3456</v>
      </c>
      <c r="H2440" s="37" t="s">
        <v>5313</v>
      </c>
      <c r="I2440" s="37" t="s">
        <v>229</v>
      </c>
    </row>
    <row r="2441" ht="15.75" hidden="1" customHeight="1">
      <c r="A2441" s="38">
        <v>6078695.0</v>
      </c>
      <c r="B2441" s="39" t="s">
        <v>1791</v>
      </c>
      <c r="C2441" s="39" t="s">
        <v>5314</v>
      </c>
      <c r="D2441" s="39" t="s">
        <v>224</v>
      </c>
      <c r="E2441" s="39" t="s">
        <v>5296</v>
      </c>
      <c r="F2441" s="39" t="s">
        <v>3641</v>
      </c>
      <c r="G2441" s="39" t="s">
        <v>3456</v>
      </c>
      <c r="H2441" s="39" t="s">
        <v>5315</v>
      </c>
      <c r="I2441" s="39" t="s">
        <v>229</v>
      </c>
    </row>
    <row r="2442" ht="15.75" hidden="1" customHeight="1">
      <c r="A2442" s="36">
        <v>6064966.0</v>
      </c>
      <c r="B2442" s="37" t="s">
        <v>724</v>
      </c>
      <c r="C2442" s="37" t="s">
        <v>5316</v>
      </c>
      <c r="D2442" s="37" t="s">
        <v>224</v>
      </c>
      <c r="E2442" s="37" t="s">
        <v>5317</v>
      </c>
      <c r="F2442" s="37" t="s">
        <v>5318</v>
      </c>
      <c r="G2442" s="37" t="s">
        <v>5319</v>
      </c>
      <c r="H2442" s="37" t="s">
        <v>5320</v>
      </c>
      <c r="I2442" s="37" t="s">
        <v>229</v>
      </c>
    </row>
    <row r="2443" ht="15.75" hidden="1" customHeight="1">
      <c r="A2443" s="38">
        <v>5948160.0</v>
      </c>
      <c r="B2443" s="39" t="s">
        <v>724</v>
      </c>
      <c r="C2443" s="39" t="s">
        <v>5321</v>
      </c>
      <c r="D2443" s="39" t="s">
        <v>224</v>
      </c>
      <c r="E2443" s="39" t="s">
        <v>5317</v>
      </c>
      <c r="F2443" s="39" t="s">
        <v>5318</v>
      </c>
      <c r="G2443" s="39" t="s">
        <v>5319</v>
      </c>
      <c r="H2443" s="39" t="s">
        <v>5322</v>
      </c>
      <c r="I2443" s="39" t="s">
        <v>229</v>
      </c>
    </row>
    <row r="2444" ht="15.75" hidden="1" customHeight="1">
      <c r="A2444" s="36">
        <v>6035083.0</v>
      </c>
      <c r="B2444" s="37" t="s">
        <v>724</v>
      </c>
      <c r="C2444" s="37" t="s">
        <v>5323</v>
      </c>
      <c r="D2444" s="37" t="s">
        <v>224</v>
      </c>
      <c r="E2444" s="37" t="s">
        <v>5317</v>
      </c>
      <c r="F2444" s="37" t="s">
        <v>5318</v>
      </c>
      <c r="G2444" s="37" t="s">
        <v>5319</v>
      </c>
      <c r="H2444" s="37" t="s">
        <v>5324</v>
      </c>
      <c r="I2444" s="37" t="s">
        <v>229</v>
      </c>
    </row>
    <row r="2445" ht="15.75" hidden="1" customHeight="1">
      <c r="A2445" s="38">
        <v>6064977.0</v>
      </c>
      <c r="B2445" s="39" t="s">
        <v>724</v>
      </c>
      <c r="C2445" s="39" t="s">
        <v>5325</v>
      </c>
      <c r="D2445" s="39" t="s">
        <v>224</v>
      </c>
      <c r="E2445" s="39" t="s">
        <v>5317</v>
      </c>
      <c r="F2445" s="39" t="s">
        <v>5318</v>
      </c>
      <c r="G2445" s="39" t="s">
        <v>5319</v>
      </c>
      <c r="H2445" s="39" t="s">
        <v>5326</v>
      </c>
      <c r="I2445" s="39" t="s">
        <v>229</v>
      </c>
    </row>
    <row r="2446" ht="15.75" hidden="1" customHeight="1">
      <c r="A2446" s="36">
        <v>5927830.0</v>
      </c>
      <c r="B2446" s="37" t="s">
        <v>2069</v>
      </c>
      <c r="C2446" s="37" t="s">
        <v>5327</v>
      </c>
      <c r="D2446" s="37" t="s">
        <v>224</v>
      </c>
      <c r="E2446" s="37" t="s">
        <v>2071</v>
      </c>
      <c r="F2446" s="37" t="s">
        <v>300</v>
      </c>
      <c r="G2446" s="37" t="s">
        <v>301</v>
      </c>
      <c r="H2446" s="37" t="s">
        <v>5328</v>
      </c>
      <c r="I2446" s="37" t="s">
        <v>229</v>
      </c>
    </row>
    <row r="2447" ht="15.75" hidden="1" customHeight="1">
      <c r="A2447" s="38">
        <v>6064952.0</v>
      </c>
      <c r="B2447" s="39" t="s">
        <v>724</v>
      </c>
      <c r="C2447" s="39" t="s">
        <v>5329</v>
      </c>
      <c r="D2447" s="39" t="s">
        <v>224</v>
      </c>
      <c r="E2447" s="39" t="s">
        <v>5317</v>
      </c>
      <c r="F2447" s="39" t="s">
        <v>5318</v>
      </c>
      <c r="G2447" s="39" t="s">
        <v>5319</v>
      </c>
      <c r="H2447" s="39" t="s">
        <v>5330</v>
      </c>
      <c r="I2447" s="39" t="s">
        <v>229</v>
      </c>
    </row>
    <row r="2448" ht="15.75" hidden="1" customHeight="1">
      <c r="A2448" s="36">
        <v>5927831.0</v>
      </c>
      <c r="B2448" s="37" t="s">
        <v>1932</v>
      </c>
      <c r="C2448" s="37" t="s">
        <v>5331</v>
      </c>
      <c r="D2448" s="37" t="s">
        <v>224</v>
      </c>
      <c r="E2448" s="37" t="s">
        <v>1934</v>
      </c>
      <c r="F2448" s="37" t="s">
        <v>300</v>
      </c>
      <c r="G2448" s="37" t="s">
        <v>301</v>
      </c>
      <c r="H2448" s="37" t="s">
        <v>5332</v>
      </c>
      <c r="I2448" s="37" t="s">
        <v>229</v>
      </c>
    </row>
    <row r="2449" ht="15.75" hidden="1" customHeight="1">
      <c r="A2449" s="38">
        <v>6064987.0</v>
      </c>
      <c r="B2449" s="39" t="s">
        <v>724</v>
      </c>
      <c r="C2449" s="39" t="s">
        <v>5333</v>
      </c>
      <c r="D2449" s="39" t="s">
        <v>224</v>
      </c>
      <c r="E2449" s="39" t="s">
        <v>5317</v>
      </c>
      <c r="F2449" s="39" t="s">
        <v>5318</v>
      </c>
      <c r="G2449" s="39" t="s">
        <v>5319</v>
      </c>
      <c r="H2449" s="39" t="s">
        <v>5334</v>
      </c>
      <c r="I2449" s="39" t="s">
        <v>229</v>
      </c>
    </row>
    <row r="2450" ht="15.75" hidden="1" customHeight="1">
      <c r="A2450" s="36">
        <v>5927833.0</v>
      </c>
      <c r="B2450" s="37" t="s">
        <v>1932</v>
      </c>
      <c r="C2450" s="37" t="s">
        <v>5335</v>
      </c>
      <c r="D2450" s="37" t="s">
        <v>224</v>
      </c>
      <c r="E2450" s="37" t="s">
        <v>1934</v>
      </c>
      <c r="F2450" s="37" t="s">
        <v>300</v>
      </c>
      <c r="G2450" s="37" t="s">
        <v>301</v>
      </c>
      <c r="H2450" s="37" t="s">
        <v>5336</v>
      </c>
      <c r="I2450" s="37" t="s">
        <v>229</v>
      </c>
    </row>
    <row r="2451" ht="15.75" hidden="1" customHeight="1">
      <c r="A2451" s="38">
        <v>6064979.0</v>
      </c>
      <c r="B2451" s="39" t="s">
        <v>724</v>
      </c>
      <c r="C2451" s="39" t="s">
        <v>5337</v>
      </c>
      <c r="D2451" s="39" t="s">
        <v>224</v>
      </c>
      <c r="E2451" s="39" t="s">
        <v>5317</v>
      </c>
      <c r="F2451" s="39" t="s">
        <v>5318</v>
      </c>
      <c r="G2451" s="39" t="s">
        <v>5319</v>
      </c>
      <c r="H2451" s="39" t="s">
        <v>5338</v>
      </c>
      <c r="I2451" s="39" t="s">
        <v>229</v>
      </c>
    </row>
    <row r="2452" ht="15.75" hidden="1" customHeight="1">
      <c r="A2452" s="36">
        <v>5929637.0</v>
      </c>
      <c r="B2452" s="37" t="s">
        <v>1932</v>
      </c>
      <c r="C2452" s="37" t="s">
        <v>5339</v>
      </c>
      <c r="D2452" s="37" t="s">
        <v>224</v>
      </c>
      <c r="E2452" s="37" t="s">
        <v>2071</v>
      </c>
      <c r="F2452" s="37" t="s">
        <v>300</v>
      </c>
      <c r="G2452" s="37" t="s">
        <v>301</v>
      </c>
      <c r="H2452" s="37" t="s">
        <v>5340</v>
      </c>
      <c r="I2452" s="37" t="s">
        <v>229</v>
      </c>
    </row>
    <row r="2453" ht="15.75" hidden="1" customHeight="1">
      <c r="A2453" s="38">
        <v>4773722.0</v>
      </c>
      <c r="B2453" s="39" t="s">
        <v>724</v>
      </c>
      <c r="C2453" s="39" t="s">
        <v>5341</v>
      </c>
      <c r="D2453" s="39" t="s">
        <v>224</v>
      </c>
      <c r="E2453" s="39" t="s">
        <v>5317</v>
      </c>
      <c r="F2453" s="39" t="s">
        <v>5318</v>
      </c>
      <c r="G2453" s="39" t="s">
        <v>5319</v>
      </c>
      <c r="H2453" s="39" t="s">
        <v>5342</v>
      </c>
      <c r="I2453" s="39" t="s">
        <v>229</v>
      </c>
    </row>
    <row r="2454" ht="15.75" hidden="1" customHeight="1">
      <c r="A2454" s="36">
        <v>5927829.0</v>
      </c>
      <c r="B2454" s="37" t="s">
        <v>2069</v>
      </c>
      <c r="C2454" s="37" t="s">
        <v>5343</v>
      </c>
      <c r="D2454" s="37" t="s">
        <v>224</v>
      </c>
      <c r="E2454" s="37" t="s">
        <v>2071</v>
      </c>
      <c r="F2454" s="37" t="s">
        <v>300</v>
      </c>
      <c r="G2454" s="37" t="s">
        <v>301</v>
      </c>
      <c r="H2454" s="37" t="s">
        <v>5344</v>
      </c>
      <c r="I2454" s="37" t="s">
        <v>229</v>
      </c>
    </row>
    <row r="2455" ht="15.75" hidden="1" customHeight="1">
      <c r="A2455" s="38">
        <v>5930649.0</v>
      </c>
      <c r="B2455" s="39" t="s">
        <v>738</v>
      </c>
      <c r="C2455" s="39" t="s">
        <v>5345</v>
      </c>
      <c r="D2455" s="39" t="s">
        <v>224</v>
      </c>
      <c r="E2455" s="39" t="s">
        <v>1510</v>
      </c>
      <c r="F2455" s="39" t="s">
        <v>533</v>
      </c>
      <c r="G2455" s="39" t="s">
        <v>250</v>
      </c>
      <c r="H2455" s="39" t="s">
        <v>5346</v>
      </c>
      <c r="I2455" s="39" t="s">
        <v>229</v>
      </c>
    </row>
    <row r="2456" ht="15.75" hidden="1" customHeight="1">
      <c r="A2456" s="36">
        <v>5061236.0</v>
      </c>
      <c r="B2456" s="37" t="s">
        <v>530</v>
      </c>
      <c r="C2456" s="37" t="s">
        <v>5347</v>
      </c>
      <c r="D2456" s="37" t="s">
        <v>224</v>
      </c>
      <c r="E2456" s="37" t="s">
        <v>1510</v>
      </c>
      <c r="F2456" s="37" t="s">
        <v>533</v>
      </c>
      <c r="G2456" s="37" t="s">
        <v>250</v>
      </c>
      <c r="H2456" s="37" t="s">
        <v>5348</v>
      </c>
      <c r="I2456" s="37" t="s">
        <v>229</v>
      </c>
    </row>
    <row r="2457" ht="15.75" hidden="1" customHeight="1">
      <c r="A2457" s="38">
        <v>5930773.0</v>
      </c>
      <c r="B2457" s="39" t="s">
        <v>738</v>
      </c>
      <c r="C2457" s="39" t="s">
        <v>5349</v>
      </c>
      <c r="D2457" s="39" t="s">
        <v>224</v>
      </c>
      <c r="E2457" s="39" t="s">
        <v>1403</v>
      </c>
      <c r="F2457" s="39" t="s">
        <v>533</v>
      </c>
      <c r="G2457" s="39" t="s">
        <v>250</v>
      </c>
      <c r="H2457" s="39" t="s">
        <v>5350</v>
      </c>
      <c r="I2457" s="39" t="s">
        <v>229</v>
      </c>
    </row>
    <row r="2458" ht="15.75" hidden="1" customHeight="1">
      <c r="A2458" s="36">
        <v>5929662.0</v>
      </c>
      <c r="B2458" s="37" t="s">
        <v>847</v>
      </c>
      <c r="C2458" s="37" t="s">
        <v>5351</v>
      </c>
      <c r="D2458" s="37" t="s">
        <v>224</v>
      </c>
      <c r="E2458" s="37" t="s">
        <v>1418</v>
      </c>
      <c r="F2458" s="37" t="s">
        <v>333</v>
      </c>
      <c r="G2458" s="37" t="s">
        <v>301</v>
      </c>
      <c r="H2458" s="37" t="s">
        <v>5352</v>
      </c>
      <c r="I2458" s="37" t="s">
        <v>229</v>
      </c>
    </row>
    <row r="2459" ht="15.75" hidden="1" customHeight="1">
      <c r="A2459" s="38">
        <v>5987115.0</v>
      </c>
      <c r="B2459" s="39" t="s">
        <v>457</v>
      </c>
      <c r="C2459" s="39" t="s">
        <v>5353</v>
      </c>
      <c r="D2459" s="39" t="s">
        <v>224</v>
      </c>
      <c r="E2459" s="39" t="s">
        <v>1145</v>
      </c>
      <c r="F2459" s="39" t="s">
        <v>292</v>
      </c>
      <c r="G2459" s="39" t="s">
        <v>293</v>
      </c>
      <c r="H2459" s="39" t="s">
        <v>5354</v>
      </c>
      <c r="I2459" s="39" t="s">
        <v>229</v>
      </c>
    </row>
    <row r="2460" ht="15.75" hidden="1" customHeight="1">
      <c r="A2460" s="36">
        <v>5987119.0</v>
      </c>
      <c r="B2460" s="37" t="s">
        <v>457</v>
      </c>
      <c r="C2460" s="37" t="s">
        <v>5355</v>
      </c>
      <c r="D2460" s="37" t="s">
        <v>224</v>
      </c>
      <c r="E2460" s="37" t="s">
        <v>1145</v>
      </c>
      <c r="F2460" s="37" t="s">
        <v>292</v>
      </c>
      <c r="G2460" s="37" t="s">
        <v>293</v>
      </c>
      <c r="H2460" s="37" t="s">
        <v>5356</v>
      </c>
      <c r="I2460" s="37" t="s">
        <v>229</v>
      </c>
    </row>
    <row r="2461" ht="15.75" hidden="1" customHeight="1">
      <c r="A2461" s="38">
        <v>5948333.0</v>
      </c>
      <c r="B2461" s="39" t="s">
        <v>738</v>
      </c>
      <c r="C2461" s="39" t="s">
        <v>5357</v>
      </c>
      <c r="D2461" s="39" t="s">
        <v>224</v>
      </c>
      <c r="E2461" s="39" t="s">
        <v>3967</v>
      </c>
      <c r="F2461" s="39" t="s">
        <v>533</v>
      </c>
      <c r="G2461" s="39" t="s">
        <v>250</v>
      </c>
      <c r="H2461" s="39" t="s">
        <v>5358</v>
      </c>
      <c r="I2461" s="39" t="s">
        <v>229</v>
      </c>
    </row>
    <row r="2462" ht="15.75" hidden="1" customHeight="1">
      <c r="A2462" s="36">
        <v>5957348.0</v>
      </c>
      <c r="B2462" s="37" t="s">
        <v>676</v>
      </c>
      <c r="C2462" s="37" t="s">
        <v>5359</v>
      </c>
      <c r="D2462" s="37" t="s">
        <v>331</v>
      </c>
      <c r="E2462" s="37" t="s">
        <v>1859</v>
      </c>
      <c r="F2462" s="37" t="s">
        <v>679</v>
      </c>
      <c r="G2462" s="37" t="s">
        <v>301</v>
      </c>
      <c r="H2462" s="37" t="s">
        <v>5360</v>
      </c>
      <c r="I2462" s="37" t="s">
        <v>229</v>
      </c>
    </row>
    <row r="2463" ht="15.75" hidden="1" customHeight="1">
      <c r="A2463" s="38">
        <v>5958473.0</v>
      </c>
      <c r="B2463" s="39" t="s">
        <v>1932</v>
      </c>
      <c r="C2463" s="39" t="s">
        <v>5361</v>
      </c>
      <c r="D2463" s="39" t="s">
        <v>224</v>
      </c>
      <c r="E2463" s="39" t="s">
        <v>1934</v>
      </c>
      <c r="F2463" s="39" t="s">
        <v>300</v>
      </c>
      <c r="G2463" s="39" t="s">
        <v>301</v>
      </c>
      <c r="H2463" s="39" t="s">
        <v>5362</v>
      </c>
      <c r="I2463" s="39" t="s">
        <v>229</v>
      </c>
    </row>
    <row r="2464" ht="15.75" hidden="1" customHeight="1">
      <c r="A2464" s="36">
        <v>4706477.0</v>
      </c>
      <c r="B2464" s="37" t="s">
        <v>530</v>
      </c>
      <c r="C2464" s="37" t="s">
        <v>5363</v>
      </c>
      <c r="D2464" s="37" t="s">
        <v>224</v>
      </c>
      <c r="E2464" s="37" t="s">
        <v>1760</v>
      </c>
      <c r="F2464" s="37" t="s">
        <v>533</v>
      </c>
      <c r="G2464" s="37" t="s">
        <v>250</v>
      </c>
      <c r="H2464" s="37" t="s">
        <v>5364</v>
      </c>
      <c r="I2464" s="37" t="s">
        <v>229</v>
      </c>
    </row>
    <row r="2465" ht="15.75" hidden="1" customHeight="1">
      <c r="A2465" s="38">
        <v>6003019.0</v>
      </c>
      <c r="B2465" s="39" t="s">
        <v>853</v>
      </c>
      <c r="C2465" s="39" t="s">
        <v>5365</v>
      </c>
      <c r="D2465" s="39" t="s">
        <v>224</v>
      </c>
      <c r="E2465" s="39" t="s">
        <v>1062</v>
      </c>
      <c r="F2465" s="39" t="s">
        <v>249</v>
      </c>
      <c r="G2465" s="39" t="s">
        <v>250</v>
      </c>
      <c r="H2465" s="39" t="s">
        <v>5366</v>
      </c>
      <c r="I2465" s="39" t="s">
        <v>229</v>
      </c>
    </row>
    <row r="2466" ht="15.75" hidden="1" customHeight="1">
      <c r="A2466" s="36">
        <v>5971530.0</v>
      </c>
      <c r="B2466" s="37" t="s">
        <v>738</v>
      </c>
      <c r="C2466" s="37" t="s">
        <v>5367</v>
      </c>
      <c r="D2466" s="37" t="s">
        <v>224</v>
      </c>
      <c r="E2466" s="37" t="s">
        <v>2181</v>
      </c>
      <c r="F2466" s="37" t="s">
        <v>533</v>
      </c>
      <c r="G2466" s="37" t="s">
        <v>250</v>
      </c>
      <c r="H2466" s="37" t="s">
        <v>5368</v>
      </c>
      <c r="I2466" s="37" t="s">
        <v>229</v>
      </c>
    </row>
    <row r="2467" ht="15.75" hidden="1" customHeight="1">
      <c r="A2467" s="38">
        <v>6003026.0</v>
      </c>
      <c r="B2467" s="39" t="s">
        <v>853</v>
      </c>
      <c r="C2467" s="39" t="s">
        <v>5369</v>
      </c>
      <c r="D2467" s="39" t="s">
        <v>224</v>
      </c>
      <c r="E2467" s="39" t="s">
        <v>1062</v>
      </c>
      <c r="F2467" s="39" t="s">
        <v>249</v>
      </c>
      <c r="G2467" s="39" t="s">
        <v>250</v>
      </c>
      <c r="H2467" s="39" t="s">
        <v>5370</v>
      </c>
      <c r="I2467" s="39" t="s">
        <v>229</v>
      </c>
    </row>
    <row r="2468" ht="15.75" hidden="1" customHeight="1">
      <c r="A2468" s="36">
        <v>6004524.0</v>
      </c>
      <c r="B2468" s="37" t="s">
        <v>853</v>
      </c>
      <c r="C2468" s="37" t="s">
        <v>5371</v>
      </c>
      <c r="D2468" s="37" t="s">
        <v>224</v>
      </c>
      <c r="E2468" s="37" t="s">
        <v>1062</v>
      </c>
      <c r="F2468" s="37" t="s">
        <v>249</v>
      </c>
      <c r="G2468" s="37" t="s">
        <v>250</v>
      </c>
      <c r="H2468" s="37" t="s">
        <v>5372</v>
      </c>
      <c r="I2468" s="37" t="s">
        <v>229</v>
      </c>
    </row>
    <row r="2469" ht="15.75" hidden="1" customHeight="1">
      <c r="A2469" s="38">
        <v>5346322.0</v>
      </c>
      <c r="B2469" s="39" t="s">
        <v>853</v>
      </c>
      <c r="C2469" s="39" t="s">
        <v>5373</v>
      </c>
      <c r="D2469" s="39" t="s">
        <v>224</v>
      </c>
      <c r="E2469" s="39" t="s">
        <v>1062</v>
      </c>
      <c r="F2469" s="39" t="s">
        <v>249</v>
      </c>
      <c r="G2469" s="39" t="s">
        <v>250</v>
      </c>
      <c r="H2469" s="39" t="s">
        <v>5374</v>
      </c>
      <c r="I2469" s="39" t="s">
        <v>229</v>
      </c>
    </row>
    <row r="2470" ht="15.75" hidden="1" customHeight="1">
      <c r="A2470" s="36">
        <v>6003419.0</v>
      </c>
      <c r="B2470" s="37" t="s">
        <v>853</v>
      </c>
      <c r="C2470" s="37" t="s">
        <v>5375</v>
      </c>
      <c r="D2470" s="37" t="s">
        <v>224</v>
      </c>
      <c r="E2470" s="37" t="s">
        <v>1062</v>
      </c>
      <c r="F2470" s="37" t="s">
        <v>249</v>
      </c>
      <c r="G2470" s="37" t="s">
        <v>250</v>
      </c>
      <c r="H2470" s="37" t="s">
        <v>5376</v>
      </c>
      <c r="I2470" s="37" t="s">
        <v>229</v>
      </c>
    </row>
    <row r="2471" ht="15.75" hidden="1" customHeight="1">
      <c r="A2471" s="38">
        <v>6003418.0</v>
      </c>
      <c r="B2471" s="39" t="s">
        <v>853</v>
      </c>
      <c r="C2471" s="39" t="s">
        <v>5377</v>
      </c>
      <c r="D2471" s="39" t="s">
        <v>224</v>
      </c>
      <c r="E2471" s="39" t="s">
        <v>1062</v>
      </c>
      <c r="F2471" s="39" t="s">
        <v>249</v>
      </c>
      <c r="G2471" s="39" t="s">
        <v>250</v>
      </c>
      <c r="H2471" s="39" t="s">
        <v>5378</v>
      </c>
      <c r="I2471" s="39" t="s">
        <v>229</v>
      </c>
    </row>
    <row r="2472" ht="15.75" hidden="1" customHeight="1">
      <c r="A2472" s="36">
        <v>5972741.0</v>
      </c>
      <c r="B2472" s="37" t="s">
        <v>738</v>
      </c>
      <c r="C2472" s="37" t="s">
        <v>5379</v>
      </c>
      <c r="D2472" s="37" t="s">
        <v>224</v>
      </c>
      <c r="E2472" s="37" t="s">
        <v>2181</v>
      </c>
      <c r="F2472" s="37" t="s">
        <v>533</v>
      </c>
      <c r="G2472" s="37" t="s">
        <v>250</v>
      </c>
      <c r="H2472" s="37" t="s">
        <v>5380</v>
      </c>
      <c r="I2472" s="37" t="s">
        <v>229</v>
      </c>
    </row>
    <row r="2473" ht="15.75" hidden="1" customHeight="1">
      <c r="A2473" s="38">
        <v>5974376.0</v>
      </c>
      <c r="B2473" s="39" t="s">
        <v>425</v>
      </c>
      <c r="C2473" s="39" t="s">
        <v>5381</v>
      </c>
      <c r="D2473" s="39" t="s">
        <v>224</v>
      </c>
      <c r="E2473" s="39" t="s">
        <v>1391</v>
      </c>
      <c r="F2473" s="39" t="s">
        <v>312</v>
      </c>
      <c r="G2473" s="37" t="s">
        <v>3</v>
      </c>
      <c r="H2473" s="39" t="s">
        <v>5382</v>
      </c>
      <c r="I2473" s="39" t="s">
        <v>260</v>
      </c>
    </row>
    <row r="2474" ht="15.75" hidden="1" customHeight="1">
      <c r="A2474" s="36">
        <v>5972779.0</v>
      </c>
      <c r="B2474" s="37" t="s">
        <v>425</v>
      </c>
      <c r="C2474" s="37" t="s">
        <v>5383</v>
      </c>
      <c r="D2474" s="37" t="s">
        <v>224</v>
      </c>
      <c r="E2474" s="37" t="s">
        <v>1391</v>
      </c>
      <c r="F2474" s="37" t="s">
        <v>312</v>
      </c>
      <c r="G2474" s="37" t="s">
        <v>3</v>
      </c>
      <c r="H2474" s="37" t="s">
        <v>5384</v>
      </c>
      <c r="I2474" s="37" t="s">
        <v>260</v>
      </c>
    </row>
    <row r="2475" ht="15.75" hidden="1" customHeight="1">
      <c r="A2475" s="38">
        <v>6000225.0</v>
      </c>
      <c r="B2475" s="39" t="s">
        <v>425</v>
      </c>
      <c r="C2475" s="39" t="s">
        <v>5385</v>
      </c>
      <c r="D2475" s="39" t="s">
        <v>224</v>
      </c>
      <c r="E2475" s="39" t="s">
        <v>1391</v>
      </c>
      <c r="F2475" s="39" t="s">
        <v>312</v>
      </c>
      <c r="G2475" s="37" t="s">
        <v>3</v>
      </c>
      <c r="H2475" s="39" t="s">
        <v>5386</v>
      </c>
      <c r="I2475" s="39" t="s">
        <v>260</v>
      </c>
    </row>
    <row r="2476" ht="15.75" hidden="1" customHeight="1">
      <c r="A2476" s="36">
        <v>5999374.0</v>
      </c>
      <c r="B2476" s="37" t="s">
        <v>425</v>
      </c>
      <c r="C2476" s="37" t="s">
        <v>5387</v>
      </c>
      <c r="D2476" s="37" t="s">
        <v>224</v>
      </c>
      <c r="E2476" s="37" t="s">
        <v>1391</v>
      </c>
      <c r="F2476" s="37" t="s">
        <v>312</v>
      </c>
      <c r="G2476" s="37" t="s">
        <v>3</v>
      </c>
      <c r="H2476" s="37" t="s">
        <v>5388</v>
      </c>
      <c r="I2476" s="37" t="s">
        <v>260</v>
      </c>
    </row>
    <row r="2477" ht="15.75" hidden="1" customHeight="1">
      <c r="A2477" s="38">
        <v>5972598.0</v>
      </c>
      <c r="B2477" s="39" t="s">
        <v>425</v>
      </c>
      <c r="C2477" s="39" t="s">
        <v>5389</v>
      </c>
      <c r="D2477" s="39" t="s">
        <v>224</v>
      </c>
      <c r="E2477" s="39" t="s">
        <v>1391</v>
      </c>
      <c r="F2477" s="39" t="s">
        <v>312</v>
      </c>
      <c r="G2477" s="37" t="s">
        <v>3</v>
      </c>
      <c r="H2477" s="39" t="s">
        <v>5390</v>
      </c>
      <c r="I2477" s="39" t="s">
        <v>260</v>
      </c>
    </row>
    <row r="2478" ht="15.75" hidden="1" customHeight="1">
      <c r="A2478" s="36">
        <v>5994603.0</v>
      </c>
      <c r="B2478" s="37" t="s">
        <v>425</v>
      </c>
      <c r="C2478" s="37" t="s">
        <v>5391</v>
      </c>
      <c r="D2478" s="37" t="s">
        <v>224</v>
      </c>
      <c r="E2478" s="37" t="s">
        <v>1391</v>
      </c>
      <c r="F2478" s="37" t="s">
        <v>312</v>
      </c>
      <c r="G2478" s="37" t="s">
        <v>3</v>
      </c>
      <c r="H2478" s="37" t="s">
        <v>5392</v>
      </c>
      <c r="I2478" s="37" t="s">
        <v>260</v>
      </c>
    </row>
    <row r="2479" ht="15.75" hidden="1" customHeight="1">
      <c r="A2479" s="38">
        <v>4979876.0</v>
      </c>
      <c r="B2479" s="39" t="s">
        <v>738</v>
      </c>
      <c r="C2479" s="39" t="s">
        <v>5393</v>
      </c>
      <c r="D2479" s="39" t="s">
        <v>224</v>
      </c>
      <c r="E2479" s="39" t="s">
        <v>1760</v>
      </c>
      <c r="F2479" s="39" t="s">
        <v>533</v>
      </c>
      <c r="G2479" s="39" t="s">
        <v>250</v>
      </c>
      <c r="H2479" s="39" t="s">
        <v>5394</v>
      </c>
      <c r="I2479" s="39" t="s">
        <v>229</v>
      </c>
    </row>
    <row r="2480" ht="15.75" hidden="1" customHeight="1">
      <c r="A2480" s="36">
        <v>5976422.0</v>
      </c>
      <c r="B2480" s="37" t="s">
        <v>329</v>
      </c>
      <c r="C2480" s="37" t="s">
        <v>5395</v>
      </c>
      <c r="D2480" s="37" t="s">
        <v>224</v>
      </c>
      <c r="E2480" s="37" t="s">
        <v>2487</v>
      </c>
      <c r="F2480" s="37" t="s">
        <v>333</v>
      </c>
      <c r="G2480" s="37" t="s">
        <v>301</v>
      </c>
      <c r="H2480" s="37" t="s">
        <v>5396</v>
      </c>
      <c r="I2480" s="37" t="s">
        <v>229</v>
      </c>
    </row>
    <row r="2481" ht="15.75" hidden="1" customHeight="1">
      <c r="A2481" s="38">
        <v>5783697.0</v>
      </c>
      <c r="B2481" s="39" t="s">
        <v>329</v>
      </c>
      <c r="C2481" s="39" t="s">
        <v>5397</v>
      </c>
      <c r="D2481" s="39" t="s">
        <v>224</v>
      </c>
      <c r="E2481" s="39" t="s">
        <v>2487</v>
      </c>
      <c r="F2481" s="39" t="s">
        <v>333</v>
      </c>
      <c r="G2481" s="39" t="s">
        <v>301</v>
      </c>
      <c r="H2481" s="39" t="s">
        <v>5398</v>
      </c>
      <c r="I2481" s="39" t="s">
        <v>229</v>
      </c>
    </row>
    <row r="2482" ht="15.75" hidden="1" customHeight="1">
      <c r="A2482" s="36">
        <v>5977609.0</v>
      </c>
      <c r="B2482" s="37" t="s">
        <v>847</v>
      </c>
      <c r="C2482" s="37" t="s">
        <v>5399</v>
      </c>
      <c r="D2482" s="37" t="s">
        <v>224</v>
      </c>
      <c r="E2482" s="37" t="s">
        <v>1418</v>
      </c>
      <c r="F2482" s="37" t="s">
        <v>333</v>
      </c>
      <c r="G2482" s="37" t="s">
        <v>301</v>
      </c>
      <c r="H2482" s="37" t="s">
        <v>5400</v>
      </c>
      <c r="I2482" s="37" t="s">
        <v>229</v>
      </c>
    </row>
    <row r="2483" ht="15.75" hidden="1" customHeight="1">
      <c r="A2483" s="38">
        <v>5978456.0</v>
      </c>
      <c r="B2483" s="39" t="s">
        <v>329</v>
      </c>
      <c r="C2483" s="39" t="s">
        <v>5401</v>
      </c>
      <c r="D2483" s="39" t="s">
        <v>224</v>
      </c>
      <c r="E2483" s="39" t="s">
        <v>2487</v>
      </c>
      <c r="F2483" s="39" t="s">
        <v>333</v>
      </c>
      <c r="G2483" s="39" t="s">
        <v>301</v>
      </c>
      <c r="H2483" s="39" t="s">
        <v>5402</v>
      </c>
      <c r="I2483" s="39" t="s">
        <v>229</v>
      </c>
    </row>
    <row r="2484" ht="15.75" hidden="1" customHeight="1">
      <c r="A2484" s="36">
        <v>6030973.0</v>
      </c>
      <c r="B2484" s="37" t="s">
        <v>555</v>
      </c>
      <c r="C2484" s="37" t="s">
        <v>5403</v>
      </c>
      <c r="D2484" s="37" t="s">
        <v>224</v>
      </c>
      <c r="E2484" s="37" t="s">
        <v>1069</v>
      </c>
      <c r="F2484" s="37" t="s">
        <v>558</v>
      </c>
      <c r="G2484" s="37" t="s">
        <v>541</v>
      </c>
      <c r="H2484" s="37" t="s">
        <v>5404</v>
      </c>
      <c r="I2484" s="37" t="s">
        <v>229</v>
      </c>
    </row>
    <row r="2485" ht="15.75" hidden="1" customHeight="1">
      <c r="A2485" s="38">
        <v>6033574.0</v>
      </c>
      <c r="B2485" s="39" t="s">
        <v>555</v>
      </c>
      <c r="C2485" s="39" t="s">
        <v>5405</v>
      </c>
      <c r="D2485" s="39" t="s">
        <v>224</v>
      </c>
      <c r="E2485" s="39" t="s">
        <v>1069</v>
      </c>
      <c r="F2485" s="39" t="s">
        <v>558</v>
      </c>
      <c r="G2485" s="39" t="s">
        <v>541</v>
      </c>
      <c r="H2485" s="39" t="s">
        <v>5406</v>
      </c>
      <c r="I2485" s="39" t="s">
        <v>229</v>
      </c>
    </row>
    <row r="2486" ht="15.75" hidden="1" customHeight="1">
      <c r="A2486" s="36">
        <v>6019192.0</v>
      </c>
      <c r="B2486" s="37" t="s">
        <v>316</v>
      </c>
      <c r="C2486" s="37" t="s">
        <v>5407</v>
      </c>
      <c r="D2486" s="37" t="s">
        <v>224</v>
      </c>
      <c r="E2486" s="37" t="s">
        <v>1773</v>
      </c>
      <c r="F2486" s="37" t="s">
        <v>293</v>
      </c>
      <c r="G2486" s="37" t="s">
        <v>319</v>
      </c>
      <c r="H2486" s="37" t="s">
        <v>5408</v>
      </c>
      <c r="I2486" s="37" t="s">
        <v>229</v>
      </c>
    </row>
    <row r="2487" ht="15.75" hidden="1" customHeight="1">
      <c r="A2487" s="38">
        <v>6019101.0</v>
      </c>
      <c r="B2487" s="39" t="s">
        <v>316</v>
      </c>
      <c r="C2487" s="39" t="s">
        <v>5409</v>
      </c>
      <c r="D2487" s="39" t="s">
        <v>224</v>
      </c>
      <c r="E2487" s="39" t="s">
        <v>1773</v>
      </c>
      <c r="F2487" s="39" t="s">
        <v>293</v>
      </c>
      <c r="G2487" s="39" t="s">
        <v>319</v>
      </c>
      <c r="H2487" s="39" t="s">
        <v>5410</v>
      </c>
      <c r="I2487" s="39" t="s">
        <v>229</v>
      </c>
    </row>
    <row r="2488" ht="15.75" hidden="1" customHeight="1">
      <c r="A2488" s="36">
        <v>6019139.0</v>
      </c>
      <c r="B2488" s="37" t="s">
        <v>316</v>
      </c>
      <c r="C2488" s="37" t="s">
        <v>5411</v>
      </c>
      <c r="D2488" s="37" t="s">
        <v>224</v>
      </c>
      <c r="E2488" s="37" t="s">
        <v>1773</v>
      </c>
      <c r="F2488" s="37" t="s">
        <v>293</v>
      </c>
      <c r="G2488" s="37" t="s">
        <v>319</v>
      </c>
      <c r="H2488" s="37" t="s">
        <v>5412</v>
      </c>
      <c r="I2488" s="37" t="s">
        <v>229</v>
      </c>
    </row>
    <row r="2489" ht="15.75" hidden="1" customHeight="1">
      <c r="A2489" s="38">
        <v>5709731.0</v>
      </c>
      <c r="B2489" s="39" t="s">
        <v>316</v>
      </c>
      <c r="C2489" s="39" t="s">
        <v>5413</v>
      </c>
      <c r="D2489" s="39" t="s">
        <v>224</v>
      </c>
      <c r="E2489" s="39" t="s">
        <v>1773</v>
      </c>
      <c r="F2489" s="39" t="s">
        <v>293</v>
      </c>
      <c r="G2489" s="39" t="s">
        <v>319</v>
      </c>
      <c r="H2489" s="39" t="s">
        <v>5414</v>
      </c>
      <c r="I2489" s="39" t="s">
        <v>229</v>
      </c>
    </row>
    <row r="2490" ht="15.75" hidden="1" customHeight="1">
      <c r="A2490" s="36">
        <v>6019194.0</v>
      </c>
      <c r="B2490" s="37" t="s">
        <v>316</v>
      </c>
      <c r="C2490" s="37" t="s">
        <v>5415</v>
      </c>
      <c r="D2490" s="37" t="s">
        <v>224</v>
      </c>
      <c r="E2490" s="37" t="s">
        <v>1773</v>
      </c>
      <c r="F2490" s="37" t="s">
        <v>293</v>
      </c>
      <c r="G2490" s="37" t="s">
        <v>319</v>
      </c>
      <c r="H2490" s="37" t="s">
        <v>5416</v>
      </c>
      <c r="I2490" s="37" t="s">
        <v>229</v>
      </c>
    </row>
    <row r="2491" ht="15.75" hidden="1" customHeight="1">
      <c r="A2491" s="38">
        <v>5987110.0</v>
      </c>
      <c r="B2491" s="39" t="s">
        <v>289</v>
      </c>
      <c r="C2491" s="39" t="s">
        <v>5417</v>
      </c>
      <c r="D2491" s="39" t="s">
        <v>224</v>
      </c>
      <c r="E2491" s="39" t="s">
        <v>1048</v>
      </c>
      <c r="F2491" s="39" t="s">
        <v>292</v>
      </c>
      <c r="G2491" s="39" t="s">
        <v>293</v>
      </c>
      <c r="H2491" s="39" t="s">
        <v>5418</v>
      </c>
      <c r="I2491" s="39" t="s">
        <v>229</v>
      </c>
    </row>
    <row r="2492" ht="15.75" hidden="1" customHeight="1">
      <c r="A2492" s="36">
        <v>5987546.0</v>
      </c>
      <c r="B2492" s="37" t="s">
        <v>289</v>
      </c>
      <c r="C2492" s="37" t="s">
        <v>5419</v>
      </c>
      <c r="D2492" s="37" t="s">
        <v>224</v>
      </c>
      <c r="E2492" s="37" t="s">
        <v>1048</v>
      </c>
      <c r="F2492" s="37" t="s">
        <v>292</v>
      </c>
      <c r="G2492" s="37" t="s">
        <v>293</v>
      </c>
      <c r="H2492" s="37" t="s">
        <v>5420</v>
      </c>
      <c r="I2492" s="37" t="s">
        <v>229</v>
      </c>
    </row>
    <row r="2493" ht="15.75" hidden="1" customHeight="1">
      <c r="A2493" s="38">
        <v>6019134.0</v>
      </c>
      <c r="B2493" s="39" t="s">
        <v>316</v>
      </c>
      <c r="C2493" s="39" t="s">
        <v>5421</v>
      </c>
      <c r="D2493" s="39" t="s">
        <v>224</v>
      </c>
      <c r="E2493" s="39" t="s">
        <v>1773</v>
      </c>
      <c r="F2493" s="39" t="s">
        <v>293</v>
      </c>
      <c r="G2493" s="39" t="s">
        <v>319</v>
      </c>
      <c r="H2493" s="39" t="s">
        <v>5422</v>
      </c>
      <c r="I2493" s="39" t="s">
        <v>229</v>
      </c>
    </row>
    <row r="2494" ht="15.75" hidden="1" customHeight="1">
      <c r="A2494" s="36">
        <v>5572184.0</v>
      </c>
      <c r="B2494" s="37" t="s">
        <v>416</v>
      </c>
      <c r="C2494" s="37" t="s">
        <v>5423</v>
      </c>
      <c r="D2494" s="37" t="s">
        <v>224</v>
      </c>
      <c r="E2494" s="37" t="s">
        <v>5318</v>
      </c>
      <c r="F2494" s="37" t="s">
        <v>5319</v>
      </c>
      <c r="G2494" s="37" t="s">
        <v>5424</v>
      </c>
      <c r="H2494" s="37" t="s">
        <v>5425</v>
      </c>
      <c r="I2494" s="37" t="s">
        <v>260</v>
      </c>
    </row>
    <row r="2495" ht="15.75" hidden="1" customHeight="1">
      <c r="A2495" s="38">
        <v>6057959.0</v>
      </c>
      <c r="B2495" s="39" t="s">
        <v>416</v>
      </c>
      <c r="C2495" s="39" t="s">
        <v>5426</v>
      </c>
      <c r="D2495" s="39" t="s">
        <v>224</v>
      </c>
      <c r="E2495" s="39" t="s">
        <v>5318</v>
      </c>
      <c r="F2495" s="39" t="s">
        <v>5319</v>
      </c>
      <c r="G2495" s="39" t="s">
        <v>5424</v>
      </c>
      <c r="H2495" s="39" t="s">
        <v>5427</v>
      </c>
      <c r="I2495" s="39" t="s">
        <v>260</v>
      </c>
    </row>
    <row r="2496" ht="15.75" hidden="1" customHeight="1">
      <c r="A2496" s="36">
        <v>6054244.0</v>
      </c>
      <c r="B2496" s="37" t="s">
        <v>416</v>
      </c>
      <c r="C2496" s="37" t="s">
        <v>5428</v>
      </c>
      <c r="D2496" s="37" t="s">
        <v>224</v>
      </c>
      <c r="E2496" s="37" t="s">
        <v>5318</v>
      </c>
      <c r="F2496" s="37" t="s">
        <v>5319</v>
      </c>
      <c r="G2496" s="37" t="s">
        <v>5424</v>
      </c>
      <c r="H2496" s="37" t="s">
        <v>5429</v>
      </c>
      <c r="I2496" s="37" t="s">
        <v>260</v>
      </c>
    </row>
    <row r="2497" ht="15.75" hidden="1" customHeight="1">
      <c r="A2497" s="38">
        <v>6059382.0</v>
      </c>
      <c r="B2497" s="39" t="s">
        <v>416</v>
      </c>
      <c r="C2497" s="39" t="s">
        <v>5430</v>
      </c>
      <c r="D2497" s="39" t="s">
        <v>224</v>
      </c>
      <c r="E2497" s="39" t="s">
        <v>5318</v>
      </c>
      <c r="F2497" s="39" t="s">
        <v>5319</v>
      </c>
      <c r="G2497" s="39" t="s">
        <v>5424</v>
      </c>
      <c r="H2497" s="39" t="s">
        <v>5431</v>
      </c>
      <c r="I2497" s="39" t="s">
        <v>260</v>
      </c>
    </row>
    <row r="2498" ht="15.75" hidden="1" customHeight="1">
      <c r="A2498" s="36">
        <v>6054318.0</v>
      </c>
      <c r="B2498" s="37" t="s">
        <v>416</v>
      </c>
      <c r="C2498" s="37" t="s">
        <v>5432</v>
      </c>
      <c r="D2498" s="37" t="s">
        <v>224</v>
      </c>
      <c r="E2498" s="37" t="s">
        <v>5318</v>
      </c>
      <c r="F2498" s="37" t="s">
        <v>5319</v>
      </c>
      <c r="G2498" s="37" t="s">
        <v>5424</v>
      </c>
      <c r="H2498" s="37" t="s">
        <v>5433</v>
      </c>
      <c r="I2498" s="37" t="s">
        <v>260</v>
      </c>
    </row>
    <row r="2499" ht="15.75" hidden="1" customHeight="1">
      <c r="A2499" s="38">
        <v>6057891.0</v>
      </c>
      <c r="B2499" s="39" t="s">
        <v>416</v>
      </c>
      <c r="C2499" s="39" t="s">
        <v>5434</v>
      </c>
      <c r="D2499" s="39" t="s">
        <v>224</v>
      </c>
      <c r="E2499" s="39" t="s">
        <v>5318</v>
      </c>
      <c r="F2499" s="39" t="s">
        <v>5319</v>
      </c>
      <c r="G2499" s="39" t="s">
        <v>5424</v>
      </c>
      <c r="H2499" s="39" t="s">
        <v>5435</v>
      </c>
      <c r="I2499" s="39" t="s">
        <v>260</v>
      </c>
    </row>
    <row r="2500" ht="15.75" hidden="1" customHeight="1">
      <c r="A2500" s="36">
        <v>6059431.0</v>
      </c>
      <c r="B2500" s="37" t="s">
        <v>416</v>
      </c>
      <c r="C2500" s="37" t="s">
        <v>5436</v>
      </c>
      <c r="D2500" s="37" t="s">
        <v>224</v>
      </c>
      <c r="E2500" s="37" t="s">
        <v>5318</v>
      </c>
      <c r="F2500" s="37" t="s">
        <v>5319</v>
      </c>
      <c r="G2500" s="37" t="s">
        <v>5424</v>
      </c>
      <c r="H2500" s="37" t="s">
        <v>5437</v>
      </c>
      <c r="I2500" s="37" t="s">
        <v>260</v>
      </c>
    </row>
    <row r="2501" ht="15.75" hidden="1" customHeight="1">
      <c r="A2501" s="38">
        <v>6061235.0</v>
      </c>
      <c r="B2501" s="39" t="s">
        <v>416</v>
      </c>
      <c r="C2501" s="39" t="s">
        <v>5438</v>
      </c>
      <c r="D2501" s="39" t="s">
        <v>224</v>
      </c>
      <c r="E2501" s="39" t="s">
        <v>5318</v>
      </c>
      <c r="F2501" s="39" t="s">
        <v>5319</v>
      </c>
      <c r="G2501" s="39" t="s">
        <v>5424</v>
      </c>
      <c r="H2501" s="39" t="s">
        <v>5439</v>
      </c>
      <c r="I2501" s="39" t="s">
        <v>260</v>
      </c>
    </row>
    <row r="2502" ht="15.75" hidden="1" customHeight="1">
      <c r="A2502" s="36">
        <v>6059721.0</v>
      </c>
      <c r="B2502" s="37" t="s">
        <v>416</v>
      </c>
      <c r="C2502" s="37" t="s">
        <v>5440</v>
      </c>
      <c r="D2502" s="37" t="s">
        <v>224</v>
      </c>
      <c r="E2502" s="37" t="s">
        <v>5318</v>
      </c>
      <c r="F2502" s="37" t="s">
        <v>5319</v>
      </c>
      <c r="G2502" s="37" t="s">
        <v>5424</v>
      </c>
      <c r="H2502" s="37" t="s">
        <v>5441</v>
      </c>
      <c r="I2502" s="37" t="s">
        <v>260</v>
      </c>
    </row>
    <row r="2503" ht="15.75" hidden="1" customHeight="1">
      <c r="A2503" s="38">
        <v>5618619.0</v>
      </c>
      <c r="B2503" s="39" t="s">
        <v>316</v>
      </c>
      <c r="C2503" s="39" t="s">
        <v>5442</v>
      </c>
      <c r="D2503" s="39" t="s">
        <v>224</v>
      </c>
      <c r="E2503" s="39" t="s">
        <v>1453</v>
      </c>
      <c r="F2503" s="39" t="s">
        <v>293</v>
      </c>
      <c r="G2503" s="39" t="s">
        <v>319</v>
      </c>
      <c r="H2503" s="39" t="s">
        <v>5443</v>
      </c>
      <c r="I2503" s="39" t="s">
        <v>229</v>
      </c>
    </row>
    <row r="2504" ht="15.75" hidden="1" customHeight="1">
      <c r="A2504" s="36">
        <v>5014120.0</v>
      </c>
      <c r="B2504" s="37" t="s">
        <v>738</v>
      </c>
      <c r="C2504" s="37" t="s">
        <v>5444</v>
      </c>
      <c r="D2504" s="37" t="s">
        <v>224</v>
      </c>
      <c r="E2504" s="37" t="s">
        <v>3967</v>
      </c>
      <c r="F2504" s="37" t="s">
        <v>533</v>
      </c>
      <c r="G2504" s="37" t="s">
        <v>250</v>
      </c>
      <c r="H2504" s="37" t="s">
        <v>5445</v>
      </c>
      <c r="I2504" s="37" t="s">
        <v>229</v>
      </c>
    </row>
    <row r="2505" ht="15.75" hidden="1" customHeight="1">
      <c r="A2505" s="38">
        <v>6028145.0</v>
      </c>
      <c r="B2505" s="39" t="s">
        <v>1363</v>
      </c>
      <c r="C2505" s="39" t="s">
        <v>5446</v>
      </c>
      <c r="D2505" s="39" t="s">
        <v>224</v>
      </c>
      <c r="E2505" s="39" t="s">
        <v>1453</v>
      </c>
      <c r="F2505" s="39" t="s">
        <v>293</v>
      </c>
      <c r="G2505" s="39" t="s">
        <v>319</v>
      </c>
      <c r="H2505" s="39" t="s">
        <v>5447</v>
      </c>
      <c r="I2505" s="39" t="s">
        <v>229</v>
      </c>
    </row>
    <row r="2506" ht="15.75" hidden="1" customHeight="1">
      <c r="A2506" s="36">
        <v>6010773.0</v>
      </c>
      <c r="B2506" s="37" t="s">
        <v>738</v>
      </c>
      <c r="C2506" s="37" t="s">
        <v>5448</v>
      </c>
      <c r="D2506" s="37" t="s">
        <v>224</v>
      </c>
      <c r="E2506" s="37" t="s">
        <v>1510</v>
      </c>
      <c r="F2506" s="37" t="s">
        <v>533</v>
      </c>
      <c r="G2506" s="37" t="s">
        <v>250</v>
      </c>
      <c r="H2506" s="37" t="s">
        <v>5449</v>
      </c>
      <c r="I2506" s="37" t="s">
        <v>229</v>
      </c>
    </row>
    <row r="2507" ht="15.75" hidden="1" customHeight="1">
      <c r="A2507" s="38">
        <v>6077525.0</v>
      </c>
      <c r="B2507" s="39" t="s">
        <v>478</v>
      </c>
      <c r="C2507" s="39" t="s">
        <v>5450</v>
      </c>
      <c r="D2507" s="39" t="s">
        <v>224</v>
      </c>
      <c r="E2507" s="39" t="s">
        <v>5451</v>
      </c>
      <c r="F2507" s="39" t="s">
        <v>3455</v>
      </c>
      <c r="G2507" s="39" t="s">
        <v>3456</v>
      </c>
      <c r="H2507" s="39" t="s">
        <v>5452</v>
      </c>
      <c r="I2507" s="39" t="s">
        <v>229</v>
      </c>
    </row>
    <row r="2508" ht="15.75" hidden="1" customHeight="1">
      <c r="A2508" s="36">
        <v>6076304.0</v>
      </c>
      <c r="B2508" s="37" t="s">
        <v>478</v>
      </c>
      <c r="C2508" s="37" t="s">
        <v>5453</v>
      </c>
      <c r="D2508" s="37" t="s">
        <v>224</v>
      </c>
      <c r="E2508" s="37" t="s">
        <v>5451</v>
      </c>
      <c r="F2508" s="37" t="s">
        <v>3455</v>
      </c>
      <c r="G2508" s="37" t="s">
        <v>3456</v>
      </c>
      <c r="H2508" s="37" t="s">
        <v>5454</v>
      </c>
      <c r="I2508" s="37" t="s">
        <v>229</v>
      </c>
    </row>
    <row r="2509" ht="15.75" hidden="1" customHeight="1">
      <c r="A2509" s="38">
        <v>6079042.0</v>
      </c>
      <c r="B2509" s="39" t="s">
        <v>478</v>
      </c>
      <c r="C2509" s="39" t="s">
        <v>5455</v>
      </c>
      <c r="D2509" s="39" t="s">
        <v>224</v>
      </c>
      <c r="E2509" s="39" t="s">
        <v>5451</v>
      </c>
      <c r="F2509" s="39" t="s">
        <v>3455</v>
      </c>
      <c r="G2509" s="39" t="s">
        <v>3456</v>
      </c>
      <c r="H2509" s="39" t="s">
        <v>5456</v>
      </c>
      <c r="I2509" s="39" t="s">
        <v>229</v>
      </c>
    </row>
    <row r="2510" ht="15.75" hidden="1" customHeight="1">
      <c r="A2510" s="36">
        <v>6076222.0</v>
      </c>
      <c r="B2510" s="37" t="s">
        <v>478</v>
      </c>
      <c r="C2510" s="37" t="s">
        <v>5457</v>
      </c>
      <c r="D2510" s="37" t="s">
        <v>224</v>
      </c>
      <c r="E2510" s="37" t="s">
        <v>5451</v>
      </c>
      <c r="F2510" s="37" t="s">
        <v>3455</v>
      </c>
      <c r="G2510" s="37" t="s">
        <v>3456</v>
      </c>
      <c r="H2510" s="37" t="s">
        <v>5458</v>
      </c>
      <c r="I2510" s="37" t="s">
        <v>229</v>
      </c>
    </row>
    <row r="2511" ht="15.75" hidden="1" customHeight="1">
      <c r="A2511" s="38">
        <v>6084463.0</v>
      </c>
      <c r="B2511" s="39" t="s">
        <v>478</v>
      </c>
      <c r="C2511" s="39" t="s">
        <v>5459</v>
      </c>
      <c r="D2511" s="39" t="s">
        <v>224</v>
      </c>
      <c r="E2511" s="39" t="s">
        <v>5451</v>
      </c>
      <c r="F2511" s="39" t="s">
        <v>3455</v>
      </c>
      <c r="G2511" s="39" t="s">
        <v>3456</v>
      </c>
      <c r="H2511" s="39" t="s">
        <v>5460</v>
      </c>
      <c r="I2511" s="39" t="s">
        <v>229</v>
      </c>
    </row>
    <row r="2512" ht="15.75" hidden="1" customHeight="1">
      <c r="A2512" s="36">
        <v>6076235.0</v>
      </c>
      <c r="B2512" s="37" t="s">
        <v>478</v>
      </c>
      <c r="C2512" s="37" t="s">
        <v>5461</v>
      </c>
      <c r="D2512" s="37" t="s">
        <v>224</v>
      </c>
      <c r="E2512" s="37" t="s">
        <v>5451</v>
      </c>
      <c r="F2512" s="37" t="s">
        <v>3455</v>
      </c>
      <c r="G2512" s="37" t="s">
        <v>3456</v>
      </c>
      <c r="H2512" s="37" t="s">
        <v>5462</v>
      </c>
      <c r="I2512" s="37" t="s">
        <v>229</v>
      </c>
    </row>
    <row r="2513" ht="15.75" hidden="1" customHeight="1">
      <c r="A2513" s="38">
        <v>6079032.0</v>
      </c>
      <c r="B2513" s="39" t="s">
        <v>478</v>
      </c>
      <c r="C2513" s="39" t="s">
        <v>5463</v>
      </c>
      <c r="D2513" s="39" t="s">
        <v>224</v>
      </c>
      <c r="E2513" s="39" t="s">
        <v>5451</v>
      </c>
      <c r="F2513" s="39" t="s">
        <v>3455</v>
      </c>
      <c r="G2513" s="39" t="s">
        <v>3456</v>
      </c>
      <c r="H2513" s="39" t="s">
        <v>5464</v>
      </c>
      <c r="I2513" s="39" t="s">
        <v>229</v>
      </c>
    </row>
    <row r="2514" ht="15.75" hidden="1" customHeight="1">
      <c r="A2514" s="36">
        <v>6076301.0</v>
      </c>
      <c r="B2514" s="37" t="s">
        <v>478</v>
      </c>
      <c r="C2514" s="37" t="s">
        <v>5465</v>
      </c>
      <c r="D2514" s="37" t="s">
        <v>224</v>
      </c>
      <c r="E2514" s="37" t="s">
        <v>5451</v>
      </c>
      <c r="F2514" s="37" t="s">
        <v>3455</v>
      </c>
      <c r="G2514" s="37" t="s">
        <v>3456</v>
      </c>
      <c r="H2514" s="37" t="s">
        <v>5466</v>
      </c>
      <c r="I2514" s="37" t="s">
        <v>229</v>
      </c>
    </row>
    <row r="2515" ht="15.75" hidden="1" customHeight="1">
      <c r="A2515" s="38">
        <v>6079040.0</v>
      </c>
      <c r="B2515" s="39" t="s">
        <v>478</v>
      </c>
      <c r="C2515" s="39" t="s">
        <v>5467</v>
      </c>
      <c r="D2515" s="39" t="s">
        <v>224</v>
      </c>
      <c r="E2515" s="39" t="s">
        <v>5451</v>
      </c>
      <c r="F2515" s="39" t="s">
        <v>3455</v>
      </c>
      <c r="G2515" s="39" t="s">
        <v>3456</v>
      </c>
      <c r="H2515" s="39" t="s">
        <v>5468</v>
      </c>
      <c r="I2515" s="39" t="s">
        <v>229</v>
      </c>
    </row>
    <row r="2516" ht="15.75" hidden="1" customHeight="1">
      <c r="A2516" s="36">
        <v>6079035.0</v>
      </c>
      <c r="B2516" s="37" t="s">
        <v>478</v>
      </c>
      <c r="C2516" s="37" t="s">
        <v>5469</v>
      </c>
      <c r="D2516" s="37" t="s">
        <v>224</v>
      </c>
      <c r="E2516" s="37" t="s">
        <v>5451</v>
      </c>
      <c r="F2516" s="37" t="s">
        <v>3455</v>
      </c>
      <c r="G2516" s="37" t="s">
        <v>3456</v>
      </c>
      <c r="H2516" s="37" t="s">
        <v>5470</v>
      </c>
      <c r="I2516" s="37" t="s">
        <v>229</v>
      </c>
    </row>
    <row r="2517" ht="15.75" hidden="1" customHeight="1">
      <c r="A2517" s="38">
        <v>4437080.0</v>
      </c>
      <c r="B2517" s="39" t="s">
        <v>478</v>
      </c>
      <c r="C2517" s="39" t="s">
        <v>5471</v>
      </c>
      <c r="D2517" s="39" t="s">
        <v>224</v>
      </c>
      <c r="E2517" s="39" t="s">
        <v>5451</v>
      </c>
      <c r="F2517" s="39" t="s">
        <v>3455</v>
      </c>
      <c r="G2517" s="39" t="s">
        <v>3456</v>
      </c>
      <c r="H2517" s="39" t="s">
        <v>5472</v>
      </c>
      <c r="I2517" s="39" t="s">
        <v>229</v>
      </c>
    </row>
    <row r="2518" ht="15.75" hidden="1" customHeight="1">
      <c r="A2518" s="36">
        <v>6083015.0</v>
      </c>
      <c r="B2518" s="37" t="s">
        <v>478</v>
      </c>
      <c r="C2518" s="37" t="s">
        <v>5473</v>
      </c>
      <c r="D2518" s="37" t="s">
        <v>224</v>
      </c>
      <c r="E2518" s="37" t="s">
        <v>5451</v>
      </c>
      <c r="F2518" s="37" t="s">
        <v>3455</v>
      </c>
      <c r="G2518" s="37" t="s">
        <v>3456</v>
      </c>
      <c r="H2518" s="37" t="s">
        <v>5474</v>
      </c>
      <c r="I2518" s="37" t="s">
        <v>229</v>
      </c>
    </row>
    <row r="2519" ht="15.75" hidden="1" customHeight="1">
      <c r="A2519" s="38">
        <v>5520782.0</v>
      </c>
      <c r="B2519" s="39" t="s">
        <v>478</v>
      </c>
      <c r="C2519" s="39" t="s">
        <v>5475</v>
      </c>
      <c r="D2519" s="39" t="s">
        <v>224</v>
      </c>
      <c r="E2519" s="39" t="s">
        <v>5451</v>
      </c>
      <c r="F2519" s="39" t="s">
        <v>3455</v>
      </c>
      <c r="G2519" s="39" t="s">
        <v>3456</v>
      </c>
      <c r="H2519" s="39" t="s">
        <v>5476</v>
      </c>
      <c r="I2519" s="39" t="s">
        <v>229</v>
      </c>
    </row>
    <row r="2520" ht="15.75" hidden="1" customHeight="1">
      <c r="A2520" s="36">
        <v>6076243.0</v>
      </c>
      <c r="B2520" s="37" t="s">
        <v>478</v>
      </c>
      <c r="C2520" s="37" t="s">
        <v>5477</v>
      </c>
      <c r="D2520" s="37" t="s">
        <v>224</v>
      </c>
      <c r="E2520" s="37" t="s">
        <v>5451</v>
      </c>
      <c r="F2520" s="37" t="s">
        <v>3455</v>
      </c>
      <c r="G2520" s="37" t="s">
        <v>3456</v>
      </c>
      <c r="H2520" s="37" t="s">
        <v>5478</v>
      </c>
      <c r="I2520" s="37" t="s">
        <v>229</v>
      </c>
    </row>
    <row r="2521" ht="15.75" hidden="1" customHeight="1">
      <c r="A2521" s="38">
        <v>6076226.0</v>
      </c>
      <c r="B2521" s="39" t="s">
        <v>478</v>
      </c>
      <c r="C2521" s="39" t="s">
        <v>5479</v>
      </c>
      <c r="D2521" s="39" t="s">
        <v>224</v>
      </c>
      <c r="E2521" s="39" t="s">
        <v>5451</v>
      </c>
      <c r="F2521" s="39" t="s">
        <v>3455</v>
      </c>
      <c r="G2521" s="39" t="s">
        <v>3456</v>
      </c>
      <c r="H2521" s="39" t="s">
        <v>5480</v>
      </c>
      <c r="I2521" s="39" t="s">
        <v>229</v>
      </c>
    </row>
    <row r="2522" ht="15.75" hidden="1" customHeight="1">
      <c r="A2522" s="36">
        <v>6076221.0</v>
      </c>
      <c r="B2522" s="37" t="s">
        <v>478</v>
      </c>
      <c r="C2522" s="37" t="s">
        <v>5481</v>
      </c>
      <c r="D2522" s="37" t="s">
        <v>224</v>
      </c>
      <c r="E2522" s="37" t="s">
        <v>5451</v>
      </c>
      <c r="F2522" s="37" t="s">
        <v>3455</v>
      </c>
      <c r="G2522" s="37" t="s">
        <v>3456</v>
      </c>
      <c r="H2522" s="37" t="s">
        <v>5482</v>
      </c>
      <c r="I2522" s="37" t="s">
        <v>229</v>
      </c>
    </row>
    <row r="2523" ht="15.75" hidden="1" customHeight="1">
      <c r="A2523" s="38">
        <v>6076224.0</v>
      </c>
      <c r="B2523" s="39" t="s">
        <v>478</v>
      </c>
      <c r="C2523" s="39" t="s">
        <v>5483</v>
      </c>
      <c r="D2523" s="39" t="s">
        <v>224</v>
      </c>
      <c r="E2523" s="39" t="s">
        <v>5451</v>
      </c>
      <c r="F2523" s="39" t="s">
        <v>3455</v>
      </c>
      <c r="G2523" s="39" t="s">
        <v>3456</v>
      </c>
      <c r="H2523" s="39" t="s">
        <v>5484</v>
      </c>
      <c r="I2523" s="39" t="s">
        <v>229</v>
      </c>
    </row>
    <row r="2524" ht="15.75" hidden="1" customHeight="1">
      <c r="A2524" s="36">
        <v>6076303.0</v>
      </c>
      <c r="B2524" s="37" t="s">
        <v>478</v>
      </c>
      <c r="C2524" s="37" t="s">
        <v>5485</v>
      </c>
      <c r="D2524" s="37" t="s">
        <v>224</v>
      </c>
      <c r="E2524" s="37" t="s">
        <v>5451</v>
      </c>
      <c r="F2524" s="37" t="s">
        <v>3455</v>
      </c>
      <c r="G2524" s="37" t="s">
        <v>3456</v>
      </c>
      <c r="H2524" s="37" t="s">
        <v>5486</v>
      </c>
      <c r="I2524" s="37" t="s">
        <v>229</v>
      </c>
    </row>
    <row r="2525" ht="15.75" hidden="1" customHeight="1">
      <c r="A2525" s="38">
        <v>6027233.0</v>
      </c>
      <c r="B2525" s="39" t="s">
        <v>853</v>
      </c>
      <c r="C2525" s="39" t="s">
        <v>5487</v>
      </c>
      <c r="D2525" s="39" t="s">
        <v>224</v>
      </c>
      <c r="E2525" s="39" t="s">
        <v>2906</v>
      </c>
      <c r="F2525" s="39" t="s">
        <v>249</v>
      </c>
      <c r="G2525" s="39" t="s">
        <v>250</v>
      </c>
      <c r="H2525" s="39" t="s">
        <v>5488</v>
      </c>
      <c r="I2525" s="39" t="s">
        <v>229</v>
      </c>
    </row>
    <row r="2526" ht="15.75" hidden="1" customHeight="1">
      <c r="A2526" s="36">
        <v>6026257.0</v>
      </c>
      <c r="B2526" s="37" t="s">
        <v>853</v>
      </c>
      <c r="C2526" s="37" t="s">
        <v>5489</v>
      </c>
      <c r="D2526" s="37" t="s">
        <v>224</v>
      </c>
      <c r="E2526" s="37" t="s">
        <v>2906</v>
      </c>
      <c r="F2526" s="37" t="s">
        <v>249</v>
      </c>
      <c r="G2526" s="37" t="s">
        <v>250</v>
      </c>
      <c r="H2526" s="37" t="s">
        <v>5490</v>
      </c>
      <c r="I2526" s="37" t="s">
        <v>229</v>
      </c>
    </row>
    <row r="2527" ht="15.75" hidden="1" customHeight="1">
      <c r="A2527" s="38">
        <v>6028310.0</v>
      </c>
      <c r="B2527" s="39" t="s">
        <v>853</v>
      </c>
      <c r="C2527" s="39" t="s">
        <v>5491</v>
      </c>
      <c r="D2527" s="39" t="s">
        <v>224</v>
      </c>
      <c r="E2527" s="39" t="s">
        <v>2906</v>
      </c>
      <c r="F2527" s="39" t="s">
        <v>249</v>
      </c>
      <c r="G2527" s="39" t="s">
        <v>250</v>
      </c>
      <c r="H2527" s="39" t="s">
        <v>5492</v>
      </c>
      <c r="I2527" s="39" t="s">
        <v>229</v>
      </c>
    </row>
    <row r="2528" ht="15.75" hidden="1" customHeight="1">
      <c r="A2528" s="36">
        <v>6028259.0</v>
      </c>
      <c r="B2528" s="37" t="s">
        <v>853</v>
      </c>
      <c r="C2528" s="37" t="s">
        <v>5493</v>
      </c>
      <c r="D2528" s="37" t="s">
        <v>224</v>
      </c>
      <c r="E2528" s="37" t="s">
        <v>2906</v>
      </c>
      <c r="F2528" s="37" t="s">
        <v>249</v>
      </c>
      <c r="G2528" s="37" t="s">
        <v>250</v>
      </c>
      <c r="H2528" s="37" t="s">
        <v>5494</v>
      </c>
      <c r="I2528" s="37" t="s">
        <v>229</v>
      </c>
    </row>
    <row r="2529" ht="15.75" hidden="1" customHeight="1">
      <c r="A2529" s="38">
        <v>6028239.0</v>
      </c>
      <c r="B2529" s="39" t="s">
        <v>853</v>
      </c>
      <c r="C2529" s="39" t="s">
        <v>5495</v>
      </c>
      <c r="D2529" s="39" t="s">
        <v>224</v>
      </c>
      <c r="E2529" s="39" t="s">
        <v>2906</v>
      </c>
      <c r="F2529" s="39" t="s">
        <v>249</v>
      </c>
      <c r="G2529" s="39" t="s">
        <v>250</v>
      </c>
      <c r="H2529" s="39" t="s">
        <v>5496</v>
      </c>
      <c r="I2529" s="39" t="s">
        <v>229</v>
      </c>
    </row>
    <row r="2530" ht="15.75" hidden="1" customHeight="1">
      <c r="A2530" s="36">
        <v>6028290.0</v>
      </c>
      <c r="B2530" s="37" t="s">
        <v>853</v>
      </c>
      <c r="C2530" s="37" t="s">
        <v>5497</v>
      </c>
      <c r="D2530" s="37" t="s">
        <v>224</v>
      </c>
      <c r="E2530" s="37" t="s">
        <v>2906</v>
      </c>
      <c r="F2530" s="37" t="s">
        <v>249</v>
      </c>
      <c r="G2530" s="37" t="s">
        <v>250</v>
      </c>
      <c r="H2530" s="37" t="s">
        <v>5498</v>
      </c>
      <c r="I2530" s="37" t="s">
        <v>229</v>
      </c>
    </row>
    <row r="2531" ht="15.75" hidden="1" customHeight="1">
      <c r="A2531" s="38">
        <v>5689033.0</v>
      </c>
      <c r="B2531" s="39" t="s">
        <v>813</v>
      </c>
      <c r="C2531" s="39" t="s">
        <v>5499</v>
      </c>
      <c r="D2531" s="39" t="s">
        <v>224</v>
      </c>
      <c r="E2531" s="39" t="s">
        <v>815</v>
      </c>
      <c r="F2531" s="39" t="s">
        <v>679</v>
      </c>
      <c r="G2531" s="39" t="s">
        <v>301</v>
      </c>
      <c r="H2531" s="39" t="s">
        <v>5500</v>
      </c>
      <c r="I2531" s="39" t="s">
        <v>229</v>
      </c>
    </row>
    <row r="2532" ht="15.75" hidden="1" customHeight="1">
      <c r="A2532" s="36">
        <v>5029227.0</v>
      </c>
      <c r="B2532" s="37" t="s">
        <v>853</v>
      </c>
      <c r="C2532" s="37" t="s">
        <v>5501</v>
      </c>
      <c r="D2532" s="37" t="s">
        <v>224</v>
      </c>
      <c r="E2532" s="37" t="s">
        <v>2906</v>
      </c>
      <c r="F2532" s="37" t="s">
        <v>249</v>
      </c>
      <c r="G2532" s="37" t="s">
        <v>250</v>
      </c>
      <c r="H2532" s="37" t="s">
        <v>5502</v>
      </c>
      <c r="I2532" s="37" t="s">
        <v>229</v>
      </c>
    </row>
    <row r="2533" ht="15.75" hidden="1" customHeight="1">
      <c r="A2533" s="38">
        <v>4504436.0</v>
      </c>
      <c r="B2533" s="39" t="s">
        <v>676</v>
      </c>
      <c r="C2533" s="39" t="s">
        <v>5503</v>
      </c>
      <c r="D2533" s="39" t="s">
        <v>224</v>
      </c>
      <c r="E2533" s="39" t="s">
        <v>1859</v>
      </c>
      <c r="F2533" s="39" t="s">
        <v>679</v>
      </c>
      <c r="G2533" s="39" t="s">
        <v>301</v>
      </c>
      <c r="H2533" s="39" t="s">
        <v>5504</v>
      </c>
      <c r="I2533" s="39" t="s">
        <v>229</v>
      </c>
    </row>
    <row r="2534" ht="15.75" hidden="1" customHeight="1">
      <c r="A2534" s="36">
        <v>5724369.0</v>
      </c>
      <c r="B2534" s="37" t="s">
        <v>676</v>
      </c>
      <c r="C2534" s="37" t="s">
        <v>5505</v>
      </c>
      <c r="D2534" s="37" t="s">
        <v>224</v>
      </c>
      <c r="E2534" s="37" t="s">
        <v>1859</v>
      </c>
      <c r="F2534" s="37" t="s">
        <v>679</v>
      </c>
      <c r="G2534" s="37" t="s">
        <v>301</v>
      </c>
      <c r="H2534" s="37" t="s">
        <v>5506</v>
      </c>
      <c r="I2534" s="37" t="s">
        <v>229</v>
      </c>
    </row>
    <row r="2535" ht="15.75" hidden="1" customHeight="1">
      <c r="A2535" s="38">
        <v>6054116.0</v>
      </c>
      <c r="B2535" s="39" t="s">
        <v>853</v>
      </c>
      <c r="C2535" s="39" t="s">
        <v>5507</v>
      </c>
      <c r="D2535" s="39" t="s">
        <v>224</v>
      </c>
      <c r="E2535" s="39" t="s">
        <v>2906</v>
      </c>
      <c r="F2535" s="39" t="s">
        <v>249</v>
      </c>
      <c r="G2535" s="39" t="s">
        <v>250</v>
      </c>
      <c r="H2535" s="39" t="s">
        <v>5508</v>
      </c>
      <c r="I2535" s="39" t="s">
        <v>229</v>
      </c>
    </row>
    <row r="2536" ht="15.75" hidden="1" customHeight="1">
      <c r="A2536" s="36">
        <v>6033367.0</v>
      </c>
      <c r="B2536" s="37" t="s">
        <v>329</v>
      </c>
      <c r="C2536" s="37" t="s">
        <v>5509</v>
      </c>
      <c r="D2536" s="37" t="s">
        <v>224</v>
      </c>
      <c r="E2536" s="37" t="s">
        <v>2487</v>
      </c>
      <c r="F2536" s="37" t="s">
        <v>333</v>
      </c>
      <c r="G2536" s="37" t="s">
        <v>301</v>
      </c>
      <c r="H2536" s="37" t="s">
        <v>5510</v>
      </c>
      <c r="I2536" s="37" t="s">
        <v>229</v>
      </c>
    </row>
    <row r="2537" ht="15.75" hidden="1" customHeight="1">
      <c r="A2537" s="38">
        <v>6083790.0</v>
      </c>
      <c r="B2537" s="39" t="s">
        <v>853</v>
      </c>
      <c r="C2537" s="39" t="s">
        <v>5511</v>
      </c>
      <c r="D2537" s="39" t="s">
        <v>224</v>
      </c>
      <c r="E2537" s="39" t="s">
        <v>2906</v>
      </c>
      <c r="F2537" s="39" t="s">
        <v>249</v>
      </c>
      <c r="G2537" s="39" t="s">
        <v>250</v>
      </c>
      <c r="H2537" s="39" t="s">
        <v>5512</v>
      </c>
      <c r="I2537" s="39" t="s">
        <v>229</v>
      </c>
    </row>
    <row r="2538" ht="15.75" hidden="1" customHeight="1">
      <c r="A2538" s="36">
        <v>6054478.0</v>
      </c>
      <c r="B2538" s="37" t="s">
        <v>853</v>
      </c>
      <c r="C2538" s="37" t="s">
        <v>5513</v>
      </c>
      <c r="D2538" s="37" t="s">
        <v>224</v>
      </c>
      <c r="E2538" s="37" t="s">
        <v>2906</v>
      </c>
      <c r="F2538" s="37" t="s">
        <v>249</v>
      </c>
      <c r="G2538" s="37" t="s">
        <v>250</v>
      </c>
      <c r="H2538" s="37" t="s">
        <v>5514</v>
      </c>
      <c r="I2538" s="37" t="s">
        <v>229</v>
      </c>
    </row>
    <row r="2539" ht="15.75" hidden="1" customHeight="1">
      <c r="A2539" s="38">
        <v>6034637.0</v>
      </c>
      <c r="B2539" s="39" t="s">
        <v>853</v>
      </c>
      <c r="C2539" s="39" t="s">
        <v>5515</v>
      </c>
      <c r="D2539" s="39" t="s">
        <v>224</v>
      </c>
      <c r="E2539" s="39" t="s">
        <v>2906</v>
      </c>
      <c r="F2539" s="39" t="s">
        <v>249</v>
      </c>
      <c r="G2539" s="39" t="s">
        <v>250</v>
      </c>
      <c r="H2539" s="39" t="s">
        <v>5516</v>
      </c>
      <c r="I2539" s="39" t="s">
        <v>229</v>
      </c>
    </row>
    <row r="2540" ht="15.75" hidden="1" customHeight="1">
      <c r="A2540" s="36">
        <v>6036427.0</v>
      </c>
      <c r="B2540" s="37" t="s">
        <v>853</v>
      </c>
      <c r="C2540" s="37" t="s">
        <v>5517</v>
      </c>
      <c r="D2540" s="37" t="s">
        <v>224</v>
      </c>
      <c r="E2540" s="37" t="s">
        <v>2906</v>
      </c>
      <c r="F2540" s="37" t="s">
        <v>249</v>
      </c>
      <c r="G2540" s="37" t="s">
        <v>250</v>
      </c>
      <c r="H2540" s="37" t="s">
        <v>5518</v>
      </c>
      <c r="I2540" s="37" t="s">
        <v>229</v>
      </c>
    </row>
    <row r="2541" ht="15.75" hidden="1" customHeight="1">
      <c r="A2541" s="38">
        <v>6054381.0</v>
      </c>
      <c r="B2541" s="39" t="s">
        <v>853</v>
      </c>
      <c r="C2541" s="39" t="s">
        <v>5519</v>
      </c>
      <c r="D2541" s="39" t="s">
        <v>224</v>
      </c>
      <c r="E2541" s="39" t="s">
        <v>2906</v>
      </c>
      <c r="F2541" s="39" t="s">
        <v>249</v>
      </c>
      <c r="G2541" s="39" t="s">
        <v>250</v>
      </c>
      <c r="H2541" s="39" t="s">
        <v>5520</v>
      </c>
      <c r="I2541" s="39" t="s">
        <v>229</v>
      </c>
    </row>
    <row r="2542" ht="15.75" hidden="1" customHeight="1">
      <c r="A2542" s="36">
        <v>5672756.0</v>
      </c>
      <c r="B2542" s="37" t="s">
        <v>853</v>
      </c>
      <c r="C2542" s="37" t="s">
        <v>5521</v>
      </c>
      <c r="D2542" s="37" t="s">
        <v>224</v>
      </c>
      <c r="E2542" s="37" t="s">
        <v>2906</v>
      </c>
      <c r="F2542" s="37" t="s">
        <v>249</v>
      </c>
      <c r="G2542" s="37" t="s">
        <v>250</v>
      </c>
      <c r="H2542" s="37" t="s">
        <v>5522</v>
      </c>
      <c r="I2542" s="37" t="s">
        <v>229</v>
      </c>
    </row>
    <row r="2543" ht="15.75" hidden="1" customHeight="1">
      <c r="A2543" s="38">
        <v>6083099.0</v>
      </c>
      <c r="B2543" s="39" t="s">
        <v>853</v>
      </c>
      <c r="C2543" s="39" t="s">
        <v>5523</v>
      </c>
      <c r="D2543" s="39" t="s">
        <v>224</v>
      </c>
      <c r="E2543" s="39" t="s">
        <v>2906</v>
      </c>
      <c r="F2543" s="39" t="s">
        <v>249</v>
      </c>
      <c r="G2543" s="39" t="s">
        <v>250</v>
      </c>
      <c r="H2543" s="39" t="s">
        <v>5524</v>
      </c>
      <c r="I2543" s="39" t="s">
        <v>229</v>
      </c>
    </row>
    <row r="2544" ht="15.75" hidden="1" customHeight="1">
      <c r="A2544" s="36">
        <v>6085470.0</v>
      </c>
      <c r="B2544" s="37" t="s">
        <v>853</v>
      </c>
      <c r="C2544" s="37" t="s">
        <v>5525</v>
      </c>
      <c r="D2544" s="37" t="s">
        <v>224</v>
      </c>
      <c r="E2544" s="37" t="s">
        <v>2906</v>
      </c>
      <c r="F2544" s="37" t="s">
        <v>249</v>
      </c>
      <c r="G2544" s="37" t="s">
        <v>250</v>
      </c>
      <c r="H2544" s="37" t="s">
        <v>5526</v>
      </c>
      <c r="I2544" s="37" t="s">
        <v>229</v>
      </c>
    </row>
    <row r="2545" ht="15.75" hidden="1" customHeight="1">
      <c r="A2545" s="38">
        <v>6033815.0</v>
      </c>
      <c r="B2545" s="39" t="s">
        <v>853</v>
      </c>
      <c r="C2545" s="39" t="s">
        <v>5527</v>
      </c>
      <c r="D2545" s="39" t="s">
        <v>224</v>
      </c>
      <c r="E2545" s="39" t="s">
        <v>2906</v>
      </c>
      <c r="F2545" s="39" t="s">
        <v>249</v>
      </c>
      <c r="G2545" s="39" t="s">
        <v>250</v>
      </c>
      <c r="H2545" s="39" t="s">
        <v>5528</v>
      </c>
      <c r="I2545" s="39" t="s">
        <v>229</v>
      </c>
    </row>
    <row r="2546" ht="15.75" hidden="1" customHeight="1">
      <c r="A2546" s="36">
        <v>4356429.0</v>
      </c>
      <c r="B2546" s="37" t="s">
        <v>853</v>
      </c>
      <c r="C2546" s="37" t="s">
        <v>5529</v>
      </c>
      <c r="D2546" s="37" t="s">
        <v>224</v>
      </c>
      <c r="E2546" s="37" t="s">
        <v>2906</v>
      </c>
      <c r="F2546" s="37" t="s">
        <v>249</v>
      </c>
      <c r="G2546" s="37" t="s">
        <v>250</v>
      </c>
      <c r="H2546" s="37" t="s">
        <v>5530</v>
      </c>
      <c r="I2546" s="37" t="s">
        <v>229</v>
      </c>
    </row>
    <row r="2547" ht="15.75" hidden="1" customHeight="1">
      <c r="A2547" s="38">
        <v>6035030.0</v>
      </c>
      <c r="B2547" s="39" t="s">
        <v>676</v>
      </c>
      <c r="C2547" s="39" t="s">
        <v>5531</v>
      </c>
      <c r="D2547" s="39" t="s">
        <v>224</v>
      </c>
      <c r="E2547" s="39" t="s">
        <v>1859</v>
      </c>
      <c r="F2547" s="39" t="s">
        <v>679</v>
      </c>
      <c r="G2547" s="39" t="s">
        <v>301</v>
      </c>
      <c r="H2547" s="39" t="s">
        <v>5532</v>
      </c>
      <c r="I2547" s="39" t="s">
        <v>229</v>
      </c>
    </row>
    <row r="2548" ht="15.75" hidden="1" customHeight="1">
      <c r="A2548" s="36">
        <v>5083880.0</v>
      </c>
      <c r="B2548" s="37" t="s">
        <v>738</v>
      </c>
      <c r="C2548" s="37" t="s">
        <v>5533</v>
      </c>
      <c r="D2548" s="37" t="s">
        <v>224</v>
      </c>
      <c r="E2548" s="37" t="s">
        <v>1510</v>
      </c>
      <c r="F2548" s="37" t="s">
        <v>533</v>
      </c>
      <c r="G2548" s="37" t="s">
        <v>250</v>
      </c>
      <c r="H2548" s="37" t="s">
        <v>5534</v>
      </c>
      <c r="I2548" s="37" t="s">
        <v>229</v>
      </c>
    </row>
    <row r="2549" ht="15.75" hidden="1" customHeight="1">
      <c r="A2549" s="38">
        <v>6050337.0</v>
      </c>
      <c r="B2549" s="39" t="s">
        <v>738</v>
      </c>
      <c r="C2549" s="39" t="s">
        <v>5535</v>
      </c>
      <c r="D2549" s="39" t="s">
        <v>224</v>
      </c>
      <c r="E2549" s="39" t="s">
        <v>3967</v>
      </c>
      <c r="F2549" s="39" t="s">
        <v>533</v>
      </c>
      <c r="G2549" s="39" t="s">
        <v>250</v>
      </c>
      <c r="H2549" s="39" t="s">
        <v>5536</v>
      </c>
      <c r="I2549" s="39" t="s">
        <v>229</v>
      </c>
    </row>
    <row r="2550" ht="15.75" hidden="1" customHeight="1">
      <c r="A2550" s="36">
        <v>6076174.0</v>
      </c>
      <c r="B2550" s="37" t="s">
        <v>323</v>
      </c>
      <c r="C2550" s="37" t="s">
        <v>5537</v>
      </c>
      <c r="D2550" s="37" t="s">
        <v>224</v>
      </c>
      <c r="E2550" s="37" t="s">
        <v>5538</v>
      </c>
      <c r="F2550" s="37" t="s">
        <v>3455</v>
      </c>
      <c r="G2550" s="37" t="s">
        <v>3456</v>
      </c>
      <c r="H2550" s="37" t="s">
        <v>5539</v>
      </c>
      <c r="I2550" s="37" t="s">
        <v>229</v>
      </c>
    </row>
    <row r="2551" ht="15.75" hidden="1" customHeight="1">
      <c r="A2551" s="38">
        <v>6076185.0</v>
      </c>
      <c r="B2551" s="39" t="s">
        <v>323</v>
      </c>
      <c r="C2551" s="39" t="s">
        <v>5540</v>
      </c>
      <c r="D2551" s="39" t="s">
        <v>224</v>
      </c>
      <c r="E2551" s="39" t="s">
        <v>5538</v>
      </c>
      <c r="F2551" s="39" t="s">
        <v>3455</v>
      </c>
      <c r="G2551" s="39" t="s">
        <v>3456</v>
      </c>
      <c r="H2551" s="39" t="s">
        <v>5541</v>
      </c>
      <c r="I2551" s="39" t="s">
        <v>229</v>
      </c>
    </row>
    <row r="2552" ht="15.75" hidden="1" customHeight="1">
      <c r="A2552" s="36">
        <v>6076180.0</v>
      </c>
      <c r="B2552" s="37" t="s">
        <v>323</v>
      </c>
      <c r="C2552" s="37" t="s">
        <v>5542</v>
      </c>
      <c r="D2552" s="37" t="s">
        <v>224</v>
      </c>
      <c r="E2552" s="37" t="s">
        <v>5538</v>
      </c>
      <c r="F2552" s="37" t="s">
        <v>3455</v>
      </c>
      <c r="G2552" s="37" t="s">
        <v>3456</v>
      </c>
      <c r="H2552" s="37" t="s">
        <v>5543</v>
      </c>
      <c r="I2552" s="37" t="s">
        <v>229</v>
      </c>
    </row>
    <row r="2553" ht="15.75" hidden="1" customHeight="1">
      <c r="A2553" s="38">
        <v>6076205.0</v>
      </c>
      <c r="B2553" s="39" t="s">
        <v>323</v>
      </c>
      <c r="C2553" s="39" t="s">
        <v>5544</v>
      </c>
      <c r="D2553" s="39" t="s">
        <v>224</v>
      </c>
      <c r="E2553" s="39" t="s">
        <v>5538</v>
      </c>
      <c r="F2553" s="39" t="s">
        <v>3455</v>
      </c>
      <c r="G2553" s="39" t="s">
        <v>3456</v>
      </c>
      <c r="H2553" s="39" t="s">
        <v>5545</v>
      </c>
      <c r="I2553" s="39" t="s">
        <v>229</v>
      </c>
    </row>
    <row r="2554" ht="15.75" hidden="1" customHeight="1">
      <c r="A2554" s="36">
        <v>6076176.0</v>
      </c>
      <c r="B2554" s="37" t="s">
        <v>323</v>
      </c>
      <c r="C2554" s="37" t="s">
        <v>5546</v>
      </c>
      <c r="D2554" s="37" t="s">
        <v>224</v>
      </c>
      <c r="E2554" s="37" t="s">
        <v>5538</v>
      </c>
      <c r="F2554" s="37" t="s">
        <v>3455</v>
      </c>
      <c r="G2554" s="37" t="s">
        <v>3456</v>
      </c>
      <c r="H2554" s="37" t="s">
        <v>5547</v>
      </c>
      <c r="I2554" s="37" t="s">
        <v>229</v>
      </c>
    </row>
    <row r="2555" ht="15.75" hidden="1" customHeight="1">
      <c r="A2555" s="38">
        <v>6076156.0</v>
      </c>
      <c r="B2555" s="39" t="s">
        <v>323</v>
      </c>
      <c r="C2555" s="39" t="s">
        <v>5548</v>
      </c>
      <c r="D2555" s="39" t="s">
        <v>224</v>
      </c>
      <c r="E2555" s="39" t="s">
        <v>5538</v>
      </c>
      <c r="F2555" s="39" t="s">
        <v>3455</v>
      </c>
      <c r="G2555" s="39" t="s">
        <v>3456</v>
      </c>
      <c r="H2555" s="39" t="s">
        <v>5549</v>
      </c>
      <c r="I2555" s="39" t="s">
        <v>229</v>
      </c>
    </row>
    <row r="2556" ht="15.75" hidden="1" customHeight="1">
      <c r="A2556" s="36">
        <v>6076239.0</v>
      </c>
      <c r="B2556" s="37" t="s">
        <v>289</v>
      </c>
      <c r="C2556" s="37" t="s">
        <v>5550</v>
      </c>
      <c r="D2556" s="37" t="s">
        <v>224</v>
      </c>
      <c r="E2556" s="37" t="s">
        <v>5551</v>
      </c>
      <c r="F2556" s="37" t="s">
        <v>3455</v>
      </c>
      <c r="G2556" s="37" t="s">
        <v>3456</v>
      </c>
      <c r="H2556" s="37" t="s">
        <v>5552</v>
      </c>
      <c r="I2556" s="37" t="s">
        <v>229</v>
      </c>
    </row>
    <row r="2557" ht="15.75" hidden="1" customHeight="1">
      <c r="A2557" s="38">
        <v>5948315.0</v>
      </c>
      <c r="B2557" s="39" t="s">
        <v>289</v>
      </c>
      <c r="C2557" s="39" t="s">
        <v>5553</v>
      </c>
      <c r="D2557" s="39" t="s">
        <v>224</v>
      </c>
      <c r="E2557" s="39" t="s">
        <v>5551</v>
      </c>
      <c r="F2557" s="39" t="s">
        <v>3455</v>
      </c>
      <c r="G2557" s="39" t="s">
        <v>3456</v>
      </c>
      <c r="H2557" s="39" t="s">
        <v>5554</v>
      </c>
      <c r="I2557" s="39" t="s">
        <v>229</v>
      </c>
    </row>
    <row r="2558" ht="15.75" hidden="1" customHeight="1">
      <c r="A2558" s="36">
        <v>6076233.0</v>
      </c>
      <c r="B2558" s="37" t="s">
        <v>289</v>
      </c>
      <c r="C2558" s="37" t="s">
        <v>5555</v>
      </c>
      <c r="D2558" s="37" t="s">
        <v>224</v>
      </c>
      <c r="E2558" s="37" t="s">
        <v>5551</v>
      </c>
      <c r="F2558" s="37" t="s">
        <v>3455</v>
      </c>
      <c r="G2558" s="37" t="s">
        <v>3456</v>
      </c>
      <c r="H2558" s="37" t="s">
        <v>5556</v>
      </c>
      <c r="I2558" s="37" t="s">
        <v>229</v>
      </c>
    </row>
    <row r="2559" ht="15.75" hidden="1" customHeight="1">
      <c r="A2559" s="38">
        <v>6076240.0</v>
      </c>
      <c r="B2559" s="39" t="s">
        <v>289</v>
      </c>
      <c r="C2559" s="39" t="s">
        <v>5557</v>
      </c>
      <c r="D2559" s="39" t="s">
        <v>224</v>
      </c>
      <c r="E2559" s="39" t="s">
        <v>5551</v>
      </c>
      <c r="F2559" s="39" t="s">
        <v>3455</v>
      </c>
      <c r="G2559" s="39" t="s">
        <v>3456</v>
      </c>
      <c r="H2559" s="39" t="s">
        <v>5558</v>
      </c>
      <c r="I2559" s="39" t="s">
        <v>229</v>
      </c>
    </row>
    <row r="2560" ht="15.75" hidden="1" customHeight="1">
      <c r="A2560" s="36">
        <v>6076238.0</v>
      </c>
      <c r="B2560" s="37" t="s">
        <v>289</v>
      </c>
      <c r="C2560" s="37" t="s">
        <v>5559</v>
      </c>
      <c r="D2560" s="37" t="s">
        <v>224</v>
      </c>
      <c r="E2560" s="37" t="s">
        <v>5551</v>
      </c>
      <c r="F2560" s="37" t="s">
        <v>3455</v>
      </c>
      <c r="G2560" s="37" t="s">
        <v>3456</v>
      </c>
      <c r="H2560" s="37" t="s">
        <v>5560</v>
      </c>
      <c r="I2560" s="37" t="s">
        <v>229</v>
      </c>
    </row>
    <row r="2561" ht="15.75" hidden="1" customHeight="1">
      <c r="A2561" s="38">
        <v>4749283.0</v>
      </c>
      <c r="B2561" s="39" t="s">
        <v>323</v>
      </c>
      <c r="C2561" s="39" t="s">
        <v>5561</v>
      </c>
      <c r="D2561" s="39" t="s">
        <v>224</v>
      </c>
      <c r="E2561" s="39" t="s">
        <v>5538</v>
      </c>
      <c r="F2561" s="39" t="s">
        <v>3455</v>
      </c>
      <c r="G2561" s="39" t="s">
        <v>3456</v>
      </c>
      <c r="H2561" s="39" t="s">
        <v>5562</v>
      </c>
      <c r="I2561" s="39" t="s">
        <v>229</v>
      </c>
    </row>
    <row r="2562" ht="15.75" hidden="1" customHeight="1">
      <c r="A2562" s="36">
        <v>6079049.0</v>
      </c>
      <c r="B2562" s="37" t="s">
        <v>289</v>
      </c>
      <c r="C2562" s="37" t="s">
        <v>5563</v>
      </c>
      <c r="D2562" s="37" t="s">
        <v>224</v>
      </c>
      <c r="E2562" s="37" t="s">
        <v>5551</v>
      </c>
      <c r="F2562" s="37" t="s">
        <v>3455</v>
      </c>
      <c r="G2562" s="37" t="s">
        <v>3456</v>
      </c>
      <c r="H2562" s="37" t="s">
        <v>5564</v>
      </c>
      <c r="I2562" s="37" t="s">
        <v>229</v>
      </c>
    </row>
    <row r="2563" ht="15.75" hidden="1" customHeight="1">
      <c r="A2563" s="38">
        <v>6079043.0</v>
      </c>
      <c r="B2563" s="39" t="s">
        <v>289</v>
      </c>
      <c r="C2563" s="39" t="s">
        <v>5565</v>
      </c>
      <c r="D2563" s="39" t="s">
        <v>224</v>
      </c>
      <c r="E2563" s="39" t="s">
        <v>5551</v>
      </c>
      <c r="F2563" s="39" t="s">
        <v>3455</v>
      </c>
      <c r="G2563" s="39" t="s">
        <v>3456</v>
      </c>
      <c r="H2563" s="39" t="s">
        <v>5566</v>
      </c>
      <c r="I2563" s="39" t="s">
        <v>229</v>
      </c>
    </row>
    <row r="2564" ht="15.75" hidden="1" customHeight="1">
      <c r="A2564" s="36">
        <v>6101176.0</v>
      </c>
      <c r="B2564" s="37" t="s">
        <v>416</v>
      </c>
      <c r="C2564" s="37" t="s">
        <v>5567</v>
      </c>
      <c r="D2564" s="37" t="s">
        <v>224</v>
      </c>
      <c r="E2564" s="37" t="s">
        <v>5568</v>
      </c>
      <c r="F2564" s="37" t="s">
        <v>4101</v>
      </c>
      <c r="G2564" s="37" t="s">
        <v>4102</v>
      </c>
      <c r="H2564" s="37" t="s">
        <v>3646</v>
      </c>
      <c r="I2564" s="37" t="s">
        <v>260</v>
      </c>
    </row>
    <row r="2565" ht="15.75" hidden="1" customHeight="1">
      <c r="A2565" s="38">
        <v>6107323.0</v>
      </c>
      <c r="B2565" s="39" t="s">
        <v>416</v>
      </c>
      <c r="C2565" s="39" t="s">
        <v>5569</v>
      </c>
      <c r="D2565" s="39" t="s">
        <v>224</v>
      </c>
      <c r="E2565" s="39" t="s">
        <v>3640</v>
      </c>
      <c r="F2565" s="39" t="s">
        <v>3641</v>
      </c>
      <c r="G2565" s="39" t="s">
        <v>3456</v>
      </c>
      <c r="H2565" s="39" t="s">
        <v>3646</v>
      </c>
      <c r="I2565" s="39" t="s">
        <v>260</v>
      </c>
    </row>
    <row r="2566" ht="15.75" hidden="1" customHeight="1">
      <c r="A2566" s="36">
        <v>6108975.0</v>
      </c>
      <c r="B2566" s="37" t="s">
        <v>526</v>
      </c>
      <c r="C2566" s="37" t="s">
        <v>5570</v>
      </c>
      <c r="D2566" s="37" t="s">
        <v>224</v>
      </c>
      <c r="E2566" s="37" t="s">
        <v>5538</v>
      </c>
      <c r="F2566" s="37" t="s">
        <v>3455</v>
      </c>
      <c r="G2566" s="37" t="s">
        <v>3456</v>
      </c>
      <c r="H2566" s="37" t="s">
        <v>5571</v>
      </c>
      <c r="I2566" s="37" t="s">
        <v>229</v>
      </c>
    </row>
    <row r="2567" ht="15.75" hidden="1" customHeight="1">
      <c r="A2567" s="38">
        <v>6108969.0</v>
      </c>
      <c r="B2567" s="39" t="s">
        <v>323</v>
      </c>
      <c r="C2567" s="39" t="s">
        <v>5572</v>
      </c>
      <c r="D2567" s="39" t="s">
        <v>224</v>
      </c>
      <c r="E2567" s="39" t="s">
        <v>3454</v>
      </c>
      <c r="F2567" s="39" t="s">
        <v>3455</v>
      </c>
      <c r="G2567" s="39" t="s">
        <v>3456</v>
      </c>
      <c r="H2567" s="39" t="s">
        <v>5573</v>
      </c>
      <c r="I2567" s="39" t="s">
        <v>229</v>
      </c>
    </row>
    <row r="2568" ht="15.75" hidden="1" customHeight="1">
      <c r="A2568" s="36">
        <v>6108973.0</v>
      </c>
      <c r="B2568" s="37" t="s">
        <v>526</v>
      </c>
      <c r="C2568" s="37" t="s">
        <v>5574</v>
      </c>
      <c r="D2568" s="37" t="s">
        <v>224</v>
      </c>
      <c r="E2568" s="37" t="s">
        <v>5538</v>
      </c>
      <c r="F2568" s="37" t="s">
        <v>3455</v>
      </c>
      <c r="G2568" s="37" t="s">
        <v>3456</v>
      </c>
      <c r="H2568" s="37" t="s">
        <v>3646</v>
      </c>
      <c r="I2568" s="37" t="s">
        <v>229</v>
      </c>
    </row>
    <row r="2569" ht="15.75" hidden="1" customHeight="1">
      <c r="A2569" s="38">
        <v>6108977.0</v>
      </c>
      <c r="B2569" s="39" t="s">
        <v>323</v>
      </c>
      <c r="C2569" s="39" t="s">
        <v>5575</v>
      </c>
      <c r="D2569" s="39" t="s">
        <v>224</v>
      </c>
      <c r="E2569" s="39" t="s">
        <v>3454</v>
      </c>
      <c r="F2569" s="39" t="s">
        <v>3455</v>
      </c>
      <c r="G2569" s="39" t="s">
        <v>3456</v>
      </c>
      <c r="H2569" s="39" t="s">
        <v>3646</v>
      </c>
      <c r="I2569" s="39" t="s">
        <v>229</v>
      </c>
    </row>
    <row r="2570" ht="15.75" hidden="1" customHeight="1">
      <c r="A2570" s="36">
        <v>6108968.0</v>
      </c>
      <c r="B2570" s="37" t="s">
        <v>323</v>
      </c>
      <c r="C2570" s="37" t="s">
        <v>5576</v>
      </c>
      <c r="D2570" s="37" t="s">
        <v>224</v>
      </c>
      <c r="E2570" s="37" t="s">
        <v>3454</v>
      </c>
      <c r="F2570" s="37" t="s">
        <v>3455</v>
      </c>
      <c r="G2570" s="37" t="s">
        <v>3456</v>
      </c>
      <c r="H2570" s="37" t="s">
        <v>5577</v>
      </c>
      <c r="I2570" s="37" t="s">
        <v>229</v>
      </c>
    </row>
    <row r="2571" ht="15.75" hidden="1" customHeight="1">
      <c r="A2571" s="38">
        <v>6108974.0</v>
      </c>
      <c r="B2571" s="39" t="s">
        <v>323</v>
      </c>
      <c r="C2571" s="39" t="s">
        <v>5578</v>
      </c>
      <c r="D2571" s="39" t="s">
        <v>224</v>
      </c>
      <c r="E2571" s="39" t="s">
        <v>3454</v>
      </c>
      <c r="F2571" s="39" t="s">
        <v>3455</v>
      </c>
      <c r="G2571" s="39" t="s">
        <v>3456</v>
      </c>
      <c r="H2571" s="39" t="s">
        <v>5579</v>
      </c>
      <c r="I2571" s="39" t="s">
        <v>229</v>
      </c>
    </row>
    <row r="2572" ht="15.75" hidden="1" customHeight="1">
      <c r="A2572" s="36">
        <v>6108970.0</v>
      </c>
      <c r="B2572" s="37" t="s">
        <v>323</v>
      </c>
      <c r="C2572" s="37" t="s">
        <v>5580</v>
      </c>
      <c r="D2572" s="37" t="s">
        <v>224</v>
      </c>
      <c r="E2572" s="37" t="s">
        <v>3454</v>
      </c>
      <c r="F2572" s="37" t="s">
        <v>3455</v>
      </c>
      <c r="G2572" s="37" t="s">
        <v>3456</v>
      </c>
      <c r="H2572" s="37" t="s">
        <v>3646</v>
      </c>
      <c r="I2572" s="37" t="s">
        <v>229</v>
      </c>
    </row>
    <row r="2573" ht="15.75" hidden="1" customHeight="1">
      <c r="A2573" s="38">
        <v>6107318.0</v>
      </c>
      <c r="B2573" s="39" t="s">
        <v>121</v>
      </c>
      <c r="C2573" s="39" t="s">
        <v>5581</v>
      </c>
      <c r="D2573" s="39" t="s">
        <v>224</v>
      </c>
      <c r="E2573" s="39" t="s">
        <v>5119</v>
      </c>
      <c r="F2573" s="39" t="s">
        <v>3641</v>
      </c>
      <c r="G2573" s="39" t="s">
        <v>3456</v>
      </c>
      <c r="H2573" s="39" t="s">
        <v>3646</v>
      </c>
      <c r="I2573" s="39" t="s">
        <v>260</v>
      </c>
    </row>
    <row r="2574" ht="15.75" hidden="1" customHeight="1">
      <c r="A2574" s="36">
        <v>6110287.0</v>
      </c>
      <c r="B2574" s="37" t="s">
        <v>526</v>
      </c>
      <c r="C2574" s="37" t="s">
        <v>5582</v>
      </c>
      <c r="D2574" s="37" t="s">
        <v>224</v>
      </c>
      <c r="E2574" s="37" t="s">
        <v>5538</v>
      </c>
      <c r="F2574" s="37" t="s">
        <v>3455</v>
      </c>
      <c r="G2574" s="37" t="s">
        <v>3456</v>
      </c>
      <c r="H2574" s="37" t="s">
        <v>3646</v>
      </c>
      <c r="I2574" s="37" t="s">
        <v>229</v>
      </c>
    </row>
    <row r="2575" ht="15.75" hidden="1" customHeight="1">
      <c r="A2575" s="38">
        <v>6110290.0</v>
      </c>
      <c r="B2575" s="39" t="s">
        <v>526</v>
      </c>
      <c r="C2575" s="39" t="s">
        <v>5583</v>
      </c>
      <c r="D2575" s="39" t="s">
        <v>224</v>
      </c>
      <c r="E2575" s="39" t="s">
        <v>5538</v>
      </c>
      <c r="F2575" s="39" t="s">
        <v>3455</v>
      </c>
      <c r="G2575" s="39" t="s">
        <v>3456</v>
      </c>
      <c r="H2575" s="39" t="s">
        <v>3646</v>
      </c>
      <c r="I2575" s="39" t="s">
        <v>229</v>
      </c>
    </row>
    <row r="2576" ht="15.75" hidden="1" customHeight="1">
      <c r="A2576" s="36">
        <v>6110561.0</v>
      </c>
      <c r="B2576" s="37" t="s">
        <v>374</v>
      </c>
      <c r="C2576" s="37" t="s">
        <v>5584</v>
      </c>
      <c r="D2576" s="37" t="s">
        <v>224</v>
      </c>
      <c r="E2576" s="37" t="s">
        <v>5538</v>
      </c>
      <c r="F2576" s="37" t="s">
        <v>3455</v>
      </c>
      <c r="G2576" s="37" t="s">
        <v>3456</v>
      </c>
      <c r="H2576" s="37" t="s">
        <v>3646</v>
      </c>
      <c r="I2576" s="37" t="s">
        <v>229</v>
      </c>
    </row>
    <row r="2577" ht="15.75" hidden="1" customHeight="1">
      <c r="A2577" s="38">
        <v>6110288.0</v>
      </c>
      <c r="B2577" s="39" t="s">
        <v>526</v>
      </c>
      <c r="C2577" s="39" t="s">
        <v>5585</v>
      </c>
      <c r="D2577" s="39" t="s">
        <v>224</v>
      </c>
      <c r="E2577" s="39" t="s">
        <v>5538</v>
      </c>
      <c r="F2577" s="39" t="s">
        <v>3455</v>
      </c>
      <c r="G2577" s="39" t="s">
        <v>3456</v>
      </c>
      <c r="H2577" s="39" t="s">
        <v>3646</v>
      </c>
      <c r="I2577" s="39" t="s">
        <v>229</v>
      </c>
    </row>
    <row r="2578" ht="15.75" hidden="1" customHeight="1">
      <c r="A2578" s="36">
        <v>6110283.0</v>
      </c>
      <c r="B2578" s="37" t="s">
        <v>121</v>
      </c>
      <c r="C2578" s="37" t="s">
        <v>5586</v>
      </c>
      <c r="D2578" s="37" t="s">
        <v>224</v>
      </c>
      <c r="E2578" s="37" t="s">
        <v>5568</v>
      </c>
      <c r="F2578" s="37" t="s">
        <v>4101</v>
      </c>
      <c r="G2578" s="37" t="s">
        <v>4102</v>
      </c>
      <c r="H2578" s="37" t="s">
        <v>3646</v>
      </c>
      <c r="I2578" s="37" t="s">
        <v>260</v>
      </c>
    </row>
    <row r="2579" ht="15.75" hidden="1" customHeight="1">
      <c r="A2579" s="38">
        <v>6110306.0</v>
      </c>
      <c r="B2579" s="39" t="s">
        <v>121</v>
      </c>
      <c r="C2579" s="39" t="s">
        <v>5587</v>
      </c>
      <c r="D2579" s="39" t="s">
        <v>224</v>
      </c>
      <c r="E2579" s="39" t="s">
        <v>5568</v>
      </c>
      <c r="F2579" s="39" t="s">
        <v>4101</v>
      </c>
      <c r="G2579" s="39" t="s">
        <v>4102</v>
      </c>
      <c r="H2579" s="39" t="s">
        <v>3646</v>
      </c>
      <c r="I2579" s="39" t="s">
        <v>260</v>
      </c>
    </row>
    <row r="2580" ht="15.75" hidden="1" customHeight="1">
      <c r="A2580" s="36">
        <v>6110292.0</v>
      </c>
      <c r="B2580" s="37" t="s">
        <v>738</v>
      </c>
      <c r="C2580" s="37" t="s">
        <v>5588</v>
      </c>
      <c r="D2580" s="37" t="s">
        <v>224</v>
      </c>
      <c r="E2580" s="37" t="s">
        <v>5130</v>
      </c>
      <c r="F2580" s="37" t="s">
        <v>3641</v>
      </c>
      <c r="G2580" s="37" t="s">
        <v>3456</v>
      </c>
      <c r="H2580" s="37" t="s">
        <v>3646</v>
      </c>
      <c r="I2580" s="37" t="s">
        <v>229</v>
      </c>
    </row>
    <row r="2581" ht="15.75" hidden="1" customHeight="1">
      <c r="A2581" s="38">
        <v>6110295.0</v>
      </c>
      <c r="B2581" s="39" t="s">
        <v>738</v>
      </c>
      <c r="C2581" s="39" t="s">
        <v>5589</v>
      </c>
      <c r="D2581" s="39" t="s">
        <v>224</v>
      </c>
      <c r="E2581" s="39" t="s">
        <v>5130</v>
      </c>
      <c r="F2581" s="39" t="s">
        <v>3641</v>
      </c>
      <c r="G2581" s="39" t="s">
        <v>3456</v>
      </c>
      <c r="H2581" s="39" t="s">
        <v>3646</v>
      </c>
      <c r="I2581" s="39" t="s">
        <v>229</v>
      </c>
    </row>
    <row r="2582" ht="15.75" hidden="1" customHeight="1">
      <c r="A2582" s="36">
        <v>6110291.0</v>
      </c>
      <c r="B2582" s="37" t="s">
        <v>738</v>
      </c>
      <c r="C2582" s="37" t="s">
        <v>5590</v>
      </c>
      <c r="D2582" s="37" t="s">
        <v>224</v>
      </c>
      <c r="E2582" s="37" t="s">
        <v>5130</v>
      </c>
      <c r="F2582" s="37" t="s">
        <v>3641</v>
      </c>
      <c r="G2582" s="37" t="s">
        <v>3456</v>
      </c>
      <c r="H2582" s="37" t="s">
        <v>3646</v>
      </c>
      <c r="I2582" s="37" t="s">
        <v>229</v>
      </c>
    </row>
    <row r="2583" ht="15.75" hidden="1" customHeight="1">
      <c r="A2583" s="38">
        <v>6110767.0</v>
      </c>
      <c r="B2583" s="39" t="s">
        <v>738</v>
      </c>
      <c r="C2583" s="39" t="s">
        <v>5591</v>
      </c>
      <c r="D2583" s="39" t="s">
        <v>224</v>
      </c>
      <c r="E2583" s="39" t="s">
        <v>5130</v>
      </c>
      <c r="F2583" s="39" t="s">
        <v>3641</v>
      </c>
      <c r="G2583" s="39" t="s">
        <v>3456</v>
      </c>
      <c r="H2583" s="39" t="s">
        <v>3646</v>
      </c>
      <c r="I2583" s="39" t="s">
        <v>229</v>
      </c>
    </row>
    <row r="2584" ht="15.75" hidden="1" customHeight="1">
      <c r="A2584" s="36">
        <v>5770043.0</v>
      </c>
      <c r="B2584" s="37" t="s">
        <v>416</v>
      </c>
      <c r="C2584" s="37" t="s">
        <v>5592</v>
      </c>
      <c r="D2584" s="37" t="s">
        <v>224</v>
      </c>
      <c r="E2584" s="37" t="s">
        <v>5593</v>
      </c>
      <c r="F2584" s="37" t="s">
        <v>4101</v>
      </c>
      <c r="G2584" s="37" t="s">
        <v>4102</v>
      </c>
      <c r="H2584" s="37" t="s">
        <v>3646</v>
      </c>
      <c r="I2584" s="37" t="s">
        <v>260</v>
      </c>
    </row>
    <row r="2585" ht="15.75" hidden="1" customHeight="1">
      <c r="A2585" s="38">
        <v>6110963.0</v>
      </c>
      <c r="B2585" s="39" t="s">
        <v>416</v>
      </c>
      <c r="C2585" s="39" t="s">
        <v>5594</v>
      </c>
      <c r="D2585" s="39" t="s">
        <v>224</v>
      </c>
      <c r="E2585" s="39" t="s">
        <v>5593</v>
      </c>
      <c r="F2585" s="39" t="s">
        <v>4101</v>
      </c>
      <c r="G2585" s="39" t="s">
        <v>4102</v>
      </c>
      <c r="H2585" s="39" t="s">
        <v>3646</v>
      </c>
      <c r="I2585" s="39" t="s">
        <v>260</v>
      </c>
    </row>
    <row r="2586" ht="15.75" hidden="1" customHeight="1">
      <c r="A2586" s="36">
        <v>6112202.0</v>
      </c>
      <c r="B2586" s="37" t="s">
        <v>121</v>
      </c>
      <c r="C2586" s="37" t="s">
        <v>5595</v>
      </c>
      <c r="D2586" s="37" t="s">
        <v>224</v>
      </c>
      <c r="E2586" s="37" t="s">
        <v>5568</v>
      </c>
      <c r="F2586" s="37" t="s">
        <v>4101</v>
      </c>
      <c r="G2586" s="37" t="s">
        <v>4102</v>
      </c>
      <c r="H2586" s="37" t="s">
        <v>3646</v>
      </c>
      <c r="I2586" s="37" t="s">
        <v>260</v>
      </c>
    </row>
    <row r="2587" ht="15.75" hidden="1" customHeight="1">
      <c r="A2587" s="38">
        <v>6112162.0</v>
      </c>
      <c r="B2587" s="39" t="s">
        <v>121</v>
      </c>
      <c r="C2587" s="39" t="s">
        <v>5596</v>
      </c>
      <c r="D2587" s="39" t="s">
        <v>224</v>
      </c>
      <c r="E2587" s="39" t="s">
        <v>5568</v>
      </c>
      <c r="F2587" s="39" t="s">
        <v>4101</v>
      </c>
      <c r="G2587" s="39" t="s">
        <v>4102</v>
      </c>
      <c r="H2587" s="39" t="s">
        <v>3646</v>
      </c>
      <c r="I2587" s="39" t="s">
        <v>260</v>
      </c>
    </row>
    <row r="2588" ht="15.75" hidden="1" customHeight="1">
      <c r="A2588" s="36">
        <v>6112208.0</v>
      </c>
      <c r="B2588" s="37" t="s">
        <v>738</v>
      </c>
      <c r="C2588" s="37" t="s">
        <v>5597</v>
      </c>
      <c r="D2588" s="37" t="s">
        <v>224</v>
      </c>
      <c r="E2588" s="37" t="s">
        <v>5130</v>
      </c>
      <c r="F2588" s="37" t="s">
        <v>3641</v>
      </c>
      <c r="G2588" s="37" t="s">
        <v>3456</v>
      </c>
      <c r="H2588" s="37" t="s">
        <v>3646</v>
      </c>
      <c r="I2588" s="37" t="s">
        <v>229</v>
      </c>
    </row>
    <row r="2589" ht="15.75" hidden="1" customHeight="1">
      <c r="A2589" s="38">
        <v>6112546.0</v>
      </c>
      <c r="B2589" s="39" t="s">
        <v>738</v>
      </c>
      <c r="C2589" s="39" t="s">
        <v>5598</v>
      </c>
      <c r="D2589" s="39" t="s">
        <v>224</v>
      </c>
      <c r="E2589" s="39" t="s">
        <v>5130</v>
      </c>
      <c r="F2589" s="39" t="s">
        <v>3641</v>
      </c>
      <c r="G2589" s="39" t="s">
        <v>3456</v>
      </c>
      <c r="H2589" s="39" t="s">
        <v>3646</v>
      </c>
      <c r="I2589" s="39" t="s">
        <v>229</v>
      </c>
    </row>
    <row r="2590" ht="15.75" hidden="1" customHeight="1">
      <c r="A2590" s="36">
        <v>5159620.0</v>
      </c>
      <c r="B2590" s="37" t="s">
        <v>738</v>
      </c>
      <c r="C2590" s="37" t="s">
        <v>5599</v>
      </c>
      <c r="D2590" s="37" t="s">
        <v>224</v>
      </c>
      <c r="E2590" s="37" t="s">
        <v>5130</v>
      </c>
      <c r="F2590" s="37" t="s">
        <v>3641</v>
      </c>
      <c r="G2590" s="37" t="s">
        <v>3456</v>
      </c>
      <c r="H2590" s="37" t="s">
        <v>3646</v>
      </c>
      <c r="I2590" s="37" t="s">
        <v>229</v>
      </c>
    </row>
    <row r="2591" ht="15.75" hidden="1" customHeight="1">
      <c r="A2591" s="38">
        <v>5192750.0</v>
      </c>
      <c r="B2591" s="39" t="s">
        <v>738</v>
      </c>
      <c r="C2591" s="39" t="s">
        <v>5600</v>
      </c>
      <c r="D2591" s="39" t="s">
        <v>224</v>
      </c>
      <c r="E2591" s="39" t="s">
        <v>5130</v>
      </c>
      <c r="F2591" s="39" t="s">
        <v>3641</v>
      </c>
      <c r="G2591" s="39" t="s">
        <v>3456</v>
      </c>
      <c r="H2591" s="39" t="s">
        <v>3646</v>
      </c>
      <c r="I2591" s="39" t="s">
        <v>229</v>
      </c>
    </row>
    <row r="2592" ht="15.75" hidden="1" customHeight="1">
      <c r="A2592" s="36">
        <v>6112215.0</v>
      </c>
      <c r="B2592" s="37" t="s">
        <v>738</v>
      </c>
      <c r="C2592" s="37" t="s">
        <v>5601</v>
      </c>
      <c r="D2592" s="37" t="s">
        <v>224</v>
      </c>
      <c r="E2592" s="37" t="s">
        <v>5130</v>
      </c>
      <c r="F2592" s="37" t="s">
        <v>3641</v>
      </c>
      <c r="G2592" s="37" t="s">
        <v>3456</v>
      </c>
      <c r="H2592" s="37" t="s">
        <v>3646</v>
      </c>
      <c r="I2592" s="37" t="s">
        <v>229</v>
      </c>
    </row>
    <row r="2593" ht="15.75" hidden="1" customHeight="1">
      <c r="A2593" s="38">
        <v>5891449.0</v>
      </c>
      <c r="B2593" s="39" t="s">
        <v>3225</v>
      </c>
      <c r="C2593" s="39" t="s">
        <v>5602</v>
      </c>
      <c r="D2593" s="39" t="s">
        <v>224</v>
      </c>
      <c r="E2593" s="39" t="s">
        <v>5603</v>
      </c>
      <c r="F2593" s="39" t="s">
        <v>3641</v>
      </c>
      <c r="G2593" s="39" t="s">
        <v>3456</v>
      </c>
      <c r="H2593" s="39" t="s">
        <v>3646</v>
      </c>
      <c r="I2593" s="39" t="s">
        <v>229</v>
      </c>
    </row>
    <row r="2594" ht="15.75" hidden="1" customHeight="1">
      <c r="A2594" s="36">
        <v>6112533.0</v>
      </c>
      <c r="B2594" s="37" t="s">
        <v>555</v>
      </c>
      <c r="C2594" s="37" t="s">
        <v>5604</v>
      </c>
      <c r="D2594" s="37" t="s">
        <v>224</v>
      </c>
      <c r="E2594" s="37" t="s">
        <v>5603</v>
      </c>
      <c r="F2594" s="37" t="s">
        <v>3641</v>
      </c>
      <c r="G2594" s="37" t="s">
        <v>3456</v>
      </c>
      <c r="H2594" s="37" t="s">
        <v>3646</v>
      </c>
      <c r="I2594" s="37" t="s">
        <v>229</v>
      </c>
    </row>
    <row r="2595" ht="15.75" hidden="1" customHeight="1">
      <c r="A2595" s="38">
        <v>6112532.0</v>
      </c>
      <c r="B2595" s="39" t="s">
        <v>555</v>
      </c>
      <c r="C2595" s="39" t="s">
        <v>5605</v>
      </c>
      <c r="D2595" s="39" t="s">
        <v>224</v>
      </c>
      <c r="E2595" s="39" t="s">
        <v>5603</v>
      </c>
      <c r="F2595" s="39" t="s">
        <v>3641</v>
      </c>
      <c r="G2595" s="39" t="s">
        <v>3456</v>
      </c>
      <c r="H2595" s="39" t="s">
        <v>3646</v>
      </c>
      <c r="I2595" s="39" t="s">
        <v>229</v>
      </c>
    </row>
    <row r="2596" ht="15.75" hidden="1" customHeight="1">
      <c r="A2596" s="36">
        <v>5783852.0</v>
      </c>
      <c r="B2596" s="37" t="s">
        <v>555</v>
      </c>
      <c r="C2596" s="37" t="s">
        <v>5606</v>
      </c>
      <c r="D2596" s="37" t="s">
        <v>224</v>
      </c>
      <c r="E2596" s="37" t="s">
        <v>5603</v>
      </c>
      <c r="F2596" s="37" t="s">
        <v>3641</v>
      </c>
      <c r="G2596" s="37" t="s">
        <v>3456</v>
      </c>
      <c r="H2596" s="37" t="s">
        <v>3646</v>
      </c>
      <c r="I2596" s="37" t="s">
        <v>229</v>
      </c>
    </row>
    <row r="2597" ht="15.75" hidden="1" customHeight="1">
      <c r="A2597" s="38">
        <v>5726321.0</v>
      </c>
      <c r="B2597" s="39" t="s">
        <v>738</v>
      </c>
      <c r="C2597" s="39" t="s">
        <v>5607</v>
      </c>
      <c r="D2597" s="39" t="s">
        <v>224</v>
      </c>
      <c r="E2597" s="39" t="s">
        <v>5130</v>
      </c>
      <c r="F2597" s="39" t="s">
        <v>3641</v>
      </c>
      <c r="G2597" s="39" t="s">
        <v>3456</v>
      </c>
      <c r="H2597" s="39" t="s">
        <v>3646</v>
      </c>
      <c r="I2597" s="39" t="s">
        <v>229</v>
      </c>
    </row>
    <row r="2598" ht="15.75" hidden="1" customHeight="1">
      <c r="A2598" s="36">
        <v>6114351.0</v>
      </c>
      <c r="B2598" s="37" t="s">
        <v>738</v>
      </c>
      <c r="C2598" s="37" t="s">
        <v>5608</v>
      </c>
      <c r="D2598" s="37" t="s">
        <v>224</v>
      </c>
      <c r="E2598" s="37" t="s">
        <v>5130</v>
      </c>
      <c r="F2598" s="37" t="s">
        <v>3641</v>
      </c>
      <c r="G2598" s="37" t="s">
        <v>3456</v>
      </c>
      <c r="H2598" s="37" t="s">
        <v>3646</v>
      </c>
      <c r="I2598" s="37" t="s">
        <v>229</v>
      </c>
    </row>
    <row r="2599" ht="15.75" hidden="1" customHeight="1">
      <c r="A2599" s="38">
        <v>6114449.0</v>
      </c>
      <c r="B2599" s="39" t="s">
        <v>738</v>
      </c>
      <c r="C2599" s="39" t="s">
        <v>5609</v>
      </c>
      <c r="D2599" s="39" t="s">
        <v>224</v>
      </c>
      <c r="E2599" s="39" t="s">
        <v>5130</v>
      </c>
      <c r="F2599" s="39" t="s">
        <v>3641</v>
      </c>
      <c r="G2599" s="39" t="s">
        <v>3456</v>
      </c>
      <c r="H2599" s="39" t="s">
        <v>3646</v>
      </c>
      <c r="I2599" s="39" t="s">
        <v>229</v>
      </c>
    </row>
    <row r="2600" ht="15.75" hidden="1" customHeight="1">
      <c r="A2600" s="36">
        <v>6113723.0</v>
      </c>
      <c r="B2600" s="37" t="s">
        <v>3225</v>
      </c>
      <c r="C2600" s="37" t="s">
        <v>5610</v>
      </c>
      <c r="D2600" s="37" t="s">
        <v>224</v>
      </c>
      <c r="E2600" s="37" t="s">
        <v>5603</v>
      </c>
      <c r="F2600" s="37" t="s">
        <v>3641</v>
      </c>
      <c r="G2600" s="37" t="s">
        <v>3456</v>
      </c>
      <c r="H2600" s="37" t="s">
        <v>3646</v>
      </c>
      <c r="I2600" s="37" t="s">
        <v>229</v>
      </c>
    </row>
    <row r="2601" ht="15.75" hidden="1" customHeight="1">
      <c r="A2601" s="38">
        <v>6113682.0</v>
      </c>
      <c r="B2601" s="39" t="s">
        <v>555</v>
      </c>
      <c r="C2601" s="39" t="s">
        <v>5611</v>
      </c>
      <c r="D2601" s="39" t="s">
        <v>224</v>
      </c>
      <c r="E2601" s="39" t="s">
        <v>5603</v>
      </c>
      <c r="F2601" s="39" t="s">
        <v>3641</v>
      </c>
      <c r="G2601" s="39" t="s">
        <v>3456</v>
      </c>
      <c r="H2601" s="39" t="s">
        <v>3646</v>
      </c>
      <c r="I2601" s="39" t="s">
        <v>229</v>
      </c>
    </row>
    <row r="2602" ht="15.75" hidden="1" customHeight="1">
      <c r="A2602" s="36">
        <v>5305677.0</v>
      </c>
      <c r="B2602" s="37" t="s">
        <v>246</v>
      </c>
      <c r="C2602" s="37" t="s">
        <v>5612</v>
      </c>
      <c r="D2602" s="37" t="s">
        <v>224</v>
      </c>
      <c r="E2602" s="37" t="s">
        <v>5603</v>
      </c>
      <c r="F2602" s="37" t="s">
        <v>3641</v>
      </c>
      <c r="G2602" s="37" t="s">
        <v>3456</v>
      </c>
      <c r="H2602" s="37" t="s">
        <v>3646</v>
      </c>
      <c r="I2602" s="37" t="s">
        <v>229</v>
      </c>
    </row>
    <row r="2603" ht="15.75" hidden="1" customHeight="1">
      <c r="A2603" s="38">
        <v>6113729.0</v>
      </c>
      <c r="B2603" s="39" t="s">
        <v>555</v>
      </c>
      <c r="C2603" s="39" t="s">
        <v>5613</v>
      </c>
      <c r="D2603" s="39" t="s">
        <v>224</v>
      </c>
      <c r="E2603" s="39" t="s">
        <v>5603</v>
      </c>
      <c r="F2603" s="39" t="s">
        <v>3641</v>
      </c>
      <c r="G2603" s="39" t="s">
        <v>3456</v>
      </c>
      <c r="H2603" s="39" t="s">
        <v>3646</v>
      </c>
      <c r="I2603" s="39" t="s">
        <v>229</v>
      </c>
    </row>
    <row r="2604" ht="15.75" hidden="1" customHeight="1">
      <c r="A2604" s="36">
        <v>5763272.0</v>
      </c>
      <c r="B2604" s="37" t="s">
        <v>374</v>
      </c>
      <c r="C2604" s="37" t="s">
        <v>5614</v>
      </c>
      <c r="D2604" s="37" t="s">
        <v>224</v>
      </c>
      <c r="E2604" s="37" t="s">
        <v>3454</v>
      </c>
      <c r="F2604" s="37" t="s">
        <v>3455</v>
      </c>
      <c r="G2604" s="37" t="s">
        <v>3456</v>
      </c>
      <c r="H2604" s="37" t="s">
        <v>3646</v>
      </c>
      <c r="I2604" s="37" t="s">
        <v>229</v>
      </c>
    </row>
    <row r="2605" ht="15.75" hidden="1" customHeight="1">
      <c r="A2605" s="38">
        <v>5742119.0</v>
      </c>
      <c r="B2605" s="39" t="s">
        <v>374</v>
      </c>
      <c r="C2605" s="39" t="s">
        <v>5615</v>
      </c>
      <c r="D2605" s="39" t="s">
        <v>224</v>
      </c>
      <c r="E2605" s="39" t="s">
        <v>3454</v>
      </c>
      <c r="F2605" s="39" t="s">
        <v>3455</v>
      </c>
      <c r="G2605" s="39" t="s">
        <v>3456</v>
      </c>
      <c r="H2605" s="39" t="s">
        <v>3646</v>
      </c>
      <c r="I2605" s="39" t="s">
        <v>229</v>
      </c>
    </row>
    <row r="2606" ht="15.75" hidden="1" customHeight="1">
      <c r="A2606" s="36">
        <v>5346326.0</v>
      </c>
      <c r="B2606" s="37" t="s">
        <v>416</v>
      </c>
      <c r="C2606" s="37" t="s">
        <v>5616</v>
      </c>
      <c r="D2606" s="37" t="s">
        <v>224</v>
      </c>
      <c r="E2606" s="37" t="s">
        <v>5593</v>
      </c>
      <c r="F2606" s="37" t="s">
        <v>4101</v>
      </c>
      <c r="G2606" s="37" t="s">
        <v>4102</v>
      </c>
      <c r="H2606" s="37" t="s">
        <v>3646</v>
      </c>
      <c r="I2606" s="37" t="s">
        <v>260</v>
      </c>
    </row>
    <row r="2607" ht="15.75" hidden="1" customHeight="1">
      <c r="A2607" s="38">
        <v>6117038.0</v>
      </c>
      <c r="B2607" s="39" t="s">
        <v>738</v>
      </c>
      <c r="C2607" s="39" t="s">
        <v>5617</v>
      </c>
      <c r="D2607" s="39" t="s">
        <v>224</v>
      </c>
      <c r="E2607" s="39" t="s">
        <v>5130</v>
      </c>
      <c r="F2607" s="39" t="s">
        <v>3641</v>
      </c>
      <c r="G2607" s="39" t="s">
        <v>3456</v>
      </c>
      <c r="H2607" s="39" t="s">
        <v>3646</v>
      </c>
      <c r="I2607" s="39" t="s">
        <v>229</v>
      </c>
    </row>
    <row r="2608" ht="15.75" hidden="1" customHeight="1">
      <c r="A2608" s="36">
        <v>6116952.0</v>
      </c>
      <c r="B2608" s="37" t="s">
        <v>289</v>
      </c>
      <c r="C2608" s="37" t="s">
        <v>5618</v>
      </c>
      <c r="D2608" s="37" t="s">
        <v>224</v>
      </c>
      <c r="E2608" s="37" t="s">
        <v>5551</v>
      </c>
      <c r="F2608" s="37" t="s">
        <v>3455</v>
      </c>
      <c r="G2608" s="37" t="s">
        <v>3456</v>
      </c>
      <c r="H2608" s="37" t="s">
        <v>3646</v>
      </c>
      <c r="I2608" s="37" t="s">
        <v>229</v>
      </c>
    </row>
    <row r="2609" ht="15.75" hidden="1" customHeight="1">
      <c r="A2609" s="38">
        <v>6116924.0</v>
      </c>
      <c r="B2609" s="39" t="s">
        <v>289</v>
      </c>
      <c r="C2609" s="39" t="s">
        <v>5619</v>
      </c>
      <c r="D2609" s="39" t="s">
        <v>224</v>
      </c>
      <c r="E2609" s="39" t="s">
        <v>5551</v>
      </c>
      <c r="F2609" s="39" t="s">
        <v>3455</v>
      </c>
      <c r="G2609" s="39" t="s">
        <v>3456</v>
      </c>
      <c r="H2609" s="39" t="s">
        <v>3646</v>
      </c>
      <c r="I2609" s="39" t="s">
        <v>229</v>
      </c>
    </row>
    <row r="2610" ht="15.75" hidden="1" customHeight="1">
      <c r="A2610" s="36">
        <v>6116939.0</v>
      </c>
      <c r="B2610" s="37" t="s">
        <v>246</v>
      </c>
      <c r="C2610" s="37" t="s">
        <v>5620</v>
      </c>
      <c r="D2610" s="37" t="s">
        <v>224</v>
      </c>
      <c r="E2610" s="37" t="s">
        <v>5603</v>
      </c>
      <c r="F2610" s="37" t="s">
        <v>3641</v>
      </c>
      <c r="G2610" s="37" t="s">
        <v>3456</v>
      </c>
      <c r="H2610" s="37" t="s">
        <v>3646</v>
      </c>
      <c r="I2610" s="37" t="s">
        <v>229</v>
      </c>
    </row>
    <row r="2611" ht="15.75" hidden="1" customHeight="1">
      <c r="A2611" s="38">
        <v>6116686.0</v>
      </c>
      <c r="B2611" s="39" t="s">
        <v>289</v>
      </c>
      <c r="C2611" s="39" t="s">
        <v>5621</v>
      </c>
      <c r="D2611" s="39" t="s">
        <v>224</v>
      </c>
      <c r="E2611" s="39" t="s">
        <v>5551</v>
      </c>
      <c r="F2611" s="39" t="s">
        <v>3455</v>
      </c>
      <c r="G2611" s="39" t="s">
        <v>3456</v>
      </c>
      <c r="H2611" s="39" t="s">
        <v>3646</v>
      </c>
      <c r="I2611" s="39" t="s">
        <v>229</v>
      </c>
    </row>
    <row r="2612" ht="15.75" hidden="1" customHeight="1">
      <c r="A2612" s="36">
        <v>6116716.0</v>
      </c>
      <c r="B2612" s="37" t="s">
        <v>289</v>
      </c>
      <c r="C2612" s="37" t="s">
        <v>5622</v>
      </c>
      <c r="D2612" s="37" t="s">
        <v>224</v>
      </c>
      <c r="E2612" s="37" t="s">
        <v>5551</v>
      </c>
      <c r="F2612" s="37" t="s">
        <v>3455</v>
      </c>
      <c r="G2612" s="37" t="s">
        <v>3456</v>
      </c>
      <c r="H2612" s="37" t="s">
        <v>3646</v>
      </c>
      <c r="I2612" s="37" t="s">
        <v>229</v>
      </c>
    </row>
    <row r="2613" ht="15.75" hidden="1" customHeight="1">
      <c r="A2613" s="38">
        <v>6116868.0</v>
      </c>
      <c r="B2613" s="39" t="s">
        <v>289</v>
      </c>
      <c r="C2613" s="39" t="s">
        <v>5623</v>
      </c>
      <c r="D2613" s="39" t="s">
        <v>224</v>
      </c>
      <c r="E2613" s="39" t="s">
        <v>5551</v>
      </c>
      <c r="F2613" s="39" t="s">
        <v>3455</v>
      </c>
      <c r="G2613" s="39" t="s">
        <v>3456</v>
      </c>
      <c r="H2613" s="39" t="s">
        <v>3646</v>
      </c>
      <c r="I2613" s="39" t="s">
        <v>229</v>
      </c>
    </row>
    <row r="2614" ht="15.75" hidden="1" customHeight="1">
      <c r="A2614" s="36">
        <v>5851482.0</v>
      </c>
      <c r="B2614" s="37" t="s">
        <v>246</v>
      </c>
      <c r="C2614" s="37" t="s">
        <v>5624</v>
      </c>
      <c r="D2614" s="37" t="s">
        <v>224</v>
      </c>
      <c r="E2614" s="37" t="s">
        <v>5603</v>
      </c>
      <c r="F2614" s="37" t="s">
        <v>3641</v>
      </c>
      <c r="G2614" s="37" t="s">
        <v>3456</v>
      </c>
      <c r="H2614" s="37" t="s">
        <v>3646</v>
      </c>
      <c r="I2614" s="37" t="s">
        <v>229</v>
      </c>
    </row>
    <row r="2615" ht="15.75" hidden="1" customHeight="1">
      <c r="A2615" s="38">
        <v>6076300.0</v>
      </c>
      <c r="B2615" s="39" t="s">
        <v>986</v>
      </c>
      <c r="C2615" s="39" t="s">
        <v>5625</v>
      </c>
      <c r="D2615" s="39" t="s">
        <v>224</v>
      </c>
      <c r="E2615" s="39" t="s">
        <v>5626</v>
      </c>
      <c r="F2615" s="39" t="s">
        <v>3455</v>
      </c>
      <c r="G2615" s="39" t="s">
        <v>3456</v>
      </c>
      <c r="H2615" s="39" t="s">
        <v>3646</v>
      </c>
      <c r="I2615" s="39" t="s">
        <v>229</v>
      </c>
    </row>
    <row r="2616" ht="15.75" hidden="1" customHeight="1">
      <c r="A2616" s="36">
        <v>6113663.0</v>
      </c>
      <c r="B2616" s="37" t="s">
        <v>986</v>
      </c>
      <c r="C2616" s="37" t="s">
        <v>5627</v>
      </c>
      <c r="D2616" s="37" t="s">
        <v>224</v>
      </c>
      <c r="E2616" s="37" t="s">
        <v>5626</v>
      </c>
      <c r="F2616" s="37" t="s">
        <v>3455</v>
      </c>
      <c r="G2616" s="37" t="s">
        <v>3456</v>
      </c>
      <c r="H2616" s="37" t="s">
        <v>3646</v>
      </c>
      <c r="I2616" s="37" t="s">
        <v>229</v>
      </c>
    </row>
    <row r="2617" ht="15.75" hidden="1" customHeight="1">
      <c r="A2617" s="38">
        <v>6075992.0</v>
      </c>
      <c r="B2617" s="39" t="s">
        <v>986</v>
      </c>
      <c r="C2617" s="39" t="s">
        <v>5628</v>
      </c>
      <c r="D2617" s="39" t="s">
        <v>224</v>
      </c>
      <c r="E2617" s="39" t="s">
        <v>5626</v>
      </c>
      <c r="F2617" s="39" t="s">
        <v>3455</v>
      </c>
      <c r="G2617" s="39" t="s">
        <v>3456</v>
      </c>
      <c r="H2617" s="39" t="s">
        <v>3646</v>
      </c>
      <c r="I2617" s="39" t="s">
        <v>229</v>
      </c>
    </row>
    <row r="2618" ht="15.75" hidden="1" customHeight="1">
      <c r="A2618" s="36">
        <v>5812196.0</v>
      </c>
      <c r="B2618" s="37" t="s">
        <v>986</v>
      </c>
      <c r="C2618" s="37" t="s">
        <v>5629</v>
      </c>
      <c r="D2618" s="37" t="s">
        <v>224</v>
      </c>
      <c r="E2618" s="37" t="s">
        <v>5626</v>
      </c>
      <c r="F2618" s="37" t="s">
        <v>3455</v>
      </c>
      <c r="G2618" s="37" t="s">
        <v>3456</v>
      </c>
      <c r="H2618" s="37" t="s">
        <v>3646</v>
      </c>
      <c r="I2618" s="37" t="s">
        <v>229</v>
      </c>
    </row>
    <row r="2619" ht="15.75" hidden="1" customHeight="1">
      <c r="A2619" s="38">
        <v>6113644.0</v>
      </c>
      <c r="B2619" s="39" t="s">
        <v>986</v>
      </c>
      <c r="C2619" s="39" t="s">
        <v>5630</v>
      </c>
      <c r="D2619" s="39" t="s">
        <v>224</v>
      </c>
      <c r="E2619" s="39" t="s">
        <v>5626</v>
      </c>
      <c r="F2619" s="39" t="s">
        <v>3455</v>
      </c>
      <c r="G2619" s="39" t="s">
        <v>3456</v>
      </c>
      <c r="H2619" s="39" t="s">
        <v>3646</v>
      </c>
      <c r="I2619" s="39" t="s">
        <v>229</v>
      </c>
    </row>
    <row r="2620" ht="15.75" hidden="1" customHeight="1">
      <c r="A2620" s="36">
        <v>5683755.0</v>
      </c>
      <c r="B2620" s="37" t="s">
        <v>986</v>
      </c>
      <c r="C2620" s="37" t="s">
        <v>5631</v>
      </c>
      <c r="D2620" s="37" t="s">
        <v>224</v>
      </c>
      <c r="E2620" s="37" t="s">
        <v>5626</v>
      </c>
      <c r="F2620" s="37" t="s">
        <v>3455</v>
      </c>
      <c r="G2620" s="37" t="s">
        <v>3456</v>
      </c>
      <c r="H2620" s="37" t="s">
        <v>3646</v>
      </c>
      <c r="I2620" s="37" t="s">
        <v>229</v>
      </c>
    </row>
    <row r="2621" ht="15.75" hidden="1" customHeight="1">
      <c r="A2621" s="38">
        <v>6113730.0</v>
      </c>
      <c r="B2621" s="39" t="s">
        <v>986</v>
      </c>
      <c r="C2621" s="39" t="s">
        <v>5632</v>
      </c>
      <c r="D2621" s="39" t="s">
        <v>224</v>
      </c>
      <c r="E2621" s="45" t="s">
        <v>5626</v>
      </c>
      <c r="F2621" s="39" t="s">
        <v>3455</v>
      </c>
      <c r="G2621" s="39" t="s">
        <v>3456</v>
      </c>
      <c r="H2621" s="39" t="s">
        <v>3646</v>
      </c>
      <c r="I2621" s="39" t="s">
        <v>229</v>
      </c>
    </row>
    <row r="2622" ht="15.75" hidden="1" customHeight="1">
      <c r="A2622" s="36">
        <v>6114553.0</v>
      </c>
      <c r="B2622" s="37" t="s">
        <v>118</v>
      </c>
      <c r="C2622" s="37" t="s">
        <v>5633</v>
      </c>
      <c r="D2622" s="37" t="s">
        <v>224</v>
      </c>
      <c r="E2622" s="46" t="s">
        <v>5634</v>
      </c>
      <c r="F2622" s="37" t="s">
        <v>4101</v>
      </c>
      <c r="G2622" s="37" t="s">
        <v>4102</v>
      </c>
      <c r="H2622" s="37" t="s">
        <v>3646</v>
      </c>
      <c r="I2622" s="37" t="s">
        <v>260</v>
      </c>
    </row>
    <row r="2623" ht="15.75" hidden="1" customHeight="1">
      <c r="A2623" s="38">
        <v>6114561.0</v>
      </c>
      <c r="B2623" s="39" t="s">
        <v>118</v>
      </c>
      <c r="C2623" s="39" t="s">
        <v>5635</v>
      </c>
      <c r="D2623" s="39" t="s">
        <v>224</v>
      </c>
      <c r="E2623" s="45" t="s">
        <v>5634</v>
      </c>
      <c r="F2623" s="39" t="s">
        <v>4101</v>
      </c>
      <c r="G2623" s="39" t="s">
        <v>4102</v>
      </c>
      <c r="H2623" s="39" t="s">
        <v>3646</v>
      </c>
      <c r="I2623" s="39" t="s">
        <v>260</v>
      </c>
    </row>
    <row r="2624" ht="15.75" hidden="1" customHeight="1">
      <c r="A2624" s="36">
        <v>6116634.0</v>
      </c>
      <c r="B2624" s="37" t="s">
        <v>118</v>
      </c>
      <c r="C2624" s="37" t="s">
        <v>5636</v>
      </c>
      <c r="D2624" s="37" t="s">
        <v>224</v>
      </c>
      <c r="E2624" s="46" t="s">
        <v>5634</v>
      </c>
      <c r="F2624" s="37" t="s">
        <v>4101</v>
      </c>
      <c r="G2624" s="37" t="s">
        <v>4102</v>
      </c>
      <c r="H2624" s="37" t="s">
        <v>3646</v>
      </c>
      <c r="I2624" s="37" t="s">
        <v>260</v>
      </c>
    </row>
    <row r="2625" ht="15.75" hidden="1" customHeight="1">
      <c r="A2625" s="38">
        <v>6114492.0</v>
      </c>
      <c r="B2625" s="39" t="s">
        <v>118</v>
      </c>
      <c r="C2625" s="39" t="s">
        <v>5637</v>
      </c>
      <c r="D2625" s="39" t="s">
        <v>224</v>
      </c>
      <c r="E2625" s="45" t="s">
        <v>5634</v>
      </c>
      <c r="F2625" s="39" t="s">
        <v>4101</v>
      </c>
      <c r="G2625" s="39" t="s">
        <v>4102</v>
      </c>
      <c r="H2625" s="39" t="s">
        <v>3646</v>
      </c>
      <c r="I2625" s="39" t="s">
        <v>260</v>
      </c>
    </row>
    <row r="2626" ht="15.75" hidden="1" customHeight="1">
      <c r="A2626" s="36">
        <v>6114583.0</v>
      </c>
      <c r="B2626" s="37" t="s">
        <v>118</v>
      </c>
      <c r="C2626" s="37" t="s">
        <v>5638</v>
      </c>
      <c r="D2626" s="37" t="s">
        <v>224</v>
      </c>
      <c r="E2626" s="46" t="s">
        <v>5634</v>
      </c>
      <c r="F2626" s="37" t="s">
        <v>4101</v>
      </c>
      <c r="G2626" s="37" t="s">
        <v>4102</v>
      </c>
      <c r="H2626" s="37" t="s">
        <v>3646</v>
      </c>
      <c r="I2626" s="37" t="s">
        <v>260</v>
      </c>
    </row>
    <row r="2627" ht="15.75" hidden="1" customHeight="1">
      <c r="A2627" s="38">
        <v>6114519.0</v>
      </c>
      <c r="B2627" s="39" t="s">
        <v>118</v>
      </c>
      <c r="C2627" s="39" t="s">
        <v>5639</v>
      </c>
      <c r="D2627" s="39" t="s">
        <v>224</v>
      </c>
      <c r="E2627" s="45" t="s">
        <v>5634</v>
      </c>
      <c r="F2627" s="39" t="s">
        <v>4101</v>
      </c>
      <c r="G2627" s="39" t="s">
        <v>4102</v>
      </c>
      <c r="H2627" s="39" t="s">
        <v>3646</v>
      </c>
      <c r="I2627" s="39" t="s">
        <v>260</v>
      </c>
    </row>
    <row r="2628" ht="15.75" hidden="1" customHeight="1">
      <c r="A2628" s="36">
        <v>5775492.0</v>
      </c>
      <c r="B2628" s="44" t="s">
        <v>5640</v>
      </c>
      <c r="C2628" s="37" t="s">
        <v>5641</v>
      </c>
      <c r="D2628" s="37" t="s">
        <v>224</v>
      </c>
      <c r="E2628" s="46" t="s">
        <v>1328</v>
      </c>
      <c r="F2628" s="37" t="s">
        <v>327</v>
      </c>
      <c r="G2628" s="37" t="s">
        <v>326</v>
      </c>
      <c r="H2628" s="37" t="s">
        <v>5642</v>
      </c>
      <c r="I2628" s="37" t="s">
        <v>229</v>
      </c>
    </row>
    <row r="2629" ht="15.75" hidden="1" customHeight="1">
      <c r="A2629" s="36">
        <v>5775492.0</v>
      </c>
      <c r="B2629" s="44" t="s">
        <v>5643</v>
      </c>
      <c r="C2629" s="37" t="s">
        <v>5641</v>
      </c>
      <c r="D2629" s="37" t="s">
        <v>224</v>
      </c>
      <c r="E2629" s="46" t="s">
        <v>1328</v>
      </c>
      <c r="F2629" s="37" t="s">
        <v>327</v>
      </c>
      <c r="G2629" s="37" t="s">
        <v>326</v>
      </c>
      <c r="H2629" s="37" t="s">
        <v>5642</v>
      </c>
      <c r="I2629" s="37" t="s">
        <v>229</v>
      </c>
    </row>
    <row r="2630" ht="15.75" hidden="1" customHeight="1">
      <c r="A2630" s="47"/>
      <c r="B2630" s="47"/>
      <c r="C2630" s="47"/>
      <c r="D2630" s="47"/>
      <c r="E2630" s="47"/>
      <c r="F2630" s="47"/>
      <c r="G2630" s="47"/>
      <c r="H2630" s="47"/>
      <c r="I2630" s="47"/>
      <c r="J2630" s="1">
        <v>42.0</v>
      </c>
      <c r="L2630" s="40" t="s">
        <v>120</v>
      </c>
    </row>
    <row r="2631" ht="15.75" hidden="1" customHeight="1">
      <c r="A2631" s="48"/>
      <c r="B2631" s="48"/>
      <c r="C2631" s="48"/>
      <c r="D2631" s="48"/>
      <c r="E2631" s="48"/>
      <c r="F2631" s="48"/>
      <c r="G2631" s="48"/>
      <c r="H2631" s="48"/>
      <c r="I2631" s="48"/>
      <c r="J2631" s="1">
        <v>42.0</v>
      </c>
    </row>
    <row r="2632" ht="15.75" hidden="1" customHeight="1">
      <c r="A2632" s="47"/>
      <c r="B2632" s="47"/>
      <c r="C2632" s="47"/>
      <c r="D2632" s="47"/>
      <c r="E2632" s="47"/>
      <c r="F2632" s="47"/>
      <c r="G2632" s="47"/>
      <c r="H2632" s="47"/>
      <c r="I2632" s="47"/>
      <c r="J2632" s="1">
        <v>42.0</v>
      </c>
    </row>
    <row r="2633" ht="15.75" hidden="1" customHeight="1">
      <c r="A2633" s="48"/>
      <c r="B2633" s="48"/>
      <c r="C2633" s="48"/>
      <c r="D2633" s="48"/>
      <c r="E2633" s="48"/>
      <c r="F2633" s="48"/>
      <c r="G2633" s="48"/>
      <c r="H2633" s="48"/>
      <c r="I2633" s="48"/>
      <c r="J2633" s="1">
        <v>42.0</v>
      </c>
    </row>
    <row r="2634" ht="15.75" hidden="1" customHeight="1">
      <c r="A2634" s="47"/>
      <c r="B2634" s="47"/>
      <c r="C2634" s="47"/>
      <c r="D2634" s="47"/>
      <c r="E2634" s="47"/>
      <c r="F2634" s="47"/>
      <c r="G2634" s="47"/>
      <c r="H2634" s="47"/>
      <c r="I2634" s="47"/>
      <c r="J2634" s="1">
        <v>42.0</v>
      </c>
    </row>
    <row r="2635" ht="15.75" hidden="1" customHeight="1">
      <c r="A2635" s="48"/>
      <c r="B2635" s="48"/>
      <c r="C2635" s="48"/>
      <c r="D2635" s="48"/>
      <c r="E2635" s="48"/>
      <c r="F2635" s="48"/>
      <c r="G2635" s="48"/>
      <c r="H2635" s="48"/>
      <c r="I2635" s="48"/>
      <c r="J2635" s="1">
        <v>42.0</v>
      </c>
    </row>
    <row r="2636" ht="15.75" hidden="1" customHeight="1">
      <c r="A2636" s="47"/>
      <c r="B2636" s="47"/>
      <c r="C2636" s="47"/>
      <c r="D2636" s="47"/>
      <c r="E2636" s="47"/>
      <c r="F2636" s="47"/>
      <c r="G2636" s="47"/>
      <c r="H2636" s="47"/>
      <c r="I2636" s="47"/>
      <c r="J2636" s="1">
        <v>42.0</v>
      </c>
    </row>
    <row r="2637" ht="15.75" hidden="1" customHeight="1">
      <c r="A2637" s="48"/>
      <c r="B2637" s="48"/>
      <c r="C2637" s="48"/>
      <c r="D2637" s="48"/>
      <c r="E2637" s="48"/>
      <c r="F2637" s="48"/>
      <c r="G2637" s="48"/>
      <c r="H2637" s="48"/>
      <c r="I2637" s="48"/>
      <c r="J2637" s="1">
        <v>42.0</v>
      </c>
    </row>
    <row r="2638" ht="15.75" hidden="1" customHeight="1">
      <c r="A2638" s="47"/>
      <c r="B2638" s="47"/>
      <c r="C2638" s="47"/>
      <c r="D2638" s="47"/>
      <c r="E2638" s="47"/>
      <c r="F2638" s="47"/>
      <c r="G2638" s="47"/>
      <c r="H2638" s="47"/>
      <c r="I2638" s="47"/>
      <c r="J2638" s="1">
        <v>42.0</v>
      </c>
    </row>
    <row r="2639" ht="15.75" hidden="1" customHeight="1">
      <c r="A2639" s="48"/>
      <c r="B2639" s="48"/>
      <c r="C2639" s="48"/>
      <c r="D2639" s="48"/>
      <c r="E2639" s="48"/>
      <c r="F2639" s="48"/>
      <c r="G2639" s="48"/>
      <c r="H2639" s="48"/>
      <c r="I2639" s="48"/>
      <c r="J2639" s="1">
        <v>42.0</v>
      </c>
    </row>
    <row r="2640" ht="15.75" hidden="1" customHeight="1">
      <c r="A2640" s="47"/>
      <c r="B2640" s="47"/>
      <c r="C2640" s="47"/>
      <c r="D2640" s="47"/>
      <c r="E2640" s="47"/>
      <c r="F2640" s="47"/>
      <c r="G2640" s="47"/>
      <c r="H2640" s="47"/>
      <c r="I2640" s="47"/>
      <c r="J2640" s="1">
        <v>42.0</v>
      </c>
    </row>
    <row r="2641" ht="15.75" hidden="1" customHeight="1">
      <c r="A2641" s="48"/>
      <c r="B2641" s="48"/>
      <c r="C2641" s="48"/>
      <c r="D2641" s="48"/>
      <c r="E2641" s="48"/>
      <c r="F2641" s="48"/>
      <c r="G2641" s="48"/>
      <c r="H2641" s="48"/>
      <c r="I2641" s="48"/>
      <c r="J2641" s="1">
        <v>42.0</v>
      </c>
    </row>
    <row r="2642" ht="15.75" hidden="1" customHeight="1">
      <c r="A2642" s="47"/>
      <c r="B2642" s="47"/>
      <c r="C2642" s="47"/>
      <c r="D2642" s="47"/>
      <c r="E2642" s="47"/>
      <c r="F2642" s="47"/>
      <c r="G2642" s="47"/>
      <c r="H2642" s="47"/>
      <c r="I2642" s="47"/>
      <c r="J2642" s="1">
        <v>42.0</v>
      </c>
    </row>
    <row r="2643" ht="15.75" hidden="1" customHeight="1">
      <c r="A2643" s="48"/>
      <c r="B2643" s="48"/>
      <c r="C2643" s="48"/>
      <c r="D2643" s="48"/>
      <c r="E2643" s="48"/>
      <c r="F2643" s="48"/>
      <c r="G2643" s="48"/>
      <c r="H2643" s="48"/>
      <c r="I2643" s="48"/>
      <c r="J2643" s="1">
        <v>42.0</v>
      </c>
    </row>
    <row r="2644" ht="15.75" hidden="1" customHeight="1">
      <c r="A2644" s="47"/>
      <c r="B2644" s="47"/>
      <c r="C2644" s="47"/>
      <c r="D2644" s="47"/>
      <c r="E2644" s="47"/>
      <c r="F2644" s="47"/>
      <c r="G2644" s="47"/>
      <c r="H2644" s="47"/>
      <c r="I2644" s="47"/>
      <c r="J2644" s="1">
        <v>42.0</v>
      </c>
    </row>
    <row r="2645" ht="15.75" hidden="1" customHeight="1">
      <c r="A2645" s="48"/>
      <c r="B2645" s="48"/>
      <c r="C2645" s="48"/>
      <c r="D2645" s="48"/>
      <c r="E2645" s="48"/>
      <c r="F2645" s="48"/>
      <c r="G2645" s="48"/>
      <c r="H2645" s="48"/>
      <c r="I2645" s="48"/>
      <c r="J2645" s="1">
        <v>42.0</v>
      </c>
    </row>
    <row r="2646" ht="15.75" hidden="1" customHeight="1">
      <c r="A2646" s="47"/>
      <c r="B2646" s="47"/>
      <c r="C2646" s="47"/>
      <c r="D2646" s="47"/>
      <c r="E2646" s="47"/>
      <c r="F2646" s="47"/>
      <c r="G2646" s="47"/>
      <c r="H2646" s="47"/>
      <c r="I2646" s="47"/>
      <c r="J2646" s="1">
        <v>42.0</v>
      </c>
    </row>
    <row r="2647" ht="15.75" hidden="1" customHeight="1">
      <c r="A2647" s="48"/>
      <c r="B2647" s="48"/>
      <c r="C2647" s="48"/>
      <c r="D2647" s="48"/>
      <c r="E2647" s="48"/>
      <c r="F2647" s="48"/>
      <c r="G2647" s="48"/>
      <c r="H2647" s="48"/>
      <c r="I2647" s="48"/>
      <c r="J2647" s="1">
        <v>42.0</v>
      </c>
    </row>
    <row r="2648" ht="15.75" hidden="1" customHeight="1">
      <c r="A2648" s="47"/>
      <c r="B2648" s="47"/>
      <c r="C2648" s="47"/>
      <c r="D2648" s="47"/>
      <c r="E2648" s="47"/>
      <c r="F2648" s="47"/>
      <c r="G2648" s="47"/>
      <c r="H2648" s="47"/>
      <c r="I2648" s="47"/>
      <c r="J2648" s="1">
        <v>42.0</v>
      </c>
    </row>
    <row r="2649" ht="15.75" hidden="1" customHeight="1">
      <c r="A2649" s="48"/>
      <c r="B2649" s="48"/>
      <c r="C2649" s="48"/>
      <c r="D2649" s="48"/>
      <c r="E2649" s="48"/>
      <c r="F2649" s="48"/>
      <c r="G2649" s="48"/>
      <c r="H2649" s="48"/>
      <c r="I2649" s="48"/>
      <c r="J2649" s="1">
        <v>42.0</v>
      </c>
    </row>
    <row r="2650" ht="15.75" hidden="1" customHeight="1">
      <c r="A2650" s="47"/>
      <c r="B2650" s="47"/>
      <c r="C2650" s="47"/>
      <c r="D2650" s="47"/>
      <c r="E2650" s="47"/>
      <c r="F2650" s="47"/>
      <c r="G2650" s="47"/>
      <c r="H2650" s="47"/>
      <c r="I2650" s="47"/>
      <c r="J2650" s="1">
        <v>42.0</v>
      </c>
    </row>
    <row r="2651" ht="15.75" hidden="1" customHeight="1">
      <c r="A2651" s="48"/>
      <c r="B2651" s="48"/>
      <c r="C2651" s="48"/>
      <c r="D2651" s="48"/>
      <c r="E2651" s="48"/>
      <c r="F2651" s="48"/>
      <c r="G2651" s="48"/>
      <c r="H2651" s="48"/>
      <c r="I2651" s="48"/>
      <c r="J2651" s="1">
        <v>42.0</v>
      </c>
    </row>
    <row r="2652" ht="15.75" hidden="1" customHeight="1">
      <c r="A2652" s="47"/>
      <c r="B2652" s="47"/>
      <c r="C2652" s="47"/>
      <c r="D2652" s="47"/>
      <c r="E2652" s="47"/>
      <c r="F2652" s="47"/>
      <c r="G2652" s="47"/>
      <c r="H2652" s="47"/>
      <c r="I2652" s="47"/>
      <c r="J2652" s="1">
        <v>42.0</v>
      </c>
    </row>
    <row r="2653" ht="15.75" hidden="1" customHeight="1">
      <c r="A2653" s="48"/>
      <c r="B2653" s="48"/>
      <c r="C2653" s="48"/>
      <c r="D2653" s="48"/>
      <c r="E2653" s="48"/>
      <c r="F2653" s="48"/>
      <c r="G2653" s="48"/>
      <c r="H2653" s="48"/>
      <c r="I2653" s="48"/>
      <c r="J2653" s="1">
        <v>42.0</v>
      </c>
    </row>
    <row r="2654" ht="15.75" hidden="1" customHeight="1">
      <c r="A2654" s="47"/>
      <c r="B2654" s="47"/>
      <c r="C2654" s="47"/>
      <c r="D2654" s="47"/>
      <c r="E2654" s="47"/>
      <c r="F2654" s="47"/>
      <c r="G2654" s="47"/>
      <c r="H2654" s="47"/>
      <c r="I2654" s="47"/>
      <c r="J2654" s="1">
        <v>42.0</v>
      </c>
    </row>
    <row r="2655" ht="15.75" hidden="1" customHeight="1">
      <c r="A2655" s="48"/>
      <c r="B2655" s="48"/>
      <c r="C2655" s="48"/>
      <c r="D2655" s="48"/>
      <c r="E2655" s="48"/>
      <c r="F2655" s="48"/>
      <c r="G2655" s="48"/>
      <c r="H2655" s="48"/>
      <c r="I2655" s="48"/>
      <c r="J2655" s="1">
        <v>42.0</v>
      </c>
    </row>
    <row r="2656" ht="15.75" hidden="1" customHeight="1">
      <c r="A2656" s="47"/>
      <c r="B2656" s="47"/>
      <c r="C2656" s="47"/>
      <c r="D2656" s="47"/>
      <c r="E2656" s="47"/>
      <c r="F2656" s="47"/>
      <c r="G2656" s="47"/>
      <c r="H2656" s="47"/>
      <c r="I2656" s="47"/>
      <c r="J2656" s="1">
        <v>42.0</v>
      </c>
    </row>
    <row r="2657" ht="15.75" hidden="1" customHeight="1">
      <c r="A2657" s="48"/>
      <c r="B2657" s="48"/>
      <c r="C2657" s="48"/>
      <c r="D2657" s="48"/>
      <c r="E2657" s="48"/>
      <c r="F2657" s="48"/>
      <c r="G2657" s="48"/>
      <c r="H2657" s="48"/>
      <c r="I2657" s="48"/>
      <c r="J2657" s="1">
        <v>42.0</v>
      </c>
    </row>
    <row r="2658" ht="15.75" hidden="1" customHeight="1">
      <c r="A2658" s="47"/>
      <c r="B2658" s="47"/>
      <c r="C2658" s="47"/>
      <c r="D2658" s="47"/>
      <c r="E2658" s="47"/>
      <c r="F2658" s="47"/>
      <c r="G2658" s="47"/>
      <c r="H2658" s="47"/>
      <c r="I2658" s="47"/>
      <c r="J2658" s="1">
        <v>42.0</v>
      </c>
    </row>
    <row r="2659" ht="15.75" hidden="1" customHeight="1">
      <c r="A2659" s="48"/>
      <c r="B2659" s="48"/>
      <c r="C2659" s="48"/>
      <c r="D2659" s="48"/>
      <c r="E2659" s="48"/>
      <c r="F2659" s="48"/>
      <c r="G2659" s="48"/>
      <c r="H2659" s="48"/>
      <c r="I2659" s="48"/>
      <c r="J2659" s="1">
        <v>42.0</v>
      </c>
    </row>
    <row r="2660" ht="15.75" hidden="1" customHeight="1">
      <c r="A2660" s="47"/>
      <c r="B2660" s="47"/>
      <c r="C2660" s="47"/>
      <c r="D2660" s="47"/>
      <c r="E2660" s="47"/>
      <c r="F2660" s="47"/>
      <c r="G2660" s="47"/>
      <c r="H2660" s="47"/>
      <c r="I2660" s="47"/>
      <c r="J2660" s="1">
        <v>42.0</v>
      </c>
    </row>
    <row r="2661" ht="15.75" hidden="1" customHeight="1">
      <c r="A2661" s="48"/>
      <c r="B2661" s="48"/>
      <c r="C2661" s="48"/>
      <c r="D2661" s="48"/>
      <c r="E2661" s="48"/>
      <c r="F2661" s="48"/>
      <c r="G2661" s="48"/>
      <c r="H2661" s="48"/>
      <c r="I2661" s="48"/>
      <c r="J2661" s="1">
        <v>42.0</v>
      </c>
    </row>
    <row r="2662" ht="15.75" hidden="1" customHeight="1">
      <c r="A2662" s="47"/>
      <c r="B2662" s="47"/>
      <c r="C2662" s="47"/>
      <c r="D2662" s="47"/>
      <c r="E2662" s="47"/>
      <c r="F2662" s="47"/>
      <c r="G2662" s="47"/>
      <c r="H2662" s="47"/>
      <c r="I2662" s="47"/>
      <c r="J2662" s="1">
        <v>42.0</v>
      </c>
    </row>
    <row r="2663" ht="15.75" hidden="1" customHeight="1">
      <c r="A2663" s="48"/>
      <c r="B2663" s="48"/>
      <c r="C2663" s="48"/>
      <c r="D2663" s="48"/>
      <c r="E2663" s="48"/>
      <c r="F2663" s="48"/>
      <c r="G2663" s="48"/>
      <c r="H2663" s="48"/>
      <c r="I2663" s="48"/>
      <c r="J2663" s="1">
        <v>42.0</v>
      </c>
    </row>
    <row r="2664" ht="15.75" hidden="1" customHeight="1">
      <c r="A2664" s="47"/>
      <c r="B2664" s="47"/>
      <c r="C2664" s="47"/>
      <c r="D2664" s="47"/>
      <c r="E2664" s="47"/>
      <c r="F2664" s="47"/>
      <c r="G2664" s="47"/>
      <c r="H2664" s="47"/>
      <c r="I2664" s="47"/>
      <c r="J2664" s="1">
        <v>42.0</v>
      </c>
    </row>
    <row r="2665" ht="15.75" hidden="1" customHeight="1">
      <c r="A2665" s="48"/>
      <c r="B2665" s="48"/>
      <c r="C2665" s="48"/>
      <c r="D2665" s="48"/>
      <c r="E2665" s="48"/>
      <c r="F2665" s="48"/>
      <c r="G2665" s="48"/>
      <c r="H2665" s="48"/>
      <c r="I2665" s="48"/>
      <c r="J2665" s="1">
        <v>42.0</v>
      </c>
    </row>
    <row r="2666" ht="15.75" hidden="1" customHeight="1">
      <c r="A2666" s="47"/>
      <c r="B2666" s="47"/>
      <c r="C2666" s="47"/>
      <c r="D2666" s="47"/>
      <c r="E2666" s="47"/>
      <c r="F2666" s="47"/>
      <c r="G2666" s="47"/>
      <c r="H2666" s="47"/>
      <c r="I2666" s="47"/>
      <c r="J2666" s="1">
        <v>42.0</v>
      </c>
    </row>
    <row r="2667" ht="15.75" hidden="1" customHeight="1">
      <c r="A2667" s="48"/>
      <c r="B2667" s="48"/>
      <c r="C2667" s="48"/>
      <c r="D2667" s="48"/>
      <c r="E2667" s="48"/>
      <c r="F2667" s="48"/>
      <c r="G2667" s="48"/>
      <c r="H2667" s="48"/>
      <c r="I2667" s="48"/>
      <c r="J2667" s="1">
        <v>42.0</v>
      </c>
    </row>
    <row r="2668" ht="15.75" hidden="1" customHeight="1">
      <c r="A2668" s="47"/>
      <c r="B2668" s="47"/>
      <c r="C2668" s="47"/>
      <c r="D2668" s="47"/>
      <c r="E2668" s="47"/>
      <c r="F2668" s="47"/>
      <c r="G2668" s="47"/>
      <c r="H2668" s="47"/>
      <c r="I2668" s="47"/>
      <c r="J2668" s="1">
        <v>42.0</v>
      </c>
    </row>
    <row r="2669" ht="15.75" hidden="1" customHeight="1">
      <c r="A2669" s="48"/>
      <c r="B2669" s="48"/>
      <c r="C2669" s="48"/>
      <c r="D2669" s="48"/>
      <c r="E2669" s="48"/>
      <c r="F2669" s="48"/>
      <c r="G2669" s="48"/>
      <c r="H2669" s="48"/>
      <c r="I2669" s="48"/>
      <c r="J2669" s="1">
        <v>42.0</v>
      </c>
    </row>
    <row r="2670" ht="15.75" hidden="1" customHeight="1">
      <c r="A2670" s="47"/>
      <c r="B2670" s="47"/>
      <c r="C2670" s="47"/>
      <c r="D2670" s="47"/>
      <c r="E2670" s="47"/>
      <c r="F2670" s="47"/>
      <c r="G2670" s="47"/>
      <c r="H2670" s="47"/>
      <c r="I2670" s="47"/>
      <c r="J2670" s="1">
        <v>42.0</v>
      </c>
    </row>
    <row r="2671" ht="15.75" hidden="1" customHeight="1">
      <c r="A2671" s="48"/>
      <c r="B2671" s="48"/>
      <c r="C2671" s="48"/>
      <c r="D2671" s="48"/>
      <c r="E2671" s="48"/>
      <c r="F2671" s="48"/>
      <c r="G2671" s="48"/>
      <c r="H2671" s="48"/>
      <c r="I2671" s="48"/>
      <c r="J2671" s="1">
        <v>42.0</v>
      </c>
    </row>
    <row r="2672" ht="15.75" hidden="1" customHeight="1">
      <c r="A2672" s="47"/>
      <c r="B2672" s="47"/>
      <c r="C2672" s="47"/>
      <c r="D2672" s="47"/>
      <c r="E2672" s="47"/>
      <c r="F2672" s="47"/>
      <c r="G2672" s="47"/>
      <c r="H2672" s="47"/>
      <c r="I2672" s="47"/>
      <c r="J2672" s="1">
        <v>42.0</v>
      </c>
    </row>
    <row r="2673" ht="15.75" hidden="1" customHeight="1">
      <c r="A2673" s="48"/>
      <c r="B2673" s="48"/>
      <c r="C2673" s="48"/>
      <c r="D2673" s="48"/>
      <c r="E2673" s="48"/>
      <c r="F2673" s="48"/>
      <c r="G2673" s="48"/>
      <c r="H2673" s="48"/>
      <c r="I2673" s="48"/>
      <c r="J2673" s="1">
        <v>42.0</v>
      </c>
    </row>
    <row r="2674" ht="15.75" hidden="1" customHeight="1">
      <c r="A2674" s="47"/>
      <c r="B2674" s="47"/>
      <c r="C2674" s="47"/>
      <c r="D2674" s="47"/>
      <c r="E2674" s="47"/>
      <c r="F2674" s="47"/>
      <c r="G2674" s="47"/>
      <c r="H2674" s="47"/>
      <c r="I2674" s="47"/>
      <c r="J2674" s="1">
        <v>42.0</v>
      </c>
    </row>
    <row r="2675" ht="15.75" hidden="1" customHeight="1">
      <c r="A2675" s="48"/>
      <c r="B2675" s="48"/>
      <c r="C2675" s="48"/>
      <c r="D2675" s="48"/>
      <c r="E2675" s="48"/>
      <c r="F2675" s="48"/>
      <c r="G2675" s="48"/>
      <c r="H2675" s="48"/>
      <c r="I2675" s="48"/>
      <c r="J2675" s="1">
        <v>42.0</v>
      </c>
    </row>
    <row r="2676" ht="15.75" hidden="1" customHeight="1">
      <c r="A2676" s="47"/>
      <c r="B2676" s="47"/>
      <c r="C2676" s="47"/>
      <c r="D2676" s="47"/>
      <c r="E2676" s="47"/>
      <c r="F2676" s="47"/>
      <c r="G2676" s="47"/>
      <c r="H2676" s="47"/>
      <c r="I2676" s="47"/>
      <c r="J2676" s="1">
        <v>42.0</v>
      </c>
    </row>
    <row r="2677" ht="15.75" hidden="1" customHeight="1">
      <c r="A2677" s="48"/>
      <c r="B2677" s="48"/>
      <c r="C2677" s="48"/>
      <c r="D2677" s="48"/>
      <c r="E2677" s="48"/>
      <c r="F2677" s="48"/>
      <c r="G2677" s="48"/>
      <c r="H2677" s="48"/>
      <c r="I2677" s="48"/>
      <c r="J2677" s="1">
        <v>42.0</v>
      </c>
    </row>
    <row r="2678" ht="15.75" hidden="1" customHeight="1">
      <c r="A2678" s="47"/>
      <c r="B2678" s="47"/>
      <c r="C2678" s="47"/>
      <c r="D2678" s="47"/>
      <c r="E2678" s="47"/>
      <c r="F2678" s="47"/>
      <c r="G2678" s="47"/>
      <c r="H2678" s="47"/>
      <c r="I2678" s="47"/>
      <c r="J2678" s="1">
        <v>42.0</v>
      </c>
    </row>
    <row r="2679" ht="15.75" hidden="1" customHeight="1">
      <c r="A2679" s="48"/>
      <c r="B2679" s="48"/>
      <c r="C2679" s="48"/>
      <c r="D2679" s="48"/>
      <c r="E2679" s="48"/>
      <c r="F2679" s="48"/>
      <c r="G2679" s="48"/>
      <c r="H2679" s="48"/>
      <c r="I2679" s="48"/>
      <c r="J2679" s="1">
        <v>42.0</v>
      </c>
    </row>
    <row r="2680" ht="15.75" hidden="1" customHeight="1">
      <c r="A2680" s="47"/>
      <c r="B2680" s="47"/>
      <c r="C2680" s="47"/>
      <c r="D2680" s="47"/>
      <c r="E2680" s="47"/>
      <c r="F2680" s="47"/>
      <c r="G2680" s="47"/>
      <c r="H2680" s="47"/>
      <c r="I2680" s="47"/>
      <c r="J2680" s="1">
        <v>42.0</v>
      </c>
    </row>
    <row r="2681" ht="15.75" hidden="1" customHeight="1">
      <c r="A2681" s="48"/>
      <c r="B2681" s="48"/>
      <c r="C2681" s="48"/>
      <c r="D2681" s="48"/>
      <c r="E2681" s="48"/>
      <c r="F2681" s="48"/>
      <c r="G2681" s="48"/>
      <c r="H2681" s="48"/>
      <c r="I2681" s="48"/>
      <c r="J2681" s="1">
        <v>42.0</v>
      </c>
    </row>
    <row r="2682" ht="15.75" hidden="1" customHeight="1">
      <c r="A2682" s="47"/>
      <c r="B2682" s="47"/>
      <c r="C2682" s="47"/>
      <c r="D2682" s="47"/>
      <c r="E2682" s="47"/>
      <c r="F2682" s="47"/>
      <c r="G2682" s="47"/>
      <c r="H2682" s="47"/>
      <c r="I2682" s="47"/>
      <c r="J2682" s="1">
        <v>42.0</v>
      </c>
    </row>
    <row r="2683" ht="15.75" hidden="1" customHeight="1">
      <c r="A2683" s="48"/>
      <c r="B2683" s="48"/>
      <c r="C2683" s="48"/>
      <c r="D2683" s="48"/>
      <c r="E2683" s="48"/>
      <c r="F2683" s="48"/>
      <c r="G2683" s="48"/>
      <c r="H2683" s="48"/>
      <c r="I2683" s="48"/>
      <c r="J2683" s="1">
        <v>42.0</v>
      </c>
    </row>
    <row r="2684" ht="15.75" hidden="1" customHeight="1">
      <c r="A2684" s="47"/>
      <c r="B2684" s="47"/>
      <c r="C2684" s="47"/>
      <c r="D2684" s="47"/>
      <c r="E2684" s="47"/>
      <c r="F2684" s="47"/>
      <c r="G2684" s="47"/>
      <c r="H2684" s="47"/>
      <c r="I2684" s="47"/>
      <c r="J2684" s="1">
        <v>42.0</v>
      </c>
    </row>
    <row r="2685" ht="15.75" hidden="1" customHeight="1">
      <c r="A2685" s="48"/>
      <c r="B2685" s="48"/>
      <c r="C2685" s="48"/>
      <c r="D2685" s="48"/>
      <c r="E2685" s="48"/>
      <c r="F2685" s="48"/>
      <c r="G2685" s="48"/>
      <c r="H2685" s="48"/>
      <c r="I2685" s="48"/>
      <c r="J2685" s="1">
        <v>42.0</v>
      </c>
    </row>
    <row r="2686" ht="15.75" hidden="1" customHeight="1">
      <c r="A2686" s="47"/>
      <c r="B2686" s="47"/>
      <c r="C2686" s="47"/>
      <c r="D2686" s="47"/>
      <c r="E2686" s="47"/>
      <c r="F2686" s="47"/>
      <c r="G2686" s="47"/>
      <c r="H2686" s="47"/>
      <c r="I2686" s="47"/>
      <c r="J2686" s="1">
        <v>42.0</v>
      </c>
    </row>
    <row r="2687" ht="15.75" hidden="1" customHeight="1">
      <c r="A2687" s="48"/>
      <c r="B2687" s="48"/>
      <c r="C2687" s="48"/>
      <c r="D2687" s="48"/>
      <c r="E2687" s="48"/>
      <c r="F2687" s="48"/>
      <c r="G2687" s="48"/>
      <c r="H2687" s="48"/>
      <c r="I2687" s="48"/>
      <c r="J2687" s="1">
        <v>42.0</v>
      </c>
    </row>
    <row r="2688" ht="15.75" hidden="1" customHeight="1">
      <c r="A2688" s="47"/>
      <c r="B2688" s="47"/>
      <c r="C2688" s="47"/>
      <c r="D2688" s="47"/>
      <c r="E2688" s="47"/>
      <c r="F2688" s="47"/>
      <c r="G2688" s="47"/>
      <c r="H2688" s="47"/>
      <c r="I2688" s="47"/>
      <c r="J2688" s="1">
        <v>42.0</v>
      </c>
    </row>
    <row r="2689" ht="15.75" hidden="1" customHeight="1">
      <c r="A2689" s="48"/>
      <c r="B2689" s="48"/>
      <c r="C2689" s="48"/>
      <c r="D2689" s="48"/>
      <c r="E2689" s="48"/>
      <c r="F2689" s="48"/>
      <c r="G2689" s="48"/>
      <c r="H2689" s="48"/>
      <c r="I2689" s="48"/>
      <c r="J2689" s="1">
        <v>42.0</v>
      </c>
    </row>
    <row r="2690" ht="15.75" hidden="1" customHeight="1">
      <c r="A2690" s="47"/>
      <c r="B2690" s="47"/>
      <c r="C2690" s="47"/>
      <c r="D2690" s="47"/>
      <c r="E2690" s="47"/>
      <c r="F2690" s="47"/>
      <c r="G2690" s="47"/>
      <c r="H2690" s="47"/>
      <c r="I2690" s="47"/>
      <c r="J2690" s="1">
        <v>42.0</v>
      </c>
    </row>
    <row r="2691" ht="15.75" hidden="1" customHeight="1">
      <c r="A2691" s="48"/>
      <c r="B2691" s="48"/>
      <c r="C2691" s="48"/>
      <c r="D2691" s="48"/>
      <c r="E2691" s="48"/>
      <c r="F2691" s="48"/>
      <c r="G2691" s="48"/>
      <c r="H2691" s="48"/>
      <c r="I2691" s="48"/>
      <c r="J2691" s="1">
        <v>42.0</v>
      </c>
    </row>
    <row r="2692" ht="15.75" hidden="1" customHeight="1">
      <c r="A2692" s="47"/>
      <c r="B2692" s="47"/>
      <c r="C2692" s="47"/>
      <c r="D2692" s="47"/>
      <c r="E2692" s="47"/>
      <c r="F2692" s="47"/>
      <c r="G2692" s="47"/>
      <c r="H2692" s="47"/>
      <c r="I2692" s="47"/>
      <c r="J2692" s="1">
        <v>42.0</v>
      </c>
    </row>
    <row r="2693" ht="15.75" hidden="1" customHeight="1">
      <c r="A2693" s="48"/>
      <c r="B2693" s="48"/>
      <c r="C2693" s="48"/>
      <c r="D2693" s="48"/>
      <c r="E2693" s="48"/>
      <c r="F2693" s="48"/>
      <c r="G2693" s="48"/>
      <c r="H2693" s="48"/>
      <c r="I2693" s="48"/>
      <c r="J2693" s="1">
        <v>42.0</v>
      </c>
    </row>
    <row r="2694" ht="15.75" hidden="1" customHeight="1">
      <c r="A2694" s="47"/>
      <c r="B2694" s="47"/>
      <c r="C2694" s="47"/>
      <c r="D2694" s="47"/>
      <c r="E2694" s="47"/>
      <c r="F2694" s="47"/>
      <c r="G2694" s="47"/>
      <c r="H2694" s="47"/>
      <c r="I2694" s="47"/>
      <c r="J2694" s="1">
        <v>42.0</v>
      </c>
    </row>
    <row r="2695" ht="15.75" hidden="1" customHeight="1">
      <c r="A2695" s="48"/>
      <c r="B2695" s="48"/>
      <c r="C2695" s="48"/>
      <c r="D2695" s="48"/>
      <c r="E2695" s="48"/>
      <c r="F2695" s="48"/>
      <c r="G2695" s="48"/>
      <c r="H2695" s="48"/>
      <c r="I2695" s="48"/>
      <c r="J2695" s="1">
        <v>42.0</v>
      </c>
    </row>
    <row r="2696" ht="15.75" hidden="1" customHeight="1">
      <c r="A2696" s="47"/>
      <c r="B2696" s="47"/>
      <c r="C2696" s="47"/>
      <c r="D2696" s="47"/>
      <c r="E2696" s="47"/>
      <c r="F2696" s="47"/>
      <c r="G2696" s="47"/>
      <c r="H2696" s="47"/>
      <c r="I2696" s="47"/>
      <c r="J2696" s="1">
        <v>42.0</v>
      </c>
    </row>
    <row r="2697" ht="15.75" hidden="1" customHeight="1">
      <c r="A2697" s="48"/>
      <c r="B2697" s="48"/>
      <c r="C2697" s="48"/>
      <c r="D2697" s="48"/>
      <c r="E2697" s="48"/>
      <c r="F2697" s="48"/>
      <c r="G2697" s="48"/>
      <c r="H2697" s="48"/>
      <c r="I2697" s="48"/>
      <c r="J2697" s="1">
        <v>42.0</v>
      </c>
    </row>
    <row r="2698" ht="15.75" hidden="1" customHeight="1">
      <c r="A2698" s="47"/>
      <c r="B2698" s="47"/>
      <c r="C2698" s="47"/>
      <c r="D2698" s="47"/>
      <c r="E2698" s="47"/>
      <c r="F2698" s="47"/>
      <c r="G2698" s="47"/>
      <c r="H2698" s="47"/>
      <c r="I2698" s="47"/>
      <c r="J2698" s="1">
        <v>42.0</v>
      </c>
    </row>
    <row r="2699" ht="15.75" hidden="1" customHeight="1">
      <c r="A2699" s="48"/>
      <c r="B2699" s="48"/>
      <c r="C2699" s="48"/>
      <c r="D2699" s="48"/>
      <c r="E2699" s="48"/>
      <c r="F2699" s="48"/>
      <c r="G2699" s="48"/>
      <c r="H2699" s="48"/>
      <c r="I2699" s="48"/>
      <c r="J2699" s="1">
        <v>42.0</v>
      </c>
    </row>
    <row r="2700" ht="15.75" hidden="1" customHeight="1">
      <c r="A2700" s="47"/>
      <c r="B2700" s="47"/>
      <c r="C2700" s="47"/>
      <c r="D2700" s="47"/>
      <c r="E2700" s="47"/>
      <c r="F2700" s="47"/>
      <c r="G2700" s="47"/>
      <c r="H2700" s="47"/>
      <c r="I2700" s="47"/>
      <c r="J2700" s="1">
        <v>42.0</v>
      </c>
    </row>
    <row r="2701" ht="15.75" hidden="1" customHeight="1">
      <c r="A2701" s="48"/>
      <c r="B2701" s="48"/>
      <c r="C2701" s="48"/>
      <c r="D2701" s="48"/>
      <c r="E2701" s="48"/>
      <c r="F2701" s="48"/>
      <c r="G2701" s="48"/>
      <c r="H2701" s="48"/>
      <c r="I2701" s="48"/>
      <c r="J2701" s="1">
        <v>42.0</v>
      </c>
    </row>
    <row r="2702" ht="15.75" hidden="1" customHeight="1">
      <c r="A2702" s="47"/>
      <c r="B2702" s="47"/>
      <c r="C2702" s="47"/>
      <c r="D2702" s="47"/>
      <c r="E2702" s="47"/>
      <c r="F2702" s="47"/>
      <c r="G2702" s="47"/>
      <c r="H2702" s="47"/>
      <c r="I2702" s="47"/>
      <c r="J2702" s="1">
        <v>42.0</v>
      </c>
    </row>
    <row r="2703" ht="15.75" hidden="1" customHeight="1">
      <c r="A2703" s="48"/>
      <c r="B2703" s="48"/>
      <c r="C2703" s="48"/>
      <c r="D2703" s="48"/>
      <c r="E2703" s="48"/>
      <c r="F2703" s="48"/>
      <c r="G2703" s="48"/>
      <c r="H2703" s="48"/>
      <c r="I2703" s="48"/>
      <c r="J2703" s="1">
        <v>42.0</v>
      </c>
    </row>
    <row r="2704" ht="15.75" hidden="1" customHeight="1">
      <c r="A2704" s="47"/>
      <c r="B2704" s="47"/>
      <c r="C2704" s="47"/>
      <c r="D2704" s="47"/>
      <c r="E2704" s="47"/>
      <c r="F2704" s="47"/>
      <c r="G2704" s="47"/>
      <c r="H2704" s="47"/>
      <c r="I2704" s="47"/>
      <c r="J2704" s="1">
        <v>42.0</v>
      </c>
    </row>
    <row r="2705" ht="15.75" hidden="1" customHeight="1">
      <c r="A2705" s="48"/>
      <c r="B2705" s="48"/>
      <c r="C2705" s="48"/>
      <c r="D2705" s="48"/>
      <c r="E2705" s="48"/>
      <c r="F2705" s="48"/>
      <c r="G2705" s="48"/>
      <c r="H2705" s="48"/>
      <c r="I2705" s="48"/>
      <c r="J2705" s="1">
        <v>42.0</v>
      </c>
    </row>
    <row r="2706" ht="15.75" hidden="1" customHeight="1">
      <c r="A2706" s="47"/>
      <c r="B2706" s="47"/>
      <c r="C2706" s="47"/>
      <c r="D2706" s="47"/>
      <c r="E2706" s="47"/>
      <c r="F2706" s="47"/>
      <c r="G2706" s="47"/>
      <c r="H2706" s="47"/>
      <c r="I2706" s="47"/>
      <c r="J2706" s="1">
        <v>42.0</v>
      </c>
    </row>
    <row r="2707" ht="15.75" hidden="1" customHeight="1">
      <c r="A2707" s="48"/>
      <c r="B2707" s="48"/>
      <c r="C2707" s="48"/>
      <c r="D2707" s="48"/>
      <c r="E2707" s="48"/>
      <c r="F2707" s="48"/>
      <c r="G2707" s="48"/>
      <c r="H2707" s="48"/>
      <c r="I2707" s="48"/>
      <c r="J2707" s="1">
        <v>42.0</v>
      </c>
    </row>
    <row r="2708" ht="15.75" hidden="1" customHeight="1">
      <c r="A2708" s="47"/>
      <c r="B2708" s="47"/>
      <c r="C2708" s="47"/>
      <c r="D2708" s="47"/>
      <c r="E2708" s="47"/>
      <c r="F2708" s="47"/>
      <c r="G2708" s="47"/>
      <c r="H2708" s="47"/>
      <c r="I2708" s="47"/>
      <c r="J2708" s="1">
        <v>42.0</v>
      </c>
    </row>
    <row r="2709" ht="15.75" hidden="1" customHeight="1">
      <c r="A2709" s="48"/>
      <c r="B2709" s="48"/>
      <c r="C2709" s="48"/>
      <c r="D2709" s="48"/>
      <c r="E2709" s="48"/>
      <c r="F2709" s="48"/>
      <c r="G2709" s="48"/>
      <c r="H2709" s="48"/>
      <c r="I2709" s="48"/>
      <c r="J2709" s="1">
        <v>42.0</v>
      </c>
    </row>
    <row r="2710" ht="15.75" hidden="1" customHeight="1">
      <c r="A2710" s="47"/>
      <c r="B2710" s="47"/>
      <c r="C2710" s="47"/>
      <c r="D2710" s="47"/>
      <c r="E2710" s="47"/>
      <c r="F2710" s="47"/>
      <c r="G2710" s="47"/>
      <c r="H2710" s="47"/>
      <c r="I2710" s="47"/>
      <c r="J2710" s="1">
        <v>42.0</v>
      </c>
    </row>
    <row r="2711" ht="15.75" hidden="1" customHeight="1">
      <c r="A2711" s="48"/>
      <c r="B2711" s="48"/>
      <c r="C2711" s="48"/>
      <c r="D2711" s="48"/>
      <c r="E2711" s="48"/>
      <c r="F2711" s="48"/>
      <c r="G2711" s="48"/>
      <c r="H2711" s="48"/>
      <c r="I2711" s="48"/>
      <c r="J2711" s="1">
        <v>42.0</v>
      </c>
    </row>
    <row r="2712" ht="15.75" hidden="1" customHeight="1">
      <c r="A2712" s="47"/>
      <c r="B2712" s="47"/>
      <c r="C2712" s="47"/>
      <c r="D2712" s="47"/>
      <c r="E2712" s="47"/>
      <c r="F2712" s="47"/>
      <c r="G2712" s="47"/>
      <c r="H2712" s="47"/>
      <c r="I2712" s="47"/>
      <c r="J2712" s="1">
        <v>42.0</v>
      </c>
    </row>
    <row r="2713" ht="15.75" hidden="1" customHeight="1">
      <c r="A2713" s="48"/>
      <c r="B2713" s="48"/>
      <c r="C2713" s="48"/>
      <c r="D2713" s="48"/>
      <c r="E2713" s="48"/>
      <c r="F2713" s="48"/>
      <c r="G2713" s="48"/>
      <c r="H2713" s="48"/>
      <c r="I2713" s="48"/>
      <c r="J2713" s="1">
        <v>42.0</v>
      </c>
    </row>
    <row r="2714" ht="15.75" hidden="1" customHeight="1">
      <c r="A2714" s="47"/>
      <c r="B2714" s="47"/>
      <c r="C2714" s="47"/>
      <c r="D2714" s="47"/>
      <c r="E2714" s="47"/>
      <c r="F2714" s="47"/>
      <c r="G2714" s="47"/>
      <c r="H2714" s="47"/>
      <c r="I2714" s="47"/>
      <c r="J2714" s="1">
        <v>42.0</v>
      </c>
    </row>
    <row r="2715" ht="15.75" hidden="1" customHeight="1">
      <c r="A2715" s="48"/>
      <c r="B2715" s="48"/>
      <c r="C2715" s="48"/>
      <c r="D2715" s="48"/>
      <c r="E2715" s="48"/>
      <c r="F2715" s="48"/>
      <c r="G2715" s="48"/>
      <c r="H2715" s="48"/>
      <c r="I2715" s="48"/>
      <c r="J2715" s="1">
        <v>42.0</v>
      </c>
    </row>
    <row r="2716" ht="15.75" hidden="1" customHeight="1">
      <c r="A2716" s="47"/>
      <c r="B2716" s="47"/>
      <c r="C2716" s="47"/>
      <c r="D2716" s="47"/>
      <c r="E2716" s="47"/>
      <c r="F2716" s="47"/>
      <c r="G2716" s="47"/>
      <c r="H2716" s="47"/>
      <c r="I2716" s="47"/>
      <c r="J2716" s="1">
        <v>42.0</v>
      </c>
    </row>
    <row r="2717" ht="15.75" hidden="1" customHeight="1">
      <c r="A2717" s="48"/>
      <c r="B2717" s="48"/>
      <c r="C2717" s="48"/>
      <c r="D2717" s="48"/>
      <c r="E2717" s="48"/>
      <c r="F2717" s="48"/>
      <c r="G2717" s="48"/>
      <c r="H2717" s="48"/>
      <c r="I2717" s="48"/>
      <c r="J2717" s="1">
        <v>42.0</v>
      </c>
    </row>
    <row r="2718" ht="15.75" hidden="1" customHeight="1">
      <c r="A2718" s="47"/>
      <c r="B2718" s="47"/>
      <c r="C2718" s="47"/>
      <c r="D2718" s="47"/>
      <c r="E2718" s="47"/>
      <c r="F2718" s="47"/>
      <c r="G2718" s="47"/>
      <c r="H2718" s="47"/>
      <c r="I2718" s="47"/>
      <c r="J2718" s="1">
        <v>42.0</v>
      </c>
    </row>
    <row r="2719" ht="15.75" hidden="1" customHeight="1">
      <c r="A2719" s="48"/>
      <c r="B2719" s="48"/>
      <c r="C2719" s="48"/>
      <c r="D2719" s="48"/>
      <c r="E2719" s="48"/>
      <c r="F2719" s="48"/>
      <c r="G2719" s="48"/>
      <c r="H2719" s="48"/>
      <c r="I2719" s="48"/>
      <c r="J2719" s="1">
        <v>42.0</v>
      </c>
    </row>
    <row r="2720" ht="15.75" hidden="1" customHeight="1">
      <c r="A2720" s="47"/>
      <c r="B2720" s="47"/>
      <c r="C2720" s="47"/>
      <c r="D2720" s="47"/>
      <c r="E2720" s="47"/>
      <c r="F2720" s="47"/>
      <c r="G2720" s="47"/>
      <c r="H2720" s="47"/>
      <c r="I2720" s="47"/>
      <c r="J2720" s="1">
        <v>42.0</v>
      </c>
    </row>
    <row r="2721" ht="15.75" hidden="1" customHeight="1">
      <c r="A2721" s="48"/>
      <c r="B2721" s="48"/>
      <c r="C2721" s="48"/>
      <c r="D2721" s="48"/>
      <c r="E2721" s="48"/>
      <c r="F2721" s="48"/>
      <c r="G2721" s="48"/>
      <c r="H2721" s="48"/>
      <c r="I2721" s="48"/>
      <c r="J2721" s="1">
        <v>42.0</v>
      </c>
    </row>
    <row r="2722" ht="15.75" hidden="1" customHeight="1">
      <c r="A2722" s="47"/>
      <c r="B2722" s="47"/>
      <c r="C2722" s="47"/>
      <c r="D2722" s="47"/>
      <c r="E2722" s="47"/>
      <c r="F2722" s="47"/>
      <c r="G2722" s="47"/>
      <c r="H2722" s="47"/>
      <c r="I2722" s="47"/>
      <c r="J2722" s="1">
        <v>42.0</v>
      </c>
    </row>
    <row r="2723" ht="15.75" hidden="1" customHeight="1">
      <c r="A2723" s="48"/>
      <c r="B2723" s="48"/>
      <c r="C2723" s="48"/>
      <c r="D2723" s="48"/>
      <c r="E2723" s="48"/>
      <c r="F2723" s="48"/>
      <c r="G2723" s="48"/>
      <c r="H2723" s="48"/>
      <c r="I2723" s="48"/>
      <c r="J2723" s="1">
        <v>42.0</v>
      </c>
    </row>
    <row r="2724" ht="15.75" hidden="1" customHeight="1">
      <c r="A2724" s="47"/>
      <c r="B2724" s="47"/>
      <c r="C2724" s="47"/>
      <c r="D2724" s="47"/>
      <c r="E2724" s="47"/>
      <c r="F2724" s="47"/>
      <c r="G2724" s="47"/>
      <c r="H2724" s="47"/>
      <c r="I2724" s="47"/>
      <c r="J2724" s="1">
        <v>42.0</v>
      </c>
    </row>
    <row r="2725" ht="15.75" hidden="1" customHeight="1">
      <c r="A2725" s="48"/>
      <c r="B2725" s="48"/>
      <c r="C2725" s="48"/>
      <c r="D2725" s="48"/>
      <c r="E2725" s="48"/>
      <c r="F2725" s="48"/>
      <c r="G2725" s="48"/>
      <c r="H2725" s="48"/>
      <c r="I2725" s="48"/>
      <c r="J2725" s="1">
        <v>42.0</v>
      </c>
    </row>
    <row r="2726" ht="15.75" hidden="1" customHeight="1">
      <c r="A2726" s="47"/>
      <c r="B2726" s="47"/>
      <c r="C2726" s="47"/>
      <c r="D2726" s="47"/>
      <c r="E2726" s="47"/>
      <c r="F2726" s="47"/>
      <c r="G2726" s="47"/>
      <c r="H2726" s="47"/>
      <c r="I2726" s="47"/>
      <c r="J2726" s="1">
        <v>42.0</v>
      </c>
    </row>
    <row r="2727" ht="15.75" hidden="1" customHeight="1">
      <c r="A2727" s="48"/>
      <c r="B2727" s="48"/>
      <c r="C2727" s="48"/>
      <c r="D2727" s="48"/>
      <c r="E2727" s="48"/>
      <c r="F2727" s="48"/>
      <c r="G2727" s="48"/>
      <c r="H2727" s="48"/>
      <c r="I2727" s="48"/>
      <c r="J2727" s="1">
        <v>42.0</v>
      </c>
    </row>
    <row r="2728" ht="15.75" hidden="1" customHeight="1">
      <c r="A2728" s="47"/>
      <c r="B2728" s="47"/>
      <c r="C2728" s="47"/>
      <c r="D2728" s="47"/>
      <c r="E2728" s="47"/>
      <c r="F2728" s="47"/>
      <c r="G2728" s="47"/>
      <c r="H2728" s="47"/>
      <c r="I2728" s="47"/>
      <c r="J2728" s="1">
        <v>42.0</v>
      </c>
    </row>
    <row r="2729" ht="15.75" hidden="1" customHeight="1">
      <c r="A2729" s="48"/>
      <c r="B2729" s="48"/>
      <c r="C2729" s="48"/>
      <c r="D2729" s="48"/>
      <c r="E2729" s="48"/>
      <c r="F2729" s="48"/>
      <c r="G2729" s="48"/>
      <c r="H2729" s="48"/>
      <c r="I2729" s="48"/>
      <c r="J2729" s="1">
        <v>42.0</v>
      </c>
    </row>
    <row r="2730" ht="15.75" hidden="1" customHeight="1">
      <c r="A2730" s="47"/>
      <c r="B2730" s="47"/>
      <c r="C2730" s="47"/>
      <c r="D2730" s="47"/>
      <c r="E2730" s="47"/>
      <c r="F2730" s="47"/>
      <c r="G2730" s="47"/>
      <c r="H2730" s="47"/>
      <c r="I2730" s="47"/>
      <c r="J2730" s="1">
        <v>42.0</v>
      </c>
    </row>
    <row r="2731" ht="15.75" hidden="1" customHeight="1">
      <c r="A2731" s="48"/>
      <c r="B2731" s="48"/>
      <c r="C2731" s="48"/>
      <c r="D2731" s="48"/>
      <c r="E2731" s="48"/>
      <c r="F2731" s="48"/>
      <c r="G2731" s="48"/>
      <c r="H2731" s="48"/>
      <c r="I2731" s="48"/>
      <c r="J2731" s="1">
        <v>42.0</v>
      </c>
    </row>
    <row r="2732" ht="15.75" hidden="1" customHeight="1">
      <c r="A2732" s="47"/>
      <c r="B2732" s="47"/>
      <c r="C2732" s="47"/>
      <c r="D2732" s="47"/>
      <c r="E2732" s="47"/>
      <c r="F2732" s="47"/>
      <c r="G2732" s="47"/>
      <c r="H2732" s="47"/>
      <c r="I2732" s="47"/>
      <c r="J2732" s="1">
        <v>42.0</v>
      </c>
    </row>
    <row r="2733" ht="15.75" hidden="1" customHeight="1">
      <c r="A2733" s="48"/>
      <c r="B2733" s="48"/>
      <c r="C2733" s="48"/>
      <c r="D2733" s="48"/>
      <c r="E2733" s="48"/>
      <c r="F2733" s="48"/>
      <c r="G2733" s="48"/>
      <c r="H2733" s="48"/>
      <c r="I2733" s="48"/>
      <c r="J2733" s="1">
        <v>42.0</v>
      </c>
    </row>
    <row r="2734" ht="15.75" hidden="1" customHeight="1">
      <c r="A2734" s="47"/>
      <c r="B2734" s="47"/>
      <c r="C2734" s="47"/>
      <c r="D2734" s="47"/>
      <c r="E2734" s="47"/>
      <c r="F2734" s="47"/>
      <c r="G2734" s="47"/>
      <c r="H2734" s="47"/>
      <c r="I2734" s="47"/>
      <c r="J2734" s="1">
        <v>42.0</v>
      </c>
    </row>
    <row r="2735" ht="15.75" hidden="1" customHeight="1">
      <c r="A2735" s="48"/>
      <c r="B2735" s="48"/>
      <c r="C2735" s="48"/>
      <c r="D2735" s="48"/>
      <c r="E2735" s="48"/>
      <c r="F2735" s="48"/>
      <c r="G2735" s="48"/>
      <c r="H2735" s="48"/>
      <c r="I2735" s="48"/>
      <c r="J2735" s="1">
        <v>42.0</v>
      </c>
    </row>
    <row r="2736" ht="15.75" hidden="1" customHeight="1">
      <c r="A2736" s="47"/>
      <c r="B2736" s="47"/>
      <c r="C2736" s="47"/>
      <c r="D2736" s="47"/>
      <c r="E2736" s="47"/>
      <c r="F2736" s="47"/>
      <c r="G2736" s="47"/>
      <c r="H2736" s="47"/>
      <c r="I2736" s="47"/>
      <c r="J2736" s="1">
        <v>42.0</v>
      </c>
    </row>
    <row r="2737" ht="15.75" hidden="1" customHeight="1">
      <c r="A2737" s="48"/>
      <c r="B2737" s="48"/>
      <c r="C2737" s="48"/>
      <c r="D2737" s="48"/>
      <c r="E2737" s="48"/>
      <c r="F2737" s="48"/>
      <c r="G2737" s="48"/>
      <c r="H2737" s="48"/>
      <c r="I2737" s="48"/>
      <c r="J2737" s="1">
        <v>42.0</v>
      </c>
    </row>
    <row r="2738" ht="15.75" hidden="1" customHeight="1">
      <c r="A2738" s="47"/>
      <c r="B2738" s="47"/>
      <c r="C2738" s="47"/>
      <c r="D2738" s="47"/>
      <c r="E2738" s="47"/>
      <c r="F2738" s="47"/>
      <c r="G2738" s="47"/>
      <c r="H2738" s="47"/>
      <c r="I2738" s="47"/>
      <c r="J2738" s="1">
        <v>42.0</v>
      </c>
    </row>
    <row r="2739" ht="15.75" hidden="1" customHeight="1">
      <c r="A2739" s="48"/>
      <c r="B2739" s="48"/>
      <c r="C2739" s="48"/>
      <c r="D2739" s="48"/>
      <c r="E2739" s="48"/>
      <c r="F2739" s="48"/>
      <c r="G2739" s="48"/>
      <c r="H2739" s="48"/>
      <c r="I2739" s="48"/>
      <c r="J2739" s="1">
        <v>42.0</v>
      </c>
    </row>
    <row r="2740" ht="15.75" hidden="1" customHeight="1">
      <c r="A2740" s="47"/>
      <c r="B2740" s="47"/>
      <c r="C2740" s="47"/>
      <c r="D2740" s="47"/>
      <c r="E2740" s="47"/>
      <c r="F2740" s="47"/>
      <c r="G2740" s="47"/>
      <c r="H2740" s="47"/>
      <c r="I2740" s="47"/>
      <c r="J2740" s="1">
        <v>42.0</v>
      </c>
    </row>
    <row r="2741" ht="15.75" hidden="1" customHeight="1">
      <c r="A2741" s="48"/>
      <c r="B2741" s="48"/>
      <c r="C2741" s="48"/>
      <c r="D2741" s="48"/>
      <c r="E2741" s="48"/>
      <c r="F2741" s="48"/>
      <c r="G2741" s="48"/>
      <c r="H2741" s="48"/>
      <c r="I2741" s="48"/>
      <c r="J2741" s="1">
        <v>42.0</v>
      </c>
    </row>
    <row r="2742" ht="15.75" hidden="1" customHeight="1">
      <c r="A2742" s="47"/>
      <c r="B2742" s="47"/>
      <c r="C2742" s="47"/>
      <c r="D2742" s="47"/>
      <c r="E2742" s="47"/>
      <c r="F2742" s="47"/>
      <c r="G2742" s="47"/>
      <c r="H2742" s="47"/>
      <c r="I2742" s="47"/>
      <c r="J2742" s="1">
        <v>42.0</v>
      </c>
    </row>
    <row r="2743" ht="15.75" hidden="1" customHeight="1">
      <c r="A2743" s="48"/>
      <c r="B2743" s="48"/>
      <c r="C2743" s="48"/>
      <c r="D2743" s="48"/>
      <c r="E2743" s="48"/>
      <c r="F2743" s="48"/>
      <c r="G2743" s="48"/>
      <c r="H2743" s="48"/>
      <c r="I2743" s="48"/>
      <c r="J2743" s="1">
        <v>42.0</v>
      </c>
    </row>
    <row r="2744" ht="15.75" hidden="1" customHeight="1">
      <c r="A2744" s="47"/>
      <c r="B2744" s="47"/>
      <c r="C2744" s="47"/>
      <c r="D2744" s="47"/>
      <c r="E2744" s="47"/>
      <c r="F2744" s="47"/>
      <c r="G2744" s="47"/>
      <c r="H2744" s="47"/>
      <c r="I2744" s="47"/>
      <c r="J2744" s="1">
        <v>42.0</v>
      </c>
    </row>
    <row r="2745" ht="15.75" hidden="1" customHeight="1">
      <c r="A2745" s="48"/>
      <c r="B2745" s="48"/>
      <c r="C2745" s="48"/>
      <c r="D2745" s="48"/>
      <c r="E2745" s="48"/>
      <c r="F2745" s="48"/>
      <c r="G2745" s="48"/>
      <c r="H2745" s="48"/>
      <c r="I2745" s="48"/>
      <c r="J2745" s="1">
        <v>42.0</v>
      </c>
    </row>
    <row r="2746" ht="15.75" hidden="1" customHeight="1">
      <c r="A2746" s="47"/>
      <c r="B2746" s="47"/>
      <c r="C2746" s="47"/>
      <c r="D2746" s="47"/>
      <c r="E2746" s="47"/>
      <c r="F2746" s="47"/>
      <c r="G2746" s="47"/>
      <c r="H2746" s="47"/>
      <c r="I2746" s="47"/>
      <c r="J2746" s="1">
        <v>42.0</v>
      </c>
    </row>
    <row r="2747" ht="15.75" hidden="1" customHeight="1">
      <c r="A2747" s="48"/>
      <c r="B2747" s="48"/>
      <c r="C2747" s="48"/>
      <c r="D2747" s="48"/>
      <c r="E2747" s="48"/>
      <c r="F2747" s="48"/>
      <c r="G2747" s="48"/>
      <c r="H2747" s="48"/>
      <c r="I2747" s="48"/>
      <c r="J2747" s="1">
        <v>42.0</v>
      </c>
    </row>
    <row r="2748" ht="15.75" hidden="1" customHeight="1">
      <c r="A2748" s="47"/>
      <c r="B2748" s="47"/>
      <c r="C2748" s="47"/>
      <c r="D2748" s="47"/>
      <c r="E2748" s="47"/>
      <c r="F2748" s="47"/>
      <c r="G2748" s="47"/>
      <c r="H2748" s="47"/>
      <c r="I2748" s="47"/>
      <c r="J2748" s="1">
        <v>42.0</v>
      </c>
    </row>
    <row r="2749" ht="15.75" hidden="1" customHeight="1">
      <c r="A2749" s="48"/>
      <c r="B2749" s="48"/>
      <c r="C2749" s="48"/>
      <c r="D2749" s="48"/>
      <c r="E2749" s="48"/>
      <c r="F2749" s="48"/>
      <c r="G2749" s="48"/>
      <c r="H2749" s="48"/>
      <c r="I2749" s="48"/>
      <c r="J2749" s="1">
        <v>42.0</v>
      </c>
    </row>
    <row r="2750" ht="15.75" hidden="1" customHeight="1">
      <c r="A2750" s="47"/>
      <c r="B2750" s="47"/>
      <c r="C2750" s="47"/>
      <c r="D2750" s="47"/>
      <c r="E2750" s="47"/>
      <c r="F2750" s="47"/>
      <c r="G2750" s="47"/>
      <c r="H2750" s="47"/>
      <c r="I2750" s="47"/>
      <c r="J2750" s="1">
        <v>42.0</v>
      </c>
    </row>
    <row r="2751" ht="15.75" hidden="1" customHeight="1">
      <c r="A2751" s="48"/>
      <c r="B2751" s="48"/>
      <c r="C2751" s="48"/>
      <c r="D2751" s="48"/>
      <c r="E2751" s="48"/>
      <c r="F2751" s="48"/>
      <c r="G2751" s="48"/>
      <c r="H2751" s="48"/>
      <c r="I2751" s="48"/>
      <c r="J2751" s="1">
        <v>42.0</v>
      </c>
    </row>
    <row r="2752" ht="15.75" hidden="1" customHeight="1">
      <c r="A2752" s="47"/>
      <c r="B2752" s="47"/>
      <c r="C2752" s="47"/>
      <c r="D2752" s="47"/>
      <c r="E2752" s="47"/>
      <c r="F2752" s="47"/>
      <c r="G2752" s="47"/>
      <c r="H2752" s="47"/>
      <c r="I2752" s="47"/>
      <c r="J2752" s="1">
        <v>42.0</v>
      </c>
    </row>
    <row r="2753" ht="15.75" hidden="1" customHeight="1">
      <c r="A2753" s="48"/>
      <c r="B2753" s="48"/>
      <c r="C2753" s="48"/>
      <c r="D2753" s="48"/>
      <c r="E2753" s="48"/>
      <c r="F2753" s="48"/>
      <c r="G2753" s="48"/>
      <c r="H2753" s="48"/>
      <c r="I2753" s="48"/>
      <c r="J2753" s="1">
        <v>42.0</v>
      </c>
    </row>
    <row r="2754" ht="15.75" hidden="1" customHeight="1">
      <c r="A2754" s="47"/>
      <c r="B2754" s="47"/>
      <c r="C2754" s="47"/>
      <c r="D2754" s="47"/>
      <c r="E2754" s="47"/>
      <c r="F2754" s="47"/>
      <c r="G2754" s="47"/>
      <c r="H2754" s="47"/>
      <c r="I2754" s="47"/>
      <c r="J2754" s="1">
        <v>42.0</v>
      </c>
    </row>
    <row r="2755" ht="15.75" hidden="1" customHeight="1">
      <c r="A2755" s="48"/>
      <c r="B2755" s="48"/>
      <c r="C2755" s="48"/>
      <c r="D2755" s="48"/>
      <c r="E2755" s="48"/>
      <c r="F2755" s="48"/>
      <c r="G2755" s="48"/>
      <c r="H2755" s="48"/>
      <c r="I2755" s="48"/>
      <c r="J2755" s="1">
        <v>42.0</v>
      </c>
    </row>
    <row r="2756" ht="15.75" hidden="1" customHeight="1">
      <c r="A2756" s="47"/>
      <c r="B2756" s="47"/>
      <c r="C2756" s="47"/>
      <c r="D2756" s="47"/>
      <c r="E2756" s="47"/>
      <c r="F2756" s="47"/>
      <c r="G2756" s="47"/>
      <c r="H2756" s="47"/>
      <c r="I2756" s="47"/>
      <c r="J2756" s="1">
        <v>42.0</v>
      </c>
    </row>
    <row r="2757" ht="15.75" hidden="1" customHeight="1">
      <c r="A2757" s="48"/>
      <c r="B2757" s="48"/>
      <c r="C2757" s="48"/>
      <c r="D2757" s="48"/>
      <c r="E2757" s="48"/>
      <c r="F2757" s="48"/>
      <c r="G2757" s="48"/>
      <c r="H2757" s="48"/>
      <c r="I2757" s="48"/>
      <c r="J2757" s="1">
        <v>42.0</v>
      </c>
    </row>
    <row r="2758" ht="15.75" hidden="1" customHeight="1">
      <c r="A2758" s="47"/>
      <c r="B2758" s="47"/>
      <c r="C2758" s="47"/>
      <c r="D2758" s="47"/>
      <c r="E2758" s="47"/>
      <c r="F2758" s="47"/>
      <c r="G2758" s="47"/>
      <c r="H2758" s="47"/>
      <c r="I2758" s="47"/>
      <c r="J2758" s="1">
        <v>42.0</v>
      </c>
    </row>
    <row r="2759" ht="15.75" hidden="1" customHeight="1">
      <c r="A2759" s="48"/>
      <c r="B2759" s="48"/>
      <c r="C2759" s="48"/>
      <c r="D2759" s="48"/>
      <c r="E2759" s="48"/>
      <c r="F2759" s="48"/>
      <c r="G2759" s="48"/>
      <c r="H2759" s="48"/>
      <c r="I2759" s="48"/>
      <c r="J2759" s="1">
        <v>42.0</v>
      </c>
    </row>
    <row r="2760" ht="15.75" hidden="1" customHeight="1">
      <c r="A2760" s="47"/>
      <c r="B2760" s="47"/>
      <c r="C2760" s="47"/>
      <c r="D2760" s="47"/>
      <c r="E2760" s="47"/>
      <c r="F2760" s="47"/>
      <c r="G2760" s="47"/>
      <c r="H2760" s="47"/>
      <c r="I2760" s="47"/>
      <c r="J2760" s="1">
        <v>42.0</v>
      </c>
    </row>
    <row r="2761" ht="15.75" hidden="1" customHeight="1">
      <c r="A2761" s="48"/>
      <c r="B2761" s="48"/>
      <c r="C2761" s="48"/>
      <c r="D2761" s="48"/>
      <c r="E2761" s="48"/>
      <c r="F2761" s="48"/>
      <c r="G2761" s="48"/>
      <c r="H2761" s="48"/>
      <c r="I2761" s="48"/>
      <c r="J2761" s="1">
        <v>42.0</v>
      </c>
    </row>
    <row r="2762" ht="15.75" hidden="1" customHeight="1">
      <c r="A2762" s="47"/>
      <c r="B2762" s="47"/>
      <c r="C2762" s="47"/>
      <c r="D2762" s="47"/>
      <c r="E2762" s="47"/>
      <c r="F2762" s="47"/>
      <c r="G2762" s="47"/>
      <c r="H2762" s="47"/>
      <c r="I2762" s="47"/>
      <c r="J2762" s="1">
        <v>42.0</v>
      </c>
    </row>
    <row r="2763" ht="15.75" hidden="1" customHeight="1">
      <c r="A2763" s="48"/>
      <c r="B2763" s="48"/>
      <c r="C2763" s="48"/>
      <c r="D2763" s="48"/>
      <c r="E2763" s="48"/>
      <c r="F2763" s="48"/>
      <c r="G2763" s="48"/>
      <c r="H2763" s="48"/>
      <c r="I2763" s="48"/>
      <c r="J2763" s="1">
        <v>42.0</v>
      </c>
    </row>
    <row r="2764" ht="15.75" hidden="1" customHeight="1">
      <c r="A2764" s="47"/>
      <c r="B2764" s="47"/>
      <c r="C2764" s="47"/>
      <c r="D2764" s="47"/>
      <c r="E2764" s="47"/>
      <c r="F2764" s="47"/>
      <c r="G2764" s="47"/>
      <c r="H2764" s="47"/>
      <c r="I2764" s="47"/>
      <c r="J2764" s="1">
        <v>42.0</v>
      </c>
    </row>
    <row r="2765" ht="15.75" hidden="1" customHeight="1">
      <c r="A2765" s="48"/>
      <c r="B2765" s="48"/>
      <c r="C2765" s="48"/>
      <c r="D2765" s="48"/>
      <c r="E2765" s="48"/>
      <c r="F2765" s="48"/>
      <c r="G2765" s="48"/>
      <c r="H2765" s="48"/>
      <c r="I2765" s="48"/>
      <c r="J2765" s="1">
        <v>42.0</v>
      </c>
    </row>
    <row r="2766" ht="15.75" hidden="1" customHeight="1">
      <c r="A2766" s="47"/>
      <c r="B2766" s="47"/>
      <c r="C2766" s="47"/>
      <c r="D2766" s="47"/>
      <c r="E2766" s="47"/>
      <c r="F2766" s="47"/>
      <c r="G2766" s="47"/>
      <c r="H2766" s="47"/>
      <c r="I2766" s="47"/>
      <c r="J2766" s="1">
        <v>42.0</v>
      </c>
    </row>
    <row r="2767" ht="15.75" hidden="1" customHeight="1">
      <c r="A2767" s="48"/>
      <c r="B2767" s="48"/>
      <c r="C2767" s="48"/>
      <c r="D2767" s="48"/>
      <c r="E2767" s="48"/>
      <c r="F2767" s="48"/>
      <c r="G2767" s="48"/>
      <c r="H2767" s="48"/>
      <c r="I2767" s="48"/>
      <c r="J2767" s="1">
        <v>42.0</v>
      </c>
    </row>
    <row r="2768" ht="15.75" hidden="1" customHeight="1">
      <c r="A2768" s="47"/>
      <c r="B2768" s="47"/>
      <c r="C2768" s="47"/>
      <c r="D2768" s="47"/>
      <c r="E2768" s="47"/>
      <c r="F2768" s="47"/>
      <c r="G2768" s="47"/>
      <c r="H2768" s="47"/>
      <c r="I2768" s="47"/>
      <c r="J2768" s="1">
        <v>42.0</v>
      </c>
    </row>
    <row r="2769" ht="15.75" hidden="1" customHeight="1">
      <c r="A2769" s="48"/>
      <c r="B2769" s="48"/>
      <c r="C2769" s="48"/>
      <c r="D2769" s="48"/>
      <c r="E2769" s="48"/>
      <c r="F2769" s="48"/>
      <c r="G2769" s="48"/>
      <c r="H2769" s="48"/>
      <c r="I2769" s="48"/>
      <c r="J2769" s="1">
        <v>42.0</v>
      </c>
    </row>
    <row r="2770" ht="15.75" hidden="1" customHeight="1">
      <c r="A2770" s="47"/>
      <c r="B2770" s="47"/>
      <c r="C2770" s="47"/>
      <c r="D2770" s="47"/>
      <c r="E2770" s="47"/>
      <c r="F2770" s="47"/>
      <c r="G2770" s="47"/>
      <c r="H2770" s="47"/>
      <c r="I2770" s="47"/>
      <c r="J2770" s="1">
        <v>42.0</v>
      </c>
    </row>
    <row r="2771" ht="15.75" hidden="1" customHeight="1">
      <c r="A2771" s="48"/>
      <c r="B2771" s="48"/>
      <c r="C2771" s="48"/>
      <c r="D2771" s="48"/>
      <c r="E2771" s="48"/>
      <c r="F2771" s="48"/>
      <c r="G2771" s="48"/>
      <c r="H2771" s="48"/>
      <c r="I2771" s="48"/>
      <c r="J2771" s="1">
        <v>42.0</v>
      </c>
    </row>
    <row r="2772" ht="15.75" hidden="1" customHeight="1">
      <c r="A2772" s="47"/>
      <c r="B2772" s="47"/>
      <c r="C2772" s="47"/>
      <c r="D2772" s="47"/>
      <c r="E2772" s="47"/>
      <c r="F2772" s="47"/>
      <c r="G2772" s="47"/>
      <c r="H2772" s="47"/>
      <c r="I2772" s="47"/>
      <c r="J2772" s="1">
        <v>42.0</v>
      </c>
    </row>
    <row r="2773" ht="15.75" hidden="1" customHeight="1">
      <c r="A2773" s="48"/>
      <c r="B2773" s="48"/>
      <c r="C2773" s="48"/>
      <c r="D2773" s="48"/>
      <c r="E2773" s="48"/>
      <c r="F2773" s="48"/>
      <c r="G2773" s="48"/>
      <c r="H2773" s="48"/>
      <c r="I2773" s="48"/>
      <c r="J2773" s="1">
        <v>42.0</v>
      </c>
    </row>
    <row r="2774" ht="15.75" hidden="1" customHeight="1">
      <c r="A2774" s="47"/>
      <c r="B2774" s="47"/>
      <c r="C2774" s="47"/>
      <c r="D2774" s="47"/>
      <c r="E2774" s="47"/>
      <c r="F2774" s="47"/>
      <c r="G2774" s="47"/>
      <c r="H2774" s="47"/>
      <c r="I2774" s="47"/>
      <c r="J2774" s="1">
        <v>42.0</v>
      </c>
    </row>
    <row r="2775" ht="15.75" hidden="1" customHeight="1">
      <c r="A2775" s="48"/>
      <c r="B2775" s="48"/>
      <c r="C2775" s="48"/>
      <c r="D2775" s="48"/>
      <c r="E2775" s="48"/>
      <c r="F2775" s="48"/>
      <c r="G2775" s="48"/>
      <c r="H2775" s="48"/>
      <c r="I2775" s="48"/>
      <c r="J2775" s="1">
        <v>42.0</v>
      </c>
    </row>
    <row r="2776" ht="15.75" hidden="1" customHeight="1">
      <c r="A2776" s="47"/>
      <c r="B2776" s="47"/>
      <c r="C2776" s="47"/>
      <c r="D2776" s="47"/>
      <c r="E2776" s="47"/>
      <c r="F2776" s="47"/>
      <c r="G2776" s="47"/>
      <c r="H2776" s="47"/>
      <c r="I2776" s="47"/>
      <c r="J2776" s="1">
        <v>42.0</v>
      </c>
    </row>
    <row r="2777" ht="15.75" hidden="1" customHeight="1">
      <c r="A2777" s="48"/>
      <c r="B2777" s="48"/>
      <c r="C2777" s="48"/>
      <c r="D2777" s="48"/>
      <c r="E2777" s="48"/>
      <c r="F2777" s="48"/>
      <c r="G2777" s="48"/>
      <c r="H2777" s="48"/>
      <c r="I2777" s="48"/>
      <c r="J2777" s="1">
        <v>42.0</v>
      </c>
    </row>
    <row r="2778" ht="15.75" hidden="1" customHeight="1">
      <c r="A2778" s="47"/>
      <c r="B2778" s="47"/>
      <c r="C2778" s="47"/>
      <c r="D2778" s="47"/>
      <c r="E2778" s="47"/>
      <c r="F2778" s="47"/>
      <c r="G2778" s="47"/>
      <c r="H2778" s="47"/>
      <c r="I2778" s="47"/>
      <c r="J2778" s="1">
        <v>42.0</v>
      </c>
    </row>
    <row r="2779" ht="15.75" hidden="1" customHeight="1">
      <c r="A2779" s="48"/>
      <c r="B2779" s="48"/>
      <c r="C2779" s="48"/>
      <c r="D2779" s="48"/>
      <c r="E2779" s="48"/>
      <c r="F2779" s="48"/>
      <c r="G2779" s="48"/>
      <c r="H2779" s="48"/>
      <c r="I2779" s="48"/>
      <c r="J2779" s="1">
        <v>42.0</v>
      </c>
    </row>
    <row r="2780" ht="15.75" hidden="1" customHeight="1">
      <c r="A2780" s="47"/>
      <c r="B2780" s="47"/>
      <c r="C2780" s="47"/>
      <c r="D2780" s="47"/>
      <c r="E2780" s="47"/>
      <c r="F2780" s="47"/>
      <c r="G2780" s="47"/>
      <c r="H2780" s="47"/>
      <c r="I2780" s="47"/>
      <c r="J2780" s="1">
        <v>42.0</v>
      </c>
    </row>
    <row r="2781" ht="15.75" hidden="1" customHeight="1">
      <c r="A2781" s="48"/>
      <c r="B2781" s="48"/>
      <c r="C2781" s="48"/>
      <c r="D2781" s="48"/>
      <c r="E2781" s="48"/>
      <c r="F2781" s="48"/>
      <c r="G2781" s="48"/>
      <c r="H2781" s="48"/>
      <c r="I2781" s="48"/>
      <c r="J2781" s="1">
        <v>42.0</v>
      </c>
    </row>
    <row r="2782" ht="15.75" hidden="1" customHeight="1">
      <c r="A2782" s="47"/>
      <c r="B2782" s="47"/>
      <c r="C2782" s="47"/>
      <c r="D2782" s="47"/>
      <c r="E2782" s="47"/>
      <c r="F2782" s="47"/>
      <c r="G2782" s="47"/>
      <c r="H2782" s="47"/>
      <c r="I2782" s="47"/>
      <c r="J2782" s="1">
        <v>42.0</v>
      </c>
    </row>
    <row r="2783" ht="15.75" hidden="1" customHeight="1">
      <c r="A2783" s="48"/>
      <c r="B2783" s="48"/>
      <c r="C2783" s="48"/>
      <c r="D2783" s="48"/>
      <c r="E2783" s="48"/>
      <c r="F2783" s="48"/>
      <c r="G2783" s="48"/>
      <c r="H2783" s="48"/>
      <c r="I2783" s="48"/>
      <c r="J2783" s="1">
        <v>42.0</v>
      </c>
    </row>
    <row r="2784" ht="15.75" hidden="1" customHeight="1">
      <c r="A2784" s="47"/>
      <c r="B2784" s="47"/>
      <c r="C2784" s="47"/>
      <c r="D2784" s="47"/>
      <c r="E2784" s="47"/>
      <c r="F2784" s="47"/>
      <c r="G2784" s="47"/>
      <c r="H2784" s="47"/>
      <c r="I2784" s="47"/>
      <c r="J2784" s="1">
        <v>42.0</v>
      </c>
    </row>
    <row r="2785" ht="15.75" hidden="1" customHeight="1">
      <c r="A2785" s="48"/>
      <c r="B2785" s="48"/>
      <c r="C2785" s="48"/>
      <c r="D2785" s="48"/>
      <c r="E2785" s="48"/>
      <c r="F2785" s="48"/>
      <c r="G2785" s="48"/>
      <c r="H2785" s="48"/>
      <c r="I2785" s="48"/>
      <c r="J2785" s="1">
        <v>42.0</v>
      </c>
    </row>
    <row r="2786" ht="15.75" hidden="1" customHeight="1">
      <c r="A2786" s="47"/>
      <c r="B2786" s="47"/>
      <c r="C2786" s="47"/>
      <c r="D2786" s="47"/>
      <c r="E2786" s="47"/>
      <c r="F2786" s="47"/>
      <c r="G2786" s="47"/>
      <c r="H2786" s="47"/>
      <c r="I2786" s="47"/>
      <c r="J2786" s="1">
        <v>42.0</v>
      </c>
    </row>
    <row r="2787" ht="15.75" hidden="1" customHeight="1">
      <c r="A2787" s="48"/>
      <c r="B2787" s="48"/>
      <c r="C2787" s="48"/>
      <c r="D2787" s="48"/>
      <c r="E2787" s="48"/>
      <c r="F2787" s="48"/>
      <c r="G2787" s="48"/>
      <c r="H2787" s="48"/>
      <c r="I2787" s="48"/>
      <c r="J2787" s="1">
        <v>42.0</v>
      </c>
    </row>
    <row r="2788" ht="15.75" hidden="1" customHeight="1">
      <c r="A2788" s="47"/>
      <c r="B2788" s="47"/>
      <c r="C2788" s="47"/>
      <c r="D2788" s="47"/>
      <c r="E2788" s="47"/>
      <c r="F2788" s="47"/>
      <c r="G2788" s="47"/>
      <c r="H2788" s="47"/>
      <c r="I2788" s="47"/>
      <c r="J2788" s="1">
        <v>42.0</v>
      </c>
    </row>
    <row r="2789" ht="15.75" hidden="1" customHeight="1">
      <c r="A2789" s="48"/>
      <c r="B2789" s="48"/>
      <c r="C2789" s="48"/>
      <c r="D2789" s="48"/>
      <c r="E2789" s="48"/>
      <c r="F2789" s="48"/>
      <c r="G2789" s="48"/>
      <c r="H2789" s="48"/>
      <c r="I2789" s="48"/>
      <c r="J2789" s="1">
        <v>42.0</v>
      </c>
    </row>
    <row r="2790" ht="15.75" hidden="1" customHeight="1">
      <c r="A2790" s="47"/>
      <c r="B2790" s="47"/>
      <c r="C2790" s="47"/>
      <c r="D2790" s="47"/>
      <c r="E2790" s="47"/>
      <c r="F2790" s="47"/>
      <c r="G2790" s="47"/>
      <c r="H2790" s="47"/>
      <c r="I2790" s="47"/>
      <c r="J2790" s="1">
        <v>42.0</v>
      </c>
    </row>
    <row r="2791" ht="15.75" hidden="1" customHeight="1">
      <c r="A2791" s="48"/>
      <c r="B2791" s="48"/>
      <c r="C2791" s="48"/>
      <c r="D2791" s="48"/>
      <c r="E2791" s="48"/>
      <c r="F2791" s="48"/>
      <c r="G2791" s="48"/>
      <c r="H2791" s="48"/>
      <c r="I2791" s="48"/>
      <c r="J2791" s="1">
        <v>42.0</v>
      </c>
    </row>
    <row r="2792" ht="15.75" hidden="1" customHeight="1">
      <c r="A2792" s="47"/>
      <c r="B2792" s="47"/>
      <c r="C2792" s="47"/>
      <c r="D2792" s="47"/>
      <c r="E2792" s="47"/>
      <c r="F2792" s="47"/>
      <c r="G2792" s="47"/>
      <c r="H2792" s="47"/>
      <c r="I2792" s="47"/>
      <c r="J2792" s="1">
        <v>42.0</v>
      </c>
    </row>
    <row r="2793" ht="15.75" hidden="1" customHeight="1">
      <c r="A2793" s="48"/>
      <c r="B2793" s="48"/>
      <c r="C2793" s="48"/>
      <c r="D2793" s="48"/>
      <c r="E2793" s="48"/>
      <c r="F2793" s="48"/>
      <c r="G2793" s="48"/>
      <c r="H2793" s="48"/>
      <c r="I2793" s="48"/>
      <c r="J2793" s="1">
        <v>42.0</v>
      </c>
    </row>
    <row r="2794" ht="15.75" hidden="1" customHeight="1">
      <c r="A2794" s="47"/>
      <c r="B2794" s="47"/>
      <c r="C2794" s="47"/>
      <c r="D2794" s="47"/>
      <c r="E2794" s="47"/>
      <c r="F2794" s="47"/>
      <c r="G2794" s="47"/>
      <c r="H2794" s="47"/>
      <c r="I2794" s="47"/>
      <c r="J2794" s="1">
        <v>42.0</v>
      </c>
    </row>
    <row r="2795" ht="15.75" hidden="1" customHeight="1">
      <c r="A2795" s="48"/>
      <c r="B2795" s="48"/>
      <c r="C2795" s="48"/>
      <c r="D2795" s="48"/>
      <c r="E2795" s="48"/>
      <c r="F2795" s="48"/>
      <c r="G2795" s="48"/>
      <c r="H2795" s="48"/>
      <c r="I2795" s="48"/>
      <c r="J2795" s="1">
        <v>42.0</v>
      </c>
    </row>
    <row r="2796" ht="15.75" hidden="1" customHeight="1">
      <c r="A2796" s="47"/>
      <c r="B2796" s="47"/>
      <c r="C2796" s="47"/>
      <c r="D2796" s="47"/>
      <c r="E2796" s="47"/>
      <c r="F2796" s="47"/>
      <c r="G2796" s="47"/>
      <c r="H2796" s="47"/>
      <c r="I2796" s="47"/>
      <c r="J2796" s="1">
        <v>42.0</v>
      </c>
    </row>
    <row r="2797" ht="15.75" hidden="1" customHeight="1">
      <c r="A2797" s="48"/>
      <c r="B2797" s="48"/>
      <c r="C2797" s="48"/>
      <c r="D2797" s="48"/>
      <c r="E2797" s="48"/>
      <c r="F2797" s="48"/>
      <c r="G2797" s="48"/>
      <c r="H2797" s="48"/>
      <c r="I2797" s="48"/>
      <c r="J2797" s="1">
        <v>42.0</v>
      </c>
    </row>
    <row r="2798" ht="15.75" hidden="1" customHeight="1">
      <c r="A2798" s="47"/>
      <c r="B2798" s="47"/>
      <c r="C2798" s="47"/>
      <c r="D2798" s="47"/>
      <c r="E2798" s="47"/>
      <c r="F2798" s="47"/>
      <c r="G2798" s="47"/>
      <c r="H2798" s="47"/>
      <c r="I2798" s="47"/>
      <c r="J2798" s="1">
        <v>42.0</v>
      </c>
    </row>
    <row r="2799" ht="15.75" hidden="1" customHeight="1">
      <c r="A2799" s="48"/>
      <c r="B2799" s="48"/>
      <c r="C2799" s="48"/>
      <c r="D2799" s="48"/>
      <c r="E2799" s="48"/>
      <c r="F2799" s="48"/>
      <c r="G2799" s="48"/>
      <c r="H2799" s="48"/>
      <c r="I2799" s="48"/>
      <c r="J2799" s="1">
        <v>42.0</v>
      </c>
    </row>
    <row r="2800" ht="15.75" hidden="1" customHeight="1">
      <c r="A2800" s="47"/>
      <c r="B2800" s="47"/>
      <c r="C2800" s="47"/>
      <c r="D2800" s="47"/>
      <c r="E2800" s="47"/>
      <c r="F2800" s="47"/>
      <c r="G2800" s="47"/>
      <c r="H2800" s="47"/>
      <c r="I2800" s="47"/>
      <c r="J2800" s="1">
        <v>42.0</v>
      </c>
    </row>
    <row r="2801" ht="15.75" hidden="1" customHeight="1">
      <c r="A2801" s="48"/>
      <c r="B2801" s="48"/>
      <c r="C2801" s="48"/>
      <c r="D2801" s="48"/>
      <c r="E2801" s="48"/>
      <c r="F2801" s="48"/>
      <c r="G2801" s="48"/>
      <c r="H2801" s="48"/>
      <c r="I2801" s="48"/>
      <c r="J2801" s="1">
        <v>42.0</v>
      </c>
    </row>
    <row r="2802" ht="15.75" hidden="1" customHeight="1">
      <c r="A2802" s="47"/>
      <c r="B2802" s="47"/>
      <c r="C2802" s="47"/>
      <c r="D2802" s="47"/>
      <c r="E2802" s="47"/>
      <c r="F2802" s="47"/>
      <c r="G2802" s="47"/>
      <c r="H2802" s="47"/>
      <c r="I2802" s="47"/>
      <c r="J2802" s="1">
        <v>42.0</v>
      </c>
    </row>
    <row r="2803" ht="15.75" hidden="1" customHeight="1">
      <c r="A2803" s="48"/>
      <c r="B2803" s="48"/>
      <c r="C2803" s="48"/>
      <c r="D2803" s="48"/>
      <c r="E2803" s="48"/>
      <c r="F2803" s="48"/>
      <c r="G2803" s="48"/>
      <c r="H2803" s="48"/>
      <c r="I2803" s="48"/>
      <c r="J2803" s="1">
        <v>42.0</v>
      </c>
    </row>
    <row r="2804" ht="15.75" hidden="1" customHeight="1">
      <c r="A2804" s="47"/>
      <c r="B2804" s="47"/>
      <c r="C2804" s="47"/>
      <c r="D2804" s="47"/>
      <c r="E2804" s="47"/>
      <c r="F2804" s="47"/>
      <c r="G2804" s="47"/>
      <c r="H2804" s="47"/>
      <c r="I2804" s="47"/>
      <c r="J2804" s="1">
        <v>42.0</v>
      </c>
    </row>
    <row r="2805" ht="15.75" hidden="1" customHeight="1">
      <c r="A2805" s="48"/>
      <c r="B2805" s="48"/>
      <c r="C2805" s="48"/>
      <c r="D2805" s="48"/>
      <c r="E2805" s="48"/>
      <c r="F2805" s="48"/>
      <c r="G2805" s="48"/>
      <c r="H2805" s="48"/>
      <c r="I2805" s="48"/>
      <c r="J2805" s="1">
        <v>42.0</v>
      </c>
    </row>
    <row r="2806" ht="15.75" hidden="1" customHeight="1">
      <c r="A2806" s="47"/>
      <c r="B2806" s="47"/>
      <c r="C2806" s="47"/>
      <c r="D2806" s="47"/>
      <c r="E2806" s="47"/>
      <c r="F2806" s="47"/>
      <c r="G2806" s="47"/>
      <c r="H2806" s="47"/>
      <c r="I2806" s="47"/>
      <c r="J2806" s="1">
        <v>42.0</v>
      </c>
    </row>
    <row r="2807" ht="15.75" hidden="1" customHeight="1">
      <c r="A2807" s="48"/>
      <c r="B2807" s="48"/>
      <c r="C2807" s="48"/>
      <c r="D2807" s="48"/>
      <c r="E2807" s="48"/>
      <c r="F2807" s="48"/>
      <c r="G2807" s="48"/>
      <c r="H2807" s="48"/>
      <c r="I2807" s="48"/>
      <c r="J2807" s="1">
        <v>42.0</v>
      </c>
    </row>
    <row r="2808" ht="15.75" hidden="1" customHeight="1">
      <c r="A2808" s="47"/>
      <c r="B2808" s="47"/>
      <c r="C2808" s="47"/>
      <c r="D2808" s="47"/>
      <c r="E2808" s="47"/>
      <c r="F2808" s="47"/>
      <c r="G2808" s="47"/>
      <c r="H2808" s="47"/>
      <c r="I2808" s="47"/>
      <c r="J2808" s="1">
        <v>42.0</v>
      </c>
    </row>
    <row r="2809" ht="15.75" hidden="1" customHeight="1">
      <c r="A2809" s="48"/>
      <c r="B2809" s="48"/>
      <c r="C2809" s="48"/>
      <c r="D2809" s="48"/>
      <c r="E2809" s="48"/>
      <c r="F2809" s="48"/>
      <c r="G2809" s="48"/>
      <c r="H2809" s="48"/>
      <c r="I2809" s="48"/>
      <c r="J2809" s="1">
        <v>42.0</v>
      </c>
    </row>
    <row r="2810" ht="15.75" hidden="1" customHeight="1">
      <c r="A2810" s="47"/>
      <c r="B2810" s="47"/>
      <c r="C2810" s="47"/>
      <c r="D2810" s="47"/>
      <c r="E2810" s="47"/>
      <c r="F2810" s="47"/>
      <c r="G2810" s="47"/>
      <c r="H2810" s="47"/>
      <c r="I2810" s="47"/>
      <c r="J2810" s="1">
        <v>42.0</v>
      </c>
    </row>
    <row r="2811" ht="15.75" hidden="1" customHeight="1">
      <c r="A2811" s="48"/>
      <c r="B2811" s="48"/>
      <c r="C2811" s="48"/>
      <c r="D2811" s="48"/>
      <c r="E2811" s="48"/>
      <c r="F2811" s="48"/>
      <c r="G2811" s="48"/>
      <c r="H2811" s="48"/>
      <c r="I2811" s="48"/>
      <c r="J2811" s="1">
        <v>42.0</v>
      </c>
    </row>
    <row r="2812" ht="15.75" hidden="1" customHeight="1">
      <c r="A2812" s="47"/>
      <c r="B2812" s="47"/>
      <c r="C2812" s="47"/>
      <c r="D2812" s="47"/>
      <c r="E2812" s="47"/>
      <c r="F2812" s="47"/>
      <c r="G2812" s="47"/>
      <c r="H2812" s="47"/>
      <c r="I2812" s="47"/>
      <c r="J2812" s="1">
        <v>42.0</v>
      </c>
    </row>
    <row r="2813" ht="15.75" hidden="1" customHeight="1">
      <c r="A2813" s="48"/>
      <c r="B2813" s="48"/>
      <c r="C2813" s="48"/>
      <c r="D2813" s="48"/>
      <c r="E2813" s="48"/>
      <c r="F2813" s="48"/>
      <c r="G2813" s="48"/>
      <c r="H2813" s="48"/>
      <c r="I2813" s="48"/>
      <c r="J2813" s="1">
        <v>42.0</v>
      </c>
    </row>
    <row r="2814" ht="15.75" hidden="1" customHeight="1">
      <c r="A2814" s="47"/>
      <c r="B2814" s="47"/>
      <c r="C2814" s="47"/>
      <c r="D2814" s="47"/>
      <c r="E2814" s="47"/>
      <c r="F2814" s="47"/>
      <c r="G2814" s="47"/>
      <c r="H2814" s="47"/>
      <c r="I2814" s="47"/>
      <c r="J2814" s="1">
        <v>42.0</v>
      </c>
    </row>
    <row r="2815" ht="15.75" hidden="1" customHeight="1">
      <c r="A2815" s="48"/>
      <c r="B2815" s="48"/>
      <c r="C2815" s="48"/>
      <c r="D2815" s="48"/>
      <c r="E2815" s="48"/>
      <c r="F2815" s="48"/>
      <c r="G2815" s="48"/>
      <c r="H2815" s="48"/>
      <c r="I2815" s="48"/>
      <c r="J2815" s="1">
        <v>42.0</v>
      </c>
    </row>
    <row r="2816" ht="15.75" hidden="1" customHeight="1">
      <c r="A2816" s="47"/>
      <c r="B2816" s="47"/>
      <c r="C2816" s="47"/>
      <c r="D2816" s="47"/>
      <c r="E2816" s="47"/>
      <c r="F2816" s="47"/>
      <c r="G2816" s="47"/>
      <c r="H2816" s="47"/>
      <c r="I2816" s="47"/>
      <c r="J2816" s="1">
        <v>42.0</v>
      </c>
    </row>
    <row r="2817" ht="15.75" hidden="1" customHeight="1">
      <c r="A2817" s="48"/>
      <c r="B2817" s="48"/>
      <c r="C2817" s="48"/>
      <c r="D2817" s="48"/>
      <c r="E2817" s="48"/>
      <c r="F2817" s="48"/>
      <c r="G2817" s="48"/>
      <c r="H2817" s="48"/>
      <c r="I2817" s="48"/>
      <c r="J2817" s="1">
        <v>42.0</v>
      </c>
    </row>
    <row r="2818" ht="15.75" hidden="1" customHeight="1">
      <c r="A2818" s="47"/>
      <c r="B2818" s="47"/>
      <c r="C2818" s="47"/>
      <c r="D2818" s="47"/>
      <c r="E2818" s="47"/>
      <c r="F2818" s="47"/>
      <c r="G2818" s="47"/>
      <c r="H2818" s="47"/>
      <c r="I2818" s="47"/>
      <c r="J2818" s="1">
        <v>42.0</v>
      </c>
    </row>
    <row r="2819" ht="15.75" hidden="1" customHeight="1">
      <c r="A2819" s="48"/>
      <c r="B2819" s="48"/>
      <c r="C2819" s="48"/>
      <c r="D2819" s="48"/>
      <c r="E2819" s="48"/>
      <c r="F2819" s="48"/>
      <c r="G2819" s="48"/>
      <c r="H2819" s="48"/>
      <c r="I2819" s="48"/>
      <c r="J2819" s="1">
        <v>42.0</v>
      </c>
    </row>
    <row r="2820" ht="15.75" hidden="1" customHeight="1">
      <c r="A2820" s="47"/>
      <c r="B2820" s="47"/>
      <c r="C2820" s="47"/>
      <c r="D2820" s="47"/>
      <c r="E2820" s="47"/>
      <c r="F2820" s="47"/>
      <c r="G2820" s="47"/>
      <c r="H2820" s="47"/>
      <c r="I2820" s="47"/>
      <c r="J2820" s="1">
        <v>42.0</v>
      </c>
    </row>
    <row r="2821" ht="15.75" hidden="1" customHeight="1">
      <c r="A2821" s="48"/>
      <c r="B2821" s="48"/>
      <c r="C2821" s="48"/>
      <c r="D2821" s="48"/>
      <c r="E2821" s="48"/>
      <c r="F2821" s="48"/>
      <c r="G2821" s="48"/>
      <c r="H2821" s="48"/>
      <c r="I2821" s="48"/>
      <c r="J2821" s="1">
        <v>42.0</v>
      </c>
    </row>
    <row r="2822" ht="15.75" hidden="1" customHeight="1">
      <c r="A2822" s="47"/>
      <c r="B2822" s="47"/>
      <c r="C2822" s="47"/>
      <c r="D2822" s="47"/>
      <c r="E2822" s="47"/>
      <c r="F2822" s="47"/>
      <c r="G2822" s="47"/>
      <c r="H2822" s="47"/>
      <c r="I2822" s="47"/>
      <c r="J2822" s="1">
        <v>42.0</v>
      </c>
    </row>
    <row r="2823" ht="15.75" hidden="1" customHeight="1">
      <c r="A2823" s="48"/>
      <c r="B2823" s="48"/>
      <c r="C2823" s="48"/>
      <c r="D2823" s="48"/>
      <c r="E2823" s="48"/>
      <c r="F2823" s="48"/>
      <c r="G2823" s="48"/>
      <c r="H2823" s="48"/>
      <c r="I2823" s="48"/>
      <c r="J2823" s="1">
        <v>42.0</v>
      </c>
    </row>
    <row r="2824" ht="15.75" hidden="1" customHeight="1">
      <c r="A2824" s="47"/>
      <c r="B2824" s="47"/>
      <c r="C2824" s="47"/>
      <c r="D2824" s="47"/>
      <c r="E2824" s="47"/>
      <c r="F2824" s="47"/>
      <c r="G2824" s="47"/>
      <c r="H2824" s="47"/>
      <c r="I2824" s="47"/>
      <c r="J2824" s="1">
        <v>42.0</v>
      </c>
    </row>
    <row r="2825" ht="15.75" hidden="1" customHeight="1">
      <c r="A2825" s="48"/>
      <c r="B2825" s="48"/>
      <c r="C2825" s="48"/>
      <c r="D2825" s="48"/>
      <c r="E2825" s="48"/>
      <c r="F2825" s="48"/>
      <c r="G2825" s="48"/>
      <c r="H2825" s="48"/>
      <c r="I2825" s="48"/>
      <c r="J2825" s="1">
        <v>42.0</v>
      </c>
    </row>
    <row r="2826" ht="15.75" hidden="1" customHeight="1">
      <c r="A2826" s="47"/>
      <c r="B2826" s="47"/>
      <c r="C2826" s="47"/>
      <c r="D2826" s="47"/>
      <c r="E2826" s="47"/>
      <c r="F2826" s="47"/>
      <c r="G2826" s="47"/>
      <c r="H2826" s="47"/>
      <c r="I2826" s="47"/>
      <c r="J2826" s="1">
        <v>42.0</v>
      </c>
    </row>
    <row r="2827" ht="15.75" hidden="1" customHeight="1">
      <c r="A2827" s="48"/>
      <c r="B2827" s="48"/>
      <c r="C2827" s="48"/>
      <c r="D2827" s="48"/>
      <c r="E2827" s="48"/>
      <c r="F2827" s="48"/>
      <c r="G2827" s="48"/>
      <c r="H2827" s="48"/>
      <c r="I2827" s="48"/>
      <c r="J2827" s="1">
        <v>42.0</v>
      </c>
    </row>
    <row r="2828" ht="15.75" hidden="1" customHeight="1">
      <c r="A2828" s="47"/>
      <c r="B2828" s="47"/>
      <c r="C2828" s="47"/>
      <c r="D2828" s="47"/>
      <c r="E2828" s="47"/>
      <c r="F2828" s="47"/>
      <c r="G2828" s="47"/>
      <c r="H2828" s="47"/>
      <c r="I2828" s="47"/>
      <c r="J2828" s="1">
        <v>42.0</v>
      </c>
    </row>
    <row r="2829" ht="15.75" hidden="1" customHeight="1">
      <c r="A2829" s="47"/>
      <c r="B2829" s="47"/>
      <c r="C2829" s="47"/>
      <c r="D2829" s="47"/>
      <c r="E2829" s="47"/>
      <c r="F2829" s="47"/>
      <c r="G2829" s="47"/>
      <c r="H2829" s="47"/>
      <c r="I2829" s="47"/>
      <c r="J2829" s="1">
        <v>42.0</v>
      </c>
    </row>
    <row r="2830" ht="15.75" hidden="1" customHeight="1">
      <c r="A2830" s="47"/>
      <c r="B2830" s="47"/>
      <c r="C2830" s="47"/>
      <c r="D2830" s="47"/>
      <c r="E2830" s="47"/>
      <c r="F2830" s="47"/>
      <c r="G2830" s="47"/>
      <c r="H2830" s="47"/>
      <c r="I2830" s="47"/>
      <c r="J2830" s="1">
        <v>42.0</v>
      </c>
    </row>
    <row r="2831" ht="15.75" hidden="1" customHeight="1">
      <c r="A2831" s="47"/>
      <c r="B2831" s="47"/>
      <c r="C2831" s="47"/>
      <c r="D2831" s="47"/>
      <c r="E2831" s="47"/>
      <c r="F2831" s="47"/>
      <c r="G2831" s="47"/>
      <c r="H2831" s="47"/>
      <c r="I2831" s="47"/>
      <c r="J2831" s="1">
        <v>42.0</v>
      </c>
    </row>
    <row r="2832" ht="15.75" hidden="1" customHeight="1">
      <c r="A2832" s="47"/>
      <c r="B2832" s="47"/>
      <c r="C2832" s="47"/>
      <c r="D2832" s="47"/>
      <c r="E2832" s="47"/>
      <c r="F2832" s="47"/>
      <c r="G2832" s="47"/>
      <c r="H2832" s="47"/>
      <c r="I2832" s="47"/>
      <c r="J2832" s="1">
        <v>42.0</v>
      </c>
    </row>
    <row r="2833" ht="15.75" hidden="1" customHeight="1">
      <c r="A2833" s="47"/>
      <c r="B2833" s="47"/>
      <c r="C2833" s="47"/>
      <c r="D2833" s="47"/>
      <c r="E2833" s="47"/>
      <c r="F2833" s="47"/>
      <c r="G2833" s="47"/>
      <c r="H2833" s="47"/>
      <c r="I2833" s="47"/>
      <c r="J2833" s="1">
        <v>42.0</v>
      </c>
    </row>
    <row r="2834" ht="15.75" hidden="1" customHeight="1">
      <c r="A2834" s="47"/>
      <c r="B2834" s="47"/>
      <c r="C2834" s="47"/>
      <c r="D2834" s="47"/>
      <c r="E2834" s="47"/>
      <c r="F2834" s="47"/>
      <c r="G2834" s="47"/>
      <c r="H2834" s="47"/>
      <c r="I2834" s="47"/>
      <c r="J2834" s="1">
        <v>42.0</v>
      </c>
    </row>
    <row r="2835" ht="15.75" hidden="1" customHeight="1">
      <c r="A2835" s="47"/>
      <c r="B2835" s="47"/>
      <c r="C2835" s="47"/>
      <c r="D2835" s="47"/>
      <c r="E2835" s="47"/>
      <c r="F2835" s="47"/>
      <c r="G2835" s="47"/>
      <c r="H2835" s="47"/>
      <c r="I2835" s="47"/>
      <c r="J2835" s="1">
        <v>42.0</v>
      </c>
    </row>
    <row r="2836" ht="15.75" hidden="1" customHeight="1">
      <c r="A2836" s="47"/>
      <c r="B2836" s="47"/>
      <c r="C2836" s="47"/>
      <c r="D2836" s="47"/>
      <c r="E2836" s="47"/>
      <c r="F2836" s="47"/>
      <c r="G2836" s="47"/>
      <c r="H2836" s="47"/>
      <c r="I2836" s="47"/>
      <c r="J2836" s="1">
        <v>42.0</v>
      </c>
    </row>
    <row r="2837" ht="15.75" hidden="1" customHeight="1">
      <c r="A2837" s="47"/>
      <c r="B2837" s="47"/>
      <c r="C2837" s="47"/>
      <c r="D2837" s="47"/>
      <c r="E2837" s="47"/>
      <c r="F2837" s="47"/>
      <c r="G2837" s="47"/>
      <c r="H2837" s="47"/>
      <c r="I2837" s="47"/>
      <c r="J2837" s="1">
        <v>42.0</v>
      </c>
    </row>
    <row r="2838" ht="15.75" hidden="1" customHeight="1">
      <c r="A2838" s="47"/>
      <c r="B2838" s="47"/>
      <c r="C2838" s="47"/>
      <c r="D2838" s="47"/>
      <c r="E2838" s="47"/>
      <c r="F2838" s="47"/>
      <c r="G2838" s="47"/>
      <c r="H2838" s="47"/>
      <c r="I2838" s="47"/>
      <c r="J2838" s="1">
        <v>42.0</v>
      </c>
    </row>
    <row r="2839" ht="15.75" hidden="1" customHeight="1">
      <c r="A2839" s="47"/>
      <c r="B2839" s="47"/>
      <c r="C2839" s="47"/>
      <c r="D2839" s="47"/>
      <c r="E2839" s="47"/>
      <c r="F2839" s="47"/>
      <c r="G2839" s="47"/>
      <c r="H2839" s="47"/>
      <c r="I2839" s="47"/>
      <c r="J2839" s="1">
        <v>42.0</v>
      </c>
    </row>
    <row r="2840" ht="15.75" hidden="1" customHeight="1">
      <c r="A2840" s="47"/>
      <c r="B2840" s="47"/>
      <c r="C2840" s="47"/>
      <c r="D2840" s="47"/>
      <c r="E2840" s="47"/>
      <c r="F2840" s="47"/>
      <c r="G2840" s="47"/>
      <c r="H2840" s="47"/>
      <c r="I2840" s="47"/>
      <c r="J2840" s="1">
        <v>42.0</v>
      </c>
    </row>
    <row r="2841" ht="15.75" hidden="1" customHeight="1">
      <c r="A2841" s="47"/>
      <c r="B2841" s="47"/>
      <c r="C2841" s="47"/>
      <c r="D2841" s="47"/>
      <c r="E2841" s="47"/>
      <c r="F2841" s="47"/>
      <c r="G2841" s="47"/>
      <c r="H2841" s="47"/>
      <c r="I2841" s="47"/>
      <c r="J2841" s="1">
        <v>42.0</v>
      </c>
    </row>
    <row r="2842" ht="15.75" hidden="1" customHeight="1">
      <c r="A2842" s="47"/>
      <c r="B2842" s="47"/>
      <c r="C2842" s="47"/>
      <c r="D2842" s="47"/>
      <c r="E2842" s="47"/>
      <c r="F2842" s="47"/>
      <c r="G2842" s="47"/>
      <c r="H2842" s="47"/>
      <c r="I2842" s="47"/>
      <c r="J2842" s="1">
        <v>42.0</v>
      </c>
    </row>
    <row r="2843" ht="15.75" hidden="1" customHeight="1">
      <c r="A2843" s="47"/>
      <c r="B2843" s="47"/>
      <c r="C2843" s="47"/>
      <c r="D2843" s="47"/>
      <c r="E2843" s="47"/>
      <c r="F2843" s="47"/>
      <c r="G2843" s="47"/>
      <c r="H2843" s="47"/>
      <c r="I2843" s="47"/>
      <c r="J2843" s="1">
        <v>42.0</v>
      </c>
    </row>
    <row r="2844" ht="15.75" hidden="1" customHeight="1">
      <c r="A2844" s="47"/>
      <c r="B2844" s="47"/>
      <c r="C2844" s="47"/>
      <c r="D2844" s="47"/>
      <c r="E2844" s="47"/>
      <c r="F2844" s="47"/>
      <c r="G2844" s="47"/>
      <c r="H2844" s="47"/>
      <c r="I2844" s="47"/>
      <c r="J2844" s="1">
        <v>42.0</v>
      </c>
    </row>
    <row r="2845" ht="15.75" hidden="1" customHeight="1">
      <c r="A2845" s="47"/>
      <c r="B2845" s="47"/>
      <c r="C2845" s="47"/>
      <c r="D2845" s="47"/>
      <c r="E2845" s="47"/>
      <c r="F2845" s="47"/>
      <c r="G2845" s="47"/>
      <c r="H2845" s="47"/>
      <c r="I2845" s="47"/>
      <c r="J2845" s="1">
        <v>42.0</v>
      </c>
    </row>
    <row r="2846" ht="15.75" hidden="1" customHeight="1">
      <c r="A2846" s="47"/>
      <c r="B2846" s="47"/>
      <c r="C2846" s="47"/>
      <c r="D2846" s="47"/>
      <c r="E2846" s="47"/>
      <c r="F2846" s="47"/>
      <c r="G2846" s="47"/>
      <c r="H2846" s="47"/>
      <c r="I2846" s="47"/>
      <c r="J2846" s="1">
        <v>42.0</v>
      </c>
    </row>
    <row r="2847" ht="15.75" hidden="1" customHeight="1">
      <c r="A2847" s="47"/>
      <c r="B2847" s="47"/>
      <c r="C2847" s="47"/>
      <c r="D2847" s="47"/>
      <c r="E2847" s="47"/>
      <c r="F2847" s="47"/>
      <c r="G2847" s="47"/>
      <c r="H2847" s="47"/>
      <c r="I2847" s="47"/>
      <c r="J2847" s="1">
        <v>42.0</v>
      </c>
    </row>
    <row r="2848" ht="15.75" hidden="1" customHeight="1">
      <c r="A2848" s="47"/>
      <c r="B2848" s="47"/>
      <c r="C2848" s="47"/>
      <c r="D2848" s="47"/>
      <c r="E2848" s="47"/>
      <c r="F2848" s="47"/>
      <c r="G2848" s="47"/>
      <c r="H2848" s="47"/>
      <c r="I2848" s="47"/>
      <c r="J2848" s="1">
        <v>42.0</v>
      </c>
    </row>
    <row r="2849" ht="15.75" hidden="1" customHeight="1">
      <c r="A2849" s="47"/>
      <c r="B2849" s="47"/>
      <c r="C2849" s="47"/>
      <c r="D2849" s="47"/>
      <c r="E2849" s="47"/>
      <c r="F2849" s="47"/>
      <c r="G2849" s="47"/>
      <c r="H2849" s="47"/>
      <c r="I2849" s="47"/>
      <c r="J2849" s="1">
        <v>42.0</v>
      </c>
    </row>
    <row r="2850" ht="15.75" hidden="1" customHeight="1">
      <c r="A2850" s="47"/>
      <c r="B2850" s="47"/>
      <c r="C2850" s="47"/>
      <c r="D2850" s="47"/>
      <c r="E2850" s="47"/>
      <c r="F2850" s="47"/>
      <c r="G2850" s="47"/>
      <c r="H2850" s="47"/>
      <c r="I2850" s="47"/>
      <c r="J2850" s="1">
        <v>42.0</v>
      </c>
    </row>
    <row r="2851" ht="15.75" hidden="1" customHeight="1">
      <c r="A2851" s="47"/>
      <c r="B2851" s="47"/>
      <c r="C2851" s="47"/>
      <c r="D2851" s="47"/>
      <c r="E2851" s="47"/>
      <c r="F2851" s="47"/>
      <c r="G2851" s="47"/>
      <c r="H2851" s="47"/>
      <c r="I2851" s="47"/>
      <c r="J2851" s="1">
        <v>42.0</v>
      </c>
    </row>
    <row r="2852" ht="15.75" hidden="1" customHeight="1">
      <c r="A2852" s="47"/>
      <c r="B2852" s="47"/>
      <c r="C2852" s="47"/>
      <c r="D2852" s="47"/>
      <c r="E2852" s="47"/>
      <c r="F2852" s="47"/>
      <c r="G2852" s="47"/>
      <c r="H2852" s="47"/>
      <c r="I2852" s="47"/>
      <c r="J2852" s="1">
        <v>42.0</v>
      </c>
    </row>
    <row r="2853" ht="15.75" hidden="1" customHeight="1">
      <c r="A2853" s="47"/>
      <c r="B2853" s="47"/>
      <c r="C2853" s="47"/>
      <c r="D2853" s="47"/>
      <c r="E2853" s="47"/>
      <c r="F2853" s="47"/>
      <c r="G2853" s="47"/>
      <c r="H2853" s="47"/>
      <c r="I2853" s="47"/>
      <c r="J2853" s="1">
        <v>42.0</v>
      </c>
    </row>
    <row r="2854" ht="15.75" hidden="1" customHeight="1">
      <c r="A2854" s="47"/>
      <c r="B2854" s="47"/>
      <c r="C2854" s="47"/>
      <c r="D2854" s="47"/>
      <c r="E2854" s="47"/>
      <c r="F2854" s="47"/>
      <c r="G2854" s="47"/>
      <c r="H2854" s="47"/>
      <c r="I2854" s="47"/>
      <c r="J2854" s="1">
        <v>42.0</v>
      </c>
    </row>
    <row r="2855" ht="15.75" hidden="1" customHeight="1">
      <c r="A2855" s="47"/>
      <c r="B2855" s="47"/>
      <c r="C2855" s="47"/>
      <c r="D2855" s="47"/>
      <c r="E2855" s="47"/>
      <c r="F2855" s="47"/>
      <c r="G2855" s="47"/>
      <c r="H2855" s="47"/>
      <c r="I2855" s="47"/>
      <c r="J2855" s="1">
        <v>42.0</v>
      </c>
    </row>
    <row r="2856" ht="15.75" hidden="1" customHeight="1">
      <c r="A2856" s="47"/>
      <c r="B2856" s="47"/>
      <c r="C2856" s="47"/>
      <c r="D2856" s="47"/>
      <c r="E2856" s="47"/>
      <c r="F2856" s="47"/>
      <c r="G2856" s="47"/>
      <c r="H2856" s="47"/>
      <c r="I2856" s="47"/>
      <c r="J2856" s="1">
        <v>42.0</v>
      </c>
    </row>
    <row r="2857" ht="15.75" hidden="1" customHeight="1">
      <c r="A2857" s="47"/>
      <c r="B2857" s="47"/>
      <c r="C2857" s="47"/>
      <c r="D2857" s="47"/>
      <c r="E2857" s="47"/>
      <c r="F2857" s="47"/>
      <c r="G2857" s="47"/>
      <c r="H2857" s="47"/>
      <c r="I2857" s="47"/>
      <c r="J2857" s="1">
        <v>42.0</v>
      </c>
    </row>
    <row r="2858" ht="15.75" hidden="1" customHeight="1">
      <c r="A2858" s="47"/>
      <c r="B2858" s="47"/>
      <c r="C2858" s="47"/>
      <c r="D2858" s="47"/>
      <c r="E2858" s="47"/>
      <c r="F2858" s="47"/>
      <c r="G2858" s="47"/>
      <c r="H2858" s="47"/>
      <c r="I2858" s="47"/>
      <c r="J2858" s="1">
        <v>42.0</v>
      </c>
    </row>
    <row r="2859" ht="15.75" hidden="1" customHeight="1">
      <c r="A2859" s="47"/>
      <c r="B2859" s="47"/>
      <c r="C2859" s="47"/>
      <c r="D2859" s="47"/>
      <c r="E2859" s="47"/>
      <c r="F2859" s="47"/>
      <c r="G2859" s="47"/>
      <c r="H2859" s="47"/>
      <c r="I2859" s="47"/>
      <c r="J2859" s="1">
        <v>42.0</v>
      </c>
    </row>
    <row r="2860" ht="15.75" hidden="1" customHeight="1">
      <c r="A2860" s="47"/>
      <c r="B2860" s="47"/>
      <c r="C2860" s="47"/>
      <c r="D2860" s="47"/>
      <c r="E2860" s="47"/>
      <c r="F2860" s="47"/>
      <c r="G2860" s="47"/>
      <c r="H2860" s="47"/>
      <c r="I2860" s="47"/>
      <c r="J2860" s="1">
        <v>42.0</v>
      </c>
    </row>
    <row r="2861" ht="15.75" hidden="1" customHeight="1">
      <c r="A2861" s="47"/>
      <c r="B2861" s="47"/>
      <c r="C2861" s="47"/>
      <c r="D2861" s="47"/>
      <c r="E2861" s="47"/>
      <c r="F2861" s="47"/>
      <c r="G2861" s="47"/>
      <c r="H2861" s="47"/>
      <c r="I2861" s="47"/>
      <c r="J2861" s="1">
        <v>42.0</v>
      </c>
    </row>
    <row r="2862" ht="15.75" hidden="1" customHeight="1">
      <c r="A2862" s="47"/>
      <c r="B2862" s="47"/>
      <c r="C2862" s="47"/>
      <c r="D2862" s="47"/>
      <c r="E2862" s="47"/>
      <c r="F2862" s="47"/>
      <c r="G2862" s="47"/>
      <c r="H2862" s="47"/>
      <c r="I2862" s="47"/>
      <c r="J2862" s="1">
        <v>42.0</v>
      </c>
    </row>
    <row r="2863" ht="15.75" hidden="1" customHeight="1">
      <c r="A2863" s="47"/>
      <c r="B2863" s="47"/>
      <c r="C2863" s="47"/>
      <c r="D2863" s="47"/>
      <c r="E2863" s="47"/>
      <c r="F2863" s="47"/>
      <c r="G2863" s="47"/>
      <c r="H2863" s="47"/>
      <c r="I2863" s="47"/>
      <c r="J2863" s="1">
        <v>42.0</v>
      </c>
    </row>
    <row r="2864" ht="15.75" hidden="1" customHeight="1">
      <c r="A2864" s="47"/>
      <c r="B2864" s="47"/>
      <c r="C2864" s="47"/>
      <c r="D2864" s="47"/>
      <c r="E2864" s="47"/>
      <c r="F2864" s="47"/>
      <c r="G2864" s="47"/>
      <c r="H2864" s="47"/>
      <c r="I2864" s="47"/>
      <c r="J2864" s="1">
        <v>42.0</v>
      </c>
    </row>
    <row r="2865" ht="15.75" hidden="1" customHeight="1">
      <c r="A2865" s="47"/>
      <c r="B2865" s="47"/>
      <c r="C2865" s="47"/>
      <c r="D2865" s="47"/>
      <c r="E2865" s="47"/>
      <c r="F2865" s="47"/>
      <c r="G2865" s="47"/>
      <c r="H2865" s="47"/>
      <c r="I2865" s="47"/>
      <c r="J2865" s="1">
        <v>42.0</v>
      </c>
    </row>
    <row r="2866" ht="15.75" hidden="1" customHeight="1">
      <c r="A2866" s="47"/>
      <c r="B2866" s="47"/>
      <c r="C2866" s="47"/>
      <c r="D2866" s="47"/>
      <c r="E2866" s="47"/>
      <c r="F2866" s="47"/>
      <c r="G2866" s="47"/>
      <c r="H2866" s="47"/>
      <c r="I2866" s="47"/>
      <c r="J2866" s="1">
        <v>42.0</v>
      </c>
    </row>
    <row r="2867" ht="15.75" hidden="1" customHeight="1">
      <c r="A2867" s="47"/>
      <c r="B2867" s="47"/>
      <c r="C2867" s="47"/>
      <c r="D2867" s="47"/>
      <c r="E2867" s="47"/>
      <c r="F2867" s="47"/>
      <c r="G2867" s="47"/>
      <c r="H2867" s="47"/>
      <c r="I2867" s="47"/>
      <c r="J2867" s="1">
        <v>42.0</v>
      </c>
    </row>
    <row r="2868" ht="15.75" hidden="1" customHeight="1">
      <c r="A2868" s="47"/>
      <c r="B2868" s="47"/>
      <c r="C2868" s="47"/>
      <c r="D2868" s="47"/>
      <c r="E2868" s="47"/>
      <c r="F2868" s="47"/>
      <c r="G2868" s="47"/>
      <c r="H2868" s="47"/>
      <c r="I2868" s="47"/>
      <c r="J2868" s="1">
        <v>42.0</v>
      </c>
    </row>
    <row r="2869" ht="15.75" hidden="1" customHeight="1">
      <c r="A2869" s="47"/>
      <c r="B2869" s="47"/>
      <c r="C2869" s="47"/>
      <c r="D2869" s="47"/>
      <c r="E2869" s="47"/>
      <c r="F2869" s="47"/>
      <c r="G2869" s="47"/>
      <c r="H2869" s="47"/>
      <c r="I2869" s="47"/>
      <c r="J2869" s="1">
        <v>42.0</v>
      </c>
    </row>
    <row r="2870" ht="15.75" hidden="1" customHeight="1">
      <c r="A2870" s="47"/>
      <c r="B2870" s="47"/>
      <c r="C2870" s="47"/>
      <c r="D2870" s="47"/>
      <c r="E2870" s="47"/>
      <c r="F2870" s="47"/>
      <c r="G2870" s="47"/>
      <c r="H2870" s="47"/>
      <c r="I2870" s="47"/>
      <c r="J2870" s="1">
        <v>42.0</v>
      </c>
    </row>
    <row r="2871" ht="15.75" hidden="1" customHeight="1">
      <c r="A2871" s="47"/>
      <c r="B2871" s="47"/>
      <c r="C2871" s="47"/>
      <c r="D2871" s="47"/>
      <c r="E2871" s="47"/>
      <c r="F2871" s="47"/>
      <c r="G2871" s="47"/>
      <c r="H2871" s="47"/>
      <c r="I2871" s="47"/>
      <c r="J2871" s="1">
        <v>42.0</v>
      </c>
    </row>
    <row r="2872" ht="15.75" hidden="1" customHeight="1">
      <c r="A2872" s="47"/>
      <c r="B2872" s="47"/>
      <c r="C2872" s="47"/>
      <c r="D2872" s="47"/>
      <c r="E2872" s="47"/>
      <c r="F2872" s="47"/>
      <c r="G2872" s="47"/>
      <c r="H2872" s="47"/>
      <c r="I2872" s="47"/>
      <c r="J2872" s="1">
        <v>42.0</v>
      </c>
    </row>
    <row r="2873" ht="15.75" hidden="1" customHeight="1">
      <c r="A2873" s="47"/>
      <c r="B2873" s="47"/>
      <c r="C2873" s="47"/>
      <c r="D2873" s="47"/>
      <c r="E2873" s="47"/>
      <c r="F2873" s="47"/>
      <c r="G2873" s="47"/>
      <c r="H2873" s="47"/>
      <c r="I2873" s="47"/>
      <c r="J2873" s="1">
        <v>42.0</v>
      </c>
    </row>
    <row r="2874" ht="15.75" hidden="1" customHeight="1">
      <c r="A2874" s="47"/>
      <c r="B2874" s="47"/>
      <c r="C2874" s="47"/>
      <c r="D2874" s="47"/>
      <c r="E2874" s="47"/>
      <c r="F2874" s="47"/>
      <c r="G2874" s="47"/>
      <c r="H2874" s="47"/>
      <c r="I2874" s="47"/>
      <c r="J2874" s="1">
        <v>42.0</v>
      </c>
    </row>
    <row r="2875" ht="15.75" hidden="1" customHeight="1">
      <c r="A2875" s="47"/>
      <c r="B2875" s="47"/>
      <c r="C2875" s="47"/>
      <c r="D2875" s="47"/>
      <c r="E2875" s="47"/>
      <c r="F2875" s="47"/>
      <c r="G2875" s="47"/>
      <c r="H2875" s="47"/>
      <c r="I2875" s="47"/>
      <c r="J2875" s="1">
        <v>42.0</v>
      </c>
    </row>
    <row r="2876" ht="15.75" hidden="1" customHeight="1">
      <c r="A2876" s="47"/>
      <c r="B2876" s="47"/>
      <c r="C2876" s="47"/>
      <c r="D2876" s="47"/>
      <c r="E2876" s="47"/>
      <c r="F2876" s="47"/>
      <c r="G2876" s="47"/>
      <c r="H2876" s="47"/>
      <c r="I2876" s="47"/>
      <c r="J2876" s="1">
        <v>42.0</v>
      </c>
    </row>
    <row r="2877" ht="15.75" hidden="1" customHeight="1">
      <c r="A2877" s="47"/>
      <c r="B2877" s="47"/>
      <c r="C2877" s="47"/>
      <c r="D2877" s="47"/>
      <c r="E2877" s="47"/>
      <c r="F2877" s="47"/>
      <c r="G2877" s="47"/>
      <c r="H2877" s="47"/>
      <c r="I2877" s="47"/>
      <c r="J2877" s="1">
        <v>42.0</v>
      </c>
    </row>
    <row r="2878" ht="15.75" hidden="1" customHeight="1">
      <c r="A2878" s="47"/>
      <c r="B2878" s="47"/>
      <c r="C2878" s="47"/>
      <c r="D2878" s="47"/>
      <c r="E2878" s="47"/>
      <c r="F2878" s="47"/>
      <c r="G2878" s="47"/>
      <c r="H2878" s="47"/>
      <c r="I2878" s="47"/>
      <c r="J2878" s="1">
        <v>42.0</v>
      </c>
    </row>
    <row r="2879" ht="15.75" hidden="1" customHeight="1">
      <c r="A2879" s="47"/>
      <c r="B2879" s="47"/>
      <c r="C2879" s="47"/>
      <c r="D2879" s="47"/>
      <c r="E2879" s="47"/>
      <c r="F2879" s="47"/>
      <c r="G2879" s="47"/>
      <c r="H2879" s="47"/>
      <c r="I2879" s="47"/>
      <c r="J2879" s="1">
        <v>42.0</v>
      </c>
    </row>
    <row r="2880" ht="15.75" hidden="1" customHeight="1">
      <c r="A2880" s="47"/>
      <c r="B2880" s="47"/>
      <c r="C2880" s="47"/>
      <c r="D2880" s="47"/>
      <c r="E2880" s="47"/>
      <c r="F2880" s="47"/>
      <c r="G2880" s="47"/>
      <c r="H2880" s="47"/>
      <c r="I2880" s="47"/>
      <c r="J2880" s="1">
        <v>42.0</v>
      </c>
    </row>
    <row r="2881" ht="15.75" hidden="1" customHeight="1">
      <c r="A2881" s="47"/>
      <c r="B2881" s="47"/>
      <c r="C2881" s="47"/>
      <c r="D2881" s="47"/>
      <c r="E2881" s="47"/>
      <c r="F2881" s="47"/>
      <c r="G2881" s="47"/>
      <c r="H2881" s="47"/>
      <c r="I2881" s="47"/>
      <c r="J2881" s="1">
        <v>42.0</v>
      </c>
    </row>
    <row r="2882" ht="15.75" hidden="1" customHeight="1">
      <c r="A2882" s="47"/>
      <c r="B2882" s="47"/>
      <c r="C2882" s="47"/>
      <c r="D2882" s="47"/>
      <c r="E2882" s="47"/>
      <c r="F2882" s="47"/>
      <c r="G2882" s="47"/>
      <c r="H2882" s="47"/>
      <c r="I2882" s="47"/>
      <c r="J2882" s="1">
        <v>42.0</v>
      </c>
    </row>
    <row r="2883" ht="15.75" hidden="1" customHeight="1">
      <c r="A2883" s="47"/>
      <c r="B2883" s="47"/>
      <c r="C2883" s="47"/>
      <c r="D2883" s="47"/>
      <c r="E2883" s="47"/>
      <c r="F2883" s="47"/>
      <c r="G2883" s="47"/>
      <c r="H2883" s="47"/>
      <c r="I2883" s="47"/>
      <c r="J2883" s="1">
        <v>42.0</v>
      </c>
    </row>
    <row r="2884" ht="15.75" hidden="1" customHeight="1">
      <c r="A2884" s="47"/>
      <c r="B2884" s="47"/>
      <c r="C2884" s="47"/>
      <c r="D2884" s="47"/>
      <c r="E2884" s="47"/>
      <c r="F2884" s="47"/>
      <c r="G2884" s="47"/>
      <c r="H2884" s="47"/>
      <c r="I2884" s="47"/>
      <c r="J2884" s="1">
        <v>42.0</v>
      </c>
    </row>
    <row r="2885" ht="15.75" hidden="1" customHeight="1">
      <c r="A2885" s="47"/>
      <c r="B2885" s="47"/>
      <c r="C2885" s="47"/>
      <c r="D2885" s="47"/>
      <c r="E2885" s="47"/>
      <c r="F2885" s="47"/>
      <c r="G2885" s="47"/>
      <c r="H2885" s="47"/>
      <c r="I2885" s="47"/>
      <c r="J2885" s="1">
        <v>42.0</v>
      </c>
    </row>
    <row r="2886" ht="15.75" hidden="1" customHeight="1">
      <c r="A2886" s="47"/>
      <c r="B2886" s="47"/>
      <c r="C2886" s="47"/>
      <c r="D2886" s="47"/>
      <c r="E2886" s="47"/>
      <c r="F2886" s="47"/>
      <c r="G2886" s="47"/>
      <c r="H2886" s="47"/>
      <c r="I2886" s="47"/>
      <c r="J2886" s="1">
        <v>42.0</v>
      </c>
    </row>
    <row r="2887" ht="15.75" hidden="1" customHeight="1">
      <c r="A2887" s="47"/>
      <c r="B2887" s="47"/>
      <c r="C2887" s="47"/>
      <c r="D2887" s="47"/>
      <c r="E2887" s="47"/>
      <c r="F2887" s="47"/>
      <c r="G2887" s="47"/>
      <c r="H2887" s="47"/>
      <c r="I2887" s="47"/>
      <c r="J2887" s="1">
        <v>42.0</v>
      </c>
    </row>
    <row r="2888" ht="15.75" hidden="1" customHeight="1">
      <c r="A2888" s="47"/>
      <c r="B2888" s="47"/>
      <c r="C2888" s="47"/>
      <c r="D2888" s="47"/>
      <c r="E2888" s="47"/>
      <c r="F2888" s="47"/>
      <c r="G2888" s="47"/>
      <c r="H2888" s="47"/>
      <c r="I2888" s="47"/>
      <c r="J2888" s="1">
        <v>42.0</v>
      </c>
    </row>
    <row r="2889" ht="15.75" hidden="1" customHeight="1">
      <c r="A2889" s="47"/>
      <c r="B2889" s="47"/>
      <c r="C2889" s="47"/>
      <c r="D2889" s="47"/>
      <c r="E2889" s="47"/>
      <c r="F2889" s="47"/>
      <c r="G2889" s="47"/>
      <c r="H2889" s="47"/>
      <c r="I2889" s="47"/>
      <c r="J2889" s="1">
        <v>42.0</v>
      </c>
    </row>
    <row r="2890" ht="15.75" hidden="1" customHeight="1">
      <c r="A2890" s="47"/>
      <c r="B2890" s="47"/>
      <c r="C2890" s="47"/>
      <c r="D2890" s="47"/>
      <c r="E2890" s="47"/>
      <c r="F2890" s="47"/>
      <c r="G2890" s="47"/>
      <c r="H2890" s="47"/>
      <c r="I2890" s="47"/>
      <c r="J2890" s="1">
        <v>42.0</v>
      </c>
    </row>
    <row r="2891" ht="15.75" hidden="1" customHeight="1">
      <c r="A2891" s="47"/>
      <c r="B2891" s="47"/>
      <c r="C2891" s="47"/>
      <c r="D2891" s="47"/>
      <c r="E2891" s="47"/>
      <c r="F2891" s="47"/>
      <c r="G2891" s="47"/>
      <c r="H2891" s="47"/>
      <c r="I2891" s="47"/>
      <c r="J2891" s="1">
        <v>42.0</v>
      </c>
    </row>
    <row r="2892" ht="15.75" hidden="1" customHeight="1">
      <c r="A2892" s="47"/>
      <c r="B2892" s="47"/>
      <c r="C2892" s="47"/>
      <c r="D2892" s="47"/>
      <c r="E2892" s="47"/>
      <c r="F2892" s="47"/>
      <c r="G2892" s="47"/>
      <c r="H2892" s="47"/>
      <c r="I2892" s="47"/>
      <c r="J2892" s="1">
        <v>42.0</v>
      </c>
    </row>
    <row r="2893" ht="15.75" hidden="1" customHeight="1">
      <c r="A2893" s="47"/>
      <c r="B2893" s="47"/>
      <c r="C2893" s="47"/>
      <c r="D2893" s="47"/>
      <c r="E2893" s="47"/>
      <c r="F2893" s="47"/>
      <c r="G2893" s="47"/>
      <c r="H2893" s="47"/>
      <c r="I2893" s="47"/>
      <c r="J2893" s="1">
        <v>42.0</v>
      </c>
    </row>
    <row r="2894" ht="15.75" hidden="1" customHeight="1">
      <c r="A2894" s="47"/>
      <c r="B2894" s="47"/>
      <c r="C2894" s="47"/>
      <c r="D2894" s="47"/>
      <c r="E2894" s="47"/>
      <c r="F2894" s="47"/>
      <c r="G2894" s="47"/>
      <c r="H2894" s="47"/>
      <c r="I2894" s="47"/>
      <c r="J2894" s="1">
        <v>42.0</v>
      </c>
    </row>
    <row r="2895" ht="15.75" hidden="1" customHeight="1">
      <c r="A2895" s="47"/>
      <c r="B2895" s="47"/>
      <c r="C2895" s="47"/>
      <c r="D2895" s="47"/>
      <c r="E2895" s="47"/>
      <c r="F2895" s="47"/>
      <c r="G2895" s="47"/>
      <c r="H2895" s="47"/>
      <c r="I2895" s="47"/>
      <c r="J2895" s="1">
        <v>42.0</v>
      </c>
    </row>
    <row r="2896" ht="15.75" hidden="1" customHeight="1">
      <c r="A2896" s="47"/>
      <c r="B2896" s="47"/>
      <c r="C2896" s="47"/>
      <c r="D2896" s="47"/>
      <c r="E2896" s="47"/>
      <c r="F2896" s="47"/>
      <c r="G2896" s="47"/>
      <c r="H2896" s="47"/>
      <c r="I2896" s="47"/>
      <c r="J2896" s="1">
        <v>42.0</v>
      </c>
    </row>
    <row r="2897" ht="15.75" hidden="1" customHeight="1">
      <c r="A2897" s="47"/>
      <c r="B2897" s="47"/>
      <c r="C2897" s="47"/>
      <c r="D2897" s="47"/>
      <c r="E2897" s="47"/>
      <c r="F2897" s="47"/>
      <c r="G2897" s="47"/>
      <c r="H2897" s="47"/>
      <c r="I2897" s="47"/>
      <c r="J2897" s="1">
        <v>42.0</v>
      </c>
    </row>
    <row r="2898" ht="15.75" hidden="1" customHeight="1">
      <c r="A2898" s="47"/>
      <c r="B2898" s="47"/>
      <c r="C2898" s="47"/>
      <c r="D2898" s="47"/>
      <c r="E2898" s="47"/>
      <c r="F2898" s="47"/>
      <c r="G2898" s="47"/>
      <c r="H2898" s="47"/>
      <c r="I2898" s="47"/>
      <c r="J2898" s="1">
        <v>42.0</v>
      </c>
    </row>
    <row r="2899" ht="15.75" hidden="1" customHeight="1">
      <c r="A2899" s="47"/>
      <c r="B2899" s="47"/>
      <c r="C2899" s="47"/>
      <c r="D2899" s="47"/>
      <c r="E2899" s="47"/>
      <c r="F2899" s="47"/>
      <c r="G2899" s="47"/>
      <c r="H2899" s="47"/>
      <c r="I2899" s="47"/>
      <c r="J2899" s="1">
        <v>42.0</v>
      </c>
    </row>
    <row r="2900" ht="15.75" hidden="1" customHeight="1">
      <c r="A2900" s="47"/>
      <c r="B2900" s="47"/>
      <c r="C2900" s="47"/>
      <c r="D2900" s="47"/>
      <c r="E2900" s="47"/>
      <c r="F2900" s="47"/>
      <c r="G2900" s="47"/>
      <c r="H2900" s="47"/>
      <c r="I2900" s="47"/>
      <c r="J2900" s="1">
        <v>42.0</v>
      </c>
    </row>
    <row r="2901" ht="15.75" hidden="1" customHeight="1">
      <c r="A2901" s="47"/>
      <c r="B2901" s="47"/>
      <c r="C2901" s="47"/>
      <c r="D2901" s="47"/>
      <c r="E2901" s="47"/>
      <c r="F2901" s="47"/>
      <c r="G2901" s="47"/>
      <c r="H2901" s="47"/>
      <c r="I2901" s="47"/>
      <c r="J2901" s="1">
        <v>42.0</v>
      </c>
    </row>
    <row r="2902" ht="15.75" hidden="1" customHeight="1">
      <c r="A2902" s="47"/>
      <c r="B2902" s="47"/>
      <c r="C2902" s="47"/>
      <c r="D2902" s="47"/>
      <c r="E2902" s="47"/>
      <c r="F2902" s="47"/>
      <c r="G2902" s="47"/>
      <c r="H2902" s="47"/>
      <c r="I2902" s="47"/>
      <c r="J2902" s="1">
        <v>42.0</v>
      </c>
    </row>
    <row r="2903" ht="15.75" hidden="1" customHeight="1">
      <c r="A2903" s="47"/>
      <c r="B2903" s="47"/>
      <c r="C2903" s="47"/>
      <c r="D2903" s="47"/>
      <c r="E2903" s="47"/>
      <c r="F2903" s="47"/>
      <c r="G2903" s="47"/>
      <c r="H2903" s="47"/>
      <c r="I2903" s="47"/>
      <c r="J2903" s="1">
        <v>42.0</v>
      </c>
    </row>
    <row r="2904" ht="15.75" hidden="1" customHeight="1">
      <c r="A2904" s="47"/>
      <c r="B2904" s="47"/>
      <c r="C2904" s="47"/>
      <c r="D2904" s="47"/>
      <c r="E2904" s="47"/>
      <c r="F2904" s="47"/>
      <c r="G2904" s="47"/>
      <c r="H2904" s="47"/>
      <c r="I2904" s="47"/>
      <c r="J2904" s="1">
        <v>42.0</v>
      </c>
    </row>
    <row r="2905" ht="15.75" hidden="1" customHeight="1">
      <c r="A2905" s="47"/>
      <c r="B2905" s="47"/>
      <c r="C2905" s="47"/>
      <c r="D2905" s="47"/>
      <c r="E2905" s="47"/>
      <c r="F2905" s="47"/>
      <c r="G2905" s="47"/>
      <c r="H2905" s="47"/>
      <c r="I2905" s="47"/>
      <c r="J2905" s="1">
        <v>42.0</v>
      </c>
    </row>
    <row r="2906" ht="15.75" hidden="1" customHeight="1">
      <c r="A2906" s="47"/>
      <c r="B2906" s="47"/>
      <c r="C2906" s="47"/>
      <c r="D2906" s="47"/>
      <c r="E2906" s="47"/>
      <c r="F2906" s="47"/>
      <c r="G2906" s="47"/>
      <c r="H2906" s="47"/>
      <c r="I2906" s="47"/>
      <c r="J2906" s="1">
        <v>42.0</v>
      </c>
    </row>
    <row r="2907" ht="15.75" hidden="1" customHeight="1">
      <c r="A2907" s="47"/>
      <c r="B2907" s="47"/>
      <c r="C2907" s="47"/>
      <c r="D2907" s="47"/>
      <c r="E2907" s="47"/>
      <c r="F2907" s="47"/>
      <c r="G2907" s="47"/>
      <c r="H2907" s="47"/>
      <c r="I2907" s="47"/>
      <c r="J2907" s="1">
        <v>42.0</v>
      </c>
    </row>
    <row r="2908" ht="15.75" hidden="1" customHeight="1">
      <c r="A2908" s="47"/>
      <c r="B2908" s="47"/>
      <c r="C2908" s="47"/>
      <c r="D2908" s="47"/>
      <c r="E2908" s="47"/>
      <c r="F2908" s="47"/>
      <c r="G2908" s="47"/>
      <c r="H2908" s="47"/>
      <c r="I2908" s="47"/>
      <c r="J2908" s="1">
        <v>42.0</v>
      </c>
    </row>
    <row r="2909" ht="15.75" hidden="1" customHeight="1">
      <c r="A2909" s="47"/>
      <c r="B2909" s="47"/>
      <c r="C2909" s="47"/>
      <c r="D2909" s="47"/>
      <c r="E2909" s="47"/>
      <c r="F2909" s="47"/>
      <c r="G2909" s="47"/>
      <c r="H2909" s="47"/>
      <c r="I2909" s="47"/>
      <c r="J2909" s="1">
        <v>42.0</v>
      </c>
    </row>
    <row r="2910" ht="15.75" hidden="1" customHeight="1">
      <c r="A2910" s="47"/>
      <c r="B2910" s="47"/>
      <c r="C2910" s="47"/>
      <c r="D2910" s="47"/>
      <c r="E2910" s="47"/>
      <c r="F2910" s="47"/>
      <c r="G2910" s="47"/>
      <c r="H2910" s="47"/>
      <c r="I2910" s="47"/>
      <c r="J2910" s="1">
        <v>42.0</v>
      </c>
    </row>
    <row r="2911" ht="15.75" hidden="1" customHeight="1">
      <c r="A2911" s="47"/>
      <c r="B2911" s="47"/>
      <c r="C2911" s="47"/>
      <c r="D2911" s="47"/>
      <c r="E2911" s="47"/>
      <c r="F2911" s="47"/>
      <c r="G2911" s="47"/>
      <c r="H2911" s="47"/>
      <c r="I2911" s="47"/>
      <c r="J2911" s="1">
        <v>42.0</v>
      </c>
    </row>
    <row r="2912" ht="15.75" hidden="1" customHeight="1">
      <c r="A2912" s="47"/>
      <c r="B2912" s="47"/>
      <c r="C2912" s="47"/>
      <c r="D2912" s="47"/>
      <c r="E2912" s="47"/>
      <c r="F2912" s="47"/>
      <c r="G2912" s="47"/>
      <c r="H2912" s="47"/>
      <c r="I2912" s="47"/>
      <c r="J2912" s="1">
        <v>42.0</v>
      </c>
    </row>
    <row r="2913" ht="15.75" hidden="1" customHeight="1">
      <c r="A2913" s="47"/>
      <c r="B2913" s="47"/>
      <c r="C2913" s="47"/>
      <c r="D2913" s="47"/>
      <c r="E2913" s="47"/>
      <c r="F2913" s="47"/>
      <c r="G2913" s="47"/>
      <c r="H2913" s="47"/>
      <c r="I2913" s="47"/>
      <c r="J2913" s="1">
        <v>42.0</v>
      </c>
    </row>
    <row r="2914" ht="15.75" hidden="1" customHeight="1">
      <c r="A2914" s="47"/>
      <c r="B2914" s="47"/>
      <c r="C2914" s="47"/>
      <c r="D2914" s="47"/>
      <c r="E2914" s="47"/>
      <c r="F2914" s="47"/>
      <c r="G2914" s="47"/>
      <c r="H2914" s="47"/>
      <c r="I2914" s="47"/>
      <c r="J2914" s="1">
        <v>42.0</v>
      </c>
    </row>
    <row r="2915" ht="15.75" hidden="1" customHeight="1">
      <c r="A2915" s="47"/>
      <c r="B2915" s="47"/>
      <c r="C2915" s="47"/>
      <c r="D2915" s="47"/>
      <c r="E2915" s="47"/>
      <c r="F2915" s="47"/>
      <c r="G2915" s="47"/>
      <c r="H2915" s="47"/>
      <c r="I2915" s="47"/>
      <c r="J2915" s="1">
        <v>42.0</v>
      </c>
    </row>
    <row r="2916" ht="15.75" hidden="1" customHeight="1">
      <c r="A2916" s="47"/>
      <c r="B2916" s="47"/>
      <c r="C2916" s="47"/>
      <c r="D2916" s="47"/>
      <c r="E2916" s="47"/>
      <c r="F2916" s="47"/>
      <c r="G2916" s="47"/>
      <c r="H2916" s="47"/>
      <c r="I2916" s="47"/>
      <c r="J2916" s="1">
        <v>42.0</v>
      </c>
    </row>
    <row r="2917" ht="15.75" hidden="1" customHeight="1">
      <c r="A2917" s="47"/>
      <c r="B2917" s="47"/>
      <c r="C2917" s="47"/>
      <c r="D2917" s="47"/>
      <c r="E2917" s="47"/>
      <c r="F2917" s="47"/>
      <c r="G2917" s="47"/>
      <c r="H2917" s="47"/>
      <c r="I2917" s="47"/>
      <c r="J2917" s="1">
        <v>42.0</v>
      </c>
    </row>
    <row r="2918" ht="15.75" hidden="1" customHeight="1">
      <c r="A2918" s="47"/>
      <c r="B2918" s="47"/>
      <c r="C2918" s="47"/>
      <c r="D2918" s="47"/>
      <c r="E2918" s="47"/>
      <c r="F2918" s="47"/>
      <c r="G2918" s="47"/>
      <c r="H2918" s="47"/>
      <c r="I2918" s="47"/>
      <c r="J2918" s="1">
        <v>42.0</v>
      </c>
    </row>
    <row r="2919" ht="15.75" hidden="1" customHeight="1">
      <c r="A2919" s="47"/>
      <c r="B2919" s="47"/>
      <c r="C2919" s="47"/>
      <c r="D2919" s="47"/>
      <c r="E2919" s="47"/>
      <c r="F2919" s="47"/>
      <c r="G2919" s="47"/>
      <c r="H2919" s="47"/>
      <c r="I2919" s="47"/>
      <c r="J2919" s="1">
        <v>42.0</v>
      </c>
    </row>
    <row r="2920" ht="15.75" hidden="1" customHeight="1">
      <c r="A2920" s="47"/>
      <c r="B2920" s="47"/>
      <c r="C2920" s="47"/>
      <c r="D2920" s="47"/>
      <c r="E2920" s="47"/>
      <c r="F2920" s="47"/>
      <c r="G2920" s="47"/>
      <c r="H2920" s="47"/>
      <c r="I2920" s="47"/>
      <c r="J2920" s="1">
        <v>42.0</v>
      </c>
    </row>
    <row r="2921" ht="15.75" hidden="1" customHeight="1">
      <c r="A2921" s="47"/>
      <c r="B2921" s="47"/>
      <c r="C2921" s="47"/>
      <c r="D2921" s="47"/>
      <c r="E2921" s="47"/>
      <c r="F2921" s="47"/>
      <c r="G2921" s="47"/>
      <c r="H2921" s="47"/>
      <c r="I2921" s="47"/>
      <c r="J2921" s="1">
        <v>42.0</v>
      </c>
    </row>
    <row r="2922" ht="15.75" hidden="1" customHeight="1">
      <c r="A2922" s="47"/>
      <c r="B2922" s="47"/>
      <c r="C2922" s="47"/>
      <c r="D2922" s="47"/>
      <c r="E2922" s="47"/>
      <c r="F2922" s="47"/>
      <c r="G2922" s="47"/>
      <c r="H2922" s="47"/>
      <c r="I2922" s="47"/>
      <c r="J2922" s="1">
        <v>42.0</v>
      </c>
    </row>
    <row r="2923" ht="15.75" hidden="1" customHeight="1">
      <c r="A2923" s="47"/>
      <c r="B2923" s="47"/>
      <c r="C2923" s="47"/>
      <c r="D2923" s="47"/>
      <c r="E2923" s="47"/>
      <c r="F2923" s="47"/>
      <c r="G2923" s="47"/>
      <c r="H2923" s="47"/>
      <c r="I2923" s="47"/>
      <c r="J2923" s="1">
        <v>42.0</v>
      </c>
    </row>
    <row r="2924" ht="15.75" hidden="1" customHeight="1">
      <c r="A2924" s="47"/>
      <c r="B2924" s="47"/>
      <c r="C2924" s="47"/>
      <c r="D2924" s="47"/>
      <c r="E2924" s="47"/>
      <c r="F2924" s="47"/>
      <c r="G2924" s="47"/>
      <c r="H2924" s="47"/>
      <c r="I2924" s="47"/>
      <c r="J2924" s="1">
        <v>42.0</v>
      </c>
    </row>
    <row r="2925" ht="15.75" hidden="1" customHeight="1">
      <c r="A2925" s="47"/>
      <c r="B2925" s="47"/>
      <c r="C2925" s="47"/>
      <c r="D2925" s="47"/>
      <c r="E2925" s="47"/>
      <c r="F2925" s="47"/>
      <c r="G2925" s="47"/>
      <c r="H2925" s="47"/>
      <c r="I2925" s="47"/>
      <c r="J2925" s="1">
        <v>42.0</v>
      </c>
    </row>
    <row r="2926" ht="15.75" hidden="1" customHeight="1">
      <c r="A2926" s="47"/>
      <c r="B2926" s="47"/>
      <c r="C2926" s="47"/>
      <c r="D2926" s="47"/>
      <c r="E2926" s="47"/>
      <c r="F2926" s="47"/>
      <c r="G2926" s="47"/>
      <c r="H2926" s="47"/>
      <c r="I2926" s="47"/>
      <c r="J2926" s="1">
        <v>42.0</v>
      </c>
    </row>
    <row r="2927" ht="15.75" hidden="1" customHeight="1">
      <c r="A2927" s="47"/>
      <c r="B2927" s="47"/>
      <c r="C2927" s="47"/>
      <c r="D2927" s="47"/>
      <c r="E2927" s="47"/>
      <c r="F2927" s="47"/>
      <c r="G2927" s="47"/>
      <c r="H2927" s="47"/>
      <c r="I2927" s="47"/>
      <c r="J2927" s="1">
        <v>42.0</v>
      </c>
    </row>
    <row r="2928" ht="15.75" hidden="1" customHeight="1">
      <c r="A2928" s="47"/>
      <c r="B2928" s="47"/>
      <c r="C2928" s="47"/>
      <c r="D2928" s="47"/>
      <c r="E2928" s="47"/>
      <c r="F2928" s="47"/>
      <c r="G2928" s="47"/>
      <c r="H2928" s="47"/>
      <c r="I2928" s="47"/>
      <c r="J2928" s="1">
        <v>42.0</v>
      </c>
    </row>
    <row r="2929" ht="15.75" hidden="1" customHeight="1">
      <c r="A2929" s="47"/>
      <c r="B2929" s="47"/>
      <c r="C2929" s="47"/>
      <c r="D2929" s="47"/>
      <c r="E2929" s="47"/>
      <c r="F2929" s="47"/>
      <c r="G2929" s="47"/>
      <c r="H2929" s="47"/>
      <c r="I2929" s="47"/>
      <c r="J2929" s="1">
        <v>42.0</v>
      </c>
    </row>
    <row r="2930" ht="15.75" hidden="1" customHeight="1">
      <c r="A2930" s="47"/>
      <c r="B2930" s="47"/>
      <c r="C2930" s="47"/>
      <c r="D2930" s="47"/>
      <c r="E2930" s="47"/>
      <c r="F2930" s="47"/>
      <c r="G2930" s="47"/>
      <c r="H2930" s="47"/>
      <c r="I2930" s="47"/>
      <c r="J2930" s="1">
        <v>42.0</v>
      </c>
    </row>
    <row r="2931" ht="15.75" hidden="1" customHeight="1">
      <c r="A2931" s="47"/>
      <c r="B2931" s="47"/>
      <c r="C2931" s="47"/>
      <c r="D2931" s="47"/>
      <c r="E2931" s="47"/>
      <c r="F2931" s="47"/>
      <c r="G2931" s="47"/>
      <c r="H2931" s="47"/>
      <c r="I2931" s="47"/>
      <c r="J2931" s="1">
        <v>42.0</v>
      </c>
    </row>
    <row r="2932" ht="15.75" hidden="1" customHeight="1">
      <c r="A2932" s="47"/>
      <c r="B2932" s="47"/>
      <c r="C2932" s="47"/>
      <c r="D2932" s="47"/>
      <c r="E2932" s="47"/>
      <c r="F2932" s="47"/>
      <c r="G2932" s="47"/>
      <c r="H2932" s="47"/>
      <c r="I2932" s="47"/>
      <c r="J2932" s="1">
        <v>42.0</v>
      </c>
    </row>
    <row r="2933" ht="15.75" hidden="1" customHeight="1">
      <c r="A2933" s="47"/>
      <c r="B2933" s="47"/>
      <c r="C2933" s="47"/>
      <c r="D2933" s="47"/>
      <c r="E2933" s="47"/>
      <c r="F2933" s="47"/>
      <c r="G2933" s="47"/>
      <c r="H2933" s="47"/>
      <c r="I2933" s="47"/>
      <c r="J2933" s="1">
        <v>42.0</v>
      </c>
    </row>
    <row r="2934" ht="15.75" hidden="1" customHeight="1">
      <c r="A2934" s="47"/>
      <c r="B2934" s="47"/>
      <c r="C2934" s="47"/>
      <c r="D2934" s="47"/>
      <c r="E2934" s="47"/>
      <c r="F2934" s="47"/>
      <c r="G2934" s="47"/>
      <c r="H2934" s="47"/>
      <c r="I2934" s="47"/>
      <c r="J2934" s="1">
        <v>42.0</v>
      </c>
    </row>
    <row r="2935" ht="15.75" hidden="1" customHeight="1">
      <c r="A2935" s="47"/>
      <c r="B2935" s="47"/>
      <c r="C2935" s="47"/>
      <c r="D2935" s="47"/>
      <c r="E2935" s="47"/>
      <c r="F2935" s="47"/>
      <c r="G2935" s="47"/>
      <c r="H2935" s="47"/>
      <c r="I2935" s="47"/>
      <c r="J2935" s="1">
        <v>42.0</v>
      </c>
    </row>
    <row r="2936" ht="15.75" hidden="1" customHeight="1">
      <c r="A2936" s="47"/>
      <c r="B2936" s="47"/>
      <c r="C2936" s="47"/>
      <c r="D2936" s="47"/>
      <c r="E2936" s="47"/>
      <c r="F2936" s="47"/>
      <c r="G2936" s="47"/>
      <c r="H2936" s="47"/>
      <c r="I2936" s="47"/>
      <c r="J2936" s="1">
        <v>42.0</v>
      </c>
    </row>
    <row r="2937" ht="15.75" hidden="1" customHeight="1">
      <c r="A2937" s="47"/>
      <c r="B2937" s="47"/>
      <c r="C2937" s="47"/>
      <c r="D2937" s="47"/>
      <c r="E2937" s="47"/>
      <c r="F2937" s="47"/>
      <c r="G2937" s="47"/>
      <c r="H2937" s="47"/>
      <c r="I2937" s="47"/>
      <c r="J2937" s="1">
        <v>42.0</v>
      </c>
    </row>
    <row r="2938" ht="15.75" hidden="1" customHeight="1">
      <c r="A2938" s="47"/>
      <c r="B2938" s="47"/>
      <c r="C2938" s="47"/>
      <c r="D2938" s="47"/>
      <c r="E2938" s="47"/>
      <c r="F2938" s="47"/>
      <c r="G2938" s="47"/>
      <c r="H2938" s="47"/>
      <c r="I2938" s="47"/>
      <c r="J2938" s="1">
        <v>42.0</v>
      </c>
    </row>
    <row r="2939" ht="15.75" hidden="1" customHeight="1">
      <c r="A2939" s="47"/>
      <c r="B2939" s="47"/>
      <c r="C2939" s="47"/>
      <c r="D2939" s="47"/>
      <c r="E2939" s="47"/>
      <c r="F2939" s="47"/>
      <c r="G2939" s="47"/>
      <c r="H2939" s="47"/>
      <c r="I2939" s="47"/>
      <c r="J2939" s="1">
        <v>42.0</v>
      </c>
    </row>
    <row r="2940" ht="15.75" hidden="1" customHeight="1">
      <c r="A2940" s="47"/>
      <c r="B2940" s="47"/>
      <c r="C2940" s="47"/>
      <c r="D2940" s="47"/>
      <c r="E2940" s="47"/>
      <c r="F2940" s="47"/>
      <c r="G2940" s="47"/>
      <c r="H2940" s="47"/>
      <c r="I2940" s="47"/>
      <c r="J2940" s="1">
        <v>42.0</v>
      </c>
    </row>
    <row r="2941" ht="15.75" hidden="1" customHeight="1">
      <c r="A2941" s="47"/>
      <c r="B2941" s="47"/>
      <c r="C2941" s="47"/>
      <c r="D2941" s="47"/>
      <c r="E2941" s="47"/>
      <c r="F2941" s="47"/>
      <c r="G2941" s="47"/>
      <c r="H2941" s="47"/>
      <c r="I2941" s="47"/>
      <c r="J2941" s="1">
        <v>42.0</v>
      </c>
    </row>
    <row r="2942" ht="15.75" hidden="1" customHeight="1">
      <c r="A2942" s="47"/>
      <c r="B2942" s="47"/>
      <c r="C2942" s="47"/>
      <c r="D2942" s="47"/>
      <c r="E2942" s="47"/>
      <c r="F2942" s="47"/>
      <c r="G2942" s="47"/>
      <c r="H2942" s="47"/>
      <c r="I2942" s="47"/>
      <c r="J2942" s="1">
        <v>42.0</v>
      </c>
    </row>
    <row r="2943" ht="15.75" hidden="1" customHeight="1">
      <c r="A2943" s="47"/>
      <c r="B2943" s="47"/>
      <c r="C2943" s="47"/>
      <c r="D2943" s="47"/>
      <c r="E2943" s="47"/>
      <c r="F2943" s="47"/>
      <c r="G2943" s="47"/>
      <c r="H2943" s="47"/>
      <c r="I2943" s="47"/>
      <c r="J2943" s="1">
        <v>42.0</v>
      </c>
    </row>
    <row r="2944" ht="15.75" hidden="1" customHeight="1">
      <c r="A2944" s="47"/>
      <c r="B2944" s="47"/>
      <c r="C2944" s="47"/>
      <c r="D2944" s="47"/>
      <c r="E2944" s="47"/>
      <c r="F2944" s="47"/>
      <c r="G2944" s="47"/>
      <c r="H2944" s="47"/>
      <c r="I2944" s="47"/>
      <c r="J2944" s="1">
        <v>42.0</v>
      </c>
    </row>
    <row r="2945" ht="15.75" hidden="1" customHeight="1">
      <c r="A2945" s="47"/>
      <c r="B2945" s="47"/>
      <c r="C2945" s="47"/>
      <c r="D2945" s="47"/>
      <c r="E2945" s="47"/>
      <c r="F2945" s="47"/>
      <c r="G2945" s="47"/>
      <c r="H2945" s="47"/>
      <c r="I2945" s="47"/>
      <c r="J2945" s="1">
        <v>42.0</v>
      </c>
    </row>
    <row r="2946" ht="15.75" hidden="1" customHeight="1">
      <c r="A2946" s="47"/>
      <c r="B2946" s="47"/>
      <c r="C2946" s="47"/>
      <c r="D2946" s="47"/>
      <c r="E2946" s="47"/>
      <c r="F2946" s="47"/>
      <c r="G2946" s="47"/>
      <c r="H2946" s="47"/>
      <c r="I2946" s="47"/>
      <c r="J2946" s="1">
        <v>42.0</v>
      </c>
    </row>
    <row r="2947" ht="15.75" hidden="1" customHeight="1">
      <c r="A2947" s="47"/>
      <c r="B2947" s="47"/>
      <c r="C2947" s="47"/>
      <c r="D2947" s="47"/>
      <c r="E2947" s="47"/>
      <c r="F2947" s="47"/>
      <c r="G2947" s="47"/>
      <c r="H2947" s="47"/>
      <c r="I2947" s="47"/>
      <c r="J2947" s="1">
        <v>42.0</v>
      </c>
    </row>
    <row r="2948" ht="15.75" hidden="1" customHeight="1">
      <c r="A2948" s="47"/>
      <c r="B2948" s="47"/>
      <c r="C2948" s="47"/>
      <c r="D2948" s="47"/>
      <c r="E2948" s="47"/>
      <c r="F2948" s="47"/>
      <c r="G2948" s="47"/>
      <c r="H2948" s="47"/>
      <c r="I2948" s="47"/>
      <c r="J2948" s="1">
        <v>42.0</v>
      </c>
    </row>
    <row r="2949" ht="15.75" hidden="1" customHeight="1">
      <c r="A2949" s="47"/>
      <c r="B2949" s="47"/>
      <c r="C2949" s="47"/>
      <c r="D2949" s="47"/>
      <c r="E2949" s="47"/>
      <c r="F2949" s="47"/>
      <c r="G2949" s="47"/>
      <c r="H2949" s="47"/>
      <c r="I2949" s="47"/>
      <c r="J2949" s="1">
        <v>42.0</v>
      </c>
    </row>
    <row r="2950" ht="15.75" hidden="1" customHeight="1">
      <c r="A2950" s="47"/>
      <c r="B2950" s="47"/>
      <c r="C2950" s="47"/>
      <c r="D2950" s="47"/>
      <c r="E2950" s="47"/>
      <c r="F2950" s="47"/>
      <c r="G2950" s="47"/>
      <c r="H2950" s="47"/>
      <c r="I2950" s="47"/>
      <c r="J2950" s="1">
        <v>42.0</v>
      </c>
    </row>
    <row r="2951" ht="15.75" hidden="1" customHeight="1">
      <c r="A2951" s="47"/>
      <c r="B2951" s="47"/>
      <c r="C2951" s="47"/>
      <c r="D2951" s="47"/>
      <c r="E2951" s="47"/>
      <c r="F2951" s="47"/>
      <c r="G2951" s="47"/>
      <c r="H2951" s="47"/>
      <c r="I2951" s="47"/>
      <c r="J2951" s="1">
        <v>42.0</v>
      </c>
    </row>
    <row r="2952" ht="15.75" hidden="1" customHeight="1">
      <c r="A2952" s="47"/>
      <c r="B2952" s="47"/>
      <c r="C2952" s="47"/>
      <c r="D2952" s="47"/>
      <c r="E2952" s="47"/>
      <c r="F2952" s="47"/>
      <c r="G2952" s="47"/>
      <c r="H2952" s="47"/>
      <c r="I2952" s="47"/>
      <c r="J2952" s="1">
        <v>42.0</v>
      </c>
    </row>
    <row r="2953" ht="15.75" hidden="1" customHeight="1">
      <c r="A2953" s="47"/>
      <c r="B2953" s="47"/>
      <c r="C2953" s="47"/>
      <c r="D2953" s="47"/>
      <c r="E2953" s="47"/>
      <c r="F2953" s="47"/>
      <c r="G2953" s="47"/>
      <c r="H2953" s="47"/>
      <c r="I2953" s="47"/>
      <c r="J2953" s="1">
        <v>42.0</v>
      </c>
    </row>
    <row r="2954" ht="15.75" hidden="1" customHeight="1">
      <c r="A2954" s="47"/>
      <c r="B2954" s="47"/>
      <c r="C2954" s="47"/>
      <c r="D2954" s="47"/>
      <c r="E2954" s="47"/>
      <c r="F2954" s="47"/>
      <c r="G2954" s="47"/>
      <c r="H2954" s="47"/>
      <c r="I2954" s="47"/>
      <c r="J2954" s="1">
        <v>42.0</v>
      </c>
    </row>
    <row r="2955" ht="15.75" hidden="1" customHeight="1">
      <c r="A2955" s="47"/>
      <c r="B2955" s="47"/>
      <c r="C2955" s="47"/>
      <c r="D2955" s="47"/>
      <c r="E2955" s="47"/>
      <c r="F2955" s="47"/>
      <c r="G2955" s="47"/>
      <c r="H2955" s="47"/>
      <c r="I2955" s="47"/>
      <c r="J2955" s="1">
        <v>42.0</v>
      </c>
    </row>
    <row r="2956" ht="15.75" hidden="1" customHeight="1">
      <c r="A2956" s="47"/>
      <c r="B2956" s="47"/>
      <c r="C2956" s="47"/>
      <c r="D2956" s="47"/>
      <c r="E2956" s="47"/>
      <c r="F2956" s="47"/>
      <c r="G2956" s="47"/>
      <c r="H2956" s="47"/>
      <c r="I2956" s="47"/>
      <c r="J2956" s="1">
        <v>42.0</v>
      </c>
    </row>
    <row r="2957" ht="15.75" hidden="1" customHeight="1">
      <c r="A2957" s="47"/>
      <c r="B2957" s="47"/>
      <c r="C2957" s="47"/>
      <c r="D2957" s="47"/>
      <c r="E2957" s="47"/>
      <c r="F2957" s="47"/>
      <c r="G2957" s="47"/>
      <c r="H2957" s="47"/>
      <c r="I2957" s="47"/>
      <c r="J2957" s="1">
        <v>42.0</v>
      </c>
    </row>
    <row r="2958" ht="15.75" hidden="1" customHeight="1">
      <c r="A2958" s="47"/>
      <c r="B2958" s="47"/>
      <c r="C2958" s="47"/>
      <c r="D2958" s="47"/>
      <c r="E2958" s="47"/>
      <c r="F2958" s="47"/>
      <c r="G2958" s="47"/>
      <c r="H2958" s="47"/>
      <c r="I2958" s="47"/>
      <c r="J2958" s="1">
        <v>42.0</v>
      </c>
    </row>
    <row r="2959" ht="15.75" hidden="1" customHeight="1">
      <c r="A2959" s="47"/>
      <c r="B2959" s="47"/>
      <c r="C2959" s="47"/>
      <c r="D2959" s="47"/>
      <c r="E2959" s="47"/>
      <c r="F2959" s="47"/>
      <c r="G2959" s="47"/>
      <c r="H2959" s="47"/>
      <c r="I2959" s="47"/>
      <c r="J2959" s="1">
        <v>42.0</v>
      </c>
    </row>
    <row r="2960" ht="15.75" hidden="1" customHeight="1">
      <c r="A2960" s="47"/>
      <c r="B2960" s="47"/>
      <c r="C2960" s="47"/>
      <c r="D2960" s="47"/>
      <c r="E2960" s="47"/>
      <c r="F2960" s="47"/>
      <c r="G2960" s="47"/>
      <c r="H2960" s="47"/>
      <c r="I2960" s="47"/>
      <c r="J2960" s="1">
        <v>42.0</v>
      </c>
    </row>
    <row r="2961" ht="15.75" hidden="1" customHeight="1">
      <c r="A2961" s="47"/>
      <c r="B2961" s="47"/>
      <c r="C2961" s="47"/>
      <c r="D2961" s="47"/>
      <c r="E2961" s="47"/>
      <c r="F2961" s="47"/>
      <c r="G2961" s="47"/>
      <c r="H2961" s="47"/>
      <c r="I2961" s="47"/>
      <c r="J2961" s="1">
        <v>42.0</v>
      </c>
    </row>
    <row r="2962" ht="15.75" hidden="1" customHeight="1">
      <c r="A2962" s="47"/>
      <c r="B2962" s="47"/>
      <c r="C2962" s="47"/>
      <c r="D2962" s="47"/>
      <c r="E2962" s="47"/>
      <c r="F2962" s="47"/>
      <c r="G2962" s="47"/>
      <c r="H2962" s="47"/>
      <c r="I2962" s="47"/>
      <c r="J2962" s="1">
        <v>42.0</v>
      </c>
    </row>
    <row r="2963" ht="15.75" hidden="1" customHeight="1">
      <c r="A2963" s="47"/>
      <c r="B2963" s="47"/>
      <c r="C2963" s="47"/>
      <c r="D2963" s="47"/>
      <c r="E2963" s="47"/>
      <c r="F2963" s="47"/>
      <c r="G2963" s="47"/>
      <c r="H2963" s="47"/>
      <c r="I2963" s="47"/>
      <c r="J2963" s="1">
        <v>42.0</v>
      </c>
    </row>
    <row r="2964" ht="15.75" hidden="1" customHeight="1">
      <c r="A2964" s="47"/>
      <c r="B2964" s="47"/>
      <c r="C2964" s="47"/>
      <c r="D2964" s="47"/>
      <c r="E2964" s="47"/>
      <c r="F2964" s="47"/>
      <c r="G2964" s="47"/>
      <c r="H2964" s="47"/>
      <c r="I2964" s="47"/>
      <c r="J2964" s="1">
        <v>42.0</v>
      </c>
    </row>
    <row r="2965" ht="15.75" hidden="1" customHeight="1">
      <c r="A2965" s="47"/>
      <c r="B2965" s="47"/>
      <c r="C2965" s="47"/>
      <c r="D2965" s="47"/>
      <c r="E2965" s="47"/>
      <c r="F2965" s="47"/>
      <c r="G2965" s="47"/>
      <c r="H2965" s="47"/>
      <c r="I2965" s="47"/>
      <c r="J2965" s="1">
        <v>42.0</v>
      </c>
    </row>
    <row r="2966" ht="15.75" hidden="1" customHeight="1">
      <c r="A2966" s="47"/>
      <c r="B2966" s="47"/>
      <c r="C2966" s="47"/>
      <c r="D2966" s="47"/>
      <c r="E2966" s="47"/>
      <c r="F2966" s="47"/>
      <c r="G2966" s="47"/>
      <c r="H2966" s="47"/>
      <c r="I2966" s="47"/>
      <c r="J2966" s="1">
        <v>42.0</v>
      </c>
    </row>
    <row r="2967" ht="15.75" hidden="1" customHeight="1">
      <c r="A2967" s="47"/>
      <c r="B2967" s="47"/>
      <c r="C2967" s="47"/>
      <c r="D2967" s="47"/>
      <c r="E2967" s="47"/>
      <c r="F2967" s="47"/>
      <c r="G2967" s="47"/>
      <c r="H2967" s="47"/>
      <c r="I2967" s="47"/>
      <c r="J2967" s="1">
        <v>42.0</v>
      </c>
    </row>
    <row r="2968" ht="15.75" hidden="1" customHeight="1">
      <c r="A2968" s="47"/>
      <c r="B2968" s="47"/>
      <c r="C2968" s="47"/>
      <c r="D2968" s="47"/>
      <c r="E2968" s="47"/>
      <c r="F2968" s="47"/>
      <c r="G2968" s="47"/>
      <c r="H2968" s="47"/>
      <c r="I2968" s="47"/>
      <c r="J2968" s="1">
        <v>42.0</v>
      </c>
    </row>
    <row r="2969" ht="15.75" hidden="1" customHeight="1">
      <c r="A2969" s="47"/>
      <c r="B2969" s="47"/>
      <c r="C2969" s="47"/>
      <c r="D2969" s="47"/>
      <c r="E2969" s="47"/>
      <c r="F2969" s="47"/>
      <c r="G2969" s="47"/>
      <c r="H2969" s="47"/>
      <c r="I2969" s="47"/>
      <c r="J2969" s="1">
        <v>42.0</v>
      </c>
    </row>
    <row r="2970" ht="15.75" hidden="1" customHeight="1">
      <c r="A2970" s="47"/>
      <c r="B2970" s="47"/>
      <c r="C2970" s="47"/>
      <c r="D2970" s="47"/>
      <c r="E2970" s="47"/>
      <c r="F2970" s="47"/>
      <c r="G2970" s="47"/>
      <c r="H2970" s="47"/>
      <c r="I2970" s="47"/>
      <c r="J2970" s="1">
        <v>42.0</v>
      </c>
    </row>
    <row r="2971" ht="15.75" hidden="1" customHeight="1">
      <c r="A2971" s="47"/>
      <c r="B2971" s="47"/>
      <c r="C2971" s="47"/>
      <c r="D2971" s="47"/>
      <c r="E2971" s="47"/>
      <c r="F2971" s="47"/>
      <c r="G2971" s="47"/>
      <c r="H2971" s="47"/>
      <c r="I2971" s="47"/>
      <c r="J2971" s="1">
        <v>42.0</v>
      </c>
    </row>
    <row r="2972" ht="15.75" hidden="1" customHeight="1">
      <c r="A2972" s="47"/>
      <c r="B2972" s="47"/>
      <c r="C2972" s="47"/>
      <c r="D2972" s="47"/>
      <c r="E2972" s="47"/>
      <c r="F2972" s="47"/>
      <c r="G2972" s="47"/>
      <c r="H2972" s="47"/>
      <c r="I2972" s="47"/>
      <c r="J2972" s="1">
        <v>42.0</v>
      </c>
    </row>
    <row r="2973" ht="15.75" hidden="1" customHeight="1">
      <c r="A2973" s="47"/>
      <c r="B2973" s="47"/>
      <c r="C2973" s="47"/>
      <c r="D2973" s="47"/>
      <c r="E2973" s="47"/>
      <c r="F2973" s="47"/>
      <c r="G2973" s="47"/>
      <c r="H2973" s="47"/>
      <c r="I2973" s="47"/>
      <c r="J2973" s="1">
        <v>42.0</v>
      </c>
    </row>
    <row r="2974" ht="15.75" hidden="1" customHeight="1">
      <c r="A2974" s="47"/>
      <c r="B2974" s="47"/>
      <c r="C2974" s="47"/>
      <c r="D2974" s="47"/>
      <c r="E2974" s="47"/>
      <c r="F2974" s="47"/>
      <c r="G2974" s="47"/>
      <c r="H2974" s="47"/>
      <c r="I2974" s="47"/>
      <c r="J2974" s="1">
        <v>42.0</v>
      </c>
    </row>
    <row r="2975" ht="15.75" hidden="1" customHeight="1">
      <c r="A2975" s="47"/>
      <c r="B2975" s="47"/>
      <c r="C2975" s="47"/>
      <c r="D2975" s="47"/>
      <c r="E2975" s="47"/>
      <c r="F2975" s="47"/>
      <c r="G2975" s="47"/>
      <c r="H2975" s="47"/>
      <c r="I2975" s="47"/>
      <c r="J2975" s="1">
        <v>42.0</v>
      </c>
    </row>
    <row r="2976" ht="15.75" hidden="1" customHeight="1">
      <c r="A2976" s="47"/>
      <c r="B2976" s="47"/>
      <c r="C2976" s="47"/>
      <c r="D2976" s="47"/>
      <c r="E2976" s="47"/>
      <c r="F2976" s="47"/>
      <c r="G2976" s="47"/>
      <c r="H2976" s="47"/>
      <c r="I2976" s="47"/>
      <c r="J2976" s="1">
        <v>42.0</v>
      </c>
    </row>
    <row r="2977" ht="15.75" hidden="1" customHeight="1">
      <c r="A2977" s="47"/>
      <c r="B2977" s="47"/>
      <c r="C2977" s="47"/>
      <c r="D2977" s="47"/>
      <c r="E2977" s="47"/>
      <c r="F2977" s="47"/>
      <c r="G2977" s="47"/>
      <c r="H2977" s="47"/>
      <c r="I2977" s="47"/>
      <c r="J2977" s="1">
        <v>42.0</v>
      </c>
    </row>
    <row r="2978" ht="15.75" hidden="1" customHeight="1">
      <c r="A2978" s="47"/>
      <c r="B2978" s="47"/>
      <c r="C2978" s="47"/>
      <c r="D2978" s="47"/>
      <c r="E2978" s="47"/>
      <c r="F2978" s="47"/>
      <c r="G2978" s="47"/>
      <c r="H2978" s="47"/>
      <c r="I2978" s="47"/>
      <c r="J2978" s="1">
        <v>42.0</v>
      </c>
    </row>
    <row r="2979" ht="15.75" hidden="1" customHeight="1">
      <c r="A2979" s="47"/>
      <c r="B2979" s="47"/>
      <c r="C2979" s="47"/>
      <c r="D2979" s="47"/>
      <c r="E2979" s="47"/>
      <c r="F2979" s="47"/>
      <c r="G2979" s="47"/>
      <c r="H2979" s="47"/>
      <c r="I2979" s="47"/>
      <c r="J2979" s="1">
        <v>42.0</v>
      </c>
    </row>
    <row r="2980" ht="15.75" hidden="1" customHeight="1">
      <c r="A2980" s="47"/>
      <c r="B2980" s="47"/>
      <c r="C2980" s="47"/>
      <c r="D2980" s="47"/>
      <c r="E2980" s="47"/>
      <c r="F2980" s="47"/>
      <c r="G2980" s="47"/>
      <c r="H2980" s="47"/>
      <c r="I2980" s="47"/>
      <c r="J2980" s="1">
        <v>42.0</v>
      </c>
    </row>
    <row r="2981" ht="15.75" hidden="1" customHeight="1">
      <c r="A2981" s="47"/>
      <c r="B2981" s="47"/>
      <c r="C2981" s="47"/>
      <c r="D2981" s="47"/>
      <c r="E2981" s="47"/>
      <c r="F2981" s="47"/>
      <c r="G2981" s="47"/>
      <c r="H2981" s="47"/>
      <c r="I2981" s="47"/>
      <c r="J2981" s="1">
        <v>42.0</v>
      </c>
    </row>
    <row r="2982" ht="15.75" hidden="1" customHeight="1">
      <c r="A2982" s="47"/>
      <c r="B2982" s="47"/>
      <c r="C2982" s="47"/>
      <c r="D2982" s="47"/>
      <c r="E2982" s="47"/>
      <c r="F2982" s="47"/>
      <c r="G2982" s="47"/>
      <c r="H2982" s="47"/>
      <c r="I2982" s="47"/>
      <c r="J2982" s="1">
        <v>42.0</v>
      </c>
    </row>
    <row r="2983" ht="15.75" hidden="1" customHeight="1">
      <c r="A2983" s="47"/>
      <c r="B2983" s="47"/>
      <c r="C2983" s="47"/>
      <c r="D2983" s="47"/>
      <c r="E2983" s="47"/>
      <c r="F2983" s="47"/>
      <c r="G2983" s="47"/>
      <c r="H2983" s="47"/>
      <c r="I2983" s="47"/>
      <c r="J2983" s="1">
        <v>42.0</v>
      </c>
    </row>
    <row r="2984" ht="15.75" hidden="1" customHeight="1">
      <c r="A2984" s="47"/>
      <c r="B2984" s="47"/>
      <c r="C2984" s="47"/>
      <c r="D2984" s="47"/>
      <c r="E2984" s="47"/>
      <c r="F2984" s="47"/>
      <c r="G2984" s="47"/>
      <c r="H2984" s="47"/>
      <c r="I2984" s="47"/>
      <c r="J2984" s="1">
        <v>42.0</v>
      </c>
    </row>
    <row r="2985" ht="15.75" hidden="1" customHeight="1">
      <c r="A2985" s="47"/>
      <c r="B2985" s="47"/>
      <c r="C2985" s="47"/>
      <c r="D2985" s="47"/>
      <c r="E2985" s="47"/>
      <c r="F2985" s="47"/>
      <c r="G2985" s="47"/>
      <c r="H2985" s="47"/>
      <c r="I2985" s="47"/>
      <c r="J2985" s="1">
        <v>42.0</v>
      </c>
    </row>
    <row r="2986" ht="15.75" hidden="1" customHeight="1">
      <c r="A2986" s="47"/>
      <c r="B2986" s="47"/>
      <c r="C2986" s="47"/>
      <c r="D2986" s="47"/>
      <c r="E2986" s="47"/>
      <c r="F2986" s="47"/>
      <c r="G2986" s="47"/>
      <c r="H2986" s="47"/>
      <c r="I2986" s="47"/>
      <c r="J2986" s="1">
        <v>42.0</v>
      </c>
    </row>
    <row r="2987" ht="15.75" hidden="1" customHeight="1">
      <c r="A2987" s="47"/>
      <c r="B2987" s="47"/>
      <c r="C2987" s="47"/>
      <c r="D2987" s="47"/>
      <c r="E2987" s="47"/>
      <c r="F2987" s="47"/>
      <c r="G2987" s="47"/>
      <c r="H2987" s="47"/>
      <c r="I2987" s="47"/>
      <c r="J2987" s="1">
        <v>42.0</v>
      </c>
    </row>
    <row r="2988" ht="15.75" hidden="1" customHeight="1">
      <c r="A2988" s="47"/>
      <c r="B2988" s="47"/>
      <c r="C2988" s="47"/>
      <c r="D2988" s="47"/>
      <c r="E2988" s="47"/>
      <c r="F2988" s="47"/>
      <c r="G2988" s="47"/>
      <c r="H2988" s="47"/>
      <c r="I2988" s="47"/>
      <c r="J2988" s="1">
        <v>42.0</v>
      </c>
    </row>
    <row r="2989" ht="15.75" hidden="1" customHeight="1">
      <c r="A2989" s="47"/>
      <c r="B2989" s="47"/>
      <c r="C2989" s="47"/>
      <c r="D2989" s="47"/>
      <c r="E2989" s="47"/>
      <c r="F2989" s="47"/>
      <c r="G2989" s="47"/>
      <c r="H2989" s="47"/>
      <c r="I2989" s="47"/>
      <c r="J2989" s="1">
        <v>42.0</v>
      </c>
    </row>
    <row r="2990" ht="15.75" hidden="1" customHeight="1">
      <c r="A2990" s="47"/>
      <c r="B2990" s="47"/>
      <c r="C2990" s="47"/>
      <c r="D2990" s="47"/>
      <c r="E2990" s="47"/>
      <c r="F2990" s="47"/>
      <c r="G2990" s="47"/>
      <c r="H2990" s="47"/>
      <c r="I2990" s="47"/>
      <c r="J2990" s="1">
        <v>42.0</v>
      </c>
    </row>
    <row r="2991" ht="15.75" hidden="1" customHeight="1">
      <c r="A2991" s="47"/>
      <c r="B2991" s="47"/>
      <c r="C2991" s="47"/>
      <c r="D2991" s="47"/>
      <c r="E2991" s="47"/>
      <c r="F2991" s="47"/>
      <c r="G2991" s="47"/>
      <c r="H2991" s="47"/>
      <c r="I2991" s="47"/>
      <c r="J2991" s="1">
        <v>42.0</v>
      </c>
    </row>
    <row r="2992" ht="15.75" hidden="1" customHeight="1">
      <c r="A2992" s="47"/>
      <c r="B2992" s="47"/>
      <c r="C2992" s="47"/>
      <c r="D2992" s="47"/>
      <c r="E2992" s="47"/>
      <c r="F2992" s="47"/>
      <c r="G2992" s="47"/>
      <c r="H2992" s="47"/>
      <c r="I2992" s="47"/>
      <c r="J2992" s="1">
        <v>42.0</v>
      </c>
    </row>
    <row r="2993" ht="15.75" hidden="1" customHeight="1">
      <c r="A2993" s="47"/>
      <c r="B2993" s="47"/>
      <c r="C2993" s="47"/>
      <c r="D2993" s="47"/>
      <c r="E2993" s="47"/>
      <c r="F2993" s="47"/>
      <c r="G2993" s="47"/>
      <c r="H2993" s="47"/>
      <c r="I2993" s="47"/>
      <c r="J2993" s="1">
        <v>42.0</v>
      </c>
    </row>
    <row r="2994" ht="15.75" hidden="1" customHeight="1">
      <c r="A2994" s="47"/>
      <c r="B2994" s="47"/>
      <c r="C2994" s="47"/>
      <c r="D2994" s="47"/>
      <c r="E2994" s="47"/>
      <c r="F2994" s="47"/>
      <c r="G2994" s="47"/>
      <c r="H2994" s="47"/>
      <c r="I2994" s="47"/>
      <c r="J2994" s="1">
        <v>42.0</v>
      </c>
    </row>
    <row r="2995" ht="15.75" hidden="1" customHeight="1">
      <c r="A2995" s="47"/>
      <c r="B2995" s="47"/>
      <c r="C2995" s="47"/>
      <c r="D2995" s="47"/>
      <c r="E2995" s="47"/>
      <c r="F2995" s="47"/>
      <c r="G2995" s="47"/>
      <c r="H2995" s="47"/>
      <c r="I2995" s="47"/>
      <c r="J2995" s="1">
        <v>42.0</v>
      </c>
    </row>
    <row r="2996" ht="15.75" hidden="1" customHeight="1">
      <c r="A2996" s="47"/>
      <c r="B2996" s="47"/>
      <c r="C2996" s="47"/>
      <c r="D2996" s="47"/>
      <c r="E2996" s="47"/>
      <c r="F2996" s="47"/>
      <c r="G2996" s="47"/>
      <c r="H2996" s="47"/>
      <c r="I2996" s="47"/>
      <c r="J2996" s="1">
        <v>42.0</v>
      </c>
    </row>
    <row r="2997" ht="15.75" hidden="1" customHeight="1">
      <c r="A2997" s="47"/>
      <c r="B2997" s="47"/>
      <c r="C2997" s="47"/>
      <c r="D2997" s="47"/>
      <c r="E2997" s="47"/>
      <c r="F2997" s="47"/>
      <c r="G2997" s="47"/>
      <c r="H2997" s="47"/>
      <c r="I2997" s="47"/>
      <c r="J2997" s="1">
        <v>42.0</v>
      </c>
    </row>
    <row r="2998" ht="15.75" hidden="1" customHeight="1">
      <c r="A2998" s="47"/>
      <c r="B2998" s="47"/>
      <c r="C2998" s="47"/>
      <c r="D2998" s="47"/>
      <c r="E2998" s="47"/>
      <c r="F2998" s="47"/>
      <c r="G2998" s="47"/>
      <c r="H2998" s="47"/>
      <c r="I2998" s="47"/>
      <c r="J2998" s="1">
        <v>42.0</v>
      </c>
    </row>
    <row r="2999" ht="15.75" hidden="1" customHeight="1">
      <c r="A2999" s="47"/>
      <c r="B2999" s="47"/>
      <c r="C2999" s="47"/>
      <c r="D2999" s="47"/>
      <c r="E2999" s="47"/>
      <c r="F2999" s="47"/>
      <c r="G2999" s="47"/>
      <c r="H2999" s="47"/>
      <c r="I2999" s="47"/>
      <c r="J2999" s="1">
        <v>42.0</v>
      </c>
    </row>
    <row r="3000" ht="15.75" hidden="1" customHeight="1">
      <c r="A3000" s="47"/>
      <c r="B3000" s="47"/>
      <c r="C3000" s="47"/>
      <c r="D3000" s="47"/>
      <c r="E3000" s="47"/>
      <c r="F3000" s="47"/>
      <c r="G3000" s="47"/>
      <c r="H3000" s="47"/>
      <c r="I3000" s="47"/>
      <c r="J3000" s="1">
        <v>42.0</v>
      </c>
    </row>
    <row r="3001" ht="15.75" hidden="1" customHeight="1">
      <c r="A3001" s="47"/>
      <c r="B3001" s="47"/>
      <c r="C3001" s="47"/>
      <c r="D3001" s="47"/>
      <c r="E3001" s="47"/>
      <c r="F3001" s="47"/>
      <c r="G3001" s="47"/>
      <c r="H3001" s="47"/>
      <c r="I3001" s="47"/>
      <c r="J3001" s="1">
        <v>42.0</v>
      </c>
    </row>
    <row r="3002" ht="15.75" hidden="1" customHeight="1">
      <c r="A3002" s="47"/>
      <c r="B3002" s="47"/>
      <c r="C3002" s="47"/>
      <c r="D3002" s="47"/>
      <c r="E3002" s="47"/>
      <c r="F3002" s="47"/>
      <c r="G3002" s="47"/>
      <c r="H3002" s="47"/>
      <c r="I3002" s="47"/>
      <c r="J3002" s="1">
        <v>42.0</v>
      </c>
    </row>
    <row r="3003" ht="15.75" hidden="1" customHeight="1">
      <c r="A3003" s="47"/>
      <c r="B3003" s="47"/>
      <c r="C3003" s="47"/>
      <c r="D3003" s="47"/>
      <c r="E3003" s="47"/>
      <c r="F3003" s="47"/>
      <c r="G3003" s="47"/>
      <c r="H3003" s="47"/>
      <c r="I3003" s="47"/>
      <c r="J3003" s="1">
        <v>42.0</v>
      </c>
    </row>
    <row r="3004" ht="15.75" hidden="1" customHeight="1">
      <c r="A3004" s="47"/>
      <c r="B3004" s="47"/>
      <c r="C3004" s="47"/>
      <c r="D3004" s="47"/>
      <c r="E3004" s="47"/>
      <c r="F3004" s="47"/>
      <c r="G3004" s="47"/>
      <c r="H3004" s="47"/>
      <c r="I3004" s="47"/>
      <c r="J3004" s="1">
        <v>42.0</v>
      </c>
    </row>
    <row r="3005" ht="15.75" hidden="1" customHeight="1">
      <c r="A3005" s="47"/>
      <c r="B3005" s="47"/>
      <c r="C3005" s="47"/>
      <c r="D3005" s="47"/>
      <c r="E3005" s="47"/>
      <c r="F3005" s="47"/>
      <c r="G3005" s="47"/>
      <c r="H3005" s="47"/>
      <c r="I3005" s="47"/>
      <c r="J3005" s="1">
        <v>42.0</v>
      </c>
    </row>
    <row r="3006" ht="15.75" hidden="1" customHeight="1">
      <c r="A3006" s="47"/>
      <c r="B3006" s="47"/>
      <c r="C3006" s="47"/>
      <c r="D3006" s="47"/>
      <c r="E3006" s="47"/>
      <c r="F3006" s="47"/>
      <c r="G3006" s="47"/>
      <c r="H3006" s="47"/>
      <c r="I3006" s="47"/>
      <c r="J3006" s="1">
        <v>42.0</v>
      </c>
    </row>
    <row r="3007" ht="15.75" hidden="1" customHeight="1">
      <c r="A3007" s="47"/>
      <c r="B3007" s="47"/>
      <c r="C3007" s="47"/>
      <c r="D3007" s="47"/>
      <c r="E3007" s="47"/>
      <c r="F3007" s="47"/>
      <c r="G3007" s="47"/>
      <c r="H3007" s="47"/>
      <c r="I3007" s="47"/>
      <c r="J3007" s="1">
        <v>42.0</v>
      </c>
    </row>
    <row r="3008" ht="15.75" hidden="1" customHeight="1">
      <c r="A3008" s="47"/>
      <c r="B3008" s="47"/>
      <c r="C3008" s="47"/>
      <c r="D3008" s="47"/>
      <c r="E3008" s="47"/>
      <c r="F3008" s="47"/>
      <c r="G3008" s="47"/>
      <c r="H3008" s="47"/>
      <c r="I3008" s="47"/>
      <c r="J3008" s="1">
        <v>42.0</v>
      </c>
    </row>
    <row r="3009" ht="15.75" hidden="1" customHeight="1">
      <c r="A3009" s="47"/>
      <c r="B3009" s="47"/>
      <c r="C3009" s="47"/>
      <c r="D3009" s="47"/>
      <c r="E3009" s="47"/>
      <c r="F3009" s="47"/>
      <c r="G3009" s="47"/>
      <c r="H3009" s="47"/>
      <c r="I3009" s="47"/>
      <c r="J3009" s="1">
        <v>42.0</v>
      </c>
    </row>
    <row r="3010" ht="15.75" hidden="1" customHeight="1">
      <c r="A3010" s="47"/>
      <c r="B3010" s="47"/>
      <c r="C3010" s="47"/>
      <c r="D3010" s="47"/>
      <c r="E3010" s="47"/>
      <c r="F3010" s="47"/>
      <c r="G3010" s="47"/>
      <c r="H3010" s="47"/>
      <c r="I3010" s="47"/>
      <c r="J3010" s="1">
        <v>42.0</v>
      </c>
    </row>
    <row r="3011" ht="15.75" hidden="1" customHeight="1">
      <c r="A3011" s="47"/>
      <c r="B3011" s="47"/>
      <c r="C3011" s="47"/>
      <c r="D3011" s="47"/>
      <c r="E3011" s="47"/>
      <c r="F3011" s="47"/>
      <c r="G3011" s="47"/>
      <c r="H3011" s="47"/>
      <c r="I3011" s="47"/>
      <c r="J3011" s="1">
        <v>42.0</v>
      </c>
    </row>
    <row r="3012" ht="15.75" hidden="1" customHeight="1">
      <c r="A3012" s="47"/>
      <c r="B3012" s="47"/>
      <c r="C3012" s="47"/>
      <c r="D3012" s="47"/>
      <c r="E3012" s="47"/>
      <c r="F3012" s="47"/>
      <c r="G3012" s="47"/>
      <c r="H3012" s="47"/>
      <c r="I3012" s="47"/>
      <c r="J3012" s="1">
        <v>42.0</v>
      </c>
    </row>
    <row r="3013" ht="15.75" hidden="1" customHeight="1">
      <c r="A3013" s="47"/>
      <c r="B3013" s="47"/>
      <c r="C3013" s="47"/>
      <c r="D3013" s="47"/>
      <c r="E3013" s="47"/>
      <c r="F3013" s="47"/>
      <c r="G3013" s="47"/>
      <c r="H3013" s="47"/>
      <c r="I3013" s="47"/>
      <c r="J3013" s="1">
        <v>42.0</v>
      </c>
    </row>
    <row r="3014" ht="15.75" hidden="1" customHeight="1">
      <c r="A3014" s="47"/>
      <c r="B3014" s="47"/>
      <c r="C3014" s="47"/>
      <c r="D3014" s="47"/>
      <c r="E3014" s="47"/>
      <c r="F3014" s="47"/>
      <c r="G3014" s="47"/>
      <c r="H3014" s="47"/>
      <c r="I3014" s="47"/>
      <c r="J3014" s="1">
        <v>42.0</v>
      </c>
    </row>
    <row r="3015" ht="15.75" hidden="1" customHeight="1">
      <c r="A3015" s="47"/>
      <c r="B3015" s="47"/>
      <c r="C3015" s="47"/>
      <c r="D3015" s="47"/>
      <c r="E3015" s="47"/>
      <c r="F3015" s="47"/>
      <c r="G3015" s="47"/>
      <c r="H3015" s="47"/>
      <c r="I3015" s="47"/>
      <c r="J3015" s="1">
        <v>42.0</v>
      </c>
    </row>
    <row r="3016" ht="15.75" hidden="1" customHeight="1">
      <c r="A3016" s="47"/>
      <c r="B3016" s="47"/>
      <c r="C3016" s="47"/>
      <c r="D3016" s="47"/>
      <c r="E3016" s="47"/>
      <c r="F3016" s="47"/>
      <c r="G3016" s="47"/>
      <c r="H3016" s="47"/>
      <c r="I3016" s="47"/>
      <c r="J3016" s="1">
        <v>42.0</v>
      </c>
    </row>
    <row r="3017" ht="15.75" hidden="1" customHeight="1">
      <c r="A3017" s="47"/>
      <c r="B3017" s="47"/>
      <c r="C3017" s="47"/>
      <c r="D3017" s="47"/>
      <c r="E3017" s="47"/>
      <c r="F3017" s="47"/>
      <c r="G3017" s="47"/>
      <c r="H3017" s="47"/>
      <c r="I3017" s="47"/>
      <c r="J3017" s="1">
        <v>42.0</v>
      </c>
    </row>
    <row r="3018" ht="15.75" hidden="1" customHeight="1">
      <c r="A3018" s="47"/>
      <c r="B3018" s="47"/>
      <c r="C3018" s="47"/>
      <c r="D3018" s="47"/>
      <c r="E3018" s="47"/>
      <c r="F3018" s="47"/>
      <c r="G3018" s="47"/>
      <c r="H3018" s="47"/>
      <c r="I3018" s="47"/>
      <c r="J3018" s="1">
        <v>42.0</v>
      </c>
    </row>
    <row r="3019" ht="15.75" hidden="1" customHeight="1">
      <c r="A3019" s="47"/>
      <c r="B3019" s="47"/>
      <c r="C3019" s="47"/>
      <c r="D3019" s="47"/>
      <c r="E3019" s="47"/>
      <c r="F3019" s="47"/>
      <c r="G3019" s="47"/>
      <c r="H3019" s="47"/>
      <c r="I3019" s="47"/>
      <c r="J3019" s="1">
        <v>42.0</v>
      </c>
    </row>
    <row r="3020" ht="15.75" hidden="1" customHeight="1">
      <c r="A3020" s="47"/>
      <c r="B3020" s="47"/>
      <c r="C3020" s="47"/>
      <c r="D3020" s="47"/>
      <c r="E3020" s="47"/>
      <c r="F3020" s="47"/>
      <c r="G3020" s="47"/>
      <c r="H3020" s="47"/>
      <c r="I3020" s="47"/>
      <c r="J3020" s="1">
        <v>42.0</v>
      </c>
    </row>
    <row r="3021" ht="15.75" hidden="1" customHeight="1">
      <c r="A3021" s="47"/>
      <c r="B3021" s="47"/>
      <c r="C3021" s="47"/>
      <c r="D3021" s="47"/>
      <c r="E3021" s="47"/>
      <c r="F3021" s="47"/>
      <c r="G3021" s="47"/>
      <c r="H3021" s="47"/>
      <c r="I3021" s="47"/>
      <c r="J3021" s="1">
        <v>42.0</v>
      </c>
    </row>
    <row r="3022" ht="15.75" hidden="1" customHeight="1">
      <c r="A3022" s="47"/>
      <c r="B3022" s="47"/>
      <c r="C3022" s="47"/>
      <c r="D3022" s="47"/>
      <c r="E3022" s="47"/>
      <c r="F3022" s="47"/>
      <c r="G3022" s="47"/>
      <c r="H3022" s="47"/>
      <c r="I3022" s="47"/>
      <c r="J3022" s="1">
        <v>42.0</v>
      </c>
    </row>
    <row r="3023" ht="15.75" hidden="1" customHeight="1">
      <c r="A3023" s="47"/>
      <c r="B3023" s="47"/>
      <c r="C3023" s="47"/>
      <c r="D3023" s="47"/>
      <c r="E3023" s="47"/>
      <c r="F3023" s="47"/>
      <c r="G3023" s="47"/>
      <c r="H3023" s="47"/>
      <c r="I3023" s="47"/>
      <c r="J3023" s="1">
        <v>42.0</v>
      </c>
    </row>
    <row r="3024" ht="15.75" hidden="1" customHeight="1">
      <c r="A3024" s="47"/>
      <c r="B3024" s="47"/>
      <c r="C3024" s="47"/>
      <c r="D3024" s="47"/>
      <c r="E3024" s="47"/>
      <c r="F3024" s="47"/>
      <c r="G3024" s="47"/>
      <c r="H3024" s="47"/>
      <c r="I3024" s="47"/>
      <c r="J3024" s="1">
        <v>42.0</v>
      </c>
    </row>
    <row r="3025" ht="15.75" hidden="1" customHeight="1">
      <c r="A3025" s="47"/>
      <c r="B3025" s="47"/>
      <c r="C3025" s="47"/>
      <c r="D3025" s="47"/>
      <c r="E3025" s="47"/>
      <c r="F3025" s="47"/>
      <c r="G3025" s="47"/>
      <c r="H3025" s="47"/>
      <c r="I3025" s="47"/>
      <c r="J3025" s="1">
        <v>42.0</v>
      </c>
    </row>
    <row r="3026" ht="15.75" hidden="1" customHeight="1">
      <c r="A3026" s="47"/>
      <c r="B3026" s="47"/>
      <c r="C3026" s="47"/>
      <c r="D3026" s="47"/>
      <c r="E3026" s="47"/>
      <c r="F3026" s="47"/>
      <c r="G3026" s="47"/>
      <c r="H3026" s="47"/>
      <c r="I3026" s="47"/>
      <c r="J3026" s="1">
        <v>42.0</v>
      </c>
    </row>
    <row r="3027" ht="15.75" hidden="1" customHeight="1">
      <c r="A3027" s="47"/>
      <c r="B3027" s="47"/>
      <c r="C3027" s="47"/>
      <c r="D3027" s="47"/>
      <c r="E3027" s="47"/>
      <c r="F3027" s="47"/>
      <c r="G3027" s="47"/>
      <c r="H3027" s="47"/>
      <c r="I3027" s="47"/>
      <c r="J3027" s="1">
        <v>42.0</v>
      </c>
    </row>
    <row r="3028" ht="15.75" hidden="1" customHeight="1">
      <c r="A3028" s="47"/>
      <c r="B3028" s="47"/>
      <c r="C3028" s="47"/>
      <c r="D3028" s="47"/>
      <c r="E3028" s="47"/>
      <c r="F3028" s="47"/>
      <c r="G3028" s="47"/>
      <c r="H3028" s="47"/>
      <c r="I3028" s="47"/>
      <c r="J3028" s="1">
        <v>42.0</v>
      </c>
    </row>
    <row r="3029" ht="15.75" hidden="1" customHeight="1">
      <c r="A3029" s="47"/>
      <c r="B3029" s="47"/>
      <c r="C3029" s="47"/>
      <c r="D3029" s="47"/>
      <c r="E3029" s="47"/>
      <c r="F3029" s="47"/>
      <c r="G3029" s="47"/>
      <c r="H3029" s="47"/>
      <c r="I3029" s="47"/>
      <c r="J3029" s="1">
        <v>42.0</v>
      </c>
    </row>
    <row r="3030" ht="15.75" hidden="1" customHeight="1">
      <c r="A3030" s="47"/>
      <c r="B3030" s="47"/>
      <c r="C3030" s="47"/>
      <c r="D3030" s="47"/>
      <c r="E3030" s="47"/>
      <c r="F3030" s="47"/>
      <c r="G3030" s="47"/>
      <c r="H3030" s="47"/>
      <c r="I3030" s="47"/>
      <c r="J3030" s="1">
        <v>42.0</v>
      </c>
    </row>
    <row r="3031" ht="15.75" hidden="1" customHeight="1">
      <c r="A3031" s="47"/>
      <c r="B3031" s="47"/>
      <c r="C3031" s="47"/>
      <c r="D3031" s="47"/>
      <c r="E3031" s="47"/>
      <c r="F3031" s="47"/>
      <c r="G3031" s="47"/>
      <c r="H3031" s="47"/>
      <c r="I3031" s="47"/>
      <c r="J3031" s="1">
        <v>42.0</v>
      </c>
    </row>
    <row r="3032" ht="15.75" hidden="1" customHeight="1">
      <c r="A3032" s="47"/>
      <c r="B3032" s="47"/>
      <c r="C3032" s="47"/>
      <c r="D3032" s="47"/>
      <c r="E3032" s="47"/>
      <c r="F3032" s="47"/>
      <c r="G3032" s="47"/>
      <c r="H3032" s="47"/>
      <c r="I3032" s="47"/>
      <c r="J3032" s="1">
        <v>42.0</v>
      </c>
    </row>
    <row r="3033" ht="15.75" hidden="1" customHeight="1">
      <c r="A3033" s="47"/>
      <c r="B3033" s="47"/>
      <c r="C3033" s="47"/>
      <c r="D3033" s="47"/>
      <c r="E3033" s="47"/>
      <c r="F3033" s="47"/>
      <c r="G3033" s="47"/>
      <c r="H3033" s="47"/>
      <c r="I3033" s="47"/>
      <c r="J3033" s="1">
        <v>42.0</v>
      </c>
    </row>
    <row r="3034" ht="15.75" hidden="1" customHeight="1">
      <c r="A3034" s="47"/>
      <c r="B3034" s="47"/>
      <c r="C3034" s="47"/>
      <c r="D3034" s="47"/>
      <c r="E3034" s="47"/>
      <c r="F3034" s="47"/>
      <c r="G3034" s="47"/>
      <c r="H3034" s="47"/>
      <c r="I3034" s="47"/>
      <c r="J3034" s="1">
        <v>42.0</v>
      </c>
    </row>
    <row r="3035" ht="15.75" hidden="1" customHeight="1">
      <c r="A3035" s="47"/>
      <c r="B3035" s="47"/>
      <c r="C3035" s="47"/>
      <c r="D3035" s="47"/>
      <c r="E3035" s="47"/>
      <c r="F3035" s="47"/>
      <c r="G3035" s="47"/>
      <c r="H3035" s="47"/>
      <c r="I3035" s="47"/>
      <c r="J3035" s="1">
        <v>42.0</v>
      </c>
    </row>
    <row r="3036" ht="15.75" hidden="1" customHeight="1">
      <c r="A3036" s="47"/>
      <c r="B3036" s="47"/>
      <c r="C3036" s="47"/>
      <c r="D3036" s="47"/>
      <c r="E3036" s="47"/>
      <c r="F3036" s="47"/>
      <c r="G3036" s="47"/>
      <c r="H3036" s="47"/>
      <c r="I3036" s="47"/>
      <c r="J3036" s="1">
        <v>42.0</v>
      </c>
    </row>
    <row r="3037" ht="15.75" hidden="1" customHeight="1">
      <c r="A3037" s="47"/>
      <c r="B3037" s="47"/>
      <c r="C3037" s="47"/>
      <c r="D3037" s="47"/>
      <c r="E3037" s="47"/>
      <c r="F3037" s="47"/>
      <c r="G3037" s="47"/>
      <c r="H3037" s="47"/>
      <c r="I3037" s="47"/>
      <c r="J3037" s="1">
        <v>42.0</v>
      </c>
    </row>
    <row r="3038" ht="15.75" hidden="1" customHeight="1">
      <c r="A3038" s="47"/>
      <c r="B3038" s="47"/>
      <c r="C3038" s="47"/>
      <c r="D3038" s="47"/>
      <c r="E3038" s="47"/>
      <c r="F3038" s="47"/>
      <c r="G3038" s="47"/>
      <c r="H3038" s="47"/>
      <c r="I3038" s="47"/>
      <c r="J3038" s="1">
        <v>42.0</v>
      </c>
    </row>
    <row r="3039" ht="15.75" hidden="1" customHeight="1">
      <c r="A3039" s="47"/>
      <c r="B3039" s="47"/>
      <c r="C3039" s="47"/>
      <c r="D3039" s="47"/>
      <c r="E3039" s="47"/>
      <c r="F3039" s="47"/>
      <c r="G3039" s="47"/>
      <c r="H3039" s="47"/>
      <c r="I3039" s="47"/>
      <c r="J3039" s="1">
        <v>42.0</v>
      </c>
    </row>
    <row r="3040" ht="15.75" hidden="1" customHeight="1">
      <c r="A3040" s="47"/>
      <c r="B3040" s="47"/>
      <c r="C3040" s="47"/>
      <c r="D3040" s="47"/>
      <c r="E3040" s="47"/>
      <c r="F3040" s="47"/>
      <c r="G3040" s="47"/>
      <c r="H3040" s="47"/>
      <c r="I3040" s="47"/>
      <c r="J3040" s="1">
        <v>42.0</v>
      </c>
    </row>
    <row r="3041" ht="15.75" hidden="1" customHeight="1">
      <c r="A3041" s="47"/>
      <c r="B3041" s="47"/>
      <c r="C3041" s="47"/>
      <c r="D3041" s="47"/>
      <c r="E3041" s="47"/>
      <c r="F3041" s="47"/>
      <c r="G3041" s="47"/>
      <c r="H3041" s="47"/>
      <c r="I3041" s="47"/>
      <c r="J3041" s="1">
        <v>42.0</v>
      </c>
    </row>
    <row r="3042" ht="15.75" hidden="1" customHeight="1">
      <c r="A3042" s="47"/>
      <c r="B3042" s="47"/>
      <c r="C3042" s="47"/>
      <c r="D3042" s="47"/>
      <c r="E3042" s="47"/>
      <c r="F3042" s="47"/>
      <c r="G3042" s="47"/>
      <c r="H3042" s="47"/>
      <c r="I3042" s="47"/>
      <c r="J3042" s="1">
        <v>42.0</v>
      </c>
    </row>
    <row r="3043" ht="15.75" hidden="1" customHeight="1">
      <c r="A3043" s="47"/>
      <c r="B3043" s="47"/>
      <c r="C3043" s="47"/>
      <c r="D3043" s="47"/>
      <c r="E3043" s="47"/>
      <c r="F3043" s="47"/>
      <c r="G3043" s="47"/>
      <c r="H3043" s="47"/>
      <c r="I3043" s="47"/>
      <c r="J3043" s="1">
        <v>42.0</v>
      </c>
    </row>
    <row r="3044" ht="15.75" hidden="1" customHeight="1">
      <c r="A3044" s="47"/>
      <c r="B3044" s="47"/>
      <c r="C3044" s="47"/>
      <c r="D3044" s="47"/>
      <c r="E3044" s="47"/>
      <c r="F3044" s="47"/>
      <c r="G3044" s="47"/>
      <c r="H3044" s="47"/>
      <c r="I3044" s="47"/>
      <c r="J3044" s="1">
        <v>42.0</v>
      </c>
    </row>
    <row r="3045" ht="15.75" hidden="1" customHeight="1">
      <c r="A3045" s="47"/>
      <c r="B3045" s="47"/>
      <c r="C3045" s="47"/>
      <c r="D3045" s="47"/>
      <c r="E3045" s="47"/>
      <c r="F3045" s="47"/>
      <c r="G3045" s="47"/>
      <c r="H3045" s="47"/>
      <c r="I3045" s="47"/>
      <c r="J3045" s="1">
        <v>42.0</v>
      </c>
    </row>
    <row r="3046" ht="15.75" hidden="1" customHeight="1">
      <c r="A3046" s="47"/>
      <c r="B3046" s="47"/>
      <c r="C3046" s="47"/>
      <c r="D3046" s="47"/>
      <c r="E3046" s="47"/>
      <c r="F3046" s="47"/>
      <c r="G3046" s="47"/>
      <c r="H3046" s="47"/>
      <c r="I3046" s="47"/>
      <c r="J3046" s="1">
        <v>42.0</v>
      </c>
    </row>
    <row r="3047" ht="15.75" hidden="1" customHeight="1">
      <c r="A3047" s="47"/>
      <c r="B3047" s="47"/>
      <c r="C3047" s="47"/>
      <c r="D3047" s="47"/>
      <c r="E3047" s="47"/>
      <c r="F3047" s="47"/>
      <c r="G3047" s="47"/>
      <c r="H3047" s="47"/>
      <c r="I3047" s="47"/>
      <c r="J3047" s="1">
        <v>42.0</v>
      </c>
    </row>
    <row r="3048" ht="15.75" hidden="1" customHeight="1">
      <c r="A3048" s="47"/>
      <c r="B3048" s="47"/>
      <c r="C3048" s="47"/>
      <c r="D3048" s="47"/>
      <c r="E3048" s="47"/>
      <c r="F3048" s="47"/>
      <c r="G3048" s="47"/>
      <c r="H3048" s="47"/>
      <c r="I3048" s="47"/>
      <c r="J3048" s="1">
        <v>42.0</v>
      </c>
    </row>
    <row r="3049" ht="15.75" hidden="1" customHeight="1">
      <c r="A3049" s="47"/>
      <c r="B3049" s="47"/>
      <c r="C3049" s="47"/>
      <c r="D3049" s="47"/>
      <c r="E3049" s="47"/>
      <c r="F3049" s="47"/>
      <c r="G3049" s="47"/>
      <c r="H3049" s="47"/>
      <c r="I3049" s="47"/>
      <c r="J3049" s="1">
        <v>42.0</v>
      </c>
    </row>
    <row r="3050" ht="15.75" hidden="1" customHeight="1">
      <c r="A3050" s="47"/>
      <c r="B3050" s="47"/>
      <c r="C3050" s="47"/>
      <c r="D3050" s="47"/>
      <c r="E3050" s="47"/>
      <c r="F3050" s="47"/>
      <c r="G3050" s="47"/>
      <c r="H3050" s="47"/>
      <c r="I3050" s="47"/>
      <c r="J3050" s="1">
        <v>42.0</v>
      </c>
    </row>
    <row r="3051" ht="15.75" hidden="1" customHeight="1">
      <c r="A3051" s="47"/>
      <c r="B3051" s="47"/>
      <c r="C3051" s="47"/>
      <c r="D3051" s="47"/>
      <c r="E3051" s="47"/>
      <c r="F3051" s="47"/>
      <c r="G3051" s="47"/>
      <c r="H3051" s="47"/>
      <c r="I3051" s="47"/>
      <c r="J3051" s="1">
        <v>42.0</v>
      </c>
    </row>
    <row r="3052" ht="15.75" hidden="1" customHeight="1">
      <c r="A3052" s="47"/>
      <c r="B3052" s="47"/>
      <c r="C3052" s="47"/>
      <c r="D3052" s="47"/>
      <c r="E3052" s="47"/>
      <c r="F3052" s="47"/>
      <c r="G3052" s="47"/>
      <c r="H3052" s="47"/>
      <c r="I3052" s="47"/>
      <c r="J3052" s="1">
        <v>42.0</v>
      </c>
    </row>
    <row r="3053" ht="15.75" hidden="1" customHeight="1">
      <c r="A3053" s="47"/>
      <c r="B3053" s="47"/>
      <c r="C3053" s="47"/>
      <c r="D3053" s="47"/>
      <c r="E3053" s="47"/>
      <c r="F3053" s="47"/>
      <c r="G3053" s="47"/>
      <c r="H3053" s="47"/>
      <c r="I3053" s="47"/>
      <c r="J3053" s="1">
        <v>42.0</v>
      </c>
    </row>
    <row r="3054" ht="15.75" hidden="1" customHeight="1">
      <c r="A3054" s="47"/>
      <c r="B3054" s="47"/>
      <c r="C3054" s="47"/>
      <c r="D3054" s="47"/>
      <c r="E3054" s="47"/>
      <c r="F3054" s="47"/>
      <c r="G3054" s="47"/>
      <c r="H3054" s="47"/>
      <c r="I3054" s="47"/>
      <c r="J3054" s="1">
        <v>42.0</v>
      </c>
    </row>
    <row r="3055" ht="15.75" hidden="1" customHeight="1">
      <c r="A3055" s="47"/>
      <c r="B3055" s="47"/>
      <c r="C3055" s="47"/>
      <c r="D3055" s="47"/>
      <c r="E3055" s="47"/>
      <c r="F3055" s="47"/>
      <c r="G3055" s="47"/>
      <c r="H3055" s="47"/>
      <c r="I3055" s="47"/>
      <c r="J3055" s="1">
        <v>42.0</v>
      </c>
    </row>
    <row r="3056" ht="15.75" hidden="1" customHeight="1">
      <c r="A3056" s="47"/>
      <c r="B3056" s="47"/>
      <c r="C3056" s="47"/>
      <c r="D3056" s="47"/>
      <c r="E3056" s="47"/>
      <c r="F3056" s="47"/>
      <c r="G3056" s="47"/>
      <c r="H3056" s="47"/>
      <c r="I3056" s="47"/>
      <c r="J3056" s="1">
        <v>42.0</v>
      </c>
    </row>
    <row r="3057" ht="15.75" hidden="1" customHeight="1">
      <c r="A3057" s="47"/>
      <c r="B3057" s="47"/>
      <c r="C3057" s="47"/>
      <c r="D3057" s="47"/>
      <c r="E3057" s="47"/>
      <c r="F3057" s="47"/>
      <c r="G3057" s="47"/>
      <c r="H3057" s="47"/>
      <c r="I3057" s="47"/>
      <c r="J3057" s="1">
        <v>42.0</v>
      </c>
    </row>
    <row r="3058" ht="15.75" hidden="1" customHeight="1">
      <c r="A3058" s="47"/>
      <c r="B3058" s="47"/>
      <c r="C3058" s="47"/>
      <c r="D3058" s="47"/>
      <c r="E3058" s="47"/>
      <c r="F3058" s="47"/>
      <c r="G3058" s="47"/>
      <c r="H3058" s="47"/>
      <c r="I3058" s="47"/>
      <c r="J3058" s="1">
        <v>42.0</v>
      </c>
    </row>
    <row r="3059" ht="15.75" hidden="1" customHeight="1">
      <c r="A3059" s="47"/>
      <c r="B3059" s="47"/>
      <c r="C3059" s="47"/>
      <c r="D3059" s="47"/>
      <c r="E3059" s="47"/>
      <c r="F3059" s="47"/>
      <c r="G3059" s="47"/>
      <c r="H3059" s="47"/>
      <c r="I3059" s="47"/>
      <c r="J3059" s="1">
        <v>42.0</v>
      </c>
    </row>
    <row r="3060" ht="15.75" hidden="1" customHeight="1">
      <c r="A3060" s="47"/>
      <c r="B3060" s="47"/>
      <c r="C3060" s="47"/>
      <c r="D3060" s="47"/>
      <c r="E3060" s="47"/>
      <c r="F3060" s="47"/>
      <c r="G3060" s="47"/>
      <c r="H3060" s="47"/>
      <c r="I3060" s="47"/>
      <c r="J3060" s="1">
        <v>42.0</v>
      </c>
    </row>
    <row r="3061" ht="15.75" hidden="1" customHeight="1">
      <c r="A3061" s="47"/>
      <c r="B3061" s="47"/>
      <c r="C3061" s="47"/>
      <c r="D3061" s="47"/>
      <c r="E3061" s="47"/>
      <c r="F3061" s="47"/>
      <c r="G3061" s="47"/>
      <c r="H3061" s="47"/>
      <c r="I3061" s="47"/>
      <c r="J3061" s="1">
        <v>42.0</v>
      </c>
    </row>
    <row r="3062" ht="15.75" hidden="1" customHeight="1">
      <c r="A3062" s="47"/>
      <c r="B3062" s="47"/>
      <c r="C3062" s="47"/>
      <c r="D3062" s="47"/>
      <c r="E3062" s="47"/>
      <c r="F3062" s="47"/>
      <c r="G3062" s="47"/>
      <c r="H3062" s="47"/>
      <c r="I3062" s="47"/>
      <c r="J3062" s="1">
        <v>42.0</v>
      </c>
    </row>
    <row r="3063" ht="15.75" hidden="1" customHeight="1">
      <c r="A3063" s="47"/>
      <c r="B3063" s="47"/>
      <c r="C3063" s="47"/>
      <c r="D3063" s="47"/>
      <c r="E3063" s="47"/>
      <c r="F3063" s="47"/>
      <c r="G3063" s="47"/>
      <c r="H3063" s="47"/>
      <c r="I3063" s="47"/>
      <c r="J3063" s="1">
        <v>42.0</v>
      </c>
    </row>
    <row r="3064" ht="15.75" hidden="1" customHeight="1">
      <c r="A3064" s="47"/>
      <c r="B3064" s="47"/>
      <c r="C3064" s="47"/>
      <c r="D3064" s="47"/>
      <c r="E3064" s="47"/>
      <c r="F3064" s="47"/>
      <c r="G3064" s="47"/>
      <c r="H3064" s="47"/>
      <c r="I3064" s="47"/>
      <c r="J3064" s="1">
        <v>42.0</v>
      </c>
    </row>
    <row r="3065" ht="15.75" hidden="1" customHeight="1">
      <c r="A3065" s="47"/>
      <c r="B3065" s="47"/>
      <c r="C3065" s="47"/>
      <c r="D3065" s="47"/>
      <c r="E3065" s="47"/>
      <c r="F3065" s="47"/>
      <c r="G3065" s="47"/>
      <c r="H3065" s="47"/>
      <c r="I3065" s="47"/>
      <c r="J3065" s="1">
        <v>42.0</v>
      </c>
    </row>
    <row r="3066" ht="15.75" hidden="1" customHeight="1">
      <c r="A3066" s="47"/>
      <c r="B3066" s="47"/>
      <c r="C3066" s="47"/>
      <c r="D3066" s="47"/>
      <c r="E3066" s="47"/>
      <c r="F3066" s="47"/>
      <c r="G3066" s="47"/>
      <c r="H3066" s="47"/>
      <c r="I3066" s="47"/>
      <c r="J3066" s="1">
        <v>42.0</v>
      </c>
    </row>
    <row r="3067" ht="15.75" hidden="1" customHeight="1">
      <c r="A3067" s="47"/>
      <c r="B3067" s="47"/>
      <c r="C3067" s="47"/>
      <c r="D3067" s="47"/>
      <c r="E3067" s="47"/>
      <c r="F3067" s="47"/>
      <c r="G3067" s="47"/>
      <c r="H3067" s="47"/>
      <c r="I3067" s="47"/>
      <c r="J3067" s="1">
        <v>42.0</v>
      </c>
    </row>
    <row r="3068" ht="15.75" hidden="1" customHeight="1">
      <c r="A3068" s="47"/>
      <c r="B3068" s="47"/>
      <c r="C3068" s="47"/>
      <c r="D3068" s="47"/>
      <c r="E3068" s="47"/>
      <c r="F3068" s="47"/>
      <c r="G3068" s="47"/>
      <c r="H3068" s="47"/>
      <c r="I3068" s="47"/>
      <c r="J3068" s="1">
        <v>42.0</v>
      </c>
    </row>
    <row r="3069" ht="15.75" hidden="1" customHeight="1">
      <c r="A3069" s="47"/>
      <c r="B3069" s="47"/>
      <c r="C3069" s="47"/>
      <c r="D3069" s="47"/>
      <c r="E3069" s="47"/>
      <c r="F3069" s="47"/>
      <c r="G3069" s="47"/>
      <c r="H3069" s="47"/>
      <c r="I3069" s="47"/>
      <c r="J3069" s="1">
        <v>42.0</v>
      </c>
    </row>
    <row r="3070" ht="15.75" hidden="1" customHeight="1">
      <c r="A3070" s="47"/>
      <c r="B3070" s="47"/>
      <c r="C3070" s="47"/>
      <c r="D3070" s="47"/>
      <c r="E3070" s="47"/>
      <c r="F3070" s="47"/>
      <c r="G3070" s="47"/>
      <c r="H3070" s="47"/>
      <c r="I3070" s="47"/>
      <c r="J3070" s="1">
        <v>42.0</v>
      </c>
    </row>
    <row r="3071" ht="15.75" hidden="1" customHeight="1">
      <c r="A3071" s="47"/>
      <c r="B3071" s="47"/>
      <c r="C3071" s="47"/>
      <c r="D3071" s="47"/>
      <c r="E3071" s="47"/>
      <c r="F3071" s="47"/>
      <c r="G3071" s="47"/>
      <c r="H3071" s="47"/>
      <c r="I3071" s="47"/>
      <c r="J3071" s="1">
        <v>42.0</v>
      </c>
    </row>
    <row r="3072" ht="15.75" hidden="1" customHeight="1">
      <c r="A3072" s="47"/>
      <c r="B3072" s="47"/>
      <c r="C3072" s="47"/>
      <c r="D3072" s="47"/>
      <c r="E3072" s="47"/>
      <c r="F3072" s="47"/>
      <c r="G3072" s="47"/>
      <c r="H3072" s="47"/>
      <c r="I3072" s="47"/>
      <c r="J3072" s="1">
        <v>42.0</v>
      </c>
    </row>
    <row r="3073" ht="15.75" hidden="1" customHeight="1">
      <c r="A3073" s="47"/>
      <c r="B3073" s="47"/>
      <c r="C3073" s="47"/>
      <c r="D3073" s="47"/>
      <c r="E3073" s="47"/>
      <c r="F3073" s="47"/>
      <c r="G3073" s="47"/>
      <c r="H3073" s="47"/>
      <c r="I3073" s="47"/>
      <c r="J3073" s="1">
        <v>42.0</v>
      </c>
    </row>
    <row r="3074" ht="15.75" hidden="1" customHeight="1">
      <c r="A3074" s="47"/>
      <c r="B3074" s="47"/>
      <c r="C3074" s="47"/>
      <c r="D3074" s="47"/>
      <c r="E3074" s="47"/>
      <c r="F3074" s="47"/>
      <c r="G3074" s="47"/>
      <c r="H3074" s="47"/>
      <c r="I3074" s="47"/>
      <c r="J3074" s="1">
        <v>42.0</v>
      </c>
    </row>
    <row r="3075" ht="15.75" hidden="1" customHeight="1">
      <c r="A3075" s="47"/>
      <c r="B3075" s="47"/>
      <c r="C3075" s="47"/>
      <c r="D3075" s="47"/>
      <c r="E3075" s="47"/>
      <c r="F3075" s="47"/>
      <c r="G3075" s="47"/>
      <c r="H3075" s="47"/>
      <c r="I3075" s="47"/>
      <c r="J3075" s="1">
        <v>42.0</v>
      </c>
    </row>
    <row r="3076" ht="15.75" hidden="1" customHeight="1">
      <c r="A3076" s="47"/>
      <c r="B3076" s="47"/>
      <c r="C3076" s="47"/>
      <c r="D3076" s="47"/>
      <c r="E3076" s="47"/>
      <c r="F3076" s="47"/>
      <c r="G3076" s="47"/>
      <c r="H3076" s="47"/>
      <c r="I3076" s="47"/>
      <c r="J3076" s="1">
        <v>42.0</v>
      </c>
    </row>
    <row r="3077" ht="15.75" hidden="1" customHeight="1">
      <c r="A3077" s="47"/>
      <c r="B3077" s="47"/>
      <c r="C3077" s="47"/>
      <c r="D3077" s="47"/>
      <c r="E3077" s="47"/>
      <c r="F3077" s="47"/>
      <c r="G3077" s="47"/>
      <c r="H3077" s="47"/>
      <c r="I3077" s="47"/>
      <c r="J3077" s="1">
        <v>42.0</v>
      </c>
    </row>
    <row r="3078" ht="15.75" hidden="1" customHeight="1">
      <c r="A3078" s="47"/>
      <c r="B3078" s="47"/>
      <c r="C3078" s="47"/>
      <c r="D3078" s="47"/>
      <c r="E3078" s="47"/>
      <c r="F3078" s="47"/>
      <c r="G3078" s="47"/>
      <c r="H3078" s="47"/>
      <c r="I3078" s="47"/>
      <c r="J3078" s="1">
        <v>42.0</v>
      </c>
    </row>
    <row r="3079" ht="15.75" hidden="1" customHeight="1">
      <c r="A3079" s="47"/>
      <c r="B3079" s="47"/>
      <c r="C3079" s="47"/>
      <c r="D3079" s="47"/>
      <c r="E3079" s="47"/>
      <c r="F3079" s="47"/>
      <c r="G3079" s="47"/>
      <c r="H3079" s="47"/>
      <c r="I3079" s="47"/>
      <c r="J3079" s="1">
        <v>42.0</v>
      </c>
    </row>
    <row r="3080" ht="15.75" hidden="1" customHeight="1">
      <c r="A3080" s="47"/>
      <c r="B3080" s="47"/>
      <c r="C3080" s="47"/>
      <c r="D3080" s="47"/>
      <c r="E3080" s="47"/>
      <c r="F3080" s="47"/>
      <c r="G3080" s="47"/>
      <c r="H3080" s="47"/>
      <c r="I3080" s="47"/>
      <c r="J3080" s="1">
        <v>42.0</v>
      </c>
    </row>
    <row r="3081" ht="15.75" hidden="1" customHeight="1">
      <c r="A3081" s="47"/>
      <c r="B3081" s="47"/>
      <c r="C3081" s="47"/>
      <c r="D3081" s="47"/>
      <c r="E3081" s="47"/>
      <c r="F3081" s="47"/>
      <c r="G3081" s="47"/>
      <c r="H3081" s="47"/>
      <c r="I3081" s="47"/>
      <c r="J3081" s="1">
        <v>42.0</v>
      </c>
    </row>
    <row r="3082" ht="15.75" hidden="1" customHeight="1">
      <c r="A3082" s="47"/>
      <c r="B3082" s="47"/>
      <c r="C3082" s="47"/>
      <c r="D3082" s="47"/>
      <c r="E3082" s="47"/>
      <c r="F3082" s="47"/>
      <c r="G3082" s="47"/>
      <c r="H3082" s="47"/>
      <c r="I3082" s="47"/>
      <c r="J3082" s="1">
        <v>42.0</v>
      </c>
    </row>
    <row r="3083" ht="15.75" hidden="1" customHeight="1">
      <c r="A3083" s="47"/>
      <c r="B3083" s="47"/>
      <c r="C3083" s="47"/>
      <c r="D3083" s="47"/>
      <c r="E3083" s="47"/>
      <c r="F3083" s="47"/>
      <c r="G3083" s="47"/>
      <c r="H3083" s="47"/>
      <c r="I3083" s="47"/>
      <c r="J3083" s="1">
        <v>42.0</v>
      </c>
    </row>
    <row r="3084" ht="15.75" hidden="1" customHeight="1">
      <c r="A3084" s="47"/>
      <c r="B3084" s="47"/>
      <c r="C3084" s="47"/>
      <c r="D3084" s="47"/>
      <c r="E3084" s="47"/>
      <c r="F3084" s="47"/>
      <c r="G3084" s="47"/>
      <c r="H3084" s="47"/>
      <c r="I3084" s="47"/>
      <c r="J3084" s="1">
        <v>42.0</v>
      </c>
    </row>
    <row r="3085" ht="15.75" hidden="1" customHeight="1">
      <c r="A3085" s="47"/>
      <c r="B3085" s="47"/>
      <c r="C3085" s="47"/>
      <c r="D3085" s="47"/>
      <c r="E3085" s="47"/>
      <c r="F3085" s="47"/>
      <c r="G3085" s="47"/>
      <c r="H3085" s="47"/>
      <c r="I3085" s="47"/>
      <c r="J3085" s="1">
        <v>42.0</v>
      </c>
    </row>
    <row r="3086" ht="15.75" hidden="1" customHeight="1">
      <c r="A3086" s="47"/>
      <c r="B3086" s="47"/>
      <c r="C3086" s="47"/>
      <c r="D3086" s="47"/>
      <c r="E3086" s="47"/>
      <c r="F3086" s="47"/>
      <c r="G3086" s="47"/>
      <c r="H3086" s="47"/>
      <c r="I3086" s="47"/>
      <c r="J3086" s="1">
        <v>42.0</v>
      </c>
    </row>
    <row r="3087" ht="15.75" hidden="1" customHeight="1">
      <c r="A3087" s="47"/>
      <c r="B3087" s="47"/>
      <c r="C3087" s="47"/>
      <c r="D3087" s="47"/>
      <c r="E3087" s="47"/>
      <c r="F3087" s="47"/>
      <c r="G3087" s="47"/>
      <c r="H3087" s="47"/>
      <c r="I3087" s="47"/>
      <c r="J3087" s="1">
        <v>42.0</v>
      </c>
    </row>
    <row r="3088" ht="15.75" hidden="1" customHeight="1">
      <c r="A3088" s="47"/>
      <c r="B3088" s="47"/>
      <c r="C3088" s="47"/>
      <c r="D3088" s="47"/>
      <c r="E3088" s="47"/>
      <c r="F3088" s="47"/>
      <c r="G3088" s="47"/>
      <c r="H3088" s="47"/>
      <c r="I3088" s="47"/>
      <c r="J3088" s="1">
        <v>42.0</v>
      </c>
    </row>
    <row r="3089" ht="15.75" hidden="1" customHeight="1">
      <c r="A3089" s="47"/>
      <c r="B3089" s="47"/>
      <c r="C3089" s="47"/>
      <c r="D3089" s="47"/>
      <c r="E3089" s="47"/>
      <c r="F3089" s="47"/>
      <c r="G3089" s="47"/>
      <c r="H3089" s="47"/>
      <c r="I3089" s="47"/>
      <c r="J3089" s="1">
        <v>42.0</v>
      </c>
    </row>
    <row r="3090" ht="15.75" hidden="1" customHeight="1">
      <c r="A3090" s="47"/>
      <c r="B3090" s="47"/>
      <c r="C3090" s="47"/>
      <c r="D3090" s="47"/>
      <c r="E3090" s="47"/>
      <c r="F3090" s="47"/>
      <c r="G3090" s="47"/>
      <c r="H3090" s="47"/>
      <c r="I3090" s="47"/>
      <c r="J3090" s="1">
        <v>42.0</v>
      </c>
    </row>
    <row r="3091" ht="15.75" hidden="1" customHeight="1">
      <c r="A3091" s="47"/>
      <c r="B3091" s="47"/>
      <c r="C3091" s="47"/>
      <c r="D3091" s="47"/>
      <c r="E3091" s="47"/>
      <c r="F3091" s="47"/>
      <c r="G3091" s="47"/>
      <c r="H3091" s="47"/>
      <c r="I3091" s="47"/>
      <c r="J3091" s="1">
        <v>42.0</v>
      </c>
    </row>
    <row r="3092" ht="15.75" hidden="1" customHeight="1">
      <c r="A3092" s="47"/>
      <c r="B3092" s="47"/>
      <c r="C3092" s="47"/>
      <c r="D3092" s="47"/>
      <c r="E3092" s="47"/>
      <c r="F3092" s="47"/>
      <c r="G3092" s="47"/>
      <c r="H3092" s="47"/>
      <c r="I3092" s="47"/>
      <c r="J3092" s="1">
        <v>42.0</v>
      </c>
    </row>
    <row r="3093" ht="15.75" hidden="1" customHeight="1">
      <c r="A3093" s="47"/>
      <c r="B3093" s="47"/>
      <c r="C3093" s="47"/>
      <c r="D3093" s="47"/>
      <c r="E3093" s="47"/>
      <c r="F3093" s="47"/>
      <c r="G3093" s="47"/>
      <c r="H3093" s="47"/>
      <c r="I3093" s="47"/>
      <c r="J3093" s="1">
        <v>42.0</v>
      </c>
    </row>
    <row r="3094" ht="15.75" hidden="1" customHeight="1">
      <c r="A3094" s="47"/>
      <c r="B3094" s="47"/>
      <c r="C3094" s="47"/>
      <c r="D3094" s="47"/>
      <c r="E3094" s="47"/>
      <c r="F3094" s="47"/>
      <c r="G3094" s="47"/>
      <c r="H3094" s="47"/>
      <c r="I3094" s="47"/>
      <c r="J3094" s="1">
        <v>42.0</v>
      </c>
    </row>
    <row r="3095" ht="15.75" hidden="1" customHeight="1">
      <c r="A3095" s="47"/>
      <c r="B3095" s="47"/>
      <c r="C3095" s="47"/>
      <c r="D3095" s="47"/>
      <c r="E3095" s="47"/>
      <c r="F3095" s="47"/>
      <c r="G3095" s="47"/>
      <c r="H3095" s="47"/>
      <c r="I3095" s="47"/>
      <c r="J3095" s="1">
        <v>42.0</v>
      </c>
    </row>
    <row r="3096" ht="15.75" hidden="1" customHeight="1">
      <c r="A3096" s="47"/>
      <c r="B3096" s="47"/>
      <c r="C3096" s="47"/>
      <c r="D3096" s="47"/>
      <c r="E3096" s="47"/>
      <c r="F3096" s="47"/>
      <c r="G3096" s="47"/>
      <c r="H3096" s="47"/>
      <c r="I3096" s="47"/>
      <c r="J3096" s="1">
        <v>42.0</v>
      </c>
    </row>
    <row r="3097" ht="15.75" hidden="1" customHeight="1">
      <c r="A3097" s="47"/>
      <c r="B3097" s="47"/>
      <c r="C3097" s="47"/>
      <c r="D3097" s="47"/>
      <c r="E3097" s="47"/>
      <c r="F3097" s="47"/>
      <c r="G3097" s="47"/>
      <c r="H3097" s="47"/>
      <c r="I3097" s="47"/>
      <c r="J3097" s="1">
        <v>42.0</v>
      </c>
    </row>
    <row r="3098" ht="15.75" hidden="1" customHeight="1">
      <c r="A3098" s="47"/>
      <c r="B3098" s="47"/>
      <c r="C3098" s="47"/>
      <c r="D3098" s="47"/>
      <c r="E3098" s="47"/>
      <c r="F3098" s="47"/>
      <c r="G3098" s="47"/>
      <c r="H3098" s="47"/>
      <c r="I3098" s="47"/>
      <c r="J3098" s="1">
        <v>42.0</v>
      </c>
    </row>
    <row r="3099" ht="15.75" hidden="1" customHeight="1">
      <c r="A3099" s="47"/>
      <c r="B3099" s="47"/>
      <c r="C3099" s="47"/>
      <c r="D3099" s="47"/>
      <c r="E3099" s="47"/>
      <c r="F3099" s="47"/>
      <c r="G3099" s="47"/>
      <c r="H3099" s="47"/>
      <c r="I3099" s="47"/>
      <c r="J3099" s="1">
        <v>42.0</v>
      </c>
    </row>
    <row r="3100" ht="15.75" hidden="1" customHeight="1">
      <c r="A3100" s="47"/>
      <c r="B3100" s="47"/>
      <c r="C3100" s="47"/>
      <c r="D3100" s="47"/>
      <c r="E3100" s="47"/>
      <c r="F3100" s="47"/>
      <c r="G3100" s="47"/>
      <c r="H3100" s="47"/>
      <c r="I3100" s="47"/>
      <c r="J3100" s="1">
        <v>42.0</v>
      </c>
    </row>
    <row r="3101" ht="15.75" hidden="1" customHeight="1">
      <c r="A3101" s="47"/>
      <c r="B3101" s="47"/>
      <c r="C3101" s="47"/>
      <c r="D3101" s="47"/>
      <c r="E3101" s="47"/>
      <c r="F3101" s="47"/>
      <c r="G3101" s="47"/>
      <c r="H3101" s="47"/>
      <c r="I3101" s="47"/>
      <c r="J3101" s="1">
        <v>42.0</v>
      </c>
    </row>
    <row r="3102" ht="15.75" hidden="1" customHeight="1">
      <c r="A3102" s="47"/>
      <c r="B3102" s="47"/>
      <c r="C3102" s="47"/>
      <c r="D3102" s="47"/>
      <c r="E3102" s="47"/>
      <c r="F3102" s="47"/>
      <c r="G3102" s="47"/>
      <c r="H3102" s="47"/>
      <c r="I3102" s="47"/>
      <c r="J3102" s="1">
        <v>42.0</v>
      </c>
    </row>
    <row r="3103" ht="15.75" hidden="1" customHeight="1">
      <c r="A3103" s="47"/>
      <c r="B3103" s="47"/>
      <c r="C3103" s="47"/>
      <c r="D3103" s="47"/>
      <c r="E3103" s="47"/>
      <c r="F3103" s="47"/>
      <c r="G3103" s="47"/>
      <c r="H3103" s="47"/>
      <c r="I3103" s="47"/>
      <c r="J3103" s="1">
        <v>42.0</v>
      </c>
    </row>
    <row r="3104" ht="15.75" hidden="1" customHeight="1">
      <c r="A3104" s="47"/>
      <c r="B3104" s="47"/>
      <c r="C3104" s="47"/>
      <c r="D3104" s="47"/>
      <c r="E3104" s="47"/>
      <c r="F3104" s="47"/>
      <c r="G3104" s="47"/>
      <c r="H3104" s="47"/>
      <c r="I3104" s="47"/>
      <c r="J3104" s="1">
        <v>42.0</v>
      </c>
    </row>
    <row r="3105" ht="15.75" hidden="1" customHeight="1">
      <c r="A3105" s="47"/>
      <c r="B3105" s="47"/>
      <c r="C3105" s="47"/>
      <c r="D3105" s="47"/>
      <c r="E3105" s="47"/>
      <c r="F3105" s="47"/>
      <c r="G3105" s="47"/>
      <c r="H3105" s="47"/>
      <c r="I3105" s="47"/>
      <c r="J3105" s="1">
        <v>42.0</v>
      </c>
    </row>
    <row r="3106" ht="15.75" hidden="1" customHeight="1">
      <c r="A3106" s="47"/>
      <c r="B3106" s="47"/>
      <c r="C3106" s="47"/>
      <c r="D3106" s="47"/>
      <c r="E3106" s="47"/>
      <c r="F3106" s="47"/>
      <c r="G3106" s="47"/>
      <c r="H3106" s="47"/>
      <c r="I3106" s="47"/>
      <c r="J3106" s="1">
        <v>42.0</v>
      </c>
    </row>
    <row r="3107" ht="15.75" hidden="1" customHeight="1">
      <c r="A3107" s="47"/>
      <c r="B3107" s="47"/>
      <c r="C3107" s="47"/>
      <c r="D3107" s="47"/>
      <c r="E3107" s="47"/>
      <c r="F3107" s="47"/>
      <c r="G3107" s="47"/>
      <c r="H3107" s="47"/>
      <c r="I3107" s="47"/>
      <c r="J3107" s="1">
        <v>42.0</v>
      </c>
    </row>
    <row r="3108" ht="15.75" hidden="1" customHeight="1">
      <c r="A3108" s="47"/>
      <c r="B3108" s="47"/>
      <c r="C3108" s="47"/>
      <c r="D3108" s="47"/>
      <c r="E3108" s="47"/>
      <c r="F3108" s="47"/>
      <c r="G3108" s="47"/>
      <c r="H3108" s="47"/>
      <c r="I3108" s="47"/>
      <c r="J3108" s="1">
        <v>42.0</v>
      </c>
    </row>
    <row r="3109" ht="15.75" hidden="1" customHeight="1">
      <c r="A3109" s="47"/>
      <c r="B3109" s="47"/>
      <c r="C3109" s="47"/>
      <c r="D3109" s="47"/>
      <c r="E3109" s="47"/>
      <c r="F3109" s="47"/>
      <c r="G3109" s="47"/>
      <c r="H3109" s="47"/>
      <c r="I3109" s="47"/>
      <c r="J3109" s="1">
        <v>42.0</v>
      </c>
    </row>
    <row r="3110" ht="15.75" hidden="1" customHeight="1">
      <c r="A3110" s="47"/>
      <c r="B3110" s="47"/>
      <c r="C3110" s="47"/>
      <c r="D3110" s="47"/>
      <c r="E3110" s="47"/>
      <c r="F3110" s="47"/>
      <c r="G3110" s="47"/>
      <c r="H3110" s="47"/>
      <c r="I3110" s="47"/>
      <c r="J3110" s="1">
        <v>42.0</v>
      </c>
    </row>
    <row r="3111" ht="15.75" hidden="1" customHeight="1">
      <c r="A3111" s="47"/>
      <c r="B3111" s="47"/>
      <c r="C3111" s="47"/>
      <c r="D3111" s="47"/>
      <c r="E3111" s="47"/>
      <c r="F3111" s="47"/>
      <c r="G3111" s="47"/>
      <c r="H3111" s="47"/>
      <c r="I3111" s="47"/>
      <c r="J3111" s="1">
        <v>42.0</v>
      </c>
    </row>
    <row r="3112" ht="15.75" hidden="1" customHeight="1">
      <c r="A3112" s="47"/>
      <c r="B3112" s="47"/>
      <c r="C3112" s="47"/>
      <c r="D3112" s="47"/>
      <c r="E3112" s="47"/>
      <c r="F3112" s="47"/>
      <c r="G3112" s="47"/>
      <c r="H3112" s="47"/>
      <c r="I3112" s="47"/>
      <c r="J3112" s="1">
        <v>42.0</v>
      </c>
    </row>
    <row r="3113" ht="15.75" hidden="1" customHeight="1">
      <c r="A3113" s="47"/>
      <c r="B3113" s="47"/>
      <c r="C3113" s="47"/>
      <c r="D3113" s="47"/>
      <c r="E3113" s="47"/>
      <c r="F3113" s="47"/>
      <c r="G3113" s="47"/>
      <c r="H3113" s="47"/>
      <c r="I3113" s="47"/>
      <c r="J3113" s="1">
        <v>42.0</v>
      </c>
    </row>
    <row r="3114" ht="15.75" hidden="1" customHeight="1">
      <c r="A3114" s="47"/>
      <c r="B3114" s="47"/>
      <c r="C3114" s="47"/>
      <c r="D3114" s="47"/>
      <c r="E3114" s="47"/>
      <c r="F3114" s="47"/>
      <c r="G3114" s="47"/>
      <c r="H3114" s="47"/>
      <c r="I3114" s="47"/>
      <c r="J3114" s="1">
        <v>42.0</v>
      </c>
    </row>
    <row r="3115" ht="15.75" hidden="1" customHeight="1">
      <c r="A3115" s="47"/>
      <c r="B3115" s="47"/>
      <c r="C3115" s="47"/>
      <c r="D3115" s="47"/>
      <c r="E3115" s="47"/>
      <c r="F3115" s="47"/>
      <c r="G3115" s="47"/>
      <c r="H3115" s="47"/>
      <c r="I3115" s="47"/>
      <c r="J3115" s="1">
        <v>42.0</v>
      </c>
    </row>
    <row r="3116" ht="15.75" hidden="1" customHeight="1">
      <c r="A3116" s="47"/>
      <c r="B3116" s="47"/>
      <c r="C3116" s="47"/>
      <c r="D3116" s="47"/>
      <c r="E3116" s="47"/>
      <c r="F3116" s="47"/>
      <c r="G3116" s="47"/>
      <c r="H3116" s="47"/>
      <c r="I3116" s="47"/>
      <c r="J3116" s="1">
        <v>42.0</v>
      </c>
    </row>
    <row r="3117" ht="15.75" hidden="1" customHeight="1">
      <c r="A3117" s="47"/>
      <c r="B3117" s="47"/>
      <c r="C3117" s="47"/>
      <c r="D3117" s="47"/>
      <c r="E3117" s="47"/>
      <c r="F3117" s="47"/>
      <c r="G3117" s="47"/>
      <c r="H3117" s="47"/>
      <c r="I3117" s="47"/>
      <c r="J3117" s="1">
        <v>42.0</v>
      </c>
    </row>
    <row r="3118" ht="15.75" hidden="1" customHeight="1">
      <c r="A3118" s="47"/>
      <c r="B3118" s="47"/>
      <c r="C3118" s="47"/>
      <c r="D3118" s="47"/>
      <c r="E3118" s="47"/>
      <c r="F3118" s="47"/>
      <c r="G3118" s="47"/>
      <c r="H3118" s="47"/>
      <c r="I3118" s="47"/>
      <c r="J3118" s="1">
        <v>42.0</v>
      </c>
    </row>
    <row r="3119" ht="15.75" hidden="1" customHeight="1">
      <c r="A3119" s="47"/>
      <c r="B3119" s="47"/>
      <c r="C3119" s="47"/>
      <c r="D3119" s="47"/>
      <c r="E3119" s="47"/>
      <c r="F3119" s="47"/>
      <c r="G3119" s="47"/>
      <c r="H3119" s="47"/>
      <c r="I3119" s="47"/>
      <c r="J3119" s="1">
        <v>42.0</v>
      </c>
    </row>
    <row r="3120" ht="15.75" hidden="1" customHeight="1">
      <c r="A3120" s="47"/>
      <c r="B3120" s="47"/>
      <c r="C3120" s="47"/>
      <c r="D3120" s="47"/>
      <c r="E3120" s="47"/>
      <c r="F3120" s="47"/>
      <c r="G3120" s="47"/>
      <c r="H3120" s="47"/>
      <c r="I3120" s="47"/>
      <c r="J3120" s="1">
        <v>42.0</v>
      </c>
    </row>
    <row r="3121" ht="15.75" hidden="1" customHeight="1">
      <c r="A3121" s="47"/>
      <c r="B3121" s="47"/>
      <c r="C3121" s="47"/>
      <c r="D3121" s="47"/>
      <c r="E3121" s="47"/>
      <c r="F3121" s="47"/>
      <c r="G3121" s="47"/>
      <c r="H3121" s="47"/>
      <c r="I3121" s="47"/>
      <c r="J3121" s="1">
        <v>42.0</v>
      </c>
    </row>
    <row r="3122" ht="15.75" hidden="1" customHeight="1">
      <c r="A3122" s="47"/>
      <c r="B3122" s="47"/>
      <c r="C3122" s="47"/>
      <c r="D3122" s="47"/>
      <c r="E3122" s="47"/>
      <c r="F3122" s="47"/>
      <c r="G3122" s="47"/>
      <c r="H3122" s="47"/>
      <c r="I3122" s="47"/>
      <c r="J3122" s="1">
        <v>42.0</v>
      </c>
    </row>
    <row r="3123" ht="15.75" hidden="1" customHeight="1">
      <c r="A3123" s="47"/>
      <c r="B3123" s="47"/>
      <c r="C3123" s="47"/>
      <c r="D3123" s="47"/>
      <c r="E3123" s="47"/>
      <c r="F3123" s="47"/>
      <c r="G3123" s="47"/>
      <c r="H3123" s="47"/>
      <c r="I3123" s="47"/>
      <c r="J3123" s="1">
        <v>42.0</v>
      </c>
    </row>
    <row r="3124" ht="15.75" hidden="1" customHeight="1">
      <c r="A3124" s="47"/>
      <c r="B3124" s="47"/>
      <c r="C3124" s="47"/>
      <c r="D3124" s="47"/>
      <c r="E3124" s="47"/>
      <c r="F3124" s="47"/>
      <c r="G3124" s="47"/>
      <c r="H3124" s="47"/>
      <c r="I3124" s="47"/>
      <c r="J3124" s="1">
        <v>42.0</v>
      </c>
    </row>
    <row r="3125" ht="15.75" hidden="1" customHeight="1">
      <c r="A3125" s="47"/>
      <c r="B3125" s="47"/>
      <c r="C3125" s="47"/>
      <c r="D3125" s="47"/>
      <c r="E3125" s="47"/>
      <c r="F3125" s="47"/>
      <c r="G3125" s="47"/>
      <c r="H3125" s="47"/>
      <c r="I3125" s="47"/>
      <c r="J3125" s="1">
        <v>42.0</v>
      </c>
    </row>
    <row r="3126" ht="15.75" hidden="1" customHeight="1">
      <c r="A3126" s="47"/>
      <c r="B3126" s="47"/>
      <c r="C3126" s="47"/>
      <c r="D3126" s="47"/>
      <c r="E3126" s="47"/>
      <c r="F3126" s="47"/>
      <c r="G3126" s="47"/>
      <c r="H3126" s="47"/>
      <c r="I3126" s="47"/>
      <c r="J3126" s="1">
        <v>42.0</v>
      </c>
    </row>
    <row r="3127" ht="15.75" hidden="1" customHeight="1">
      <c r="A3127" s="47"/>
      <c r="B3127" s="47"/>
      <c r="C3127" s="47"/>
      <c r="D3127" s="47"/>
      <c r="E3127" s="47"/>
      <c r="F3127" s="47"/>
      <c r="G3127" s="47"/>
      <c r="H3127" s="47"/>
      <c r="I3127" s="47"/>
      <c r="J3127" s="1">
        <v>42.0</v>
      </c>
    </row>
    <row r="3128" ht="15.75" hidden="1" customHeight="1">
      <c r="A3128" s="47"/>
      <c r="B3128" s="47"/>
      <c r="C3128" s="47"/>
      <c r="D3128" s="47"/>
      <c r="E3128" s="47"/>
      <c r="F3128" s="47"/>
      <c r="G3128" s="47"/>
      <c r="H3128" s="47"/>
      <c r="I3128" s="47"/>
      <c r="J3128" s="1">
        <v>42.0</v>
      </c>
    </row>
    <row r="3129" ht="15.75" hidden="1" customHeight="1">
      <c r="A3129" s="47"/>
      <c r="B3129" s="47"/>
      <c r="C3129" s="47"/>
      <c r="D3129" s="47"/>
      <c r="E3129" s="47"/>
      <c r="F3129" s="47"/>
      <c r="G3129" s="47"/>
      <c r="H3129" s="47"/>
      <c r="I3129" s="47"/>
      <c r="J3129" s="1">
        <v>42.0</v>
      </c>
    </row>
    <row r="3130" ht="15.75" hidden="1" customHeight="1">
      <c r="A3130" s="47"/>
      <c r="B3130" s="47"/>
      <c r="C3130" s="47"/>
      <c r="D3130" s="47"/>
      <c r="E3130" s="47"/>
      <c r="F3130" s="47"/>
      <c r="G3130" s="47"/>
      <c r="H3130" s="47"/>
      <c r="I3130" s="47"/>
      <c r="J3130" s="1">
        <v>42.0</v>
      </c>
    </row>
    <row r="3131" ht="15.75" hidden="1" customHeight="1">
      <c r="A3131" s="47"/>
      <c r="B3131" s="47"/>
      <c r="C3131" s="47"/>
      <c r="D3131" s="47"/>
      <c r="E3131" s="47"/>
      <c r="F3131" s="47"/>
      <c r="G3131" s="47"/>
      <c r="H3131" s="47"/>
      <c r="I3131" s="47"/>
      <c r="J3131" s="1">
        <v>42.0</v>
      </c>
    </row>
    <row r="3132" ht="15.75" hidden="1" customHeight="1">
      <c r="A3132" s="47"/>
      <c r="B3132" s="47"/>
      <c r="C3132" s="47"/>
      <c r="D3132" s="47"/>
      <c r="E3132" s="47"/>
      <c r="F3132" s="47"/>
      <c r="G3132" s="47"/>
      <c r="H3132" s="47"/>
      <c r="I3132" s="47"/>
      <c r="J3132" s="1">
        <v>42.0</v>
      </c>
    </row>
    <row r="3133" ht="15.75" hidden="1" customHeight="1">
      <c r="A3133" s="47"/>
      <c r="B3133" s="47"/>
      <c r="C3133" s="47"/>
      <c r="D3133" s="47"/>
      <c r="E3133" s="47"/>
      <c r="F3133" s="47"/>
      <c r="G3133" s="47"/>
      <c r="H3133" s="47"/>
      <c r="I3133" s="47"/>
      <c r="J3133" s="1">
        <v>42.0</v>
      </c>
    </row>
    <row r="3134" ht="15.75" hidden="1" customHeight="1">
      <c r="A3134" s="47"/>
      <c r="B3134" s="47"/>
      <c r="C3134" s="47"/>
      <c r="D3134" s="47"/>
      <c r="E3134" s="47"/>
      <c r="F3134" s="47"/>
      <c r="G3134" s="47"/>
      <c r="H3134" s="47"/>
      <c r="I3134" s="47"/>
      <c r="J3134" s="1">
        <v>42.0</v>
      </c>
    </row>
    <row r="3135" ht="15.75" hidden="1" customHeight="1">
      <c r="A3135" s="47"/>
      <c r="B3135" s="47"/>
      <c r="C3135" s="47"/>
      <c r="D3135" s="47"/>
      <c r="E3135" s="47"/>
      <c r="F3135" s="47"/>
      <c r="G3135" s="47"/>
      <c r="H3135" s="47"/>
      <c r="I3135" s="47"/>
      <c r="J3135" s="1">
        <v>42.0</v>
      </c>
    </row>
    <row r="3136" ht="15.75" hidden="1" customHeight="1">
      <c r="A3136" s="47"/>
      <c r="B3136" s="47"/>
      <c r="C3136" s="47"/>
      <c r="D3136" s="47"/>
      <c r="E3136" s="47"/>
      <c r="F3136" s="47"/>
      <c r="G3136" s="47"/>
      <c r="H3136" s="47"/>
      <c r="I3136" s="47"/>
      <c r="J3136" s="1">
        <v>42.0</v>
      </c>
    </row>
    <row r="3137" ht="15.75" hidden="1" customHeight="1">
      <c r="A3137" s="47"/>
      <c r="B3137" s="47"/>
      <c r="C3137" s="47"/>
      <c r="D3137" s="47"/>
      <c r="E3137" s="47"/>
      <c r="F3137" s="47"/>
      <c r="G3137" s="47"/>
      <c r="H3137" s="47"/>
      <c r="I3137" s="47"/>
      <c r="J3137" s="1">
        <v>42.0</v>
      </c>
    </row>
    <row r="3138" ht="15.75" hidden="1" customHeight="1">
      <c r="A3138" s="47"/>
      <c r="B3138" s="47"/>
      <c r="C3138" s="47"/>
      <c r="D3138" s="47"/>
      <c r="E3138" s="47"/>
      <c r="F3138" s="47"/>
      <c r="G3138" s="47"/>
      <c r="H3138" s="47"/>
      <c r="I3138" s="47"/>
      <c r="J3138" s="1">
        <v>42.0</v>
      </c>
    </row>
    <row r="3139" ht="15.75" hidden="1" customHeight="1">
      <c r="A3139" s="47"/>
      <c r="B3139" s="47"/>
      <c r="C3139" s="47"/>
      <c r="D3139" s="47"/>
      <c r="E3139" s="47"/>
      <c r="F3139" s="47"/>
      <c r="G3139" s="47"/>
      <c r="H3139" s="47"/>
      <c r="I3139" s="47"/>
      <c r="J3139" s="1">
        <v>42.0</v>
      </c>
    </row>
    <row r="3140" ht="15.75" hidden="1" customHeight="1">
      <c r="A3140" s="47"/>
      <c r="B3140" s="47"/>
      <c r="C3140" s="47"/>
      <c r="D3140" s="47"/>
      <c r="E3140" s="47"/>
      <c r="F3140" s="47"/>
      <c r="G3140" s="47"/>
      <c r="H3140" s="47"/>
      <c r="I3140" s="47"/>
      <c r="J3140" s="1">
        <v>42.0</v>
      </c>
    </row>
    <row r="3141" ht="15.75" hidden="1" customHeight="1">
      <c r="A3141" s="47"/>
      <c r="B3141" s="47"/>
      <c r="C3141" s="47"/>
      <c r="D3141" s="47"/>
      <c r="E3141" s="47"/>
      <c r="F3141" s="47"/>
      <c r="G3141" s="47"/>
      <c r="H3141" s="47"/>
      <c r="I3141" s="47"/>
      <c r="J3141" s="1">
        <v>42.0</v>
      </c>
    </row>
    <row r="3142" ht="15.75" hidden="1" customHeight="1">
      <c r="A3142" s="47"/>
      <c r="B3142" s="47"/>
      <c r="C3142" s="47"/>
      <c r="D3142" s="47"/>
      <c r="E3142" s="47"/>
      <c r="F3142" s="47"/>
      <c r="G3142" s="47"/>
      <c r="H3142" s="47"/>
      <c r="I3142" s="47"/>
      <c r="J3142" s="1">
        <v>42.0</v>
      </c>
    </row>
    <row r="3143" ht="15.75" hidden="1" customHeight="1">
      <c r="A3143" s="47"/>
      <c r="B3143" s="47"/>
      <c r="C3143" s="47"/>
      <c r="D3143" s="47"/>
      <c r="E3143" s="47"/>
      <c r="F3143" s="47"/>
      <c r="G3143" s="47"/>
      <c r="H3143" s="47"/>
      <c r="I3143" s="47"/>
      <c r="J3143" s="1">
        <v>42.0</v>
      </c>
    </row>
    <row r="3144" ht="15.75" hidden="1" customHeight="1">
      <c r="A3144" s="47"/>
      <c r="B3144" s="47"/>
      <c r="C3144" s="47"/>
      <c r="D3144" s="47"/>
      <c r="E3144" s="47"/>
      <c r="F3144" s="47"/>
      <c r="G3144" s="47"/>
      <c r="H3144" s="47"/>
      <c r="I3144" s="47"/>
      <c r="J3144" s="1">
        <v>42.0</v>
      </c>
    </row>
    <row r="3145" ht="15.75" hidden="1" customHeight="1">
      <c r="A3145" s="47"/>
      <c r="B3145" s="47"/>
      <c r="C3145" s="47"/>
      <c r="D3145" s="47"/>
      <c r="E3145" s="47"/>
      <c r="F3145" s="47"/>
      <c r="G3145" s="47"/>
      <c r="H3145" s="47"/>
      <c r="I3145" s="47"/>
      <c r="J3145" s="1">
        <v>42.0</v>
      </c>
    </row>
    <row r="3146" ht="15.75" hidden="1" customHeight="1">
      <c r="A3146" s="47"/>
      <c r="B3146" s="47"/>
      <c r="C3146" s="47"/>
      <c r="D3146" s="47"/>
      <c r="E3146" s="47"/>
      <c r="F3146" s="47"/>
      <c r="G3146" s="47"/>
      <c r="H3146" s="47"/>
      <c r="I3146" s="47"/>
      <c r="J3146" s="1">
        <v>42.0</v>
      </c>
    </row>
    <row r="3147" ht="15.75" hidden="1" customHeight="1">
      <c r="A3147" s="47"/>
      <c r="B3147" s="47"/>
      <c r="C3147" s="47"/>
      <c r="D3147" s="47"/>
      <c r="E3147" s="47"/>
      <c r="F3147" s="47"/>
      <c r="G3147" s="47"/>
      <c r="H3147" s="47"/>
      <c r="I3147" s="47"/>
      <c r="J3147" s="1">
        <v>42.0</v>
      </c>
    </row>
    <row r="3148" ht="15.75" hidden="1" customHeight="1">
      <c r="A3148" s="47"/>
      <c r="B3148" s="47"/>
      <c r="C3148" s="47"/>
      <c r="D3148" s="47"/>
      <c r="E3148" s="47"/>
      <c r="F3148" s="47"/>
      <c r="G3148" s="47"/>
      <c r="H3148" s="47"/>
      <c r="I3148" s="47"/>
      <c r="J3148" s="1">
        <v>42.0</v>
      </c>
    </row>
    <row r="3149" ht="15.75" hidden="1" customHeight="1">
      <c r="A3149" s="47"/>
      <c r="B3149" s="47"/>
      <c r="C3149" s="47"/>
      <c r="D3149" s="47"/>
      <c r="E3149" s="47"/>
      <c r="F3149" s="47"/>
      <c r="G3149" s="47"/>
      <c r="H3149" s="47"/>
      <c r="I3149" s="47"/>
      <c r="J3149" s="1">
        <v>42.0</v>
      </c>
    </row>
    <row r="3150" ht="15.75" hidden="1" customHeight="1">
      <c r="A3150" s="47"/>
      <c r="B3150" s="47"/>
      <c r="C3150" s="47"/>
      <c r="D3150" s="47"/>
      <c r="E3150" s="47"/>
      <c r="F3150" s="47"/>
      <c r="G3150" s="47"/>
      <c r="H3150" s="47"/>
      <c r="I3150" s="47"/>
      <c r="J3150" s="1">
        <v>42.0</v>
      </c>
    </row>
    <row r="3151" ht="15.75" hidden="1" customHeight="1">
      <c r="A3151" s="47"/>
      <c r="B3151" s="47"/>
      <c r="C3151" s="47"/>
      <c r="D3151" s="47"/>
      <c r="E3151" s="47"/>
      <c r="F3151" s="47"/>
      <c r="G3151" s="47"/>
      <c r="H3151" s="47"/>
      <c r="I3151" s="47"/>
      <c r="J3151" s="1">
        <v>42.0</v>
      </c>
    </row>
    <row r="3152" ht="15.75" hidden="1" customHeight="1">
      <c r="A3152" s="47"/>
      <c r="B3152" s="47"/>
      <c r="C3152" s="47"/>
      <c r="D3152" s="47"/>
      <c r="E3152" s="47"/>
      <c r="F3152" s="47"/>
      <c r="G3152" s="47"/>
      <c r="H3152" s="47"/>
      <c r="I3152" s="47"/>
      <c r="J3152" s="1">
        <v>42.0</v>
      </c>
    </row>
    <row r="3153" ht="15.75" hidden="1" customHeight="1">
      <c r="A3153" s="47"/>
      <c r="B3153" s="47"/>
      <c r="C3153" s="47"/>
      <c r="D3153" s="47"/>
      <c r="E3153" s="47"/>
      <c r="F3153" s="47"/>
      <c r="G3153" s="47"/>
      <c r="H3153" s="47"/>
      <c r="I3153" s="47"/>
      <c r="J3153" s="1">
        <v>42.0</v>
      </c>
    </row>
    <row r="3154" ht="15.75" hidden="1" customHeight="1">
      <c r="A3154" s="47"/>
      <c r="B3154" s="47"/>
      <c r="C3154" s="47"/>
      <c r="D3154" s="47"/>
      <c r="E3154" s="47"/>
      <c r="F3154" s="47"/>
      <c r="G3154" s="47"/>
      <c r="H3154" s="47"/>
      <c r="I3154" s="47"/>
      <c r="J3154" s="1">
        <v>42.0</v>
      </c>
    </row>
    <row r="3155" ht="15.75" hidden="1" customHeight="1">
      <c r="A3155" s="47"/>
      <c r="B3155" s="47"/>
      <c r="C3155" s="47"/>
      <c r="D3155" s="47"/>
      <c r="E3155" s="47"/>
      <c r="F3155" s="47"/>
      <c r="G3155" s="47"/>
      <c r="H3155" s="47"/>
      <c r="I3155" s="47"/>
      <c r="J3155" s="1">
        <v>42.0</v>
      </c>
    </row>
    <row r="3156" ht="15.75" hidden="1" customHeight="1">
      <c r="A3156" s="47"/>
      <c r="B3156" s="47"/>
      <c r="C3156" s="47"/>
      <c r="D3156" s="47"/>
      <c r="E3156" s="47"/>
      <c r="F3156" s="47"/>
      <c r="G3156" s="47"/>
      <c r="H3156" s="47"/>
      <c r="I3156" s="47"/>
      <c r="J3156" s="1">
        <v>42.0</v>
      </c>
    </row>
    <row r="3157" ht="15.75" hidden="1" customHeight="1">
      <c r="A3157" s="47"/>
      <c r="B3157" s="47"/>
      <c r="C3157" s="47"/>
      <c r="D3157" s="47"/>
      <c r="E3157" s="47"/>
      <c r="F3157" s="47"/>
      <c r="G3157" s="47"/>
      <c r="H3157" s="47"/>
      <c r="I3157" s="47"/>
      <c r="J3157" s="1">
        <v>42.0</v>
      </c>
    </row>
    <row r="3158" ht="15.75" hidden="1" customHeight="1">
      <c r="A3158" s="47"/>
      <c r="B3158" s="47"/>
      <c r="C3158" s="47"/>
      <c r="D3158" s="47"/>
      <c r="E3158" s="47"/>
      <c r="F3158" s="47"/>
      <c r="G3158" s="47"/>
      <c r="H3158" s="47"/>
      <c r="I3158" s="47"/>
      <c r="J3158" s="1">
        <v>42.0</v>
      </c>
    </row>
    <row r="3159" ht="15.75" hidden="1" customHeight="1">
      <c r="A3159" s="47"/>
      <c r="B3159" s="47"/>
      <c r="C3159" s="47"/>
      <c r="D3159" s="47"/>
      <c r="E3159" s="47"/>
      <c r="F3159" s="47"/>
      <c r="G3159" s="47"/>
      <c r="H3159" s="47"/>
      <c r="I3159" s="47"/>
      <c r="J3159" s="1">
        <v>42.0</v>
      </c>
    </row>
    <row r="3160" ht="15.75" hidden="1" customHeight="1">
      <c r="A3160" s="47"/>
      <c r="B3160" s="47"/>
      <c r="C3160" s="47"/>
      <c r="D3160" s="47"/>
      <c r="E3160" s="47"/>
      <c r="F3160" s="47"/>
      <c r="G3160" s="47"/>
      <c r="H3160" s="47"/>
      <c r="I3160" s="47"/>
      <c r="J3160" s="1">
        <v>42.0</v>
      </c>
    </row>
    <row r="3161" ht="15.75" hidden="1" customHeight="1">
      <c r="A3161" s="47"/>
      <c r="B3161" s="47"/>
      <c r="C3161" s="47"/>
      <c r="D3161" s="47"/>
      <c r="E3161" s="47"/>
      <c r="F3161" s="47"/>
      <c r="G3161" s="47"/>
      <c r="H3161" s="47"/>
      <c r="I3161" s="47"/>
      <c r="J3161" s="1">
        <v>42.0</v>
      </c>
    </row>
    <row r="3162" ht="15.75" hidden="1" customHeight="1">
      <c r="A3162" s="47"/>
      <c r="B3162" s="47"/>
      <c r="C3162" s="47"/>
      <c r="D3162" s="47"/>
      <c r="E3162" s="47"/>
      <c r="F3162" s="47"/>
      <c r="G3162" s="47"/>
      <c r="H3162" s="47"/>
      <c r="I3162" s="47"/>
      <c r="J3162" s="1">
        <v>42.0</v>
      </c>
    </row>
    <row r="3163" ht="15.75" hidden="1" customHeight="1">
      <c r="A3163" s="47"/>
      <c r="B3163" s="47"/>
      <c r="C3163" s="47"/>
      <c r="D3163" s="47"/>
      <c r="E3163" s="47"/>
      <c r="F3163" s="47"/>
      <c r="G3163" s="47"/>
      <c r="H3163" s="47"/>
      <c r="I3163" s="47"/>
      <c r="J3163" s="1">
        <v>42.0</v>
      </c>
    </row>
    <row r="3164" ht="15.75" hidden="1" customHeight="1">
      <c r="A3164" s="47"/>
      <c r="B3164" s="47"/>
      <c r="C3164" s="47"/>
      <c r="D3164" s="47"/>
      <c r="E3164" s="47"/>
      <c r="F3164" s="47"/>
      <c r="G3164" s="47"/>
      <c r="H3164" s="47"/>
      <c r="I3164" s="47"/>
      <c r="J3164" s="1">
        <v>42.0</v>
      </c>
    </row>
    <row r="3165" ht="15.75" hidden="1" customHeight="1">
      <c r="A3165" s="47"/>
      <c r="B3165" s="47"/>
      <c r="C3165" s="47"/>
      <c r="D3165" s="47"/>
      <c r="E3165" s="47"/>
      <c r="F3165" s="47"/>
      <c r="G3165" s="47"/>
      <c r="H3165" s="47"/>
      <c r="I3165" s="47"/>
      <c r="J3165" s="1">
        <v>42.0</v>
      </c>
    </row>
    <row r="3166" ht="15.75" hidden="1" customHeight="1">
      <c r="A3166" s="47"/>
      <c r="B3166" s="47"/>
      <c r="C3166" s="47"/>
      <c r="D3166" s="47"/>
      <c r="E3166" s="47"/>
      <c r="F3166" s="47"/>
      <c r="G3166" s="47"/>
      <c r="H3166" s="47"/>
      <c r="I3166" s="47"/>
      <c r="J3166" s="1">
        <v>42.0</v>
      </c>
    </row>
    <row r="3167" ht="15.75" hidden="1" customHeight="1">
      <c r="A3167" s="47"/>
      <c r="B3167" s="47"/>
      <c r="C3167" s="47"/>
      <c r="D3167" s="47"/>
      <c r="E3167" s="47"/>
      <c r="F3167" s="47"/>
      <c r="G3167" s="47"/>
      <c r="H3167" s="47"/>
      <c r="I3167" s="47"/>
      <c r="J3167" s="1">
        <v>42.0</v>
      </c>
    </row>
    <row r="3168" ht="15.75" hidden="1" customHeight="1">
      <c r="A3168" s="47"/>
      <c r="B3168" s="47"/>
      <c r="C3168" s="47"/>
      <c r="D3168" s="47"/>
      <c r="E3168" s="47"/>
      <c r="F3168" s="47"/>
      <c r="G3168" s="47"/>
      <c r="H3168" s="47"/>
      <c r="I3168" s="47"/>
      <c r="J3168" s="1">
        <v>42.0</v>
      </c>
    </row>
    <row r="3169" ht="15.75" hidden="1" customHeight="1">
      <c r="A3169" s="47"/>
      <c r="B3169" s="47"/>
      <c r="C3169" s="47"/>
      <c r="D3169" s="47"/>
      <c r="E3169" s="47"/>
      <c r="F3169" s="47"/>
      <c r="G3169" s="47"/>
      <c r="H3169" s="47"/>
      <c r="I3169" s="47"/>
      <c r="J3169" s="1">
        <v>42.0</v>
      </c>
    </row>
    <row r="3170" ht="15.75" hidden="1" customHeight="1">
      <c r="A3170" s="47"/>
      <c r="B3170" s="47"/>
      <c r="C3170" s="47"/>
      <c r="D3170" s="47"/>
      <c r="E3170" s="47"/>
      <c r="F3170" s="47"/>
      <c r="G3170" s="47"/>
      <c r="H3170" s="47"/>
      <c r="I3170" s="47"/>
      <c r="J3170" s="1">
        <v>42.0</v>
      </c>
    </row>
    <row r="3171" ht="15.75" hidden="1" customHeight="1">
      <c r="A3171" s="47"/>
      <c r="B3171" s="47"/>
      <c r="C3171" s="47"/>
      <c r="D3171" s="47"/>
      <c r="E3171" s="47"/>
      <c r="F3171" s="47"/>
      <c r="G3171" s="47"/>
      <c r="H3171" s="47"/>
      <c r="I3171" s="47"/>
      <c r="J3171" s="1">
        <v>42.0</v>
      </c>
    </row>
    <row r="3172" ht="15.75" hidden="1" customHeight="1">
      <c r="A3172" s="47"/>
      <c r="B3172" s="47"/>
      <c r="C3172" s="47"/>
      <c r="D3172" s="47"/>
      <c r="E3172" s="47"/>
      <c r="F3172" s="47"/>
      <c r="G3172" s="47"/>
      <c r="H3172" s="47"/>
      <c r="I3172" s="47"/>
      <c r="J3172" s="1">
        <v>42.0</v>
      </c>
    </row>
    <row r="3173" ht="15.75" hidden="1" customHeight="1">
      <c r="A3173" s="47"/>
      <c r="B3173" s="47"/>
      <c r="C3173" s="47"/>
      <c r="D3173" s="47"/>
      <c r="E3173" s="47"/>
      <c r="F3173" s="47"/>
      <c r="G3173" s="47"/>
      <c r="H3173" s="47"/>
      <c r="I3173" s="47"/>
      <c r="J3173" s="1">
        <v>42.0</v>
      </c>
    </row>
    <row r="3174" ht="15.75" hidden="1" customHeight="1">
      <c r="A3174" s="47"/>
      <c r="B3174" s="47"/>
      <c r="C3174" s="47"/>
      <c r="D3174" s="47"/>
      <c r="E3174" s="47"/>
      <c r="F3174" s="47"/>
      <c r="G3174" s="47"/>
      <c r="H3174" s="47"/>
      <c r="I3174" s="47"/>
      <c r="J3174" s="1">
        <v>42.0</v>
      </c>
    </row>
    <row r="3175" ht="15.75" hidden="1" customHeight="1">
      <c r="A3175" s="47"/>
      <c r="B3175" s="47"/>
      <c r="C3175" s="47"/>
      <c r="D3175" s="47"/>
      <c r="E3175" s="47"/>
      <c r="F3175" s="47"/>
      <c r="G3175" s="47"/>
      <c r="H3175" s="47"/>
      <c r="I3175" s="47"/>
      <c r="J3175" s="1">
        <v>42.0</v>
      </c>
    </row>
    <row r="3176" ht="15.75" hidden="1" customHeight="1">
      <c r="A3176" s="47"/>
      <c r="B3176" s="47"/>
      <c r="C3176" s="47"/>
      <c r="D3176" s="47"/>
      <c r="E3176" s="47"/>
      <c r="F3176" s="47"/>
      <c r="G3176" s="47"/>
      <c r="H3176" s="47"/>
      <c r="I3176" s="47"/>
      <c r="J3176" s="1">
        <v>42.0</v>
      </c>
    </row>
    <row r="3177" ht="15.75" hidden="1" customHeight="1">
      <c r="A3177" s="47"/>
      <c r="B3177" s="47"/>
      <c r="C3177" s="47"/>
      <c r="D3177" s="47"/>
      <c r="E3177" s="47"/>
      <c r="F3177" s="47"/>
      <c r="G3177" s="47"/>
      <c r="H3177" s="47"/>
      <c r="I3177" s="47"/>
      <c r="J3177" s="1">
        <v>42.0</v>
      </c>
    </row>
    <row r="3178" ht="15.75" hidden="1" customHeight="1">
      <c r="A3178" s="47"/>
      <c r="B3178" s="47"/>
      <c r="C3178" s="47"/>
      <c r="D3178" s="47"/>
      <c r="E3178" s="47"/>
      <c r="F3178" s="47"/>
      <c r="G3178" s="47"/>
      <c r="H3178" s="47"/>
      <c r="I3178" s="47"/>
      <c r="J3178" s="1">
        <v>42.0</v>
      </c>
    </row>
    <row r="3179" ht="15.75" hidden="1" customHeight="1">
      <c r="A3179" s="47"/>
      <c r="B3179" s="47"/>
      <c r="C3179" s="47"/>
      <c r="D3179" s="47"/>
      <c r="E3179" s="47"/>
      <c r="F3179" s="47"/>
      <c r="G3179" s="47"/>
      <c r="H3179" s="47"/>
      <c r="I3179" s="47"/>
      <c r="J3179" s="1">
        <v>42.0</v>
      </c>
    </row>
    <row r="3180" ht="15.75" hidden="1" customHeight="1">
      <c r="A3180" s="47"/>
      <c r="B3180" s="47"/>
      <c r="C3180" s="47"/>
      <c r="D3180" s="47"/>
      <c r="E3180" s="47"/>
      <c r="F3180" s="47"/>
      <c r="G3180" s="47"/>
      <c r="H3180" s="47"/>
      <c r="I3180" s="47"/>
      <c r="J3180" s="1">
        <v>42.0</v>
      </c>
    </row>
    <row r="3181" ht="15.75" hidden="1" customHeight="1">
      <c r="A3181" s="47"/>
      <c r="B3181" s="47"/>
      <c r="C3181" s="47"/>
      <c r="D3181" s="47"/>
      <c r="E3181" s="47"/>
      <c r="F3181" s="47"/>
      <c r="G3181" s="47"/>
      <c r="H3181" s="47"/>
      <c r="I3181" s="47"/>
      <c r="J3181" s="1">
        <v>42.0</v>
      </c>
    </row>
    <row r="3182" ht="15.75" hidden="1" customHeight="1">
      <c r="A3182" s="47"/>
      <c r="B3182" s="47"/>
      <c r="C3182" s="47"/>
      <c r="D3182" s="47"/>
      <c r="E3182" s="47"/>
      <c r="F3182" s="47"/>
      <c r="G3182" s="47"/>
      <c r="H3182" s="47"/>
      <c r="I3182" s="47"/>
      <c r="J3182" s="1">
        <v>42.0</v>
      </c>
    </row>
    <row r="3183" ht="15.75" hidden="1" customHeight="1">
      <c r="A3183" s="47"/>
      <c r="B3183" s="47"/>
      <c r="C3183" s="47"/>
      <c r="D3183" s="47"/>
      <c r="E3183" s="47"/>
      <c r="F3183" s="47"/>
      <c r="G3183" s="47"/>
      <c r="H3183" s="47"/>
      <c r="I3183" s="47"/>
      <c r="J3183" s="1">
        <v>42.0</v>
      </c>
    </row>
    <row r="3184" ht="15.75" hidden="1" customHeight="1">
      <c r="A3184" s="47"/>
      <c r="B3184" s="47"/>
      <c r="C3184" s="47"/>
      <c r="D3184" s="47"/>
      <c r="E3184" s="47"/>
      <c r="F3184" s="47"/>
      <c r="G3184" s="47"/>
      <c r="H3184" s="47"/>
      <c r="I3184" s="47"/>
      <c r="J3184" s="1">
        <v>42.0</v>
      </c>
    </row>
    <row r="3185" ht="15.75" hidden="1" customHeight="1">
      <c r="A3185" s="47"/>
      <c r="B3185" s="47"/>
      <c r="C3185" s="47"/>
      <c r="D3185" s="47"/>
      <c r="E3185" s="47"/>
      <c r="F3185" s="47"/>
      <c r="G3185" s="47"/>
      <c r="H3185" s="47"/>
      <c r="I3185" s="47"/>
      <c r="J3185" s="1">
        <v>42.0</v>
      </c>
    </row>
    <row r="3186" ht="15.75" hidden="1" customHeight="1">
      <c r="A3186" s="47"/>
      <c r="B3186" s="47"/>
      <c r="C3186" s="47"/>
      <c r="D3186" s="47"/>
      <c r="E3186" s="47"/>
      <c r="F3186" s="47"/>
      <c r="G3186" s="47"/>
      <c r="H3186" s="47"/>
      <c r="I3186" s="47"/>
      <c r="J3186" s="1">
        <v>42.0</v>
      </c>
    </row>
    <row r="3187" ht="15.75" hidden="1" customHeight="1">
      <c r="A3187" s="47"/>
      <c r="B3187" s="47"/>
      <c r="C3187" s="47"/>
      <c r="D3187" s="47"/>
      <c r="E3187" s="47"/>
      <c r="F3187" s="47"/>
      <c r="G3187" s="47"/>
      <c r="H3187" s="47"/>
      <c r="I3187" s="47"/>
      <c r="J3187" s="1">
        <v>42.0</v>
      </c>
    </row>
    <row r="3188" ht="15.75" hidden="1" customHeight="1">
      <c r="A3188" s="47"/>
      <c r="B3188" s="47"/>
      <c r="C3188" s="47"/>
      <c r="D3188" s="47"/>
      <c r="E3188" s="47"/>
      <c r="F3188" s="47"/>
      <c r="G3188" s="47"/>
      <c r="H3188" s="47"/>
      <c r="I3188" s="47"/>
      <c r="J3188" s="1">
        <v>42.0</v>
      </c>
    </row>
    <row r="3189" ht="15.75" hidden="1" customHeight="1">
      <c r="A3189" s="47"/>
      <c r="B3189" s="47"/>
      <c r="C3189" s="47"/>
      <c r="D3189" s="47"/>
      <c r="E3189" s="47"/>
      <c r="F3189" s="47"/>
      <c r="G3189" s="47"/>
      <c r="H3189" s="47"/>
      <c r="I3189" s="47"/>
      <c r="J3189" s="1">
        <v>42.0</v>
      </c>
    </row>
    <row r="3190" ht="15.75" hidden="1" customHeight="1">
      <c r="A3190" s="47"/>
      <c r="B3190" s="47"/>
      <c r="C3190" s="47"/>
      <c r="D3190" s="47"/>
      <c r="E3190" s="47"/>
      <c r="F3190" s="47"/>
      <c r="G3190" s="47"/>
      <c r="H3190" s="47"/>
      <c r="I3190" s="47"/>
      <c r="J3190" s="1">
        <v>42.0</v>
      </c>
    </row>
    <row r="3191" ht="15.75" hidden="1" customHeight="1">
      <c r="A3191" s="47"/>
      <c r="B3191" s="47"/>
      <c r="C3191" s="47"/>
      <c r="D3191" s="47"/>
      <c r="E3191" s="47"/>
      <c r="F3191" s="47"/>
      <c r="G3191" s="47"/>
      <c r="H3191" s="47"/>
      <c r="I3191" s="47"/>
      <c r="J3191" s="1">
        <v>42.0</v>
      </c>
    </row>
    <row r="3192" ht="15.75" hidden="1" customHeight="1">
      <c r="A3192" s="47"/>
      <c r="B3192" s="47"/>
      <c r="C3192" s="47"/>
      <c r="D3192" s="47"/>
      <c r="E3192" s="47"/>
      <c r="F3192" s="47"/>
      <c r="G3192" s="47"/>
      <c r="H3192" s="47"/>
      <c r="I3192" s="47"/>
      <c r="J3192" s="1">
        <v>42.0</v>
      </c>
    </row>
    <row r="3193" ht="15.75" hidden="1" customHeight="1">
      <c r="A3193" s="47"/>
      <c r="B3193" s="47"/>
      <c r="C3193" s="47"/>
      <c r="D3193" s="47"/>
      <c r="E3193" s="47"/>
      <c r="F3193" s="47"/>
      <c r="G3193" s="47"/>
      <c r="H3193" s="47"/>
      <c r="I3193" s="47"/>
      <c r="J3193" s="1">
        <v>42.0</v>
      </c>
    </row>
    <row r="3194" ht="15.75" hidden="1" customHeight="1">
      <c r="A3194" s="47"/>
      <c r="B3194" s="47"/>
      <c r="C3194" s="47"/>
      <c r="D3194" s="47"/>
      <c r="E3194" s="47"/>
      <c r="F3194" s="47"/>
      <c r="G3194" s="47"/>
      <c r="H3194" s="47"/>
      <c r="I3194" s="47"/>
      <c r="J3194" s="1">
        <v>42.0</v>
      </c>
    </row>
    <row r="3195" ht="15.75" hidden="1" customHeight="1">
      <c r="A3195" s="47"/>
      <c r="B3195" s="47"/>
      <c r="C3195" s="47"/>
      <c r="D3195" s="47"/>
      <c r="E3195" s="47"/>
      <c r="F3195" s="47"/>
      <c r="G3195" s="47"/>
      <c r="H3195" s="47"/>
      <c r="I3195" s="47"/>
      <c r="J3195" s="1">
        <v>42.0</v>
      </c>
    </row>
    <row r="3196" ht="15.75" hidden="1" customHeight="1">
      <c r="A3196" s="47"/>
      <c r="B3196" s="47"/>
      <c r="C3196" s="47"/>
      <c r="D3196" s="47"/>
      <c r="E3196" s="47"/>
      <c r="F3196" s="47"/>
      <c r="G3196" s="47"/>
      <c r="H3196" s="47"/>
      <c r="I3196" s="47"/>
      <c r="J3196" s="1">
        <v>42.0</v>
      </c>
    </row>
    <row r="3197" ht="15.75" hidden="1" customHeight="1">
      <c r="A3197" s="47"/>
      <c r="B3197" s="47"/>
      <c r="C3197" s="47"/>
      <c r="D3197" s="47"/>
      <c r="E3197" s="47"/>
      <c r="F3197" s="47"/>
      <c r="G3197" s="47"/>
      <c r="H3197" s="47"/>
      <c r="I3197" s="47"/>
      <c r="J3197" s="1">
        <v>42.0</v>
      </c>
    </row>
    <row r="3198" ht="15.75" hidden="1" customHeight="1">
      <c r="A3198" s="47"/>
      <c r="B3198" s="47"/>
      <c r="C3198" s="47"/>
      <c r="D3198" s="47"/>
      <c r="E3198" s="47"/>
      <c r="F3198" s="47"/>
      <c r="G3198" s="47"/>
      <c r="H3198" s="47"/>
      <c r="I3198" s="47"/>
      <c r="J3198" s="1">
        <v>42.0</v>
      </c>
    </row>
    <row r="3199" ht="15.75" hidden="1" customHeight="1">
      <c r="A3199" s="47"/>
      <c r="B3199" s="47"/>
      <c r="C3199" s="47"/>
      <c r="D3199" s="47"/>
      <c r="E3199" s="47"/>
      <c r="F3199" s="47"/>
      <c r="G3199" s="47"/>
      <c r="H3199" s="47"/>
      <c r="I3199" s="47"/>
      <c r="J3199" s="1">
        <v>42.0</v>
      </c>
    </row>
    <row r="3200" ht="15.75" hidden="1" customHeight="1">
      <c r="A3200" s="47"/>
      <c r="B3200" s="47"/>
      <c r="C3200" s="47"/>
      <c r="D3200" s="47"/>
      <c r="E3200" s="47"/>
      <c r="F3200" s="47"/>
      <c r="G3200" s="47"/>
      <c r="H3200" s="47"/>
      <c r="I3200" s="47"/>
      <c r="J3200" s="1">
        <v>42.0</v>
      </c>
    </row>
    <row r="3201" ht="15.75" hidden="1" customHeight="1">
      <c r="A3201" s="47"/>
      <c r="B3201" s="47"/>
      <c r="C3201" s="47"/>
      <c r="D3201" s="47"/>
      <c r="E3201" s="47"/>
      <c r="F3201" s="47"/>
      <c r="G3201" s="47"/>
      <c r="H3201" s="47"/>
      <c r="I3201" s="47"/>
      <c r="J3201" s="1">
        <v>42.0</v>
      </c>
    </row>
    <row r="3202" ht="15.75" hidden="1" customHeight="1">
      <c r="A3202" s="47"/>
      <c r="B3202" s="47"/>
      <c r="C3202" s="47"/>
      <c r="D3202" s="47"/>
      <c r="E3202" s="47"/>
      <c r="F3202" s="47"/>
      <c r="G3202" s="47"/>
      <c r="H3202" s="47"/>
      <c r="I3202" s="47"/>
      <c r="J3202" s="1">
        <v>42.0</v>
      </c>
    </row>
    <row r="3203" ht="15.75" hidden="1" customHeight="1">
      <c r="A3203" s="47"/>
      <c r="B3203" s="47"/>
      <c r="C3203" s="47"/>
      <c r="D3203" s="47"/>
      <c r="E3203" s="47"/>
      <c r="F3203" s="47"/>
      <c r="G3203" s="47"/>
      <c r="H3203" s="47"/>
      <c r="I3203" s="47"/>
      <c r="J3203" s="1">
        <v>42.0</v>
      </c>
    </row>
    <row r="3204" ht="15.75" hidden="1" customHeight="1">
      <c r="A3204" s="47"/>
      <c r="B3204" s="47"/>
      <c r="C3204" s="47"/>
      <c r="D3204" s="47"/>
      <c r="E3204" s="47"/>
      <c r="F3204" s="47"/>
      <c r="G3204" s="47"/>
      <c r="H3204" s="47"/>
      <c r="I3204" s="47"/>
      <c r="J3204" s="1">
        <v>42.0</v>
      </c>
    </row>
    <row r="3205" ht="15.75" hidden="1" customHeight="1">
      <c r="A3205" s="47"/>
      <c r="B3205" s="47"/>
      <c r="C3205" s="47"/>
      <c r="D3205" s="47"/>
      <c r="E3205" s="47"/>
      <c r="F3205" s="47"/>
      <c r="G3205" s="47"/>
      <c r="H3205" s="47"/>
      <c r="I3205" s="47"/>
      <c r="J3205" s="1">
        <v>42.0</v>
      </c>
    </row>
    <row r="3206" ht="15.75" hidden="1" customHeight="1">
      <c r="A3206" s="47"/>
      <c r="B3206" s="47"/>
      <c r="C3206" s="47"/>
      <c r="D3206" s="47"/>
      <c r="E3206" s="47"/>
      <c r="F3206" s="47"/>
      <c r="G3206" s="47"/>
      <c r="H3206" s="47"/>
      <c r="I3206" s="47"/>
      <c r="J3206" s="1">
        <v>42.0</v>
      </c>
    </row>
    <row r="3207" ht="15.75" hidden="1" customHeight="1">
      <c r="A3207" s="47"/>
      <c r="B3207" s="47"/>
      <c r="C3207" s="47"/>
      <c r="D3207" s="47"/>
      <c r="E3207" s="47"/>
      <c r="F3207" s="47"/>
      <c r="G3207" s="47"/>
      <c r="H3207" s="47"/>
      <c r="I3207" s="47"/>
      <c r="J3207" s="1">
        <v>42.0</v>
      </c>
    </row>
    <row r="3208" ht="15.75" hidden="1" customHeight="1">
      <c r="A3208" s="47"/>
      <c r="B3208" s="47"/>
      <c r="C3208" s="47"/>
      <c r="D3208" s="47"/>
      <c r="E3208" s="47"/>
      <c r="F3208" s="47"/>
      <c r="G3208" s="47"/>
      <c r="H3208" s="47"/>
      <c r="I3208" s="47"/>
      <c r="J3208" s="1">
        <v>42.0</v>
      </c>
    </row>
    <row r="3209" ht="15.75" hidden="1" customHeight="1">
      <c r="A3209" s="47"/>
      <c r="B3209" s="47"/>
      <c r="C3209" s="47"/>
      <c r="D3209" s="47"/>
      <c r="E3209" s="47"/>
      <c r="F3209" s="47"/>
      <c r="G3209" s="47"/>
      <c r="H3209" s="47"/>
      <c r="I3209" s="47"/>
      <c r="J3209" s="1">
        <v>42.0</v>
      </c>
    </row>
    <row r="3210" ht="15.75" hidden="1" customHeight="1">
      <c r="A3210" s="47"/>
      <c r="B3210" s="47"/>
      <c r="C3210" s="47"/>
      <c r="D3210" s="47"/>
      <c r="E3210" s="47"/>
      <c r="F3210" s="47"/>
      <c r="G3210" s="47"/>
      <c r="H3210" s="47"/>
      <c r="I3210" s="47"/>
      <c r="J3210" s="1">
        <v>42.0</v>
      </c>
    </row>
    <row r="3211" ht="15.75" hidden="1" customHeight="1">
      <c r="A3211" s="47"/>
      <c r="B3211" s="47"/>
      <c r="C3211" s="47"/>
      <c r="D3211" s="47"/>
      <c r="E3211" s="47"/>
      <c r="F3211" s="47"/>
      <c r="G3211" s="47"/>
      <c r="H3211" s="47"/>
      <c r="I3211" s="47"/>
      <c r="J3211" s="1">
        <v>42.0</v>
      </c>
    </row>
    <row r="3212" ht="15.75" hidden="1" customHeight="1">
      <c r="A3212" s="47"/>
      <c r="B3212" s="47"/>
      <c r="C3212" s="47"/>
      <c r="D3212" s="47"/>
      <c r="E3212" s="47"/>
      <c r="F3212" s="47"/>
      <c r="G3212" s="47"/>
      <c r="H3212" s="47"/>
      <c r="I3212" s="47"/>
      <c r="J3212" s="1">
        <v>42.0</v>
      </c>
    </row>
    <row r="3213" ht="15.75" hidden="1" customHeight="1">
      <c r="A3213" s="47"/>
      <c r="B3213" s="47"/>
      <c r="C3213" s="47"/>
      <c r="D3213" s="47"/>
      <c r="E3213" s="47"/>
      <c r="F3213" s="47"/>
      <c r="G3213" s="47"/>
      <c r="H3213" s="47"/>
      <c r="I3213" s="47"/>
      <c r="J3213" s="1">
        <v>42.0</v>
      </c>
    </row>
    <row r="3214" ht="15.75" hidden="1" customHeight="1">
      <c r="A3214" s="47"/>
      <c r="B3214" s="47"/>
      <c r="C3214" s="47"/>
      <c r="D3214" s="47"/>
      <c r="E3214" s="47"/>
      <c r="F3214" s="47"/>
      <c r="G3214" s="47"/>
      <c r="H3214" s="47"/>
      <c r="I3214" s="47"/>
      <c r="J3214" s="1">
        <v>42.0</v>
      </c>
    </row>
    <row r="3215" ht="15.75" hidden="1" customHeight="1">
      <c r="A3215" s="47"/>
      <c r="B3215" s="47"/>
      <c r="C3215" s="47"/>
      <c r="D3215" s="47"/>
      <c r="E3215" s="47"/>
      <c r="F3215" s="47"/>
      <c r="G3215" s="47"/>
      <c r="H3215" s="47"/>
      <c r="I3215" s="47"/>
      <c r="J3215" s="1">
        <v>42.0</v>
      </c>
    </row>
    <row r="3216" ht="15.75" hidden="1" customHeight="1">
      <c r="A3216" s="47"/>
      <c r="B3216" s="47"/>
      <c r="C3216" s="47"/>
      <c r="D3216" s="47"/>
      <c r="E3216" s="47"/>
      <c r="F3216" s="47"/>
      <c r="G3216" s="47"/>
      <c r="H3216" s="47"/>
      <c r="I3216" s="47"/>
      <c r="J3216" s="1">
        <v>42.0</v>
      </c>
    </row>
    <row r="3217" ht="15.75" hidden="1" customHeight="1">
      <c r="A3217" s="47"/>
      <c r="B3217" s="47"/>
      <c r="C3217" s="47"/>
      <c r="D3217" s="47"/>
      <c r="E3217" s="47"/>
      <c r="F3217" s="47"/>
      <c r="G3217" s="47"/>
      <c r="H3217" s="47"/>
      <c r="I3217" s="47"/>
      <c r="J3217" s="1">
        <v>42.0</v>
      </c>
    </row>
    <row r="3218" ht="15.75" hidden="1" customHeight="1">
      <c r="A3218" s="47"/>
      <c r="B3218" s="47"/>
      <c r="C3218" s="47"/>
      <c r="D3218" s="47"/>
      <c r="E3218" s="47"/>
      <c r="F3218" s="47"/>
      <c r="G3218" s="47"/>
      <c r="H3218" s="47"/>
      <c r="I3218" s="47"/>
      <c r="J3218" s="1">
        <v>42.0</v>
      </c>
    </row>
    <row r="3219" ht="15.75" hidden="1" customHeight="1">
      <c r="A3219" s="47"/>
      <c r="B3219" s="47"/>
      <c r="C3219" s="47"/>
      <c r="D3219" s="47"/>
      <c r="E3219" s="47"/>
      <c r="F3219" s="47"/>
      <c r="G3219" s="47"/>
      <c r="H3219" s="47"/>
      <c r="I3219" s="47"/>
      <c r="J3219" s="1">
        <v>42.0</v>
      </c>
    </row>
    <row r="3220" ht="15.75" hidden="1" customHeight="1">
      <c r="A3220" s="47"/>
      <c r="B3220" s="47"/>
      <c r="C3220" s="47"/>
      <c r="D3220" s="47"/>
      <c r="E3220" s="47"/>
      <c r="F3220" s="47"/>
      <c r="G3220" s="47"/>
      <c r="H3220" s="47"/>
      <c r="I3220" s="47"/>
      <c r="J3220" s="1">
        <v>42.0</v>
      </c>
    </row>
    <row r="3221" ht="15.75" hidden="1" customHeight="1">
      <c r="A3221" s="47"/>
      <c r="B3221" s="47"/>
      <c r="C3221" s="47"/>
      <c r="D3221" s="47"/>
      <c r="E3221" s="47"/>
      <c r="F3221" s="47"/>
      <c r="G3221" s="47"/>
      <c r="H3221" s="47"/>
      <c r="I3221" s="47"/>
      <c r="J3221" s="1">
        <v>42.0</v>
      </c>
    </row>
    <row r="3222" ht="15.75" hidden="1" customHeight="1">
      <c r="A3222" s="47"/>
      <c r="B3222" s="47"/>
      <c r="C3222" s="47"/>
      <c r="D3222" s="47"/>
      <c r="E3222" s="47"/>
      <c r="F3222" s="47"/>
      <c r="G3222" s="47"/>
      <c r="H3222" s="47"/>
      <c r="I3222" s="47"/>
      <c r="J3222" s="1">
        <v>42.0</v>
      </c>
    </row>
    <row r="3223" ht="15.75" hidden="1" customHeight="1">
      <c r="A3223" s="47"/>
      <c r="B3223" s="47"/>
      <c r="C3223" s="47"/>
      <c r="D3223" s="47"/>
      <c r="E3223" s="47"/>
      <c r="F3223" s="47"/>
      <c r="G3223" s="47"/>
      <c r="H3223" s="47"/>
      <c r="I3223" s="47"/>
      <c r="J3223" s="1">
        <v>42.0</v>
      </c>
    </row>
    <row r="3224" ht="15.75" hidden="1" customHeight="1">
      <c r="A3224" s="47"/>
      <c r="B3224" s="47"/>
      <c r="C3224" s="47"/>
      <c r="D3224" s="47"/>
      <c r="E3224" s="47"/>
      <c r="F3224" s="47"/>
      <c r="G3224" s="47"/>
      <c r="H3224" s="47"/>
      <c r="I3224" s="47"/>
      <c r="J3224" s="1">
        <v>42.0</v>
      </c>
    </row>
    <row r="3225" ht="15.75" hidden="1" customHeight="1">
      <c r="A3225" s="47"/>
      <c r="B3225" s="47"/>
      <c r="C3225" s="47"/>
      <c r="D3225" s="47"/>
      <c r="E3225" s="47"/>
      <c r="F3225" s="47"/>
      <c r="G3225" s="47"/>
      <c r="H3225" s="47"/>
      <c r="I3225" s="47"/>
      <c r="J3225" s="1">
        <v>42.0</v>
      </c>
    </row>
    <row r="3226" ht="15.75" hidden="1" customHeight="1">
      <c r="A3226" s="47"/>
      <c r="B3226" s="47"/>
      <c r="C3226" s="47"/>
      <c r="D3226" s="47"/>
      <c r="E3226" s="47"/>
      <c r="F3226" s="47"/>
      <c r="G3226" s="47"/>
      <c r="H3226" s="47"/>
      <c r="I3226" s="47"/>
      <c r="J3226" s="1">
        <v>42.0</v>
      </c>
    </row>
    <row r="3227" ht="15.75" hidden="1" customHeight="1">
      <c r="A3227" s="47"/>
      <c r="B3227" s="47"/>
      <c r="C3227" s="47"/>
      <c r="D3227" s="47"/>
      <c r="E3227" s="47"/>
      <c r="F3227" s="47"/>
      <c r="G3227" s="47"/>
      <c r="H3227" s="47"/>
      <c r="I3227" s="47"/>
      <c r="J3227" s="1">
        <v>42.0</v>
      </c>
    </row>
    <row r="3228" ht="15.75" hidden="1" customHeight="1">
      <c r="A3228" s="47"/>
      <c r="B3228" s="47"/>
      <c r="C3228" s="47"/>
      <c r="D3228" s="47"/>
      <c r="E3228" s="47"/>
      <c r="F3228" s="47"/>
      <c r="G3228" s="47"/>
      <c r="H3228" s="47"/>
      <c r="I3228" s="47"/>
      <c r="J3228" s="1">
        <v>42.0</v>
      </c>
    </row>
    <row r="3229" ht="15.75" hidden="1" customHeight="1">
      <c r="A3229" s="47"/>
      <c r="B3229" s="47"/>
      <c r="C3229" s="47"/>
      <c r="D3229" s="47"/>
      <c r="E3229" s="47"/>
      <c r="F3229" s="47"/>
      <c r="G3229" s="47"/>
      <c r="H3229" s="47"/>
      <c r="I3229" s="47"/>
      <c r="J3229" s="1">
        <v>42.0</v>
      </c>
    </row>
    <row r="3230" ht="15.75" hidden="1" customHeight="1">
      <c r="A3230" s="47"/>
      <c r="B3230" s="47"/>
      <c r="C3230" s="47"/>
      <c r="D3230" s="47"/>
      <c r="E3230" s="47"/>
      <c r="F3230" s="47"/>
      <c r="G3230" s="47"/>
      <c r="H3230" s="47"/>
      <c r="I3230" s="47"/>
      <c r="J3230" s="1">
        <v>42.0</v>
      </c>
    </row>
    <row r="3231" ht="15.75" hidden="1" customHeight="1">
      <c r="A3231" s="47"/>
      <c r="B3231" s="47"/>
      <c r="C3231" s="47"/>
      <c r="D3231" s="47"/>
      <c r="E3231" s="47"/>
      <c r="F3231" s="47"/>
      <c r="G3231" s="47"/>
      <c r="H3231" s="47"/>
      <c r="I3231" s="47"/>
      <c r="J3231" s="1">
        <v>42.0</v>
      </c>
    </row>
    <row r="3232" ht="15.75" hidden="1" customHeight="1">
      <c r="A3232" s="47"/>
      <c r="B3232" s="47"/>
      <c r="C3232" s="47"/>
      <c r="D3232" s="47"/>
      <c r="E3232" s="47"/>
      <c r="F3232" s="47"/>
      <c r="G3232" s="47"/>
      <c r="H3232" s="47"/>
      <c r="I3232" s="47"/>
      <c r="J3232" s="1">
        <v>42.0</v>
      </c>
    </row>
    <row r="3233" ht="15.75" hidden="1" customHeight="1">
      <c r="A3233" s="47"/>
      <c r="B3233" s="47"/>
      <c r="C3233" s="47"/>
      <c r="D3233" s="47"/>
      <c r="E3233" s="47"/>
      <c r="F3233" s="47"/>
      <c r="G3233" s="47"/>
      <c r="H3233" s="47"/>
      <c r="I3233" s="47"/>
      <c r="J3233" s="1">
        <v>42.0</v>
      </c>
    </row>
    <row r="3234" ht="15.75" hidden="1" customHeight="1">
      <c r="A3234" s="47"/>
      <c r="B3234" s="47"/>
      <c r="C3234" s="47"/>
      <c r="D3234" s="47"/>
      <c r="E3234" s="47"/>
      <c r="F3234" s="47"/>
      <c r="G3234" s="47"/>
      <c r="H3234" s="47"/>
      <c r="I3234" s="47"/>
      <c r="J3234" s="1">
        <v>42.0</v>
      </c>
    </row>
    <row r="3235" ht="15.75" hidden="1" customHeight="1">
      <c r="A3235" s="47"/>
      <c r="B3235" s="47"/>
      <c r="C3235" s="47"/>
      <c r="D3235" s="47"/>
      <c r="E3235" s="47"/>
      <c r="F3235" s="47"/>
      <c r="G3235" s="47"/>
      <c r="H3235" s="47"/>
      <c r="I3235" s="47"/>
      <c r="J3235" s="1">
        <v>42.0</v>
      </c>
    </row>
    <row r="3236" ht="15.75" hidden="1" customHeight="1">
      <c r="A3236" s="47"/>
      <c r="B3236" s="47"/>
      <c r="C3236" s="47"/>
      <c r="D3236" s="47"/>
      <c r="E3236" s="47"/>
      <c r="F3236" s="47"/>
      <c r="G3236" s="47"/>
      <c r="H3236" s="47"/>
      <c r="I3236" s="47"/>
      <c r="J3236" s="1">
        <v>42.0</v>
      </c>
    </row>
    <row r="3237" ht="15.75" hidden="1" customHeight="1">
      <c r="A3237" s="47"/>
      <c r="B3237" s="47"/>
      <c r="C3237" s="47"/>
      <c r="D3237" s="47"/>
      <c r="E3237" s="47"/>
      <c r="F3237" s="47"/>
      <c r="G3237" s="47"/>
      <c r="H3237" s="47"/>
      <c r="I3237" s="47"/>
      <c r="J3237" s="1">
        <v>42.0</v>
      </c>
    </row>
    <row r="3238" ht="15.75" hidden="1" customHeight="1">
      <c r="A3238" s="47"/>
      <c r="B3238" s="47"/>
      <c r="C3238" s="47"/>
      <c r="D3238" s="47"/>
      <c r="E3238" s="47"/>
      <c r="F3238" s="47"/>
      <c r="G3238" s="47"/>
      <c r="H3238" s="47"/>
      <c r="I3238" s="47"/>
      <c r="J3238" s="1">
        <v>42.0</v>
      </c>
    </row>
    <row r="3239" ht="15.75" hidden="1" customHeight="1">
      <c r="A3239" s="47"/>
      <c r="B3239" s="47"/>
      <c r="C3239" s="47"/>
      <c r="D3239" s="47"/>
      <c r="E3239" s="47"/>
      <c r="F3239" s="47"/>
      <c r="G3239" s="47"/>
      <c r="H3239" s="47"/>
      <c r="I3239" s="47"/>
      <c r="J3239" s="1">
        <v>42.0</v>
      </c>
    </row>
    <row r="3240" ht="15.75" hidden="1" customHeight="1">
      <c r="A3240" s="47"/>
      <c r="B3240" s="47"/>
      <c r="C3240" s="47"/>
      <c r="D3240" s="47"/>
      <c r="E3240" s="47"/>
      <c r="F3240" s="47"/>
      <c r="G3240" s="47"/>
      <c r="H3240" s="47"/>
      <c r="I3240" s="47"/>
      <c r="J3240" s="1">
        <v>42.0</v>
      </c>
    </row>
    <row r="3241" ht="15.75" hidden="1" customHeight="1">
      <c r="A3241" s="47"/>
      <c r="B3241" s="47"/>
      <c r="C3241" s="47"/>
      <c r="D3241" s="47"/>
      <c r="E3241" s="47"/>
      <c r="F3241" s="47"/>
      <c r="G3241" s="47"/>
      <c r="H3241" s="47"/>
      <c r="I3241" s="47"/>
      <c r="J3241" s="1">
        <v>42.0</v>
      </c>
    </row>
    <row r="3242" ht="15.75" hidden="1" customHeight="1">
      <c r="A3242" s="47"/>
      <c r="B3242" s="47"/>
      <c r="C3242" s="47"/>
      <c r="D3242" s="47"/>
      <c r="E3242" s="47"/>
      <c r="F3242" s="47"/>
      <c r="G3242" s="47"/>
      <c r="H3242" s="47"/>
      <c r="I3242" s="47"/>
      <c r="J3242" s="1">
        <v>42.0</v>
      </c>
    </row>
    <row r="3243" ht="15.75" hidden="1" customHeight="1">
      <c r="A3243" s="47"/>
      <c r="B3243" s="47"/>
      <c r="C3243" s="47"/>
      <c r="D3243" s="47"/>
      <c r="E3243" s="47"/>
      <c r="F3243" s="47"/>
      <c r="G3243" s="47"/>
      <c r="H3243" s="47"/>
      <c r="I3243" s="47"/>
      <c r="J3243" s="1">
        <v>42.0</v>
      </c>
    </row>
    <row r="3244" ht="15.75" hidden="1" customHeight="1">
      <c r="A3244" s="47"/>
      <c r="B3244" s="47"/>
      <c r="C3244" s="47"/>
      <c r="D3244" s="47"/>
      <c r="E3244" s="47"/>
      <c r="F3244" s="47"/>
      <c r="G3244" s="47"/>
      <c r="H3244" s="47"/>
      <c r="I3244" s="47"/>
      <c r="J3244" s="1">
        <v>42.0</v>
      </c>
    </row>
    <row r="3245" ht="15.75" hidden="1" customHeight="1">
      <c r="A3245" s="47"/>
      <c r="B3245" s="47"/>
      <c r="C3245" s="47"/>
      <c r="D3245" s="47"/>
      <c r="E3245" s="47"/>
      <c r="F3245" s="47"/>
      <c r="G3245" s="47"/>
      <c r="H3245" s="47"/>
      <c r="I3245" s="47"/>
      <c r="J3245" s="1">
        <v>42.0</v>
      </c>
    </row>
    <row r="3246" ht="15.75" hidden="1" customHeight="1">
      <c r="A3246" s="47"/>
      <c r="B3246" s="47"/>
      <c r="C3246" s="47"/>
      <c r="D3246" s="47"/>
      <c r="E3246" s="47"/>
      <c r="F3246" s="47"/>
      <c r="G3246" s="47"/>
      <c r="H3246" s="47"/>
      <c r="I3246" s="47"/>
      <c r="J3246" s="1">
        <v>42.0</v>
      </c>
    </row>
    <row r="3247" ht="15.75" hidden="1" customHeight="1">
      <c r="A3247" s="47"/>
      <c r="B3247" s="47"/>
      <c r="C3247" s="47"/>
      <c r="D3247" s="47"/>
      <c r="E3247" s="47"/>
      <c r="F3247" s="47"/>
      <c r="G3247" s="47"/>
      <c r="H3247" s="47"/>
      <c r="I3247" s="47"/>
      <c r="J3247" s="1">
        <v>42.0</v>
      </c>
    </row>
    <row r="3248" ht="15.75" hidden="1" customHeight="1">
      <c r="A3248" s="47"/>
      <c r="B3248" s="47"/>
      <c r="C3248" s="47"/>
      <c r="D3248" s="47"/>
      <c r="E3248" s="47"/>
      <c r="F3248" s="47"/>
      <c r="G3248" s="47"/>
      <c r="H3248" s="47"/>
      <c r="I3248" s="47"/>
      <c r="J3248" s="1">
        <v>42.0</v>
      </c>
    </row>
    <row r="3249" ht="15.75" hidden="1" customHeight="1">
      <c r="A3249" s="47"/>
      <c r="B3249" s="47"/>
      <c r="C3249" s="47"/>
      <c r="D3249" s="47"/>
      <c r="E3249" s="47"/>
      <c r="F3249" s="47"/>
      <c r="G3249" s="47"/>
      <c r="H3249" s="47"/>
      <c r="I3249" s="47"/>
      <c r="J3249" s="1">
        <v>42.0</v>
      </c>
    </row>
    <row r="3250" ht="15.75" hidden="1" customHeight="1">
      <c r="A3250" s="47"/>
      <c r="B3250" s="47"/>
      <c r="C3250" s="47"/>
      <c r="D3250" s="47"/>
      <c r="E3250" s="47"/>
      <c r="F3250" s="47"/>
      <c r="G3250" s="47"/>
      <c r="H3250" s="47"/>
      <c r="I3250" s="47"/>
      <c r="J3250" s="1">
        <v>42.0</v>
      </c>
    </row>
    <row r="3251" ht="15.75" hidden="1" customHeight="1">
      <c r="A3251" s="47"/>
      <c r="B3251" s="47"/>
      <c r="C3251" s="47"/>
      <c r="D3251" s="47"/>
      <c r="E3251" s="47"/>
      <c r="F3251" s="47"/>
      <c r="G3251" s="47"/>
      <c r="H3251" s="47"/>
      <c r="I3251" s="47"/>
      <c r="J3251" s="1">
        <v>42.0</v>
      </c>
    </row>
    <row r="3252" ht="15.75" hidden="1" customHeight="1">
      <c r="A3252" s="47"/>
      <c r="B3252" s="47"/>
      <c r="C3252" s="47"/>
      <c r="D3252" s="47"/>
      <c r="E3252" s="47"/>
      <c r="F3252" s="47"/>
      <c r="G3252" s="47"/>
      <c r="H3252" s="47"/>
      <c r="I3252" s="47"/>
      <c r="J3252" s="1">
        <v>42.0</v>
      </c>
    </row>
    <row r="3253" ht="15.75" hidden="1" customHeight="1">
      <c r="A3253" s="47"/>
      <c r="B3253" s="47"/>
      <c r="C3253" s="47"/>
      <c r="D3253" s="47"/>
      <c r="E3253" s="47"/>
      <c r="F3253" s="47"/>
      <c r="G3253" s="47"/>
      <c r="H3253" s="47"/>
      <c r="I3253" s="47"/>
      <c r="J3253" s="1">
        <v>42.0</v>
      </c>
    </row>
    <row r="3254" ht="15.75" hidden="1" customHeight="1">
      <c r="A3254" s="47"/>
      <c r="B3254" s="47"/>
      <c r="C3254" s="47"/>
      <c r="D3254" s="47"/>
      <c r="E3254" s="47"/>
      <c r="F3254" s="47"/>
      <c r="G3254" s="47"/>
      <c r="H3254" s="47"/>
      <c r="I3254" s="47"/>
      <c r="J3254" s="1">
        <v>42.0</v>
      </c>
    </row>
    <row r="3255" ht="15.75" hidden="1" customHeight="1">
      <c r="A3255" s="47"/>
      <c r="B3255" s="47"/>
      <c r="C3255" s="47"/>
      <c r="D3255" s="47"/>
      <c r="E3255" s="47"/>
      <c r="F3255" s="47"/>
      <c r="G3255" s="47"/>
      <c r="H3255" s="47"/>
      <c r="I3255" s="47"/>
      <c r="J3255" s="1">
        <v>42.0</v>
      </c>
    </row>
    <row r="3256" ht="15.75" hidden="1" customHeight="1">
      <c r="A3256" s="47"/>
      <c r="B3256" s="47"/>
      <c r="C3256" s="47"/>
      <c r="D3256" s="47"/>
      <c r="E3256" s="47"/>
      <c r="F3256" s="47"/>
      <c r="G3256" s="47"/>
      <c r="H3256" s="47"/>
      <c r="I3256" s="47"/>
      <c r="J3256" s="1">
        <v>42.0</v>
      </c>
    </row>
    <row r="3257" ht="15.75" hidden="1" customHeight="1">
      <c r="A3257" s="47"/>
      <c r="B3257" s="47"/>
      <c r="C3257" s="47"/>
      <c r="D3257" s="47"/>
      <c r="E3257" s="47"/>
      <c r="F3257" s="47"/>
      <c r="G3257" s="47"/>
      <c r="H3257" s="47"/>
      <c r="I3257" s="47"/>
      <c r="J3257" s="1">
        <v>42.0</v>
      </c>
    </row>
    <row r="3258" ht="15.75" hidden="1" customHeight="1">
      <c r="A3258" s="47"/>
      <c r="B3258" s="47"/>
      <c r="C3258" s="47"/>
      <c r="D3258" s="47"/>
      <c r="E3258" s="47"/>
      <c r="F3258" s="47"/>
      <c r="G3258" s="47"/>
      <c r="H3258" s="47"/>
      <c r="I3258" s="47"/>
      <c r="J3258" s="1">
        <v>42.0</v>
      </c>
    </row>
    <row r="3259" ht="15.75" hidden="1" customHeight="1">
      <c r="A3259" s="47"/>
      <c r="B3259" s="47"/>
      <c r="C3259" s="47"/>
      <c r="D3259" s="47"/>
      <c r="E3259" s="47"/>
      <c r="F3259" s="47"/>
      <c r="G3259" s="47"/>
      <c r="H3259" s="47"/>
      <c r="I3259" s="47"/>
      <c r="J3259" s="1">
        <v>42.0</v>
      </c>
    </row>
    <row r="3260" ht="15.75" hidden="1" customHeight="1">
      <c r="A3260" s="47"/>
      <c r="B3260" s="47"/>
      <c r="C3260" s="47"/>
      <c r="D3260" s="47"/>
      <c r="E3260" s="47"/>
      <c r="F3260" s="47"/>
      <c r="G3260" s="47"/>
      <c r="H3260" s="47"/>
      <c r="I3260" s="47"/>
      <c r="J3260" s="1">
        <v>42.0</v>
      </c>
    </row>
    <row r="3261" ht="15.75" hidden="1" customHeight="1">
      <c r="A3261" s="47"/>
      <c r="B3261" s="47"/>
      <c r="C3261" s="47"/>
      <c r="D3261" s="47"/>
      <c r="E3261" s="47"/>
      <c r="F3261" s="47"/>
      <c r="G3261" s="47"/>
      <c r="H3261" s="47"/>
      <c r="I3261" s="47"/>
      <c r="J3261" s="1">
        <v>42.0</v>
      </c>
    </row>
    <row r="3262" ht="15.75" hidden="1" customHeight="1">
      <c r="A3262" s="47"/>
      <c r="B3262" s="47"/>
      <c r="C3262" s="47"/>
      <c r="D3262" s="47"/>
      <c r="E3262" s="47"/>
      <c r="F3262" s="47"/>
      <c r="G3262" s="47"/>
      <c r="H3262" s="47"/>
      <c r="I3262" s="47"/>
      <c r="J3262" s="1">
        <v>42.0</v>
      </c>
    </row>
    <row r="3263" ht="15.75" hidden="1" customHeight="1">
      <c r="A3263" s="47"/>
      <c r="B3263" s="47"/>
      <c r="C3263" s="47"/>
      <c r="D3263" s="47"/>
      <c r="E3263" s="47"/>
      <c r="F3263" s="47"/>
      <c r="G3263" s="47"/>
      <c r="H3263" s="47"/>
      <c r="I3263" s="47"/>
      <c r="J3263" s="1">
        <v>42.0</v>
      </c>
    </row>
    <row r="3264" ht="15.75" hidden="1" customHeight="1">
      <c r="A3264" s="47"/>
      <c r="B3264" s="47"/>
      <c r="C3264" s="47"/>
      <c r="D3264" s="47"/>
      <c r="E3264" s="47"/>
      <c r="F3264" s="47"/>
      <c r="G3264" s="47"/>
      <c r="H3264" s="47"/>
      <c r="I3264" s="47"/>
      <c r="J3264" s="1">
        <v>42.0</v>
      </c>
    </row>
    <row r="3265" ht="15.75" hidden="1" customHeight="1">
      <c r="A3265" s="47"/>
      <c r="B3265" s="47"/>
      <c r="C3265" s="47"/>
      <c r="D3265" s="47"/>
      <c r="E3265" s="47"/>
      <c r="F3265" s="47"/>
      <c r="G3265" s="47"/>
      <c r="H3265" s="47"/>
      <c r="I3265" s="47"/>
      <c r="J3265" s="1">
        <v>42.0</v>
      </c>
    </row>
    <row r="3266" ht="15.75" hidden="1" customHeight="1">
      <c r="A3266" s="47"/>
      <c r="B3266" s="47"/>
      <c r="C3266" s="47"/>
      <c r="D3266" s="47"/>
      <c r="E3266" s="47"/>
      <c r="F3266" s="47"/>
      <c r="G3266" s="47"/>
      <c r="H3266" s="47"/>
      <c r="I3266" s="47"/>
      <c r="J3266" s="1">
        <v>42.0</v>
      </c>
    </row>
    <row r="3267" ht="15.75" hidden="1" customHeight="1">
      <c r="A3267" s="47"/>
      <c r="B3267" s="47"/>
      <c r="C3267" s="47"/>
      <c r="D3267" s="47"/>
      <c r="E3267" s="47"/>
      <c r="F3267" s="47"/>
      <c r="G3267" s="47"/>
      <c r="H3267" s="47"/>
      <c r="I3267" s="47"/>
      <c r="J3267" s="1">
        <v>42.0</v>
      </c>
    </row>
    <row r="3268" ht="15.75" hidden="1" customHeight="1">
      <c r="A3268" s="47"/>
      <c r="B3268" s="47"/>
      <c r="C3268" s="47"/>
      <c r="D3268" s="47"/>
      <c r="E3268" s="47"/>
      <c r="F3268" s="47"/>
      <c r="G3268" s="47"/>
      <c r="H3268" s="47"/>
      <c r="I3268" s="47"/>
      <c r="J3268" s="1">
        <v>42.0</v>
      </c>
    </row>
    <row r="3269" ht="15.75" hidden="1" customHeight="1">
      <c r="A3269" s="47"/>
      <c r="B3269" s="47"/>
      <c r="C3269" s="47"/>
      <c r="D3269" s="47"/>
      <c r="E3269" s="47"/>
      <c r="F3269" s="47"/>
      <c r="G3269" s="47"/>
      <c r="H3269" s="47"/>
      <c r="I3269" s="47"/>
      <c r="J3269" s="1">
        <v>42.0</v>
      </c>
    </row>
    <row r="3270" ht="15.75" hidden="1" customHeight="1">
      <c r="A3270" s="47"/>
      <c r="B3270" s="47"/>
      <c r="C3270" s="47"/>
      <c r="D3270" s="47"/>
      <c r="E3270" s="47"/>
      <c r="F3270" s="47"/>
      <c r="G3270" s="47"/>
      <c r="H3270" s="47"/>
      <c r="I3270" s="47"/>
      <c r="J3270" s="1">
        <v>42.0</v>
      </c>
    </row>
    <row r="3271" ht="15.75" hidden="1" customHeight="1">
      <c r="A3271" s="47"/>
      <c r="B3271" s="47"/>
      <c r="C3271" s="47"/>
      <c r="D3271" s="47"/>
      <c r="E3271" s="47"/>
      <c r="F3271" s="47"/>
      <c r="G3271" s="47"/>
      <c r="H3271" s="47"/>
      <c r="I3271" s="47"/>
      <c r="J3271" s="1">
        <v>42.0</v>
      </c>
    </row>
    <row r="3272" ht="15.75" hidden="1" customHeight="1">
      <c r="A3272" s="47"/>
      <c r="B3272" s="47"/>
      <c r="C3272" s="47"/>
      <c r="D3272" s="47"/>
      <c r="E3272" s="47"/>
      <c r="F3272" s="47"/>
      <c r="G3272" s="47"/>
      <c r="H3272" s="47"/>
      <c r="I3272" s="47"/>
      <c r="J3272" s="1">
        <v>42.0</v>
      </c>
    </row>
    <row r="3273" ht="15.75" hidden="1" customHeight="1">
      <c r="A3273" s="47"/>
      <c r="B3273" s="47"/>
      <c r="C3273" s="47"/>
      <c r="D3273" s="47"/>
      <c r="E3273" s="47"/>
      <c r="F3273" s="47"/>
      <c r="G3273" s="47"/>
      <c r="H3273" s="47"/>
      <c r="I3273" s="47"/>
      <c r="J3273" s="1">
        <v>42.0</v>
      </c>
    </row>
    <row r="3274" ht="15.75" hidden="1" customHeight="1">
      <c r="A3274" s="47"/>
      <c r="B3274" s="47"/>
      <c r="C3274" s="47"/>
      <c r="D3274" s="47"/>
      <c r="E3274" s="47"/>
      <c r="F3274" s="47"/>
      <c r="G3274" s="47"/>
      <c r="H3274" s="47"/>
      <c r="I3274" s="47"/>
      <c r="J3274" s="1">
        <v>42.0</v>
      </c>
    </row>
    <row r="3275" ht="15.75" hidden="1" customHeight="1">
      <c r="A3275" s="47"/>
      <c r="B3275" s="47"/>
      <c r="C3275" s="47"/>
      <c r="D3275" s="47"/>
      <c r="E3275" s="47"/>
      <c r="F3275" s="47"/>
      <c r="G3275" s="47"/>
      <c r="H3275" s="47"/>
      <c r="I3275" s="47"/>
      <c r="J3275" s="1">
        <v>42.0</v>
      </c>
    </row>
    <row r="3276" ht="15.75" hidden="1" customHeight="1">
      <c r="A3276" s="47"/>
      <c r="B3276" s="47"/>
      <c r="C3276" s="47"/>
      <c r="D3276" s="47"/>
      <c r="E3276" s="47"/>
      <c r="F3276" s="47"/>
      <c r="G3276" s="47"/>
      <c r="H3276" s="47"/>
      <c r="I3276" s="47"/>
      <c r="J3276" s="1">
        <v>42.0</v>
      </c>
    </row>
    <row r="3277" ht="15.75" hidden="1" customHeight="1">
      <c r="A3277" s="47"/>
      <c r="B3277" s="47"/>
      <c r="C3277" s="47"/>
      <c r="D3277" s="47"/>
      <c r="E3277" s="47"/>
      <c r="F3277" s="47"/>
      <c r="G3277" s="47"/>
      <c r="H3277" s="47"/>
      <c r="I3277" s="47"/>
      <c r="J3277" s="1">
        <v>42.0</v>
      </c>
    </row>
    <row r="3278" ht="15.75" hidden="1" customHeight="1">
      <c r="A3278" s="47"/>
      <c r="B3278" s="47"/>
      <c r="C3278" s="47"/>
      <c r="D3278" s="47"/>
      <c r="E3278" s="47"/>
      <c r="F3278" s="47"/>
      <c r="G3278" s="47"/>
      <c r="H3278" s="47"/>
      <c r="I3278" s="47"/>
      <c r="J3278" s="1">
        <v>42.0</v>
      </c>
    </row>
    <row r="3279" ht="15.75" hidden="1" customHeight="1">
      <c r="A3279" s="47"/>
      <c r="B3279" s="47"/>
      <c r="C3279" s="47"/>
      <c r="D3279" s="47"/>
      <c r="E3279" s="47"/>
      <c r="F3279" s="47"/>
      <c r="G3279" s="47"/>
      <c r="H3279" s="47"/>
      <c r="I3279" s="47"/>
      <c r="J3279" s="1">
        <v>42.0</v>
      </c>
    </row>
    <row r="3280" ht="15.75" hidden="1" customHeight="1">
      <c r="A3280" s="47"/>
      <c r="B3280" s="47"/>
      <c r="C3280" s="47"/>
      <c r="D3280" s="47"/>
      <c r="E3280" s="47"/>
      <c r="F3280" s="47"/>
      <c r="G3280" s="47"/>
      <c r="H3280" s="47"/>
      <c r="I3280" s="47"/>
      <c r="J3280" s="1">
        <v>42.0</v>
      </c>
    </row>
    <row r="3281" ht="15.75" hidden="1" customHeight="1">
      <c r="A3281" s="47"/>
      <c r="B3281" s="47"/>
      <c r="C3281" s="47"/>
      <c r="D3281" s="47"/>
      <c r="E3281" s="47"/>
      <c r="F3281" s="47"/>
      <c r="G3281" s="47"/>
      <c r="H3281" s="47"/>
      <c r="I3281" s="47"/>
      <c r="J3281" s="1">
        <v>42.0</v>
      </c>
    </row>
    <row r="3282" ht="15.75" hidden="1" customHeight="1">
      <c r="A3282" s="47"/>
      <c r="B3282" s="47"/>
      <c r="C3282" s="47"/>
      <c r="D3282" s="47"/>
      <c r="E3282" s="47"/>
      <c r="F3282" s="47"/>
      <c r="G3282" s="47"/>
      <c r="H3282" s="47"/>
      <c r="I3282" s="47"/>
      <c r="J3282" s="1">
        <v>42.0</v>
      </c>
    </row>
    <row r="3283" ht="15.75" hidden="1" customHeight="1">
      <c r="A3283" s="47"/>
      <c r="B3283" s="47"/>
      <c r="C3283" s="47"/>
      <c r="D3283" s="47"/>
      <c r="E3283" s="47"/>
      <c r="F3283" s="47"/>
      <c r="G3283" s="47"/>
      <c r="H3283" s="47"/>
      <c r="I3283" s="47"/>
      <c r="J3283" s="1">
        <v>42.0</v>
      </c>
    </row>
    <row r="3284" ht="15.75" hidden="1" customHeight="1">
      <c r="A3284" s="47"/>
      <c r="B3284" s="47"/>
      <c r="C3284" s="47"/>
      <c r="D3284" s="47"/>
      <c r="E3284" s="47"/>
      <c r="F3284" s="47"/>
      <c r="G3284" s="47"/>
      <c r="H3284" s="47"/>
      <c r="I3284" s="47"/>
      <c r="J3284" s="1">
        <v>42.0</v>
      </c>
    </row>
    <row r="3285" ht="15.75" hidden="1" customHeight="1">
      <c r="A3285" s="47"/>
      <c r="B3285" s="47"/>
      <c r="C3285" s="47"/>
      <c r="D3285" s="47"/>
      <c r="E3285" s="47"/>
      <c r="F3285" s="47"/>
      <c r="G3285" s="47"/>
      <c r="H3285" s="47"/>
      <c r="I3285" s="47"/>
      <c r="J3285" s="1">
        <v>42.0</v>
      </c>
    </row>
    <row r="3286" ht="15.75" hidden="1" customHeight="1">
      <c r="A3286" s="47"/>
      <c r="B3286" s="47"/>
      <c r="C3286" s="47"/>
      <c r="D3286" s="47"/>
      <c r="E3286" s="47"/>
      <c r="F3286" s="47"/>
      <c r="G3286" s="47"/>
      <c r="H3286" s="47"/>
      <c r="I3286" s="47"/>
      <c r="J3286" s="1">
        <v>42.0</v>
      </c>
    </row>
    <row r="3287" ht="15.75" hidden="1" customHeight="1">
      <c r="A3287" s="47"/>
      <c r="B3287" s="47"/>
      <c r="C3287" s="47"/>
      <c r="D3287" s="47"/>
      <c r="E3287" s="47"/>
      <c r="F3287" s="47"/>
      <c r="G3287" s="47"/>
      <c r="H3287" s="47"/>
      <c r="I3287" s="47"/>
      <c r="J3287" s="1">
        <v>42.0</v>
      </c>
    </row>
    <row r="3288" ht="15.75" hidden="1" customHeight="1">
      <c r="A3288" s="47"/>
      <c r="B3288" s="47"/>
      <c r="C3288" s="47"/>
      <c r="D3288" s="47"/>
      <c r="E3288" s="47"/>
      <c r="F3288" s="47"/>
      <c r="G3288" s="47"/>
      <c r="H3288" s="47"/>
      <c r="I3288" s="47"/>
      <c r="J3288" s="1">
        <v>42.0</v>
      </c>
    </row>
    <row r="3289" ht="15.75" hidden="1" customHeight="1">
      <c r="A3289" s="47"/>
      <c r="B3289" s="47"/>
      <c r="C3289" s="47"/>
      <c r="D3289" s="47"/>
      <c r="E3289" s="47"/>
      <c r="F3289" s="47"/>
      <c r="G3289" s="47"/>
      <c r="H3289" s="47"/>
      <c r="I3289" s="47"/>
      <c r="J3289" s="1">
        <v>42.0</v>
      </c>
    </row>
    <row r="3290" ht="15.75" hidden="1" customHeight="1">
      <c r="A3290" s="47"/>
      <c r="B3290" s="47"/>
      <c r="C3290" s="47"/>
      <c r="D3290" s="47"/>
      <c r="E3290" s="47"/>
      <c r="F3290" s="47"/>
      <c r="G3290" s="47"/>
      <c r="H3290" s="47"/>
      <c r="I3290" s="47"/>
      <c r="J3290" s="1">
        <v>42.0</v>
      </c>
    </row>
    <row r="3291" ht="15.75" hidden="1" customHeight="1">
      <c r="A3291" s="47"/>
      <c r="B3291" s="47"/>
      <c r="C3291" s="47"/>
      <c r="D3291" s="47"/>
      <c r="E3291" s="47"/>
      <c r="F3291" s="47"/>
      <c r="G3291" s="47"/>
      <c r="H3291" s="47"/>
      <c r="I3291" s="47"/>
      <c r="J3291" s="1">
        <v>42.0</v>
      </c>
    </row>
    <row r="3292" ht="15.75" hidden="1" customHeight="1">
      <c r="A3292" s="47"/>
      <c r="B3292" s="47"/>
      <c r="C3292" s="47"/>
      <c r="D3292" s="47"/>
      <c r="E3292" s="47"/>
      <c r="F3292" s="47"/>
      <c r="G3292" s="47"/>
      <c r="H3292" s="47"/>
      <c r="I3292" s="47"/>
      <c r="J3292" s="1">
        <v>42.0</v>
      </c>
    </row>
    <row r="3293" ht="15.75" hidden="1" customHeight="1">
      <c r="A3293" s="47"/>
      <c r="B3293" s="47"/>
      <c r="C3293" s="47"/>
      <c r="D3293" s="47"/>
      <c r="E3293" s="47"/>
      <c r="F3293" s="47"/>
      <c r="G3293" s="47"/>
      <c r="H3293" s="47"/>
      <c r="I3293" s="47"/>
      <c r="J3293" s="1">
        <v>42.0</v>
      </c>
    </row>
    <row r="3294" ht="15.75" hidden="1" customHeight="1">
      <c r="A3294" s="47"/>
      <c r="B3294" s="47"/>
      <c r="C3294" s="47"/>
      <c r="D3294" s="47"/>
      <c r="E3294" s="47"/>
      <c r="F3294" s="47"/>
      <c r="G3294" s="47"/>
      <c r="H3294" s="47"/>
      <c r="I3294" s="47"/>
      <c r="J3294" s="1">
        <v>42.0</v>
      </c>
    </row>
    <row r="3295" ht="15.75" hidden="1" customHeight="1">
      <c r="A3295" s="47"/>
      <c r="B3295" s="47"/>
      <c r="C3295" s="47"/>
      <c r="D3295" s="47"/>
      <c r="E3295" s="47"/>
      <c r="F3295" s="47"/>
      <c r="G3295" s="47"/>
      <c r="H3295" s="47"/>
      <c r="I3295" s="47"/>
      <c r="J3295" s="1">
        <v>42.0</v>
      </c>
    </row>
    <row r="3296" ht="15.75" hidden="1" customHeight="1">
      <c r="A3296" s="47"/>
      <c r="B3296" s="47"/>
      <c r="C3296" s="47"/>
      <c r="D3296" s="47"/>
      <c r="E3296" s="47"/>
      <c r="F3296" s="47"/>
      <c r="G3296" s="47"/>
      <c r="H3296" s="47"/>
      <c r="I3296" s="47"/>
      <c r="J3296" s="1">
        <v>42.0</v>
      </c>
    </row>
    <row r="3297" ht="15.75" hidden="1" customHeight="1">
      <c r="A3297" s="47"/>
      <c r="B3297" s="47"/>
      <c r="C3297" s="47"/>
      <c r="D3297" s="47"/>
      <c r="E3297" s="47"/>
      <c r="F3297" s="47"/>
      <c r="G3297" s="47"/>
      <c r="H3297" s="47"/>
      <c r="I3297" s="47"/>
      <c r="J3297" s="1">
        <v>42.0</v>
      </c>
    </row>
    <row r="3298" ht="15.75" hidden="1" customHeight="1">
      <c r="A3298" s="47"/>
      <c r="B3298" s="47"/>
      <c r="C3298" s="47"/>
      <c r="D3298" s="47"/>
      <c r="E3298" s="47"/>
      <c r="F3298" s="47"/>
      <c r="G3298" s="47"/>
      <c r="H3298" s="47"/>
      <c r="I3298" s="47"/>
      <c r="J3298" s="1">
        <v>42.0</v>
      </c>
    </row>
    <row r="3299" ht="15.75" hidden="1" customHeight="1">
      <c r="A3299" s="47"/>
      <c r="B3299" s="47"/>
      <c r="C3299" s="47"/>
      <c r="D3299" s="47"/>
      <c r="E3299" s="47"/>
      <c r="F3299" s="47"/>
      <c r="G3299" s="47"/>
      <c r="H3299" s="47"/>
      <c r="I3299" s="47"/>
      <c r="J3299" s="1">
        <v>42.0</v>
      </c>
    </row>
    <row r="3300" ht="15.75" hidden="1" customHeight="1">
      <c r="A3300" s="47"/>
      <c r="B3300" s="47"/>
      <c r="C3300" s="47"/>
      <c r="D3300" s="47"/>
      <c r="E3300" s="47"/>
      <c r="F3300" s="47"/>
      <c r="G3300" s="47"/>
      <c r="H3300" s="47"/>
      <c r="I3300" s="47"/>
      <c r="J3300" s="1">
        <v>42.0</v>
      </c>
    </row>
    <row r="3301" ht="15.75" hidden="1" customHeight="1">
      <c r="A3301" s="47"/>
      <c r="B3301" s="47"/>
      <c r="C3301" s="47"/>
      <c r="D3301" s="47"/>
      <c r="E3301" s="47"/>
      <c r="F3301" s="47"/>
      <c r="G3301" s="47"/>
      <c r="H3301" s="47"/>
      <c r="I3301" s="47"/>
      <c r="J3301" s="1">
        <v>42.0</v>
      </c>
    </row>
    <row r="3302" ht="15.75" hidden="1" customHeight="1">
      <c r="A3302" s="47"/>
      <c r="B3302" s="47"/>
      <c r="C3302" s="47"/>
      <c r="D3302" s="47"/>
      <c r="E3302" s="47"/>
      <c r="F3302" s="47"/>
      <c r="G3302" s="47"/>
      <c r="H3302" s="47"/>
      <c r="I3302" s="47"/>
      <c r="J3302" s="1">
        <v>42.0</v>
      </c>
    </row>
    <row r="3303" ht="15.75" hidden="1" customHeight="1">
      <c r="A3303" s="47"/>
      <c r="B3303" s="47"/>
      <c r="C3303" s="47"/>
      <c r="D3303" s="47"/>
      <c r="E3303" s="47"/>
      <c r="F3303" s="47"/>
      <c r="G3303" s="47"/>
      <c r="H3303" s="47"/>
      <c r="I3303" s="47"/>
      <c r="J3303" s="1">
        <v>42.0</v>
      </c>
    </row>
    <row r="3304" ht="15.75" hidden="1" customHeight="1">
      <c r="A3304" s="47"/>
      <c r="B3304" s="47"/>
      <c r="C3304" s="47"/>
      <c r="D3304" s="47"/>
      <c r="E3304" s="47"/>
      <c r="F3304" s="47"/>
      <c r="G3304" s="47"/>
      <c r="H3304" s="47"/>
      <c r="I3304" s="47"/>
      <c r="J3304" s="1">
        <v>42.0</v>
      </c>
    </row>
    <row r="3305" ht="15.75" hidden="1" customHeight="1">
      <c r="A3305" s="47"/>
      <c r="B3305" s="47"/>
      <c r="C3305" s="47"/>
      <c r="D3305" s="47"/>
      <c r="E3305" s="47"/>
      <c r="F3305" s="47"/>
      <c r="G3305" s="47"/>
      <c r="H3305" s="47"/>
      <c r="I3305" s="47"/>
      <c r="J3305" s="1">
        <v>42.0</v>
      </c>
    </row>
    <row r="3306" ht="15.75" hidden="1" customHeight="1">
      <c r="A3306" s="47"/>
      <c r="B3306" s="47"/>
      <c r="C3306" s="47"/>
      <c r="D3306" s="47"/>
      <c r="E3306" s="47"/>
      <c r="F3306" s="47"/>
      <c r="G3306" s="47"/>
      <c r="H3306" s="47"/>
      <c r="I3306" s="47"/>
      <c r="J3306" s="1">
        <v>42.0</v>
      </c>
    </row>
    <row r="3307" ht="15.75" hidden="1" customHeight="1">
      <c r="A3307" s="47"/>
      <c r="B3307" s="47"/>
      <c r="C3307" s="47"/>
      <c r="D3307" s="47"/>
      <c r="E3307" s="47"/>
      <c r="F3307" s="47"/>
      <c r="G3307" s="47"/>
      <c r="H3307" s="47"/>
      <c r="I3307" s="47"/>
      <c r="J3307" s="1">
        <v>42.0</v>
      </c>
    </row>
    <row r="3308" ht="15.75" hidden="1" customHeight="1">
      <c r="A3308" s="47"/>
      <c r="B3308" s="47"/>
      <c r="C3308" s="47"/>
      <c r="D3308" s="47"/>
      <c r="E3308" s="47"/>
      <c r="F3308" s="47"/>
      <c r="G3308" s="47"/>
      <c r="H3308" s="47"/>
      <c r="I3308" s="47"/>
      <c r="J3308" s="1">
        <v>42.0</v>
      </c>
    </row>
    <row r="3309" ht="15.75" hidden="1" customHeight="1">
      <c r="A3309" s="47"/>
      <c r="B3309" s="47"/>
      <c r="C3309" s="47"/>
      <c r="D3309" s="47"/>
      <c r="E3309" s="47"/>
      <c r="F3309" s="47"/>
      <c r="G3309" s="47"/>
      <c r="H3309" s="47"/>
      <c r="I3309" s="47"/>
      <c r="J3309" s="1">
        <v>42.0</v>
      </c>
    </row>
    <row r="3310" ht="15.75" hidden="1" customHeight="1">
      <c r="A3310" s="47"/>
      <c r="B3310" s="47"/>
      <c r="C3310" s="47"/>
      <c r="D3310" s="47"/>
      <c r="E3310" s="47"/>
      <c r="F3310" s="47"/>
      <c r="G3310" s="47"/>
      <c r="H3310" s="47"/>
      <c r="I3310" s="47"/>
      <c r="J3310" s="1">
        <v>42.0</v>
      </c>
    </row>
    <row r="3311" ht="15.75" hidden="1" customHeight="1">
      <c r="A3311" s="47"/>
      <c r="B3311" s="47"/>
      <c r="C3311" s="47"/>
      <c r="D3311" s="47"/>
      <c r="E3311" s="47"/>
      <c r="F3311" s="47"/>
      <c r="G3311" s="47"/>
      <c r="H3311" s="47"/>
      <c r="I3311" s="47"/>
      <c r="J3311" s="1">
        <v>42.0</v>
      </c>
    </row>
    <row r="3312" ht="15.75" hidden="1" customHeight="1">
      <c r="A3312" s="47"/>
      <c r="B3312" s="47"/>
      <c r="C3312" s="47"/>
      <c r="D3312" s="47"/>
      <c r="E3312" s="47"/>
      <c r="F3312" s="47"/>
      <c r="G3312" s="47"/>
      <c r="H3312" s="47"/>
      <c r="I3312" s="47"/>
      <c r="J3312" s="1">
        <v>42.0</v>
      </c>
    </row>
    <row r="3313" ht="15.75" hidden="1" customHeight="1">
      <c r="A3313" s="47"/>
      <c r="B3313" s="47"/>
      <c r="C3313" s="47"/>
      <c r="D3313" s="47"/>
      <c r="E3313" s="47"/>
      <c r="F3313" s="47"/>
      <c r="G3313" s="47"/>
      <c r="H3313" s="47"/>
      <c r="I3313" s="47"/>
      <c r="J3313" s="1">
        <v>42.0</v>
      </c>
    </row>
    <row r="3314" ht="15.75" hidden="1" customHeight="1">
      <c r="A3314" s="47"/>
      <c r="B3314" s="47"/>
      <c r="C3314" s="47"/>
      <c r="D3314" s="47"/>
      <c r="E3314" s="47"/>
      <c r="F3314" s="47"/>
      <c r="G3314" s="47"/>
      <c r="H3314" s="47"/>
      <c r="I3314" s="47"/>
      <c r="J3314" s="1">
        <v>42.0</v>
      </c>
    </row>
    <row r="3315" ht="15.75" hidden="1" customHeight="1">
      <c r="A3315" s="47"/>
      <c r="B3315" s="47"/>
      <c r="C3315" s="47"/>
      <c r="D3315" s="47"/>
      <c r="E3315" s="47"/>
      <c r="F3315" s="47"/>
      <c r="G3315" s="47"/>
      <c r="H3315" s="47"/>
      <c r="I3315" s="47"/>
      <c r="J3315" s="1">
        <v>42.0</v>
      </c>
    </row>
    <row r="3316" ht="15.75" hidden="1" customHeight="1">
      <c r="A3316" s="47"/>
      <c r="B3316" s="47"/>
      <c r="C3316" s="47"/>
      <c r="D3316" s="47"/>
      <c r="E3316" s="47"/>
      <c r="F3316" s="47"/>
      <c r="G3316" s="47"/>
      <c r="H3316" s="47"/>
      <c r="I3316" s="47"/>
      <c r="J3316" s="1">
        <v>42.0</v>
      </c>
    </row>
    <row r="3317" ht="15.75" hidden="1" customHeight="1">
      <c r="A3317" s="47"/>
      <c r="B3317" s="47"/>
      <c r="C3317" s="47"/>
      <c r="D3317" s="47"/>
      <c r="E3317" s="47"/>
      <c r="F3317" s="47"/>
      <c r="G3317" s="47"/>
      <c r="H3317" s="47"/>
      <c r="I3317" s="47"/>
      <c r="J3317" s="1">
        <v>42.0</v>
      </c>
    </row>
    <row r="3318" ht="15.75" hidden="1" customHeight="1">
      <c r="A3318" s="47"/>
      <c r="B3318" s="47"/>
      <c r="C3318" s="47"/>
      <c r="D3318" s="47"/>
      <c r="E3318" s="47"/>
      <c r="F3318" s="47"/>
      <c r="G3318" s="47"/>
      <c r="H3318" s="47"/>
      <c r="I3318" s="47"/>
      <c r="J3318" s="1">
        <v>42.0</v>
      </c>
    </row>
    <row r="3319" ht="15.75" hidden="1" customHeight="1">
      <c r="A3319" s="47"/>
      <c r="B3319" s="47"/>
      <c r="C3319" s="47"/>
      <c r="D3319" s="47"/>
      <c r="E3319" s="47"/>
      <c r="F3319" s="47"/>
      <c r="G3319" s="47"/>
      <c r="H3319" s="47"/>
      <c r="I3319" s="47"/>
      <c r="J3319" s="1">
        <v>42.0</v>
      </c>
    </row>
    <row r="3320" ht="15.75" hidden="1" customHeight="1">
      <c r="A3320" s="47"/>
      <c r="B3320" s="47"/>
      <c r="C3320" s="47"/>
      <c r="D3320" s="47"/>
      <c r="E3320" s="47"/>
      <c r="F3320" s="47"/>
      <c r="G3320" s="47"/>
      <c r="H3320" s="47"/>
      <c r="I3320" s="47"/>
      <c r="J3320" s="1">
        <v>42.0</v>
      </c>
    </row>
    <row r="3321" ht="15.75" hidden="1" customHeight="1">
      <c r="A3321" s="47"/>
      <c r="B3321" s="47"/>
      <c r="C3321" s="47"/>
      <c r="D3321" s="47"/>
      <c r="E3321" s="47"/>
      <c r="F3321" s="47"/>
      <c r="G3321" s="47"/>
      <c r="H3321" s="47"/>
      <c r="I3321" s="47"/>
      <c r="J3321" s="1">
        <v>42.0</v>
      </c>
    </row>
    <row r="3322" ht="15.75" hidden="1" customHeight="1">
      <c r="A3322" s="47"/>
      <c r="B3322" s="47"/>
      <c r="C3322" s="47"/>
      <c r="D3322" s="47"/>
      <c r="E3322" s="47"/>
      <c r="F3322" s="47"/>
      <c r="G3322" s="47"/>
      <c r="H3322" s="47"/>
      <c r="I3322" s="47"/>
      <c r="J3322" s="1">
        <v>42.0</v>
      </c>
    </row>
    <row r="3323" ht="15.75" hidden="1" customHeight="1">
      <c r="A3323" s="47"/>
      <c r="B3323" s="47"/>
      <c r="C3323" s="47"/>
      <c r="D3323" s="47"/>
      <c r="E3323" s="47"/>
      <c r="F3323" s="47"/>
      <c r="G3323" s="47"/>
      <c r="H3323" s="47"/>
      <c r="I3323" s="47"/>
      <c r="J3323" s="1">
        <v>42.0</v>
      </c>
    </row>
    <row r="3324" ht="15.75" hidden="1" customHeight="1">
      <c r="A3324" s="47"/>
      <c r="B3324" s="47"/>
      <c r="C3324" s="47"/>
      <c r="D3324" s="47"/>
      <c r="E3324" s="47"/>
      <c r="F3324" s="47"/>
      <c r="G3324" s="47"/>
      <c r="H3324" s="47"/>
      <c r="I3324" s="47"/>
      <c r="J3324" s="1">
        <v>42.0</v>
      </c>
    </row>
    <row r="3325" ht="15.75" hidden="1" customHeight="1">
      <c r="A3325" s="47"/>
      <c r="B3325" s="47"/>
      <c r="C3325" s="47"/>
      <c r="D3325" s="47"/>
      <c r="E3325" s="47"/>
      <c r="F3325" s="47"/>
      <c r="G3325" s="47"/>
      <c r="H3325" s="47"/>
      <c r="I3325" s="47"/>
      <c r="J3325" s="1">
        <v>42.0</v>
      </c>
    </row>
    <row r="3326" ht="15.75" hidden="1" customHeight="1">
      <c r="A3326" s="47"/>
      <c r="B3326" s="47"/>
      <c r="C3326" s="47"/>
      <c r="D3326" s="47"/>
      <c r="E3326" s="47"/>
      <c r="F3326" s="47"/>
      <c r="G3326" s="47"/>
      <c r="H3326" s="47"/>
      <c r="I3326" s="47"/>
      <c r="J3326" s="1">
        <v>42.0</v>
      </c>
    </row>
    <row r="3327" ht="15.75" hidden="1" customHeight="1">
      <c r="A3327" s="47"/>
      <c r="B3327" s="47"/>
      <c r="C3327" s="47"/>
      <c r="D3327" s="47"/>
      <c r="E3327" s="47"/>
      <c r="F3327" s="47"/>
      <c r="G3327" s="47"/>
      <c r="H3327" s="47"/>
      <c r="I3327" s="47"/>
      <c r="J3327" s="1">
        <v>42.0</v>
      </c>
    </row>
    <row r="3328" ht="15.75" hidden="1" customHeight="1">
      <c r="A3328" s="47"/>
      <c r="B3328" s="47"/>
      <c r="C3328" s="47"/>
      <c r="D3328" s="47"/>
      <c r="E3328" s="47"/>
      <c r="F3328" s="47"/>
      <c r="G3328" s="47"/>
      <c r="H3328" s="47"/>
      <c r="I3328" s="47"/>
      <c r="J3328" s="1">
        <v>42.0</v>
      </c>
    </row>
    <row r="3329" ht="15.75" hidden="1" customHeight="1">
      <c r="A3329" s="47"/>
      <c r="B3329" s="47"/>
      <c r="C3329" s="47"/>
      <c r="D3329" s="47"/>
      <c r="E3329" s="47"/>
      <c r="F3329" s="47"/>
      <c r="G3329" s="47"/>
      <c r="H3329" s="47"/>
      <c r="I3329" s="47"/>
      <c r="J3329" s="1">
        <v>42.0</v>
      </c>
    </row>
    <row r="3330" ht="15.75" hidden="1" customHeight="1">
      <c r="A3330" s="47"/>
      <c r="B3330" s="47"/>
      <c r="C3330" s="47"/>
      <c r="D3330" s="47"/>
      <c r="E3330" s="47"/>
      <c r="F3330" s="47"/>
      <c r="G3330" s="47"/>
      <c r="H3330" s="47"/>
      <c r="I3330" s="47"/>
      <c r="J3330" s="1">
        <v>42.0</v>
      </c>
    </row>
    <row r="3331" ht="15.75" hidden="1" customHeight="1">
      <c r="A3331" s="47"/>
      <c r="B3331" s="47"/>
      <c r="C3331" s="47"/>
      <c r="D3331" s="47"/>
      <c r="E3331" s="47"/>
      <c r="F3331" s="47"/>
      <c r="G3331" s="47"/>
      <c r="H3331" s="47"/>
      <c r="I3331" s="47"/>
      <c r="J3331" s="1">
        <v>42.0</v>
      </c>
    </row>
    <row r="3332" ht="15.75" hidden="1" customHeight="1">
      <c r="A3332" s="47"/>
      <c r="B3332" s="47"/>
      <c r="C3332" s="47"/>
      <c r="D3332" s="47"/>
      <c r="E3332" s="47"/>
      <c r="F3332" s="47"/>
      <c r="G3332" s="47"/>
      <c r="H3332" s="47"/>
      <c r="I3332" s="47"/>
      <c r="J3332" s="1">
        <v>42.0</v>
      </c>
    </row>
    <row r="3333" ht="15.75" hidden="1" customHeight="1">
      <c r="A3333" s="47"/>
      <c r="B3333" s="47"/>
      <c r="C3333" s="47"/>
      <c r="D3333" s="47"/>
      <c r="E3333" s="47"/>
      <c r="F3333" s="47"/>
      <c r="G3333" s="47"/>
      <c r="H3333" s="47"/>
      <c r="I3333" s="47"/>
      <c r="J3333" s="1">
        <v>42.0</v>
      </c>
    </row>
    <row r="3334" ht="15.75" hidden="1" customHeight="1">
      <c r="A3334" s="47"/>
      <c r="B3334" s="47"/>
      <c r="C3334" s="47"/>
      <c r="D3334" s="47"/>
      <c r="E3334" s="47"/>
      <c r="F3334" s="47"/>
      <c r="G3334" s="47"/>
      <c r="H3334" s="47"/>
      <c r="I3334" s="47"/>
      <c r="J3334" s="1">
        <v>42.0</v>
      </c>
    </row>
    <row r="3335" ht="15.75" hidden="1" customHeight="1">
      <c r="A3335" s="47"/>
      <c r="B3335" s="47"/>
      <c r="C3335" s="47"/>
      <c r="D3335" s="47"/>
      <c r="E3335" s="47"/>
      <c r="F3335" s="47"/>
      <c r="G3335" s="47"/>
      <c r="H3335" s="47"/>
      <c r="I3335" s="47"/>
      <c r="J3335" s="1">
        <v>42.0</v>
      </c>
    </row>
    <row r="3336" ht="15.75" hidden="1" customHeight="1">
      <c r="A3336" s="47"/>
      <c r="B3336" s="47"/>
      <c r="C3336" s="47"/>
      <c r="D3336" s="47"/>
      <c r="E3336" s="47"/>
      <c r="F3336" s="47"/>
      <c r="G3336" s="47"/>
      <c r="H3336" s="47"/>
      <c r="I3336" s="47"/>
      <c r="J3336" s="1">
        <v>42.0</v>
      </c>
    </row>
    <row r="3337" ht="15.75" hidden="1" customHeight="1">
      <c r="A3337" s="47"/>
      <c r="B3337" s="47"/>
      <c r="C3337" s="47"/>
      <c r="D3337" s="47"/>
      <c r="E3337" s="47"/>
      <c r="F3337" s="47"/>
      <c r="G3337" s="47"/>
      <c r="H3337" s="47"/>
      <c r="I3337" s="47"/>
      <c r="J3337" s="1">
        <v>42.0</v>
      </c>
    </row>
    <row r="3338" ht="15.75" hidden="1" customHeight="1">
      <c r="A3338" s="47"/>
      <c r="B3338" s="47"/>
      <c r="C3338" s="47"/>
      <c r="D3338" s="47"/>
      <c r="E3338" s="47"/>
      <c r="F3338" s="47"/>
      <c r="G3338" s="47"/>
      <c r="H3338" s="47"/>
      <c r="I3338" s="47"/>
      <c r="J3338" s="1">
        <v>42.0</v>
      </c>
    </row>
    <row r="3339" ht="15.75" hidden="1" customHeight="1">
      <c r="A3339" s="47"/>
      <c r="B3339" s="47"/>
      <c r="C3339" s="47"/>
      <c r="D3339" s="47"/>
      <c r="E3339" s="47"/>
      <c r="F3339" s="47"/>
      <c r="G3339" s="47"/>
      <c r="H3339" s="47"/>
      <c r="I3339" s="47"/>
      <c r="J3339" s="1">
        <v>42.0</v>
      </c>
    </row>
    <row r="3340" ht="15.75" hidden="1" customHeight="1">
      <c r="A3340" s="47"/>
      <c r="B3340" s="47"/>
      <c r="C3340" s="47"/>
      <c r="D3340" s="47"/>
      <c r="E3340" s="47"/>
      <c r="F3340" s="47"/>
      <c r="G3340" s="47"/>
      <c r="H3340" s="47"/>
      <c r="I3340" s="47"/>
      <c r="J3340" s="1">
        <v>42.0</v>
      </c>
    </row>
    <row r="3341" ht="15.75" hidden="1" customHeight="1">
      <c r="A3341" s="47"/>
      <c r="B3341" s="47"/>
      <c r="C3341" s="47"/>
      <c r="D3341" s="47"/>
      <c r="E3341" s="47"/>
      <c r="F3341" s="47"/>
      <c r="G3341" s="47"/>
      <c r="H3341" s="47"/>
      <c r="I3341" s="47"/>
      <c r="J3341" s="1">
        <v>42.0</v>
      </c>
    </row>
    <row r="3342" ht="15.75" hidden="1" customHeight="1">
      <c r="A3342" s="47"/>
      <c r="B3342" s="47"/>
      <c r="C3342" s="47"/>
      <c r="D3342" s="47"/>
      <c r="E3342" s="47"/>
      <c r="F3342" s="47"/>
      <c r="G3342" s="47"/>
      <c r="H3342" s="47"/>
      <c r="I3342" s="47"/>
      <c r="J3342" s="1">
        <v>42.0</v>
      </c>
    </row>
    <row r="3343" ht="15.75" hidden="1" customHeight="1">
      <c r="A3343" s="47"/>
      <c r="B3343" s="47"/>
      <c r="C3343" s="47"/>
      <c r="D3343" s="47"/>
      <c r="E3343" s="47"/>
      <c r="F3343" s="47"/>
      <c r="G3343" s="47"/>
      <c r="H3343" s="47"/>
      <c r="I3343" s="47"/>
      <c r="J3343" s="1">
        <v>42.0</v>
      </c>
    </row>
    <row r="3344" ht="15.75" hidden="1" customHeight="1">
      <c r="A3344" s="47"/>
      <c r="B3344" s="47"/>
      <c r="C3344" s="47"/>
      <c r="D3344" s="47"/>
      <c r="E3344" s="47"/>
      <c r="F3344" s="47"/>
      <c r="G3344" s="47"/>
      <c r="H3344" s="47"/>
      <c r="I3344" s="47"/>
      <c r="J3344" s="1">
        <v>42.0</v>
      </c>
    </row>
    <row r="3345" ht="15.75" hidden="1" customHeight="1">
      <c r="A3345" s="47"/>
      <c r="B3345" s="47"/>
      <c r="C3345" s="47"/>
      <c r="D3345" s="47"/>
      <c r="E3345" s="47"/>
      <c r="F3345" s="47"/>
      <c r="G3345" s="47"/>
      <c r="H3345" s="47"/>
      <c r="I3345" s="47"/>
      <c r="J3345" s="1">
        <v>42.0</v>
      </c>
    </row>
    <row r="3346" ht="15.75" hidden="1" customHeight="1">
      <c r="A3346" s="47"/>
      <c r="B3346" s="47"/>
      <c r="C3346" s="47"/>
      <c r="D3346" s="47"/>
      <c r="E3346" s="47"/>
      <c r="F3346" s="47"/>
      <c r="G3346" s="47"/>
      <c r="H3346" s="47"/>
      <c r="I3346" s="47"/>
      <c r="J3346" s="1">
        <v>42.0</v>
      </c>
    </row>
    <row r="3347" ht="15.75" hidden="1" customHeight="1">
      <c r="A3347" s="47"/>
      <c r="B3347" s="47"/>
      <c r="C3347" s="47"/>
      <c r="D3347" s="47"/>
      <c r="E3347" s="47"/>
      <c r="F3347" s="47"/>
      <c r="G3347" s="47"/>
      <c r="H3347" s="47"/>
      <c r="I3347" s="47"/>
      <c r="J3347" s="1">
        <v>42.0</v>
      </c>
    </row>
    <row r="3348" ht="15.75" hidden="1" customHeight="1">
      <c r="A3348" s="47"/>
      <c r="B3348" s="47"/>
      <c r="C3348" s="47"/>
      <c r="D3348" s="47"/>
      <c r="E3348" s="47"/>
      <c r="F3348" s="47"/>
      <c r="G3348" s="47"/>
      <c r="H3348" s="47"/>
      <c r="I3348" s="47"/>
      <c r="J3348" s="1">
        <v>42.0</v>
      </c>
    </row>
    <row r="3349" ht="15.75" hidden="1" customHeight="1">
      <c r="A3349" s="47"/>
      <c r="B3349" s="47"/>
      <c r="C3349" s="47"/>
      <c r="D3349" s="47"/>
      <c r="E3349" s="47"/>
      <c r="F3349" s="47"/>
      <c r="G3349" s="47"/>
      <c r="H3349" s="47"/>
      <c r="I3349" s="47"/>
      <c r="J3349" s="1">
        <v>42.0</v>
      </c>
    </row>
    <row r="3350" ht="15.75" hidden="1" customHeight="1">
      <c r="A3350" s="47"/>
      <c r="B3350" s="47"/>
      <c r="C3350" s="47"/>
      <c r="D3350" s="47"/>
      <c r="E3350" s="47"/>
      <c r="F3350" s="47"/>
      <c r="G3350" s="47"/>
      <c r="H3350" s="47"/>
      <c r="I3350" s="47"/>
      <c r="J3350" s="1">
        <v>42.0</v>
      </c>
    </row>
    <row r="3351" ht="15.75" hidden="1" customHeight="1">
      <c r="A3351" s="47"/>
      <c r="B3351" s="47"/>
      <c r="C3351" s="47"/>
      <c r="D3351" s="47"/>
      <c r="E3351" s="47"/>
      <c r="F3351" s="47"/>
      <c r="G3351" s="47"/>
      <c r="H3351" s="47"/>
      <c r="I3351" s="47"/>
      <c r="J3351" s="1">
        <v>42.0</v>
      </c>
    </row>
    <row r="3352" ht="15.75" hidden="1" customHeight="1">
      <c r="A3352" s="47"/>
      <c r="B3352" s="47"/>
      <c r="C3352" s="47"/>
      <c r="D3352" s="47"/>
      <c r="E3352" s="47"/>
      <c r="F3352" s="47"/>
      <c r="G3352" s="47"/>
      <c r="H3352" s="47"/>
      <c r="I3352" s="47"/>
      <c r="J3352" s="1">
        <v>42.0</v>
      </c>
    </row>
    <row r="3353" ht="15.75" hidden="1" customHeight="1">
      <c r="A3353" s="47"/>
      <c r="B3353" s="47"/>
      <c r="C3353" s="47"/>
      <c r="D3353" s="47"/>
      <c r="E3353" s="47"/>
      <c r="F3353" s="47"/>
      <c r="G3353" s="47"/>
      <c r="H3353" s="47"/>
      <c r="I3353" s="47"/>
      <c r="J3353" s="1">
        <v>42.0</v>
      </c>
    </row>
    <row r="3354" ht="15.75" hidden="1" customHeight="1">
      <c r="A3354" s="47"/>
      <c r="B3354" s="47"/>
      <c r="C3354" s="47"/>
      <c r="D3354" s="47"/>
      <c r="E3354" s="47"/>
      <c r="F3354" s="47"/>
      <c r="G3354" s="47"/>
      <c r="H3354" s="47"/>
      <c r="I3354" s="47"/>
      <c r="J3354" s="1">
        <v>42.0</v>
      </c>
    </row>
    <row r="3355" ht="15.75" hidden="1" customHeight="1">
      <c r="A3355" s="47"/>
      <c r="B3355" s="47"/>
      <c r="C3355" s="47"/>
      <c r="D3355" s="47"/>
      <c r="E3355" s="47"/>
      <c r="F3355" s="47"/>
      <c r="G3355" s="47"/>
      <c r="H3355" s="47"/>
      <c r="I3355" s="47"/>
      <c r="J3355" s="1">
        <v>42.0</v>
      </c>
    </row>
    <row r="3356" ht="15.75" hidden="1" customHeight="1">
      <c r="A3356" s="47"/>
      <c r="B3356" s="47"/>
      <c r="C3356" s="47"/>
      <c r="D3356" s="47"/>
      <c r="E3356" s="47"/>
      <c r="F3356" s="47"/>
      <c r="G3356" s="47"/>
      <c r="H3356" s="47"/>
      <c r="I3356" s="47"/>
      <c r="J3356" s="1">
        <v>42.0</v>
      </c>
    </row>
    <row r="3357" ht="15.75" hidden="1" customHeight="1">
      <c r="A3357" s="47"/>
      <c r="B3357" s="47"/>
      <c r="C3357" s="47"/>
      <c r="D3357" s="47"/>
      <c r="E3357" s="47"/>
      <c r="F3357" s="47"/>
      <c r="G3357" s="47"/>
      <c r="H3357" s="47"/>
      <c r="I3357" s="47"/>
      <c r="J3357" s="1">
        <v>42.0</v>
      </c>
    </row>
    <row r="3358" ht="15.75" hidden="1" customHeight="1">
      <c r="A3358" s="47"/>
      <c r="B3358" s="47"/>
      <c r="C3358" s="47"/>
      <c r="D3358" s="47"/>
      <c r="E3358" s="47"/>
      <c r="F3358" s="47"/>
      <c r="G3358" s="47"/>
      <c r="H3358" s="47"/>
      <c r="I3358" s="47"/>
      <c r="J3358" s="1">
        <v>42.0</v>
      </c>
    </row>
    <row r="3359" ht="15.75" hidden="1" customHeight="1">
      <c r="A3359" s="47"/>
      <c r="B3359" s="47"/>
      <c r="C3359" s="47"/>
      <c r="D3359" s="47"/>
      <c r="E3359" s="47"/>
      <c r="F3359" s="47"/>
      <c r="G3359" s="47"/>
      <c r="H3359" s="47"/>
      <c r="I3359" s="47"/>
      <c r="J3359" s="1">
        <v>42.0</v>
      </c>
    </row>
    <row r="3360" ht="15.75" hidden="1" customHeight="1">
      <c r="A3360" s="47"/>
      <c r="B3360" s="47"/>
      <c r="C3360" s="47"/>
      <c r="D3360" s="47"/>
      <c r="E3360" s="47"/>
      <c r="F3360" s="47"/>
      <c r="G3360" s="47"/>
      <c r="H3360" s="47"/>
      <c r="I3360" s="47"/>
      <c r="J3360" s="1">
        <v>42.0</v>
      </c>
    </row>
    <row r="3361" ht="15.75" hidden="1" customHeight="1">
      <c r="A3361" s="47"/>
      <c r="B3361" s="47"/>
      <c r="C3361" s="47"/>
      <c r="D3361" s="47"/>
      <c r="E3361" s="47"/>
      <c r="F3361" s="47"/>
      <c r="G3361" s="47"/>
      <c r="H3361" s="47"/>
      <c r="I3361" s="47"/>
      <c r="J3361" s="1">
        <v>42.0</v>
      </c>
    </row>
    <row r="3362" ht="15.75" hidden="1" customHeight="1">
      <c r="A3362" s="47"/>
      <c r="B3362" s="47"/>
      <c r="C3362" s="47"/>
      <c r="D3362" s="47"/>
      <c r="E3362" s="47"/>
      <c r="F3362" s="47"/>
      <c r="G3362" s="47"/>
      <c r="H3362" s="47"/>
      <c r="I3362" s="47"/>
      <c r="J3362" s="1">
        <v>42.0</v>
      </c>
    </row>
    <row r="3363" ht="15.75" hidden="1" customHeight="1">
      <c r="A3363" s="47"/>
      <c r="B3363" s="47"/>
      <c r="C3363" s="47"/>
      <c r="D3363" s="47"/>
      <c r="E3363" s="47"/>
      <c r="F3363" s="47"/>
      <c r="G3363" s="47"/>
      <c r="H3363" s="47"/>
      <c r="I3363" s="47"/>
      <c r="J3363" s="1">
        <v>42.0</v>
      </c>
    </row>
    <row r="3364" ht="15.75" hidden="1" customHeight="1">
      <c r="A3364" s="47"/>
      <c r="B3364" s="47"/>
      <c r="C3364" s="47"/>
      <c r="D3364" s="47"/>
      <c r="E3364" s="47"/>
      <c r="F3364" s="47"/>
      <c r="G3364" s="47"/>
      <c r="H3364" s="47"/>
      <c r="I3364" s="47"/>
      <c r="J3364" s="1">
        <v>42.0</v>
      </c>
    </row>
    <row r="3365" ht="15.75" hidden="1" customHeight="1">
      <c r="A3365" s="47"/>
      <c r="B3365" s="47"/>
      <c r="C3365" s="47"/>
      <c r="D3365" s="47"/>
      <c r="E3365" s="47"/>
      <c r="F3365" s="47"/>
      <c r="G3365" s="47"/>
      <c r="H3365" s="47"/>
      <c r="I3365" s="47"/>
      <c r="J3365" s="1">
        <v>42.0</v>
      </c>
    </row>
    <row r="3366" ht="15.75" hidden="1" customHeight="1">
      <c r="A3366" s="47"/>
      <c r="B3366" s="47"/>
      <c r="C3366" s="47"/>
      <c r="D3366" s="47"/>
      <c r="E3366" s="47"/>
      <c r="F3366" s="47"/>
      <c r="G3366" s="47"/>
      <c r="H3366" s="47"/>
      <c r="I3366" s="47"/>
      <c r="J3366" s="1">
        <v>42.0</v>
      </c>
    </row>
    <row r="3367" ht="15.75" hidden="1" customHeight="1">
      <c r="A3367" s="47"/>
      <c r="B3367" s="47"/>
      <c r="C3367" s="47"/>
      <c r="D3367" s="47"/>
      <c r="E3367" s="47"/>
      <c r="F3367" s="47"/>
      <c r="G3367" s="47"/>
      <c r="H3367" s="47"/>
      <c r="I3367" s="47"/>
      <c r="J3367" s="1">
        <v>42.0</v>
      </c>
    </row>
    <row r="3368" ht="15.75" hidden="1" customHeight="1">
      <c r="A3368" s="47"/>
      <c r="B3368" s="47"/>
      <c r="C3368" s="47"/>
      <c r="D3368" s="47"/>
      <c r="E3368" s="47"/>
      <c r="F3368" s="47"/>
      <c r="G3368" s="47"/>
      <c r="H3368" s="47"/>
      <c r="I3368" s="47"/>
      <c r="J3368" s="1">
        <v>42.0</v>
      </c>
    </row>
    <row r="3369" ht="15.75" hidden="1" customHeight="1">
      <c r="A3369" s="47"/>
      <c r="B3369" s="47"/>
      <c r="C3369" s="47"/>
      <c r="D3369" s="47"/>
      <c r="E3369" s="47"/>
      <c r="F3369" s="47"/>
      <c r="G3369" s="47"/>
      <c r="H3369" s="47"/>
      <c r="I3369" s="47"/>
      <c r="J3369" s="1">
        <v>42.0</v>
      </c>
    </row>
    <row r="3370" ht="15.75" hidden="1" customHeight="1">
      <c r="A3370" s="47"/>
      <c r="B3370" s="47"/>
      <c r="C3370" s="47"/>
      <c r="D3370" s="47"/>
      <c r="E3370" s="47"/>
      <c r="F3370" s="47"/>
      <c r="G3370" s="47"/>
      <c r="H3370" s="47"/>
      <c r="I3370" s="47"/>
      <c r="J3370" s="1">
        <v>42.0</v>
      </c>
    </row>
    <row r="3371" ht="15.75" hidden="1" customHeight="1">
      <c r="A3371" s="47"/>
      <c r="B3371" s="47"/>
      <c r="C3371" s="47"/>
      <c r="D3371" s="47"/>
      <c r="E3371" s="47"/>
      <c r="F3371" s="47"/>
      <c r="G3371" s="47"/>
      <c r="H3371" s="47"/>
      <c r="I3371" s="47"/>
      <c r="J3371" s="1">
        <v>42.0</v>
      </c>
    </row>
    <row r="3372" ht="15.75" hidden="1" customHeight="1">
      <c r="A3372" s="47"/>
      <c r="B3372" s="47"/>
      <c r="C3372" s="47"/>
      <c r="D3372" s="47"/>
      <c r="E3372" s="47"/>
      <c r="F3372" s="47"/>
      <c r="G3372" s="47"/>
      <c r="H3372" s="47"/>
      <c r="I3372" s="47"/>
      <c r="J3372" s="1">
        <v>42.0</v>
      </c>
    </row>
    <row r="3373" ht="15.75" hidden="1" customHeight="1">
      <c r="A3373" s="47"/>
      <c r="B3373" s="47"/>
      <c r="C3373" s="47"/>
      <c r="D3373" s="47"/>
      <c r="E3373" s="47"/>
      <c r="F3373" s="47"/>
      <c r="G3373" s="47"/>
      <c r="H3373" s="47"/>
      <c r="I3373" s="47"/>
      <c r="J3373" s="1">
        <v>42.0</v>
      </c>
    </row>
    <row r="3374" ht="15.75" hidden="1" customHeight="1">
      <c r="A3374" s="47"/>
      <c r="B3374" s="47"/>
      <c r="C3374" s="47"/>
      <c r="D3374" s="47"/>
      <c r="E3374" s="47"/>
      <c r="F3374" s="47"/>
      <c r="G3374" s="47"/>
      <c r="H3374" s="47"/>
      <c r="I3374" s="47"/>
      <c r="J3374" s="1">
        <v>42.0</v>
      </c>
    </row>
    <row r="3375" ht="15.75" hidden="1" customHeight="1">
      <c r="A3375" s="47"/>
      <c r="B3375" s="47"/>
      <c r="C3375" s="47"/>
      <c r="D3375" s="47"/>
      <c r="E3375" s="47"/>
      <c r="F3375" s="47"/>
      <c r="G3375" s="47"/>
      <c r="H3375" s="47"/>
      <c r="I3375" s="47"/>
      <c r="J3375" s="1">
        <v>42.0</v>
      </c>
    </row>
    <row r="3376" ht="15.75" hidden="1" customHeight="1">
      <c r="A3376" s="47"/>
      <c r="B3376" s="47"/>
      <c r="C3376" s="47"/>
      <c r="D3376" s="47"/>
      <c r="E3376" s="47"/>
      <c r="F3376" s="47"/>
      <c r="G3376" s="47"/>
      <c r="H3376" s="47"/>
      <c r="I3376" s="47"/>
      <c r="J3376" s="1">
        <v>42.0</v>
      </c>
    </row>
    <row r="3377" ht="15.75" hidden="1" customHeight="1">
      <c r="A3377" s="47"/>
      <c r="B3377" s="47"/>
      <c r="C3377" s="47"/>
      <c r="D3377" s="47"/>
      <c r="E3377" s="47"/>
      <c r="F3377" s="47"/>
      <c r="G3377" s="47"/>
      <c r="H3377" s="47"/>
      <c r="I3377" s="47"/>
      <c r="J3377" s="1">
        <v>42.0</v>
      </c>
    </row>
    <row r="3378" ht="15.75" hidden="1" customHeight="1">
      <c r="A3378" s="47"/>
      <c r="B3378" s="47"/>
      <c r="C3378" s="47"/>
      <c r="D3378" s="47"/>
      <c r="E3378" s="47"/>
      <c r="F3378" s="47"/>
      <c r="G3378" s="47"/>
      <c r="H3378" s="47"/>
      <c r="I3378" s="47"/>
      <c r="J3378" s="1">
        <v>42.0</v>
      </c>
    </row>
    <row r="3379" ht="15.75" hidden="1" customHeight="1">
      <c r="A3379" s="47"/>
      <c r="B3379" s="47"/>
      <c r="C3379" s="47"/>
      <c r="D3379" s="47"/>
      <c r="E3379" s="47"/>
      <c r="F3379" s="47"/>
      <c r="G3379" s="47"/>
      <c r="H3379" s="47"/>
      <c r="I3379" s="47"/>
      <c r="J3379" s="1">
        <v>42.0</v>
      </c>
    </row>
    <row r="3380" ht="15.75" hidden="1" customHeight="1">
      <c r="A3380" s="47"/>
      <c r="B3380" s="47"/>
      <c r="C3380" s="47"/>
      <c r="D3380" s="47"/>
      <c r="E3380" s="47"/>
      <c r="F3380" s="47"/>
      <c r="G3380" s="47"/>
      <c r="H3380" s="47"/>
      <c r="I3380" s="47"/>
      <c r="J3380" s="1">
        <v>42.0</v>
      </c>
    </row>
    <row r="3381" ht="15.75" hidden="1" customHeight="1">
      <c r="A3381" s="47"/>
      <c r="B3381" s="47"/>
      <c r="C3381" s="47"/>
      <c r="D3381" s="47"/>
      <c r="E3381" s="47"/>
      <c r="F3381" s="47"/>
      <c r="G3381" s="47"/>
      <c r="H3381" s="47"/>
      <c r="I3381" s="47"/>
      <c r="J3381" s="1">
        <v>42.0</v>
      </c>
    </row>
    <row r="3382" ht="15.75" hidden="1" customHeight="1">
      <c r="A3382" s="47"/>
      <c r="B3382" s="47"/>
      <c r="C3382" s="47"/>
      <c r="D3382" s="47"/>
      <c r="E3382" s="47"/>
      <c r="F3382" s="47"/>
      <c r="G3382" s="47"/>
      <c r="H3382" s="47"/>
      <c r="I3382" s="47"/>
      <c r="J3382" s="1">
        <v>42.0</v>
      </c>
    </row>
    <row r="3383" ht="15.75" hidden="1" customHeight="1">
      <c r="A3383" s="47"/>
      <c r="B3383" s="47"/>
      <c r="C3383" s="47"/>
      <c r="D3383" s="47"/>
      <c r="E3383" s="47"/>
      <c r="F3383" s="47"/>
      <c r="G3383" s="47"/>
      <c r="H3383" s="47"/>
      <c r="I3383" s="47"/>
      <c r="J3383" s="1">
        <v>42.0</v>
      </c>
    </row>
    <row r="3384" ht="15.75" hidden="1" customHeight="1">
      <c r="A3384" s="47"/>
      <c r="B3384" s="47"/>
      <c r="C3384" s="47"/>
      <c r="D3384" s="47"/>
      <c r="E3384" s="47"/>
      <c r="F3384" s="47"/>
      <c r="G3384" s="47"/>
      <c r="H3384" s="47"/>
      <c r="I3384" s="47"/>
      <c r="J3384" s="1">
        <v>42.0</v>
      </c>
    </row>
    <row r="3385" ht="15.75" hidden="1" customHeight="1">
      <c r="A3385" s="47"/>
      <c r="B3385" s="47"/>
      <c r="C3385" s="47"/>
      <c r="D3385" s="47"/>
      <c r="E3385" s="47"/>
      <c r="F3385" s="47"/>
      <c r="G3385" s="47"/>
      <c r="H3385" s="47"/>
      <c r="I3385" s="47"/>
      <c r="J3385" s="1">
        <v>42.0</v>
      </c>
    </row>
    <row r="3386" ht="15.75" hidden="1" customHeight="1">
      <c r="A3386" s="47"/>
      <c r="B3386" s="47"/>
      <c r="C3386" s="47"/>
      <c r="D3386" s="47"/>
      <c r="E3386" s="47"/>
      <c r="F3386" s="47"/>
      <c r="G3386" s="47"/>
      <c r="H3386" s="47"/>
      <c r="I3386" s="47"/>
      <c r="J3386" s="1">
        <v>42.0</v>
      </c>
    </row>
    <row r="3387" ht="15.75" hidden="1" customHeight="1">
      <c r="A3387" s="47"/>
      <c r="B3387" s="47"/>
      <c r="C3387" s="47"/>
      <c r="D3387" s="47"/>
      <c r="E3387" s="47"/>
      <c r="F3387" s="47"/>
      <c r="G3387" s="47"/>
      <c r="H3387" s="47"/>
      <c r="I3387" s="47"/>
      <c r="J3387" s="1">
        <v>42.0</v>
      </c>
    </row>
    <row r="3388" ht="15.75" hidden="1" customHeight="1">
      <c r="A3388" s="47"/>
      <c r="B3388" s="47"/>
      <c r="C3388" s="47"/>
      <c r="D3388" s="47"/>
      <c r="E3388" s="47"/>
      <c r="F3388" s="47"/>
      <c r="G3388" s="47"/>
      <c r="H3388" s="47"/>
      <c r="I3388" s="47"/>
      <c r="J3388" s="1">
        <v>42.0</v>
      </c>
    </row>
    <row r="3389" ht="15.75" hidden="1" customHeight="1">
      <c r="A3389" s="47"/>
      <c r="B3389" s="47"/>
      <c r="C3389" s="47"/>
      <c r="D3389" s="47"/>
      <c r="E3389" s="47"/>
      <c r="F3389" s="47"/>
      <c r="G3389" s="47"/>
      <c r="H3389" s="47"/>
      <c r="I3389" s="47"/>
      <c r="J3389" s="1">
        <v>42.0</v>
      </c>
    </row>
    <row r="3390" ht="15.75" hidden="1" customHeight="1">
      <c r="A3390" s="47"/>
      <c r="B3390" s="47"/>
      <c r="C3390" s="47"/>
      <c r="D3390" s="47"/>
      <c r="E3390" s="47"/>
      <c r="F3390" s="47"/>
      <c r="G3390" s="47"/>
      <c r="H3390" s="47"/>
      <c r="I3390" s="47"/>
      <c r="J3390" s="1">
        <v>42.0</v>
      </c>
    </row>
    <row r="3391" ht="15.75" hidden="1" customHeight="1">
      <c r="A3391" s="47"/>
      <c r="B3391" s="47"/>
      <c r="C3391" s="47"/>
      <c r="D3391" s="47"/>
      <c r="E3391" s="47"/>
      <c r="F3391" s="47"/>
      <c r="G3391" s="47"/>
      <c r="H3391" s="47"/>
      <c r="I3391" s="47"/>
      <c r="J3391" s="1">
        <v>42.0</v>
      </c>
    </row>
    <row r="3392" ht="15.75" hidden="1" customHeight="1">
      <c r="A3392" s="47"/>
      <c r="B3392" s="47"/>
      <c r="C3392" s="47"/>
      <c r="D3392" s="47"/>
      <c r="E3392" s="47"/>
      <c r="F3392" s="47"/>
      <c r="G3392" s="47"/>
      <c r="H3392" s="47"/>
      <c r="I3392" s="47"/>
      <c r="J3392" s="1">
        <v>42.0</v>
      </c>
    </row>
    <row r="3393" ht="15.75" hidden="1" customHeight="1">
      <c r="A3393" s="47"/>
      <c r="B3393" s="47"/>
      <c r="C3393" s="47"/>
      <c r="D3393" s="47"/>
      <c r="E3393" s="47"/>
      <c r="F3393" s="47"/>
      <c r="G3393" s="47"/>
      <c r="H3393" s="47"/>
      <c r="I3393" s="47"/>
      <c r="J3393" s="1">
        <v>42.0</v>
      </c>
    </row>
    <row r="3394" ht="15.75" hidden="1" customHeight="1">
      <c r="A3394" s="47"/>
      <c r="B3394" s="47"/>
      <c r="C3394" s="47"/>
      <c r="D3394" s="47"/>
      <c r="E3394" s="47"/>
      <c r="F3394" s="47"/>
      <c r="G3394" s="47"/>
      <c r="H3394" s="47"/>
      <c r="I3394" s="47"/>
      <c r="J3394" s="1">
        <v>42.0</v>
      </c>
    </row>
    <row r="3395" ht="15.75" hidden="1" customHeight="1">
      <c r="A3395" s="47"/>
      <c r="B3395" s="47"/>
      <c r="C3395" s="47"/>
      <c r="D3395" s="47"/>
      <c r="E3395" s="47"/>
      <c r="F3395" s="47"/>
      <c r="G3395" s="47"/>
      <c r="H3395" s="47"/>
      <c r="I3395" s="47"/>
      <c r="J3395" s="1">
        <v>42.0</v>
      </c>
    </row>
    <row r="3396" ht="15.75" hidden="1" customHeight="1">
      <c r="A3396" s="47"/>
      <c r="B3396" s="47"/>
      <c r="C3396" s="47"/>
      <c r="D3396" s="47"/>
      <c r="E3396" s="47"/>
      <c r="F3396" s="47"/>
      <c r="G3396" s="47"/>
      <c r="H3396" s="47"/>
      <c r="I3396" s="47"/>
      <c r="J3396" s="1">
        <v>42.0</v>
      </c>
    </row>
    <row r="3397" ht="15.75" hidden="1" customHeight="1">
      <c r="A3397" s="47"/>
      <c r="B3397" s="47"/>
      <c r="C3397" s="47"/>
      <c r="D3397" s="47"/>
      <c r="E3397" s="47"/>
      <c r="F3397" s="47"/>
      <c r="G3397" s="47"/>
      <c r="H3397" s="47"/>
      <c r="I3397" s="47"/>
      <c r="J3397" s="1">
        <v>42.0</v>
      </c>
    </row>
    <row r="3398" ht="15.75" hidden="1" customHeight="1">
      <c r="A3398" s="47"/>
      <c r="B3398" s="47"/>
      <c r="C3398" s="47"/>
      <c r="D3398" s="47"/>
      <c r="E3398" s="47"/>
      <c r="F3398" s="47"/>
      <c r="G3398" s="47"/>
      <c r="H3398" s="47"/>
      <c r="I3398" s="47"/>
      <c r="J3398" s="1">
        <v>42.0</v>
      </c>
    </row>
    <row r="3399" ht="15.75" hidden="1" customHeight="1">
      <c r="A3399" s="47"/>
      <c r="B3399" s="47"/>
      <c r="C3399" s="47"/>
      <c r="D3399" s="47"/>
      <c r="E3399" s="47"/>
      <c r="F3399" s="47"/>
      <c r="G3399" s="47"/>
      <c r="H3399" s="47"/>
      <c r="I3399" s="47"/>
      <c r="J3399" s="1">
        <v>42.0</v>
      </c>
    </row>
    <row r="3400" ht="15.75" hidden="1" customHeight="1">
      <c r="A3400" s="47"/>
      <c r="B3400" s="47"/>
      <c r="C3400" s="47"/>
      <c r="D3400" s="47"/>
      <c r="E3400" s="47"/>
      <c r="F3400" s="47"/>
      <c r="G3400" s="47"/>
      <c r="H3400" s="47"/>
      <c r="I3400" s="47"/>
      <c r="J3400" s="1">
        <v>42.0</v>
      </c>
    </row>
    <row r="3401" ht="15.75" hidden="1" customHeight="1">
      <c r="A3401" s="47"/>
      <c r="B3401" s="47"/>
      <c r="C3401" s="47"/>
      <c r="D3401" s="47"/>
      <c r="E3401" s="47"/>
      <c r="F3401" s="47"/>
      <c r="G3401" s="47"/>
      <c r="H3401" s="47"/>
      <c r="I3401" s="47"/>
      <c r="J3401" s="1">
        <v>42.0</v>
      </c>
    </row>
    <row r="3402" ht="15.75" hidden="1" customHeight="1">
      <c r="A3402" s="47"/>
      <c r="B3402" s="47"/>
      <c r="C3402" s="47"/>
      <c r="D3402" s="47"/>
      <c r="E3402" s="47"/>
      <c r="F3402" s="47"/>
      <c r="G3402" s="47"/>
      <c r="H3402" s="47"/>
      <c r="I3402" s="47"/>
      <c r="J3402" s="1">
        <v>42.0</v>
      </c>
    </row>
    <row r="3403" ht="15.75" hidden="1" customHeight="1">
      <c r="A3403" s="47"/>
      <c r="B3403" s="47"/>
      <c r="C3403" s="47"/>
      <c r="D3403" s="47"/>
      <c r="E3403" s="47"/>
      <c r="F3403" s="47"/>
      <c r="G3403" s="47"/>
      <c r="H3403" s="47"/>
      <c r="I3403" s="47"/>
      <c r="J3403" s="1">
        <v>42.0</v>
      </c>
    </row>
    <row r="3404" ht="15.75" hidden="1" customHeight="1">
      <c r="A3404" s="47"/>
      <c r="B3404" s="47"/>
      <c r="C3404" s="47"/>
      <c r="D3404" s="47"/>
      <c r="E3404" s="47"/>
      <c r="F3404" s="47"/>
      <c r="G3404" s="47"/>
      <c r="H3404" s="47"/>
      <c r="I3404" s="47"/>
      <c r="J3404" s="1">
        <v>42.0</v>
      </c>
    </row>
    <row r="3405" ht="15.75" hidden="1" customHeight="1">
      <c r="A3405" s="47"/>
      <c r="B3405" s="47"/>
      <c r="C3405" s="47"/>
      <c r="D3405" s="47"/>
      <c r="E3405" s="47"/>
      <c r="F3405" s="47"/>
      <c r="G3405" s="47"/>
      <c r="H3405" s="47"/>
      <c r="I3405" s="47"/>
      <c r="J3405" s="1">
        <v>42.0</v>
      </c>
    </row>
    <row r="3406" ht="15.75" hidden="1" customHeight="1">
      <c r="A3406" s="47"/>
      <c r="B3406" s="47"/>
      <c r="C3406" s="47"/>
      <c r="D3406" s="47"/>
      <c r="E3406" s="47"/>
      <c r="F3406" s="47"/>
      <c r="G3406" s="47"/>
      <c r="H3406" s="47"/>
      <c r="I3406" s="47"/>
      <c r="J3406" s="1">
        <v>42.0</v>
      </c>
    </row>
    <row r="3407" ht="15.75" hidden="1" customHeight="1">
      <c r="A3407" s="47"/>
      <c r="B3407" s="47"/>
      <c r="C3407" s="47"/>
      <c r="D3407" s="47"/>
      <c r="E3407" s="47"/>
      <c r="F3407" s="47"/>
      <c r="G3407" s="47"/>
      <c r="H3407" s="47"/>
      <c r="I3407" s="47"/>
      <c r="J3407" s="1">
        <v>42.0</v>
      </c>
    </row>
    <row r="3408" ht="15.75" hidden="1" customHeight="1">
      <c r="A3408" s="47"/>
      <c r="B3408" s="47"/>
      <c r="C3408" s="47"/>
      <c r="D3408" s="47"/>
      <c r="E3408" s="47"/>
      <c r="F3408" s="47"/>
      <c r="G3408" s="47"/>
      <c r="H3408" s="47"/>
      <c r="I3408" s="47"/>
      <c r="J3408" s="1">
        <v>42.0</v>
      </c>
    </row>
    <row r="3409" ht="15.75" hidden="1" customHeight="1">
      <c r="A3409" s="47"/>
      <c r="B3409" s="47"/>
      <c r="C3409" s="47"/>
      <c r="D3409" s="47"/>
      <c r="E3409" s="47"/>
      <c r="F3409" s="47"/>
      <c r="G3409" s="47"/>
      <c r="H3409" s="47"/>
      <c r="I3409" s="47"/>
      <c r="J3409" s="1">
        <v>42.0</v>
      </c>
    </row>
    <row r="3410" ht="15.75" hidden="1" customHeight="1">
      <c r="A3410" s="47"/>
      <c r="B3410" s="47"/>
      <c r="C3410" s="47"/>
      <c r="D3410" s="47"/>
      <c r="E3410" s="47"/>
      <c r="F3410" s="47"/>
      <c r="G3410" s="47"/>
      <c r="H3410" s="47"/>
      <c r="I3410" s="47"/>
      <c r="J3410" s="1">
        <v>42.0</v>
      </c>
    </row>
    <row r="3411" ht="15.75" hidden="1" customHeight="1">
      <c r="A3411" s="47"/>
      <c r="B3411" s="47"/>
      <c r="C3411" s="47"/>
      <c r="D3411" s="47"/>
      <c r="E3411" s="47"/>
      <c r="F3411" s="47"/>
      <c r="G3411" s="47"/>
      <c r="H3411" s="47"/>
      <c r="I3411" s="47"/>
      <c r="J3411" s="1">
        <v>42.0</v>
      </c>
    </row>
    <row r="3412" ht="15.75" hidden="1" customHeight="1">
      <c r="A3412" s="47"/>
      <c r="B3412" s="47"/>
      <c r="C3412" s="47"/>
      <c r="D3412" s="47"/>
      <c r="E3412" s="47"/>
      <c r="F3412" s="47"/>
      <c r="G3412" s="47"/>
      <c r="H3412" s="47"/>
      <c r="I3412" s="47"/>
      <c r="J3412" s="1">
        <v>42.0</v>
      </c>
    </row>
    <row r="3413" ht="15.75" hidden="1" customHeight="1">
      <c r="A3413" s="47"/>
      <c r="B3413" s="47"/>
      <c r="C3413" s="47"/>
      <c r="D3413" s="47"/>
      <c r="E3413" s="47"/>
      <c r="F3413" s="47"/>
      <c r="G3413" s="47"/>
      <c r="H3413" s="47"/>
      <c r="I3413" s="47"/>
      <c r="J3413" s="1">
        <v>42.0</v>
      </c>
    </row>
    <row r="3414" ht="15.75" hidden="1" customHeight="1">
      <c r="A3414" s="47"/>
      <c r="B3414" s="47"/>
      <c r="C3414" s="47"/>
      <c r="D3414" s="47"/>
      <c r="E3414" s="47"/>
      <c r="F3414" s="47"/>
      <c r="G3414" s="47"/>
      <c r="H3414" s="47"/>
      <c r="I3414" s="47"/>
      <c r="J3414" s="1">
        <v>42.0</v>
      </c>
    </row>
    <row r="3415" ht="15.75" hidden="1" customHeight="1">
      <c r="A3415" s="47"/>
      <c r="B3415" s="47"/>
      <c r="C3415" s="47"/>
      <c r="D3415" s="47"/>
      <c r="E3415" s="47"/>
      <c r="F3415" s="47"/>
      <c r="G3415" s="47"/>
      <c r="H3415" s="47"/>
      <c r="I3415" s="47"/>
      <c r="J3415" s="1">
        <v>42.0</v>
      </c>
    </row>
    <row r="3416" ht="15.75" hidden="1" customHeight="1">
      <c r="A3416" s="47"/>
      <c r="B3416" s="47"/>
      <c r="C3416" s="47"/>
      <c r="D3416" s="47"/>
      <c r="E3416" s="47"/>
      <c r="F3416" s="47"/>
      <c r="G3416" s="47"/>
      <c r="H3416" s="47"/>
      <c r="I3416" s="47"/>
      <c r="J3416" s="1">
        <v>42.0</v>
      </c>
    </row>
    <row r="3417" ht="15.75" hidden="1" customHeight="1">
      <c r="A3417" s="47"/>
      <c r="B3417" s="47"/>
      <c r="C3417" s="47"/>
      <c r="D3417" s="47"/>
      <c r="E3417" s="47"/>
      <c r="F3417" s="47"/>
      <c r="G3417" s="47"/>
      <c r="H3417" s="47"/>
      <c r="I3417" s="47"/>
      <c r="J3417" s="1">
        <v>42.0</v>
      </c>
    </row>
    <row r="3418" ht="15.75" hidden="1" customHeight="1">
      <c r="A3418" s="47"/>
      <c r="B3418" s="47"/>
      <c r="C3418" s="47"/>
      <c r="D3418" s="47"/>
      <c r="E3418" s="47"/>
      <c r="F3418" s="47"/>
      <c r="G3418" s="47"/>
      <c r="H3418" s="47"/>
      <c r="I3418" s="47"/>
      <c r="J3418" s="1">
        <v>42.0</v>
      </c>
    </row>
    <row r="3419" ht="15.75" hidden="1" customHeight="1">
      <c r="A3419" s="47"/>
      <c r="B3419" s="47"/>
      <c r="C3419" s="47"/>
      <c r="D3419" s="47"/>
      <c r="E3419" s="47"/>
      <c r="F3419" s="47"/>
      <c r="G3419" s="47"/>
      <c r="H3419" s="47"/>
      <c r="I3419" s="47"/>
      <c r="J3419" s="1">
        <v>42.0</v>
      </c>
    </row>
    <row r="3420" ht="15.75" hidden="1" customHeight="1">
      <c r="A3420" s="47"/>
      <c r="B3420" s="47"/>
      <c r="C3420" s="47"/>
      <c r="D3420" s="47"/>
      <c r="E3420" s="47"/>
      <c r="F3420" s="47"/>
      <c r="G3420" s="47"/>
      <c r="H3420" s="47"/>
      <c r="I3420" s="47"/>
      <c r="J3420" s="1">
        <v>42.0</v>
      </c>
    </row>
    <row r="3421" ht="15.75" hidden="1" customHeight="1">
      <c r="A3421" s="47"/>
      <c r="B3421" s="47"/>
      <c r="C3421" s="47"/>
      <c r="D3421" s="47"/>
      <c r="E3421" s="47"/>
      <c r="F3421" s="47"/>
      <c r="G3421" s="47"/>
      <c r="H3421" s="47"/>
      <c r="I3421" s="47"/>
      <c r="J3421" s="1">
        <v>42.0</v>
      </c>
    </row>
    <row r="3422" ht="15.75" hidden="1" customHeight="1">
      <c r="A3422" s="47"/>
      <c r="B3422" s="47"/>
      <c r="C3422" s="47"/>
      <c r="D3422" s="47"/>
      <c r="E3422" s="47"/>
      <c r="F3422" s="47"/>
      <c r="G3422" s="47"/>
      <c r="H3422" s="47"/>
      <c r="I3422" s="47"/>
      <c r="J3422" s="1">
        <v>42.0</v>
      </c>
    </row>
    <row r="3423" ht="15.75" hidden="1" customHeight="1">
      <c r="A3423" s="47"/>
      <c r="B3423" s="47"/>
      <c r="C3423" s="47"/>
      <c r="D3423" s="47"/>
      <c r="E3423" s="47"/>
      <c r="F3423" s="47"/>
      <c r="G3423" s="47"/>
      <c r="H3423" s="47"/>
      <c r="I3423" s="47"/>
      <c r="J3423" s="1">
        <v>42.0</v>
      </c>
    </row>
    <row r="3424" ht="15.75" hidden="1" customHeight="1">
      <c r="A3424" s="47"/>
      <c r="B3424" s="47"/>
      <c r="C3424" s="47"/>
      <c r="D3424" s="47"/>
      <c r="E3424" s="47"/>
      <c r="F3424" s="47"/>
      <c r="G3424" s="47"/>
      <c r="H3424" s="47"/>
      <c r="I3424" s="47"/>
      <c r="J3424" s="1">
        <v>42.0</v>
      </c>
    </row>
    <row r="3425" ht="15.75" hidden="1" customHeight="1">
      <c r="A3425" s="47"/>
      <c r="B3425" s="47"/>
      <c r="C3425" s="47"/>
      <c r="D3425" s="47"/>
      <c r="E3425" s="47"/>
      <c r="F3425" s="47"/>
      <c r="G3425" s="47"/>
      <c r="H3425" s="47"/>
      <c r="I3425" s="47"/>
      <c r="J3425" s="1">
        <v>42.0</v>
      </c>
    </row>
    <row r="3426" ht="15.75" hidden="1" customHeight="1">
      <c r="A3426" s="47"/>
      <c r="B3426" s="47"/>
      <c r="C3426" s="47"/>
      <c r="D3426" s="47"/>
      <c r="E3426" s="47"/>
      <c r="F3426" s="47"/>
      <c r="G3426" s="47"/>
      <c r="H3426" s="47"/>
      <c r="I3426" s="47"/>
      <c r="J3426" s="1">
        <v>42.0</v>
      </c>
    </row>
    <row r="3427" ht="15.75" hidden="1" customHeight="1">
      <c r="A3427" s="47"/>
      <c r="B3427" s="47"/>
      <c r="C3427" s="47"/>
      <c r="D3427" s="47"/>
      <c r="E3427" s="47"/>
      <c r="F3427" s="47"/>
      <c r="G3427" s="47"/>
      <c r="H3427" s="47"/>
      <c r="I3427" s="47"/>
      <c r="J3427" s="1">
        <v>42.0</v>
      </c>
    </row>
    <row r="3428" ht="15.75" hidden="1" customHeight="1">
      <c r="A3428" s="47"/>
      <c r="B3428" s="47"/>
      <c r="C3428" s="47"/>
      <c r="D3428" s="47"/>
      <c r="E3428" s="47"/>
      <c r="F3428" s="47"/>
      <c r="G3428" s="47"/>
      <c r="H3428" s="47"/>
      <c r="I3428" s="47"/>
      <c r="J3428" s="1">
        <v>42.0</v>
      </c>
    </row>
    <row r="3429" ht="15.75" hidden="1" customHeight="1">
      <c r="A3429" s="47"/>
      <c r="B3429" s="47"/>
      <c r="C3429" s="47"/>
      <c r="D3429" s="47"/>
      <c r="E3429" s="47"/>
      <c r="F3429" s="47"/>
      <c r="G3429" s="47"/>
      <c r="H3429" s="47"/>
      <c r="I3429" s="47"/>
      <c r="J3429" s="1">
        <v>42.0</v>
      </c>
    </row>
    <row r="3430" ht="15.75" hidden="1" customHeight="1">
      <c r="A3430" s="47"/>
      <c r="B3430" s="47"/>
      <c r="C3430" s="47"/>
      <c r="D3430" s="47"/>
      <c r="E3430" s="47"/>
      <c r="F3430" s="47"/>
      <c r="G3430" s="47"/>
      <c r="H3430" s="47"/>
      <c r="I3430" s="47"/>
      <c r="J3430" s="1">
        <v>42.0</v>
      </c>
    </row>
    <row r="3431" ht="15.75" hidden="1" customHeight="1">
      <c r="A3431" s="47"/>
      <c r="B3431" s="47"/>
      <c r="C3431" s="47"/>
      <c r="D3431" s="47"/>
      <c r="E3431" s="47"/>
      <c r="F3431" s="47"/>
      <c r="G3431" s="47"/>
      <c r="H3431" s="47"/>
      <c r="I3431" s="47"/>
      <c r="J3431" s="1">
        <v>42.0</v>
      </c>
    </row>
    <row r="3432" ht="15.75" hidden="1" customHeight="1">
      <c r="A3432" s="47"/>
      <c r="B3432" s="47"/>
      <c r="C3432" s="47"/>
      <c r="D3432" s="47"/>
      <c r="E3432" s="47"/>
      <c r="F3432" s="47"/>
      <c r="G3432" s="47"/>
      <c r="H3432" s="47"/>
      <c r="I3432" s="47"/>
      <c r="J3432" s="1">
        <v>42.0</v>
      </c>
    </row>
    <row r="3433" ht="15.75" hidden="1" customHeight="1">
      <c r="A3433" s="47"/>
      <c r="B3433" s="47"/>
      <c r="C3433" s="47"/>
      <c r="D3433" s="47"/>
      <c r="E3433" s="47"/>
      <c r="F3433" s="47"/>
      <c r="G3433" s="47"/>
      <c r="H3433" s="47"/>
      <c r="I3433" s="47"/>
      <c r="J3433" s="1">
        <v>42.0</v>
      </c>
    </row>
    <row r="3434" ht="15.75" hidden="1" customHeight="1">
      <c r="A3434" s="47"/>
      <c r="B3434" s="47"/>
      <c r="C3434" s="47"/>
      <c r="D3434" s="47"/>
      <c r="E3434" s="47"/>
      <c r="F3434" s="47"/>
      <c r="G3434" s="47"/>
      <c r="H3434" s="47"/>
      <c r="I3434" s="47"/>
      <c r="J3434" s="1">
        <v>42.0</v>
      </c>
    </row>
    <row r="3435" ht="15.75" hidden="1" customHeight="1">
      <c r="A3435" s="47"/>
      <c r="B3435" s="47"/>
      <c r="C3435" s="47"/>
      <c r="D3435" s="47"/>
      <c r="E3435" s="47"/>
      <c r="F3435" s="47"/>
      <c r="G3435" s="47"/>
      <c r="H3435" s="47"/>
      <c r="I3435" s="47"/>
      <c r="J3435" s="1">
        <v>42.0</v>
      </c>
    </row>
    <row r="3436" ht="15.75" hidden="1" customHeight="1">
      <c r="A3436" s="47"/>
      <c r="B3436" s="47"/>
      <c r="C3436" s="47"/>
      <c r="D3436" s="47"/>
      <c r="E3436" s="47"/>
      <c r="F3436" s="47"/>
      <c r="G3436" s="47"/>
      <c r="H3436" s="47"/>
      <c r="I3436" s="47"/>
      <c r="J3436" s="1">
        <v>42.0</v>
      </c>
    </row>
    <row r="3437" ht="15.75" hidden="1" customHeight="1">
      <c r="A3437" s="47"/>
      <c r="B3437" s="47"/>
      <c r="C3437" s="47"/>
      <c r="D3437" s="47"/>
      <c r="E3437" s="47"/>
      <c r="F3437" s="47"/>
      <c r="G3437" s="47"/>
      <c r="H3437" s="47"/>
      <c r="I3437" s="47"/>
      <c r="J3437" s="1">
        <v>42.0</v>
      </c>
    </row>
    <row r="3438" ht="15.75" hidden="1" customHeight="1">
      <c r="A3438" s="47"/>
      <c r="B3438" s="47"/>
      <c r="C3438" s="47"/>
      <c r="D3438" s="47"/>
      <c r="E3438" s="47"/>
      <c r="F3438" s="47"/>
      <c r="G3438" s="47"/>
      <c r="H3438" s="47"/>
      <c r="I3438" s="47"/>
      <c r="J3438" s="1">
        <v>42.0</v>
      </c>
    </row>
    <row r="3439" ht="15.75" hidden="1" customHeight="1">
      <c r="A3439" s="47"/>
      <c r="B3439" s="47"/>
      <c r="C3439" s="47"/>
      <c r="D3439" s="47"/>
      <c r="E3439" s="47"/>
      <c r="F3439" s="47"/>
      <c r="G3439" s="47"/>
      <c r="H3439" s="47"/>
      <c r="I3439" s="47"/>
      <c r="J3439" s="1">
        <v>42.0</v>
      </c>
    </row>
    <row r="3440" ht="15.75" hidden="1" customHeight="1">
      <c r="A3440" s="47"/>
      <c r="B3440" s="47"/>
      <c r="C3440" s="47"/>
      <c r="D3440" s="47"/>
      <c r="E3440" s="47"/>
      <c r="F3440" s="47"/>
      <c r="G3440" s="47"/>
      <c r="H3440" s="47"/>
      <c r="I3440" s="47"/>
      <c r="J3440" s="1">
        <v>42.0</v>
      </c>
    </row>
    <row r="3441" ht="15.75" hidden="1" customHeight="1">
      <c r="A3441" s="47"/>
      <c r="B3441" s="47"/>
      <c r="C3441" s="47"/>
      <c r="D3441" s="47"/>
      <c r="E3441" s="47"/>
      <c r="F3441" s="47"/>
      <c r="G3441" s="47"/>
      <c r="H3441" s="47"/>
      <c r="I3441" s="47"/>
      <c r="J3441" s="1">
        <v>42.0</v>
      </c>
    </row>
    <row r="3442" ht="15.75" hidden="1" customHeight="1">
      <c r="A3442" s="47"/>
      <c r="B3442" s="47"/>
      <c r="C3442" s="47"/>
      <c r="D3442" s="47"/>
      <c r="E3442" s="47"/>
      <c r="F3442" s="47"/>
      <c r="G3442" s="47"/>
      <c r="H3442" s="47"/>
      <c r="I3442" s="47"/>
      <c r="J3442" s="1">
        <v>42.0</v>
      </c>
    </row>
    <row r="3443" ht="15.75" hidden="1" customHeight="1">
      <c r="A3443" s="47"/>
      <c r="B3443" s="47"/>
      <c r="C3443" s="47"/>
      <c r="D3443" s="47"/>
      <c r="E3443" s="47"/>
      <c r="F3443" s="47"/>
      <c r="G3443" s="47"/>
      <c r="H3443" s="47"/>
      <c r="I3443" s="47"/>
      <c r="J3443" s="1">
        <v>42.0</v>
      </c>
    </row>
    <row r="3444" ht="15.75" hidden="1" customHeight="1">
      <c r="A3444" s="47"/>
      <c r="B3444" s="47"/>
      <c r="C3444" s="47"/>
      <c r="D3444" s="47"/>
      <c r="E3444" s="47"/>
      <c r="F3444" s="47"/>
      <c r="G3444" s="47"/>
      <c r="H3444" s="47"/>
      <c r="I3444" s="47"/>
      <c r="J3444" s="1">
        <v>42.0</v>
      </c>
    </row>
    <row r="3445" ht="15.75" hidden="1" customHeight="1">
      <c r="A3445" s="47"/>
      <c r="B3445" s="47"/>
      <c r="C3445" s="47"/>
      <c r="D3445" s="47"/>
      <c r="E3445" s="47"/>
      <c r="F3445" s="47"/>
      <c r="G3445" s="47"/>
      <c r="H3445" s="47"/>
      <c r="I3445" s="47"/>
      <c r="J3445" s="1">
        <v>42.0</v>
      </c>
    </row>
    <row r="3446" ht="15.75" hidden="1" customHeight="1">
      <c r="A3446" s="47"/>
      <c r="B3446" s="47"/>
      <c r="C3446" s="47"/>
      <c r="D3446" s="47"/>
      <c r="E3446" s="47"/>
      <c r="F3446" s="47"/>
      <c r="G3446" s="47"/>
      <c r="H3446" s="47"/>
      <c r="I3446" s="47"/>
      <c r="J3446" s="1">
        <v>42.0</v>
      </c>
    </row>
    <row r="3447" ht="15.75" hidden="1" customHeight="1">
      <c r="A3447" s="47"/>
      <c r="B3447" s="47"/>
      <c r="C3447" s="47"/>
      <c r="D3447" s="47"/>
      <c r="E3447" s="47"/>
      <c r="F3447" s="47"/>
      <c r="G3447" s="47"/>
      <c r="H3447" s="47"/>
      <c r="I3447" s="47"/>
      <c r="J3447" s="1">
        <v>42.0</v>
      </c>
    </row>
    <row r="3448" ht="15.75" hidden="1" customHeight="1">
      <c r="A3448" s="47"/>
      <c r="B3448" s="47"/>
      <c r="C3448" s="47"/>
      <c r="D3448" s="47"/>
      <c r="E3448" s="47"/>
      <c r="F3448" s="47"/>
      <c r="G3448" s="47"/>
      <c r="H3448" s="47"/>
      <c r="I3448" s="47"/>
      <c r="J3448" s="1">
        <v>42.0</v>
      </c>
    </row>
    <row r="3449" ht="15.75" hidden="1" customHeight="1">
      <c r="A3449" s="47"/>
      <c r="B3449" s="47"/>
      <c r="C3449" s="47"/>
      <c r="D3449" s="47"/>
      <c r="E3449" s="47"/>
      <c r="F3449" s="47"/>
      <c r="G3449" s="47"/>
      <c r="H3449" s="47"/>
      <c r="I3449" s="47"/>
      <c r="J3449" s="1">
        <v>42.0</v>
      </c>
    </row>
    <row r="3450" ht="15.75" hidden="1" customHeight="1">
      <c r="A3450" s="47"/>
      <c r="B3450" s="47"/>
      <c r="C3450" s="47"/>
      <c r="D3450" s="47"/>
      <c r="E3450" s="47"/>
      <c r="F3450" s="47"/>
      <c r="G3450" s="47"/>
      <c r="H3450" s="47"/>
      <c r="I3450" s="47"/>
      <c r="J3450" s="1">
        <v>42.0</v>
      </c>
    </row>
    <row r="3451" ht="15.75" hidden="1" customHeight="1">
      <c r="A3451" s="47"/>
      <c r="B3451" s="47"/>
      <c r="C3451" s="47"/>
      <c r="D3451" s="47"/>
      <c r="E3451" s="47"/>
      <c r="F3451" s="47"/>
      <c r="G3451" s="47"/>
      <c r="H3451" s="47"/>
      <c r="I3451" s="47"/>
      <c r="J3451" s="1">
        <v>42.0</v>
      </c>
    </row>
    <row r="3452" ht="15.75" hidden="1" customHeight="1">
      <c r="A3452" s="47"/>
      <c r="B3452" s="47"/>
      <c r="C3452" s="47"/>
      <c r="D3452" s="47"/>
      <c r="E3452" s="47"/>
      <c r="F3452" s="47"/>
      <c r="G3452" s="47"/>
      <c r="H3452" s="47"/>
      <c r="I3452" s="47"/>
      <c r="J3452" s="1">
        <v>42.0</v>
      </c>
    </row>
    <row r="3453" ht="15.75" hidden="1" customHeight="1">
      <c r="A3453" s="47"/>
      <c r="B3453" s="47"/>
      <c r="C3453" s="47"/>
      <c r="D3453" s="47"/>
      <c r="E3453" s="47"/>
      <c r="F3453" s="47"/>
      <c r="G3453" s="47"/>
      <c r="H3453" s="47"/>
      <c r="I3453" s="47"/>
      <c r="J3453" s="1">
        <v>42.0</v>
      </c>
    </row>
    <row r="3454" ht="15.75" hidden="1" customHeight="1">
      <c r="A3454" s="47"/>
      <c r="B3454" s="47"/>
      <c r="C3454" s="47"/>
      <c r="D3454" s="47"/>
      <c r="E3454" s="47"/>
      <c r="F3454" s="47"/>
      <c r="G3454" s="47"/>
      <c r="H3454" s="47"/>
      <c r="I3454" s="47"/>
      <c r="J3454" s="1">
        <v>42.0</v>
      </c>
    </row>
    <row r="3455" ht="15.75" hidden="1" customHeight="1">
      <c r="A3455" s="47"/>
      <c r="B3455" s="47"/>
      <c r="C3455" s="47"/>
      <c r="D3455" s="47"/>
      <c r="E3455" s="47"/>
      <c r="F3455" s="47"/>
      <c r="G3455" s="47"/>
      <c r="H3455" s="47"/>
      <c r="I3455" s="47"/>
      <c r="J3455" s="1">
        <v>42.0</v>
      </c>
    </row>
    <row r="3456" ht="15.75" hidden="1" customHeight="1">
      <c r="A3456" s="47"/>
      <c r="B3456" s="47"/>
      <c r="C3456" s="47"/>
      <c r="D3456" s="47"/>
      <c r="E3456" s="47"/>
      <c r="F3456" s="47"/>
      <c r="G3456" s="47"/>
      <c r="H3456" s="47"/>
      <c r="I3456" s="47"/>
      <c r="J3456" s="1">
        <v>42.0</v>
      </c>
    </row>
    <row r="3457" ht="15.75" hidden="1" customHeight="1">
      <c r="A3457" s="47"/>
      <c r="B3457" s="47"/>
      <c r="C3457" s="47"/>
      <c r="D3457" s="47"/>
      <c r="E3457" s="47"/>
      <c r="F3457" s="47"/>
      <c r="G3457" s="47"/>
      <c r="H3457" s="47"/>
      <c r="I3457" s="47"/>
      <c r="J3457" s="1">
        <v>42.0</v>
      </c>
    </row>
    <row r="3458" ht="15.75" hidden="1" customHeight="1">
      <c r="A3458" s="47"/>
      <c r="B3458" s="47"/>
      <c r="C3458" s="47"/>
      <c r="D3458" s="47"/>
      <c r="E3458" s="47"/>
      <c r="F3458" s="47"/>
      <c r="G3458" s="47"/>
      <c r="H3458" s="47"/>
      <c r="I3458" s="47"/>
      <c r="J3458" s="1">
        <v>42.0</v>
      </c>
    </row>
    <row r="3459" ht="15.75" hidden="1" customHeight="1">
      <c r="A3459" s="47"/>
      <c r="B3459" s="47"/>
      <c r="C3459" s="47"/>
      <c r="D3459" s="47"/>
      <c r="E3459" s="47"/>
      <c r="F3459" s="47"/>
      <c r="G3459" s="47"/>
      <c r="H3459" s="47"/>
      <c r="I3459" s="47"/>
      <c r="J3459" s="1">
        <v>42.0</v>
      </c>
    </row>
    <row r="3460" ht="15.75" hidden="1" customHeight="1">
      <c r="A3460" s="47"/>
      <c r="B3460" s="47"/>
      <c r="C3460" s="47"/>
      <c r="D3460" s="47"/>
      <c r="E3460" s="47"/>
      <c r="F3460" s="47"/>
      <c r="G3460" s="47"/>
      <c r="H3460" s="47"/>
      <c r="I3460" s="47"/>
      <c r="J3460" s="1">
        <v>42.0</v>
      </c>
    </row>
    <row r="3461" ht="15.75" hidden="1" customHeight="1">
      <c r="A3461" s="47"/>
      <c r="B3461" s="47"/>
      <c r="C3461" s="47"/>
      <c r="D3461" s="47"/>
      <c r="E3461" s="47"/>
      <c r="F3461" s="47"/>
      <c r="G3461" s="47"/>
      <c r="H3461" s="47"/>
      <c r="I3461" s="47"/>
      <c r="J3461" s="1">
        <v>42.0</v>
      </c>
    </row>
    <row r="3462" ht="15.75" hidden="1" customHeight="1">
      <c r="A3462" s="47"/>
      <c r="B3462" s="47"/>
      <c r="C3462" s="47"/>
      <c r="D3462" s="47"/>
      <c r="E3462" s="47"/>
      <c r="F3462" s="47"/>
      <c r="G3462" s="47"/>
      <c r="H3462" s="47"/>
      <c r="I3462" s="47"/>
      <c r="J3462" s="1">
        <v>42.0</v>
      </c>
    </row>
    <row r="3463" ht="15.75" hidden="1" customHeight="1">
      <c r="A3463" s="47"/>
      <c r="B3463" s="47"/>
      <c r="C3463" s="47"/>
      <c r="D3463" s="47"/>
      <c r="E3463" s="47"/>
      <c r="F3463" s="47"/>
      <c r="G3463" s="47"/>
      <c r="H3463" s="47"/>
      <c r="I3463" s="47"/>
      <c r="J3463" s="1">
        <v>42.0</v>
      </c>
    </row>
    <row r="3464" ht="15.75" hidden="1" customHeight="1">
      <c r="A3464" s="47"/>
      <c r="B3464" s="47"/>
      <c r="C3464" s="47"/>
      <c r="D3464" s="47"/>
      <c r="E3464" s="47"/>
      <c r="F3464" s="47"/>
      <c r="G3464" s="47"/>
      <c r="H3464" s="47"/>
      <c r="I3464" s="47"/>
      <c r="J3464" s="1">
        <v>42.0</v>
      </c>
    </row>
    <row r="3465" ht="15.75" hidden="1" customHeight="1">
      <c r="A3465" s="47"/>
      <c r="B3465" s="47"/>
      <c r="C3465" s="47"/>
      <c r="D3465" s="47"/>
      <c r="E3465" s="47"/>
      <c r="F3465" s="47"/>
      <c r="G3465" s="47"/>
      <c r="H3465" s="47"/>
      <c r="I3465" s="47"/>
      <c r="J3465" s="1">
        <v>42.0</v>
      </c>
    </row>
    <row r="3466" ht="15.75" hidden="1" customHeight="1">
      <c r="A3466" s="47"/>
      <c r="B3466" s="47"/>
      <c r="C3466" s="47"/>
      <c r="D3466" s="47"/>
      <c r="E3466" s="47"/>
      <c r="F3466" s="47"/>
      <c r="G3466" s="47"/>
      <c r="H3466" s="47"/>
      <c r="I3466" s="47"/>
      <c r="J3466" s="1">
        <v>42.0</v>
      </c>
    </row>
    <row r="3467" ht="15.75" hidden="1" customHeight="1">
      <c r="A3467" s="47"/>
      <c r="B3467" s="47"/>
      <c r="C3467" s="47"/>
      <c r="D3467" s="47"/>
      <c r="E3467" s="47"/>
      <c r="F3467" s="47"/>
      <c r="G3467" s="47"/>
      <c r="H3467" s="47"/>
      <c r="I3467" s="47"/>
      <c r="J3467" s="1">
        <v>42.0</v>
      </c>
    </row>
    <row r="3468" ht="15.75" hidden="1" customHeight="1">
      <c r="A3468" s="47"/>
      <c r="B3468" s="47"/>
      <c r="C3468" s="47"/>
      <c r="D3468" s="47"/>
      <c r="E3468" s="47"/>
      <c r="F3468" s="47"/>
      <c r="G3468" s="47"/>
      <c r="H3468" s="47"/>
      <c r="I3468" s="47"/>
      <c r="J3468" s="1">
        <v>42.0</v>
      </c>
    </row>
    <row r="3469" ht="15.75" hidden="1" customHeight="1">
      <c r="A3469" s="47"/>
      <c r="B3469" s="47"/>
      <c r="C3469" s="47"/>
      <c r="D3469" s="47"/>
      <c r="E3469" s="47"/>
      <c r="F3469" s="47"/>
      <c r="G3469" s="47"/>
      <c r="H3469" s="47"/>
      <c r="I3469" s="47"/>
      <c r="J3469" s="1">
        <v>42.0</v>
      </c>
    </row>
    <row r="3470" ht="15.75" hidden="1" customHeight="1">
      <c r="A3470" s="47"/>
      <c r="B3470" s="47"/>
      <c r="C3470" s="47"/>
      <c r="D3470" s="47"/>
      <c r="E3470" s="47"/>
      <c r="F3470" s="47"/>
      <c r="G3470" s="47"/>
      <c r="H3470" s="47"/>
      <c r="I3470" s="47"/>
      <c r="J3470" s="1">
        <v>42.0</v>
      </c>
    </row>
    <row r="3471" ht="15.75" hidden="1" customHeight="1">
      <c r="A3471" s="47"/>
      <c r="B3471" s="47"/>
      <c r="C3471" s="47"/>
      <c r="D3471" s="47"/>
      <c r="E3471" s="47"/>
      <c r="F3471" s="47"/>
      <c r="G3471" s="47"/>
      <c r="H3471" s="47"/>
      <c r="I3471" s="47"/>
      <c r="J3471" s="1">
        <v>42.0</v>
      </c>
    </row>
    <row r="3472" ht="15.75" hidden="1" customHeight="1">
      <c r="A3472" s="47"/>
      <c r="B3472" s="47"/>
      <c r="C3472" s="47"/>
      <c r="D3472" s="47"/>
      <c r="E3472" s="47"/>
      <c r="F3472" s="47"/>
      <c r="G3472" s="47"/>
      <c r="H3472" s="47"/>
      <c r="I3472" s="47"/>
      <c r="J3472" s="1">
        <v>42.0</v>
      </c>
    </row>
    <row r="3473" ht="15.75" hidden="1" customHeight="1">
      <c r="A3473" s="47"/>
      <c r="B3473" s="47"/>
      <c r="C3473" s="47"/>
      <c r="D3473" s="47"/>
      <c r="E3473" s="47"/>
      <c r="F3473" s="47"/>
      <c r="G3473" s="47"/>
      <c r="H3473" s="47"/>
      <c r="I3473" s="47"/>
      <c r="J3473" s="1">
        <v>42.0</v>
      </c>
    </row>
    <row r="3474" ht="15.75" hidden="1" customHeight="1">
      <c r="A3474" s="47"/>
      <c r="B3474" s="47"/>
      <c r="C3474" s="47"/>
      <c r="D3474" s="47"/>
      <c r="E3474" s="47"/>
      <c r="F3474" s="47"/>
      <c r="G3474" s="47"/>
      <c r="H3474" s="47"/>
      <c r="I3474" s="47"/>
      <c r="J3474" s="1">
        <v>42.0</v>
      </c>
    </row>
    <row r="3475" ht="15.75" hidden="1" customHeight="1">
      <c r="A3475" s="47"/>
      <c r="B3475" s="47"/>
      <c r="C3475" s="47"/>
      <c r="D3475" s="47"/>
      <c r="E3475" s="47"/>
      <c r="F3475" s="47"/>
      <c r="G3475" s="47"/>
      <c r="H3475" s="47"/>
      <c r="I3475" s="47"/>
      <c r="J3475" s="1">
        <v>42.0</v>
      </c>
    </row>
    <row r="3476" ht="15.75" hidden="1" customHeight="1">
      <c r="A3476" s="47"/>
      <c r="B3476" s="47"/>
      <c r="C3476" s="47"/>
      <c r="D3476" s="47"/>
      <c r="E3476" s="47"/>
      <c r="F3476" s="47"/>
      <c r="G3476" s="47"/>
      <c r="H3476" s="47"/>
      <c r="I3476" s="47"/>
      <c r="J3476" s="1">
        <v>42.0</v>
      </c>
    </row>
    <row r="3477" ht="15.75" hidden="1" customHeight="1">
      <c r="A3477" s="47"/>
      <c r="B3477" s="47"/>
      <c r="C3477" s="47"/>
      <c r="D3477" s="47"/>
      <c r="E3477" s="47"/>
      <c r="F3477" s="47"/>
      <c r="G3477" s="47"/>
      <c r="H3477" s="47"/>
      <c r="I3477" s="47"/>
      <c r="J3477" s="1">
        <v>42.0</v>
      </c>
    </row>
    <row r="3478" ht="15.75" hidden="1" customHeight="1">
      <c r="A3478" s="47"/>
      <c r="B3478" s="47"/>
      <c r="C3478" s="47"/>
      <c r="D3478" s="47"/>
      <c r="E3478" s="47"/>
      <c r="F3478" s="47"/>
      <c r="G3478" s="47"/>
      <c r="H3478" s="47"/>
      <c r="I3478" s="47"/>
      <c r="J3478" s="1">
        <v>42.0</v>
      </c>
    </row>
    <row r="3479" ht="15.75" hidden="1" customHeight="1">
      <c r="A3479" s="47"/>
      <c r="B3479" s="47"/>
      <c r="C3479" s="47"/>
      <c r="D3479" s="47"/>
      <c r="E3479" s="47"/>
      <c r="F3479" s="47"/>
      <c r="G3479" s="47"/>
      <c r="H3479" s="47"/>
      <c r="I3479" s="47"/>
      <c r="J3479" s="1">
        <v>42.0</v>
      </c>
    </row>
    <row r="3480" ht="15.75" hidden="1" customHeight="1">
      <c r="A3480" s="47"/>
      <c r="B3480" s="47"/>
      <c r="C3480" s="47"/>
      <c r="D3480" s="47"/>
      <c r="E3480" s="47"/>
      <c r="F3480" s="47"/>
      <c r="G3480" s="47"/>
      <c r="H3480" s="47"/>
      <c r="I3480" s="47"/>
      <c r="J3480" s="1">
        <v>42.0</v>
      </c>
    </row>
    <row r="3481" ht="15.75" hidden="1" customHeight="1">
      <c r="A3481" s="47"/>
      <c r="B3481" s="47"/>
      <c r="C3481" s="47"/>
      <c r="D3481" s="47"/>
      <c r="E3481" s="47"/>
      <c r="F3481" s="47"/>
      <c r="G3481" s="47"/>
      <c r="H3481" s="47"/>
      <c r="I3481" s="47"/>
      <c r="J3481" s="1">
        <v>42.0</v>
      </c>
    </row>
    <row r="3482" ht="15.75" hidden="1" customHeight="1">
      <c r="A3482" s="47"/>
      <c r="B3482" s="47"/>
      <c r="C3482" s="47"/>
      <c r="D3482" s="47"/>
      <c r="E3482" s="47"/>
      <c r="F3482" s="47"/>
      <c r="G3482" s="47"/>
      <c r="H3482" s="47"/>
      <c r="I3482" s="47"/>
      <c r="J3482" s="1">
        <v>42.0</v>
      </c>
    </row>
    <row r="3483" ht="15.75" hidden="1" customHeight="1">
      <c r="A3483" s="47"/>
      <c r="B3483" s="47"/>
      <c r="C3483" s="47"/>
      <c r="D3483" s="47"/>
      <c r="E3483" s="47"/>
      <c r="F3483" s="47"/>
      <c r="G3483" s="47"/>
      <c r="H3483" s="47"/>
      <c r="I3483" s="47"/>
      <c r="J3483" s="1">
        <v>42.0</v>
      </c>
    </row>
    <row r="3484" ht="15.75" hidden="1" customHeight="1">
      <c r="A3484" s="47"/>
      <c r="B3484" s="47"/>
      <c r="C3484" s="47"/>
      <c r="D3484" s="47"/>
      <c r="E3484" s="47"/>
      <c r="F3484" s="47"/>
      <c r="G3484" s="47"/>
      <c r="H3484" s="47"/>
      <c r="I3484" s="47"/>
      <c r="J3484" s="1">
        <v>42.0</v>
      </c>
    </row>
    <row r="3485" ht="15.75" hidden="1" customHeight="1">
      <c r="A3485" s="47"/>
      <c r="B3485" s="47"/>
      <c r="C3485" s="47"/>
      <c r="D3485" s="47"/>
      <c r="E3485" s="47"/>
      <c r="F3485" s="47"/>
      <c r="G3485" s="47"/>
      <c r="H3485" s="47"/>
      <c r="I3485" s="47"/>
      <c r="J3485" s="1">
        <v>42.0</v>
      </c>
    </row>
    <row r="3486" ht="15.75" hidden="1" customHeight="1">
      <c r="A3486" s="47"/>
      <c r="B3486" s="47"/>
      <c r="C3486" s="47"/>
      <c r="D3486" s="47"/>
      <c r="E3486" s="47"/>
      <c r="F3486" s="47"/>
      <c r="G3486" s="47"/>
      <c r="H3486" s="47"/>
      <c r="I3486" s="47"/>
      <c r="J3486" s="1">
        <v>42.0</v>
      </c>
    </row>
    <row r="3487" ht="15.75" hidden="1" customHeight="1">
      <c r="A3487" s="47"/>
      <c r="B3487" s="47"/>
      <c r="C3487" s="47"/>
      <c r="D3487" s="47"/>
      <c r="E3487" s="47"/>
      <c r="F3487" s="47"/>
      <c r="G3487" s="47"/>
      <c r="H3487" s="47"/>
      <c r="I3487" s="47"/>
      <c r="J3487" s="1">
        <v>42.0</v>
      </c>
    </row>
    <row r="3488" ht="15.75" hidden="1" customHeight="1">
      <c r="A3488" s="47"/>
      <c r="B3488" s="47"/>
      <c r="C3488" s="47"/>
      <c r="D3488" s="47"/>
      <c r="E3488" s="47"/>
      <c r="F3488" s="47"/>
      <c r="G3488" s="47"/>
      <c r="H3488" s="47"/>
      <c r="I3488" s="47"/>
      <c r="J3488" s="1">
        <v>42.0</v>
      </c>
    </row>
    <row r="3489" ht="15.75" hidden="1" customHeight="1">
      <c r="A3489" s="47"/>
      <c r="B3489" s="47"/>
      <c r="C3489" s="47"/>
      <c r="D3489" s="47"/>
      <c r="E3489" s="47"/>
      <c r="F3489" s="47"/>
      <c r="G3489" s="47"/>
      <c r="H3489" s="47"/>
      <c r="I3489" s="47"/>
      <c r="J3489" s="1">
        <v>42.0</v>
      </c>
    </row>
    <row r="3490" ht="15.75" hidden="1" customHeight="1">
      <c r="A3490" s="47"/>
      <c r="B3490" s="47"/>
      <c r="C3490" s="47"/>
      <c r="D3490" s="47"/>
      <c r="E3490" s="47"/>
      <c r="F3490" s="47"/>
      <c r="G3490" s="47"/>
      <c r="H3490" s="47"/>
      <c r="I3490" s="47"/>
      <c r="J3490" s="1">
        <v>42.0</v>
      </c>
    </row>
    <row r="3491" ht="15.75" hidden="1" customHeight="1">
      <c r="A3491" s="47"/>
      <c r="B3491" s="47"/>
      <c r="C3491" s="47"/>
      <c r="D3491" s="47"/>
      <c r="E3491" s="47"/>
      <c r="F3491" s="47"/>
      <c r="G3491" s="47"/>
      <c r="H3491" s="47"/>
      <c r="I3491" s="47"/>
      <c r="J3491" s="1">
        <v>42.0</v>
      </c>
    </row>
    <row r="3492" ht="15.75" hidden="1" customHeight="1">
      <c r="A3492" s="47"/>
      <c r="B3492" s="47"/>
      <c r="C3492" s="47"/>
      <c r="D3492" s="47"/>
      <c r="E3492" s="47"/>
      <c r="F3492" s="47"/>
      <c r="G3492" s="47"/>
      <c r="H3492" s="47"/>
      <c r="I3492" s="47"/>
      <c r="J3492" s="1">
        <v>42.0</v>
      </c>
    </row>
    <row r="3493" ht="15.75" hidden="1" customHeight="1">
      <c r="A3493" s="47"/>
      <c r="B3493" s="47"/>
      <c r="C3493" s="47"/>
      <c r="D3493" s="47"/>
      <c r="E3493" s="47"/>
      <c r="F3493" s="47"/>
      <c r="G3493" s="47"/>
      <c r="H3493" s="47"/>
      <c r="I3493" s="47"/>
      <c r="J3493" s="1">
        <v>42.0</v>
      </c>
    </row>
    <row r="3494" ht="15.75" hidden="1" customHeight="1">
      <c r="A3494" s="47"/>
      <c r="B3494" s="47"/>
      <c r="C3494" s="47"/>
      <c r="D3494" s="47"/>
      <c r="E3494" s="47"/>
      <c r="F3494" s="47"/>
      <c r="G3494" s="47"/>
      <c r="H3494" s="47"/>
      <c r="I3494" s="47"/>
      <c r="J3494" s="1">
        <v>42.0</v>
      </c>
    </row>
    <row r="3495" ht="15.75" hidden="1" customHeight="1">
      <c r="A3495" s="47"/>
      <c r="B3495" s="47"/>
      <c r="C3495" s="47"/>
      <c r="D3495" s="47"/>
      <c r="E3495" s="47"/>
      <c r="F3495" s="47"/>
      <c r="G3495" s="47"/>
      <c r="H3495" s="47"/>
      <c r="I3495" s="47"/>
      <c r="J3495" s="1">
        <v>42.0</v>
      </c>
    </row>
    <row r="3496" ht="15.75" hidden="1" customHeight="1">
      <c r="A3496" s="47"/>
      <c r="B3496" s="47"/>
      <c r="C3496" s="47"/>
      <c r="D3496" s="47"/>
      <c r="E3496" s="47"/>
      <c r="F3496" s="47"/>
      <c r="G3496" s="47"/>
      <c r="H3496" s="47"/>
      <c r="I3496" s="47"/>
      <c r="J3496" s="1">
        <v>42.0</v>
      </c>
    </row>
    <row r="3497" ht="15.75" hidden="1" customHeight="1">
      <c r="A3497" s="47"/>
      <c r="B3497" s="47"/>
      <c r="C3497" s="47"/>
      <c r="D3497" s="47"/>
      <c r="E3497" s="47"/>
      <c r="F3497" s="47"/>
      <c r="G3497" s="47"/>
      <c r="H3497" s="47"/>
      <c r="I3497" s="47"/>
      <c r="J3497" s="1">
        <v>42.0</v>
      </c>
    </row>
    <row r="3498" ht="15.75" hidden="1" customHeight="1">
      <c r="A3498" s="47"/>
      <c r="B3498" s="47"/>
      <c r="C3498" s="47"/>
      <c r="D3498" s="47"/>
      <c r="E3498" s="47"/>
      <c r="F3498" s="47"/>
      <c r="G3498" s="47"/>
      <c r="H3498" s="47"/>
      <c r="I3498" s="47"/>
      <c r="J3498" s="1">
        <v>42.0</v>
      </c>
    </row>
    <row r="3499" ht="15.75" hidden="1" customHeight="1">
      <c r="A3499" s="47"/>
      <c r="B3499" s="47"/>
      <c r="C3499" s="47"/>
      <c r="D3499" s="47"/>
      <c r="E3499" s="47"/>
      <c r="F3499" s="47"/>
      <c r="G3499" s="47"/>
      <c r="H3499" s="47"/>
      <c r="I3499" s="47"/>
      <c r="J3499" s="1">
        <v>42.0</v>
      </c>
    </row>
    <row r="3500" ht="15.75" hidden="1" customHeight="1">
      <c r="A3500" s="47"/>
      <c r="B3500" s="47"/>
      <c r="C3500" s="47"/>
      <c r="D3500" s="47"/>
      <c r="E3500" s="47"/>
      <c r="F3500" s="47"/>
      <c r="G3500" s="47"/>
      <c r="H3500" s="47"/>
      <c r="I3500" s="47"/>
      <c r="J3500" s="1">
        <v>42.0</v>
      </c>
    </row>
    <row r="3501" ht="15.75" hidden="1" customHeight="1">
      <c r="A3501" s="47"/>
      <c r="B3501" s="47"/>
      <c r="C3501" s="47"/>
      <c r="D3501" s="47"/>
      <c r="E3501" s="47"/>
      <c r="F3501" s="47"/>
      <c r="G3501" s="47"/>
      <c r="H3501" s="47"/>
      <c r="I3501" s="47"/>
      <c r="J3501" s="1">
        <v>42.0</v>
      </c>
    </row>
    <row r="3502" ht="15.75" hidden="1" customHeight="1">
      <c r="A3502" s="47"/>
      <c r="B3502" s="47"/>
      <c r="C3502" s="47"/>
      <c r="D3502" s="47"/>
      <c r="E3502" s="47"/>
      <c r="F3502" s="47"/>
      <c r="G3502" s="47"/>
      <c r="H3502" s="47"/>
      <c r="I3502" s="47"/>
      <c r="J3502" s="1">
        <v>42.0</v>
      </c>
    </row>
    <row r="3503" ht="15.75" hidden="1" customHeight="1">
      <c r="A3503" s="47"/>
      <c r="B3503" s="47"/>
      <c r="C3503" s="47"/>
      <c r="D3503" s="47"/>
      <c r="E3503" s="47"/>
      <c r="F3503" s="47"/>
      <c r="G3503" s="47"/>
      <c r="H3503" s="47"/>
      <c r="I3503" s="47"/>
      <c r="J3503" s="1">
        <v>42.0</v>
      </c>
    </row>
    <row r="3504" ht="15.75" hidden="1" customHeight="1">
      <c r="A3504" s="47"/>
      <c r="B3504" s="47"/>
      <c r="C3504" s="47"/>
      <c r="D3504" s="47"/>
      <c r="E3504" s="47"/>
      <c r="F3504" s="47"/>
      <c r="G3504" s="47"/>
      <c r="H3504" s="47"/>
      <c r="I3504" s="47"/>
      <c r="J3504" s="1">
        <v>42.0</v>
      </c>
    </row>
    <row r="3505" ht="15.75" hidden="1" customHeight="1">
      <c r="A3505" s="47"/>
      <c r="B3505" s="47"/>
      <c r="C3505" s="47"/>
      <c r="D3505" s="47"/>
      <c r="E3505" s="47"/>
      <c r="F3505" s="47"/>
      <c r="G3505" s="47"/>
      <c r="H3505" s="47"/>
      <c r="I3505" s="47"/>
      <c r="J3505" s="1">
        <v>42.0</v>
      </c>
    </row>
    <row r="3506" ht="15.75" hidden="1" customHeight="1">
      <c r="A3506" s="47"/>
      <c r="B3506" s="47"/>
      <c r="C3506" s="47"/>
      <c r="D3506" s="47"/>
      <c r="E3506" s="47"/>
      <c r="F3506" s="47"/>
      <c r="G3506" s="47"/>
      <c r="H3506" s="47"/>
      <c r="I3506" s="47"/>
      <c r="J3506" s="1">
        <v>42.0</v>
      </c>
    </row>
    <row r="3507" ht="15.75" hidden="1" customHeight="1">
      <c r="A3507" s="47"/>
      <c r="B3507" s="47"/>
      <c r="C3507" s="47"/>
      <c r="D3507" s="47"/>
      <c r="E3507" s="47"/>
      <c r="F3507" s="47"/>
      <c r="G3507" s="47"/>
      <c r="H3507" s="47"/>
      <c r="I3507" s="47"/>
      <c r="J3507" s="1">
        <v>42.0</v>
      </c>
    </row>
    <row r="3508" ht="15.75" hidden="1" customHeight="1">
      <c r="A3508" s="47"/>
      <c r="B3508" s="47"/>
      <c r="C3508" s="47"/>
      <c r="D3508" s="47"/>
      <c r="E3508" s="47"/>
      <c r="F3508" s="47"/>
      <c r="G3508" s="47"/>
      <c r="H3508" s="47"/>
      <c r="I3508" s="47"/>
      <c r="J3508" s="1">
        <v>42.0</v>
      </c>
    </row>
    <row r="3509" ht="15.75" hidden="1" customHeight="1">
      <c r="A3509" s="47"/>
      <c r="B3509" s="47"/>
      <c r="C3509" s="47"/>
      <c r="D3509" s="47"/>
      <c r="E3509" s="47"/>
      <c r="F3509" s="47"/>
      <c r="G3509" s="47"/>
      <c r="H3509" s="47"/>
      <c r="I3509" s="47"/>
      <c r="J3509" s="1">
        <v>42.0</v>
      </c>
    </row>
    <row r="3510" ht="15.75" hidden="1" customHeight="1">
      <c r="A3510" s="47"/>
      <c r="B3510" s="47"/>
      <c r="C3510" s="47"/>
      <c r="D3510" s="47"/>
      <c r="E3510" s="47"/>
      <c r="F3510" s="47"/>
      <c r="G3510" s="47"/>
      <c r="H3510" s="47"/>
      <c r="I3510" s="47"/>
      <c r="J3510" s="1">
        <v>42.0</v>
      </c>
    </row>
    <row r="3511" ht="15.75" hidden="1" customHeight="1">
      <c r="A3511" s="47"/>
      <c r="B3511" s="47"/>
      <c r="C3511" s="47"/>
      <c r="D3511" s="47"/>
      <c r="E3511" s="47"/>
      <c r="F3511" s="47"/>
      <c r="G3511" s="47"/>
      <c r="H3511" s="47"/>
      <c r="I3511" s="47"/>
      <c r="J3511" s="1">
        <v>42.0</v>
      </c>
    </row>
    <row r="3512" ht="15.75" hidden="1" customHeight="1">
      <c r="A3512" s="47"/>
      <c r="B3512" s="47"/>
      <c r="C3512" s="47"/>
      <c r="D3512" s="47"/>
      <c r="E3512" s="47"/>
      <c r="F3512" s="47"/>
      <c r="G3512" s="47"/>
      <c r="H3512" s="47"/>
      <c r="I3512" s="47"/>
      <c r="J3512" s="1">
        <v>42.0</v>
      </c>
    </row>
    <row r="3513" ht="15.75" hidden="1" customHeight="1">
      <c r="A3513" s="47"/>
      <c r="B3513" s="47"/>
      <c r="C3513" s="47"/>
      <c r="D3513" s="47"/>
      <c r="E3513" s="47"/>
      <c r="F3513" s="47"/>
      <c r="G3513" s="47"/>
      <c r="H3513" s="47"/>
      <c r="I3513" s="47"/>
      <c r="J3513" s="1">
        <v>42.0</v>
      </c>
    </row>
    <row r="3514" ht="15.75" hidden="1" customHeight="1">
      <c r="A3514" s="47"/>
      <c r="B3514" s="47"/>
      <c r="C3514" s="47"/>
      <c r="D3514" s="47"/>
      <c r="E3514" s="47"/>
      <c r="F3514" s="47"/>
      <c r="G3514" s="47"/>
      <c r="H3514" s="47"/>
      <c r="I3514" s="47"/>
      <c r="J3514" s="1">
        <v>42.0</v>
      </c>
    </row>
    <row r="3515" ht="15.75" hidden="1" customHeight="1">
      <c r="A3515" s="47"/>
      <c r="B3515" s="47"/>
      <c r="C3515" s="47"/>
      <c r="D3515" s="47"/>
      <c r="E3515" s="47"/>
      <c r="F3515" s="47"/>
      <c r="G3515" s="47"/>
      <c r="H3515" s="47"/>
      <c r="I3515" s="47"/>
      <c r="J3515" s="1">
        <v>42.0</v>
      </c>
    </row>
    <row r="3516" ht="15.75" hidden="1" customHeight="1">
      <c r="A3516" s="47"/>
      <c r="B3516" s="47"/>
      <c r="C3516" s="47"/>
      <c r="D3516" s="47"/>
      <c r="E3516" s="47"/>
      <c r="F3516" s="47"/>
      <c r="G3516" s="47"/>
      <c r="H3516" s="47"/>
      <c r="I3516" s="47"/>
      <c r="J3516" s="1">
        <v>42.0</v>
      </c>
    </row>
    <row r="3517" ht="15.75" hidden="1" customHeight="1">
      <c r="A3517" s="47"/>
      <c r="B3517" s="47"/>
      <c r="C3517" s="47"/>
      <c r="D3517" s="47"/>
      <c r="E3517" s="47"/>
      <c r="F3517" s="47"/>
      <c r="G3517" s="47"/>
      <c r="H3517" s="47"/>
      <c r="I3517" s="47"/>
      <c r="J3517" s="1">
        <v>42.0</v>
      </c>
    </row>
    <row r="3518" ht="15.75" hidden="1" customHeight="1">
      <c r="A3518" s="47"/>
      <c r="B3518" s="47"/>
      <c r="C3518" s="47"/>
      <c r="D3518" s="47"/>
      <c r="E3518" s="47"/>
      <c r="F3518" s="47"/>
      <c r="G3518" s="47"/>
      <c r="H3518" s="47"/>
      <c r="I3518" s="47"/>
      <c r="J3518" s="1">
        <v>42.0</v>
      </c>
    </row>
    <row r="3519" ht="15.75" hidden="1" customHeight="1">
      <c r="A3519" s="47"/>
      <c r="B3519" s="47"/>
      <c r="C3519" s="47"/>
      <c r="D3519" s="47"/>
      <c r="E3519" s="47"/>
      <c r="F3519" s="47"/>
      <c r="G3519" s="47"/>
      <c r="H3519" s="47"/>
      <c r="I3519" s="47"/>
      <c r="J3519" s="1">
        <v>42.0</v>
      </c>
    </row>
    <row r="3520" ht="15.75" hidden="1" customHeight="1">
      <c r="A3520" s="47"/>
      <c r="B3520" s="47"/>
      <c r="C3520" s="47"/>
      <c r="D3520" s="47"/>
      <c r="E3520" s="47"/>
      <c r="F3520" s="47"/>
      <c r="G3520" s="47"/>
      <c r="H3520" s="47"/>
      <c r="I3520" s="47"/>
      <c r="J3520" s="1">
        <v>42.0</v>
      </c>
    </row>
    <row r="3521" ht="15.75" hidden="1" customHeight="1">
      <c r="A3521" s="47"/>
      <c r="B3521" s="47"/>
      <c r="C3521" s="47"/>
      <c r="D3521" s="47"/>
      <c r="E3521" s="47"/>
      <c r="F3521" s="47"/>
      <c r="G3521" s="47"/>
      <c r="H3521" s="47"/>
      <c r="I3521" s="47"/>
      <c r="J3521" s="1">
        <v>42.0</v>
      </c>
    </row>
    <row r="3522" ht="15.75" hidden="1" customHeight="1">
      <c r="A3522" s="47"/>
      <c r="B3522" s="47"/>
      <c r="C3522" s="47"/>
      <c r="D3522" s="47"/>
      <c r="E3522" s="47"/>
      <c r="F3522" s="47"/>
      <c r="G3522" s="47"/>
      <c r="H3522" s="47"/>
      <c r="I3522" s="47"/>
      <c r="J3522" s="1">
        <v>42.0</v>
      </c>
    </row>
    <row r="3523" ht="15.75" hidden="1" customHeight="1">
      <c r="A3523" s="47"/>
      <c r="B3523" s="47"/>
      <c r="C3523" s="47"/>
      <c r="D3523" s="47"/>
      <c r="E3523" s="47"/>
      <c r="F3523" s="47"/>
      <c r="G3523" s="47"/>
      <c r="H3523" s="47"/>
      <c r="I3523" s="47"/>
      <c r="J3523" s="1">
        <v>42.0</v>
      </c>
    </row>
    <row r="3524" ht="15.75" hidden="1" customHeight="1">
      <c r="A3524" s="47"/>
      <c r="B3524" s="47"/>
      <c r="C3524" s="47"/>
      <c r="D3524" s="47"/>
      <c r="E3524" s="47"/>
      <c r="F3524" s="47"/>
      <c r="G3524" s="47"/>
      <c r="H3524" s="47"/>
      <c r="I3524" s="47"/>
      <c r="J3524" s="1">
        <v>42.0</v>
      </c>
    </row>
    <row r="3525" ht="15.75" hidden="1" customHeight="1">
      <c r="A3525" s="47"/>
      <c r="B3525" s="47"/>
      <c r="C3525" s="47"/>
      <c r="D3525" s="47"/>
      <c r="E3525" s="47"/>
      <c r="F3525" s="47"/>
      <c r="G3525" s="47"/>
      <c r="H3525" s="47"/>
      <c r="I3525" s="47"/>
      <c r="J3525" s="1">
        <v>42.0</v>
      </c>
    </row>
    <row r="3526" ht="15.75" hidden="1" customHeight="1">
      <c r="A3526" s="47"/>
      <c r="B3526" s="47"/>
      <c r="C3526" s="47"/>
      <c r="D3526" s="47"/>
      <c r="E3526" s="47"/>
      <c r="F3526" s="47"/>
      <c r="G3526" s="47"/>
      <c r="H3526" s="47"/>
      <c r="I3526" s="47"/>
      <c r="J3526" s="1">
        <v>42.0</v>
      </c>
    </row>
    <row r="3527" ht="15.75" hidden="1" customHeight="1">
      <c r="A3527" s="47"/>
      <c r="B3527" s="47"/>
      <c r="C3527" s="47"/>
      <c r="D3527" s="47"/>
      <c r="E3527" s="47"/>
      <c r="F3527" s="47"/>
      <c r="G3527" s="47"/>
      <c r="H3527" s="47"/>
      <c r="I3527" s="47"/>
      <c r="J3527" s="1">
        <v>42.0</v>
      </c>
    </row>
    <row r="3528" ht="15.75" hidden="1" customHeight="1">
      <c r="A3528" s="47"/>
      <c r="B3528" s="47"/>
      <c r="C3528" s="47"/>
      <c r="D3528" s="47"/>
      <c r="E3528" s="47"/>
      <c r="F3528" s="47"/>
      <c r="G3528" s="47"/>
      <c r="H3528" s="47"/>
      <c r="I3528" s="47"/>
      <c r="J3528" s="1">
        <v>42.0</v>
      </c>
    </row>
    <row r="3529" ht="15.75" hidden="1" customHeight="1">
      <c r="A3529" s="47"/>
      <c r="B3529" s="47"/>
      <c r="C3529" s="47"/>
      <c r="D3529" s="47"/>
      <c r="E3529" s="47"/>
      <c r="F3529" s="47"/>
      <c r="G3529" s="47"/>
      <c r="H3529" s="47"/>
      <c r="I3529" s="47"/>
      <c r="J3529" s="1">
        <v>42.0</v>
      </c>
    </row>
    <row r="3530" ht="15.75" hidden="1" customHeight="1">
      <c r="A3530" s="47"/>
      <c r="B3530" s="47"/>
      <c r="C3530" s="47"/>
      <c r="D3530" s="47"/>
      <c r="E3530" s="47"/>
      <c r="F3530" s="47"/>
      <c r="G3530" s="47"/>
      <c r="H3530" s="47"/>
      <c r="I3530" s="47"/>
      <c r="J3530" s="1">
        <v>42.0</v>
      </c>
    </row>
    <row r="3531" ht="15.75" hidden="1" customHeight="1">
      <c r="A3531" s="47"/>
      <c r="B3531" s="47"/>
      <c r="C3531" s="47"/>
      <c r="D3531" s="47"/>
      <c r="E3531" s="47"/>
      <c r="F3531" s="47"/>
      <c r="G3531" s="47"/>
      <c r="H3531" s="47"/>
      <c r="I3531" s="47"/>
      <c r="J3531" s="1">
        <v>42.0</v>
      </c>
    </row>
    <row r="3532" ht="15.75" hidden="1" customHeight="1">
      <c r="A3532" s="47"/>
      <c r="B3532" s="47"/>
      <c r="C3532" s="47"/>
      <c r="D3532" s="47"/>
      <c r="E3532" s="47"/>
      <c r="F3532" s="47"/>
      <c r="G3532" s="47"/>
      <c r="H3532" s="47"/>
      <c r="I3532" s="47"/>
      <c r="J3532" s="1">
        <v>42.0</v>
      </c>
    </row>
    <row r="3533" ht="15.75" hidden="1" customHeight="1">
      <c r="A3533" s="47"/>
      <c r="B3533" s="47"/>
      <c r="C3533" s="47"/>
      <c r="D3533" s="47"/>
      <c r="E3533" s="47"/>
      <c r="F3533" s="47"/>
      <c r="G3533" s="47"/>
      <c r="H3533" s="47"/>
      <c r="I3533" s="47"/>
      <c r="J3533" s="1">
        <v>42.0</v>
      </c>
    </row>
    <row r="3534" ht="15.75" hidden="1" customHeight="1">
      <c r="A3534" s="47"/>
      <c r="B3534" s="47"/>
      <c r="C3534" s="47"/>
      <c r="D3534" s="47"/>
      <c r="E3534" s="47"/>
      <c r="F3534" s="47"/>
      <c r="G3534" s="47"/>
      <c r="H3534" s="47"/>
      <c r="I3534" s="47"/>
      <c r="J3534" s="1">
        <v>42.0</v>
      </c>
    </row>
    <row r="3535" ht="15.75" hidden="1" customHeight="1">
      <c r="A3535" s="47"/>
      <c r="B3535" s="47"/>
      <c r="C3535" s="47"/>
      <c r="D3535" s="47"/>
      <c r="E3535" s="47"/>
      <c r="F3535" s="47"/>
      <c r="G3535" s="47"/>
      <c r="H3535" s="47"/>
      <c r="I3535" s="47"/>
      <c r="J3535" s="1">
        <v>42.0</v>
      </c>
    </row>
    <row r="3536" ht="15.75" hidden="1" customHeight="1">
      <c r="A3536" s="47"/>
      <c r="B3536" s="47"/>
      <c r="C3536" s="47"/>
      <c r="D3536" s="47"/>
      <c r="E3536" s="47"/>
      <c r="F3536" s="47"/>
      <c r="G3536" s="47"/>
      <c r="H3536" s="47"/>
      <c r="I3536" s="47"/>
      <c r="J3536" s="1">
        <v>42.0</v>
      </c>
    </row>
    <row r="3537" ht="15.75" hidden="1" customHeight="1">
      <c r="A3537" s="47"/>
      <c r="B3537" s="47"/>
      <c r="C3537" s="47"/>
      <c r="D3537" s="47"/>
      <c r="E3537" s="47"/>
      <c r="F3537" s="47"/>
      <c r="G3537" s="47"/>
      <c r="H3537" s="47"/>
      <c r="I3537" s="47"/>
      <c r="J3537" s="1">
        <v>42.0</v>
      </c>
    </row>
    <row r="3538" ht="15.75" hidden="1" customHeight="1">
      <c r="A3538" s="47"/>
      <c r="B3538" s="47"/>
      <c r="C3538" s="47"/>
      <c r="D3538" s="47"/>
      <c r="E3538" s="47"/>
      <c r="F3538" s="47"/>
      <c r="G3538" s="47"/>
      <c r="H3538" s="47"/>
      <c r="I3538" s="47"/>
      <c r="J3538" s="1">
        <v>42.0</v>
      </c>
    </row>
    <row r="3539" ht="15.75" hidden="1" customHeight="1">
      <c r="A3539" s="47"/>
      <c r="B3539" s="47"/>
      <c r="C3539" s="47"/>
      <c r="D3539" s="47"/>
      <c r="E3539" s="47"/>
      <c r="F3539" s="47"/>
      <c r="G3539" s="47"/>
      <c r="H3539" s="47"/>
      <c r="I3539" s="47"/>
      <c r="J3539" s="1">
        <v>42.0</v>
      </c>
    </row>
    <row r="3540" ht="15.75" hidden="1" customHeight="1">
      <c r="A3540" s="47"/>
      <c r="B3540" s="47"/>
      <c r="C3540" s="47"/>
      <c r="D3540" s="47"/>
      <c r="E3540" s="47"/>
      <c r="F3540" s="47"/>
      <c r="G3540" s="47"/>
      <c r="H3540" s="47"/>
      <c r="I3540" s="47"/>
      <c r="J3540" s="1">
        <v>42.0</v>
      </c>
    </row>
    <row r="3541" ht="15.75" hidden="1" customHeight="1">
      <c r="A3541" s="47"/>
      <c r="B3541" s="47"/>
      <c r="C3541" s="47"/>
      <c r="D3541" s="47"/>
      <c r="E3541" s="47"/>
      <c r="F3541" s="47"/>
      <c r="G3541" s="47"/>
      <c r="H3541" s="47"/>
      <c r="I3541" s="47"/>
      <c r="J3541" s="1">
        <v>42.0</v>
      </c>
    </row>
    <row r="3542" ht="15.75" hidden="1" customHeight="1">
      <c r="A3542" s="47"/>
      <c r="B3542" s="47"/>
      <c r="C3542" s="47"/>
      <c r="D3542" s="47"/>
      <c r="E3542" s="47"/>
      <c r="F3542" s="47"/>
      <c r="G3542" s="47"/>
      <c r="H3542" s="47"/>
      <c r="I3542" s="47"/>
      <c r="J3542" s="1">
        <v>42.0</v>
      </c>
    </row>
    <row r="3543" ht="15.75" hidden="1" customHeight="1">
      <c r="A3543" s="47"/>
      <c r="B3543" s="47"/>
      <c r="C3543" s="47"/>
      <c r="D3543" s="47"/>
      <c r="E3543" s="47"/>
      <c r="F3543" s="47"/>
      <c r="G3543" s="47"/>
      <c r="H3543" s="47"/>
      <c r="I3543" s="47"/>
      <c r="J3543" s="1">
        <v>42.0</v>
      </c>
    </row>
    <row r="3544" ht="15.75" hidden="1" customHeight="1">
      <c r="A3544" s="47"/>
      <c r="B3544" s="47"/>
      <c r="C3544" s="47"/>
      <c r="D3544" s="47"/>
      <c r="E3544" s="47"/>
      <c r="F3544" s="47"/>
      <c r="G3544" s="47"/>
      <c r="H3544" s="47"/>
      <c r="I3544" s="47"/>
      <c r="J3544" s="1">
        <v>42.0</v>
      </c>
    </row>
    <row r="3545" ht="15.75" hidden="1" customHeight="1">
      <c r="A3545" s="47"/>
      <c r="B3545" s="47"/>
      <c r="C3545" s="47"/>
      <c r="D3545" s="47"/>
      <c r="E3545" s="47"/>
      <c r="F3545" s="47"/>
      <c r="G3545" s="47"/>
      <c r="H3545" s="47"/>
      <c r="I3545" s="47"/>
      <c r="J3545" s="1">
        <v>42.0</v>
      </c>
    </row>
    <row r="3546" ht="15.75" hidden="1" customHeight="1">
      <c r="A3546" s="47"/>
      <c r="B3546" s="47"/>
      <c r="C3546" s="47"/>
      <c r="D3546" s="47"/>
      <c r="E3546" s="47"/>
      <c r="F3546" s="47"/>
      <c r="G3546" s="47"/>
      <c r="H3546" s="47"/>
      <c r="I3546" s="47"/>
      <c r="J3546" s="1">
        <v>42.0</v>
      </c>
    </row>
    <row r="3547" ht="15.75" hidden="1" customHeight="1">
      <c r="A3547" s="47"/>
      <c r="B3547" s="47"/>
      <c r="C3547" s="47"/>
      <c r="D3547" s="47"/>
      <c r="E3547" s="47"/>
      <c r="F3547" s="47"/>
      <c r="G3547" s="47"/>
      <c r="H3547" s="47"/>
      <c r="I3547" s="47"/>
      <c r="J3547" s="1">
        <v>42.0</v>
      </c>
    </row>
    <row r="3548" ht="15.75" hidden="1" customHeight="1">
      <c r="A3548" s="47"/>
      <c r="B3548" s="47"/>
      <c r="C3548" s="47"/>
      <c r="D3548" s="47"/>
      <c r="E3548" s="47"/>
      <c r="F3548" s="47"/>
      <c r="G3548" s="47"/>
      <c r="H3548" s="47"/>
      <c r="I3548" s="47"/>
      <c r="J3548" s="1">
        <v>42.0</v>
      </c>
    </row>
    <row r="3549" ht="15.75" hidden="1" customHeight="1">
      <c r="A3549" s="47"/>
      <c r="B3549" s="47"/>
      <c r="C3549" s="47"/>
      <c r="D3549" s="47"/>
      <c r="E3549" s="47"/>
      <c r="F3549" s="47"/>
      <c r="G3549" s="47"/>
      <c r="H3549" s="47"/>
      <c r="I3549" s="47"/>
      <c r="J3549" s="1">
        <v>42.0</v>
      </c>
    </row>
    <row r="3550" ht="15.75" hidden="1" customHeight="1">
      <c r="A3550" s="47"/>
      <c r="B3550" s="47"/>
      <c r="C3550" s="47"/>
      <c r="D3550" s="47"/>
      <c r="E3550" s="47"/>
      <c r="F3550" s="47"/>
      <c r="G3550" s="47"/>
      <c r="H3550" s="47"/>
      <c r="I3550" s="47"/>
      <c r="J3550" s="1">
        <v>42.0</v>
      </c>
    </row>
    <row r="3551" ht="15.75" hidden="1" customHeight="1">
      <c r="A3551" s="47"/>
      <c r="B3551" s="47"/>
      <c r="C3551" s="47"/>
      <c r="D3551" s="47"/>
      <c r="E3551" s="47"/>
      <c r="F3551" s="47"/>
      <c r="G3551" s="47"/>
      <c r="H3551" s="47"/>
      <c r="I3551" s="47"/>
      <c r="J3551" s="1">
        <v>42.0</v>
      </c>
    </row>
    <row r="3552" ht="15.75" hidden="1" customHeight="1">
      <c r="A3552" s="47"/>
      <c r="B3552" s="47"/>
      <c r="C3552" s="47"/>
      <c r="D3552" s="47"/>
      <c r="E3552" s="47"/>
      <c r="F3552" s="47"/>
      <c r="G3552" s="47"/>
      <c r="H3552" s="47"/>
      <c r="I3552" s="47"/>
      <c r="J3552" s="1">
        <v>42.0</v>
      </c>
    </row>
    <row r="3553" ht="15.75" hidden="1" customHeight="1">
      <c r="A3553" s="47"/>
      <c r="B3553" s="47"/>
      <c r="C3553" s="47"/>
      <c r="D3553" s="47"/>
      <c r="E3553" s="47"/>
      <c r="F3553" s="47"/>
      <c r="G3553" s="47"/>
      <c r="H3553" s="47"/>
      <c r="I3553" s="47"/>
      <c r="J3553" s="1">
        <v>42.0</v>
      </c>
    </row>
    <row r="3554" ht="15.75" hidden="1" customHeight="1">
      <c r="A3554" s="47"/>
      <c r="B3554" s="47"/>
      <c r="C3554" s="47"/>
      <c r="D3554" s="47"/>
      <c r="E3554" s="47"/>
      <c r="F3554" s="47"/>
      <c r="G3554" s="47"/>
      <c r="H3554" s="47"/>
      <c r="I3554" s="47"/>
      <c r="J3554" s="1">
        <v>42.0</v>
      </c>
    </row>
    <row r="3555" ht="15.75" hidden="1" customHeight="1">
      <c r="A3555" s="47"/>
      <c r="B3555" s="47"/>
      <c r="C3555" s="47"/>
      <c r="D3555" s="47"/>
      <c r="E3555" s="47"/>
      <c r="F3555" s="47"/>
      <c r="G3555" s="47"/>
      <c r="H3555" s="47"/>
      <c r="I3555" s="47"/>
      <c r="J3555" s="1">
        <v>42.0</v>
      </c>
    </row>
    <row r="3556" ht="15.75" hidden="1" customHeight="1">
      <c r="A3556" s="47"/>
      <c r="B3556" s="47"/>
      <c r="C3556" s="47"/>
      <c r="D3556" s="47"/>
      <c r="E3556" s="47"/>
      <c r="F3556" s="47"/>
      <c r="G3556" s="47"/>
      <c r="H3556" s="47"/>
      <c r="I3556" s="47"/>
      <c r="J3556" s="1">
        <v>42.0</v>
      </c>
    </row>
    <row r="3557" ht="15.75" hidden="1" customHeight="1">
      <c r="A3557" s="47"/>
      <c r="B3557" s="47"/>
      <c r="C3557" s="47"/>
      <c r="D3557" s="47"/>
      <c r="E3557" s="47"/>
      <c r="F3557" s="47"/>
      <c r="G3557" s="47"/>
      <c r="H3557" s="47"/>
      <c r="I3557" s="47"/>
      <c r="J3557" s="1">
        <v>42.0</v>
      </c>
    </row>
    <row r="3558" ht="15.75" hidden="1" customHeight="1">
      <c r="A3558" s="47"/>
      <c r="B3558" s="47"/>
      <c r="C3558" s="47"/>
      <c r="D3558" s="47"/>
      <c r="E3558" s="47"/>
      <c r="F3558" s="47"/>
      <c r="G3558" s="47"/>
      <c r="H3558" s="47"/>
      <c r="I3558" s="47"/>
      <c r="J3558" s="1">
        <v>42.0</v>
      </c>
    </row>
    <row r="3559" ht="15.75" hidden="1" customHeight="1">
      <c r="A3559" s="47"/>
      <c r="B3559" s="47"/>
      <c r="C3559" s="47"/>
      <c r="D3559" s="47"/>
      <c r="E3559" s="47"/>
      <c r="F3559" s="47"/>
      <c r="G3559" s="47"/>
      <c r="H3559" s="47"/>
      <c r="I3559" s="47"/>
      <c r="J3559" s="1">
        <v>42.0</v>
      </c>
    </row>
    <row r="3560" ht="15.75" hidden="1" customHeight="1">
      <c r="A3560" s="47"/>
      <c r="B3560" s="47"/>
      <c r="C3560" s="47"/>
      <c r="D3560" s="47"/>
      <c r="E3560" s="47"/>
      <c r="F3560" s="47"/>
      <c r="G3560" s="47"/>
      <c r="H3560" s="47"/>
      <c r="I3560" s="47"/>
      <c r="J3560" s="1">
        <v>42.0</v>
      </c>
    </row>
    <row r="3561" ht="15.75" hidden="1" customHeight="1">
      <c r="A3561" s="47"/>
      <c r="B3561" s="47"/>
      <c r="C3561" s="47"/>
      <c r="D3561" s="47"/>
      <c r="E3561" s="47"/>
      <c r="F3561" s="47"/>
      <c r="G3561" s="47"/>
      <c r="H3561" s="47"/>
      <c r="I3561" s="47"/>
      <c r="J3561" s="1">
        <v>42.0</v>
      </c>
    </row>
    <row r="3562" ht="15.75" hidden="1" customHeight="1">
      <c r="A3562" s="47"/>
      <c r="B3562" s="47"/>
      <c r="C3562" s="47"/>
      <c r="D3562" s="47"/>
      <c r="E3562" s="47"/>
      <c r="F3562" s="47"/>
      <c r="G3562" s="47"/>
      <c r="H3562" s="47"/>
      <c r="I3562" s="47"/>
      <c r="J3562" s="1">
        <v>42.0</v>
      </c>
    </row>
    <row r="3563" ht="15.75" hidden="1" customHeight="1">
      <c r="A3563" s="47"/>
      <c r="B3563" s="47"/>
      <c r="C3563" s="47"/>
      <c r="D3563" s="47"/>
      <c r="E3563" s="47"/>
      <c r="F3563" s="47"/>
      <c r="G3563" s="47"/>
      <c r="H3563" s="47"/>
      <c r="I3563" s="47"/>
      <c r="J3563" s="1">
        <v>42.0</v>
      </c>
    </row>
    <row r="3564" ht="15.75" hidden="1" customHeight="1">
      <c r="A3564" s="47"/>
      <c r="B3564" s="47"/>
      <c r="C3564" s="47"/>
      <c r="D3564" s="47"/>
      <c r="E3564" s="47"/>
      <c r="F3564" s="47"/>
      <c r="G3564" s="47"/>
      <c r="H3564" s="47"/>
      <c r="I3564" s="47"/>
      <c r="J3564" s="1">
        <v>42.0</v>
      </c>
    </row>
    <row r="3565" ht="15.75" hidden="1" customHeight="1">
      <c r="A3565" s="47"/>
      <c r="B3565" s="47"/>
      <c r="C3565" s="47"/>
      <c r="D3565" s="47"/>
      <c r="E3565" s="47"/>
      <c r="F3565" s="47"/>
      <c r="G3565" s="47"/>
      <c r="H3565" s="47"/>
      <c r="I3565" s="47"/>
      <c r="J3565" s="1">
        <v>42.0</v>
      </c>
    </row>
    <row r="3566" ht="15.75" hidden="1" customHeight="1">
      <c r="A3566" s="47"/>
      <c r="B3566" s="47"/>
      <c r="C3566" s="47"/>
      <c r="D3566" s="47"/>
      <c r="E3566" s="47"/>
      <c r="F3566" s="47"/>
      <c r="G3566" s="47"/>
      <c r="H3566" s="47"/>
      <c r="I3566" s="47"/>
      <c r="J3566" s="1">
        <v>42.0</v>
      </c>
    </row>
    <row r="3567" ht="15.75" hidden="1" customHeight="1">
      <c r="A3567" s="47"/>
      <c r="B3567" s="47"/>
      <c r="C3567" s="47"/>
      <c r="D3567" s="47"/>
      <c r="E3567" s="47"/>
      <c r="F3567" s="47"/>
      <c r="G3567" s="47"/>
      <c r="H3567" s="47"/>
      <c r="I3567" s="47"/>
      <c r="J3567" s="1">
        <v>42.0</v>
      </c>
    </row>
    <row r="3568" ht="15.75" hidden="1" customHeight="1">
      <c r="A3568" s="47"/>
      <c r="B3568" s="47"/>
      <c r="C3568" s="47"/>
      <c r="D3568" s="47"/>
      <c r="E3568" s="47"/>
      <c r="F3568" s="47"/>
      <c r="G3568" s="47"/>
      <c r="H3568" s="47"/>
      <c r="I3568" s="47"/>
      <c r="J3568" s="1">
        <v>42.0</v>
      </c>
    </row>
    <row r="3569" ht="15.75" hidden="1" customHeight="1">
      <c r="A3569" s="47"/>
      <c r="B3569" s="47"/>
      <c r="C3569" s="47"/>
      <c r="D3569" s="47"/>
      <c r="E3569" s="47"/>
      <c r="F3569" s="47"/>
      <c r="G3569" s="47"/>
      <c r="H3569" s="47"/>
      <c r="I3569" s="47"/>
      <c r="J3569" s="1">
        <v>42.0</v>
      </c>
    </row>
    <row r="3570" ht="15.75" hidden="1" customHeight="1">
      <c r="A3570" s="47"/>
      <c r="B3570" s="47"/>
      <c r="C3570" s="47"/>
      <c r="D3570" s="47"/>
      <c r="E3570" s="47"/>
      <c r="F3570" s="47"/>
      <c r="G3570" s="47"/>
      <c r="H3570" s="47"/>
      <c r="I3570" s="47"/>
      <c r="J3570" s="1">
        <v>42.0</v>
      </c>
    </row>
    <row r="3571" ht="15.75" hidden="1" customHeight="1">
      <c r="A3571" s="47"/>
      <c r="B3571" s="47"/>
      <c r="C3571" s="47"/>
      <c r="D3571" s="47"/>
      <c r="E3571" s="47"/>
      <c r="F3571" s="47"/>
      <c r="G3571" s="47"/>
      <c r="H3571" s="47"/>
      <c r="I3571" s="47"/>
      <c r="J3571" s="1">
        <v>42.0</v>
      </c>
    </row>
    <row r="3572" ht="15.75" hidden="1" customHeight="1">
      <c r="A3572" s="47"/>
      <c r="B3572" s="47"/>
      <c r="C3572" s="47"/>
      <c r="D3572" s="47"/>
      <c r="E3572" s="47"/>
      <c r="F3572" s="47"/>
      <c r="G3572" s="47"/>
      <c r="H3572" s="47"/>
      <c r="I3572" s="47"/>
      <c r="J3572" s="1">
        <v>42.0</v>
      </c>
    </row>
    <row r="3573" ht="15.75" hidden="1" customHeight="1">
      <c r="A3573" s="47"/>
      <c r="B3573" s="47"/>
      <c r="C3573" s="47"/>
      <c r="D3573" s="47"/>
      <c r="E3573" s="47"/>
      <c r="F3573" s="47"/>
      <c r="G3573" s="47"/>
      <c r="H3573" s="47"/>
      <c r="I3573" s="47"/>
      <c r="J3573" s="1">
        <v>42.0</v>
      </c>
    </row>
    <row r="3574" ht="15.75" hidden="1" customHeight="1">
      <c r="A3574" s="47"/>
      <c r="B3574" s="47"/>
      <c r="C3574" s="47"/>
      <c r="D3574" s="47"/>
      <c r="E3574" s="47"/>
      <c r="F3574" s="47"/>
      <c r="G3574" s="47"/>
      <c r="H3574" s="47"/>
      <c r="I3574" s="47"/>
      <c r="J3574" s="1">
        <v>42.0</v>
      </c>
    </row>
    <row r="3575" ht="15.75" hidden="1" customHeight="1">
      <c r="A3575" s="47"/>
      <c r="B3575" s="47"/>
      <c r="C3575" s="47"/>
      <c r="D3575" s="47"/>
      <c r="E3575" s="47"/>
      <c r="F3575" s="47"/>
      <c r="G3575" s="47"/>
      <c r="H3575" s="47"/>
      <c r="I3575" s="47"/>
      <c r="J3575" s="1">
        <v>42.0</v>
      </c>
    </row>
    <row r="3576" ht="15.75" hidden="1" customHeight="1">
      <c r="A3576" s="47"/>
      <c r="B3576" s="47"/>
      <c r="C3576" s="47"/>
      <c r="D3576" s="47"/>
      <c r="E3576" s="47"/>
      <c r="F3576" s="47"/>
      <c r="G3576" s="47"/>
      <c r="H3576" s="47"/>
      <c r="I3576" s="47"/>
      <c r="J3576" s="1">
        <v>42.0</v>
      </c>
    </row>
    <row r="3577" ht="15.75" hidden="1" customHeight="1">
      <c r="A3577" s="47"/>
      <c r="B3577" s="47"/>
      <c r="C3577" s="47"/>
      <c r="D3577" s="47"/>
      <c r="E3577" s="47"/>
      <c r="F3577" s="47"/>
      <c r="G3577" s="47"/>
      <c r="H3577" s="47"/>
      <c r="I3577" s="47"/>
      <c r="J3577" s="1">
        <v>42.0</v>
      </c>
    </row>
    <row r="3578" ht="15.75" hidden="1" customHeight="1">
      <c r="A3578" s="47"/>
      <c r="B3578" s="47"/>
      <c r="C3578" s="47"/>
      <c r="D3578" s="47"/>
      <c r="E3578" s="47"/>
      <c r="F3578" s="47"/>
      <c r="G3578" s="47"/>
      <c r="H3578" s="47"/>
      <c r="I3578" s="47"/>
      <c r="J3578" s="1">
        <v>42.0</v>
      </c>
    </row>
    <row r="3579" ht="15.75" hidden="1" customHeight="1">
      <c r="A3579" s="47"/>
      <c r="B3579" s="47"/>
      <c r="C3579" s="47"/>
      <c r="D3579" s="47"/>
      <c r="E3579" s="47"/>
      <c r="F3579" s="47"/>
      <c r="G3579" s="47"/>
      <c r="H3579" s="47"/>
      <c r="I3579" s="47"/>
      <c r="J3579" s="1">
        <v>42.0</v>
      </c>
    </row>
    <row r="3580" ht="15.75" hidden="1" customHeight="1">
      <c r="A3580" s="47"/>
      <c r="B3580" s="47"/>
      <c r="C3580" s="47"/>
      <c r="D3580" s="47"/>
      <c r="E3580" s="47"/>
      <c r="F3580" s="47"/>
      <c r="G3580" s="47"/>
      <c r="H3580" s="47"/>
      <c r="I3580" s="47"/>
      <c r="J3580" s="1">
        <v>42.0</v>
      </c>
    </row>
    <row r="3581" ht="15.75" hidden="1" customHeight="1">
      <c r="A3581" s="47"/>
      <c r="B3581" s="47"/>
      <c r="C3581" s="47"/>
      <c r="D3581" s="47"/>
      <c r="E3581" s="47"/>
      <c r="F3581" s="47"/>
      <c r="G3581" s="47"/>
      <c r="H3581" s="47"/>
      <c r="I3581" s="47"/>
      <c r="J3581" s="1">
        <v>42.0</v>
      </c>
    </row>
    <row r="3582" ht="15.75" hidden="1" customHeight="1">
      <c r="A3582" s="47"/>
      <c r="B3582" s="47"/>
      <c r="C3582" s="47"/>
      <c r="D3582" s="47"/>
      <c r="E3582" s="47"/>
      <c r="F3582" s="47"/>
      <c r="G3582" s="47"/>
      <c r="H3582" s="47"/>
      <c r="I3582" s="47"/>
      <c r="J3582" s="1">
        <v>42.0</v>
      </c>
    </row>
    <row r="3583" ht="15.75" hidden="1" customHeight="1">
      <c r="A3583" s="47"/>
      <c r="B3583" s="47"/>
      <c r="C3583" s="47"/>
      <c r="D3583" s="47"/>
      <c r="E3583" s="47"/>
      <c r="F3583" s="47"/>
      <c r="G3583" s="47"/>
      <c r="H3583" s="47"/>
      <c r="I3583" s="47"/>
      <c r="J3583" s="1">
        <v>42.0</v>
      </c>
    </row>
    <row r="3584" ht="15.75" hidden="1" customHeight="1">
      <c r="A3584" s="47"/>
      <c r="B3584" s="47"/>
      <c r="C3584" s="47"/>
      <c r="D3584" s="47"/>
      <c r="E3584" s="47"/>
      <c r="F3584" s="47"/>
      <c r="G3584" s="47"/>
      <c r="H3584" s="47"/>
      <c r="I3584" s="47"/>
      <c r="J3584" s="1">
        <v>42.0</v>
      </c>
    </row>
    <row r="3585" ht="15.75" hidden="1" customHeight="1">
      <c r="A3585" s="47"/>
      <c r="B3585" s="47"/>
      <c r="C3585" s="47"/>
      <c r="D3585" s="47"/>
      <c r="E3585" s="47"/>
      <c r="F3585" s="47"/>
      <c r="G3585" s="47"/>
      <c r="H3585" s="47"/>
      <c r="I3585" s="47"/>
      <c r="J3585" s="1">
        <v>42.0</v>
      </c>
    </row>
    <row r="3586" ht="15.75" hidden="1" customHeight="1">
      <c r="A3586" s="47"/>
      <c r="B3586" s="47"/>
      <c r="C3586" s="47"/>
      <c r="D3586" s="47"/>
      <c r="E3586" s="47"/>
      <c r="F3586" s="47"/>
      <c r="G3586" s="47"/>
      <c r="H3586" s="47"/>
      <c r="I3586" s="47"/>
      <c r="J3586" s="1">
        <v>42.0</v>
      </c>
    </row>
    <row r="3587" ht="15.75" hidden="1" customHeight="1">
      <c r="A3587" s="47"/>
      <c r="B3587" s="47"/>
      <c r="C3587" s="47"/>
      <c r="D3587" s="47"/>
      <c r="E3587" s="47"/>
      <c r="F3587" s="47"/>
      <c r="G3587" s="47"/>
      <c r="H3587" s="47"/>
      <c r="I3587" s="47"/>
      <c r="J3587" s="1">
        <v>42.0</v>
      </c>
    </row>
    <row r="3588" ht="15.75" hidden="1" customHeight="1">
      <c r="A3588" s="47"/>
      <c r="B3588" s="47"/>
      <c r="C3588" s="47"/>
      <c r="D3588" s="47"/>
      <c r="E3588" s="47"/>
      <c r="F3588" s="47"/>
      <c r="G3588" s="47"/>
      <c r="H3588" s="47"/>
      <c r="I3588" s="47"/>
      <c r="J3588" s="1">
        <v>42.0</v>
      </c>
    </row>
    <row r="3589" ht="15.75" hidden="1" customHeight="1">
      <c r="A3589" s="47"/>
      <c r="B3589" s="47"/>
      <c r="C3589" s="47"/>
      <c r="D3589" s="47"/>
      <c r="E3589" s="47"/>
      <c r="F3589" s="47"/>
      <c r="G3589" s="47"/>
      <c r="H3589" s="47"/>
      <c r="I3589" s="47"/>
      <c r="J3589" s="1">
        <v>42.0</v>
      </c>
    </row>
    <row r="3590" ht="15.75" hidden="1" customHeight="1">
      <c r="A3590" s="47"/>
      <c r="B3590" s="47"/>
      <c r="C3590" s="47"/>
      <c r="D3590" s="47"/>
      <c r="E3590" s="47"/>
      <c r="F3590" s="47"/>
      <c r="G3590" s="47"/>
      <c r="H3590" s="47"/>
      <c r="I3590" s="47"/>
      <c r="J3590" s="1">
        <v>42.0</v>
      </c>
    </row>
    <row r="3591" ht="15.75" hidden="1" customHeight="1">
      <c r="A3591" s="47"/>
      <c r="B3591" s="47"/>
      <c r="C3591" s="47"/>
      <c r="D3591" s="47"/>
      <c r="E3591" s="47"/>
      <c r="F3591" s="47"/>
      <c r="G3591" s="47"/>
      <c r="H3591" s="47"/>
      <c r="I3591" s="47"/>
      <c r="J3591" s="1">
        <v>42.0</v>
      </c>
    </row>
    <row r="3592" ht="15.75" hidden="1" customHeight="1">
      <c r="A3592" s="47"/>
      <c r="B3592" s="47"/>
      <c r="C3592" s="47"/>
      <c r="D3592" s="47"/>
      <c r="E3592" s="47"/>
      <c r="F3592" s="47"/>
      <c r="G3592" s="47"/>
      <c r="H3592" s="47"/>
      <c r="I3592" s="47"/>
      <c r="J3592" s="1">
        <v>42.0</v>
      </c>
    </row>
    <row r="3593" ht="15.75" hidden="1" customHeight="1">
      <c r="A3593" s="47"/>
      <c r="B3593" s="47"/>
      <c r="C3593" s="47"/>
      <c r="D3593" s="47"/>
      <c r="E3593" s="47"/>
      <c r="F3593" s="47"/>
      <c r="G3593" s="47"/>
      <c r="H3593" s="47"/>
      <c r="I3593" s="47"/>
      <c r="J3593" s="1">
        <v>42.0</v>
      </c>
    </row>
    <row r="3594" ht="15.75" hidden="1" customHeight="1">
      <c r="A3594" s="47"/>
      <c r="B3594" s="47"/>
      <c r="C3594" s="47"/>
      <c r="D3594" s="47"/>
      <c r="E3594" s="47"/>
      <c r="F3594" s="47"/>
      <c r="G3594" s="47"/>
      <c r="H3594" s="47"/>
      <c r="I3594" s="47"/>
      <c r="J3594" s="1">
        <v>42.0</v>
      </c>
    </row>
    <row r="3595" ht="15.75" hidden="1" customHeight="1">
      <c r="A3595" s="47"/>
      <c r="B3595" s="47"/>
      <c r="C3595" s="47"/>
      <c r="D3595" s="47"/>
      <c r="E3595" s="47"/>
      <c r="F3595" s="47"/>
      <c r="G3595" s="47"/>
      <c r="H3595" s="47"/>
      <c r="I3595" s="47"/>
      <c r="J3595" s="1">
        <v>42.0</v>
      </c>
    </row>
    <row r="3596" ht="15.75" hidden="1" customHeight="1">
      <c r="A3596" s="47"/>
      <c r="B3596" s="47"/>
      <c r="C3596" s="47"/>
      <c r="D3596" s="47"/>
      <c r="E3596" s="47"/>
      <c r="F3596" s="47"/>
      <c r="G3596" s="47"/>
      <c r="H3596" s="47"/>
      <c r="I3596" s="47"/>
      <c r="J3596" s="1">
        <v>42.0</v>
      </c>
    </row>
    <row r="3597" ht="15.75" hidden="1" customHeight="1">
      <c r="A3597" s="47"/>
      <c r="B3597" s="47"/>
      <c r="C3597" s="47"/>
      <c r="D3597" s="47"/>
      <c r="E3597" s="47"/>
      <c r="F3597" s="47"/>
      <c r="G3597" s="47"/>
      <c r="H3597" s="47"/>
      <c r="I3597" s="47"/>
      <c r="J3597" s="1">
        <v>42.0</v>
      </c>
    </row>
    <row r="3598" ht="15.75" hidden="1" customHeight="1">
      <c r="A3598" s="47"/>
      <c r="B3598" s="47"/>
      <c r="C3598" s="47"/>
      <c r="D3598" s="47"/>
      <c r="E3598" s="47"/>
      <c r="F3598" s="47"/>
      <c r="G3598" s="47"/>
      <c r="H3598" s="47"/>
      <c r="I3598" s="47"/>
      <c r="J3598" s="1">
        <v>42.0</v>
      </c>
    </row>
    <row r="3599" ht="15.75" hidden="1" customHeight="1">
      <c r="A3599" s="47"/>
      <c r="B3599" s="47"/>
      <c r="C3599" s="47"/>
      <c r="D3599" s="47"/>
      <c r="E3599" s="47"/>
      <c r="F3599" s="47"/>
      <c r="G3599" s="47"/>
      <c r="H3599" s="47"/>
      <c r="I3599" s="47"/>
      <c r="J3599" s="1">
        <v>42.0</v>
      </c>
    </row>
    <row r="3600" ht="15.75" hidden="1" customHeight="1">
      <c r="A3600" s="47"/>
      <c r="B3600" s="47"/>
      <c r="C3600" s="47"/>
      <c r="D3600" s="47"/>
      <c r="E3600" s="47"/>
      <c r="F3600" s="47"/>
      <c r="G3600" s="47"/>
      <c r="H3600" s="47"/>
      <c r="I3600" s="47"/>
      <c r="J3600" s="1">
        <v>42.0</v>
      </c>
    </row>
    <row r="3601" ht="15.75" hidden="1" customHeight="1">
      <c r="A3601" s="47"/>
      <c r="B3601" s="47"/>
      <c r="C3601" s="47"/>
      <c r="D3601" s="47"/>
      <c r="E3601" s="47"/>
      <c r="F3601" s="47"/>
      <c r="G3601" s="47"/>
      <c r="H3601" s="47"/>
      <c r="I3601" s="47"/>
      <c r="J3601" s="1">
        <v>42.0</v>
      </c>
    </row>
    <row r="3602" ht="15.75" hidden="1" customHeight="1">
      <c r="A3602" s="47"/>
      <c r="B3602" s="47"/>
      <c r="C3602" s="47"/>
      <c r="D3602" s="47"/>
      <c r="E3602" s="47"/>
      <c r="F3602" s="47"/>
      <c r="G3602" s="47"/>
      <c r="H3602" s="47"/>
      <c r="I3602" s="47"/>
      <c r="J3602" s="1">
        <v>42.0</v>
      </c>
    </row>
    <row r="3603" ht="15.75" hidden="1" customHeight="1">
      <c r="A3603" s="47"/>
      <c r="B3603" s="47"/>
      <c r="C3603" s="47"/>
      <c r="D3603" s="47"/>
      <c r="E3603" s="47"/>
      <c r="F3603" s="47"/>
      <c r="G3603" s="47"/>
      <c r="H3603" s="47"/>
      <c r="I3603" s="47"/>
      <c r="J3603" s="1">
        <v>42.0</v>
      </c>
    </row>
    <row r="3604" ht="15.75" hidden="1" customHeight="1">
      <c r="A3604" s="47"/>
      <c r="B3604" s="47"/>
      <c r="C3604" s="47"/>
      <c r="D3604" s="47"/>
      <c r="E3604" s="47"/>
      <c r="F3604" s="47"/>
      <c r="G3604" s="47"/>
      <c r="H3604" s="47"/>
      <c r="I3604" s="47"/>
      <c r="J3604" s="1">
        <v>42.0</v>
      </c>
    </row>
    <row r="3605" ht="15.75" hidden="1" customHeight="1">
      <c r="A3605" s="47"/>
      <c r="B3605" s="47"/>
      <c r="C3605" s="47"/>
      <c r="D3605" s="47"/>
      <c r="E3605" s="47"/>
      <c r="F3605" s="47"/>
      <c r="G3605" s="47"/>
      <c r="H3605" s="47"/>
      <c r="I3605" s="47"/>
      <c r="J3605" s="1">
        <v>42.0</v>
      </c>
    </row>
    <row r="3606" ht="15.75" hidden="1" customHeight="1">
      <c r="A3606" s="47"/>
      <c r="B3606" s="47"/>
      <c r="C3606" s="47"/>
      <c r="D3606" s="47"/>
      <c r="E3606" s="47"/>
      <c r="F3606" s="47"/>
      <c r="G3606" s="47"/>
      <c r="H3606" s="47"/>
      <c r="I3606" s="47"/>
      <c r="J3606" s="1">
        <v>42.0</v>
      </c>
    </row>
    <row r="3607" ht="15.75" hidden="1" customHeight="1">
      <c r="A3607" s="47"/>
      <c r="B3607" s="47"/>
      <c r="C3607" s="47"/>
      <c r="D3607" s="47"/>
      <c r="E3607" s="47"/>
      <c r="F3607" s="47"/>
      <c r="G3607" s="47"/>
      <c r="H3607" s="47"/>
      <c r="I3607" s="47"/>
      <c r="J3607" s="1">
        <v>42.0</v>
      </c>
    </row>
    <row r="3608" ht="15.75" hidden="1" customHeight="1">
      <c r="A3608" s="47"/>
      <c r="B3608" s="47"/>
      <c r="C3608" s="47"/>
      <c r="D3608" s="47"/>
      <c r="E3608" s="47"/>
      <c r="F3608" s="47"/>
      <c r="G3608" s="47"/>
      <c r="H3608" s="47"/>
      <c r="I3608" s="47"/>
      <c r="J3608" s="1">
        <v>42.0</v>
      </c>
    </row>
    <row r="3609" ht="15.75" hidden="1" customHeight="1">
      <c r="A3609" s="47"/>
      <c r="B3609" s="47"/>
      <c r="C3609" s="47"/>
      <c r="D3609" s="47"/>
      <c r="E3609" s="47"/>
      <c r="F3609" s="47"/>
      <c r="G3609" s="47"/>
      <c r="H3609" s="47"/>
      <c r="I3609" s="47"/>
      <c r="J3609" s="1">
        <v>42.0</v>
      </c>
    </row>
    <row r="3610" ht="15.75" hidden="1" customHeight="1">
      <c r="A3610" s="47"/>
      <c r="B3610" s="47"/>
      <c r="C3610" s="47"/>
      <c r="D3610" s="47"/>
      <c r="E3610" s="47"/>
      <c r="F3610" s="47"/>
      <c r="G3610" s="47"/>
      <c r="H3610" s="47"/>
      <c r="I3610" s="47"/>
      <c r="J3610" s="1">
        <v>42.0</v>
      </c>
    </row>
    <row r="3611" ht="15.75" hidden="1" customHeight="1">
      <c r="A3611" s="47"/>
      <c r="B3611" s="47"/>
      <c r="C3611" s="47"/>
      <c r="D3611" s="47"/>
      <c r="E3611" s="47"/>
      <c r="F3611" s="47"/>
      <c r="G3611" s="47"/>
      <c r="H3611" s="47"/>
      <c r="I3611" s="47"/>
      <c r="J3611" s="1">
        <v>42.0</v>
      </c>
    </row>
    <row r="3612" ht="15.75" hidden="1" customHeight="1">
      <c r="A3612" s="47"/>
      <c r="B3612" s="47"/>
      <c r="C3612" s="47"/>
      <c r="D3612" s="47"/>
      <c r="E3612" s="47"/>
      <c r="F3612" s="47"/>
      <c r="G3612" s="47"/>
      <c r="H3612" s="47"/>
      <c r="I3612" s="47"/>
      <c r="J3612" s="1">
        <v>42.0</v>
      </c>
    </row>
    <row r="3613" ht="15.75" hidden="1" customHeight="1">
      <c r="A3613" s="47"/>
      <c r="B3613" s="47"/>
      <c r="C3613" s="47"/>
      <c r="D3613" s="47"/>
      <c r="E3613" s="47"/>
      <c r="F3613" s="47"/>
      <c r="G3613" s="47"/>
      <c r="H3613" s="47"/>
      <c r="I3613" s="47"/>
      <c r="J3613" s="1">
        <v>42.0</v>
      </c>
    </row>
    <row r="3614" ht="15.75" hidden="1" customHeight="1">
      <c r="A3614" s="47"/>
      <c r="B3614" s="47"/>
      <c r="C3614" s="47"/>
      <c r="D3614" s="47"/>
      <c r="E3614" s="47"/>
      <c r="F3614" s="47"/>
      <c r="G3614" s="47"/>
      <c r="H3614" s="47"/>
      <c r="I3614" s="47"/>
      <c r="J3614" s="1">
        <v>42.0</v>
      </c>
    </row>
    <row r="3615" ht="15.75" hidden="1" customHeight="1">
      <c r="A3615" s="47"/>
      <c r="B3615" s="47"/>
      <c r="C3615" s="47"/>
      <c r="D3615" s="47"/>
      <c r="E3615" s="47"/>
      <c r="F3615" s="47"/>
      <c r="G3615" s="47"/>
      <c r="H3615" s="47"/>
      <c r="I3615" s="47"/>
      <c r="J3615" s="1">
        <v>42.0</v>
      </c>
    </row>
    <row r="3616" ht="15.75" hidden="1" customHeight="1">
      <c r="A3616" s="47"/>
      <c r="B3616" s="47"/>
      <c r="C3616" s="47"/>
      <c r="D3616" s="47"/>
      <c r="E3616" s="47"/>
      <c r="F3616" s="47"/>
      <c r="G3616" s="47"/>
      <c r="H3616" s="47"/>
      <c r="I3616" s="47"/>
      <c r="J3616" s="1">
        <v>42.0</v>
      </c>
    </row>
    <row r="3617" ht="15.75" hidden="1" customHeight="1">
      <c r="A3617" s="47"/>
      <c r="B3617" s="47"/>
      <c r="C3617" s="47"/>
      <c r="D3617" s="47"/>
      <c r="E3617" s="47"/>
      <c r="F3617" s="47"/>
      <c r="G3617" s="47"/>
      <c r="H3617" s="47"/>
      <c r="I3617" s="47"/>
      <c r="J3617" s="1">
        <v>42.0</v>
      </c>
    </row>
    <row r="3618" ht="15.75" hidden="1" customHeight="1">
      <c r="A3618" s="47"/>
      <c r="B3618" s="47"/>
      <c r="C3618" s="47"/>
      <c r="D3618" s="47"/>
      <c r="E3618" s="47"/>
      <c r="F3618" s="47"/>
      <c r="G3618" s="47"/>
      <c r="H3618" s="47"/>
      <c r="I3618" s="47"/>
      <c r="J3618" s="1">
        <v>42.0</v>
      </c>
    </row>
    <row r="3619" ht="15.75" hidden="1" customHeight="1">
      <c r="A3619" s="47"/>
      <c r="B3619" s="47"/>
      <c r="C3619" s="47"/>
      <c r="D3619" s="47"/>
      <c r="E3619" s="47"/>
      <c r="F3619" s="47"/>
      <c r="G3619" s="47"/>
      <c r="H3619" s="47"/>
      <c r="I3619" s="47"/>
      <c r="J3619" s="1">
        <v>42.0</v>
      </c>
    </row>
    <row r="3620" ht="15.75" hidden="1" customHeight="1">
      <c r="A3620" s="47"/>
      <c r="B3620" s="47"/>
      <c r="C3620" s="47"/>
      <c r="D3620" s="47"/>
      <c r="E3620" s="47"/>
      <c r="F3620" s="47"/>
      <c r="G3620" s="47"/>
      <c r="H3620" s="47"/>
      <c r="I3620" s="47"/>
      <c r="J3620" s="1">
        <v>42.0</v>
      </c>
    </row>
    <row r="3621" ht="15.75" hidden="1" customHeight="1">
      <c r="A3621" s="47"/>
      <c r="B3621" s="47"/>
      <c r="C3621" s="47"/>
      <c r="D3621" s="47"/>
      <c r="E3621" s="47"/>
      <c r="F3621" s="47"/>
      <c r="G3621" s="47"/>
      <c r="H3621" s="47"/>
      <c r="I3621" s="47"/>
      <c r="J3621" s="1">
        <v>42.0</v>
      </c>
    </row>
    <row r="3622" ht="15.75" hidden="1" customHeight="1">
      <c r="A3622" s="47"/>
      <c r="B3622" s="47"/>
      <c r="C3622" s="47"/>
      <c r="D3622" s="47"/>
      <c r="E3622" s="47"/>
      <c r="F3622" s="47"/>
      <c r="G3622" s="47"/>
      <c r="H3622" s="47"/>
      <c r="I3622" s="47"/>
      <c r="J3622" s="1">
        <v>42.0</v>
      </c>
    </row>
    <row r="3623" ht="15.75" hidden="1" customHeight="1">
      <c r="A3623" s="47"/>
      <c r="B3623" s="47"/>
      <c r="C3623" s="47"/>
      <c r="D3623" s="47"/>
      <c r="E3623" s="47"/>
      <c r="F3623" s="47"/>
      <c r="G3623" s="47"/>
      <c r="H3623" s="47"/>
      <c r="I3623" s="47"/>
      <c r="J3623" s="1">
        <v>42.0</v>
      </c>
    </row>
    <row r="3624" ht="15.75" hidden="1" customHeight="1">
      <c r="A3624" s="47"/>
      <c r="B3624" s="47"/>
      <c r="C3624" s="47"/>
      <c r="D3624" s="47"/>
      <c r="E3624" s="47"/>
      <c r="F3624" s="47"/>
      <c r="G3624" s="47"/>
      <c r="H3624" s="47"/>
      <c r="I3624" s="47"/>
      <c r="J3624" s="1">
        <v>42.0</v>
      </c>
    </row>
    <row r="3625" ht="15.75" hidden="1" customHeight="1">
      <c r="A3625" s="47"/>
      <c r="B3625" s="47"/>
      <c r="C3625" s="47"/>
      <c r="D3625" s="47"/>
      <c r="E3625" s="47"/>
      <c r="F3625" s="47"/>
      <c r="G3625" s="47"/>
      <c r="H3625" s="47"/>
      <c r="I3625" s="47"/>
      <c r="J3625" s="1">
        <v>42.0</v>
      </c>
    </row>
    <row r="3626" ht="15.75" hidden="1" customHeight="1">
      <c r="A3626" s="47"/>
      <c r="B3626" s="47"/>
      <c r="C3626" s="47"/>
      <c r="D3626" s="47"/>
      <c r="E3626" s="47"/>
      <c r="F3626" s="47"/>
      <c r="G3626" s="47"/>
      <c r="H3626" s="47"/>
      <c r="I3626" s="47"/>
      <c r="J3626" s="1">
        <v>42.0</v>
      </c>
    </row>
    <row r="3627" ht="15.75" hidden="1" customHeight="1">
      <c r="A3627" s="47"/>
      <c r="B3627" s="47"/>
      <c r="C3627" s="47"/>
      <c r="D3627" s="47"/>
      <c r="E3627" s="47"/>
      <c r="F3627" s="47"/>
      <c r="G3627" s="47"/>
      <c r="H3627" s="47"/>
      <c r="I3627" s="47"/>
      <c r="J3627" s="1">
        <v>42.0</v>
      </c>
    </row>
    <row r="3628" ht="15.75" hidden="1" customHeight="1">
      <c r="A3628" s="47"/>
      <c r="B3628" s="47"/>
      <c r="C3628" s="47"/>
      <c r="D3628" s="47"/>
      <c r="E3628" s="47"/>
      <c r="F3628" s="47"/>
      <c r="G3628" s="47"/>
      <c r="H3628" s="47"/>
      <c r="I3628" s="47"/>
      <c r="J3628" s="1">
        <v>42.0</v>
      </c>
    </row>
    <row r="3629" ht="15.75" hidden="1" customHeight="1">
      <c r="A3629" s="47"/>
      <c r="B3629" s="47"/>
      <c r="C3629" s="47"/>
      <c r="D3629" s="47"/>
      <c r="E3629" s="47"/>
      <c r="F3629" s="47"/>
      <c r="G3629" s="47"/>
      <c r="H3629" s="47"/>
      <c r="I3629" s="47"/>
      <c r="J3629" s="1">
        <v>42.0</v>
      </c>
    </row>
    <row r="3630" ht="15.75" hidden="1" customHeight="1">
      <c r="A3630" s="47"/>
      <c r="B3630" s="47"/>
      <c r="C3630" s="47"/>
      <c r="D3630" s="47"/>
      <c r="E3630" s="47"/>
      <c r="F3630" s="47"/>
      <c r="G3630" s="47"/>
      <c r="H3630" s="47"/>
      <c r="I3630" s="47"/>
      <c r="J3630" s="1">
        <v>42.0</v>
      </c>
    </row>
    <row r="3631" ht="15.75" hidden="1" customHeight="1">
      <c r="A3631" s="47"/>
      <c r="B3631" s="47"/>
      <c r="C3631" s="47"/>
      <c r="D3631" s="47"/>
      <c r="E3631" s="47"/>
      <c r="F3631" s="47"/>
      <c r="G3631" s="47"/>
      <c r="H3631" s="47"/>
      <c r="I3631" s="47"/>
      <c r="J3631" s="1">
        <v>42.0</v>
      </c>
    </row>
    <row r="3632" ht="15.75" hidden="1" customHeight="1">
      <c r="A3632" s="47"/>
      <c r="B3632" s="47"/>
      <c r="C3632" s="47"/>
      <c r="D3632" s="47"/>
      <c r="E3632" s="47"/>
      <c r="F3632" s="47"/>
      <c r="G3632" s="47"/>
      <c r="H3632" s="47"/>
      <c r="I3632" s="47"/>
      <c r="J3632" s="1">
        <v>42.0</v>
      </c>
    </row>
    <row r="3633" ht="15.75" hidden="1" customHeight="1">
      <c r="A3633" s="47"/>
      <c r="B3633" s="47"/>
      <c r="C3633" s="47"/>
      <c r="D3633" s="47"/>
      <c r="E3633" s="47"/>
      <c r="F3633" s="47"/>
      <c r="G3633" s="47"/>
      <c r="H3633" s="47"/>
      <c r="I3633" s="47"/>
      <c r="J3633" s="1">
        <v>42.0</v>
      </c>
    </row>
    <row r="3634" ht="15.75" hidden="1" customHeight="1">
      <c r="A3634" s="47"/>
      <c r="B3634" s="47"/>
      <c r="C3634" s="47"/>
      <c r="D3634" s="47"/>
      <c r="E3634" s="47"/>
      <c r="F3634" s="47"/>
      <c r="G3634" s="47"/>
      <c r="H3634" s="47"/>
      <c r="I3634" s="47"/>
      <c r="J3634" s="1">
        <v>42.0</v>
      </c>
    </row>
    <row r="3635" ht="15.75" hidden="1" customHeight="1">
      <c r="A3635" s="47"/>
      <c r="B3635" s="47"/>
      <c r="C3635" s="47"/>
      <c r="D3635" s="47"/>
      <c r="E3635" s="47"/>
      <c r="F3635" s="47"/>
      <c r="G3635" s="47"/>
      <c r="H3635" s="47"/>
      <c r="I3635" s="47"/>
      <c r="J3635" s="1">
        <v>42.0</v>
      </c>
    </row>
    <row r="3636" ht="15.75" hidden="1" customHeight="1">
      <c r="A3636" s="47"/>
      <c r="B3636" s="47"/>
      <c r="C3636" s="47"/>
      <c r="D3636" s="47"/>
      <c r="E3636" s="47"/>
      <c r="F3636" s="47"/>
      <c r="G3636" s="47"/>
      <c r="H3636" s="47"/>
      <c r="I3636" s="47"/>
      <c r="J3636" s="1">
        <v>42.0</v>
      </c>
    </row>
    <row r="3637" ht="15.75" hidden="1" customHeight="1">
      <c r="A3637" s="47"/>
      <c r="B3637" s="47"/>
      <c r="C3637" s="47"/>
      <c r="D3637" s="47"/>
      <c r="E3637" s="47"/>
      <c r="F3637" s="47"/>
      <c r="G3637" s="47"/>
      <c r="H3637" s="47"/>
      <c r="I3637" s="47"/>
      <c r="J3637" s="1">
        <v>42.0</v>
      </c>
    </row>
    <row r="3638" ht="15.75" hidden="1" customHeight="1">
      <c r="A3638" s="47"/>
      <c r="B3638" s="47"/>
      <c r="C3638" s="47"/>
      <c r="D3638" s="47"/>
      <c r="E3638" s="47"/>
      <c r="F3638" s="47"/>
      <c r="G3638" s="47"/>
      <c r="H3638" s="47"/>
      <c r="I3638" s="47"/>
      <c r="J3638" s="1">
        <v>42.0</v>
      </c>
    </row>
    <row r="3639" ht="15.75" hidden="1" customHeight="1">
      <c r="A3639" s="47"/>
      <c r="B3639" s="47"/>
      <c r="C3639" s="47"/>
      <c r="D3639" s="47"/>
      <c r="E3639" s="47"/>
      <c r="F3639" s="47"/>
      <c r="G3639" s="47"/>
      <c r="H3639" s="47"/>
      <c r="I3639" s="47"/>
      <c r="J3639" s="1">
        <v>42.0</v>
      </c>
    </row>
    <row r="3640" ht="15.75" hidden="1" customHeight="1">
      <c r="A3640" s="47"/>
      <c r="B3640" s="47"/>
      <c r="C3640" s="47"/>
      <c r="D3640" s="47"/>
      <c r="E3640" s="47"/>
      <c r="F3640" s="47"/>
      <c r="G3640" s="47"/>
      <c r="H3640" s="47"/>
      <c r="I3640" s="47"/>
      <c r="J3640" s="1">
        <v>42.0</v>
      </c>
    </row>
    <row r="3641" ht="15.75" hidden="1" customHeight="1">
      <c r="A3641" s="47"/>
      <c r="B3641" s="47"/>
      <c r="C3641" s="47"/>
      <c r="D3641" s="47"/>
      <c r="E3641" s="47"/>
      <c r="F3641" s="47"/>
      <c r="G3641" s="47"/>
      <c r="H3641" s="47"/>
      <c r="I3641" s="47"/>
      <c r="J3641" s="1">
        <v>42.0</v>
      </c>
    </row>
    <row r="3642" ht="15.75" hidden="1" customHeight="1">
      <c r="A3642" s="47"/>
      <c r="B3642" s="47"/>
      <c r="C3642" s="47"/>
      <c r="D3642" s="47"/>
      <c r="E3642" s="47"/>
      <c r="F3642" s="47"/>
      <c r="G3642" s="47"/>
      <c r="H3642" s="47"/>
      <c r="I3642" s="47"/>
      <c r="J3642" s="1">
        <v>42.0</v>
      </c>
    </row>
    <row r="3643" ht="15.75" hidden="1" customHeight="1">
      <c r="A3643" s="47"/>
      <c r="B3643" s="47"/>
      <c r="C3643" s="47"/>
      <c r="D3643" s="47"/>
      <c r="E3643" s="47"/>
      <c r="F3643" s="47"/>
      <c r="G3643" s="47"/>
      <c r="H3643" s="47"/>
      <c r="I3643" s="47"/>
      <c r="J3643" s="1">
        <v>42.0</v>
      </c>
    </row>
    <row r="3644" ht="15.75" hidden="1" customHeight="1">
      <c r="A3644" s="47"/>
      <c r="B3644" s="47"/>
      <c r="C3644" s="47"/>
      <c r="D3644" s="47"/>
      <c r="E3644" s="47"/>
      <c r="F3644" s="47"/>
      <c r="G3644" s="47"/>
      <c r="H3644" s="47"/>
      <c r="I3644" s="47"/>
      <c r="J3644" s="1">
        <v>42.0</v>
      </c>
    </row>
    <row r="3645" ht="15.75" hidden="1" customHeight="1">
      <c r="A3645" s="47"/>
      <c r="B3645" s="47"/>
      <c r="C3645" s="47"/>
      <c r="D3645" s="47"/>
      <c r="E3645" s="47"/>
      <c r="F3645" s="47"/>
      <c r="G3645" s="47"/>
      <c r="H3645" s="47"/>
      <c r="I3645" s="47"/>
      <c r="J3645" s="1">
        <v>42.0</v>
      </c>
    </row>
    <row r="3646" ht="15.75" hidden="1" customHeight="1">
      <c r="A3646" s="47"/>
      <c r="B3646" s="47"/>
      <c r="C3646" s="47"/>
      <c r="D3646" s="47"/>
      <c r="E3646" s="47"/>
      <c r="F3646" s="47"/>
      <c r="G3646" s="47"/>
      <c r="H3646" s="47"/>
      <c r="I3646" s="47"/>
      <c r="J3646" s="1">
        <v>42.0</v>
      </c>
    </row>
    <row r="3647" ht="15.75" hidden="1" customHeight="1">
      <c r="A3647" s="47"/>
      <c r="B3647" s="47"/>
      <c r="C3647" s="47"/>
      <c r="D3647" s="47"/>
      <c r="E3647" s="47"/>
      <c r="F3647" s="47"/>
      <c r="G3647" s="47"/>
      <c r="H3647" s="47"/>
      <c r="I3647" s="47"/>
      <c r="J3647" s="1">
        <v>42.0</v>
      </c>
    </row>
    <row r="3648" ht="15.75" hidden="1" customHeight="1">
      <c r="A3648" s="47"/>
      <c r="B3648" s="47"/>
      <c r="C3648" s="47"/>
      <c r="D3648" s="47"/>
      <c r="E3648" s="47"/>
      <c r="F3648" s="47"/>
      <c r="G3648" s="47"/>
      <c r="H3648" s="47"/>
      <c r="I3648" s="47"/>
      <c r="J3648" s="1">
        <v>42.0</v>
      </c>
    </row>
    <row r="3649" ht="15.75" hidden="1" customHeight="1">
      <c r="A3649" s="47"/>
      <c r="B3649" s="47"/>
      <c r="C3649" s="47"/>
      <c r="D3649" s="47"/>
      <c r="E3649" s="47"/>
      <c r="F3649" s="47"/>
      <c r="G3649" s="47"/>
      <c r="H3649" s="47"/>
      <c r="I3649" s="47"/>
      <c r="J3649" s="1">
        <v>42.0</v>
      </c>
    </row>
    <row r="3650" ht="15.75" hidden="1" customHeight="1">
      <c r="A3650" s="47"/>
      <c r="B3650" s="47"/>
      <c r="C3650" s="47"/>
      <c r="D3650" s="47"/>
      <c r="E3650" s="47"/>
      <c r="F3650" s="47"/>
      <c r="G3650" s="47"/>
      <c r="H3650" s="47"/>
      <c r="I3650" s="47"/>
      <c r="J3650" s="1">
        <v>42.0</v>
      </c>
    </row>
    <row r="3651" ht="15.75" hidden="1" customHeight="1">
      <c r="A3651" s="47"/>
      <c r="B3651" s="47"/>
      <c r="C3651" s="47"/>
      <c r="D3651" s="47"/>
      <c r="E3651" s="47"/>
      <c r="F3651" s="47"/>
      <c r="G3651" s="47"/>
      <c r="H3651" s="47"/>
      <c r="I3651" s="47"/>
      <c r="J3651" s="1">
        <v>42.0</v>
      </c>
    </row>
    <row r="3652" ht="15.75" hidden="1" customHeight="1">
      <c r="A3652" s="47"/>
      <c r="B3652" s="47"/>
      <c r="C3652" s="47"/>
      <c r="D3652" s="47"/>
      <c r="E3652" s="47"/>
      <c r="F3652" s="47"/>
      <c r="G3652" s="47"/>
      <c r="H3652" s="47"/>
      <c r="I3652" s="47"/>
      <c r="J3652" s="1">
        <v>42.0</v>
      </c>
    </row>
    <row r="3653" ht="15.75" hidden="1" customHeight="1">
      <c r="A3653" s="47"/>
      <c r="B3653" s="47"/>
      <c r="C3653" s="47"/>
      <c r="D3653" s="47"/>
      <c r="E3653" s="47"/>
      <c r="F3653" s="47"/>
      <c r="G3653" s="47"/>
      <c r="H3653" s="47"/>
      <c r="I3653" s="47"/>
      <c r="J3653" s="1">
        <v>42.0</v>
      </c>
    </row>
    <row r="3654" ht="15.75" hidden="1" customHeight="1">
      <c r="A3654" s="47"/>
      <c r="B3654" s="47"/>
      <c r="C3654" s="47"/>
      <c r="D3654" s="47"/>
      <c r="E3654" s="47"/>
      <c r="F3654" s="47"/>
      <c r="G3654" s="47"/>
      <c r="H3654" s="47"/>
      <c r="I3654" s="47"/>
      <c r="J3654" s="1">
        <v>42.0</v>
      </c>
    </row>
    <row r="3655" ht="15.75" hidden="1" customHeight="1">
      <c r="A3655" s="47"/>
      <c r="B3655" s="47"/>
      <c r="C3655" s="47"/>
      <c r="D3655" s="47"/>
      <c r="E3655" s="47"/>
      <c r="F3655" s="47"/>
      <c r="G3655" s="47"/>
      <c r="H3655" s="47"/>
      <c r="I3655" s="47"/>
      <c r="J3655" s="1">
        <v>42.0</v>
      </c>
    </row>
    <row r="3656" ht="15.75" hidden="1" customHeight="1">
      <c r="A3656" s="47"/>
      <c r="B3656" s="47"/>
      <c r="C3656" s="47"/>
      <c r="D3656" s="47"/>
      <c r="E3656" s="47"/>
      <c r="F3656" s="47"/>
      <c r="G3656" s="47"/>
      <c r="H3656" s="47"/>
      <c r="I3656" s="47"/>
      <c r="J3656" s="1">
        <v>42.0</v>
      </c>
    </row>
    <row r="3657" ht="15.75" hidden="1" customHeight="1">
      <c r="A3657" s="47"/>
      <c r="B3657" s="47"/>
      <c r="C3657" s="47"/>
      <c r="D3657" s="47"/>
      <c r="E3657" s="47"/>
      <c r="F3657" s="47"/>
      <c r="G3657" s="47"/>
      <c r="H3657" s="47"/>
      <c r="I3657" s="47"/>
      <c r="J3657" s="1">
        <v>42.0</v>
      </c>
    </row>
    <row r="3658" ht="15.75" hidden="1" customHeight="1">
      <c r="A3658" s="47"/>
      <c r="B3658" s="47"/>
      <c r="C3658" s="47"/>
      <c r="D3658" s="47"/>
      <c r="E3658" s="47"/>
      <c r="F3658" s="47"/>
      <c r="G3658" s="47"/>
      <c r="H3658" s="47"/>
      <c r="I3658" s="47"/>
      <c r="J3658" s="1">
        <v>42.0</v>
      </c>
    </row>
    <row r="3659" ht="15.75" hidden="1" customHeight="1">
      <c r="A3659" s="47"/>
      <c r="B3659" s="47"/>
      <c r="C3659" s="47"/>
      <c r="D3659" s="47"/>
      <c r="E3659" s="47"/>
      <c r="F3659" s="47"/>
      <c r="G3659" s="47"/>
      <c r="H3659" s="47"/>
      <c r="I3659" s="47"/>
      <c r="J3659" s="1">
        <v>42.0</v>
      </c>
    </row>
    <row r="3660" ht="15.75" hidden="1" customHeight="1">
      <c r="A3660" s="47"/>
      <c r="B3660" s="47"/>
      <c r="C3660" s="47"/>
      <c r="D3660" s="47"/>
      <c r="E3660" s="47"/>
      <c r="F3660" s="47"/>
      <c r="G3660" s="47"/>
      <c r="H3660" s="47"/>
      <c r="I3660" s="47"/>
      <c r="J3660" s="1">
        <v>42.0</v>
      </c>
    </row>
    <row r="3661" ht="15.75" hidden="1" customHeight="1">
      <c r="A3661" s="47"/>
      <c r="B3661" s="47"/>
      <c r="C3661" s="47"/>
      <c r="D3661" s="47"/>
      <c r="E3661" s="47"/>
      <c r="F3661" s="47"/>
      <c r="G3661" s="47"/>
      <c r="H3661" s="47"/>
      <c r="I3661" s="47"/>
      <c r="J3661" s="1">
        <v>42.0</v>
      </c>
    </row>
    <row r="3662" ht="15.75" hidden="1" customHeight="1">
      <c r="A3662" s="47"/>
      <c r="B3662" s="47"/>
      <c r="C3662" s="47"/>
      <c r="D3662" s="47"/>
      <c r="E3662" s="47"/>
      <c r="F3662" s="47"/>
      <c r="G3662" s="47"/>
      <c r="H3662" s="47"/>
      <c r="I3662" s="47"/>
      <c r="J3662" s="1">
        <v>42.0</v>
      </c>
    </row>
    <row r="3663" ht="15.75" hidden="1" customHeight="1">
      <c r="A3663" s="47"/>
      <c r="B3663" s="47"/>
      <c r="C3663" s="47"/>
      <c r="D3663" s="47"/>
      <c r="E3663" s="47"/>
      <c r="F3663" s="47"/>
      <c r="G3663" s="47"/>
      <c r="H3663" s="47"/>
      <c r="I3663" s="47"/>
      <c r="J3663" s="1">
        <v>42.0</v>
      </c>
    </row>
    <row r="3664" ht="15.75" hidden="1" customHeight="1">
      <c r="A3664" s="47"/>
      <c r="B3664" s="47"/>
      <c r="C3664" s="47"/>
      <c r="D3664" s="47"/>
      <c r="E3664" s="47"/>
      <c r="F3664" s="47"/>
      <c r="G3664" s="47"/>
      <c r="H3664" s="47"/>
      <c r="I3664" s="47"/>
      <c r="J3664" s="1">
        <v>42.0</v>
      </c>
    </row>
    <row r="3665" ht="15.75" hidden="1" customHeight="1">
      <c r="A3665" s="47"/>
      <c r="B3665" s="47"/>
      <c r="C3665" s="47"/>
      <c r="D3665" s="47"/>
      <c r="E3665" s="47"/>
      <c r="F3665" s="47"/>
      <c r="G3665" s="47"/>
      <c r="H3665" s="47"/>
      <c r="I3665" s="47"/>
      <c r="J3665" s="1">
        <v>42.0</v>
      </c>
    </row>
    <row r="3666" ht="15.75" hidden="1" customHeight="1">
      <c r="A3666" s="47"/>
      <c r="B3666" s="47"/>
      <c r="C3666" s="47"/>
      <c r="D3666" s="47"/>
      <c r="E3666" s="47"/>
      <c r="F3666" s="47"/>
      <c r="G3666" s="47"/>
      <c r="H3666" s="47"/>
      <c r="I3666" s="47"/>
      <c r="J3666" s="1">
        <v>42.0</v>
      </c>
    </row>
    <row r="3667" ht="15.75" hidden="1" customHeight="1">
      <c r="A3667" s="47"/>
      <c r="B3667" s="47"/>
      <c r="C3667" s="47"/>
      <c r="D3667" s="47"/>
      <c r="E3667" s="47"/>
      <c r="F3667" s="47"/>
      <c r="G3667" s="47"/>
      <c r="H3667" s="47"/>
      <c r="I3667" s="47"/>
      <c r="J3667" s="1">
        <v>42.0</v>
      </c>
    </row>
    <row r="3668" ht="15.75" hidden="1" customHeight="1">
      <c r="A3668" s="47"/>
      <c r="B3668" s="47"/>
      <c r="C3668" s="47"/>
      <c r="D3668" s="47"/>
      <c r="E3668" s="47"/>
      <c r="F3668" s="47"/>
      <c r="G3668" s="47"/>
      <c r="H3668" s="47"/>
      <c r="I3668" s="47"/>
      <c r="J3668" s="1">
        <v>42.0</v>
      </c>
    </row>
    <row r="3669" ht="15.75" hidden="1" customHeight="1">
      <c r="A3669" s="47"/>
      <c r="B3669" s="47"/>
      <c r="C3669" s="47"/>
      <c r="D3669" s="47"/>
      <c r="E3669" s="47"/>
      <c r="F3669" s="47"/>
      <c r="G3669" s="47"/>
      <c r="H3669" s="47"/>
      <c r="I3669" s="47"/>
      <c r="J3669" s="1">
        <v>42.0</v>
      </c>
    </row>
    <row r="3670" ht="15.75" hidden="1" customHeight="1">
      <c r="A3670" s="47"/>
      <c r="B3670" s="47"/>
      <c r="C3670" s="47"/>
      <c r="D3670" s="47"/>
      <c r="E3670" s="47"/>
      <c r="F3670" s="47"/>
      <c r="G3670" s="47"/>
      <c r="H3670" s="47"/>
      <c r="I3670" s="47"/>
      <c r="J3670" s="1">
        <v>42.0</v>
      </c>
    </row>
    <row r="3671" ht="15.75" hidden="1" customHeight="1">
      <c r="A3671" s="47"/>
      <c r="B3671" s="47"/>
      <c r="C3671" s="47"/>
      <c r="D3671" s="47"/>
      <c r="E3671" s="47"/>
      <c r="F3671" s="47"/>
      <c r="G3671" s="47"/>
      <c r="H3671" s="47"/>
      <c r="I3671" s="47"/>
      <c r="J3671" s="1">
        <v>42.0</v>
      </c>
    </row>
    <row r="3672" ht="15.75" hidden="1" customHeight="1">
      <c r="A3672" s="47"/>
      <c r="B3672" s="47"/>
      <c r="C3672" s="47"/>
      <c r="D3672" s="47"/>
      <c r="E3672" s="47"/>
      <c r="F3672" s="47"/>
      <c r="G3672" s="47"/>
      <c r="H3672" s="47"/>
      <c r="I3672" s="47"/>
      <c r="J3672" s="1">
        <v>42.0</v>
      </c>
    </row>
    <row r="3673" ht="15.75" hidden="1" customHeight="1">
      <c r="A3673" s="47"/>
      <c r="B3673" s="47"/>
      <c r="C3673" s="47"/>
      <c r="D3673" s="47"/>
      <c r="E3673" s="47"/>
      <c r="F3673" s="47"/>
      <c r="G3673" s="47"/>
      <c r="H3673" s="47"/>
      <c r="I3673" s="47"/>
      <c r="J3673" s="1">
        <v>42.0</v>
      </c>
    </row>
    <row r="3674" ht="15.75" hidden="1" customHeight="1">
      <c r="A3674" s="47"/>
      <c r="B3674" s="47"/>
      <c r="C3674" s="47"/>
      <c r="D3674" s="47"/>
      <c r="E3674" s="47"/>
      <c r="F3674" s="47"/>
      <c r="G3674" s="47"/>
      <c r="H3674" s="47"/>
      <c r="I3674" s="47"/>
      <c r="J3674" s="1">
        <v>42.0</v>
      </c>
    </row>
    <row r="3675" ht="15.75" hidden="1" customHeight="1">
      <c r="A3675" s="47"/>
      <c r="B3675" s="47"/>
      <c r="C3675" s="47"/>
      <c r="D3675" s="47"/>
      <c r="E3675" s="47"/>
      <c r="F3675" s="47"/>
      <c r="G3675" s="47"/>
      <c r="H3675" s="47"/>
      <c r="I3675" s="47"/>
      <c r="J3675" s="1">
        <v>42.0</v>
      </c>
    </row>
    <row r="3676" ht="15.75" hidden="1" customHeight="1">
      <c r="A3676" s="47"/>
      <c r="B3676" s="47"/>
      <c r="C3676" s="47"/>
      <c r="D3676" s="47"/>
      <c r="E3676" s="47"/>
      <c r="F3676" s="47"/>
      <c r="G3676" s="47"/>
      <c r="H3676" s="47"/>
      <c r="I3676" s="47"/>
      <c r="J3676" s="1">
        <v>42.0</v>
      </c>
    </row>
    <row r="3677" ht="15.75" hidden="1" customHeight="1">
      <c r="A3677" s="47"/>
      <c r="B3677" s="47"/>
      <c r="C3677" s="47"/>
      <c r="D3677" s="47"/>
      <c r="E3677" s="47"/>
      <c r="F3677" s="47"/>
      <c r="G3677" s="47"/>
      <c r="H3677" s="47"/>
      <c r="I3677" s="47"/>
      <c r="J3677" s="1">
        <v>42.0</v>
      </c>
    </row>
    <row r="3678" ht="15.75" hidden="1" customHeight="1">
      <c r="A3678" s="47"/>
      <c r="B3678" s="47"/>
      <c r="C3678" s="47"/>
      <c r="D3678" s="47"/>
      <c r="E3678" s="47"/>
      <c r="F3678" s="47"/>
      <c r="G3678" s="47"/>
      <c r="H3678" s="47"/>
      <c r="I3678" s="47"/>
      <c r="J3678" s="1">
        <v>42.0</v>
      </c>
    </row>
    <row r="3679" ht="15.75" hidden="1" customHeight="1">
      <c r="A3679" s="47"/>
      <c r="B3679" s="47"/>
      <c r="C3679" s="47"/>
      <c r="D3679" s="47"/>
      <c r="E3679" s="47"/>
      <c r="F3679" s="47"/>
      <c r="G3679" s="47"/>
      <c r="H3679" s="47"/>
      <c r="I3679" s="47"/>
      <c r="J3679" s="1">
        <v>42.0</v>
      </c>
    </row>
    <row r="3680" ht="15.75" hidden="1" customHeight="1">
      <c r="A3680" s="47"/>
      <c r="B3680" s="47"/>
      <c r="C3680" s="47"/>
      <c r="D3680" s="47"/>
      <c r="E3680" s="47"/>
      <c r="F3680" s="47"/>
      <c r="G3680" s="47"/>
      <c r="H3680" s="47"/>
      <c r="I3680" s="47"/>
      <c r="J3680" s="1">
        <v>42.0</v>
      </c>
    </row>
    <row r="3681" ht="15.75" hidden="1" customHeight="1">
      <c r="A3681" s="47"/>
      <c r="B3681" s="47"/>
      <c r="C3681" s="47"/>
      <c r="D3681" s="47"/>
      <c r="E3681" s="47"/>
      <c r="F3681" s="47"/>
      <c r="G3681" s="47"/>
      <c r="H3681" s="47"/>
      <c r="I3681" s="47"/>
      <c r="J3681" s="1">
        <v>42.0</v>
      </c>
    </row>
    <row r="3682" ht="15.75" hidden="1" customHeight="1">
      <c r="A3682" s="47"/>
      <c r="B3682" s="47"/>
      <c r="C3682" s="47"/>
      <c r="D3682" s="47"/>
      <c r="E3682" s="47"/>
      <c r="F3682" s="47"/>
      <c r="G3682" s="47"/>
      <c r="H3682" s="47"/>
      <c r="I3682" s="47"/>
      <c r="J3682" s="1">
        <v>42.0</v>
      </c>
    </row>
    <row r="3683" ht="15.75" hidden="1" customHeight="1">
      <c r="A3683" s="47"/>
      <c r="B3683" s="47"/>
      <c r="C3683" s="47"/>
      <c r="D3683" s="47"/>
      <c r="E3683" s="47"/>
      <c r="F3683" s="47"/>
      <c r="G3683" s="47"/>
      <c r="H3683" s="47"/>
      <c r="I3683" s="47"/>
      <c r="J3683" s="1">
        <v>42.0</v>
      </c>
    </row>
    <row r="3684" ht="15.75" hidden="1" customHeight="1">
      <c r="A3684" s="47"/>
      <c r="B3684" s="47"/>
      <c r="C3684" s="47"/>
      <c r="D3684" s="47"/>
      <c r="E3684" s="47"/>
      <c r="F3684" s="47"/>
      <c r="G3684" s="47"/>
      <c r="H3684" s="47"/>
      <c r="I3684" s="47"/>
      <c r="J3684" s="1">
        <v>42.0</v>
      </c>
    </row>
    <row r="3685" ht="15.75" hidden="1" customHeight="1">
      <c r="A3685" s="47"/>
      <c r="B3685" s="47"/>
      <c r="C3685" s="47"/>
      <c r="D3685" s="47"/>
      <c r="E3685" s="47"/>
      <c r="F3685" s="47"/>
      <c r="G3685" s="47"/>
      <c r="H3685" s="47"/>
      <c r="I3685" s="47"/>
      <c r="J3685" s="1">
        <v>42.0</v>
      </c>
    </row>
    <row r="3686" ht="15.75" hidden="1" customHeight="1">
      <c r="A3686" s="47"/>
      <c r="B3686" s="47"/>
      <c r="C3686" s="47"/>
      <c r="D3686" s="47"/>
      <c r="E3686" s="47"/>
      <c r="F3686" s="47"/>
      <c r="G3686" s="47"/>
      <c r="H3686" s="47"/>
      <c r="I3686" s="47"/>
      <c r="J3686" s="1">
        <v>42.0</v>
      </c>
    </row>
    <row r="3687" ht="15.75" hidden="1" customHeight="1">
      <c r="A3687" s="47"/>
      <c r="B3687" s="47"/>
      <c r="C3687" s="47"/>
      <c r="D3687" s="47"/>
      <c r="E3687" s="47"/>
      <c r="F3687" s="47"/>
      <c r="G3687" s="47"/>
      <c r="H3687" s="47"/>
      <c r="I3687" s="47"/>
      <c r="J3687" s="1">
        <v>42.0</v>
      </c>
    </row>
    <row r="3688" ht="15.75" hidden="1" customHeight="1">
      <c r="A3688" s="47"/>
      <c r="B3688" s="47"/>
      <c r="C3688" s="47"/>
      <c r="D3688" s="47"/>
      <c r="E3688" s="47"/>
      <c r="F3688" s="47"/>
      <c r="G3688" s="47"/>
      <c r="H3688" s="47"/>
      <c r="I3688" s="47"/>
      <c r="J3688" s="1">
        <v>42.0</v>
      </c>
    </row>
    <row r="3689" ht="15.75" hidden="1" customHeight="1">
      <c r="A3689" s="47"/>
      <c r="B3689" s="47"/>
      <c r="C3689" s="47"/>
      <c r="D3689" s="47"/>
      <c r="E3689" s="47"/>
      <c r="F3689" s="47"/>
      <c r="G3689" s="47"/>
      <c r="H3689" s="47"/>
      <c r="I3689" s="47"/>
      <c r="J3689" s="1">
        <v>42.0</v>
      </c>
    </row>
    <row r="3690" ht="15.75" hidden="1" customHeight="1">
      <c r="A3690" s="47"/>
      <c r="B3690" s="47"/>
      <c r="C3690" s="47"/>
      <c r="D3690" s="47"/>
      <c r="E3690" s="47"/>
      <c r="F3690" s="47"/>
      <c r="G3690" s="47"/>
      <c r="H3690" s="47"/>
      <c r="I3690" s="47"/>
      <c r="J3690" s="1">
        <v>42.0</v>
      </c>
    </row>
    <row r="3691" ht="15.75" hidden="1" customHeight="1">
      <c r="A3691" s="47"/>
      <c r="B3691" s="47"/>
      <c r="C3691" s="47"/>
      <c r="D3691" s="47"/>
      <c r="E3691" s="47"/>
      <c r="F3691" s="47"/>
      <c r="G3691" s="47"/>
      <c r="H3691" s="47"/>
      <c r="I3691" s="47"/>
      <c r="J3691" s="1">
        <v>42.0</v>
      </c>
    </row>
    <row r="3692" ht="15.75" hidden="1" customHeight="1">
      <c r="A3692" s="47"/>
      <c r="B3692" s="47"/>
      <c r="C3692" s="47"/>
      <c r="D3692" s="47"/>
      <c r="E3692" s="47"/>
      <c r="F3692" s="47"/>
      <c r="G3692" s="47"/>
      <c r="H3692" s="47"/>
      <c r="I3692" s="47"/>
      <c r="J3692" s="1">
        <v>42.0</v>
      </c>
    </row>
    <row r="3693" ht="15.75" hidden="1" customHeight="1">
      <c r="A3693" s="47"/>
      <c r="B3693" s="47"/>
      <c r="C3693" s="47"/>
      <c r="D3693" s="47"/>
      <c r="E3693" s="47"/>
      <c r="F3693" s="47"/>
      <c r="G3693" s="47"/>
      <c r="H3693" s="47"/>
      <c r="I3693" s="47"/>
      <c r="J3693" s="1">
        <v>42.0</v>
      </c>
    </row>
    <row r="3694" ht="15.75" hidden="1" customHeight="1">
      <c r="A3694" s="47"/>
      <c r="B3694" s="47"/>
      <c r="C3694" s="47"/>
      <c r="D3694" s="47"/>
      <c r="E3694" s="47"/>
      <c r="F3694" s="47"/>
      <c r="G3694" s="47"/>
      <c r="H3694" s="47"/>
      <c r="I3694" s="47"/>
      <c r="J3694" s="1">
        <v>42.0</v>
      </c>
    </row>
    <row r="3695" ht="15.75" hidden="1" customHeight="1">
      <c r="A3695" s="47"/>
      <c r="B3695" s="47"/>
      <c r="C3695" s="47"/>
      <c r="D3695" s="47"/>
      <c r="E3695" s="47"/>
      <c r="F3695" s="47"/>
      <c r="G3695" s="47"/>
      <c r="H3695" s="47"/>
      <c r="I3695" s="47"/>
      <c r="J3695" s="1">
        <v>42.0</v>
      </c>
    </row>
    <row r="3696" ht="15.75" hidden="1" customHeight="1">
      <c r="A3696" s="47"/>
      <c r="B3696" s="47"/>
      <c r="C3696" s="47"/>
      <c r="D3696" s="47"/>
      <c r="E3696" s="47"/>
      <c r="F3696" s="47"/>
      <c r="G3696" s="47"/>
      <c r="H3696" s="47"/>
      <c r="I3696" s="47"/>
      <c r="J3696" s="1">
        <v>42.0</v>
      </c>
    </row>
    <row r="3697" ht="15.75" hidden="1" customHeight="1">
      <c r="A3697" s="47"/>
      <c r="B3697" s="47"/>
      <c r="C3697" s="47"/>
      <c r="D3697" s="47"/>
      <c r="E3697" s="47"/>
      <c r="F3697" s="47"/>
      <c r="G3697" s="47"/>
      <c r="H3697" s="47"/>
      <c r="I3697" s="47"/>
      <c r="J3697" s="1">
        <v>42.0</v>
      </c>
    </row>
    <row r="3698" ht="15.75" hidden="1" customHeight="1">
      <c r="A3698" s="47"/>
      <c r="B3698" s="47"/>
      <c r="C3698" s="47"/>
      <c r="D3698" s="47"/>
      <c r="E3698" s="47"/>
      <c r="F3698" s="47"/>
      <c r="G3698" s="47"/>
      <c r="H3698" s="47"/>
      <c r="I3698" s="47"/>
      <c r="J3698" s="1">
        <v>42.0</v>
      </c>
    </row>
    <row r="3699" ht="15.75" hidden="1" customHeight="1">
      <c r="A3699" s="47"/>
      <c r="B3699" s="47"/>
      <c r="C3699" s="47"/>
      <c r="D3699" s="47"/>
      <c r="E3699" s="47"/>
      <c r="F3699" s="47"/>
      <c r="G3699" s="47"/>
      <c r="H3699" s="47"/>
      <c r="I3699" s="47"/>
      <c r="J3699" s="1">
        <v>42.0</v>
      </c>
    </row>
    <row r="3700" ht="15.75" hidden="1" customHeight="1">
      <c r="A3700" s="47"/>
      <c r="B3700" s="47"/>
      <c r="C3700" s="47"/>
      <c r="D3700" s="47"/>
      <c r="E3700" s="47"/>
      <c r="F3700" s="47"/>
      <c r="G3700" s="47"/>
      <c r="H3700" s="47"/>
      <c r="I3700" s="47"/>
      <c r="J3700" s="1">
        <v>42.0</v>
      </c>
    </row>
    <row r="3701" ht="15.75" hidden="1" customHeight="1">
      <c r="A3701" s="47"/>
      <c r="B3701" s="47"/>
      <c r="C3701" s="47"/>
      <c r="D3701" s="47"/>
      <c r="E3701" s="47"/>
      <c r="F3701" s="47"/>
      <c r="G3701" s="47"/>
      <c r="H3701" s="47"/>
      <c r="I3701" s="47"/>
      <c r="J3701" s="1">
        <v>42.0</v>
      </c>
    </row>
    <row r="3702" ht="15.75" hidden="1" customHeight="1">
      <c r="A3702" s="47"/>
      <c r="B3702" s="47"/>
      <c r="C3702" s="47"/>
      <c r="D3702" s="47"/>
      <c r="E3702" s="47"/>
      <c r="F3702" s="47"/>
      <c r="G3702" s="47"/>
      <c r="H3702" s="47"/>
      <c r="I3702" s="47"/>
      <c r="J3702" s="1">
        <v>42.0</v>
      </c>
    </row>
    <row r="3703" ht="15.75" hidden="1" customHeight="1">
      <c r="A3703" s="47"/>
      <c r="B3703" s="47"/>
      <c r="C3703" s="47"/>
      <c r="D3703" s="47"/>
      <c r="E3703" s="47"/>
      <c r="F3703" s="47"/>
      <c r="G3703" s="47"/>
      <c r="H3703" s="47"/>
      <c r="I3703" s="47"/>
      <c r="J3703" s="1">
        <v>42.0</v>
      </c>
    </row>
    <row r="3704" ht="15.75" hidden="1" customHeight="1">
      <c r="A3704" s="47"/>
      <c r="B3704" s="47"/>
      <c r="C3704" s="47"/>
      <c r="D3704" s="47"/>
      <c r="E3704" s="47"/>
      <c r="F3704" s="47"/>
      <c r="G3704" s="47"/>
      <c r="H3704" s="47"/>
      <c r="I3704" s="47"/>
      <c r="J3704" s="1">
        <v>42.0</v>
      </c>
    </row>
    <row r="3705" ht="15.75" hidden="1" customHeight="1">
      <c r="A3705" s="47"/>
      <c r="B3705" s="47"/>
      <c r="C3705" s="47"/>
      <c r="D3705" s="47"/>
      <c r="E3705" s="47"/>
      <c r="F3705" s="47"/>
      <c r="G3705" s="47"/>
      <c r="H3705" s="47"/>
      <c r="I3705" s="47"/>
      <c r="J3705" s="1">
        <v>42.0</v>
      </c>
    </row>
    <row r="3706" ht="15.75" hidden="1" customHeight="1">
      <c r="A3706" s="47"/>
      <c r="B3706" s="47"/>
      <c r="C3706" s="47"/>
      <c r="D3706" s="47"/>
      <c r="E3706" s="47"/>
      <c r="F3706" s="47"/>
      <c r="G3706" s="47"/>
      <c r="H3706" s="47"/>
      <c r="I3706" s="47"/>
      <c r="J3706" s="1">
        <v>42.0</v>
      </c>
    </row>
    <row r="3707" ht="15.75" hidden="1" customHeight="1">
      <c r="A3707" s="47"/>
      <c r="B3707" s="47"/>
      <c r="C3707" s="47"/>
      <c r="D3707" s="47"/>
      <c r="E3707" s="47"/>
      <c r="F3707" s="47"/>
      <c r="G3707" s="47"/>
      <c r="H3707" s="47"/>
      <c r="I3707" s="47"/>
      <c r="J3707" s="1">
        <v>42.0</v>
      </c>
    </row>
    <row r="3708" ht="15.75" hidden="1" customHeight="1">
      <c r="A3708" s="47"/>
      <c r="B3708" s="47"/>
      <c r="C3708" s="47"/>
      <c r="D3708" s="47"/>
      <c r="E3708" s="47"/>
      <c r="F3708" s="47"/>
      <c r="G3708" s="47"/>
      <c r="H3708" s="47"/>
      <c r="I3708" s="47"/>
      <c r="J3708" s="1">
        <v>42.0</v>
      </c>
    </row>
    <row r="3709" ht="15.75" hidden="1" customHeight="1">
      <c r="A3709" s="47"/>
      <c r="B3709" s="47"/>
      <c r="C3709" s="47"/>
      <c r="D3709" s="47"/>
      <c r="E3709" s="47"/>
      <c r="F3709" s="47"/>
      <c r="G3709" s="47"/>
      <c r="H3709" s="47"/>
      <c r="I3709" s="47"/>
      <c r="J3709" s="1">
        <v>42.0</v>
      </c>
    </row>
    <row r="3710" ht="15.75" hidden="1" customHeight="1">
      <c r="A3710" s="47"/>
      <c r="B3710" s="47"/>
      <c r="C3710" s="47"/>
      <c r="D3710" s="47"/>
      <c r="E3710" s="47"/>
      <c r="F3710" s="47"/>
      <c r="G3710" s="47"/>
      <c r="H3710" s="47"/>
      <c r="I3710" s="47"/>
      <c r="J3710" s="1">
        <v>42.0</v>
      </c>
    </row>
    <row r="3711" ht="15.75" hidden="1" customHeight="1">
      <c r="A3711" s="47"/>
      <c r="B3711" s="47"/>
      <c r="C3711" s="47"/>
      <c r="D3711" s="47"/>
      <c r="E3711" s="47"/>
      <c r="F3711" s="47"/>
      <c r="G3711" s="47"/>
      <c r="H3711" s="47"/>
      <c r="I3711" s="47"/>
      <c r="J3711" s="1">
        <v>42.0</v>
      </c>
    </row>
    <row r="3712" ht="15.75" hidden="1" customHeight="1">
      <c r="A3712" s="47"/>
      <c r="B3712" s="47"/>
      <c r="C3712" s="47"/>
      <c r="D3712" s="47"/>
      <c r="E3712" s="47"/>
      <c r="F3712" s="47"/>
      <c r="G3712" s="47"/>
      <c r="H3712" s="47"/>
      <c r="I3712" s="47"/>
      <c r="J3712" s="1">
        <v>42.0</v>
      </c>
    </row>
    <row r="3713" ht="15.75" hidden="1" customHeight="1">
      <c r="A3713" s="47"/>
      <c r="B3713" s="47"/>
      <c r="C3713" s="47"/>
      <c r="D3713" s="47"/>
      <c r="E3713" s="47"/>
      <c r="F3713" s="47"/>
      <c r="G3713" s="47"/>
      <c r="H3713" s="47"/>
      <c r="I3713" s="47"/>
      <c r="J3713" s="1">
        <v>42.0</v>
      </c>
    </row>
    <row r="3714" ht="15.75" hidden="1" customHeight="1">
      <c r="A3714" s="47"/>
      <c r="B3714" s="47"/>
      <c r="C3714" s="47"/>
      <c r="D3714" s="47"/>
      <c r="E3714" s="47"/>
      <c r="F3714" s="47"/>
      <c r="G3714" s="47"/>
      <c r="H3714" s="47"/>
      <c r="I3714" s="47"/>
      <c r="J3714" s="1">
        <v>42.0</v>
      </c>
    </row>
    <row r="3715" ht="15.75" hidden="1" customHeight="1">
      <c r="A3715" s="47"/>
      <c r="B3715" s="47"/>
      <c r="C3715" s="47"/>
      <c r="D3715" s="47"/>
      <c r="E3715" s="47"/>
      <c r="F3715" s="47"/>
      <c r="G3715" s="47"/>
      <c r="H3715" s="47"/>
      <c r="I3715" s="47"/>
      <c r="J3715" s="1">
        <v>42.0</v>
      </c>
    </row>
    <row r="3716" ht="15.75" hidden="1" customHeight="1">
      <c r="A3716" s="47"/>
      <c r="B3716" s="47"/>
      <c r="C3716" s="47"/>
      <c r="D3716" s="47"/>
      <c r="E3716" s="47"/>
      <c r="F3716" s="47"/>
      <c r="G3716" s="47"/>
      <c r="H3716" s="47"/>
      <c r="I3716" s="47"/>
      <c r="J3716" s="1">
        <v>42.0</v>
      </c>
    </row>
    <row r="3717" ht="15.75" hidden="1" customHeight="1">
      <c r="A3717" s="47"/>
      <c r="B3717" s="47"/>
      <c r="C3717" s="47"/>
      <c r="D3717" s="47"/>
      <c r="E3717" s="47"/>
      <c r="F3717" s="47"/>
      <c r="G3717" s="47"/>
      <c r="H3717" s="47"/>
      <c r="I3717" s="47"/>
      <c r="J3717" s="1">
        <v>42.0</v>
      </c>
    </row>
    <row r="3718" ht="15.75" hidden="1" customHeight="1">
      <c r="A3718" s="47"/>
      <c r="B3718" s="47"/>
      <c r="C3718" s="47"/>
      <c r="D3718" s="47"/>
      <c r="E3718" s="47"/>
      <c r="F3718" s="47"/>
      <c r="G3718" s="47"/>
      <c r="H3718" s="47"/>
      <c r="I3718" s="47"/>
      <c r="J3718" s="1">
        <v>42.0</v>
      </c>
    </row>
    <row r="3719" ht="15.75" hidden="1" customHeight="1">
      <c r="A3719" s="47"/>
      <c r="B3719" s="47"/>
      <c r="C3719" s="47"/>
      <c r="D3719" s="47"/>
      <c r="E3719" s="47"/>
      <c r="F3719" s="47"/>
      <c r="G3719" s="47"/>
      <c r="H3719" s="47"/>
      <c r="I3719" s="47"/>
      <c r="J3719" s="1">
        <v>42.0</v>
      </c>
    </row>
    <row r="3720" ht="15.75" hidden="1" customHeight="1">
      <c r="A3720" s="47"/>
      <c r="B3720" s="47"/>
      <c r="C3720" s="47"/>
      <c r="D3720" s="47"/>
      <c r="E3720" s="47"/>
      <c r="F3720" s="47"/>
      <c r="G3720" s="47"/>
      <c r="H3720" s="47"/>
      <c r="I3720" s="47"/>
      <c r="J3720" s="1">
        <v>42.0</v>
      </c>
    </row>
    <row r="3721" ht="15.75" hidden="1" customHeight="1">
      <c r="A3721" s="47"/>
      <c r="B3721" s="47"/>
      <c r="C3721" s="47"/>
      <c r="D3721" s="47"/>
      <c r="E3721" s="47"/>
      <c r="F3721" s="47"/>
      <c r="G3721" s="47"/>
      <c r="H3721" s="47"/>
      <c r="I3721" s="47"/>
      <c r="J3721" s="1">
        <v>42.0</v>
      </c>
    </row>
    <row r="3722" ht="15.75" hidden="1" customHeight="1">
      <c r="A3722" s="47"/>
      <c r="B3722" s="47"/>
      <c r="C3722" s="47"/>
      <c r="D3722" s="47"/>
      <c r="E3722" s="47"/>
      <c r="F3722" s="47"/>
      <c r="G3722" s="47"/>
      <c r="H3722" s="47"/>
      <c r="I3722" s="47"/>
      <c r="J3722" s="1">
        <v>42.0</v>
      </c>
    </row>
    <row r="3723" ht="15.75" hidden="1" customHeight="1">
      <c r="A3723" s="47"/>
      <c r="B3723" s="47"/>
      <c r="C3723" s="47"/>
      <c r="D3723" s="47"/>
      <c r="E3723" s="47"/>
      <c r="F3723" s="47"/>
      <c r="G3723" s="47"/>
      <c r="H3723" s="47"/>
      <c r="I3723" s="47"/>
      <c r="J3723" s="1">
        <v>42.0</v>
      </c>
    </row>
    <row r="3724" ht="15.75" hidden="1" customHeight="1">
      <c r="A3724" s="47"/>
      <c r="B3724" s="47"/>
      <c r="C3724" s="47"/>
      <c r="D3724" s="47"/>
      <c r="E3724" s="47"/>
      <c r="F3724" s="47"/>
      <c r="G3724" s="47"/>
      <c r="H3724" s="47"/>
      <c r="I3724" s="47"/>
      <c r="J3724" s="1">
        <v>42.0</v>
      </c>
    </row>
    <row r="3725" ht="15.75" hidden="1" customHeight="1">
      <c r="A3725" s="47"/>
      <c r="B3725" s="47"/>
      <c r="C3725" s="47"/>
      <c r="D3725" s="47"/>
      <c r="E3725" s="47"/>
      <c r="F3725" s="47"/>
      <c r="G3725" s="47"/>
      <c r="H3725" s="47"/>
      <c r="I3725" s="47"/>
      <c r="J3725" s="1">
        <v>42.0</v>
      </c>
    </row>
    <row r="3726" ht="15.75" hidden="1" customHeight="1">
      <c r="A3726" s="47"/>
      <c r="B3726" s="47"/>
      <c r="C3726" s="47"/>
      <c r="D3726" s="47"/>
      <c r="E3726" s="47"/>
      <c r="F3726" s="47"/>
      <c r="G3726" s="47"/>
      <c r="H3726" s="47"/>
      <c r="I3726" s="47"/>
      <c r="J3726" s="1">
        <v>42.0</v>
      </c>
    </row>
    <row r="3727" ht="15.75" hidden="1" customHeight="1">
      <c r="A3727" s="47"/>
      <c r="B3727" s="47"/>
      <c r="C3727" s="47"/>
      <c r="D3727" s="47"/>
      <c r="E3727" s="47"/>
      <c r="F3727" s="47"/>
      <c r="G3727" s="47"/>
      <c r="H3727" s="47"/>
      <c r="I3727" s="47"/>
      <c r="J3727" s="1">
        <v>42.0</v>
      </c>
    </row>
    <row r="3728" ht="15.75" hidden="1" customHeight="1">
      <c r="A3728" s="47"/>
      <c r="B3728" s="47"/>
      <c r="C3728" s="47"/>
      <c r="D3728" s="47"/>
      <c r="E3728" s="47"/>
      <c r="F3728" s="47"/>
      <c r="G3728" s="47"/>
      <c r="H3728" s="47"/>
      <c r="I3728" s="47"/>
      <c r="J3728" s="1">
        <v>42.0</v>
      </c>
    </row>
    <row r="3729" ht="15.75" hidden="1" customHeight="1">
      <c r="A3729" s="47"/>
      <c r="B3729" s="47"/>
      <c r="C3729" s="47"/>
      <c r="D3729" s="47"/>
      <c r="E3729" s="47"/>
      <c r="F3729" s="47"/>
      <c r="G3729" s="47"/>
      <c r="H3729" s="47"/>
      <c r="I3729" s="47"/>
      <c r="J3729" s="1">
        <v>42.0</v>
      </c>
    </row>
    <row r="3730" ht="15.75" hidden="1" customHeight="1">
      <c r="A3730" s="47"/>
      <c r="B3730" s="47"/>
      <c r="C3730" s="47"/>
      <c r="D3730" s="47"/>
      <c r="E3730" s="47"/>
      <c r="F3730" s="47"/>
      <c r="G3730" s="47"/>
      <c r="H3730" s="47"/>
      <c r="I3730" s="47"/>
      <c r="J3730" s="1">
        <v>42.0</v>
      </c>
    </row>
    <row r="3731" ht="15.75" hidden="1" customHeight="1">
      <c r="A3731" s="47"/>
      <c r="B3731" s="47"/>
      <c r="C3731" s="47"/>
      <c r="D3731" s="47"/>
      <c r="E3731" s="47"/>
      <c r="F3731" s="47"/>
      <c r="G3731" s="47"/>
      <c r="H3731" s="47"/>
      <c r="I3731" s="47"/>
      <c r="J3731" s="1">
        <v>42.0</v>
      </c>
    </row>
    <row r="3732" ht="15.75" hidden="1" customHeight="1">
      <c r="A3732" s="47"/>
      <c r="B3732" s="47"/>
      <c r="C3732" s="47"/>
      <c r="D3732" s="47"/>
      <c r="E3732" s="47"/>
      <c r="F3732" s="47"/>
      <c r="G3732" s="47"/>
      <c r="H3732" s="47"/>
      <c r="I3732" s="47"/>
      <c r="J3732" s="1">
        <v>42.0</v>
      </c>
    </row>
    <row r="3733" ht="15.75" hidden="1" customHeight="1">
      <c r="A3733" s="47"/>
      <c r="B3733" s="47"/>
      <c r="C3733" s="47"/>
      <c r="D3733" s="47"/>
      <c r="E3733" s="47"/>
      <c r="F3733" s="47"/>
      <c r="G3733" s="47"/>
      <c r="H3733" s="47"/>
      <c r="I3733" s="47"/>
      <c r="J3733" s="1">
        <v>42.0</v>
      </c>
    </row>
    <row r="3734" ht="15.75" hidden="1" customHeight="1">
      <c r="A3734" s="47"/>
      <c r="B3734" s="47"/>
      <c r="C3734" s="47"/>
      <c r="D3734" s="47"/>
      <c r="E3734" s="47"/>
      <c r="F3734" s="47"/>
      <c r="G3734" s="47"/>
      <c r="H3734" s="47"/>
      <c r="I3734" s="47"/>
      <c r="J3734" s="1">
        <v>42.0</v>
      </c>
    </row>
    <row r="3735" ht="15.75" hidden="1" customHeight="1">
      <c r="A3735" s="47"/>
      <c r="B3735" s="47"/>
      <c r="C3735" s="47"/>
      <c r="D3735" s="47"/>
      <c r="E3735" s="47"/>
      <c r="F3735" s="47"/>
      <c r="G3735" s="47"/>
      <c r="H3735" s="47"/>
      <c r="I3735" s="47"/>
      <c r="J3735" s="1">
        <v>42.0</v>
      </c>
    </row>
    <row r="3736" ht="15.75" hidden="1" customHeight="1">
      <c r="A3736" s="47"/>
      <c r="B3736" s="47"/>
      <c r="C3736" s="47"/>
      <c r="D3736" s="47"/>
      <c r="E3736" s="47"/>
      <c r="F3736" s="47"/>
      <c r="G3736" s="47"/>
      <c r="H3736" s="47"/>
      <c r="I3736" s="47"/>
      <c r="J3736" s="1">
        <v>42.0</v>
      </c>
    </row>
    <row r="3737" ht="15.75" hidden="1" customHeight="1">
      <c r="A3737" s="47"/>
      <c r="B3737" s="47"/>
      <c r="C3737" s="47"/>
      <c r="D3737" s="47"/>
      <c r="E3737" s="47"/>
      <c r="F3737" s="47"/>
      <c r="G3737" s="47"/>
      <c r="H3737" s="47"/>
      <c r="I3737" s="47"/>
      <c r="J3737" s="1">
        <v>42.0</v>
      </c>
    </row>
    <row r="3738" ht="15.75" hidden="1" customHeight="1">
      <c r="A3738" s="47"/>
      <c r="B3738" s="47"/>
      <c r="C3738" s="47"/>
      <c r="D3738" s="47"/>
      <c r="E3738" s="47"/>
      <c r="F3738" s="47"/>
      <c r="G3738" s="47"/>
      <c r="H3738" s="47"/>
      <c r="I3738" s="47"/>
      <c r="J3738" s="1">
        <v>42.0</v>
      </c>
    </row>
    <row r="3739" ht="15.75" hidden="1" customHeight="1">
      <c r="A3739" s="47"/>
      <c r="B3739" s="47"/>
      <c r="C3739" s="47"/>
      <c r="D3739" s="47"/>
      <c r="E3739" s="47"/>
      <c r="F3739" s="47"/>
      <c r="G3739" s="47"/>
      <c r="H3739" s="47"/>
      <c r="I3739" s="47"/>
      <c r="J3739" s="1">
        <v>42.0</v>
      </c>
    </row>
    <row r="3740" ht="15.75" hidden="1" customHeight="1">
      <c r="A3740" s="47"/>
      <c r="B3740" s="47"/>
      <c r="C3740" s="47"/>
      <c r="D3740" s="47"/>
      <c r="E3740" s="47"/>
      <c r="F3740" s="47"/>
      <c r="G3740" s="47"/>
      <c r="H3740" s="47"/>
      <c r="I3740" s="47"/>
      <c r="J3740" s="1">
        <v>42.0</v>
      </c>
    </row>
    <row r="3741" ht="15.75" hidden="1" customHeight="1">
      <c r="A3741" s="47"/>
      <c r="B3741" s="47"/>
      <c r="C3741" s="47"/>
      <c r="D3741" s="47"/>
      <c r="E3741" s="47"/>
      <c r="F3741" s="47"/>
      <c r="G3741" s="47"/>
      <c r="H3741" s="47"/>
      <c r="I3741" s="47"/>
      <c r="J3741" s="1">
        <v>42.0</v>
      </c>
    </row>
    <row r="3742" ht="15.75" hidden="1" customHeight="1">
      <c r="A3742" s="47"/>
      <c r="B3742" s="47"/>
      <c r="C3742" s="47"/>
      <c r="D3742" s="47"/>
      <c r="E3742" s="47"/>
      <c r="F3742" s="47"/>
      <c r="G3742" s="47"/>
      <c r="H3742" s="47"/>
      <c r="I3742" s="47"/>
      <c r="J3742" s="1">
        <v>42.0</v>
      </c>
    </row>
    <row r="3743" ht="15.75" hidden="1" customHeight="1">
      <c r="A3743" s="47"/>
      <c r="B3743" s="47"/>
      <c r="C3743" s="47"/>
      <c r="D3743" s="47"/>
      <c r="E3743" s="47"/>
      <c r="F3743" s="47"/>
      <c r="G3743" s="47"/>
      <c r="H3743" s="47"/>
      <c r="I3743" s="47"/>
      <c r="J3743" s="1">
        <v>42.0</v>
      </c>
    </row>
    <row r="3744" ht="15.75" hidden="1" customHeight="1">
      <c r="A3744" s="47"/>
      <c r="B3744" s="47"/>
      <c r="C3744" s="47"/>
      <c r="D3744" s="47"/>
      <c r="E3744" s="47"/>
      <c r="F3744" s="47"/>
      <c r="G3744" s="47"/>
      <c r="H3744" s="47"/>
      <c r="I3744" s="47"/>
      <c r="J3744" s="1">
        <v>42.0</v>
      </c>
    </row>
    <row r="3745" ht="15.75" hidden="1" customHeight="1">
      <c r="A3745" s="47"/>
      <c r="B3745" s="47"/>
      <c r="C3745" s="47"/>
      <c r="D3745" s="47"/>
      <c r="E3745" s="47"/>
      <c r="F3745" s="47"/>
      <c r="G3745" s="47"/>
      <c r="H3745" s="47"/>
      <c r="I3745" s="47"/>
      <c r="J3745" s="1">
        <v>42.0</v>
      </c>
    </row>
    <row r="3746" ht="15.75" hidden="1" customHeight="1">
      <c r="A3746" s="47"/>
      <c r="B3746" s="47"/>
      <c r="C3746" s="47"/>
      <c r="D3746" s="47"/>
      <c r="E3746" s="47"/>
      <c r="F3746" s="47"/>
      <c r="G3746" s="47"/>
      <c r="H3746" s="47"/>
      <c r="I3746" s="47"/>
      <c r="J3746" s="1">
        <v>42.0</v>
      </c>
    </row>
    <row r="3747" ht="15.75" hidden="1" customHeight="1">
      <c r="A3747" s="47"/>
      <c r="B3747" s="47"/>
      <c r="C3747" s="47"/>
      <c r="D3747" s="47"/>
      <c r="E3747" s="47"/>
      <c r="F3747" s="47"/>
      <c r="G3747" s="47"/>
      <c r="H3747" s="47"/>
      <c r="I3747" s="47"/>
      <c r="J3747" s="1">
        <v>42.0</v>
      </c>
    </row>
    <row r="3748" ht="15.75" hidden="1" customHeight="1">
      <c r="A3748" s="47"/>
      <c r="B3748" s="47"/>
      <c r="C3748" s="47"/>
      <c r="D3748" s="47"/>
      <c r="E3748" s="47"/>
      <c r="F3748" s="47"/>
      <c r="G3748" s="47"/>
      <c r="H3748" s="47"/>
      <c r="I3748" s="47"/>
      <c r="J3748" s="1">
        <v>42.0</v>
      </c>
    </row>
    <row r="3749" ht="15.75" hidden="1" customHeight="1">
      <c r="A3749" s="47"/>
      <c r="B3749" s="47"/>
      <c r="C3749" s="47"/>
      <c r="D3749" s="47"/>
      <c r="E3749" s="47"/>
      <c r="F3749" s="47"/>
      <c r="G3749" s="47"/>
      <c r="H3749" s="47"/>
      <c r="I3749" s="47"/>
      <c r="J3749" s="1">
        <v>42.0</v>
      </c>
    </row>
    <row r="3750" ht="15.75" hidden="1" customHeight="1">
      <c r="A3750" s="47"/>
      <c r="B3750" s="47"/>
      <c r="C3750" s="47"/>
      <c r="D3750" s="47"/>
      <c r="E3750" s="47"/>
      <c r="F3750" s="47"/>
      <c r="G3750" s="47"/>
      <c r="H3750" s="47"/>
      <c r="I3750" s="47"/>
      <c r="J3750" s="1">
        <v>42.0</v>
      </c>
    </row>
    <row r="3751" ht="15.75" hidden="1" customHeight="1">
      <c r="A3751" s="47"/>
      <c r="B3751" s="47"/>
      <c r="C3751" s="47"/>
      <c r="D3751" s="47"/>
      <c r="E3751" s="47"/>
      <c r="F3751" s="47"/>
      <c r="G3751" s="47"/>
      <c r="H3751" s="47"/>
      <c r="I3751" s="47"/>
      <c r="J3751" s="1">
        <v>42.0</v>
      </c>
    </row>
    <row r="3752" ht="15.75" hidden="1" customHeight="1">
      <c r="A3752" s="47"/>
      <c r="B3752" s="47"/>
      <c r="C3752" s="47"/>
      <c r="D3752" s="47"/>
      <c r="E3752" s="47"/>
      <c r="F3752" s="47"/>
      <c r="G3752" s="47"/>
      <c r="H3752" s="47"/>
      <c r="I3752" s="47"/>
      <c r="J3752" s="1">
        <v>42.0</v>
      </c>
    </row>
    <row r="3753" ht="15.75" hidden="1" customHeight="1">
      <c r="A3753" s="47"/>
      <c r="B3753" s="47"/>
      <c r="C3753" s="47"/>
      <c r="D3753" s="47"/>
      <c r="E3753" s="47"/>
      <c r="F3753" s="47"/>
      <c r="G3753" s="47"/>
      <c r="H3753" s="47"/>
      <c r="I3753" s="47"/>
      <c r="J3753" s="1">
        <v>42.0</v>
      </c>
    </row>
    <row r="3754" ht="15.75" hidden="1" customHeight="1">
      <c r="A3754" s="47"/>
      <c r="B3754" s="47"/>
      <c r="C3754" s="47"/>
      <c r="D3754" s="47"/>
      <c r="E3754" s="47"/>
      <c r="F3754" s="47"/>
      <c r="G3754" s="47"/>
      <c r="H3754" s="47"/>
      <c r="I3754" s="47"/>
      <c r="J3754" s="1">
        <v>42.0</v>
      </c>
    </row>
    <row r="3755" ht="15.75" hidden="1" customHeight="1">
      <c r="A3755" s="47"/>
      <c r="B3755" s="47"/>
      <c r="C3755" s="47"/>
      <c r="D3755" s="47"/>
      <c r="E3755" s="47"/>
      <c r="F3755" s="47"/>
      <c r="G3755" s="47"/>
      <c r="H3755" s="47"/>
      <c r="I3755" s="47"/>
      <c r="J3755" s="1">
        <v>42.0</v>
      </c>
    </row>
    <row r="3756" ht="15.75" hidden="1" customHeight="1">
      <c r="A3756" s="47"/>
      <c r="B3756" s="47"/>
      <c r="C3756" s="47"/>
      <c r="D3756" s="47"/>
      <c r="E3756" s="47"/>
      <c r="F3756" s="47"/>
      <c r="G3756" s="47"/>
      <c r="H3756" s="47"/>
      <c r="I3756" s="47"/>
      <c r="J3756" s="1">
        <v>42.0</v>
      </c>
    </row>
    <row r="3757" ht="15.75" hidden="1" customHeight="1">
      <c r="A3757" s="47"/>
      <c r="B3757" s="47"/>
      <c r="C3757" s="47"/>
      <c r="D3757" s="47"/>
      <c r="E3757" s="47"/>
      <c r="F3757" s="47"/>
      <c r="G3757" s="47"/>
      <c r="H3757" s="47"/>
      <c r="I3757" s="47"/>
      <c r="J3757" s="1">
        <v>42.0</v>
      </c>
    </row>
    <row r="3758" ht="15.75" hidden="1" customHeight="1">
      <c r="A3758" s="47"/>
      <c r="B3758" s="47"/>
      <c r="C3758" s="47"/>
      <c r="D3758" s="47"/>
      <c r="E3758" s="47"/>
      <c r="F3758" s="47"/>
      <c r="G3758" s="47"/>
      <c r="H3758" s="47"/>
      <c r="I3758" s="47"/>
      <c r="J3758" s="1">
        <v>42.0</v>
      </c>
    </row>
    <row r="3759" ht="15.75" hidden="1" customHeight="1">
      <c r="A3759" s="47"/>
      <c r="B3759" s="47"/>
      <c r="C3759" s="47"/>
      <c r="D3759" s="47"/>
      <c r="E3759" s="47"/>
      <c r="F3759" s="47"/>
      <c r="G3759" s="47"/>
      <c r="H3759" s="47"/>
      <c r="I3759" s="47"/>
      <c r="J3759" s="1">
        <v>42.0</v>
      </c>
    </row>
    <row r="3760" ht="15.75" hidden="1" customHeight="1">
      <c r="A3760" s="47"/>
      <c r="B3760" s="47"/>
      <c r="C3760" s="47"/>
      <c r="D3760" s="47"/>
      <c r="E3760" s="47"/>
      <c r="F3760" s="47"/>
      <c r="G3760" s="47"/>
      <c r="H3760" s="47"/>
      <c r="I3760" s="47"/>
      <c r="J3760" s="1">
        <v>42.0</v>
      </c>
    </row>
    <row r="3761" ht="15.75" hidden="1" customHeight="1">
      <c r="A3761" s="47"/>
      <c r="B3761" s="47"/>
      <c r="C3761" s="47"/>
      <c r="D3761" s="47"/>
      <c r="E3761" s="47"/>
      <c r="F3761" s="47"/>
      <c r="G3761" s="47"/>
      <c r="H3761" s="47"/>
      <c r="I3761" s="47"/>
      <c r="J3761" s="1">
        <v>42.0</v>
      </c>
    </row>
    <row r="3762" ht="15.75" hidden="1" customHeight="1">
      <c r="A3762" s="47"/>
      <c r="B3762" s="47"/>
      <c r="C3762" s="47"/>
      <c r="D3762" s="47"/>
      <c r="E3762" s="47"/>
      <c r="F3762" s="47"/>
      <c r="G3762" s="47"/>
      <c r="H3762" s="47"/>
      <c r="I3762" s="47"/>
      <c r="J3762" s="1">
        <v>42.0</v>
      </c>
    </row>
    <row r="3763" ht="15.75" hidden="1" customHeight="1">
      <c r="A3763" s="47"/>
      <c r="B3763" s="47"/>
      <c r="C3763" s="47"/>
      <c r="D3763" s="47"/>
      <c r="E3763" s="47"/>
      <c r="F3763" s="47"/>
      <c r="G3763" s="47"/>
      <c r="H3763" s="47"/>
      <c r="I3763" s="47"/>
      <c r="J3763" s="1">
        <v>42.0</v>
      </c>
    </row>
    <row r="3764" ht="15.75" hidden="1" customHeight="1">
      <c r="A3764" s="47"/>
      <c r="B3764" s="47"/>
      <c r="C3764" s="47"/>
      <c r="D3764" s="47"/>
      <c r="E3764" s="47"/>
      <c r="F3764" s="47"/>
      <c r="G3764" s="47"/>
      <c r="H3764" s="47"/>
      <c r="I3764" s="47"/>
      <c r="J3764" s="1">
        <v>42.0</v>
      </c>
    </row>
    <row r="3765" ht="15.75" hidden="1" customHeight="1">
      <c r="A3765" s="47"/>
      <c r="B3765" s="47"/>
      <c r="C3765" s="47"/>
      <c r="D3765" s="47"/>
      <c r="E3765" s="47"/>
      <c r="F3765" s="47"/>
      <c r="G3765" s="47"/>
      <c r="H3765" s="47"/>
      <c r="I3765" s="47"/>
      <c r="J3765" s="1">
        <v>42.0</v>
      </c>
    </row>
    <row r="3766" ht="15.75" hidden="1" customHeight="1">
      <c r="A3766" s="47"/>
      <c r="B3766" s="47"/>
      <c r="C3766" s="47"/>
      <c r="D3766" s="47"/>
      <c r="E3766" s="47"/>
      <c r="F3766" s="47"/>
      <c r="G3766" s="47"/>
      <c r="H3766" s="47"/>
      <c r="I3766" s="47"/>
      <c r="J3766" s="1">
        <v>42.0</v>
      </c>
    </row>
    <row r="3767" ht="15.75" hidden="1" customHeight="1">
      <c r="A3767" s="47"/>
      <c r="B3767" s="47"/>
      <c r="C3767" s="47"/>
      <c r="D3767" s="47"/>
      <c r="E3767" s="47"/>
      <c r="F3767" s="47"/>
      <c r="G3767" s="47"/>
      <c r="H3767" s="47"/>
      <c r="I3767" s="47"/>
      <c r="J3767" s="1">
        <v>42.0</v>
      </c>
    </row>
    <row r="3768" ht="15.75" hidden="1" customHeight="1">
      <c r="A3768" s="47"/>
      <c r="B3768" s="47"/>
      <c r="C3768" s="47"/>
      <c r="D3768" s="47"/>
      <c r="E3768" s="47"/>
      <c r="F3768" s="47"/>
      <c r="G3768" s="47"/>
      <c r="H3768" s="47"/>
      <c r="I3768" s="47"/>
      <c r="J3768" s="1">
        <v>42.0</v>
      </c>
    </row>
    <row r="3769" ht="15.75" hidden="1" customHeight="1">
      <c r="A3769" s="47"/>
      <c r="B3769" s="47"/>
      <c r="C3769" s="47"/>
      <c r="D3769" s="47"/>
      <c r="E3769" s="47"/>
      <c r="F3769" s="47"/>
      <c r="G3769" s="47"/>
      <c r="H3769" s="47"/>
      <c r="I3769" s="47"/>
      <c r="J3769" s="1">
        <v>42.0</v>
      </c>
    </row>
    <row r="3770" ht="15.75" hidden="1" customHeight="1">
      <c r="A3770" s="47"/>
      <c r="B3770" s="47"/>
      <c r="C3770" s="47"/>
      <c r="D3770" s="47"/>
      <c r="E3770" s="47"/>
      <c r="F3770" s="47"/>
      <c r="G3770" s="47"/>
      <c r="H3770" s="47"/>
      <c r="I3770" s="47"/>
      <c r="J3770" s="1">
        <v>42.0</v>
      </c>
    </row>
    <row r="3771" ht="15.75" hidden="1" customHeight="1">
      <c r="A3771" s="47"/>
      <c r="B3771" s="47"/>
      <c r="C3771" s="47"/>
      <c r="D3771" s="47"/>
      <c r="E3771" s="47"/>
      <c r="F3771" s="47"/>
      <c r="G3771" s="47"/>
      <c r="H3771" s="47"/>
      <c r="I3771" s="47"/>
      <c r="J3771" s="1">
        <v>42.0</v>
      </c>
    </row>
    <row r="3772" ht="15.75" hidden="1" customHeight="1">
      <c r="A3772" s="47"/>
      <c r="B3772" s="47"/>
      <c r="C3772" s="47"/>
      <c r="D3772" s="47"/>
      <c r="E3772" s="47"/>
      <c r="F3772" s="47"/>
      <c r="G3772" s="47"/>
      <c r="H3772" s="47"/>
      <c r="I3772" s="47"/>
      <c r="J3772" s="1">
        <v>42.0</v>
      </c>
    </row>
    <row r="3773" ht="15.75" hidden="1" customHeight="1">
      <c r="A3773" s="47"/>
      <c r="B3773" s="47"/>
      <c r="C3773" s="47"/>
      <c r="D3773" s="47"/>
      <c r="E3773" s="47"/>
      <c r="F3773" s="47"/>
      <c r="G3773" s="47"/>
      <c r="H3773" s="47"/>
      <c r="I3773" s="47"/>
      <c r="J3773" s="1">
        <v>42.0</v>
      </c>
    </row>
    <row r="3774" ht="15.75" hidden="1" customHeight="1">
      <c r="A3774" s="47"/>
      <c r="B3774" s="47"/>
      <c r="C3774" s="47"/>
      <c r="D3774" s="47"/>
      <c r="E3774" s="47"/>
      <c r="F3774" s="47"/>
      <c r="G3774" s="47"/>
      <c r="H3774" s="47"/>
      <c r="I3774" s="47"/>
      <c r="J3774" s="1">
        <v>42.0</v>
      </c>
    </row>
    <row r="3775" ht="15.75" hidden="1" customHeight="1">
      <c r="A3775" s="47"/>
      <c r="B3775" s="47"/>
      <c r="C3775" s="47"/>
      <c r="D3775" s="47"/>
      <c r="E3775" s="47"/>
      <c r="F3775" s="47"/>
      <c r="G3775" s="47"/>
      <c r="H3775" s="47"/>
      <c r="I3775" s="47"/>
      <c r="J3775" s="1">
        <v>42.0</v>
      </c>
    </row>
    <row r="3776" ht="15.75" hidden="1" customHeight="1">
      <c r="A3776" s="47"/>
      <c r="B3776" s="47"/>
      <c r="C3776" s="47"/>
      <c r="D3776" s="47"/>
      <c r="E3776" s="47"/>
      <c r="F3776" s="47"/>
      <c r="G3776" s="47"/>
      <c r="H3776" s="47"/>
      <c r="I3776" s="47"/>
      <c r="J3776" s="1">
        <v>42.0</v>
      </c>
    </row>
    <row r="3777" ht="15.75" hidden="1" customHeight="1">
      <c r="A3777" s="47"/>
      <c r="B3777" s="47"/>
      <c r="C3777" s="47"/>
      <c r="D3777" s="47"/>
      <c r="E3777" s="47"/>
      <c r="F3777" s="47"/>
      <c r="G3777" s="47"/>
      <c r="H3777" s="47"/>
      <c r="I3777" s="47"/>
      <c r="J3777" s="1">
        <v>42.0</v>
      </c>
    </row>
    <row r="3778" ht="15.75" hidden="1" customHeight="1">
      <c r="A3778" s="47"/>
      <c r="B3778" s="47"/>
      <c r="C3778" s="47"/>
      <c r="D3778" s="47"/>
      <c r="E3778" s="47"/>
      <c r="F3778" s="47"/>
      <c r="G3778" s="47"/>
      <c r="H3778" s="47"/>
      <c r="I3778" s="47"/>
      <c r="J3778" s="1">
        <v>42.0</v>
      </c>
    </row>
    <row r="3779" ht="15.75" hidden="1" customHeight="1">
      <c r="A3779" s="47"/>
      <c r="B3779" s="47"/>
      <c r="C3779" s="47"/>
      <c r="D3779" s="47"/>
      <c r="E3779" s="47"/>
      <c r="F3779" s="47"/>
      <c r="G3779" s="47"/>
      <c r="H3779" s="47"/>
      <c r="I3779" s="47"/>
      <c r="J3779" s="1">
        <v>42.0</v>
      </c>
    </row>
    <row r="3780" ht="15.75" hidden="1" customHeight="1">
      <c r="A3780" s="47"/>
      <c r="B3780" s="47"/>
      <c r="C3780" s="47"/>
      <c r="D3780" s="47"/>
      <c r="E3780" s="47"/>
      <c r="F3780" s="47"/>
      <c r="G3780" s="47"/>
      <c r="H3780" s="47"/>
      <c r="I3780" s="47"/>
      <c r="J3780" s="1">
        <v>42.0</v>
      </c>
    </row>
    <row r="3781" ht="15.75" hidden="1" customHeight="1">
      <c r="A3781" s="47"/>
      <c r="B3781" s="47"/>
      <c r="C3781" s="47"/>
      <c r="D3781" s="47"/>
      <c r="E3781" s="47"/>
      <c r="F3781" s="47"/>
      <c r="G3781" s="47"/>
      <c r="H3781" s="47"/>
      <c r="I3781" s="47"/>
      <c r="J3781" s="1">
        <v>42.0</v>
      </c>
    </row>
    <row r="3782" ht="15.75" hidden="1" customHeight="1">
      <c r="A3782" s="47"/>
      <c r="B3782" s="47"/>
      <c r="C3782" s="47"/>
      <c r="D3782" s="47"/>
      <c r="E3782" s="47"/>
      <c r="F3782" s="47"/>
      <c r="G3782" s="47"/>
      <c r="H3782" s="47"/>
      <c r="I3782" s="47"/>
      <c r="J3782" s="1">
        <v>42.0</v>
      </c>
    </row>
    <row r="3783" ht="15.75" hidden="1" customHeight="1">
      <c r="A3783" s="47"/>
      <c r="B3783" s="47"/>
      <c r="C3783" s="47"/>
      <c r="D3783" s="47"/>
      <c r="E3783" s="47"/>
      <c r="F3783" s="47"/>
      <c r="G3783" s="47"/>
      <c r="H3783" s="47"/>
      <c r="I3783" s="47"/>
      <c r="J3783" s="1">
        <v>42.0</v>
      </c>
    </row>
    <row r="3784" ht="15.75" hidden="1" customHeight="1">
      <c r="A3784" s="47"/>
      <c r="B3784" s="47"/>
      <c r="C3784" s="47"/>
      <c r="D3784" s="47"/>
      <c r="E3784" s="47"/>
      <c r="F3784" s="47"/>
      <c r="G3784" s="47"/>
      <c r="H3784" s="47"/>
      <c r="I3784" s="47"/>
      <c r="J3784" s="1">
        <v>42.0</v>
      </c>
    </row>
    <row r="3785" ht="15.75" hidden="1" customHeight="1">
      <c r="A3785" s="47"/>
      <c r="B3785" s="47"/>
      <c r="C3785" s="47"/>
      <c r="D3785" s="47"/>
      <c r="E3785" s="47"/>
      <c r="F3785" s="47"/>
      <c r="G3785" s="47"/>
      <c r="H3785" s="47"/>
      <c r="I3785" s="47"/>
      <c r="J3785" s="1">
        <v>42.0</v>
      </c>
    </row>
    <row r="3786" ht="15.75" hidden="1" customHeight="1">
      <c r="A3786" s="47"/>
      <c r="B3786" s="47"/>
      <c r="C3786" s="47"/>
      <c r="D3786" s="47"/>
      <c r="E3786" s="47"/>
      <c r="F3786" s="47"/>
      <c r="G3786" s="47"/>
      <c r="H3786" s="47"/>
      <c r="I3786" s="47"/>
      <c r="J3786" s="1">
        <v>42.0</v>
      </c>
    </row>
    <row r="3787" ht="15.75" hidden="1" customHeight="1">
      <c r="A3787" s="47"/>
      <c r="B3787" s="47"/>
      <c r="C3787" s="47"/>
      <c r="D3787" s="47"/>
      <c r="E3787" s="47"/>
      <c r="F3787" s="47"/>
      <c r="G3787" s="47"/>
      <c r="H3787" s="47"/>
      <c r="I3787" s="47"/>
      <c r="J3787" s="1">
        <v>42.0</v>
      </c>
    </row>
    <row r="3788" ht="15.75" hidden="1" customHeight="1">
      <c r="A3788" s="47"/>
      <c r="B3788" s="47"/>
      <c r="C3788" s="47"/>
      <c r="D3788" s="47"/>
      <c r="E3788" s="47"/>
      <c r="F3788" s="47"/>
      <c r="G3788" s="47"/>
      <c r="H3788" s="47"/>
      <c r="I3788" s="47"/>
      <c r="J3788" s="1">
        <v>42.0</v>
      </c>
    </row>
    <row r="3789" ht="15.75" hidden="1" customHeight="1">
      <c r="A3789" s="47"/>
      <c r="B3789" s="47"/>
      <c r="C3789" s="47"/>
      <c r="D3789" s="47"/>
      <c r="E3789" s="47"/>
      <c r="F3789" s="47"/>
      <c r="G3789" s="47"/>
      <c r="H3789" s="47"/>
      <c r="I3789" s="47"/>
      <c r="J3789" s="1">
        <v>42.0</v>
      </c>
    </row>
    <row r="3790" ht="15.75" hidden="1" customHeight="1">
      <c r="A3790" s="47"/>
      <c r="B3790" s="47"/>
      <c r="C3790" s="47"/>
      <c r="D3790" s="47"/>
      <c r="E3790" s="47"/>
      <c r="F3790" s="47"/>
      <c r="G3790" s="47"/>
      <c r="H3790" s="47"/>
      <c r="I3790" s="47"/>
      <c r="J3790" s="1">
        <v>42.0</v>
      </c>
    </row>
    <row r="3791" ht="15.75" hidden="1" customHeight="1">
      <c r="A3791" s="47"/>
      <c r="B3791" s="47"/>
      <c r="C3791" s="47"/>
      <c r="D3791" s="47"/>
      <c r="E3791" s="47"/>
      <c r="F3791" s="47"/>
      <c r="G3791" s="47"/>
      <c r="H3791" s="47"/>
      <c r="I3791" s="47"/>
      <c r="J3791" s="1">
        <v>42.0</v>
      </c>
    </row>
    <row r="3792" ht="15.75" hidden="1" customHeight="1">
      <c r="A3792" s="47"/>
      <c r="B3792" s="47"/>
      <c r="C3792" s="47"/>
      <c r="D3792" s="47"/>
      <c r="E3792" s="47"/>
      <c r="F3792" s="47"/>
      <c r="G3792" s="47"/>
      <c r="H3792" s="47"/>
      <c r="I3792" s="47"/>
      <c r="J3792" s="1">
        <v>42.0</v>
      </c>
    </row>
    <row r="3793" ht="15.75" hidden="1" customHeight="1">
      <c r="A3793" s="47"/>
      <c r="B3793" s="47"/>
      <c r="C3793" s="47"/>
      <c r="D3793" s="47"/>
      <c r="E3793" s="47"/>
      <c r="F3793" s="47"/>
      <c r="G3793" s="47"/>
      <c r="H3793" s="47"/>
      <c r="I3793" s="47"/>
      <c r="J3793" s="1">
        <v>42.0</v>
      </c>
    </row>
    <row r="3794" ht="15.75" hidden="1" customHeight="1">
      <c r="A3794" s="47"/>
      <c r="B3794" s="47"/>
      <c r="C3794" s="47"/>
      <c r="D3794" s="47"/>
      <c r="E3794" s="47"/>
      <c r="F3794" s="47"/>
      <c r="G3794" s="47"/>
      <c r="H3794" s="47"/>
      <c r="I3794" s="47"/>
      <c r="J3794" s="1">
        <v>42.0</v>
      </c>
    </row>
    <row r="3795" ht="15.75" hidden="1" customHeight="1">
      <c r="A3795" s="47"/>
      <c r="B3795" s="47"/>
      <c r="C3795" s="47"/>
      <c r="D3795" s="47"/>
      <c r="E3795" s="47"/>
      <c r="F3795" s="47"/>
      <c r="G3795" s="47"/>
      <c r="H3795" s="47"/>
      <c r="I3795" s="47"/>
      <c r="J3795" s="1">
        <v>42.0</v>
      </c>
    </row>
    <row r="3796" ht="15.75" hidden="1" customHeight="1">
      <c r="A3796" s="47"/>
      <c r="B3796" s="47"/>
      <c r="C3796" s="47"/>
      <c r="D3796" s="47"/>
      <c r="E3796" s="47"/>
      <c r="F3796" s="47"/>
      <c r="G3796" s="47"/>
      <c r="H3796" s="47"/>
      <c r="I3796" s="47"/>
      <c r="J3796" s="1">
        <v>42.0</v>
      </c>
    </row>
    <row r="3797" ht="15.75" hidden="1" customHeight="1">
      <c r="A3797" s="47"/>
      <c r="B3797" s="47"/>
      <c r="C3797" s="47"/>
      <c r="D3797" s="47"/>
      <c r="E3797" s="47"/>
      <c r="F3797" s="47"/>
      <c r="G3797" s="47"/>
      <c r="H3797" s="47"/>
      <c r="I3797" s="47"/>
      <c r="J3797" s="1">
        <v>42.0</v>
      </c>
    </row>
    <row r="3798" ht="15.75" hidden="1" customHeight="1">
      <c r="A3798" s="47"/>
      <c r="B3798" s="47"/>
      <c r="C3798" s="47"/>
      <c r="D3798" s="47"/>
      <c r="E3798" s="47"/>
      <c r="F3798" s="47"/>
      <c r="G3798" s="47"/>
      <c r="H3798" s="47"/>
      <c r="I3798" s="47"/>
      <c r="J3798" s="1">
        <v>42.0</v>
      </c>
    </row>
    <row r="3799" ht="15.75" hidden="1" customHeight="1">
      <c r="A3799" s="47"/>
      <c r="B3799" s="47"/>
      <c r="C3799" s="47"/>
      <c r="D3799" s="47"/>
      <c r="E3799" s="47"/>
      <c r="F3799" s="47"/>
      <c r="G3799" s="47"/>
      <c r="H3799" s="47"/>
      <c r="I3799" s="47"/>
      <c r="J3799" s="1">
        <v>42.0</v>
      </c>
    </row>
    <row r="3800" ht="15.75" hidden="1" customHeight="1">
      <c r="A3800" s="47"/>
      <c r="B3800" s="47"/>
      <c r="C3800" s="47"/>
      <c r="D3800" s="47"/>
      <c r="E3800" s="47"/>
      <c r="F3800" s="47"/>
      <c r="G3800" s="47"/>
      <c r="H3800" s="47"/>
      <c r="I3800" s="47"/>
      <c r="J3800" s="1">
        <v>42.0</v>
      </c>
    </row>
    <row r="3801" ht="15.75" hidden="1" customHeight="1">
      <c r="A3801" s="47"/>
      <c r="B3801" s="47"/>
      <c r="C3801" s="47"/>
      <c r="D3801" s="47"/>
      <c r="E3801" s="47"/>
      <c r="F3801" s="47"/>
      <c r="G3801" s="47"/>
      <c r="H3801" s="47"/>
      <c r="I3801" s="47"/>
      <c r="J3801" s="1">
        <v>42.0</v>
      </c>
    </row>
    <row r="3802" ht="15.75" hidden="1" customHeight="1">
      <c r="A3802" s="47"/>
      <c r="B3802" s="47"/>
      <c r="C3802" s="47"/>
      <c r="D3802" s="47"/>
      <c r="E3802" s="47"/>
      <c r="F3802" s="47"/>
      <c r="G3802" s="47"/>
      <c r="H3802" s="47"/>
      <c r="I3802" s="47"/>
      <c r="J3802" s="1">
        <v>42.0</v>
      </c>
    </row>
    <row r="3803" ht="15.75" hidden="1" customHeight="1">
      <c r="A3803" s="47"/>
      <c r="B3803" s="47"/>
      <c r="C3803" s="47"/>
      <c r="D3803" s="47"/>
      <c r="E3803" s="47"/>
      <c r="F3803" s="47"/>
      <c r="G3803" s="47"/>
      <c r="H3803" s="47"/>
      <c r="I3803" s="47"/>
      <c r="J3803" s="1">
        <v>42.0</v>
      </c>
    </row>
    <row r="3804" ht="15.75" hidden="1" customHeight="1">
      <c r="A3804" s="47"/>
      <c r="B3804" s="47"/>
      <c r="C3804" s="47"/>
      <c r="D3804" s="47"/>
      <c r="E3804" s="47"/>
      <c r="F3804" s="47"/>
      <c r="G3804" s="47"/>
      <c r="H3804" s="47"/>
      <c r="I3804" s="47"/>
      <c r="J3804" s="1">
        <v>42.0</v>
      </c>
    </row>
    <row r="3805" ht="15.75" hidden="1" customHeight="1">
      <c r="A3805" s="47"/>
      <c r="B3805" s="47"/>
      <c r="C3805" s="47"/>
      <c r="D3805" s="47"/>
      <c r="E3805" s="47"/>
      <c r="F3805" s="47"/>
      <c r="G3805" s="47"/>
      <c r="H3805" s="47"/>
      <c r="I3805" s="47"/>
      <c r="J3805" s="1">
        <v>42.0</v>
      </c>
    </row>
    <row r="3806" ht="15.75" hidden="1" customHeight="1">
      <c r="A3806" s="47"/>
      <c r="B3806" s="47"/>
      <c r="C3806" s="47"/>
      <c r="D3806" s="47"/>
      <c r="E3806" s="47"/>
      <c r="F3806" s="47"/>
      <c r="G3806" s="47"/>
      <c r="H3806" s="47"/>
      <c r="I3806" s="47"/>
      <c r="J3806" s="1">
        <v>42.0</v>
      </c>
    </row>
    <row r="3807" ht="15.75" hidden="1" customHeight="1">
      <c r="A3807" s="47"/>
      <c r="B3807" s="47"/>
      <c r="C3807" s="47"/>
      <c r="D3807" s="47"/>
      <c r="E3807" s="47"/>
      <c r="F3807" s="47"/>
      <c r="G3807" s="47"/>
      <c r="H3807" s="47"/>
      <c r="I3807" s="47"/>
      <c r="J3807" s="1">
        <v>42.0</v>
      </c>
    </row>
    <row r="3808" ht="15.75" hidden="1" customHeight="1">
      <c r="A3808" s="47"/>
      <c r="B3808" s="47"/>
      <c r="C3808" s="47"/>
      <c r="D3808" s="47"/>
      <c r="E3808" s="47"/>
      <c r="F3808" s="47"/>
      <c r="G3808" s="47"/>
      <c r="H3808" s="47"/>
      <c r="I3808" s="47"/>
      <c r="J3808" s="1">
        <v>42.0</v>
      </c>
    </row>
    <row r="3809" ht="15.75" hidden="1" customHeight="1">
      <c r="A3809" s="47"/>
      <c r="B3809" s="47"/>
      <c r="C3809" s="47"/>
      <c r="D3809" s="47"/>
      <c r="E3809" s="47"/>
      <c r="F3809" s="47"/>
      <c r="G3809" s="47"/>
      <c r="H3809" s="47"/>
      <c r="I3809" s="47"/>
      <c r="J3809" s="1">
        <v>42.0</v>
      </c>
    </row>
    <row r="3810" ht="15.75" hidden="1" customHeight="1">
      <c r="A3810" s="47"/>
      <c r="B3810" s="47"/>
      <c r="C3810" s="47"/>
      <c r="D3810" s="47"/>
      <c r="E3810" s="47"/>
      <c r="F3810" s="47"/>
      <c r="G3810" s="47"/>
      <c r="H3810" s="47"/>
      <c r="I3810" s="47"/>
      <c r="J3810" s="1">
        <v>42.0</v>
      </c>
    </row>
    <row r="3811" ht="15.75" hidden="1" customHeight="1">
      <c r="A3811" s="47"/>
      <c r="B3811" s="47"/>
      <c r="C3811" s="47"/>
      <c r="D3811" s="47"/>
      <c r="E3811" s="47"/>
      <c r="F3811" s="47"/>
      <c r="G3811" s="47"/>
      <c r="H3811" s="47"/>
      <c r="I3811" s="47"/>
      <c r="J3811" s="1">
        <v>42.0</v>
      </c>
    </row>
    <row r="3812" ht="15.75" hidden="1" customHeight="1">
      <c r="A3812" s="47"/>
      <c r="B3812" s="47"/>
      <c r="C3812" s="47"/>
      <c r="D3812" s="47"/>
      <c r="E3812" s="47"/>
      <c r="F3812" s="47"/>
      <c r="G3812" s="47"/>
      <c r="H3812" s="47"/>
      <c r="I3812" s="47"/>
      <c r="J3812" s="1">
        <v>42.0</v>
      </c>
    </row>
    <row r="3813" ht="15.75" hidden="1" customHeight="1">
      <c r="A3813" s="47"/>
      <c r="B3813" s="47"/>
      <c r="C3813" s="47"/>
      <c r="D3813" s="47"/>
      <c r="E3813" s="47"/>
      <c r="F3813" s="47"/>
      <c r="G3813" s="47"/>
      <c r="H3813" s="47"/>
      <c r="I3813" s="47"/>
      <c r="J3813" s="1">
        <v>42.0</v>
      </c>
    </row>
    <row r="3814" ht="15.75" hidden="1" customHeight="1">
      <c r="A3814" s="47"/>
      <c r="B3814" s="47"/>
      <c r="C3814" s="47"/>
      <c r="D3814" s="47"/>
      <c r="E3814" s="47"/>
      <c r="F3814" s="47"/>
      <c r="G3814" s="47"/>
      <c r="H3814" s="47"/>
      <c r="I3814" s="47"/>
      <c r="J3814" s="1">
        <v>42.0</v>
      </c>
    </row>
    <row r="3815" ht="15.75" hidden="1" customHeight="1">
      <c r="A3815" s="47"/>
      <c r="B3815" s="47"/>
      <c r="C3815" s="47"/>
      <c r="D3815" s="47"/>
      <c r="E3815" s="47"/>
      <c r="F3815" s="47"/>
      <c r="G3815" s="47"/>
      <c r="H3815" s="47"/>
      <c r="I3815" s="47"/>
      <c r="J3815" s="1">
        <v>42.0</v>
      </c>
    </row>
    <row r="3816" ht="15.75" hidden="1" customHeight="1">
      <c r="A3816" s="47"/>
      <c r="B3816" s="47"/>
      <c r="C3816" s="47"/>
      <c r="D3816" s="47"/>
      <c r="E3816" s="47"/>
      <c r="F3816" s="47"/>
      <c r="G3816" s="47"/>
      <c r="H3816" s="47"/>
      <c r="I3816" s="47"/>
      <c r="J3816" s="1">
        <v>42.0</v>
      </c>
    </row>
    <row r="3817" ht="15.75" hidden="1" customHeight="1">
      <c r="A3817" s="47"/>
      <c r="B3817" s="47"/>
      <c r="C3817" s="47"/>
      <c r="D3817" s="47"/>
      <c r="E3817" s="47"/>
      <c r="F3817" s="47"/>
      <c r="G3817" s="47"/>
      <c r="H3817" s="47"/>
      <c r="I3817" s="47"/>
      <c r="J3817" s="1">
        <v>42.0</v>
      </c>
    </row>
    <row r="3818" ht="15.75" hidden="1" customHeight="1">
      <c r="A3818" s="47"/>
      <c r="B3818" s="47"/>
      <c r="C3818" s="47"/>
      <c r="D3818" s="47"/>
      <c r="E3818" s="47"/>
      <c r="F3818" s="47"/>
      <c r="G3818" s="47"/>
      <c r="H3818" s="47"/>
      <c r="I3818" s="47"/>
      <c r="J3818" s="1">
        <v>42.0</v>
      </c>
    </row>
    <row r="3819" ht="15.75" hidden="1" customHeight="1">
      <c r="A3819" s="47"/>
      <c r="B3819" s="47"/>
      <c r="C3819" s="47"/>
      <c r="D3819" s="47"/>
      <c r="E3819" s="47"/>
      <c r="F3819" s="47"/>
      <c r="G3819" s="47"/>
      <c r="H3819" s="47"/>
      <c r="I3819" s="47"/>
      <c r="J3819" s="1">
        <v>42.0</v>
      </c>
    </row>
    <row r="3820" ht="15.75" hidden="1" customHeight="1">
      <c r="A3820" s="47"/>
      <c r="B3820" s="47"/>
      <c r="C3820" s="47"/>
      <c r="D3820" s="47"/>
      <c r="E3820" s="47"/>
      <c r="F3820" s="47"/>
      <c r="G3820" s="47"/>
      <c r="H3820" s="47"/>
      <c r="I3820" s="47"/>
      <c r="J3820" s="1">
        <v>42.0</v>
      </c>
    </row>
    <row r="3821" ht="15.75" hidden="1" customHeight="1">
      <c r="A3821" s="47"/>
      <c r="B3821" s="47"/>
      <c r="C3821" s="47"/>
      <c r="D3821" s="47"/>
      <c r="E3821" s="47"/>
      <c r="F3821" s="47"/>
      <c r="G3821" s="47"/>
      <c r="H3821" s="47"/>
      <c r="I3821" s="47"/>
      <c r="J3821" s="1">
        <v>42.0</v>
      </c>
    </row>
    <row r="3822" ht="15.75" hidden="1" customHeight="1">
      <c r="A3822" s="47"/>
      <c r="B3822" s="47"/>
      <c r="C3822" s="47"/>
      <c r="D3822" s="47"/>
      <c r="E3822" s="47"/>
      <c r="F3822" s="47"/>
      <c r="G3822" s="47"/>
      <c r="H3822" s="47"/>
      <c r="I3822" s="47"/>
      <c r="J3822" s="1">
        <v>42.0</v>
      </c>
    </row>
    <row r="3823" ht="15.75" hidden="1" customHeight="1">
      <c r="A3823" s="47"/>
      <c r="B3823" s="47"/>
      <c r="C3823" s="47"/>
      <c r="D3823" s="47"/>
      <c r="E3823" s="47"/>
      <c r="F3823" s="47"/>
      <c r="G3823" s="47"/>
      <c r="H3823" s="47"/>
      <c r="I3823" s="47"/>
      <c r="J3823" s="1">
        <v>42.0</v>
      </c>
    </row>
    <row r="3824" ht="15.75" hidden="1" customHeight="1">
      <c r="A3824" s="47"/>
      <c r="B3824" s="47"/>
      <c r="C3824" s="47"/>
      <c r="D3824" s="47"/>
      <c r="E3824" s="47"/>
      <c r="F3824" s="47"/>
      <c r="G3824" s="47"/>
      <c r="H3824" s="47"/>
      <c r="I3824" s="47"/>
      <c r="J3824" s="1">
        <v>42.0</v>
      </c>
    </row>
    <row r="3825" ht="15.75" hidden="1" customHeight="1">
      <c r="A3825" s="47"/>
      <c r="B3825" s="47"/>
      <c r="C3825" s="47"/>
      <c r="D3825" s="47"/>
      <c r="E3825" s="47"/>
      <c r="F3825" s="47"/>
      <c r="G3825" s="47"/>
      <c r="H3825" s="47"/>
      <c r="I3825" s="47"/>
      <c r="J3825" s="1">
        <v>42.0</v>
      </c>
    </row>
    <row r="3826" ht="15.75" hidden="1" customHeight="1">
      <c r="A3826" s="47"/>
      <c r="B3826" s="47"/>
      <c r="C3826" s="47"/>
      <c r="D3826" s="47"/>
      <c r="E3826" s="47"/>
      <c r="F3826" s="47"/>
      <c r="G3826" s="47"/>
      <c r="H3826" s="47"/>
      <c r="I3826" s="47"/>
      <c r="J3826" s="1">
        <v>42.0</v>
      </c>
    </row>
    <row r="3827" ht="15.75" hidden="1" customHeight="1">
      <c r="A3827" s="47"/>
      <c r="B3827" s="47"/>
      <c r="C3827" s="47"/>
      <c r="D3827" s="47"/>
      <c r="E3827" s="47"/>
      <c r="F3827" s="47"/>
      <c r="G3827" s="47"/>
      <c r="H3827" s="47"/>
      <c r="I3827" s="47"/>
      <c r="J3827" s="1">
        <v>42.0</v>
      </c>
    </row>
    <row r="3828" ht="15.75" hidden="1" customHeight="1">
      <c r="A3828" s="47"/>
      <c r="B3828" s="47"/>
      <c r="C3828" s="47"/>
      <c r="D3828" s="47"/>
      <c r="E3828" s="47"/>
      <c r="F3828" s="47"/>
      <c r="G3828" s="47"/>
      <c r="H3828" s="47"/>
      <c r="I3828" s="47"/>
      <c r="J3828" s="1">
        <v>42.0</v>
      </c>
    </row>
    <row r="3829" ht="15.75" hidden="1" customHeight="1">
      <c r="A3829" s="47"/>
      <c r="B3829" s="47"/>
      <c r="C3829" s="47"/>
      <c r="D3829" s="47"/>
      <c r="E3829" s="47"/>
      <c r="F3829" s="47"/>
      <c r="G3829" s="47"/>
      <c r="H3829" s="47"/>
      <c r="I3829" s="47"/>
      <c r="J3829" s="1">
        <v>42.0</v>
      </c>
    </row>
    <row r="3830" ht="15.75" hidden="1" customHeight="1">
      <c r="A3830" s="47"/>
      <c r="B3830" s="47"/>
      <c r="C3830" s="47"/>
      <c r="D3830" s="47"/>
      <c r="E3830" s="47"/>
      <c r="F3830" s="47"/>
      <c r="G3830" s="47"/>
      <c r="H3830" s="47"/>
      <c r="I3830" s="47"/>
      <c r="J3830" s="1">
        <v>42.0</v>
      </c>
    </row>
    <row r="3831" ht="15.75" hidden="1" customHeight="1">
      <c r="A3831" s="47"/>
      <c r="B3831" s="47"/>
      <c r="C3831" s="47"/>
      <c r="D3831" s="47"/>
      <c r="E3831" s="47"/>
      <c r="F3831" s="47"/>
      <c r="G3831" s="47"/>
      <c r="H3831" s="47"/>
      <c r="I3831" s="47"/>
      <c r="J3831" s="1">
        <v>42.0</v>
      </c>
    </row>
    <row r="3832" ht="15.75" hidden="1" customHeight="1">
      <c r="A3832" s="47"/>
      <c r="B3832" s="47"/>
      <c r="C3832" s="47"/>
      <c r="D3832" s="47"/>
      <c r="E3832" s="47"/>
      <c r="F3832" s="47"/>
      <c r="G3832" s="47"/>
      <c r="H3832" s="47"/>
      <c r="I3832" s="47"/>
      <c r="J3832" s="1">
        <v>42.0</v>
      </c>
    </row>
    <row r="3833" ht="15.75" hidden="1" customHeight="1">
      <c r="A3833" s="47"/>
      <c r="B3833" s="47"/>
      <c r="C3833" s="47"/>
      <c r="D3833" s="47"/>
      <c r="E3833" s="47"/>
      <c r="F3833" s="47"/>
      <c r="G3833" s="47"/>
      <c r="H3833" s="47"/>
      <c r="I3833" s="47"/>
      <c r="J3833" s="1">
        <v>42.0</v>
      </c>
    </row>
    <row r="3834" ht="15.75" hidden="1" customHeight="1">
      <c r="A3834" s="47"/>
      <c r="B3834" s="47"/>
      <c r="C3834" s="47"/>
      <c r="D3834" s="47"/>
      <c r="E3834" s="47"/>
      <c r="F3834" s="47"/>
      <c r="G3834" s="47"/>
      <c r="H3834" s="47"/>
      <c r="I3834" s="47"/>
      <c r="J3834" s="1">
        <v>42.0</v>
      </c>
    </row>
    <row r="3835" ht="15.75" hidden="1" customHeight="1">
      <c r="A3835" s="47"/>
      <c r="B3835" s="47"/>
      <c r="C3835" s="47"/>
      <c r="D3835" s="47"/>
      <c r="E3835" s="47"/>
      <c r="F3835" s="47"/>
      <c r="G3835" s="47"/>
      <c r="H3835" s="47"/>
      <c r="I3835" s="47"/>
      <c r="J3835" s="1">
        <v>42.0</v>
      </c>
    </row>
    <row r="3836" ht="15.75" hidden="1" customHeight="1">
      <c r="A3836" s="47"/>
      <c r="B3836" s="47"/>
      <c r="C3836" s="47"/>
      <c r="D3836" s="47"/>
      <c r="E3836" s="47"/>
      <c r="F3836" s="47"/>
      <c r="G3836" s="47"/>
      <c r="H3836" s="47"/>
      <c r="I3836" s="47"/>
      <c r="J3836" s="1">
        <v>42.0</v>
      </c>
    </row>
    <row r="3837" ht="15.75" hidden="1" customHeight="1">
      <c r="A3837" s="47"/>
      <c r="B3837" s="47"/>
      <c r="C3837" s="47"/>
      <c r="D3837" s="47"/>
      <c r="E3837" s="47"/>
      <c r="F3837" s="47"/>
      <c r="G3837" s="47"/>
      <c r="H3837" s="47"/>
      <c r="I3837" s="47"/>
      <c r="J3837" s="1">
        <v>42.0</v>
      </c>
    </row>
    <row r="3838" ht="15.75" hidden="1" customHeight="1">
      <c r="A3838" s="47"/>
      <c r="B3838" s="47"/>
      <c r="C3838" s="47"/>
      <c r="D3838" s="47"/>
      <c r="E3838" s="47"/>
      <c r="F3838" s="47"/>
      <c r="G3838" s="47"/>
      <c r="H3838" s="47"/>
      <c r="I3838" s="47"/>
      <c r="J3838" s="1">
        <v>42.0</v>
      </c>
    </row>
    <row r="3839" ht="15.75" hidden="1" customHeight="1">
      <c r="A3839" s="47"/>
      <c r="B3839" s="47"/>
      <c r="C3839" s="47"/>
      <c r="D3839" s="47"/>
      <c r="E3839" s="47"/>
      <c r="F3839" s="47"/>
      <c r="G3839" s="47"/>
      <c r="H3839" s="47"/>
      <c r="I3839" s="47"/>
      <c r="J3839" s="1">
        <v>42.0</v>
      </c>
    </row>
    <row r="3840" ht="15.75" hidden="1" customHeight="1">
      <c r="A3840" s="47"/>
      <c r="B3840" s="47"/>
      <c r="C3840" s="47"/>
      <c r="D3840" s="47"/>
      <c r="E3840" s="47"/>
      <c r="F3840" s="47"/>
      <c r="G3840" s="47"/>
      <c r="H3840" s="47"/>
      <c r="I3840" s="47"/>
      <c r="J3840" s="1">
        <v>42.0</v>
      </c>
    </row>
    <row r="3841" ht="15.75" hidden="1" customHeight="1">
      <c r="A3841" s="47"/>
      <c r="B3841" s="47"/>
      <c r="C3841" s="47"/>
      <c r="D3841" s="47"/>
      <c r="E3841" s="47"/>
      <c r="F3841" s="47"/>
      <c r="G3841" s="47"/>
      <c r="H3841" s="47"/>
      <c r="I3841" s="47"/>
      <c r="J3841" s="1">
        <v>42.0</v>
      </c>
    </row>
    <row r="3842" ht="15.75" hidden="1" customHeight="1">
      <c r="A3842" s="47"/>
      <c r="B3842" s="47"/>
      <c r="C3842" s="47"/>
      <c r="D3842" s="47"/>
      <c r="E3842" s="47"/>
      <c r="F3842" s="47"/>
      <c r="G3842" s="47"/>
      <c r="H3842" s="47"/>
      <c r="I3842" s="47"/>
      <c r="J3842" s="1">
        <v>42.0</v>
      </c>
    </row>
    <row r="3843" ht="15.75" hidden="1" customHeight="1">
      <c r="A3843" s="47"/>
      <c r="B3843" s="47"/>
      <c r="C3843" s="47"/>
      <c r="D3843" s="47"/>
      <c r="E3843" s="47"/>
      <c r="F3843" s="47"/>
      <c r="G3843" s="47"/>
      <c r="H3843" s="47"/>
      <c r="I3843" s="47"/>
      <c r="J3843" s="1">
        <v>42.0</v>
      </c>
    </row>
    <row r="3844" ht="15.75" hidden="1" customHeight="1">
      <c r="A3844" s="47"/>
      <c r="B3844" s="47"/>
      <c r="C3844" s="47"/>
      <c r="D3844" s="47"/>
      <c r="E3844" s="47"/>
      <c r="F3844" s="47"/>
      <c r="G3844" s="47"/>
      <c r="H3844" s="47"/>
      <c r="I3844" s="47"/>
      <c r="J3844" s="1">
        <v>42.0</v>
      </c>
    </row>
    <row r="3845" ht="15.75" hidden="1" customHeight="1">
      <c r="A3845" s="47"/>
      <c r="B3845" s="47"/>
      <c r="C3845" s="47"/>
      <c r="D3845" s="47"/>
      <c r="E3845" s="47"/>
      <c r="F3845" s="47"/>
      <c r="G3845" s="47"/>
      <c r="H3845" s="47"/>
      <c r="I3845" s="47"/>
      <c r="J3845" s="1">
        <v>42.0</v>
      </c>
    </row>
    <row r="3846" ht="15.75" hidden="1" customHeight="1">
      <c r="A3846" s="47"/>
      <c r="B3846" s="47"/>
      <c r="C3846" s="47"/>
      <c r="D3846" s="47"/>
      <c r="E3846" s="47"/>
      <c r="F3846" s="47"/>
      <c r="G3846" s="47"/>
      <c r="H3846" s="47"/>
      <c r="I3846" s="47"/>
      <c r="J3846" s="1">
        <v>42.0</v>
      </c>
    </row>
    <row r="3847" ht="15.75" hidden="1" customHeight="1">
      <c r="A3847" s="47"/>
      <c r="B3847" s="47"/>
      <c r="C3847" s="47"/>
      <c r="D3847" s="47"/>
      <c r="E3847" s="47"/>
      <c r="F3847" s="47"/>
      <c r="G3847" s="47"/>
      <c r="H3847" s="47"/>
      <c r="I3847" s="47"/>
      <c r="J3847" s="1">
        <v>42.0</v>
      </c>
    </row>
    <row r="3848" ht="15.75" hidden="1" customHeight="1">
      <c r="A3848" s="47"/>
      <c r="B3848" s="47"/>
      <c r="C3848" s="47"/>
      <c r="D3848" s="47"/>
      <c r="E3848" s="47"/>
      <c r="F3848" s="47"/>
      <c r="G3848" s="47"/>
      <c r="H3848" s="47"/>
      <c r="I3848" s="47"/>
      <c r="J3848" s="1">
        <v>42.0</v>
      </c>
    </row>
    <row r="3849" ht="15.75" hidden="1" customHeight="1">
      <c r="A3849" s="47"/>
      <c r="B3849" s="47"/>
      <c r="C3849" s="47"/>
      <c r="D3849" s="47"/>
      <c r="E3849" s="47"/>
      <c r="F3849" s="47"/>
      <c r="G3849" s="47"/>
      <c r="H3849" s="47"/>
      <c r="I3849" s="47"/>
      <c r="J3849" s="1">
        <v>42.0</v>
      </c>
    </row>
    <row r="3850" ht="15.75" hidden="1" customHeight="1">
      <c r="A3850" s="47"/>
      <c r="B3850" s="47"/>
      <c r="C3850" s="47"/>
      <c r="D3850" s="47"/>
      <c r="E3850" s="47"/>
      <c r="F3850" s="47"/>
      <c r="G3850" s="47"/>
      <c r="H3850" s="47"/>
      <c r="I3850" s="47"/>
      <c r="J3850" s="1">
        <v>42.0</v>
      </c>
    </row>
    <row r="3851" ht="15.75" hidden="1" customHeight="1">
      <c r="A3851" s="47"/>
      <c r="B3851" s="47"/>
      <c r="C3851" s="47"/>
      <c r="D3851" s="47"/>
      <c r="E3851" s="47"/>
      <c r="F3851" s="47"/>
      <c r="G3851" s="47"/>
      <c r="H3851" s="47"/>
      <c r="I3851" s="47"/>
      <c r="J3851" s="1">
        <v>42.0</v>
      </c>
    </row>
    <row r="3852" ht="15.75" hidden="1" customHeight="1">
      <c r="A3852" s="47"/>
      <c r="B3852" s="47"/>
      <c r="C3852" s="47"/>
      <c r="D3852" s="47"/>
      <c r="E3852" s="47"/>
      <c r="F3852" s="47"/>
      <c r="G3852" s="47"/>
      <c r="H3852" s="47"/>
      <c r="I3852" s="47"/>
      <c r="J3852" s="1">
        <v>42.0</v>
      </c>
    </row>
    <row r="3853" ht="15.75" hidden="1" customHeight="1">
      <c r="A3853" s="47"/>
      <c r="B3853" s="47"/>
      <c r="C3853" s="47"/>
      <c r="D3853" s="47"/>
      <c r="E3853" s="47"/>
      <c r="F3853" s="47"/>
      <c r="G3853" s="47"/>
      <c r="H3853" s="47"/>
      <c r="I3853" s="47"/>
      <c r="J3853" s="1">
        <v>42.0</v>
      </c>
    </row>
    <row r="3854" ht="15.75" hidden="1" customHeight="1">
      <c r="A3854" s="47"/>
      <c r="B3854" s="47"/>
      <c r="C3854" s="47"/>
      <c r="D3854" s="47"/>
      <c r="E3854" s="47"/>
      <c r="F3854" s="47"/>
      <c r="G3854" s="47"/>
      <c r="H3854" s="47"/>
      <c r="I3854" s="47"/>
      <c r="J3854" s="1">
        <v>42.0</v>
      </c>
    </row>
    <row r="3855" ht="15.75" hidden="1" customHeight="1">
      <c r="A3855" s="47"/>
      <c r="B3855" s="47"/>
      <c r="C3855" s="47"/>
      <c r="D3855" s="47"/>
      <c r="E3855" s="47"/>
      <c r="F3855" s="47"/>
      <c r="G3855" s="47"/>
      <c r="H3855" s="47"/>
      <c r="I3855" s="47"/>
      <c r="J3855" s="1">
        <v>42.0</v>
      </c>
    </row>
    <row r="3856" ht="15.75" hidden="1" customHeight="1">
      <c r="A3856" s="47"/>
      <c r="B3856" s="47"/>
      <c r="C3856" s="47"/>
      <c r="D3856" s="47"/>
      <c r="E3856" s="47"/>
      <c r="F3856" s="47"/>
      <c r="G3856" s="47"/>
      <c r="H3856" s="47"/>
      <c r="I3856" s="47"/>
      <c r="J3856" s="1">
        <v>42.0</v>
      </c>
    </row>
    <row r="3857" ht="15.75" hidden="1" customHeight="1">
      <c r="A3857" s="47"/>
      <c r="B3857" s="47"/>
      <c r="C3857" s="47"/>
      <c r="D3857" s="47"/>
      <c r="E3857" s="47"/>
      <c r="F3857" s="47"/>
      <c r="G3857" s="47"/>
      <c r="H3857" s="47"/>
      <c r="I3857" s="47"/>
      <c r="J3857" s="1">
        <v>42.0</v>
      </c>
    </row>
    <row r="3858" ht="15.75" hidden="1" customHeight="1">
      <c r="A3858" s="47"/>
      <c r="B3858" s="47"/>
      <c r="C3858" s="47"/>
      <c r="D3858" s="47"/>
      <c r="E3858" s="47"/>
      <c r="F3858" s="47"/>
      <c r="G3858" s="47"/>
      <c r="H3858" s="47"/>
      <c r="I3858" s="47"/>
      <c r="J3858" s="1">
        <v>42.0</v>
      </c>
    </row>
    <row r="3859" ht="15.75" hidden="1" customHeight="1">
      <c r="A3859" s="47"/>
      <c r="B3859" s="47"/>
      <c r="C3859" s="47"/>
      <c r="D3859" s="47"/>
      <c r="E3859" s="47"/>
      <c r="F3859" s="47"/>
      <c r="G3859" s="47"/>
      <c r="H3859" s="47"/>
      <c r="I3859" s="47"/>
      <c r="J3859" s="1">
        <v>42.0</v>
      </c>
    </row>
    <row r="3860" ht="15.75" hidden="1" customHeight="1">
      <c r="A3860" s="47"/>
      <c r="B3860" s="47"/>
      <c r="C3860" s="47"/>
      <c r="D3860" s="47"/>
      <c r="E3860" s="47"/>
      <c r="F3860" s="47"/>
      <c r="G3860" s="47"/>
      <c r="H3860" s="47"/>
      <c r="I3860" s="47"/>
      <c r="J3860" s="1">
        <v>42.0</v>
      </c>
    </row>
    <row r="3861" ht="15.75" hidden="1" customHeight="1">
      <c r="A3861" s="47"/>
      <c r="B3861" s="47"/>
      <c r="C3861" s="47"/>
      <c r="D3861" s="47"/>
      <c r="E3861" s="47"/>
      <c r="F3861" s="47"/>
      <c r="G3861" s="47"/>
      <c r="H3861" s="47"/>
      <c r="I3861" s="47"/>
      <c r="J3861" s="1">
        <v>42.0</v>
      </c>
    </row>
    <row r="3862" ht="15.75" hidden="1" customHeight="1">
      <c r="A3862" s="47"/>
      <c r="B3862" s="47"/>
      <c r="C3862" s="47"/>
      <c r="D3862" s="47"/>
      <c r="E3862" s="47"/>
      <c r="F3862" s="47"/>
      <c r="G3862" s="47"/>
      <c r="H3862" s="47"/>
      <c r="I3862" s="47"/>
      <c r="J3862" s="1">
        <v>42.0</v>
      </c>
    </row>
    <row r="3863" ht="15.75" hidden="1" customHeight="1">
      <c r="A3863" s="47"/>
      <c r="B3863" s="47"/>
      <c r="C3863" s="47"/>
      <c r="D3863" s="47"/>
      <c r="E3863" s="47"/>
      <c r="F3863" s="47"/>
      <c r="G3863" s="47"/>
      <c r="H3863" s="47"/>
      <c r="I3863" s="47"/>
      <c r="J3863" s="1">
        <v>42.0</v>
      </c>
    </row>
    <row r="3864" ht="15.75" hidden="1" customHeight="1">
      <c r="A3864" s="47"/>
      <c r="B3864" s="47"/>
      <c r="C3864" s="47"/>
      <c r="D3864" s="47"/>
      <c r="E3864" s="47"/>
      <c r="F3864" s="47"/>
      <c r="G3864" s="47"/>
      <c r="H3864" s="47"/>
      <c r="I3864" s="47"/>
      <c r="J3864" s="1">
        <v>42.0</v>
      </c>
    </row>
    <row r="3865" ht="15.75" hidden="1" customHeight="1">
      <c r="A3865" s="47"/>
      <c r="B3865" s="47"/>
      <c r="C3865" s="47"/>
      <c r="D3865" s="47"/>
      <c r="E3865" s="47"/>
      <c r="F3865" s="47"/>
      <c r="G3865" s="47"/>
      <c r="H3865" s="47"/>
      <c r="I3865" s="47"/>
      <c r="J3865" s="1">
        <v>42.0</v>
      </c>
    </row>
    <row r="3866" ht="15.75" hidden="1" customHeight="1">
      <c r="A3866" s="47"/>
      <c r="B3866" s="47"/>
      <c r="C3866" s="47"/>
      <c r="D3866" s="47"/>
      <c r="E3866" s="47"/>
      <c r="F3866" s="47"/>
      <c r="G3866" s="47"/>
      <c r="H3866" s="47"/>
      <c r="I3866" s="47"/>
      <c r="J3866" s="1">
        <v>42.0</v>
      </c>
    </row>
    <row r="3867" ht="15.75" hidden="1" customHeight="1">
      <c r="A3867" s="47"/>
      <c r="B3867" s="47"/>
      <c r="C3867" s="47"/>
      <c r="D3867" s="47"/>
      <c r="E3867" s="47"/>
      <c r="F3867" s="47"/>
      <c r="G3867" s="47"/>
      <c r="H3867" s="47"/>
      <c r="I3867" s="47"/>
      <c r="J3867" s="1">
        <v>42.0</v>
      </c>
    </row>
    <row r="3868" ht="15.75" hidden="1" customHeight="1">
      <c r="A3868" s="47"/>
      <c r="B3868" s="47"/>
      <c r="C3868" s="47"/>
      <c r="D3868" s="47"/>
      <c r="E3868" s="47"/>
      <c r="F3868" s="47"/>
      <c r="G3868" s="47"/>
      <c r="H3868" s="47"/>
      <c r="I3868" s="47"/>
      <c r="J3868" s="1">
        <v>42.0</v>
      </c>
    </row>
    <row r="3869" ht="15.75" hidden="1" customHeight="1">
      <c r="A3869" s="47"/>
      <c r="B3869" s="47"/>
      <c r="C3869" s="47"/>
      <c r="D3869" s="47"/>
      <c r="E3869" s="47"/>
      <c r="F3869" s="47"/>
      <c r="G3869" s="47"/>
      <c r="H3869" s="47"/>
      <c r="I3869" s="47"/>
      <c r="J3869" s="1">
        <v>42.0</v>
      </c>
    </row>
    <row r="3870" ht="15.75" hidden="1" customHeight="1">
      <c r="A3870" s="47"/>
      <c r="B3870" s="47"/>
      <c r="C3870" s="47"/>
      <c r="D3870" s="47"/>
      <c r="E3870" s="47"/>
      <c r="F3870" s="47"/>
      <c r="G3870" s="47"/>
      <c r="H3870" s="47"/>
      <c r="I3870" s="47"/>
      <c r="J3870" s="1">
        <v>42.0</v>
      </c>
    </row>
    <row r="3871" ht="15.75" hidden="1" customHeight="1">
      <c r="A3871" s="47"/>
      <c r="B3871" s="47"/>
      <c r="C3871" s="47"/>
      <c r="D3871" s="47"/>
      <c r="E3871" s="47"/>
      <c r="F3871" s="47"/>
      <c r="G3871" s="47"/>
      <c r="H3871" s="47"/>
      <c r="I3871" s="47"/>
      <c r="J3871" s="1">
        <v>42.0</v>
      </c>
    </row>
    <row r="3872" ht="15.75" hidden="1" customHeight="1">
      <c r="A3872" s="47"/>
      <c r="B3872" s="47"/>
      <c r="C3872" s="47"/>
      <c r="D3872" s="47"/>
      <c r="E3872" s="47"/>
      <c r="F3872" s="47"/>
      <c r="G3872" s="47"/>
      <c r="H3872" s="47"/>
      <c r="I3872" s="47"/>
      <c r="J3872" s="1">
        <v>42.0</v>
      </c>
    </row>
    <row r="3873" ht="15.75" hidden="1" customHeight="1">
      <c r="A3873" s="47"/>
      <c r="B3873" s="47"/>
      <c r="C3873" s="47"/>
      <c r="D3873" s="47"/>
      <c r="E3873" s="47"/>
      <c r="F3873" s="47"/>
      <c r="G3873" s="47"/>
      <c r="H3873" s="47"/>
      <c r="I3873" s="47"/>
      <c r="J3873" s="1">
        <v>42.0</v>
      </c>
    </row>
    <row r="3874" ht="15.75" hidden="1" customHeight="1">
      <c r="A3874" s="47"/>
      <c r="B3874" s="47"/>
      <c r="C3874" s="47"/>
      <c r="D3874" s="47"/>
      <c r="E3874" s="47"/>
      <c r="F3874" s="47"/>
      <c r="G3874" s="47"/>
      <c r="H3874" s="47"/>
      <c r="I3874" s="47"/>
      <c r="J3874" s="1">
        <v>42.0</v>
      </c>
    </row>
    <row r="3875" ht="15.75" hidden="1" customHeight="1">
      <c r="A3875" s="47"/>
      <c r="B3875" s="47"/>
      <c r="C3875" s="47"/>
      <c r="D3875" s="47"/>
      <c r="E3875" s="47"/>
      <c r="F3875" s="47"/>
      <c r="G3875" s="47"/>
      <c r="H3875" s="47"/>
      <c r="I3875" s="47"/>
      <c r="J3875" s="1">
        <v>42.0</v>
      </c>
    </row>
    <row r="3876" ht="15.75" hidden="1" customHeight="1">
      <c r="A3876" s="47"/>
      <c r="B3876" s="47"/>
      <c r="C3876" s="47"/>
      <c r="D3876" s="47"/>
      <c r="E3876" s="47"/>
      <c r="F3876" s="47"/>
      <c r="G3876" s="47"/>
      <c r="H3876" s="47"/>
      <c r="I3876" s="47"/>
      <c r="J3876" s="1">
        <v>42.0</v>
      </c>
    </row>
    <row r="3877" ht="15.75" hidden="1" customHeight="1">
      <c r="A3877" s="47"/>
      <c r="B3877" s="47"/>
      <c r="C3877" s="47"/>
      <c r="D3877" s="47"/>
      <c r="E3877" s="47"/>
      <c r="F3877" s="47"/>
      <c r="G3877" s="47"/>
      <c r="H3877" s="47"/>
      <c r="I3877" s="47"/>
      <c r="J3877" s="1">
        <v>42.0</v>
      </c>
    </row>
    <row r="3878" ht="15.75" hidden="1" customHeight="1">
      <c r="A3878" s="47"/>
      <c r="B3878" s="47"/>
      <c r="C3878" s="47"/>
      <c r="D3878" s="47"/>
      <c r="E3878" s="47"/>
      <c r="F3878" s="47"/>
      <c r="G3878" s="47"/>
      <c r="H3878" s="47"/>
      <c r="I3878" s="47"/>
      <c r="J3878" s="1">
        <v>42.0</v>
      </c>
    </row>
    <row r="3879" ht="15.75" hidden="1" customHeight="1">
      <c r="A3879" s="47"/>
      <c r="B3879" s="47"/>
      <c r="C3879" s="47"/>
      <c r="D3879" s="47"/>
      <c r="E3879" s="47"/>
      <c r="F3879" s="47"/>
      <c r="G3879" s="47"/>
      <c r="H3879" s="47"/>
      <c r="I3879" s="47"/>
      <c r="J3879" s="1">
        <v>42.0</v>
      </c>
    </row>
    <row r="3880" ht="15.75" hidden="1" customHeight="1">
      <c r="A3880" s="47"/>
      <c r="B3880" s="47"/>
      <c r="C3880" s="47"/>
      <c r="D3880" s="47"/>
      <c r="E3880" s="47"/>
      <c r="F3880" s="47"/>
      <c r="G3880" s="47"/>
      <c r="H3880" s="47"/>
      <c r="I3880" s="47"/>
      <c r="J3880" s="1">
        <v>42.0</v>
      </c>
    </row>
    <row r="3881" ht="15.75" hidden="1" customHeight="1">
      <c r="A3881" s="47"/>
      <c r="B3881" s="47"/>
      <c r="C3881" s="47"/>
      <c r="D3881" s="47"/>
      <c r="E3881" s="47"/>
      <c r="F3881" s="47"/>
      <c r="G3881" s="47"/>
      <c r="H3881" s="47"/>
      <c r="I3881" s="47"/>
      <c r="J3881" s="1">
        <v>42.0</v>
      </c>
    </row>
    <row r="3882" ht="15.75" hidden="1" customHeight="1">
      <c r="A3882" s="47"/>
      <c r="B3882" s="47"/>
      <c r="C3882" s="47"/>
      <c r="D3882" s="47"/>
      <c r="E3882" s="47"/>
      <c r="F3882" s="47"/>
      <c r="G3882" s="47"/>
      <c r="H3882" s="47"/>
      <c r="I3882" s="47"/>
      <c r="J3882" s="1">
        <v>42.0</v>
      </c>
    </row>
    <row r="3883" ht="15.75" hidden="1" customHeight="1">
      <c r="A3883" s="47"/>
      <c r="B3883" s="47"/>
      <c r="C3883" s="47"/>
      <c r="D3883" s="47"/>
      <c r="E3883" s="47"/>
      <c r="F3883" s="47"/>
      <c r="G3883" s="47"/>
      <c r="H3883" s="47"/>
      <c r="I3883" s="47"/>
      <c r="J3883" s="1">
        <v>42.0</v>
      </c>
    </row>
    <row r="3884" ht="15.75" hidden="1" customHeight="1">
      <c r="A3884" s="47"/>
      <c r="B3884" s="47"/>
      <c r="C3884" s="47"/>
      <c r="D3884" s="47"/>
      <c r="E3884" s="47"/>
      <c r="F3884" s="47"/>
      <c r="G3884" s="47"/>
      <c r="H3884" s="47"/>
      <c r="I3884" s="47"/>
      <c r="J3884" s="1">
        <v>42.0</v>
      </c>
    </row>
    <row r="3885" ht="15.75" hidden="1" customHeight="1">
      <c r="A3885" s="47"/>
      <c r="B3885" s="47"/>
      <c r="C3885" s="47"/>
      <c r="D3885" s="47"/>
      <c r="E3885" s="47"/>
      <c r="F3885" s="47"/>
      <c r="G3885" s="47"/>
      <c r="H3885" s="47"/>
      <c r="I3885" s="47"/>
      <c r="J3885" s="1">
        <v>42.0</v>
      </c>
    </row>
    <row r="3886" ht="15.75" hidden="1" customHeight="1">
      <c r="A3886" s="47"/>
      <c r="B3886" s="47"/>
      <c r="C3886" s="47"/>
      <c r="D3886" s="47"/>
      <c r="E3886" s="47"/>
      <c r="F3886" s="47"/>
      <c r="G3886" s="47"/>
      <c r="H3886" s="47"/>
      <c r="I3886" s="47"/>
      <c r="J3886" s="1">
        <v>42.0</v>
      </c>
    </row>
    <row r="3887" ht="15.75" hidden="1" customHeight="1">
      <c r="A3887" s="47"/>
      <c r="B3887" s="47"/>
      <c r="C3887" s="47"/>
      <c r="D3887" s="47"/>
      <c r="E3887" s="47"/>
      <c r="F3887" s="47"/>
      <c r="G3887" s="47"/>
      <c r="H3887" s="47"/>
      <c r="I3887" s="47"/>
      <c r="J3887" s="1">
        <v>42.0</v>
      </c>
    </row>
    <row r="3888" ht="15.75" hidden="1" customHeight="1">
      <c r="A3888" s="47"/>
      <c r="B3888" s="47"/>
      <c r="C3888" s="47"/>
      <c r="D3888" s="47"/>
      <c r="E3888" s="47"/>
      <c r="F3888" s="47"/>
      <c r="G3888" s="47"/>
      <c r="H3888" s="47"/>
      <c r="I3888" s="47"/>
      <c r="J3888" s="1">
        <v>42.0</v>
      </c>
    </row>
    <row r="3889" ht="15.75" hidden="1" customHeight="1">
      <c r="A3889" s="47"/>
      <c r="B3889" s="47"/>
      <c r="C3889" s="47"/>
      <c r="D3889" s="47"/>
      <c r="E3889" s="47"/>
      <c r="F3889" s="47"/>
      <c r="G3889" s="47"/>
      <c r="H3889" s="47"/>
      <c r="I3889" s="47"/>
      <c r="J3889" s="1">
        <v>42.0</v>
      </c>
    </row>
    <row r="3890" ht="15.75" hidden="1" customHeight="1">
      <c r="A3890" s="47"/>
      <c r="B3890" s="47"/>
      <c r="C3890" s="47"/>
      <c r="D3890" s="47"/>
      <c r="E3890" s="47"/>
      <c r="F3890" s="47"/>
      <c r="G3890" s="47"/>
      <c r="H3890" s="47"/>
      <c r="I3890" s="47"/>
      <c r="J3890" s="1">
        <v>42.0</v>
      </c>
    </row>
    <row r="3891" ht="15.75" hidden="1" customHeight="1">
      <c r="A3891" s="47"/>
      <c r="B3891" s="47"/>
      <c r="C3891" s="47"/>
      <c r="D3891" s="47"/>
      <c r="E3891" s="47"/>
      <c r="F3891" s="47"/>
      <c r="G3891" s="47"/>
      <c r="H3891" s="47"/>
      <c r="I3891" s="47"/>
      <c r="J3891" s="1">
        <v>42.0</v>
      </c>
    </row>
    <row r="3892" ht="15.75" hidden="1" customHeight="1">
      <c r="A3892" s="47"/>
      <c r="B3892" s="47"/>
      <c r="C3892" s="47"/>
      <c r="D3892" s="47"/>
      <c r="E3892" s="47"/>
      <c r="F3892" s="47"/>
      <c r="G3892" s="47"/>
      <c r="H3892" s="47"/>
      <c r="I3892" s="47"/>
      <c r="J3892" s="1">
        <v>42.0</v>
      </c>
    </row>
    <row r="3893" ht="15.75" hidden="1" customHeight="1">
      <c r="A3893" s="47"/>
      <c r="B3893" s="47"/>
      <c r="C3893" s="47"/>
      <c r="D3893" s="47"/>
      <c r="E3893" s="47"/>
      <c r="F3893" s="47"/>
      <c r="G3893" s="47"/>
      <c r="H3893" s="47"/>
      <c r="I3893" s="47"/>
      <c r="J3893" s="1">
        <v>42.0</v>
      </c>
    </row>
    <row r="3894" ht="15.75" hidden="1" customHeight="1">
      <c r="A3894" s="47"/>
      <c r="B3894" s="47"/>
      <c r="C3894" s="47"/>
      <c r="D3894" s="47"/>
      <c r="E3894" s="47"/>
      <c r="F3894" s="47"/>
      <c r="G3894" s="47"/>
      <c r="H3894" s="47"/>
      <c r="I3894" s="47"/>
      <c r="J3894" s="1">
        <v>42.0</v>
      </c>
    </row>
    <row r="3895" ht="15.75" hidden="1" customHeight="1">
      <c r="A3895" s="47"/>
      <c r="B3895" s="47"/>
      <c r="C3895" s="47"/>
      <c r="D3895" s="47"/>
      <c r="E3895" s="47"/>
      <c r="F3895" s="47"/>
      <c r="G3895" s="47"/>
      <c r="H3895" s="47"/>
      <c r="I3895" s="47"/>
      <c r="J3895" s="1">
        <v>42.0</v>
      </c>
    </row>
    <row r="3896" ht="15.75" hidden="1" customHeight="1">
      <c r="A3896" s="47"/>
      <c r="B3896" s="47"/>
      <c r="C3896" s="47"/>
      <c r="D3896" s="47"/>
      <c r="E3896" s="47"/>
      <c r="F3896" s="47"/>
      <c r="G3896" s="47"/>
      <c r="H3896" s="47"/>
      <c r="I3896" s="47"/>
      <c r="J3896" s="1">
        <v>42.0</v>
      </c>
    </row>
    <row r="3897" ht="15.75" hidden="1" customHeight="1">
      <c r="A3897" s="47"/>
      <c r="B3897" s="47"/>
      <c r="C3897" s="47"/>
      <c r="D3897" s="47"/>
      <c r="E3897" s="47"/>
      <c r="F3897" s="47"/>
      <c r="G3897" s="47"/>
      <c r="H3897" s="47"/>
      <c r="I3897" s="47"/>
      <c r="J3897" s="1">
        <v>42.0</v>
      </c>
    </row>
    <row r="3898" ht="15.75" hidden="1" customHeight="1">
      <c r="A3898" s="47"/>
      <c r="B3898" s="47"/>
      <c r="C3898" s="47"/>
      <c r="D3898" s="47"/>
      <c r="E3898" s="47"/>
      <c r="F3898" s="47"/>
      <c r="G3898" s="47"/>
      <c r="H3898" s="47"/>
      <c r="I3898" s="47"/>
      <c r="J3898" s="1">
        <v>42.0</v>
      </c>
    </row>
    <row r="3899" ht="15.75" hidden="1" customHeight="1">
      <c r="A3899" s="47"/>
      <c r="B3899" s="47"/>
      <c r="C3899" s="47"/>
      <c r="D3899" s="47"/>
      <c r="E3899" s="47"/>
      <c r="F3899" s="47"/>
      <c r="G3899" s="47"/>
      <c r="H3899" s="47"/>
      <c r="I3899" s="47"/>
      <c r="J3899" s="1">
        <v>42.0</v>
      </c>
    </row>
    <row r="3900" ht="15.75" hidden="1" customHeight="1">
      <c r="A3900" s="47"/>
      <c r="B3900" s="47"/>
      <c r="C3900" s="47"/>
      <c r="D3900" s="47"/>
      <c r="E3900" s="47"/>
      <c r="F3900" s="47"/>
      <c r="G3900" s="47"/>
      <c r="H3900" s="47"/>
      <c r="I3900" s="47"/>
      <c r="J3900" s="1">
        <v>42.0</v>
      </c>
    </row>
    <row r="3901" ht="15.75" hidden="1" customHeight="1">
      <c r="A3901" s="47"/>
      <c r="B3901" s="47"/>
      <c r="C3901" s="47"/>
      <c r="D3901" s="47"/>
      <c r="E3901" s="47"/>
      <c r="F3901" s="47"/>
      <c r="G3901" s="47"/>
      <c r="H3901" s="47"/>
      <c r="I3901" s="47"/>
      <c r="J3901" s="1">
        <v>42.0</v>
      </c>
    </row>
    <row r="3902" ht="15.75" hidden="1" customHeight="1">
      <c r="A3902" s="47"/>
      <c r="B3902" s="47"/>
      <c r="C3902" s="47"/>
      <c r="D3902" s="47"/>
      <c r="E3902" s="47"/>
      <c r="F3902" s="47"/>
      <c r="G3902" s="47"/>
      <c r="H3902" s="47"/>
      <c r="I3902" s="47"/>
      <c r="J3902" s="1">
        <v>42.0</v>
      </c>
    </row>
    <row r="3903" ht="15.75" hidden="1" customHeight="1">
      <c r="A3903" s="47"/>
      <c r="B3903" s="47"/>
      <c r="C3903" s="47"/>
      <c r="D3903" s="47"/>
      <c r="E3903" s="47"/>
      <c r="F3903" s="47"/>
      <c r="G3903" s="47"/>
      <c r="H3903" s="47"/>
      <c r="I3903" s="47"/>
      <c r="J3903" s="1">
        <v>42.0</v>
      </c>
    </row>
    <row r="3904" ht="15.75" hidden="1" customHeight="1">
      <c r="A3904" s="47"/>
      <c r="B3904" s="47"/>
      <c r="C3904" s="47"/>
      <c r="D3904" s="47"/>
      <c r="E3904" s="47"/>
      <c r="F3904" s="47"/>
      <c r="G3904" s="47"/>
      <c r="H3904" s="47"/>
      <c r="I3904" s="47"/>
      <c r="J3904" s="1">
        <v>42.0</v>
      </c>
    </row>
    <row r="3905" ht="15.75" hidden="1" customHeight="1">
      <c r="A3905" s="47"/>
      <c r="B3905" s="47"/>
      <c r="C3905" s="47"/>
      <c r="D3905" s="47"/>
      <c r="E3905" s="47"/>
      <c r="F3905" s="47"/>
      <c r="G3905" s="47"/>
      <c r="H3905" s="47"/>
      <c r="I3905" s="47"/>
      <c r="J3905" s="1">
        <v>42.0</v>
      </c>
    </row>
    <row r="3906" ht="15.75" hidden="1" customHeight="1">
      <c r="A3906" s="47"/>
      <c r="B3906" s="47"/>
      <c r="C3906" s="47"/>
      <c r="D3906" s="47"/>
      <c r="E3906" s="47"/>
      <c r="F3906" s="47"/>
      <c r="G3906" s="47"/>
      <c r="H3906" s="47"/>
      <c r="I3906" s="47"/>
      <c r="J3906" s="1">
        <v>42.0</v>
      </c>
    </row>
    <row r="3907" ht="15.75" hidden="1" customHeight="1">
      <c r="A3907" s="47"/>
      <c r="B3907" s="47"/>
      <c r="C3907" s="47"/>
      <c r="D3907" s="47"/>
      <c r="E3907" s="47"/>
      <c r="F3907" s="47"/>
      <c r="G3907" s="47"/>
      <c r="H3907" s="47"/>
      <c r="I3907" s="47"/>
      <c r="J3907" s="1">
        <v>42.0</v>
      </c>
    </row>
    <row r="3908" ht="15.75" hidden="1" customHeight="1">
      <c r="A3908" s="47"/>
      <c r="B3908" s="47"/>
      <c r="C3908" s="47"/>
      <c r="D3908" s="47"/>
      <c r="E3908" s="47"/>
      <c r="F3908" s="47"/>
      <c r="G3908" s="47"/>
      <c r="H3908" s="47"/>
      <c r="I3908" s="47"/>
      <c r="J3908" s="1">
        <v>42.0</v>
      </c>
    </row>
    <row r="3909" ht="15.75" hidden="1" customHeight="1">
      <c r="A3909" s="47"/>
      <c r="B3909" s="47"/>
      <c r="C3909" s="47"/>
      <c r="D3909" s="47"/>
      <c r="E3909" s="47"/>
      <c r="F3909" s="47"/>
      <c r="G3909" s="47"/>
      <c r="H3909" s="47"/>
      <c r="I3909" s="47"/>
      <c r="J3909" s="1">
        <v>42.0</v>
      </c>
    </row>
    <row r="3910" ht="15.75" hidden="1" customHeight="1">
      <c r="A3910" s="47"/>
      <c r="B3910" s="47"/>
      <c r="C3910" s="47"/>
      <c r="D3910" s="47"/>
      <c r="E3910" s="47"/>
      <c r="F3910" s="47"/>
      <c r="G3910" s="47"/>
      <c r="H3910" s="47"/>
      <c r="I3910" s="47"/>
      <c r="J3910" s="1">
        <v>42.0</v>
      </c>
    </row>
    <row r="3911" ht="15.75" hidden="1" customHeight="1">
      <c r="A3911" s="47"/>
      <c r="B3911" s="47"/>
      <c r="C3911" s="47"/>
      <c r="D3911" s="47"/>
      <c r="E3911" s="47"/>
      <c r="F3911" s="47"/>
      <c r="G3911" s="47"/>
      <c r="H3911" s="47"/>
      <c r="I3911" s="47"/>
      <c r="J3911" s="1">
        <v>42.0</v>
      </c>
    </row>
    <row r="3912" ht="15.75" hidden="1" customHeight="1">
      <c r="A3912" s="47"/>
      <c r="B3912" s="47"/>
      <c r="C3912" s="47"/>
      <c r="D3912" s="47"/>
      <c r="E3912" s="47"/>
      <c r="F3912" s="47"/>
      <c r="G3912" s="47"/>
      <c r="H3912" s="47"/>
      <c r="I3912" s="47"/>
      <c r="J3912" s="1">
        <v>42.0</v>
      </c>
    </row>
    <row r="3913" ht="15.75" hidden="1" customHeight="1">
      <c r="A3913" s="47"/>
      <c r="B3913" s="47"/>
      <c r="C3913" s="47"/>
      <c r="D3913" s="47"/>
      <c r="E3913" s="47"/>
      <c r="F3913" s="47"/>
      <c r="G3913" s="47"/>
      <c r="H3913" s="47"/>
      <c r="I3913" s="47"/>
      <c r="J3913" s="1">
        <v>42.0</v>
      </c>
    </row>
    <row r="3914" ht="15.75" hidden="1" customHeight="1">
      <c r="A3914" s="47"/>
      <c r="B3914" s="47"/>
      <c r="C3914" s="47"/>
      <c r="D3914" s="47"/>
      <c r="E3914" s="47"/>
      <c r="F3914" s="47"/>
      <c r="G3914" s="47"/>
      <c r="H3914" s="47"/>
      <c r="I3914" s="47"/>
      <c r="J3914" s="1">
        <v>42.0</v>
      </c>
    </row>
    <row r="3915" ht="15.75" hidden="1" customHeight="1">
      <c r="A3915" s="47"/>
      <c r="B3915" s="47"/>
      <c r="C3915" s="47"/>
      <c r="D3915" s="47"/>
      <c r="E3915" s="47"/>
      <c r="F3915" s="47"/>
      <c r="G3915" s="47"/>
      <c r="H3915" s="47"/>
      <c r="I3915" s="47"/>
      <c r="J3915" s="1">
        <v>42.0</v>
      </c>
    </row>
    <row r="3916" ht="15.75" hidden="1" customHeight="1">
      <c r="A3916" s="47"/>
      <c r="B3916" s="47"/>
      <c r="C3916" s="47"/>
      <c r="D3916" s="47"/>
      <c r="E3916" s="47"/>
      <c r="F3916" s="47"/>
      <c r="G3916" s="47"/>
      <c r="H3916" s="47"/>
      <c r="I3916" s="47"/>
      <c r="J3916" s="1">
        <v>42.0</v>
      </c>
    </row>
    <row r="3917" ht="15.75" hidden="1" customHeight="1">
      <c r="A3917" s="47"/>
      <c r="B3917" s="47"/>
      <c r="C3917" s="47"/>
      <c r="D3917" s="47"/>
      <c r="E3917" s="47"/>
      <c r="F3917" s="47"/>
      <c r="G3917" s="47"/>
      <c r="H3917" s="47"/>
      <c r="I3917" s="47"/>
      <c r="J3917" s="1">
        <v>42.0</v>
      </c>
    </row>
    <row r="3918" ht="15.75" hidden="1" customHeight="1">
      <c r="A3918" s="47"/>
      <c r="B3918" s="47"/>
      <c r="C3918" s="47"/>
      <c r="D3918" s="47"/>
      <c r="E3918" s="47"/>
      <c r="F3918" s="47"/>
      <c r="G3918" s="47"/>
      <c r="H3918" s="47"/>
      <c r="I3918" s="47"/>
      <c r="J3918" s="1">
        <v>42.0</v>
      </c>
    </row>
    <row r="3919" ht="15.75" hidden="1" customHeight="1">
      <c r="A3919" s="47"/>
      <c r="B3919" s="47"/>
      <c r="C3919" s="47"/>
      <c r="D3919" s="47"/>
      <c r="E3919" s="47"/>
      <c r="F3919" s="47"/>
      <c r="G3919" s="47"/>
      <c r="H3919" s="47"/>
      <c r="I3919" s="47"/>
      <c r="J3919" s="1">
        <v>42.0</v>
      </c>
    </row>
    <row r="3920" ht="15.75" hidden="1" customHeight="1">
      <c r="A3920" s="47"/>
      <c r="B3920" s="47"/>
      <c r="C3920" s="47"/>
      <c r="D3920" s="47"/>
      <c r="E3920" s="47"/>
      <c r="F3920" s="47"/>
      <c r="G3920" s="47"/>
      <c r="H3920" s="47"/>
      <c r="I3920" s="47"/>
      <c r="J3920" s="1">
        <v>42.0</v>
      </c>
    </row>
    <row r="3921" ht="15.75" hidden="1" customHeight="1">
      <c r="A3921" s="47"/>
      <c r="B3921" s="47"/>
      <c r="C3921" s="47"/>
      <c r="D3921" s="47"/>
      <c r="E3921" s="47"/>
      <c r="F3921" s="47"/>
      <c r="G3921" s="47"/>
      <c r="H3921" s="47"/>
      <c r="I3921" s="47"/>
      <c r="J3921" s="1">
        <v>42.0</v>
      </c>
    </row>
    <row r="3922" ht="15.75" hidden="1" customHeight="1">
      <c r="A3922" s="47"/>
      <c r="B3922" s="47"/>
      <c r="C3922" s="47"/>
      <c r="D3922" s="47"/>
      <c r="E3922" s="47"/>
      <c r="F3922" s="47"/>
      <c r="G3922" s="47"/>
      <c r="H3922" s="47"/>
      <c r="I3922" s="47"/>
      <c r="J3922" s="1">
        <v>42.0</v>
      </c>
    </row>
    <row r="3923" ht="15.75" hidden="1" customHeight="1">
      <c r="A3923" s="47"/>
      <c r="B3923" s="47"/>
      <c r="C3923" s="47"/>
      <c r="D3923" s="47"/>
      <c r="E3923" s="47"/>
      <c r="F3923" s="47"/>
      <c r="G3923" s="47"/>
      <c r="H3923" s="47"/>
      <c r="I3923" s="47"/>
      <c r="J3923" s="1">
        <v>42.0</v>
      </c>
    </row>
    <row r="3924" ht="15.75" hidden="1" customHeight="1">
      <c r="A3924" s="47"/>
      <c r="B3924" s="47"/>
      <c r="C3924" s="47"/>
      <c r="D3924" s="47"/>
      <c r="E3924" s="47"/>
      <c r="F3924" s="47"/>
      <c r="G3924" s="47"/>
      <c r="H3924" s="47"/>
      <c r="I3924" s="47"/>
      <c r="J3924" s="1">
        <v>42.0</v>
      </c>
    </row>
    <row r="3925" ht="15.75" hidden="1" customHeight="1">
      <c r="A3925" s="47"/>
      <c r="B3925" s="47"/>
      <c r="C3925" s="47"/>
      <c r="D3925" s="47"/>
      <c r="E3925" s="47"/>
      <c r="F3925" s="47"/>
      <c r="G3925" s="47"/>
      <c r="H3925" s="47"/>
      <c r="I3925" s="47"/>
      <c r="J3925" s="1">
        <v>42.0</v>
      </c>
    </row>
    <row r="3926" ht="15.75" hidden="1" customHeight="1">
      <c r="A3926" s="47"/>
      <c r="B3926" s="47"/>
      <c r="C3926" s="47"/>
      <c r="D3926" s="47"/>
      <c r="E3926" s="47"/>
      <c r="F3926" s="47"/>
      <c r="G3926" s="47"/>
      <c r="H3926" s="47"/>
      <c r="I3926" s="47"/>
      <c r="J3926" s="1">
        <v>42.0</v>
      </c>
    </row>
    <row r="3927" ht="15.75" hidden="1" customHeight="1">
      <c r="A3927" s="47"/>
      <c r="B3927" s="47"/>
      <c r="C3927" s="47"/>
      <c r="D3927" s="47"/>
      <c r="E3927" s="47"/>
      <c r="F3927" s="47"/>
      <c r="G3927" s="47"/>
      <c r="H3927" s="47"/>
      <c r="I3927" s="47"/>
      <c r="J3927" s="1">
        <v>42.0</v>
      </c>
    </row>
    <row r="3928" ht="15.75" hidden="1" customHeight="1">
      <c r="A3928" s="47"/>
      <c r="B3928" s="47"/>
      <c r="C3928" s="47"/>
      <c r="D3928" s="47"/>
      <c r="E3928" s="47"/>
      <c r="F3928" s="47"/>
      <c r="G3928" s="47"/>
      <c r="H3928" s="47"/>
      <c r="I3928" s="47"/>
      <c r="J3928" s="1">
        <v>42.0</v>
      </c>
    </row>
    <row r="3929" ht="15.75" hidden="1" customHeight="1">
      <c r="A3929" s="47"/>
      <c r="B3929" s="47"/>
      <c r="C3929" s="47"/>
      <c r="D3929" s="47"/>
      <c r="E3929" s="47"/>
      <c r="F3929" s="47"/>
      <c r="G3929" s="47"/>
      <c r="H3929" s="47"/>
      <c r="I3929" s="47"/>
      <c r="J3929" s="1">
        <v>42.0</v>
      </c>
    </row>
    <row r="3930" ht="15.75" hidden="1" customHeight="1">
      <c r="A3930" s="47"/>
      <c r="B3930" s="47"/>
      <c r="C3930" s="47"/>
      <c r="D3930" s="47"/>
      <c r="E3930" s="47"/>
      <c r="F3930" s="47"/>
      <c r="G3930" s="47"/>
      <c r="H3930" s="47"/>
      <c r="I3930" s="47"/>
      <c r="J3930" s="1">
        <v>42.0</v>
      </c>
    </row>
    <row r="3931" ht="15.75" hidden="1" customHeight="1">
      <c r="A3931" s="47"/>
      <c r="B3931" s="47"/>
      <c r="C3931" s="47"/>
      <c r="D3931" s="47"/>
      <c r="E3931" s="47"/>
      <c r="F3931" s="47"/>
      <c r="G3931" s="47"/>
      <c r="H3931" s="47"/>
      <c r="I3931" s="47"/>
      <c r="J3931" s="1">
        <v>42.0</v>
      </c>
    </row>
    <row r="3932" ht="15.75" hidden="1" customHeight="1">
      <c r="A3932" s="47"/>
      <c r="B3932" s="47"/>
      <c r="C3932" s="47"/>
      <c r="D3932" s="47"/>
      <c r="E3932" s="47"/>
      <c r="F3932" s="47"/>
      <c r="G3932" s="47"/>
      <c r="H3932" s="47"/>
      <c r="I3932" s="47"/>
      <c r="J3932" s="1">
        <v>42.0</v>
      </c>
    </row>
    <row r="3933" ht="15.75" hidden="1" customHeight="1">
      <c r="A3933" s="47"/>
      <c r="B3933" s="47"/>
      <c r="C3933" s="47"/>
      <c r="D3933" s="47"/>
      <c r="E3933" s="47"/>
      <c r="F3933" s="47"/>
      <c r="G3933" s="47"/>
      <c r="H3933" s="47"/>
      <c r="I3933" s="47"/>
      <c r="J3933" s="1">
        <v>42.0</v>
      </c>
    </row>
    <row r="3934" ht="15.75" hidden="1" customHeight="1">
      <c r="A3934" s="47"/>
      <c r="B3934" s="47"/>
      <c r="C3934" s="47"/>
      <c r="D3934" s="47"/>
      <c r="E3934" s="47"/>
      <c r="F3934" s="47"/>
      <c r="G3934" s="47"/>
      <c r="H3934" s="47"/>
      <c r="I3934" s="47"/>
      <c r="J3934" s="1">
        <v>42.0</v>
      </c>
    </row>
    <row r="3935" ht="15.75" hidden="1" customHeight="1">
      <c r="A3935" s="47"/>
      <c r="B3935" s="47"/>
      <c r="C3935" s="47"/>
      <c r="D3935" s="47"/>
      <c r="E3935" s="47"/>
      <c r="F3935" s="47"/>
      <c r="G3935" s="47"/>
      <c r="H3935" s="47"/>
      <c r="I3935" s="47"/>
      <c r="J3935" s="1">
        <v>42.0</v>
      </c>
    </row>
    <row r="3936" ht="15.75" hidden="1" customHeight="1">
      <c r="A3936" s="47"/>
      <c r="B3936" s="47"/>
      <c r="C3936" s="47"/>
      <c r="D3936" s="47"/>
      <c r="E3936" s="47"/>
      <c r="F3936" s="47"/>
      <c r="G3936" s="47"/>
      <c r="H3936" s="47"/>
      <c r="I3936" s="47"/>
      <c r="J3936" s="1">
        <v>42.0</v>
      </c>
    </row>
    <row r="3937" ht="15.75" hidden="1" customHeight="1">
      <c r="A3937" s="47"/>
      <c r="B3937" s="47"/>
      <c r="C3937" s="47"/>
      <c r="D3937" s="47"/>
      <c r="E3937" s="47"/>
      <c r="F3937" s="47"/>
      <c r="G3937" s="47"/>
      <c r="H3937" s="47"/>
      <c r="I3937" s="47"/>
      <c r="J3937" s="1">
        <v>42.0</v>
      </c>
    </row>
    <row r="3938" ht="15.75" hidden="1" customHeight="1">
      <c r="A3938" s="47"/>
      <c r="B3938" s="47"/>
      <c r="C3938" s="47"/>
      <c r="D3938" s="47"/>
      <c r="E3938" s="47"/>
      <c r="F3938" s="47"/>
      <c r="G3938" s="47"/>
      <c r="H3938" s="47"/>
      <c r="I3938" s="47"/>
      <c r="J3938" s="1">
        <v>42.0</v>
      </c>
    </row>
    <row r="3939" ht="15.75" hidden="1" customHeight="1">
      <c r="A3939" s="47"/>
      <c r="B3939" s="47"/>
      <c r="C3939" s="47"/>
      <c r="D3939" s="47"/>
      <c r="E3939" s="47"/>
      <c r="F3939" s="47"/>
      <c r="G3939" s="47"/>
      <c r="H3939" s="47"/>
      <c r="I3939" s="47"/>
      <c r="J3939" s="1">
        <v>42.0</v>
      </c>
    </row>
    <row r="3940" ht="15.75" hidden="1" customHeight="1">
      <c r="A3940" s="47"/>
      <c r="B3940" s="47"/>
      <c r="C3940" s="47"/>
      <c r="D3940" s="47"/>
      <c r="E3940" s="47"/>
      <c r="F3940" s="47"/>
      <c r="G3940" s="47"/>
      <c r="H3940" s="47"/>
      <c r="I3940" s="47"/>
      <c r="J3940" s="1">
        <v>42.0</v>
      </c>
    </row>
    <row r="3941" ht="15.75" hidden="1" customHeight="1">
      <c r="A3941" s="47"/>
      <c r="B3941" s="47"/>
      <c r="C3941" s="47"/>
      <c r="D3941" s="47"/>
      <c r="E3941" s="47"/>
      <c r="F3941" s="47"/>
      <c r="G3941" s="47"/>
      <c r="H3941" s="47"/>
      <c r="I3941" s="47"/>
      <c r="J3941" s="1">
        <v>42.0</v>
      </c>
    </row>
    <row r="3942" ht="15.75" hidden="1" customHeight="1">
      <c r="A3942" s="47"/>
      <c r="B3942" s="47"/>
      <c r="C3942" s="47"/>
      <c r="D3942" s="47"/>
      <c r="E3942" s="47"/>
      <c r="F3942" s="47"/>
      <c r="G3942" s="47"/>
      <c r="H3942" s="47"/>
      <c r="I3942" s="47"/>
      <c r="J3942" s="1">
        <v>42.0</v>
      </c>
    </row>
    <row r="3943" ht="15.75" hidden="1" customHeight="1">
      <c r="A3943" s="47"/>
      <c r="B3943" s="47"/>
      <c r="C3943" s="47"/>
      <c r="D3943" s="47"/>
      <c r="E3943" s="47"/>
      <c r="F3943" s="47"/>
      <c r="G3943" s="47"/>
      <c r="H3943" s="47"/>
      <c r="I3943" s="47"/>
      <c r="J3943" s="1">
        <v>42.0</v>
      </c>
    </row>
    <row r="3944" ht="15.75" hidden="1" customHeight="1">
      <c r="A3944" s="47"/>
      <c r="B3944" s="47"/>
      <c r="C3944" s="47"/>
      <c r="D3944" s="47"/>
      <c r="E3944" s="47"/>
      <c r="F3944" s="47"/>
      <c r="G3944" s="47"/>
      <c r="H3944" s="47"/>
      <c r="I3944" s="47"/>
      <c r="J3944" s="1">
        <v>42.0</v>
      </c>
    </row>
    <row r="3945" ht="15.75" hidden="1" customHeight="1">
      <c r="A3945" s="47"/>
      <c r="B3945" s="47"/>
      <c r="C3945" s="47"/>
      <c r="D3945" s="47"/>
      <c r="E3945" s="47"/>
      <c r="F3945" s="47"/>
      <c r="G3945" s="47"/>
      <c r="H3945" s="47"/>
      <c r="I3945" s="47"/>
      <c r="J3945" s="1">
        <v>42.0</v>
      </c>
    </row>
    <row r="3946" ht="15.75" hidden="1" customHeight="1">
      <c r="A3946" s="47"/>
      <c r="B3946" s="47"/>
      <c r="C3946" s="47"/>
      <c r="D3946" s="47"/>
      <c r="E3946" s="47"/>
      <c r="F3946" s="47"/>
      <c r="G3946" s="47"/>
      <c r="H3946" s="47"/>
      <c r="I3946" s="47"/>
      <c r="J3946" s="1">
        <v>42.0</v>
      </c>
    </row>
    <row r="3947" ht="15.75" hidden="1" customHeight="1">
      <c r="A3947" s="47"/>
      <c r="B3947" s="47"/>
      <c r="C3947" s="47"/>
      <c r="D3947" s="47"/>
      <c r="E3947" s="47"/>
      <c r="F3947" s="47"/>
      <c r="G3947" s="47"/>
      <c r="H3947" s="47"/>
      <c r="I3947" s="47"/>
      <c r="J3947" s="1">
        <v>42.0</v>
      </c>
    </row>
    <row r="3948" ht="15.75" hidden="1" customHeight="1">
      <c r="A3948" s="47"/>
      <c r="B3948" s="47"/>
      <c r="C3948" s="47"/>
      <c r="D3948" s="47"/>
      <c r="E3948" s="47"/>
      <c r="F3948" s="47"/>
      <c r="G3948" s="47"/>
      <c r="H3948" s="47"/>
      <c r="I3948" s="47"/>
      <c r="J3948" s="1">
        <v>42.0</v>
      </c>
    </row>
    <row r="3949" ht="15.75" hidden="1" customHeight="1">
      <c r="A3949" s="47"/>
      <c r="B3949" s="47"/>
      <c r="C3949" s="47"/>
      <c r="D3949" s="47"/>
      <c r="E3949" s="47"/>
      <c r="F3949" s="47"/>
      <c r="G3949" s="47"/>
      <c r="H3949" s="47"/>
      <c r="I3949" s="47"/>
      <c r="J3949" s="1">
        <v>42.0</v>
      </c>
    </row>
    <row r="3950" ht="15.75" hidden="1" customHeight="1">
      <c r="A3950" s="47"/>
      <c r="B3950" s="47"/>
      <c r="C3950" s="47"/>
      <c r="D3950" s="47"/>
      <c r="E3950" s="47"/>
      <c r="F3950" s="47"/>
      <c r="G3950" s="47"/>
      <c r="H3950" s="47"/>
      <c r="I3950" s="47"/>
      <c r="J3950" s="1">
        <v>42.0</v>
      </c>
    </row>
    <row r="3951" ht="15.75" hidden="1" customHeight="1">
      <c r="A3951" s="47"/>
      <c r="B3951" s="47"/>
      <c r="C3951" s="47"/>
      <c r="D3951" s="47"/>
      <c r="E3951" s="47"/>
      <c r="F3951" s="47"/>
      <c r="G3951" s="47"/>
      <c r="H3951" s="47"/>
      <c r="I3951" s="47"/>
      <c r="J3951" s="1">
        <v>42.0</v>
      </c>
    </row>
    <row r="3952" ht="15.75" hidden="1" customHeight="1">
      <c r="A3952" s="47"/>
      <c r="B3952" s="47"/>
      <c r="C3952" s="47"/>
      <c r="D3952" s="47"/>
      <c r="E3952" s="47"/>
      <c r="F3952" s="47"/>
      <c r="G3952" s="47"/>
      <c r="H3952" s="47"/>
      <c r="I3952" s="47"/>
      <c r="J3952" s="1">
        <v>42.0</v>
      </c>
    </row>
    <row r="3953" ht="15.75" hidden="1" customHeight="1">
      <c r="A3953" s="47"/>
      <c r="B3953" s="47"/>
      <c r="C3953" s="47"/>
      <c r="D3953" s="47"/>
      <c r="E3953" s="47"/>
      <c r="F3953" s="47"/>
      <c r="G3953" s="47"/>
      <c r="H3953" s="47"/>
      <c r="I3953" s="47"/>
      <c r="J3953" s="1">
        <v>42.0</v>
      </c>
    </row>
    <row r="3954" ht="15.75" hidden="1" customHeight="1">
      <c r="A3954" s="47"/>
      <c r="B3954" s="47"/>
      <c r="C3954" s="47"/>
      <c r="D3954" s="47"/>
      <c r="E3954" s="47"/>
      <c r="F3954" s="47"/>
      <c r="G3954" s="47"/>
      <c r="H3954" s="47"/>
      <c r="I3954" s="47"/>
      <c r="J3954" s="1">
        <v>42.0</v>
      </c>
    </row>
    <row r="3955" ht="15.75" hidden="1" customHeight="1">
      <c r="A3955" s="47"/>
      <c r="B3955" s="47"/>
      <c r="C3955" s="47"/>
      <c r="D3955" s="47"/>
      <c r="E3955" s="47"/>
      <c r="F3955" s="47"/>
      <c r="G3955" s="47"/>
      <c r="H3955" s="47"/>
      <c r="I3955" s="47"/>
      <c r="J3955" s="1">
        <v>42.0</v>
      </c>
    </row>
    <row r="3956" ht="15.75" hidden="1" customHeight="1">
      <c r="A3956" s="47"/>
      <c r="B3956" s="47"/>
      <c r="C3956" s="47"/>
      <c r="D3956" s="47"/>
      <c r="E3956" s="47"/>
      <c r="F3956" s="47"/>
      <c r="G3956" s="47"/>
      <c r="H3956" s="47"/>
      <c r="I3956" s="47"/>
      <c r="J3956" s="1">
        <v>42.0</v>
      </c>
    </row>
    <row r="3957" ht="15.75" hidden="1" customHeight="1">
      <c r="A3957" s="47"/>
      <c r="B3957" s="47"/>
      <c r="C3957" s="47"/>
      <c r="D3957" s="47"/>
      <c r="E3957" s="47"/>
      <c r="F3957" s="47"/>
      <c r="G3957" s="47"/>
      <c r="H3957" s="47"/>
      <c r="I3957" s="47"/>
      <c r="J3957" s="1">
        <v>42.0</v>
      </c>
    </row>
    <row r="3958" ht="15.75" hidden="1" customHeight="1">
      <c r="A3958" s="47"/>
      <c r="B3958" s="47"/>
      <c r="C3958" s="47"/>
      <c r="D3958" s="47"/>
      <c r="E3958" s="47"/>
      <c r="F3958" s="47"/>
      <c r="G3958" s="47"/>
      <c r="H3958" s="47"/>
      <c r="I3958" s="47"/>
      <c r="J3958" s="1">
        <v>42.0</v>
      </c>
    </row>
    <row r="3959" ht="15.75" hidden="1" customHeight="1">
      <c r="A3959" s="47"/>
      <c r="B3959" s="47"/>
      <c r="C3959" s="47"/>
      <c r="D3959" s="47"/>
      <c r="E3959" s="47"/>
      <c r="F3959" s="47"/>
      <c r="G3959" s="47"/>
      <c r="H3959" s="47"/>
      <c r="I3959" s="47"/>
      <c r="J3959" s="1">
        <v>42.0</v>
      </c>
    </row>
    <row r="3960" ht="15.75" hidden="1" customHeight="1">
      <c r="A3960" s="47"/>
      <c r="B3960" s="47"/>
      <c r="C3960" s="47"/>
      <c r="D3960" s="47"/>
      <c r="E3960" s="47"/>
      <c r="F3960" s="47"/>
      <c r="G3960" s="47"/>
      <c r="H3960" s="47"/>
      <c r="I3960" s="47"/>
      <c r="J3960" s="1">
        <v>42.0</v>
      </c>
    </row>
    <row r="3961" ht="15.75" hidden="1" customHeight="1">
      <c r="A3961" s="47"/>
      <c r="B3961" s="47"/>
      <c r="C3961" s="47"/>
      <c r="D3961" s="47"/>
      <c r="E3961" s="47"/>
      <c r="F3961" s="47"/>
      <c r="G3961" s="47"/>
      <c r="H3961" s="47"/>
      <c r="I3961" s="47"/>
      <c r="J3961" s="1">
        <v>42.0</v>
      </c>
    </row>
    <row r="3962" ht="15.75" hidden="1" customHeight="1">
      <c r="A3962" s="47"/>
      <c r="B3962" s="47"/>
      <c r="C3962" s="47"/>
      <c r="D3962" s="47"/>
      <c r="E3962" s="47"/>
      <c r="F3962" s="47"/>
      <c r="G3962" s="47"/>
      <c r="H3962" s="47"/>
      <c r="I3962" s="47"/>
      <c r="J3962" s="1">
        <v>42.0</v>
      </c>
    </row>
    <row r="3963" ht="15.75" hidden="1" customHeight="1">
      <c r="A3963" s="47"/>
      <c r="B3963" s="47"/>
      <c r="C3963" s="47"/>
      <c r="D3963" s="47"/>
      <c r="E3963" s="47"/>
      <c r="F3963" s="47"/>
      <c r="G3963" s="47"/>
      <c r="H3963" s="47"/>
      <c r="I3963" s="47"/>
      <c r="J3963" s="1">
        <v>42.0</v>
      </c>
    </row>
    <row r="3964" ht="15.75" hidden="1" customHeight="1">
      <c r="A3964" s="47"/>
      <c r="B3964" s="47"/>
      <c r="C3964" s="47"/>
      <c r="D3964" s="47"/>
      <c r="E3964" s="47"/>
      <c r="F3964" s="47"/>
      <c r="G3964" s="47"/>
      <c r="H3964" s="47"/>
      <c r="I3964" s="47"/>
      <c r="J3964" s="1">
        <v>42.0</v>
      </c>
    </row>
    <row r="3965" ht="15.75" hidden="1" customHeight="1">
      <c r="A3965" s="47"/>
      <c r="B3965" s="47"/>
      <c r="C3965" s="47"/>
      <c r="D3965" s="47"/>
      <c r="E3965" s="47"/>
      <c r="F3965" s="47"/>
      <c r="G3965" s="47"/>
      <c r="H3965" s="47"/>
      <c r="I3965" s="47"/>
      <c r="J3965" s="1">
        <v>42.0</v>
      </c>
    </row>
    <row r="3966" ht="15.75" hidden="1" customHeight="1">
      <c r="A3966" s="47"/>
      <c r="B3966" s="47"/>
      <c r="C3966" s="47"/>
      <c r="D3966" s="47"/>
      <c r="E3966" s="47"/>
      <c r="F3966" s="47"/>
      <c r="G3966" s="47"/>
      <c r="H3966" s="47"/>
      <c r="I3966" s="47"/>
      <c r="J3966" s="1">
        <v>42.0</v>
      </c>
    </row>
    <row r="3967" ht="15.75" hidden="1" customHeight="1">
      <c r="A3967" s="47"/>
      <c r="B3967" s="47"/>
      <c r="C3967" s="47"/>
      <c r="D3967" s="47"/>
      <c r="E3967" s="47"/>
      <c r="F3967" s="47"/>
      <c r="G3967" s="47"/>
      <c r="H3967" s="47"/>
      <c r="I3967" s="47"/>
      <c r="J3967" s="1">
        <v>42.0</v>
      </c>
    </row>
    <row r="3968" ht="15.75" hidden="1" customHeight="1">
      <c r="A3968" s="47"/>
      <c r="B3968" s="47"/>
      <c r="C3968" s="47"/>
      <c r="D3968" s="47"/>
      <c r="E3968" s="47"/>
      <c r="F3968" s="47"/>
      <c r="G3968" s="47"/>
      <c r="H3968" s="47"/>
      <c r="I3968" s="47"/>
      <c r="J3968" s="1">
        <v>42.0</v>
      </c>
    </row>
    <row r="3969" ht="15.75" hidden="1" customHeight="1">
      <c r="A3969" s="47"/>
      <c r="B3969" s="47"/>
      <c r="C3969" s="47"/>
      <c r="D3969" s="47"/>
      <c r="E3969" s="47"/>
      <c r="F3969" s="47"/>
      <c r="G3969" s="47"/>
      <c r="H3969" s="47"/>
      <c r="I3969" s="47"/>
      <c r="J3969" s="1">
        <v>42.0</v>
      </c>
    </row>
    <row r="3970" ht="15.75" hidden="1" customHeight="1">
      <c r="A3970" s="47"/>
      <c r="B3970" s="47"/>
      <c r="C3970" s="47"/>
      <c r="D3970" s="47"/>
      <c r="E3970" s="47"/>
      <c r="F3970" s="47"/>
      <c r="G3970" s="47"/>
      <c r="H3970" s="47"/>
      <c r="I3970" s="47"/>
      <c r="J3970" s="1">
        <v>42.0</v>
      </c>
    </row>
    <row r="3971" ht="15.75" hidden="1" customHeight="1">
      <c r="A3971" s="47"/>
      <c r="B3971" s="47"/>
      <c r="C3971" s="47"/>
      <c r="D3971" s="47"/>
      <c r="E3971" s="47"/>
      <c r="F3971" s="47"/>
      <c r="G3971" s="47"/>
      <c r="H3971" s="47"/>
      <c r="I3971" s="47"/>
      <c r="J3971" s="1">
        <v>42.0</v>
      </c>
    </row>
    <row r="3972" ht="15.75" hidden="1" customHeight="1">
      <c r="A3972" s="47"/>
      <c r="B3972" s="47"/>
      <c r="C3972" s="47"/>
      <c r="D3972" s="47"/>
      <c r="E3972" s="47"/>
      <c r="F3972" s="47"/>
      <c r="G3972" s="47"/>
      <c r="H3972" s="47"/>
      <c r="I3972" s="47"/>
      <c r="J3972" s="1">
        <v>42.0</v>
      </c>
    </row>
    <row r="3973" ht="15.75" hidden="1" customHeight="1">
      <c r="A3973" s="47"/>
      <c r="B3973" s="47"/>
      <c r="C3973" s="47"/>
      <c r="D3973" s="47"/>
      <c r="E3973" s="47"/>
      <c r="F3973" s="47"/>
      <c r="G3973" s="47"/>
      <c r="H3973" s="47"/>
      <c r="I3973" s="47"/>
      <c r="J3973" s="1">
        <v>42.0</v>
      </c>
    </row>
    <row r="3974" ht="15.75" hidden="1" customHeight="1">
      <c r="A3974" s="47"/>
      <c r="B3974" s="47"/>
      <c r="C3974" s="47"/>
      <c r="D3974" s="47"/>
      <c r="E3974" s="47"/>
      <c r="F3974" s="47"/>
      <c r="G3974" s="47"/>
      <c r="H3974" s="47"/>
      <c r="I3974" s="47"/>
      <c r="J3974" s="1">
        <v>42.0</v>
      </c>
    </row>
    <row r="3975" ht="15.75" hidden="1" customHeight="1">
      <c r="A3975" s="47"/>
      <c r="B3975" s="47"/>
      <c r="C3975" s="47"/>
      <c r="D3975" s="47"/>
      <c r="E3975" s="47"/>
      <c r="F3975" s="47"/>
      <c r="G3975" s="47"/>
      <c r="H3975" s="47"/>
      <c r="I3975" s="47"/>
      <c r="J3975" s="1">
        <v>42.0</v>
      </c>
    </row>
    <row r="3976" ht="15.75" hidden="1" customHeight="1">
      <c r="A3976" s="47"/>
      <c r="B3976" s="47"/>
      <c r="C3976" s="47"/>
      <c r="D3976" s="47"/>
      <c r="E3976" s="47"/>
      <c r="F3976" s="47"/>
      <c r="G3976" s="47"/>
      <c r="H3976" s="47"/>
      <c r="I3976" s="47"/>
      <c r="J3976" s="1">
        <v>42.0</v>
      </c>
    </row>
    <row r="3977" ht="15.75" hidden="1" customHeight="1">
      <c r="A3977" s="47"/>
      <c r="B3977" s="47"/>
      <c r="C3977" s="47"/>
      <c r="D3977" s="47"/>
      <c r="E3977" s="47"/>
      <c r="F3977" s="47"/>
      <c r="G3977" s="47"/>
      <c r="H3977" s="47"/>
      <c r="I3977" s="47"/>
      <c r="J3977" s="1">
        <v>42.0</v>
      </c>
    </row>
    <row r="3978" ht="15.75" hidden="1" customHeight="1">
      <c r="A3978" s="47"/>
      <c r="B3978" s="47"/>
      <c r="C3978" s="47"/>
      <c r="D3978" s="47"/>
      <c r="E3978" s="47"/>
      <c r="F3978" s="47"/>
      <c r="G3978" s="47"/>
      <c r="H3978" s="47"/>
      <c r="I3978" s="47"/>
      <c r="J3978" s="1">
        <v>42.0</v>
      </c>
    </row>
    <row r="3979" ht="15.75" hidden="1" customHeight="1">
      <c r="A3979" s="47"/>
      <c r="B3979" s="47"/>
      <c r="C3979" s="47"/>
      <c r="D3979" s="47"/>
      <c r="E3979" s="47"/>
      <c r="F3979" s="47"/>
      <c r="G3979" s="47"/>
      <c r="H3979" s="47"/>
      <c r="I3979" s="47"/>
      <c r="J3979" s="1">
        <v>42.0</v>
      </c>
    </row>
    <row r="3980" ht="15.75" hidden="1" customHeight="1">
      <c r="A3980" s="47"/>
      <c r="B3980" s="47"/>
      <c r="C3980" s="47"/>
      <c r="D3980" s="47"/>
      <c r="E3980" s="47"/>
      <c r="F3980" s="47"/>
      <c r="G3980" s="47"/>
      <c r="H3980" s="47"/>
      <c r="I3980" s="47"/>
      <c r="J3980" s="1">
        <v>42.0</v>
      </c>
    </row>
    <row r="3981" ht="15.75" hidden="1" customHeight="1">
      <c r="A3981" s="47"/>
      <c r="B3981" s="47"/>
      <c r="C3981" s="47"/>
      <c r="D3981" s="47"/>
      <c r="E3981" s="47"/>
      <c r="F3981" s="47"/>
      <c r="G3981" s="47"/>
      <c r="H3981" s="47"/>
      <c r="I3981" s="47"/>
      <c r="J3981" s="1">
        <v>42.0</v>
      </c>
    </row>
    <row r="3982" ht="15.75" hidden="1" customHeight="1">
      <c r="A3982" s="47"/>
      <c r="B3982" s="47"/>
      <c r="C3982" s="47"/>
      <c r="D3982" s="47"/>
      <c r="E3982" s="47"/>
      <c r="F3982" s="47"/>
      <c r="G3982" s="47"/>
      <c r="H3982" s="47"/>
      <c r="I3982" s="47"/>
      <c r="J3982" s="1">
        <v>42.0</v>
      </c>
    </row>
    <row r="3983" ht="15.75" hidden="1" customHeight="1">
      <c r="A3983" s="47"/>
      <c r="B3983" s="47"/>
      <c r="C3983" s="47"/>
      <c r="D3983" s="47"/>
      <c r="E3983" s="47"/>
      <c r="F3983" s="47"/>
      <c r="G3983" s="47"/>
      <c r="H3983" s="47"/>
      <c r="I3983" s="47"/>
      <c r="J3983" s="1">
        <v>42.0</v>
      </c>
    </row>
    <row r="3984" ht="15.75" hidden="1" customHeight="1">
      <c r="A3984" s="47"/>
      <c r="B3984" s="47"/>
      <c r="C3984" s="47"/>
      <c r="D3984" s="47"/>
      <c r="E3984" s="47"/>
      <c r="F3984" s="47"/>
      <c r="G3984" s="47"/>
      <c r="H3984" s="47"/>
      <c r="I3984" s="47"/>
      <c r="J3984" s="1">
        <v>42.0</v>
      </c>
    </row>
    <row r="3985" ht="15.75" hidden="1" customHeight="1">
      <c r="A3985" s="47"/>
      <c r="B3985" s="47"/>
      <c r="C3985" s="47"/>
      <c r="D3985" s="47"/>
      <c r="E3985" s="47"/>
      <c r="F3985" s="47"/>
      <c r="G3985" s="47"/>
      <c r="H3985" s="47"/>
      <c r="I3985" s="47"/>
      <c r="J3985" s="1">
        <v>42.0</v>
      </c>
    </row>
    <row r="3986" ht="15.75" hidden="1" customHeight="1">
      <c r="A3986" s="47"/>
      <c r="B3986" s="47"/>
      <c r="C3986" s="47"/>
      <c r="D3986" s="47"/>
      <c r="E3986" s="47"/>
      <c r="F3986" s="47"/>
      <c r="G3986" s="47"/>
      <c r="H3986" s="47"/>
      <c r="I3986" s="47"/>
      <c r="J3986" s="1">
        <v>42.0</v>
      </c>
    </row>
    <row r="3987" ht="15.75" hidden="1" customHeight="1">
      <c r="A3987" s="47"/>
      <c r="B3987" s="47"/>
      <c r="C3987" s="47"/>
      <c r="D3987" s="47"/>
      <c r="E3987" s="47"/>
      <c r="F3987" s="47"/>
      <c r="G3987" s="47"/>
      <c r="H3987" s="47"/>
      <c r="I3987" s="47"/>
      <c r="J3987" s="1">
        <v>42.0</v>
      </c>
    </row>
    <row r="3988" ht="15.75" hidden="1" customHeight="1">
      <c r="A3988" s="47"/>
      <c r="B3988" s="47"/>
      <c r="C3988" s="47"/>
      <c r="D3988" s="47"/>
      <c r="E3988" s="47"/>
      <c r="F3988" s="47"/>
      <c r="G3988" s="47"/>
      <c r="H3988" s="47"/>
      <c r="I3988" s="47"/>
      <c r="J3988" s="1">
        <v>42.0</v>
      </c>
    </row>
    <row r="3989" ht="15.75" hidden="1" customHeight="1">
      <c r="A3989" s="47"/>
      <c r="B3989" s="47"/>
      <c r="C3989" s="47"/>
      <c r="D3989" s="47"/>
      <c r="E3989" s="47"/>
      <c r="F3989" s="47"/>
      <c r="G3989" s="47"/>
      <c r="H3989" s="47"/>
      <c r="I3989" s="47"/>
      <c r="J3989" s="1">
        <v>42.0</v>
      </c>
    </row>
    <row r="3990" ht="15.75" hidden="1" customHeight="1">
      <c r="A3990" s="47"/>
      <c r="B3990" s="47"/>
      <c r="C3990" s="47"/>
      <c r="D3990" s="47"/>
      <c r="E3990" s="47"/>
      <c r="F3990" s="47"/>
      <c r="G3990" s="47"/>
      <c r="H3990" s="47"/>
      <c r="I3990" s="47"/>
      <c r="J3990" s="1">
        <v>42.0</v>
      </c>
    </row>
    <row r="3991" ht="15.75" hidden="1" customHeight="1">
      <c r="A3991" s="47"/>
      <c r="B3991" s="47"/>
      <c r="C3991" s="47"/>
      <c r="D3991" s="47"/>
      <c r="E3991" s="47"/>
      <c r="F3991" s="47"/>
      <c r="G3991" s="47"/>
      <c r="H3991" s="47"/>
      <c r="I3991" s="47"/>
      <c r="J3991" s="1">
        <v>42.0</v>
      </c>
    </row>
    <row r="3992" ht="15.75" hidden="1" customHeight="1">
      <c r="A3992" s="47"/>
      <c r="B3992" s="47"/>
      <c r="C3992" s="47"/>
      <c r="D3992" s="47"/>
      <c r="E3992" s="47"/>
      <c r="F3992" s="47"/>
      <c r="G3992" s="47"/>
      <c r="H3992" s="47"/>
      <c r="I3992" s="47"/>
      <c r="J3992" s="1">
        <v>42.0</v>
      </c>
    </row>
    <row r="3993" ht="15.75" hidden="1" customHeight="1">
      <c r="A3993" s="47"/>
      <c r="B3993" s="47"/>
      <c r="C3993" s="47"/>
      <c r="D3993" s="47"/>
      <c r="E3993" s="47"/>
      <c r="F3993" s="47"/>
      <c r="G3993" s="47"/>
      <c r="H3993" s="47"/>
      <c r="I3993" s="47"/>
      <c r="J3993" s="1">
        <v>42.0</v>
      </c>
    </row>
    <row r="3994" ht="15.75" hidden="1" customHeight="1">
      <c r="A3994" s="47"/>
      <c r="B3994" s="47"/>
      <c r="C3994" s="47"/>
      <c r="D3994" s="47"/>
      <c r="E3994" s="47"/>
      <c r="F3994" s="47"/>
      <c r="G3994" s="47"/>
      <c r="H3994" s="47"/>
      <c r="I3994" s="47"/>
      <c r="J3994" s="1">
        <v>42.0</v>
      </c>
    </row>
    <row r="3995" ht="15.75" hidden="1" customHeight="1">
      <c r="A3995" s="47"/>
      <c r="B3995" s="47"/>
      <c r="C3995" s="47"/>
      <c r="D3995" s="47"/>
      <c r="E3995" s="47"/>
      <c r="F3995" s="47"/>
      <c r="G3995" s="47"/>
      <c r="H3995" s="47"/>
      <c r="I3995" s="47"/>
      <c r="J3995" s="1">
        <v>42.0</v>
      </c>
    </row>
    <row r="3996" ht="15.75" hidden="1" customHeight="1">
      <c r="A3996" s="47"/>
      <c r="B3996" s="47"/>
      <c r="C3996" s="47"/>
      <c r="D3996" s="47"/>
      <c r="E3996" s="47"/>
      <c r="F3996" s="47"/>
      <c r="G3996" s="47"/>
      <c r="H3996" s="47"/>
      <c r="I3996" s="47"/>
      <c r="J3996" s="1">
        <v>42.0</v>
      </c>
    </row>
    <row r="3997" ht="15.75" hidden="1" customHeight="1">
      <c r="A3997" s="47"/>
      <c r="B3997" s="47"/>
      <c r="C3997" s="47"/>
      <c r="D3997" s="47"/>
      <c r="E3997" s="47"/>
      <c r="F3997" s="47"/>
      <c r="G3997" s="47"/>
      <c r="H3997" s="47"/>
      <c r="I3997" s="47"/>
      <c r="J3997" s="1">
        <v>42.0</v>
      </c>
    </row>
    <row r="3998" ht="15.75" hidden="1" customHeight="1">
      <c r="A3998" s="47"/>
      <c r="B3998" s="47"/>
      <c r="C3998" s="47"/>
      <c r="D3998" s="47"/>
      <c r="E3998" s="47"/>
      <c r="F3998" s="47"/>
      <c r="G3998" s="47"/>
      <c r="H3998" s="47"/>
      <c r="I3998" s="47"/>
      <c r="J3998" s="1">
        <v>42.0</v>
      </c>
    </row>
    <row r="3999" ht="15.75" hidden="1" customHeight="1">
      <c r="A3999" s="47"/>
      <c r="B3999" s="47"/>
      <c r="C3999" s="47"/>
      <c r="D3999" s="47"/>
      <c r="E3999" s="47"/>
      <c r="F3999" s="47"/>
      <c r="G3999" s="47"/>
      <c r="H3999" s="47"/>
      <c r="I3999" s="47"/>
      <c r="J3999" s="1">
        <v>42.0</v>
      </c>
    </row>
    <row r="4000" ht="15.75" hidden="1" customHeight="1">
      <c r="A4000" s="47"/>
      <c r="B4000" s="47"/>
      <c r="C4000" s="47"/>
      <c r="D4000" s="47"/>
      <c r="E4000" s="47"/>
      <c r="F4000" s="47"/>
      <c r="G4000" s="47"/>
      <c r="H4000" s="47"/>
      <c r="I4000" s="47"/>
      <c r="J4000" s="1">
        <v>42.0</v>
      </c>
    </row>
    <row r="4001" ht="15.75" hidden="1" customHeight="1">
      <c r="A4001" s="47"/>
      <c r="B4001" s="47"/>
      <c r="C4001" s="47"/>
      <c r="D4001" s="47"/>
      <c r="E4001" s="47"/>
      <c r="F4001" s="47"/>
      <c r="G4001" s="47"/>
      <c r="H4001" s="47"/>
      <c r="I4001" s="47"/>
      <c r="J4001" s="1">
        <v>42.0</v>
      </c>
    </row>
    <row r="4002" ht="15.75" hidden="1" customHeight="1">
      <c r="A4002" s="47"/>
      <c r="B4002" s="47"/>
      <c r="C4002" s="47"/>
      <c r="D4002" s="47"/>
      <c r="E4002" s="47"/>
      <c r="F4002" s="47"/>
      <c r="G4002" s="47"/>
      <c r="H4002" s="47"/>
      <c r="I4002" s="47"/>
      <c r="J4002" s="1">
        <v>42.0</v>
      </c>
    </row>
    <row r="4003" ht="15.75" hidden="1" customHeight="1">
      <c r="A4003" s="47"/>
      <c r="B4003" s="47"/>
      <c r="C4003" s="47"/>
      <c r="D4003" s="47"/>
      <c r="E4003" s="47"/>
      <c r="F4003" s="47"/>
      <c r="G4003" s="47"/>
      <c r="H4003" s="47"/>
      <c r="I4003" s="47"/>
      <c r="J4003" s="1">
        <v>42.0</v>
      </c>
    </row>
    <row r="4004" ht="15.75" hidden="1" customHeight="1">
      <c r="A4004" s="47"/>
      <c r="B4004" s="47"/>
      <c r="C4004" s="47"/>
      <c r="D4004" s="47"/>
      <c r="E4004" s="47"/>
      <c r="F4004" s="47"/>
      <c r="G4004" s="47"/>
      <c r="H4004" s="47"/>
      <c r="I4004" s="47"/>
      <c r="J4004" s="1">
        <v>42.0</v>
      </c>
    </row>
    <row r="4005" ht="15.75" hidden="1" customHeight="1">
      <c r="A4005" s="47"/>
      <c r="B4005" s="47"/>
      <c r="C4005" s="47"/>
      <c r="D4005" s="47"/>
      <c r="E4005" s="47"/>
      <c r="F4005" s="47"/>
      <c r="G4005" s="47"/>
      <c r="H4005" s="47"/>
      <c r="I4005" s="47"/>
      <c r="J4005" s="1">
        <v>42.0</v>
      </c>
    </row>
    <row r="4006" ht="15.75" hidden="1" customHeight="1">
      <c r="A4006" s="47"/>
      <c r="B4006" s="47"/>
      <c r="C4006" s="47"/>
      <c r="D4006" s="47"/>
      <c r="E4006" s="47"/>
      <c r="F4006" s="47"/>
      <c r="G4006" s="47"/>
      <c r="H4006" s="47"/>
      <c r="I4006" s="47"/>
      <c r="J4006" s="1">
        <v>42.0</v>
      </c>
    </row>
    <row r="4007" ht="15.75" hidden="1" customHeight="1">
      <c r="A4007" s="47"/>
      <c r="B4007" s="47"/>
      <c r="C4007" s="47"/>
      <c r="D4007" s="47"/>
      <c r="E4007" s="47"/>
      <c r="F4007" s="47"/>
      <c r="G4007" s="47"/>
      <c r="H4007" s="47"/>
      <c r="I4007" s="47"/>
      <c r="J4007" s="1">
        <v>42.0</v>
      </c>
    </row>
    <row r="4008" ht="15.75" hidden="1" customHeight="1">
      <c r="A4008" s="47"/>
      <c r="B4008" s="47"/>
      <c r="C4008" s="47"/>
      <c r="D4008" s="47"/>
      <c r="E4008" s="47"/>
      <c r="F4008" s="47"/>
      <c r="G4008" s="47"/>
      <c r="H4008" s="47"/>
      <c r="I4008" s="47"/>
      <c r="J4008" s="1">
        <v>42.0</v>
      </c>
    </row>
    <row r="4009" ht="15.75" hidden="1" customHeight="1">
      <c r="A4009" s="47"/>
      <c r="B4009" s="47"/>
      <c r="C4009" s="47"/>
      <c r="D4009" s="47"/>
      <c r="E4009" s="47"/>
      <c r="F4009" s="47"/>
      <c r="G4009" s="47"/>
      <c r="H4009" s="47"/>
      <c r="I4009" s="47"/>
      <c r="J4009" s="1">
        <v>42.0</v>
      </c>
    </row>
    <row r="4010" ht="15.75" hidden="1" customHeight="1">
      <c r="A4010" s="47"/>
      <c r="B4010" s="47"/>
      <c r="C4010" s="47"/>
      <c r="D4010" s="47"/>
      <c r="E4010" s="47"/>
      <c r="F4010" s="47"/>
      <c r="G4010" s="47"/>
      <c r="H4010" s="47"/>
      <c r="I4010" s="47"/>
      <c r="J4010" s="1">
        <v>42.0</v>
      </c>
    </row>
    <row r="4011" ht="15.75" hidden="1" customHeight="1">
      <c r="A4011" s="47"/>
      <c r="B4011" s="47"/>
      <c r="C4011" s="47"/>
      <c r="D4011" s="47"/>
      <c r="E4011" s="47"/>
      <c r="F4011" s="47"/>
      <c r="G4011" s="47"/>
      <c r="H4011" s="47"/>
      <c r="I4011" s="47"/>
      <c r="J4011" s="1">
        <v>42.0</v>
      </c>
    </row>
    <row r="4012" ht="15.75" hidden="1" customHeight="1">
      <c r="A4012" s="47"/>
      <c r="B4012" s="47"/>
      <c r="C4012" s="47"/>
      <c r="D4012" s="47"/>
      <c r="E4012" s="47"/>
      <c r="F4012" s="47"/>
      <c r="G4012" s="47"/>
      <c r="H4012" s="47"/>
      <c r="I4012" s="47"/>
      <c r="J4012" s="1">
        <v>42.0</v>
      </c>
    </row>
    <row r="4013" ht="15.75" hidden="1" customHeight="1">
      <c r="A4013" s="47"/>
      <c r="B4013" s="47"/>
      <c r="C4013" s="47"/>
      <c r="D4013" s="47"/>
      <c r="E4013" s="47"/>
      <c r="F4013" s="47"/>
      <c r="G4013" s="47"/>
      <c r="H4013" s="47"/>
      <c r="I4013" s="47"/>
      <c r="J4013" s="1">
        <v>42.0</v>
      </c>
    </row>
    <row r="4014" ht="15.75" hidden="1" customHeight="1">
      <c r="A4014" s="47"/>
      <c r="B4014" s="47"/>
      <c r="C4014" s="47"/>
      <c r="D4014" s="47"/>
      <c r="E4014" s="47"/>
      <c r="F4014" s="47"/>
      <c r="G4014" s="47"/>
      <c r="H4014" s="47"/>
      <c r="I4014" s="47"/>
      <c r="J4014" s="1">
        <v>42.0</v>
      </c>
    </row>
    <row r="4015" ht="15.75" hidden="1" customHeight="1">
      <c r="A4015" s="47"/>
      <c r="B4015" s="47"/>
      <c r="C4015" s="47"/>
      <c r="D4015" s="47"/>
      <c r="E4015" s="47"/>
      <c r="F4015" s="47"/>
      <c r="G4015" s="47"/>
      <c r="H4015" s="47"/>
      <c r="I4015" s="47"/>
      <c r="J4015" s="1">
        <v>42.0</v>
      </c>
    </row>
    <row r="4016" ht="15.75" hidden="1" customHeight="1">
      <c r="A4016" s="47"/>
      <c r="B4016" s="47"/>
      <c r="C4016" s="47"/>
      <c r="D4016" s="47"/>
      <c r="E4016" s="47"/>
      <c r="F4016" s="47"/>
      <c r="G4016" s="47"/>
      <c r="H4016" s="47"/>
      <c r="I4016" s="47"/>
      <c r="J4016" s="1">
        <v>42.0</v>
      </c>
    </row>
    <row r="4017" ht="15.75" hidden="1" customHeight="1">
      <c r="A4017" s="47"/>
      <c r="B4017" s="47"/>
      <c r="C4017" s="47"/>
      <c r="D4017" s="47"/>
      <c r="E4017" s="47"/>
      <c r="F4017" s="47"/>
      <c r="G4017" s="47"/>
      <c r="H4017" s="47"/>
      <c r="I4017" s="47"/>
      <c r="J4017" s="1">
        <v>42.0</v>
      </c>
    </row>
    <row r="4018" ht="15.75" hidden="1" customHeight="1">
      <c r="A4018" s="47"/>
      <c r="B4018" s="47"/>
      <c r="C4018" s="47"/>
      <c r="D4018" s="47"/>
      <c r="E4018" s="47"/>
      <c r="F4018" s="47"/>
      <c r="G4018" s="47"/>
      <c r="H4018" s="47"/>
      <c r="I4018" s="47"/>
      <c r="J4018" s="1">
        <v>42.0</v>
      </c>
    </row>
    <row r="4019" ht="15.75" hidden="1" customHeight="1">
      <c r="A4019" s="47"/>
      <c r="B4019" s="47"/>
      <c r="C4019" s="47"/>
      <c r="D4019" s="47"/>
      <c r="E4019" s="47"/>
      <c r="F4019" s="47"/>
      <c r="G4019" s="47"/>
      <c r="H4019" s="47"/>
      <c r="I4019" s="47"/>
      <c r="J4019" s="1">
        <v>42.0</v>
      </c>
    </row>
    <row r="4020" ht="15.75" hidden="1" customHeight="1">
      <c r="A4020" s="47"/>
      <c r="B4020" s="47"/>
      <c r="C4020" s="47"/>
      <c r="D4020" s="47"/>
      <c r="E4020" s="47"/>
      <c r="F4020" s="47"/>
      <c r="G4020" s="47"/>
      <c r="H4020" s="47"/>
      <c r="I4020" s="47"/>
      <c r="J4020" s="1">
        <v>42.0</v>
      </c>
    </row>
    <row r="4021" ht="15.75" hidden="1" customHeight="1">
      <c r="A4021" s="47"/>
      <c r="B4021" s="47"/>
      <c r="C4021" s="47"/>
      <c r="D4021" s="47"/>
      <c r="E4021" s="47"/>
      <c r="F4021" s="47"/>
      <c r="G4021" s="47"/>
      <c r="H4021" s="47"/>
      <c r="I4021" s="47"/>
      <c r="J4021" s="1">
        <v>42.0</v>
      </c>
    </row>
    <row r="4022" ht="15.75" hidden="1" customHeight="1">
      <c r="A4022" s="47"/>
      <c r="B4022" s="47"/>
      <c r="C4022" s="47"/>
      <c r="D4022" s="47"/>
      <c r="E4022" s="47"/>
      <c r="F4022" s="47"/>
      <c r="G4022" s="47"/>
      <c r="H4022" s="47"/>
      <c r="I4022" s="47"/>
      <c r="J4022" s="1">
        <v>42.0</v>
      </c>
    </row>
    <row r="4023" ht="15.75" hidden="1" customHeight="1">
      <c r="A4023" s="47"/>
      <c r="B4023" s="47"/>
      <c r="C4023" s="47"/>
      <c r="D4023" s="47"/>
      <c r="E4023" s="47"/>
      <c r="F4023" s="47"/>
      <c r="G4023" s="47"/>
      <c r="H4023" s="47"/>
      <c r="I4023" s="47"/>
      <c r="J4023" s="1">
        <v>42.0</v>
      </c>
    </row>
    <row r="4024" ht="15.75" hidden="1" customHeight="1">
      <c r="A4024" s="47"/>
      <c r="B4024" s="47"/>
      <c r="C4024" s="47"/>
      <c r="D4024" s="47"/>
      <c r="E4024" s="47"/>
      <c r="F4024" s="47"/>
      <c r="G4024" s="47"/>
      <c r="H4024" s="47"/>
      <c r="I4024" s="47"/>
      <c r="J4024" s="1">
        <v>42.0</v>
      </c>
    </row>
    <row r="4025" ht="15.75" hidden="1" customHeight="1">
      <c r="A4025" s="47"/>
      <c r="B4025" s="47"/>
      <c r="C4025" s="47"/>
      <c r="D4025" s="47"/>
      <c r="E4025" s="47"/>
      <c r="F4025" s="47"/>
      <c r="G4025" s="47"/>
      <c r="H4025" s="47"/>
      <c r="I4025" s="47"/>
      <c r="J4025" s="1">
        <v>42.0</v>
      </c>
    </row>
    <row r="4026" ht="15.75" hidden="1" customHeight="1">
      <c r="A4026" s="47"/>
      <c r="B4026" s="47"/>
      <c r="C4026" s="47"/>
      <c r="D4026" s="47"/>
      <c r="E4026" s="47"/>
      <c r="F4026" s="47"/>
      <c r="G4026" s="47"/>
      <c r="H4026" s="47"/>
      <c r="I4026" s="47"/>
      <c r="J4026" s="1">
        <v>42.0</v>
      </c>
    </row>
    <row r="4027" ht="15.75" hidden="1" customHeight="1">
      <c r="A4027" s="47"/>
      <c r="B4027" s="47"/>
      <c r="C4027" s="47"/>
      <c r="D4027" s="47"/>
      <c r="E4027" s="47"/>
      <c r="F4027" s="47"/>
      <c r="G4027" s="47"/>
      <c r="H4027" s="47"/>
      <c r="I4027" s="47"/>
      <c r="J4027" s="1">
        <v>42.0</v>
      </c>
    </row>
    <row r="4028" ht="15.75" hidden="1" customHeight="1">
      <c r="A4028" s="47"/>
      <c r="B4028" s="47"/>
      <c r="C4028" s="47"/>
      <c r="D4028" s="47"/>
      <c r="E4028" s="47"/>
      <c r="F4028" s="47"/>
      <c r="G4028" s="47"/>
      <c r="H4028" s="47"/>
      <c r="I4028" s="47"/>
      <c r="J4028" s="1">
        <v>42.0</v>
      </c>
    </row>
    <row r="4029" ht="15.75" hidden="1" customHeight="1">
      <c r="A4029" s="47"/>
      <c r="B4029" s="47"/>
      <c r="C4029" s="47"/>
      <c r="D4029" s="47"/>
      <c r="E4029" s="47"/>
      <c r="F4029" s="47"/>
      <c r="G4029" s="47"/>
      <c r="H4029" s="47"/>
      <c r="I4029" s="47"/>
      <c r="J4029" s="1">
        <v>42.0</v>
      </c>
    </row>
    <row r="4030" ht="15.75" hidden="1" customHeight="1">
      <c r="A4030" s="47"/>
      <c r="B4030" s="47"/>
      <c r="C4030" s="47"/>
      <c r="D4030" s="47"/>
      <c r="E4030" s="47"/>
      <c r="F4030" s="47"/>
      <c r="G4030" s="47"/>
      <c r="H4030" s="47"/>
      <c r="I4030" s="47"/>
      <c r="J4030" s="1">
        <v>42.0</v>
      </c>
    </row>
    <row r="4031" ht="15.75" hidden="1" customHeight="1">
      <c r="A4031" s="47"/>
      <c r="B4031" s="47"/>
      <c r="C4031" s="47"/>
      <c r="D4031" s="47"/>
      <c r="E4031" s="47"/>
      <c r="F4031" s="47"/>
      <c r="G4031" s="47"/>
      <c r="H4031" s="47"/>
      <c r="I4031" s="47"/>
      <c r="J4031" s="1">
        <v>42.0</v>
      </c>
    </row>
    <row r="4032" ht="15.75" hidden="1" customHeight="1">
      <c r="A4032" s="47"/>
      <c r="B4032" s="47"/>
      <c r="C4032" s="47"/>
      <c r="D4032" s="47"/>
      <c r="E4032" s="47"/>
      <c r="F4032" s="47"/>
      <c r="G4032" s="47"/>
      <c r="H4032" s="47"/>
      <c r="I4032" s="47"/>
      <c r="J4032" s="1">
        <v>42.0</v>
      </c>
    </row>
    <row r="4033" ht="15.75" hidden="1" customHeight="1">
      <c r="A4033" s="47"/>
      <c r="B4033" s="47"/>
      <c r="C4033" s="47"/>
      <c r="D4033" s="47"/>
      <c r="E4033" s="47"/>
      <c r="F4033" s="47"/>
      <c r="G4033" s="47"/>
      <c r="H4033" s="47"/>
      <c r="I4033" s="47"/>
      <c r="J4033" s="1">
        <v>42.0</v>
      </c>
    </row>
    <row r="4034" ht="15.75" hidden="1" customHeight="1">
      <c r="A4034" s="47"/>
      <c r="B4034" s="47"/>
      <c r="C4034" s="47"/>
      <c r="D4034" s="47"/>
      <c r="E4034" s="47"/>
      <c r="F4034" s="47"/>
      <c r="G4034" s="47"/>
      <c r="H4034" s="47"/>
      <c r="I4034" s="47"/>
      <c r="J4034" s="1">
        <v>42.0</v>
      </c>
    </row>
    <row r="4035" ht="15.75" hidden="1" customHeight="1">
      <c r="A4035" s="47"/>
      <c r="B4035" s="47"/>
      <c r="C4035" s="47"/>
      <c r="D4035" s="47"/>
      <c r="E4035" s="47"/>
      <c r="F4035" s="47"/>
      <c r="G4035" s="47"/>
      <c r="H4035" s="47"/>
      <c r="I4035" s="47"/>
      <c r="J4035" s="1">
        <v>42.0</v>
      </c>
    </row>
    <row r="4036" ht="15.75" hidden="1" customHeight="1">
      <c r="A4036" s="47"/>
      <c r="B4036" s="47"/>
      <c r="C4036" s="47"/>
      <c r="D4036" s="47"/>
      <c r="E4036" s="47"/>
      <c r="F4036" s="47"/>
      <c r="G4036" s="47"/>
      <c r="H4036" s="47"/>
      <c r="I4036" s="47"/>
      <c r="J4036" s="1">
        <v>42.0</v>
      </c>
    </row>
    <row r="4037" ht="15.75" hidden="1" customHeight="1">
      <c r="A4037" s="47"/>
      <c r="B4037" s="47"/>
      <c r="C4037" s="47"/>
      <c r="D4037" s="47"/>
      <c r="E4037" s="47"/>
      <c r="F4037" s="47"/>
      <c r="G4037" s="47"/>
      <c r="H4037" s="47"/>
      <c r="I4037" s="47"/>
      <c r="J4037" s="1">
        <v>42.0</v>
      </c>
    </row>
    <row r="4038" ht="15.75" hidden="1" customHeight="1">
      <c r="A4038" s="47"/>
      <c r="B4038" s="47"/>
      <c r="C4038" s="47"/>
      <c r="D4038" s="47"/>
      <c r="E4038" s="47"/>
      <c r="F4038" s="47"/>
      <c r="G4038" s="47"/>
      <c r="H4038" s="47"/>
      <c r="I4038" s="47"/>
      <c r="J4038" s="1">
        <v>42.0</v>
      </c>
    </row>
    <row r="4039" ht="15.75" hidden="1" customHeight="1">
      <c r="A4039" s="47"/>
      <c r="B4039" s="47"/>
      <c r="C4039" s="47"/>
      <c r="D4039" s="47"/>
      <c r="E4039" s="47"/>
      <c r="F4039" s="47"/>
      <c r="G4039" s="47"/>
      <c r="H4039" s="47"/>
      <c r="I4039" s="47"/>
      <c r="J4039" s="1">
        <v>42.0</v>
      </c>
    </row>
    <row r="4040" ht="15.75" hidden="1" customHeight="1">
      <c r="A4040" s="47"/>
      <c r="B4040" s="47"/>
      <c r="C4040" s="47"/>
      <c r="D4040" s="47"/>
      <c r="E4040" s="47"/>
      <c r="F4040" s="47"/>
      <c r="G4040" s="47"/>
      <c r="H4040" s="47"/>
      <c r="I4040" s="47"/>
      <c r="J4040" s="1">
        <v>42.0</v>
      </c>
    </row>
    <row r="4041" ht="15.75" hidden="1" customHeight="1">
      <c r="A4041" s="47"/>
      <c r="B4041" s="47"/>
      <c r="C4041" s="47"/>
      <c r="D4041" s="47"/>
      <c r="E4041" s="47"/>
      <c r="F4041" s="47"/>
      <c r="G4041" s="47"/>
      <c r="H4041" s="47"/>
      <c r="I4041" s="47"/>
      <c r="J4041" s="1">
        <v>42.0</v>
      </c>
    </row>
    <row r="4042" ht="15.75" hidden="1" customHeight="1">
      <c r="A4042" s="47"/>
      <c r="B4042" s="47"/>
      <c r="C4042" s="47"/>
      <c r="D4042" s="47"/>
      <c r="E4042" s="47"/>
      <c r="F4042" s="47"/>
      <c r="G4042" s="47"/>
      <c r="H4042" s="47"/>
      <c r="I4042" s="47"/>
      <c r="J4042" s="1">
        <v>42.0</v>
      </c>
    </row>
    <row r="4043" ht="15.75" hidden="1" customHeight="1">
      <c r="A4043" s="47"/>
      <c r="B4043" s="47"/>
      <c r="C4043" s="47"/>
      <c r="D4043" s="47"/>
      <c r="E4043" s="47"/>
      <c r="F4043" s="47"/>
      <c r="G4043" s="47"/>
      <c r="H4043" s="47"/>
      <c r="I4043" s="47"/>
      <c r="J4043" s="1">
        <v>42.0</v>
      </c>
    </row>
    <row r="4044" ht="15.75" hidden="1" customHeight="1">
      <c r="A4044" s="47"/>
      <c r="B4044" s="47"/>
      <c r="C4044" s="47"/>
      <c r="D4044" s="47"/>
      <c r="E4044" s="47"/>
      <c r="F4044" s="47"/>
      <c r="G4044" s="47"/>
      <c r="H4044" s="47"/>
      <c r="I4044" s="47"/>
      <c r="J4044" s="1">
        <v>42.0</v>
      </c>
    </row>
    <row r="4045" ht="15.75" hidden="1" customHeight="1">
      <c r="A4045" s="47"/>
      <c r="B4045" s="47"/>
      <c r="C4045" s="47"/>
      <c r="D4045" s="47"/>
      <c r="E4045" s="47"/>
      <c r="F4045" s="47"/>
      <c r="G4045" s="47"/>
      <c r="H4045" s="47"/>
      <c r="I4045" s="47"/>
      <c r="J4045" s="1">
        <v>42.0</v>
      </c>
    </row>
    <row r="4046" ht="15.75" hidden="1" customHeight="1">
      <c r="A4046" s="47"/>
      <c r="B4046" s="47"/>
      <c r="C4046" s="47"/>
      <c r="D4046" s="47"/>
      <c r="E4046" s="47"/>
      <c r="F4046" s="47"/>
      <c r="G4046" s="47"/>
      <c r="H4046" s="47"/>
      <c r="I4046" s="47"/>
      <c r="J4046" s="1">
        <v>42.0</v>
      </c>
    </row>
    <row r="4047" ht="15.75" hidden="1" customHeight="1">
      <c r="A4047" s="47"/>
      <c r="B4047" s="47"/>
      <c r="C4047" s="47"/>
      <c r="D4047" s="47"/>
      <c r="E4047" s="47"/>
      <c r="F4047" s="47"/>
      <c r="G4047" s="47"/>
      <c r="H4047" s="47"/>
      <c r="I4047" s="47"/>
      <c r="J4047" s="1">
        <v>42.0</v>
      </c>
    </row>
    <row r="4048" ht="15.75" hidden="1" customHeight="1">
      <c r="A4048" s="47"/>
      <c r="B4048" s="47"/>
      <c r="C4048" s="47"/>
      <c r="D4048" s="47"/>
      <c r="E4048" s="47"/>
      <c r="F4048" s="47"/>
      <c r="G4048" s="47"/>
      <c r="H4048" s="47"/>
      <c r="I4048" s="47"/>
      <c r="J4048" s="1">
        <v>42.0</v>
      </c>
    </row>
    <row r="4049" ht="15.75" hidden="1" customHeight="1">
      <c r="A4049" s="47"/>
      <c r="B4049" s="47"/>
      <c r="C4049" s="47"/>
      <c r="D4049" s="47"/>
      <c r="E4049" s="47"/>
      <c r="F4049" s="47"/>
      <c r="G4049" s="47"/>
      <c r="H4049" s="47"/>
      <c r="I4049" s="47"/>
      <c r="J4049" s="1">
        <v>42.0</v>
      </c>
    </row>
    <row r="4050" ht="15.75" hidden="1" customHeight="1">
      <c r="A4050" s="47"/>
      <c r="B4050" s="47"/>
      <c r="C4050" s="47"/>
      <c r="D4050" s="47"/>
      <c r="E4050" s="47"/>
      <c r="F4050" s="47"/>
      <c r="G4050" s="47"/>
      <c r="H4050" s="47"/>
      <c r="I4050" s="47"/>
      <c r="J4050" s="1">
        <v>42.0</v>
      </c>
    </row>
    <row r="4051" ht="15.75" hidden="1" customHeight="1">
      <c r="A4051" s="47"/>
      <c r="B4051" s="47"/>
      <c r="C4051" s="47"/>
      <c r="D4051" s="47"/>
      <c r="E4051" s="47"/>
      <c r="F4051" s="47"/>
      <c r="G4051" s="47"/>
      <c r="H4051" s="47"/>
      <c r="I4051" s="47"/>
      <c r="J4051" s="1">
        <v>42.0</v>
      </c>
    </row>
    <row r="4052" ht="15.75" hidden="1" customHeight="1">
      <c r="A4052" s="47"/>
      <c r="B4052" s="47"/>
      <c r="C4052" s="47"/>
      <c r="D4052" s="47"/>
      <c r="E4052" s="47"/>
      <c r="F4052" s="47"/>
      <c r="G4052" s="47"/>
      <c r="H4052" s="47"/>
      <c r="I4052" s="47"/>
      <c r="J4052" s="1">
        <v>42.0</v>
      </c>
    </row>
    <row r="4053" ht="15.75" hidden="1" customHeight="1">
      <c r="A4053" s="47"/>
      <c r="B4053" s="47"/>
      <c r="C4053" s="47"/>
      <c r="D4053" s="47"/>
      <c r="E4053" s="47"/>
      <c r="F4053" s="47"/>
      <c r="G4053" s="47"/>
      <c r="H4053" s="47"/>
      <c r="I4053" s="47"/>
      <c r="J4053" s="1">
        <v>42.0</v>
      </c>
    </row>
    <row r="4054" ht="15.75" hidden="1" customHeight="1">
      <c r="A4054" s="47"/>
      <c r="B4054" s="47"/>
      <c r="C4054" s="47"/>
      <c r="D4054" s="47"/>
      <c r="E4054" s="47"/>
      <c r="F4054" s="47"/>
      <c r="G4054" s="47"/>
      <c r="H4054" s="47"/>
      <c r="I4054" s="47"/>
      <c r="J4054" s="1">
        <v>42.0</v>
      </c>
    </row>
    <row r="4055" ht="15.75" hidden="1" customHeight="1">
      <c r="A4055" s="47"/>
      <c r="B4055" s="47"/>
      <c r="C4055" s="47"/>
      <c r="D4055" s="47"/>
      <c r="E4055" s="47"/>
      <c r="F4055" s="47"/>
      <c r="G4055" s="47"/>
      <c r="H4055" s="47"/>
      <c r="I4055" s="47"/>
      <c r="J4055" s="1">
        <v>42.0</v>
      </c>
    </row>
    <row r="4056" ht="15.75" hidden="1" customHeight="1">
      <c r="A4056" s="47"/>
      <c r="B4056" s="47"/>
      <c r="C4056" s="47"/>
      <c r="D4056" s="47"/>
      <c r="E4056" s="47"/>
      <c r="F4056" s="47"/>
      <c r="G4056" s="47"/>
      <c r="H4056" s="47"/>
      <c r="I4056" s="47"/>
      <c r="J4056" s="1">
        <v>42.0</v>
      </c>
    </row>
    <row r="4057" ht="15.75" hidden="1" customHeight="1">
      <c r="A4057" s="47"/>
      <c r="B4057" s="47"/>
      <c r="C4057" s="47"/>
      <c r="D4057" s="47"/>
      <c r="E4057" s="47"/>
      <c r="F4057" s="47"/>
      <c r="G4057" s="47"/>
      <c r="H4057" s="47"/>
      <c r="I4057" s="47"/>
      <c r="J4057" s="1">
        <v>42.0</v>
      </c>
    </row>
    <row r="4058" ht="15.75" hidden="1" customHeight="1">
      <c r="A4058" s="47"/>
      <c r="B4058" s="47"/>
      <c r="C4058" s="47"/>
      <c r="D4058" s="47"/>
      <c r="E4058" s="47"/>
      <c r="F4058" s="47"/>
      <c r="G4058" s="47"/>
      <c r="H4058" s="47"/>
      <c r="I4058" s="47"/>
      <c r="J4058" s="1">
        <v>42.0</v>
      </c>
    </row>
    <row r="4059" ht="15.75" hidden="1" customHeight="1">
      <c r="A4059" s="47"/>
      <c r="B4059" s="47"/>
      <c r="C4059" s="47"/>
      <c r="D4059" s="47"/>
      <c r="E4059" s="47"/>
      <c r="F4059" s="47"/>
      <c r="G4059" s="47"/>
      <c r="H4059" s="47"/>
      <c r="I4059" s="47"/>
      <c r="J4059" s="1">
        <v>42.0</v>
      </c>
    </row>
    <row r="4060" ht="15.75" hidden="1" customHeight="1">
      <c r="A4060" s="47"/>
      <c r="B4060" s="47"/>
      <c r="C4060" s="47"/>
      <c r="D4060" s="47"/>
      <c r="E4060" s="47"/>
      <c r="F4060" s="47"/>
      <c r="G4060" s="47"/>
      <c r="H4060" s="47"/>
      <c r="I4060" s="47"/>
      <c r="J4060" s="1">
        <v>42.0</v>
      </c>
    </row>
    <row r="4061" ht="15.75" hidden="1" customHeight="1">
      <c r="A4061" s="47"/>
      <c r="B4061" s="47"/>
      <c r="C4061" s="47"/>
      <c r="D4061" s="47"/>
      <c r="E4061" s="47"/>
      <c r="F4061" s="47"/>
      <c r="G4061" s="47"/>
      <c r="H4061" s="47"/>
      <c r="I4061" s="47"/>
      <c r="J4061" s="1">
        <v>42.0</v>
      </c>
    </row>
    <row r="4062" ht="15.75" hidden="1" customHeight="1">
      <c r="A4062" s="47"/>
      <c r="B4062" s="47"/>
      <c r="C4062" s="47"/>
      <c r="D4062" s="47"/>
      <c r="E4062" s="47"/>
      <c r="F4062" s="47"/>
      <c r="G4062" s="47"/>
      <c r="H4062" s="47"/>
      <c r="I4062" s="47"/>
      <c r="J4062" s="1">
        <v>42.0</v>
      </c>
    </row>
    <row r="4063" ht="15.75" hidden="1" customHeight="1">
      <c r="A4063" s="47"/>
      <c r="B4063" s="47"/>
      <c r="C4063" s="47"/>
      <c r="D4063" s="47"/>
      <c r="E4063" s="47"/>
      <c r="F4063" s="47"/>
      <c r="G4063" s="47"/>
      <c r="H4063" s="47"/>
      <c r="I4063" s="47"/>
      <c r="J4063" s="1">
        <v>42.0</v>
      </c>
    </row>
    <row r="4064" ht="15.75" hidden="1" customHeight="1">
      <c r="A4064" s="47"/>
      <c r="B4064" s="47"/>
      <c r="C4064" s="47"/>
      <c r="D4064" s="47"/>
      <c r="E4064" s="47"/>
      <c r="F4064" s="47"/>
      <c r="G4064" s="47"/>
      <c r="H4064" s="47"/>
      <c r="I4064" s="47"/>
      <c r="J4064" s="1">
        <v>42.0</v>
      </c>
    </row>
    <row r="4065" ht="15.75" hidden="1" customHeight="1">
      <c r="A4065" s="47"/>
      <c r="B4065" s="47"/>
      <c r="C4065" s="47"/>
      <c r="D4065" s="47"/>
      <c r="E4065" s="47"/>
      <c r="F4065" s="47"/>
      <c r="G4065" s="47"/>
      <c r="H4065" s="47"/>
      <c r="I4065" s="47"/>
      <c r="J4065" s="1">
        <v>42.0</v>
      </c>
    </row>
    <row r="4066" ht="15.75" hidden="1" customHeight="1">
      <c r="A4066" s="47"/>
      <c r="B4066" s="47"/>
      <c r="C4066" s="47"/>
      <c r="D4066" s="47"/>
      <c r="E4066" s="47"/>
      <c r="F4066" s="47"/>
      <c r="G4066" s="47"/>
      <c r="H4066" s="47"/>
      <c r="I4066" s="47"/>
      <c r="J4066" s="1">
        <v>42.0</v>
      </c>
    </row>
    <row r="4067" ht="15.75" hidden="1" customHeight="1">
      <c r="A4067" s="47"/>
      <c r="B4067" s="47"/>
      <c r="C4067" s="47"/>
      <c r="D4067" s="47"/>
      <c r="E4067" s="47"/>
      <c r="F4067" s="47"/>
      <c r="G4067" s="47"/>
      <c r="H4067" s="47"/>
      <c r="I4067" s="47"/>
      <c r="J4067" s="1">
        <v>42.0</v>
      </c>
    </row>
    <row r="4068" ht="15.75" hidden="1" customHeight="1">
      <c r="A4068" s="47"/>
      <c r="B4068" s="47"/>
      <c r="C4068" s="47"/>
      <c r="D4068" s="47"/>
      <c r="E4068" s="47"/>
      <c r="F4068" s="47"/>
      <c r="G4068" s="47"/>
      <c r="H4068" s="47"/>
      <c r="I4068" s="47"/>
      <c r="J4068" s="1">
        <v>42.0</v>
      </c>
    </row>
    <row r="4069" ht="15.75" hidden="1" customHeight="1">
      <c r="A4069" s="47"/>
      <c r="B4069" s="47"/>
      <c r="C4069" s="47"/>
      <c r="D4069" s="47"/>
      <c r="E4069" s="47"/>
      <c r="F4069" s="47"/>
      <c r="G4069" s="47"/>
      <c r="H4069" s="47"/>
      <c r="I4069" s="47"/>
      <c r="J4069" s="1">
        <v>42.0</v>
      </c>
    </row>
    <row r="4070" ht="15.75" hidden="1" customHeight="1">
      <c r="A4070" s="47"/>
      <c r="B4070" s="47"/>
      <c r="C4070" s="47"/>
      <c r="D4070" s="47"/>
      <c r="E4070" s="47"/>
      <c r="F4070" s="47"/>
      <c r="G4070" s="47"/>
      <c r="H4070" s="47"/>
      <c r="I4070" s="47"/>
      <c r="J4070" s="1">
        <v>42.0</v>
      </c>
    </row>
    <row r="4071" ht="15.75" hidden="1" customHeight="1">
      <c r="A4071" s="47"/>
      <c r="B4071" s="47"/>
      <c r="C4071" s="47"/>
      <c r="D4071" s="47"/>
      <c r="E4071" s="47"/>
      <c r="F4071" s="47"/>
      <c r="G4071" s="47"/>
      <c r="H4071" s="47"/>
      <c r="I4071" s="47"/>
      <c r="J4071" s="1">
        <v>42.0</v>
      </c>
    </row>
    <row r="4072" ht="15.75" hidden="1" customHeight="1">
      <c r="A4072" s="47"/>
      <c r="B4072" s="47"/>
      <c r="C4072" s="47"/>
      <c r="D4072" s="47"/>
      <c r="E4072" s="47"/>
      <c r="F4072" s="47"/>
      <c r="G4072" s="47"/>
      <c r="H4072" s="47"/>
      <c r="I4072" s="47"/>
      <c r="J4072" s="1">
        <v>42.0</v>
      </c>
    </row>
    <row r="4073" ht="15.75" hidden="1" customHeight="1">
      <c r="A4073" s="47"/>
      <c r="B4073" s="47"/>
      <c r="C4073" s="47"/>
      <c r="D4073" s="47"/>
      <c r="E4073" s="47"/>
      <c r="F4073" s="47"/>
      <c r="G4073" s="47"/>
      <c r="H4073" s="47"/>
      <c r="I4073" s="47"/>
      <c r="J4073" s="1">
        <v>42.0</v>
      </c>
    </row>
    <row r="4074" ht="15.75" hidden="1" customHeight="1">
      <c r="A4074" s="47"/>
      <c r="B4074" s="47"/>
      <c r="C4074" s="47"/>
      <c r="D4074" s="47"/>
      <c r="E4074" s="47"/>
      <c r="F4074" s="47"/>
      <c r="G4074" s="47"/>
      <c r="H4074" s="47"/>
      <c r="I4074" s="47"/>
      <c r="J4074" s="1">
        <v>42.0</v>
      </c>
    </row>
    <row r="4075" ht="15.75" hidden="1" customHeight="1">
      <c r="A4075" s="47"/>
      <c r="B4075" s="47"/>
      <c r="C4075" s="47"/>
      <c r="D4075" s="47"/>
      <c r="E4075" s="47"/>
      <c r="F4075" s="47"/>
      <c r="G4075" s="47"/>
      <c r="H4075" s="47"/>
      <c r="I4075" s="47"/>
      <c r="J4075" s="1">
        <v>42.0</v>
      </c>
    </row>
    <row r="4076" ht="15.75" hidden="1" customHeight="1">
      <c r="A4076" s="47"/>
      <c r="B4076" s="47"/>
      <c r="C4076" s="47"/>
      <c r="D4076" s="47"/>
      <c r="E4076" s="47"/>
      <c r="F4076" s="47"/>
      <c r="G4076" s="47"/>
      <c r="H4076" s="47"/>
      <c r="I4076" s="47"/>
      <c r="J4076" s="1">
        <v>42.0</v>
      </c>
    </row>
    <row r="4077" ht="15.75" hidden="1" customHeight="1">
      <c r="A4077" s="47"/>
      <c r="B4077" s="47"/>
      <c r="C4077" s="47"/>
      <c r="D4077" s="47"/>
      <c r="E4077" s="47"/>
      <c r="F4077" s="47"/>
      <c r="G4077" s="47"/>
      <c r="H4077" s="47"/>
      <c r="I4077" s="47"/>
      <c r="J4077" s="1">
        <v>42.0</v>
      </c>
    </row>
    <row r="4078" ht="15.75" hidden="1" customHeight="1">
      <c r="A4078" s="47"/>
      <c r="B4078" s="47"/>
      <c r="C4078" s="47"/>
      <c r="D4078" s="47"/>
      <c r="E4078" s="47"/>
      <c r="F4078" s="47"/>
      <c r="G4078" s="47"/>
      <c r="H4078" s="47"/>
      <c r="I4078" s="47"/>
      <c r="J4078" s="1">
        <v>42.0</v>
      </c>
    </row>
    <row r="4079" ht="15.75" hidden="1" customHeight="1">
      <c r="A4079" s="47"/>
      <c r="B4079" s="47"/>
      <c r="C4079" s="47"/>
      <c r="D4079" s="47"/>
      <c r="E4079" s="47"/>
      <c r="F4079" s="47"/>
      <c r="G4079" s="47"/>
      <c r="H4079" s="47"/>
      <c r="I4079" s="47"/>
      <c r="J4079" s="1">
        <v>42.0</v>
      </c>
    </row>
    <row r="4080" ht="15.75" hidden="1" customHeight="1">
      <c r="A4080" s="47"/>
      <c r="B4080" s="47"/>
      <c r="C4080" s="47"/>
      <c r="D4080" s="47"/>
      <c r="E4080" s="47"/>
      <c r="F4080" s="47"/>
      <c r="G4080" s="47"/>
      <c r="H4080" s="47"/>
      <c r="I4080" s="47"/>
      <c r="J4080" s="1">
        <v>42.0</v>
      </c>
    </row>
    <row r="4081" ht="15.75" hidden="1" customHeight="1">
      <c r="A4081" s="47"/>
      <c r="B4081" s="47"/>
      <c r="C4081" s="47"/>
      <c r="D4081" s="47"/>
      <c r="E4081" s="47"/>
      <c r="F4081" s="47"/>
      <c r="G4081" s="47"/>
      <c r="H4081" s="47"/>
      <c r="I4081" s="47"/>
      <c r="J4081" s="1">
        <v>42.0</v>
      </c>
    </row>
    <row r="4082" ht="15.75" hidden="1" customHeight="1">
      <c r="A4082" s="47"/>
      <c r="B4082" s="47"/>
      <c r="C4082" s="47"/>
      <c r="D4082" s="47"/>
      <c r="E4082" s="47"/>
      <c r="F4082" s="47"/>
      <c r="G4082" s="47"/>
      <c r="H4082" s="47"/>
      <c r="I4082" s="47"/>
      <c r="J4082" s="1">
        <v>42.0</v>
      </c>
    </row>
    <row r="4083" ht="15.75" hidden="1" customHeight="1">
      <c r="A4083" s="47"/>
      <c r="B4083" s="47"/>
      <c r="C4083" s="47"/>
      <c r="D4083" s="47"/>
      <c r="E4083" s="47"/>
      <c r="F4083" s="47"/>
      <c r="G4083" s="47"/>
      <c r="H4083" s="47"/>
      <c r="I4083" s="47"/>
      <c r="J4083" s="1">
        <v>42.0</v>
      </c>
    </row>
    <row r="4084" ht="15.75" hidden="1" customHeight="1">
      <c r="A4084" s="47"/>
      <c r="B4084" s="47"/>
      <c r="C4084" s="47"/>
      <c r="D4084" s="47"/>
      <c r="E4084" s="47"/>
      <c r="F4084" s="47"/>
      <c r="G4084" s="47"/>
      <c r="H4084" s="47"/>
      <c r="I4084" s="47"/>
      <c r="J4084" s="1">
        <v>42.0</v>
      </c>
    </row>
    <row r="4085" ht="15.75" hidden="1" customHeight="1">
      <c r="A4085" s="47"/>
      <c r="B4085" s="47"/>
      <c r="C4085" s="47"/>
      <c r="D4085" s="47"/>
      <c r="E4085" s="47"/>
      <c r="F4085" s="47"/>
      <c r="G4085" s="47"/>
      <c r="H4085" s="47"/>
      <c r="I4085" s="47"/>
      <c r="J4085" s="1">
        <v>42.0</v>
      </c>
    </row>
    <row r="4086" ht="15.75" hidden="1" customHeight="1">
      <c r="A4086" s="47"/>
      <c r="B4086" s="47"/>
      <c r="C4086" s="47"/>
      <c r="D4086" s="47"/>
      <c r="E4086" s="47"/>
      <c r="F4086" s="47"/>
      <c r="G4086" s="47"/>
      <c r="H4086" s="47"/>
      <c r="I4086" s="47"/>
      <c r="J4086" s="1">
        <v>42.0</v>
      </c>
    </row>
    <row r="4087" ht="15.75" hidden="1" customHeight="1">
      <c r="A4087" s="47"/>
      <c r="B4087" s="47"/>
      <c r="C4087" s="47"/>
      <c r="D4087" s="47"/>
      <c r="E4087" s="47"/>
      <c r="F4087" s="47"/>
      <c r="G4087" s="47"/>
      <c r="H4087" s="47"/>
      <c r="I4087" s="47"/>
      <c r="J4087" s="1">
        <v>42.0</v>
      </c>
    </row>
    <row r="4088" ht="15.75" hidden="1" customHeight="1">
      <c r="A4088" s="47"/>
      <c r="B4088" s="47"/>
      <c r="C4088" s="47"/>
      <c r="D4088" s="47"/>
      <c r="E4088" s="47"/>
      <c r="F4088" s="47"/>
      <c r="G4088" s="47"/>
      <c r="H4088" s="47"/>
      <c r="I4088" s="47"/>
      <c r="J4088" s="1">
        <v>42.0</v>
      </c>
    </row>
    <row r="4089" ht="15.75" hidden="1" customHeight="1">
      <c r="A4089" s="47"/>
      <c r="B4089" s="47"/>
      <c r="C4089" s="47"/>
      <c r="D4089" s="47"/>
      <c r="E4089" s="47"/>
      <c r="F4089" s="47"/>
      <c r="G4089" s="47"/>
      <c r="H4089" s="47"/>
      <c r="I4089" s="47"/>
      <c r="J4089" s="1">
        <v>42.0</v>
      </c>
    </row>
    <row r="4090" ht="15.75" hidden="1" customHeight="1">
      <c r="A4090" s="47"/>
      <c r="B4090" s="47"/>
      <c r="C4090" s="47"/>
      <c r="D4090" s="47"/>
      <c r="E4090" s="47"/>
      <c r="F4090" s="47"/>
      <c r="G4090" s="47"/>
      <c r="H4090" s="47"/>
      <c r="I4090" s="47"/>
      <c r="J4090" s="1">
        <v>42.0</v>
      </c>
    </row>
    <row r="4091" ht="15.75" hidden="1" customHeight="1">
      <c r="A4091" s="47"/>
      <c r="B4091" s="47"/>
      <c r="C4091" s="47"/>
      <c r="D4091" s="47"/>
      <c r="E4091" s="47"/>
      <c r="F4091" s="47"/>
      <c r="G4091" s="47"/>
      <c r="H4091" s="47"/>
      <c r="I4091" s="47"/>
      <c r="J4091" s="1">
        <v>42.0</v>
      </c>
    </row>
    <row r="4092" ht="15.75" hidden="1" customHeight="1">
      <c r="A4092" s="47"/>
      <c r="B4092" s="47"/>
      <c r="C4092" s="47"/>
      <c r="D4092" s="47"/>
      <c r="E4092" s="47"/>
      <c r="F4092" s="47"/>
      <c r="G4092" s="47"/>
      <c r="H4092" s="47"/>
      <c r="I4092" s="47"/>
      <c r="J4092" s="1">
        <v>42.0</v>
      </c>
    </row>
    <row r="4093" ht="15.75" hidden="1" customHeight="1">
      <c r="A4093" s="47"/>
      <c r="B4093" s="47"/>
      <c r="C4093" s="47"/>
      <c r="D4093" s="47"/>
      <c r="E4093" s="47"/>
      <c r="F4093" s="47"/>
      <c r="G4093" s="47"/>
      <c r="H4093" s="47"/>
      <c r="I4093" s="47"/>
      <c r="J4093" s="1">
        <v>42.0</v>
      </c>
    </row>
    <row r="4094" ht="15.75" hidden="1" customHeight="1">
      <c r="A4094" s="47"/>
      <c r="B4094" s="47"/>
      <c r="C4094" s="47"/>
      <c r="D4094" s="47"/>
      <c r="E4094" s="47"/>
      <c r="F4094" s="47"/>
      <c r="G4094" s="47"/>
      <c r="H4094" s="47"/>
      <c r="I4094" s="47"/>
      <c r="J4094" s="1">
        <v>42.0</v>
      </c>
    </row>
    <row r="4095" ht="15.75" hidden="1" customHeight="1">
      <c r="A4095" s="47"/>
      <c r="B4095" s="47"/>
      <c r="C4095" s="47"/>
      <c r="D4095" s="47"/>
      <c r="E4095" s="47"/>
      <c r="F4095" s="47"/>
      <c r="G4095" s="47"/>
      <c r="H4095" s="47"/>
      <c r="I4095" s="47"/>
      <c r="J4095" s="1">
        <v>42.0</v>
      </c>
    </row>
    <row r="4096" ht="15.75" hidden="1" customHeight="1">
      <c r="A4096" s="47"/>
      <c r="B4096" s="47"/>
      <c r="C4096" s="47"/>
      <c r="D4096" s="47"/>
      <c r="E4096" s="47"/>
      <c r="F4096" s="47"/>
      <c r="G4096" s="47"/>
      <c r="H4096" s="47"/>
      <c r="I4096" s="47"/>
      <c r="J4096" s="1">
        <v>42.0</v>
      </c>
    </row>
    <row r="4097" ht="15.75" hidden="1" customHeight="1">
      <c r="A4097" s="47"/>
      <c r="B4097" s="47"/>
      <c r="C4097" s="47"/>
      <c r="D4097" s="47"/>
      <c r="E4097" s="47"/>
      <c r="F4097" s="47"/>
      <c r="G4097" s="47"/>
      <c r="H4097" s="47"/>
      <c r="I4097" s="47"/>
      <c r="J4097" s="1">
        <v>42.0</v>
      </c>
    </row>
    <row r="4098" ht="15.75" hidden="1" customHeight="1">
      <c r="A4098" s="47"/>
      <c r="B4098" s="47"/>
      <c r="C4098" s="47"/>
      <c r="D4098" s="47"/>
      <c r="E4098" s="47"/>
      <c r="F4098" s="47"/>
      <c r="G4098" s="47"/>
      <c r="H4098" s="47"/>
      <c r="I4098" s="47"/>
      <c r="J4098" s="1">
        <v>42.0</v>
      </c>
    </row>
    <row r="4099" ht="15.75" hidden="1" customHeight="1">
      <c r="A4099" s="47"/>
      <c r="B4099" s="47"/>
      <c r="C4099" s="47"/>
      <c r="D4099" s="47"/>
      <c r="E4099" s="47"/>
      <c r="F4099" s="47"/>
      <c r="G4099" s="47"/>
      <c r="H4099" s="47"/>
      <c r="I4099" s="47"/>
      <c r="J4099" s="1">
        <v>42.0</v>
      </c>
    </row>
    <row r="4100" ht="15.75" hidden="1" customHeight="1">
      <c r="A4100" s="47"/>
      <c r="B4100" s="47"/>
      <c r="C4100" s="47"/>
      <c r="D4100" s="47"/>
      <c r="E4100" s="47"/>
      <c r="F4100" s="47"/>
      <c r="G4100" s="47"/>
      <c r="H4100" s="47"/>
      <c r="I4100" s="47"/>
      <c r="J4100" s="1">
        <v>42.0</v>
      </c>
    </row>
    <row r="4101" ht="15.75" hidden="1" customHeight="1">
      <c r="A4101" s="47"/>
      <c r="B4101" s="47"/>
      <c r="C4101" s="47"/>
      <c r="D4101" s="47"/>
      <c r="E4101" s="47"/>
      <c r="F4101" s="47"/>
      <c r="G4101" s="47"/>
      <c r="H4101" s="47"/>
      <c r="I4101" s="47"/>
      <c r="J4101" s="1">
        <v>42.0</v>
      </c>
    </row>
    <row r="4102" ht="15.75" hidden="1" customHeight="1">
      <c r="A4102" s="47"/>
      <c r="B4102" s="47"/>
      <c r="C4102" s="47"/>
      <c r="D4102" s="47"/>
      <c r="E4102" s="47"/>
      <c r="F4102" s="47"/>
      <c r="G4102" s="47"/>
      <c r="H4102" s="47"/>
      <c r="I4102" s="47"/>
      <c r="J4102" s="1">
        <v>42.0</v>
      </c>
    </row>
    <row r="4103" ht="15.75" hidden="1" customHeight="1">
      <c r="A4103" s="47"/>
      <c r="B4103" s="47"/>
      <c r="C4103" s="47"/>
      <c r="D4103" s="47"/>
      <c r="E4103" s="47"/>
      <c r="F4103" s="47"/>
      <c r="G4103" s="47"/>
      <c r="H4103" s="47"/>
      <c r="I4103" s="47"/>
      <c r="J4103" s="1">
        <v>42.0</v>
      </c>
    </row>
    <row r="4104" ht="15.75" hidden="1" customHeight="1">
      <c r="A4104" s="47"/>
      <c r="B4104" s="47"/>
      <c r="C4104" s="47"/>
      <c r="D4104" s="47"/>
      <c r="E4104" s="47"/>
      <c r="F4104" s="47"/>
      <c r="G4104" s="47"/>
      <c r="H4104" s="47"/>
      <c r="I4104" s="47"/>
      <c r="J4104" s="1">
        <v>42.0</v>
      </c>
    </row>
    <row r="4105" ht="15.75" hidden="1" customHeight="1">
      <c r="A4105" s="47"/>
      <c r="B4105" s="47"/>
      <c r="C4105" s="47"/>
      <c r="D4105" s="47"/>
      <c r="E4105" s="47"/>
      <c r="F4105" s="47"/>
      <c r="G4105" s="47"/>
      <c r="H4105" s="47"/>
      <c r="I4105" s="47"/>
      <c r="J4105" s="1">
        <v>42.0</v>
      </c>
    </row>
    <row r="4106" ht="15.75" hidden="1" customHeight="1">
      <c r="A4106" s="47"/>
      <c r="B4106" s="47"/>
      <c r="C4106" s="47"/>
      <c r="D4106" s="47"/>
      <c r="E4106" s="47"/>
      <c r="F4106" s="47"/>
      <c r="G4106" s="47"/>
      <c r="H4106" s="47"/>
      <c r="I4106" s="47"/>
      <c r="J4106" s="1">
        <v>42.0</v>
      </c>
    </row>
    <row r="4107" ht="15.75" hidden="1" customHeight="1">
      <c r="A4107" s="47"/>
      <c r="B4107" s="47"/>
      <c r="C4107" s="47"/>
      <c r="D4107" s="47"/>
      <c r="E4107" s="47"/>
      <c r="F4107" s="47"/>
      <c r="G4107" s="47"/>
      <c r="H4107" s="47"/>
      <c r="I4107" s="47"/>
      <c r="J4107" s="1">
        <v>42.0</v>
      </c>
    </row>
    <row r="4108" ht="15.75" hidden="1" customHeight="1">
      <c r="A4108" s="47"/>
      <c r="B4108" s="47"/>
      <c r="C4108" s="47"/>
      <c r="D4108" s="47"/>
      <c r="E4108" s="47"/>
      <c r="F4108" s="47"/>
      <c r="G4108" s="47"/>
      <c r="H4108" s="47"/>
      <c r="I4108" s="47"/>
      <c r="J4108" s="1">
        <v>42.0</v>
      </c>
    </row>
    <row r="4109" ht="15.75" hidden="1" customHeight="1">
      <c r="A4109" s="47"/>
      <c r="B4109" s="47"/>
      <c r="C4109" s="47"/>
      <c r="D4109" s="47"/>
      <c r="E4109" s="47"/>
      <c r="F4109" s="47"/>
      <c r="G4109" s="47"/>
      <c r="H4109" s="47"/>
      <c r="I4109" s="47"/>
      <c r="J4109" s="1">
        <v>42.0</v>
      </c>
    </row>
    <row r="4110" ht="15.75" hidden="1" customHeight="1">
      <c r="A4110" s="47"/>
      <c r="B4110" s="47"/>
      <c r="C4110" s="47"/>
      <c r="D4110" s="47"/>
      <c r="E4110" s="47"/>
      <c r="F4110" s="47"/>
      <c r="G4110" s="47"/>
      <c r="H4110" s="47"/>
      <c r="I4110" s="47"/>
      <c r="J4110" s="1">
        <v>42.0</v>
      </c>
    </row>
    <row r="4111" ht="15.75" hidden="1" customHeight="1">
      <c r="A4111" s="47"/>
      <c r="B4111" s="47"/>
      <c r="C4111" s="47"/>
      <c r="D4111" s="47"/>
      <c r="E4111" s="47"/>
      <c r="F4111" s="47"/>
      <c r="G4111" s="47"/>
      <c r="H4111" s="47"/>
      <c r="I4111" s="47"/>
      <c r="J4111" s="1">
        <v>42.0</v>
      </c>
    </row>
    <row r="4112" ht="15.75" hidden="1" customHeight="1">
      <c r="A4112" s="47"/>
      <c r="B4112" s="47"/>
      <c r="C4112" s="47"/>
      <c r="D4112" s="47"/>
      <c r="E4112" s="47"/>
      <c r="F4112" s="47"/>
      <c r="G4112" s="47"/>
      <c r="H4112" s="47"/>
      <c r="I4112" s="47"/>
      <c r="J4112" s="1">
        <v>42.0</v>
      </c>
    </row>
    <row r="4113" ht="15.75" hidden="1" customHeight="1">
      <c r="A4113" s="47"/>
      <c r="B4113" s="47"/>
      <c r="C4113" s="47"/>
      <c r="D4113" s="47"/>
      <c r="E4113" s="47"/>
      <c r="F4113" s="47"/>
      <c r="G4113" s="47"/>
      <c r="H4113" s="47"/>
      <c r="I4113" s="47"/>
      <c r="J4113" s="1">
        <v>42.0</v>
      </c>
    </row>
    <row r="4114" ht="15.75" hidden="1" customHeight="1">
      <c r="A4114" s="47"/>
      <c r="B4114" s="47"/>
      <c r="C4114" s="47"/>
      <c r="D4114" s="47"/>
      <c r="E4114" s="47"/>
      <c r="F4114" s="47"/>
      <c r="G4114" s="47"/>
      <c r="H4114" s="47"/>
      <c r="I4114" s="47"/>
      <c r="J4114" s="1">
        <v>42.0</v>
      </c>
    </row>
    <row r="4115" ht="15.75" hidden="1" customHeight="1">
      <c r="A4115" s="47"/>
      <c r="B4115" s="47"/>
      <c r="C4115" s="47"/>
      <c r="D4115" s="47"/>
      <c r="E4115" s="47"/>
      <c r="F4115" s="47"/>
      <c r="G4115" s="47"/>
      <c r="H4115" s="47"/>
      <c r="I4115" s="47"/>
      <c r="J4115" s="1">
        <v>42.0</v>
      </c>
    </row>
    <row r="4116" ht="15.75" hidden="1" customHeight="1">
      <c r="A4116" s="47"/>
      <c r="B4116" s="47"/>
      <c r="C4116" s="47"/>
      <c r="D4116" s="47"/>
      <c r="E4116" s="47"/>
      <c r="F4116" s="47"/>
      <c r="G4116" s="47"/>
      <c r="H4116" s="47"/>
      <c r="I4116" s="47"/>
      <c r="J4116" s="1">
        <v>42.0</v>
      </c>
    </row>
    <row r="4117" ht="15.75" hidden="1" customHeight="1">
      <c r="A4117" s="47"/>
      <c r="B4117" s="47"/>
      <c r="C4117" s="47"/>
      <c r="D4117" s="47"/>
      <c r="E4117" s="47"/>
      <c r="F4117" s="47"/>
      <c r="G4117" s="47"/>
      <c r="H4117" s="47"/>
      <c r="I4117" s="47"/>
      <c r="J4117" s="1">
        <v>42.0</v>
      </c>
    </row>
    <row r="4118" ht="15.75" hidden="1" customHeight="1">
      <c r="A4118" s="47"/>
      <c r="B4118" s="47"/>
      <c r="C4118" s="47"/>
      <c r="D4118" s="47"/>
      <c r="E4118" s="47"/>
      <c r="F4118" s="47"/>
      <c r="G4118" s="47"/>
      <c r="H4118" s="47"/>
      <c r="I4118" s="47"/>
      <c r="J4118" s="1">
        <v>42.0</v>
      </c>
    </row>
    <row r="4119" ht="15.75" hidden="1" customHeight="1">
      <c r="A4119" s="47"/>
      <c r="B4119" s="47"/>
      <c r="C4119" s="47"/>
      <c r="D4119" s="47"/>
      <c r="E4119" s="47"/>
      <c r="F4119" s="47"/>
      <c r="G4119" s="47"/>
      <c r="H4119" s="47"/>
      <c r="I4119" s="47"/>
      <c r="J4119" s="1">
        <v>42.0</v>
      </c>
    </row>
    <row r="4120" ht="15.75" hidden="1" customHeight="1">
      <c r="A4120" s="47"/>
      <c r="B4120" s="47"/>
      <c r="C4120" s="47"/>
      <c r="D4120" s="47"/>
      <c r="E4120" s="47"/>
      <c r="F4120" s="47"/>
      <c r="G4120" s="47"/>
      <c r="H4120" s="47"/>
      <c r="I4120" s="47"/>
      <c r="J4120" s="1">
        <v>42.0</v>
      </c>
    </row>
    <row r="4121" ht="15.75" hidden="1" customHeight="1">
      <c r="A4121" s="47"/>
      <c r="B4121" s="47"/>
      <c r="C4121" s="47"/>
      <c r="D4121" s="47"/>
      <c r="E4121" s="47"/>
      <c r="F4121" s="47"/>
      <c r="G4121" s="47"/>
      <c r="H4121" s="47"/>
      <c r="I4121" s="47"/>
      <c r="J4121" s="1">
        <v>42.0</v>
      </c>
    </row>
    <row r="4122" ht="15.75" hidden="1" customHeight="1">
      <c r="A4122" s="47"/>
      <c r="B4122" s="47"/>
      <c r="C4122" s="47"/>
      <c r="D4122" s="47"/>
      <c r="E4122" s="47"/>
      <c r="F4122" s="47"/>
      <c r="G4122" s="47"/>
      <c r="H4122" s="47"/>
      <c r="I4122" s="47"/>
      <c r="J4122" s="1">
        <v>42.0</v>
      </c>
    </row>
    <row r="4123" ht="15.75" hidden="1" customHeight="1">
      <c r="A4123" s="47"/>
      <c r="B4123" s="47"/>
      <c r="C4123" s="47"/>
      <c r="D4123" s="47"/>
      <c r="E4123" s="47"/>
      <c r="F4123" s="47"/>
      <c r="G4123" s="47"/>
      <c r="H4123" s="47"/>
      <c r="I4123" s="47"/>
      <c r="J4123" s="1">
        <v>42.0</v>
      </c>
    </row>
    <row r="4124" ht="15.75" hidden="1" customHeight="1">
      <c r="A4124" s="47"/>
      <c r="B4124" s="47"/>
      <c r="C4124" s="47"/>
      <c r="D4124" s="47"/>
      <c r="E4124" s="47"/>
      <c r="F4124" s="47"/>
      <c r="G4124" s="47"/>
      <c r="H4124" s="47"/>
      <c r="I4124" s="47"/>
      <c r="J4124" s="1">
        <v>42.0</v>
      </c>
    </row>
    <row r="4125" ht="15.75" hidden="1" customHeight="1">
      <c r="A4125" s="47"/>
      <c r="B4125" s="47"/>
      <c r="C4125" s="47"/>
      <c r="D4125" s="47"/>
      <c r="E4125" s="47"/>
      <c r="F4125" s="47"/>
      <c r="G4125" s="47"/>
      <c r="H4125" s="47"/>
      <c r="I4125" s="47"/>
      <c r="J4125" s="1">
        <v>42.0</v>
      </c>
    </row>
    <row r="4126" ht="15.75" hidden="1" customHeight="1">
      <c r="A4126" s="47"/>
      <c r="B4126" s="47"/>
      <c r="C4126" s="47"/>
      <c r="D4126" s="47"/>
      <c r="E4126" s="47"/>
      <c r="F4126" s="47"/>
      <c r="G4126" s="47"/>
      <c r="H4126" s="47"/>
      <c r="I4126" s="47"/>
      <c r="J4126" s="1">
        <v>42.0</v>
      </c>
    </row>
    <row r="4127" ht="15.75" hidden="1" customHeight="1">
      <c r="A4127" s="47"/>
      <c r="B4127" s="47"/>
      <c r="C4127" s="47"/>
      <c r="D4127" s="47"/>
      <c r="E4127" s="47"/>
      <c r="F4127" s="47"/>
      <c r="G4127" s="47"/>
      <c r="H4127" s="47"/>
      <c r="I4127" s="47"/>
      <c r="J4127" s="1">
        <v>42.0</v>
      </c>
    </row>
    <row r="4128" ht="15.75" hidden="1" customHeight="1">
      <c r="A4128" s="47"/>
      <c r="B4128" s="47"/>
      <c r="C4128" s="47"/>
      <c r="D4128" s="47"/>
      <c r="E4128" s="47"/>
      <c r="F4128" s="47"/>
      <c r="G4128" s="47"/>
      <c r="H4128" s="47"/>
      <c r="I4128" s="47"/>
      <c r="J4128" s="1">
        <v>42.0</v>
      </c>
    </row>
    <row r="4129" ht="15.75" hidden="1" customHeight="1">
      <c r="A4129" s="47"/>
      <c r="B4129" s="47"/>
      <c r="C4129" s="47"/>
      <c r="D4129" s="47"/>
      <c r="E4129" s="47"/>
      <c r="F4129" s="47"/>
      <c r="G4129" s="47"/>
      <c r="H4129" s="47"/>
      <c r="I4129" s="47"/>
      <c r="J4129" s="1">
        <v>42.0</v>
      </c>
    </row>
    <row r="4130" ht="15.75" hidden="1" customHeight="1">
      <c r="A4130" s="47"/>
      <c r="B4130" s="47"/>
      <c r="C4130" s="47"/>
      <c r="D4130" s="47"/>
      <c r="E4130" s="47"/>
      <c r="F4130" s="47"/>
      <c r="G4130" s="47"/>
      <c r="H4130" s="47"/>
      <c r="I4130" s="47"/>
      <c r="J4130" s="1">
        <v>42.0</v>
      </c>
    </row>
    <row r="4131" ht="15.75" hidden="1" customHeight="1">
      <c r="A4131" s="47"/>
      <c r="B4131" s="47"/>
      <c r="C4131" s="47"/>
      <c r="D4131" s="47"/>
      <c r="E4131" s="47"/>
      <c r="F4131" s="47"/>
      <c r="G4131" s="47"/>
      <c r="H4131" s="47"/>
      <c r="I4131" s="47"/>
      <c r="J4131" s="1">
        <v>42.0</v>
      </c>
    </row>
    <row r="4132" ht="15.75" hidden="1" customHeight="1">
      <c r="A4132" s="47"/>
      <c r="B4132" s="47"/>
      <c r="C4132" s="47"/>
      <c r="D4132" s="47"/>
      <c r="E4132" s="47"/>
      <c r="F4132" s="47"/>
      <c r="G4132" s="47"/>
      <c r="H4132" s="47"/>
      <c r="I4132" s="47"/>
      <c r="J4132" s="1">
        <v>42.0</v>
      </c>
    </row>
    <row r="4133" ht="15.75" hidden="1" customHeight="1">
      <c r="A4133" s="47"/>
      <c r="B4133" s="47"/>
      <c r="C4133" s="47"/>
      <c r="D4133" s="47"/>
      <c r="E4133" s="47"/>
      <c r="F4133" s="47"/>
      <c r="G4133" s="47"/>
      <c r="H4133" s="47"/>
      <c r="I4133" s="47"/>
      <c r="J4133" s="1">
        <v>42.0</v>
      </c>
    </row>
    <row r="4134" ht="15.75" hidden="1" customHeight="1">
      <c r="A4134" s="47"/>
      <c r="B4134" s="47"/>
      <c r="C4134" s="47"/>
      <c r="D4134" s="47"/>
      <c r="E4134" s="47"/>
      <c r="F4134" s="47"/>
      <c r="G4134" s="47"/>
      <c r="H4134" s="47"/>
      <c r="I4134" s="47"/>
      <c r="J4134" s="1">
        <v>42.0</v>
      </c>
    </row>
    <row r="4135" ht="15.75" hidden="1" customHeight="1">
      <c r="A4135" s="47"/>
      <c r="B4135" s="47"/>
      <c r="C4135" s="47"/>
      <c r="D4135" s="47"/>
      <c r="E4135" s="47"/>
      <c r="F4135" s="47"/>
      <c r="G4135" s="47"/>
      <c r="H4135" s="47"/>
      <c r="I4135" s="47"/>
      <c r="J4135" s="1">
        <v>42.0</v>
      </c>
    </row>
    <row r="4136" ht="15.75" hidden="1" customHeight="1">
      <c r="A4136" s="47"/>
      <c r="B4136" s="47"/>
      <c r="C4136" s="47"/>
      <c r="D4136" s="47"/>
      <c r="E4136" s="47"/>
      <c r="F4136" s="47"/>
      <c r="G4136" s="47"/>
      <c r="H4136" s="47"/>
      <c r="I4136" s="47"/>
      <c r="J4136" s="1">
        <v>42.0</v>
      </c>
    </row>
    <row r="4137" ht="15.75" hidden="1" customHeight="1">
      <c r="A4137" s="47"/>
      <c r="B4137" s="47"/>
      <c r="C4137" s="47"/>
      <c r="D4137" s="47"/>
      <c r="E4137" s="47"/>
      <c r="F4137" s="47"/>
      <c r="G4137" s="47"/>
      <c r="H4137" s="47"/>
      <c r="I4137" s="47"/>
      <c r="J4137" s="1">
        <v>42.0</v>
      </c>
    </row>
    <row r="4138" ht="15.75" hidden="1" customHeight="1">
      <c r="A4138" s="47"/>
      <c r="B4138" s="47"/>
      <c r="C4138" s="47"/>
      <c r="D4138" s="47"/>
      <c r="E4138" s="47"/>
      <c r="F4138" s="47"/>
      <c r="G4138" s="47"/>
      <c r="H4138" s="47"/>
      <c r="I4138" s="47"/>
      <c r="J4138" s="1">
        <v>42.0</v>
      </c>
    </row>
    <row r="4139" ht="15.75" hidden="1" customHeight="1">
      <c r="A4139" s="47"/>
      <c r="B4139" s="47"/>
      <c r="C4139" s="47"/>
      <c r="D4139" s="47"/>
      <c r="E4139" s="47"/>
      <c r="F4139" s="47"/>
      <c r="G4139" s="47"/>
      <c r="H4139" s="47"/>
      <c r="I4139" s="47"/>
      <c r="J4139" s="1">
        <v>42.0</v>
      </c>
    </row>
    <row r="4140" ht="15.75" hidden="1" customHeight="1">
      <c r="A4140" s="47"/>
      <c r="B4140" s="47"/>
      <c r="C4140" s="47"/>
      <c r="D4140" s="47"/>
      <c r="E4140" s="47"/>
      <c r="F4140" s="47"/>
      <c r="G4140" s="47"/>
      <c r="H4140" s="47"/>
      <c r="I4140" s="47"/>
      <c r="J4140" s="1">
        <v>42.0</v>
      </c>
    </row>
    <row r="4141" ht="15.75" hidden="1" customHeight="1">
      <c r="A4141" s="47"/>
      <c r="B4141" s="47"/>
      <c r="C4141" s="47"/>
      <c r="D4141" s="47"/>
      <c r="E4141" s="47"/>
      <c r="F4141" s="47"/>
      <c r="G4141" s="47"/>
      <c r="H4141" s="47"/>
      <c r="I4141" s="47"/>
      <c r="J4141" s="1">
        <v>42.0</v>
      </c>
    </row>
    <row r="4142" ht="15.75" hidden="1" customHeight="1">
      <c r="A4142" s="47"/>
      <c r="B4142" s="47"/>
      <c r="C4142" s="47"/>
      <c r="D4142" s="47"/>
      <c r="E4142" s="47"/>
      <c r="F4142" s="47"/>
      <c r="G4142" s="47"/>
      <c r="H4142" s="47"/>
      <c r="I4142" s="47"/>
      <c r="J4142" s="1">
        <v>42.0</v>
      </c>
    </row>
    <row r="4143" ht="15.75" hidden="1" customHeight="1">
      <c r="A4143" s="47"/>
      <c r="B4143" s="47"/>
      <c r="C4143" s="47"/>
      <c r="D4143" s="47"/>
      <c r="E4143" s="47"/>
      <c r="F4143" s="47"/>
      <c r="G4143" s="47"/>
      <c r="H4143" s="47"/>
      <c r="I4143" s="47"/>
      <c r="J4143" s="1">
        <v>42.0</v>
      </c>
    </row>
    <row r="4144" ht="15.75" hidden="1" customHeight="1">
      <c r="A4144" s="47"/>
      <c r="B4144" s="47"/>
      <c r="C4144" s="47"/>
      <c r="D4144" s="47"/>
      <c r="E4144" s="47"/>
      <c r="F4144" s="47"/>
      <c r="G4144" s="47"/>
      <c r="H4144" s="47"/>
      <c r="I4144" s="47"/>
      <c r="J4144" s="1">
        <v>42.0</v>
      </c>
    </row>
    <row r="4145" ht="15.75" hidden="1" customHeight="1">
      <c r="A4145" s="47"/>
      <c r="B4145" s="47"/>
      <c r="C4145" s="47"/>
      <c r="D4145" s="47"/>
      <c r="E4145" s="47"/>
      <c r="F4145" s="47"/>
      <c r="G4145" s="47"/>
      <c r="H4145" s="47"/>
      <c r="I4145" s="47"/>
      <c r="J4145" s="1">
        <v>42.0</v>
      </c>
    </row>
    <row r="4146" ht="15.75" hidden="1" customHeight="1">
      <c r="A4146" s="47"/>
      <c r="B4146" s="47"/>
      <c r="C4146" s="47"/>
      <c r="D4146" s="47"/>
      <c r="E4146" s="47"/>
      <c r="F4146" s="47"/>
      <c r="G4146" s="47"/>
      <c r="H4146" s="47"/>
      <c r="I4146" s="47"/>
      <c r="J4146" s="1">
        <v>42.0</v>
      </c>
    </row>
    <row r="4147" ht="15.75" hidden="1" customHeight="1">
      <c r="A4147" s="47"/>
      <c r="B4147" s="47"/>
      <c r="C4147" s="47"/>
      <c r="D4147" s="47"/>
      <c r="E4147" s="47"/>
      <c r="F4147" s="47"/>
      <c r="G4147" s="47"/>
      <c r="H4147" s="47"/>
      <c r="I4147" s="47"/>
      <c r="J4147" s="1">
        <v>42.0</v>
      </c>
    </row>
    <row r="4148" ht="15.75" hidden="1" customHeight="1">
      <c r="A4148" s="47"/>
      <c r="B4148" s="47"/>
      <c r="C4148" s="47"/>
      <c r="D4148" s="47"/>
      <c r="E4148" s="47"/>
      <c r="F4148" s="47"/>
      <c r="G4148" s="47"/>
      <c r="H4148" s="47"/>
      <c r="I4148" s="47"/>
      <c r="J4148" s="1">
        <v>42.0</v>
      </c>
    </row>
    <row r="4149" ht="15.75" hidden="1" customHeight="1">
      <c r="A4149" s="47"/>
      <c r="B4149" s="47"/>
      <c r="C4149" s="47"/>
      <c r="D4149" s="47"/>
      <c r="E4149" s="47"/>
      <c r="F4149" s="47"/>
      <c r="G4149" s="47"/>
      <c r="H4149" s="47"/>
      <c r="I4149" s="47"/>
      <c r="J4149" s="1">
        <v>42.0</v>
      </c>
    </row>
    <row r="4150" ht="15.75" hidden="1" customHeight="1">
      <c r="A4150" s="47"/>
      <c r="B4150" s="47"/>
      <c r="C4150" s="47"/>
      <c r="D4150" s="47"/>
      <c r="E4150" s="47"/>
      <c r="F4150" s="47"/>
      <c r="G4150" s="47"/>
      <c r="H4150" s="47"/>
      <c r="I4150" s="47"/>
      <c r="J4150" s="1">
        <v>42.0</v>
      </c>
    </row>
    <row r="4151" ht="15.75" hidden="1" customHeight="1">
      <c r="A4151" s="47"/>
      <c r="B4151" s="47"/>
      <c r="C4151" s="47"/>
      <c r="D4151" s="47"/>
      <c r="E4151" s="47"/>
      <c r="F4151" s="47"/>
      <c r="G4151" s="47"/>
      <c r="H4151" s="47"/>
      <c r="I4151" s="47"/>
      <c r="J4151" s="1">
        <v>42.0</v>
      </c>
    </row>
    <row r="4152" ht="15.75" hidden="1" customHeight="1">
      <c r="A4152" s="47"/>
      <c r="B4152" s="47"/>
      <c r="C4152" s="47"/>
      <c r="D4152" s="47"/>
      <c r="E4152" s="47"/>
      <c r="F4152" s="47"/>
      <c r="G4152" s="47"/>
      <c r="H4152" s="47"/>
      <c r="I4152" s="47"/>
      <c r="J4152" s="1">
        <v>42.0</v>
      </c>
    </row>
    <row r="4153" ht="15.75" hidden="1" customHeight="1">
      <c r="A4153" s="47"/>
      <c r="B4153" s="47"/>
      <c r="C4153" s="47"/>
      <c r="D4153" s="47"/>
      <c r="E4153" s="47"/>
      <c r="F4153" s="47"/>
      <c r="G4153" s="47"/>
      <c r="H4153" s="47"/>
      <c r="I4153" s="47"/>
      <c r="J4153" s="1">
        <v>42.0</v>
      </c>
    </row>
    <row r="4154" ht="15.75" hidden="1" customHeight="1">
      <c r="A4154" s="47"/>
      <c r="B4154" s="47"/>
      <c r="C4154" s="47"/>
      <c r="D4154" s="47"/>
      <c r="E4154" s="47"/>
      <c r="F4154" s="47"/>
      <c r="G4154" s="47"/>
      <c r="H4154" s="47"/>
      <c r="I4154" s="47"/>
      <c r="J4154" s="1">
        <v>42.0</v>
      </c>
    </row>
    <row r="4155" ht="15.75" hidden="1" customHeight="1">
      <c r="A4155" s="47"/>
      <c r="B4155" s="47"/>
      <c r="C4155" s="47"/>
      <c r="D4155" s="47"/>
      <c r="E4155" s="47"/>
      <c r="F4155" s="47"/>
      <c r="G4155" s="47"/>
      <c r="H4155" s="47"/>
      <c r="I4155" s="47"/>
      <c r="J4155" s="1">
        <v>42.0</v>
      </c>
    </row>
    <row r="4156" ht="15.75" hidden="1" customHeight="1">
      <c r="A4156" s="47"/>
      <c r="B4156" s="47"/>
      <c r="C4156" s="47"/>
      <c r="D4156" s="47"/>
      <c r="E4156" s="47"/>
      <c r="F4156" s="47"/>
      <c r="G4156" s="47"/>
      <c r="H4156" s="47"/>
      <c r="I4156" s="47"/>
      <c r="J4156" s="1">
        <v>42.0</v>
      </c>
    </row>
    <row r="4157" ht="15.75" hidden="1" customHeight="1">
      <c r="A4157" s="47"/>
      <c r="B4157" s="47"/>
      <c r="C4157" s="47"/>
      <c r="D4157" s="47"/>
      <c r="E4157" s="47"/>
      <c r="F4157" s="47"/>
      <c r="G4157" s="47"/>
      <c r="H4157" s="47"/>
      <c r="I4157" s="47"/>
      <c r="J4157" s="1">
        <v>42.0</v>
      </c>
    </row>
    <row r="4158" ht="15.75" hidden="1" customHeight="1">
      <c r="A4158" s="47"/>
      <c r="B4158" s="47"/>
      <c r="C4158" s="47"/>
      <c r="D4158" s="47"/>
      <c r="E4158" s="47"/>
      <c r="F4158" s="47"/>
      <c r="G4158" s="47"/>
      <c r="H4158" s="47"/>
      <c r="I4158" s="47"/>
      <c r="J4158" s="1">
        <v>42.0</v>
      </c>
    </row>
    <row r="4159" ht="15.75" hidden="1" customHeight="1">
      <c r="A4159" s="47"/>
      <c r="B4159" s="47"/>
      <c r="C4159" s="47"/>
      <c r="D4159" s="47"/>
      <c r="E4159" s="47"/>
      <c r="F4159" s="47"/>
      <c r="G4159" s="47"/>
      <c r="H4159" s="47"/>
      <c r="I4159" s="47"/>
      <c r="J4159" s="1">
        <v>42.0</v>
      </c>
    </row>
    <row r="4160" ht="15.75" hidden="1" customHeight="1">
      <c r="A4160" s="47"/>
      <c r="B4160" s="47"/>
      <c r="C4160" s="47"/>
      <c r="D4160" s="47"/>
      <c r="E4160" s="47"/>
      <c r="F4160" s="47"/>
      <c r="G4160" s="47"/>
      <c r="H4160" s="47"/>
      <c r="I4160" s="47"/>
      <c r="J4160" s="1">
        <v>42.0</v>
      </c>
    </row>
    <row r="4161" ht="15.75" hidden="1" customHeight="1">
      <c r="A4161" s="47"/>
      <c r="B4161" s="47"/>
      <c r="C4161" s="47"/>
      <c r="D4161" s="47"/>
      <c r="E4161" s="47"/>
      <c r="F4161" s="47"/>
      <c r="G4161" s="47"/>
      <c r="H4161" s="47"/>
      <c r="I4161" s="47"/>
      <c r="J4161" s="1">
        <v>42.0</v>
      </c>
    </row>
    <row r="4162" ht="15.75" hidden="1" customHeight="1">
      <c r="A4162" s="47"/>
      <c r="B4162" s="47"/>
      <c r="C4162" s="47"/>
      <c r="D4162" s="47"/>
      <c r="E4162" s="47"/>
      <c r="F4162" s="47"/>
      <c r="G4162" s="47"/>
      <c r="H4162" s="47"/>
      <c r="I4162" s="47"/>
      <c r="J4162" s="1">
        <v>42.0</v>
      </c>
    </row>
    <row r="4163" ht="15.75" hidden="1" customHeight="1">
      <c r="A4163" s="47"/>
      <c r="B4163" s="47"/>
      <c r="C4163" s="47"/>
      <c r="D4163" s="47"/>
      <c r="E4163" s="47"/>
      <c r="F4163" s="47"/>
      <c r="G4163" s="47"/>
      <c r="H4163" s="47"/>
      <c r="I4163" s="47"/>
      <c r="J4163" s="1">
        <v>42.0</v>
      </c>
    </row>
    <row r="4164" ht="15.75" hidden="1" customHeight="1">
      <c r="A4164" s="47"/>
      <c r="B4164" s="47"/>
      <c r="C4164" s="47"/>
      <c r="D4164" s="47"/>
      <c r="E4164" s="47"/>
      <c r="F4164" s="47"/>
      <c r="G4164" s="47"/>
      <c r="H4164" s="47"/>
      <c r="I4164" s="47"/>
      <c r="J4164" s="1">
        <v>42.0</v>
      </c>
    </row>
    <row r="4165" ht="15.75" hidden="1" customHeight="1">
      <c r="A4165" s="47"/>
      <c r="B4165" s="47"/>
      <c r="C4165" s="47"/>
      <c r="D4165" s="47"/>
      <c r="E4165" s="47"/>
      <c r="F4165" s="47"/>
      <c r="G4165" s="47"/>
      <c r="H4165" s="47"/>
      <c r="I4165" s="47"/>
      <c r="J4165" s="1">
        <v>42.0</v>
      </c>
    </row>
    <row r="4166" ht="15.75" hidden="1" customHeight="1">
      <c r="A4166" s="47"/>
      <c r="B4166" s="47"/>
      <c r="C4166" s="47"/>
      <c r="D4166" s="47"/>
      <c r="E4166" s="47"/>
      <c r="F4166" s="47"/>
      <c r="G4166" s="47"/>
      <c r="H4166" s="47"/>
      <c r="I4166" s="47"/>
      <c r="J4166" s="1">
        <v>42.0</v>
      </c>
    </row>
    <row r="4167" ht="15.75" hidden="1" customHeight="1">
      <c r="A4167" s="47"/>
      <c r="B4167" s="47"/>
      <c r="C4167" s="47"/>
      <c r="D4167" s="47"/>
      <c r="E4167" s="47"/>
      <c r="F4167" s="47"/>
      <c r="G4167" s="47"/>
      <c r="H4167" s="47"/>
      <c r="I4167" s="47"/>
      <c r="J4167" s="1">
        <v>42.0</v>
      </c>
    </row>
    <row r="4168" ht="15.75" hidden="1" customHeight="1">
      <c r="A4168" s="47"/>
      <c r="B4168" s="47"/>
      <c r="C4168" s="47"/>
      <c r="D4168" s="47"/>
      <c r="E4168" s="47"/>
      <c r="F4168" s="47"/>
      <c r="G4168" s="47"/>
      <c r="H4168" s="47"/>
      <c r="I4168" s="47"/>
      <c r="J4168" s="1">
        <v>42.0</v>
      </c>
    </row>
    <row r="4169" ht="15.75" hidden="1" customHeight="1">
      <c r="A4169" s="47"/>
      <c r="B4169" s="47"/>
      <c r="C4169" s="47"/>
      <c r="D4169" s="47"/>
      <c r="E4169" s="47"/>
      <c r="F4169" s="47"/>
      <c r="G4169" s="47"/>
      <c r="H4169" s="47"/>
      <c r="I4169" s="47"/>
      <c r="J4169" s="1">
        <v>42.0</v>
      </c>
    </row>
    <row r="4170" ht="15.75" hidden="1" customHeight="1">
      <c r="A4170" s="47"/>
      <c r="B4170" s="47"/>
      <c r="C4170" s="47"/>
      <c r="D4170" s="47"/>
      <c r="E4170" s="47"/>
      <c r="F4170" s="47"/>
      <c r="G4170" s="47"/>
      <c r="H4170" s="47"/>
      <c r="I4170" s="47"/>
      <c r="J4170" s="1">
        <v>42.0</v>
      </c>
    </row>
    <row r="4171" ht="15.75" hidden="1" customHeight="1">
      <c r="A4171" s="47"/>
      <c r="B4171" s="47"/>
      <c r="C4171" s="47"/>
      <c r="D4171" s="47"/>
      <c r="E4171" s="47"/>
      <c r="F4171" s="47"/>
      <c r="G4171" s="47"/>
      <c r="H4171" s="47"/>
      <c r="I4171" s="47"/>
      <c r="J4171" s="1">
        <v>42.0</v>
      </c>
    </row>
    <row r="4172" ht="15.75" hidden="1" customHeight="1">
      <c r="A4172" s="47"/>
      <c r="B4172" s="47"/>
      <c r="C4172" s="47"/>
      <c r="D4172" s="47"/>
      <c r="E4172" s="47"/>
      <c r="F4172" s="47"/>
      <c r="G4172" s="47"/>
      <c r="H4172" s="47"/>
      <c r="I4172" s="47"/>
      <c r="J4172" s="1">
        <v>42.0</v>
      </c>
    </row>
    <row r="4173" ht="15.75" hidden="1" customHeight="1">
      <c r="A4173" s="47"/>
      <c r="B4173" s="47"/>
      <c r="C4173" s="47"/>
      <c r="D4173" s="47"/>
      <c r="E4173" s="47"/>
      <c r="F4173" s="47"/>
      <c r="G4173" s="47"/>
      <c r="H4173" s="47"/>
      <c r="I4173" s="47"/>
      <c r="J4173" s="1">
        <v>42.0</v>
      </c>
    </row>
    <row r="4174" ht="15.75" hidden="1" customHeight="1">
      <c r="A4174" s="47"/>
      <c r="B4174" s="47"/>
      <c r="C4174" s="47"/>
      <c r="D4174" s="47"/>
      <c r="E4174" s="47"/>
      <c r="F4174" s="47"/>
      <c r="G4174" s="47"/>
      <c r="H4174" s="47"/>
      <c r="I4174" s="47"/>
      <c r="J4174" s="1">
        <v>42.0</v>
      </c>
    </row>
    <row r="4175" ht="15.75" hidden="1" customHeight="1">
      <c r="A4175" s="47"/>
      <c r="B4175" s="47"/>
      <c r="C4175" s="47"/>
      <c r="D4175" s="47"/>
      <c r="E4175" s="47"/>
      <c r="F4175" s="47"/>
      <c r="G4175" s="47"/>
      <c r="H4175" s="47"/>
      <c r="I4175" s="47"/>
      <c r="J4175" s="1">
        <v>42.0</v>
      </c>
    </row>
    <row r="4176" ht="15.75" hidden="1" customHeight="1">
      <c r="A4176" s="47"/>
      <c r="B4176" s="47"/>
      <c r="C4176" s="47"/>
      <c r="D4176" s="47"/>
      <c r="E4176" s="47"/>
      <c r="F4176" s="47"/>
      <c r="G4176" s="47"/>
      <c r="H4176" s="47"/>
      <c r="I4176" s="47"/>
      <c r="J4176" s="1">
        <v>42.0</v>
      </c>
    </row>
    <row r="4177" ht="15.75" hidden="1" customHeight="1">
      <c r="A4177" s="47"/>
      <c r="B4177" s="47"/>
      <c r="C4177" s="47"/>
      <c r="D4177" s="47"/>
      <c r="E4177" s="47"/>
      <c r="F4177" s="47"/>
      <c r="G4177" s="47"/>
      <c r="H4177" s="47"/>
      <c r="I4177" s="47"/>
      <c r="J4177" s="1">
        <v>42.0</v>
      </c>
    </row>
    <row r="4178" ht="15.75" hidden="1" customHeight="1">
      <c r="A4178" s="47"/>
      <c r="B4178" s="47"/>
      <c r="C4178" s="47"/>
      <c r="D4178" s="47"/>
      <c r="E4178" s="47"/>
      <c r="F4178" s="47"/>
      <c r="G4178" s="47"/>
      <c r="H4178" s="47"/>
      <c r="I4178" s="47"/>
      <c r="J4178" s="1">
        <v>42.0</v>
      </c>
    </row>
    <row r="4179" ht="15.75" hidden="1" customHeight="1">
      <c r="A4179" s="47"/>
      <c r="B4179" s="47"/>
      <c r="C4179" s="47"/>
      <c r="D4179" s="47"/>
      <c r="E4179" s="47"/>
      <c r="F4179" s="47"/>
      <c r="G4179" s="47"/>
      <c r="H4179" s="47"/>
      <c r="I4179" s="47"/>
      <c r="J4179" s="1">
        <v>42.0</v>
      </c>
    </row>
    <row r="4180" ht="15.75" hidden="1" customHeight="1">
      <c r="A4180" s="47"/>
      <c r="B4180" s="47"/>
      <c r="C4180" s="47"/>
      <c r="D4180" s="47"/>
      <c r="E4180" s="47"/>
      <c r="F4180" s="47"/>
      <c r="G4180" s="47"/>
      <c r="H4180" s="47"/>
      <c r="I4180" s="47"/>
      <c r="J4180" s="1">
        <v>42.0</v>
      </c>
    </row>
    <row r="4181" ht="15.75" hidden="1" customHeight="1">
      <c r="A4181" s="47"/>
      <c r="B4181" s="47"/>
      <c r="C4181" s="47"/>
      <c r="D4181" s="47"/>
      <c r="E4181" s="47"/>
      <c r="F4181" s="47"/>
      <c r="G4181" s="47"/>
      <c r="H4181" s="47"/>
      <c r="I4181" s="47"/>
      <c r="J4181" s="1">
        <v>42.0</v>
      </c>
    </row>
    <row r="4182" ht="15.75" hidden="1" customHeight="1">
      <c r="A4182" s="47"/>
      <c r="B4182" s="47"/>
      <c r="C4182" s="47"/>
      <c r="D4182" s="47"/>
      <c r="E4182" s="47"/>
      <c r="F4182" s="47"/>
      <c r="G4182" s="47"/>
      <c r="H4182" s="47"/>
      <c r="I4182" s="47"/>
      <c r="J4182" s="1">
        <v>42.0</v>
      </c>
    </row>
    <row r="4183" ht="15.75" hidden="1" customHeight="1">
      <c r="A4183" s="47"/>
      <c r="B4183" s="47"/>
      <c r="C4183" s="47"/>
      <c r="D4183" s="47"/>
      <c r="E4183" s="47"/>
      <c r="F4183" s="47"/>
      <c r="G4183" s="47"/>
      <c r="H4183" s="47"/>
      <c r="I4183" s="47"/>
      <c r="J4183" s="1">
        <v>42.0</v>
      </c>
    </row>
    <row r="4184" ht="15.75" hidden="1" customHeight="1">
      <c r="A4184" s="47"/>
      <c r="B4184" s="47"/>
      <c r="C4184" s="47"/>
      <c r="D4184" s="47"/>
      <c r="E4184" s="47"/>
      <c r="F4184" s="47"/>
      <c r="G4184" s="47"/>
      <c r="H4184" s="47"/>
      <c r="I4184" s="47"/>
      <c r="J4184" s="1">
        <v>42.0</v>
      </c>
    </row>
    <row r="4185" ht="15.75" hidden="1" customHeight="1">
      <c r="A4185" s="47"/>
      <c r="B4185" s="47"/>
      <c r="C4185" s="47"/>
      <c r="D4185" s="47"/>
      <c r="E4185" s="47"/>
      <c r="F4185" s="47"/>
      <c r="G4185" s="47"/>
      <c r="H4185" s="47"/>
      <c r="I4185" s="47"/>
      <c r="J4185" s="1">
        <v>42.0</v>
      </c>
    </row>
    <row r="4186" ht="15.75" hidden="1" customHeight="1">
      <c r="A4186" s="47"/>
      <c r="B4186" s="47"/>
      <c r="C4186" s="47"/>
      <c r="D4186" s="47"/>
      <c r="E4186" s="47"/>
      <c r="F4186" s="47"/>
      <c r="G4186" s="47"/>
      <c r="H4186" s="47"/>
      <c r="I4186" s="47"/>
      <c r="J4186" s="1">
        <v>42.0</v>
      </c>
    </row>
    <row r="4187" ht="15.75" hidden="1" customHeight="1">
      <c r="A4187" s="47"/>
      <c r="B4187" s="47"/>
      <c r="C4187" s="47"/>
      <c r="D4187" s="47"/>
      <c r="E4187" s="47"/>
      <c r="F4187" s="47"/>
      <c r="G4187" s="47"/>
      <c r="H4187" s="47"/>
      <c r="I4187" s="47"/>
      <c r="J4187" s="1">
        <v>42.0</v>
      </c>
    </row>
    <row r="4188" ht="15.75" hidden="1" customHeight="1">
      <c r="A4188" s="47"/>
      <c r="B4188" s="47"/>
      <c r="C4188" s="47"/>
      <c r="D4188" s="47"/>
      <c r="E4188" s="47"/>
      <c r="F4188" s="47"/>
      <c r="G4188" s="47"/>
      <c r="H4188" s="47"/>
      <c r="I4188" s="47"/>
      <c r="J4188" s="1">
        <v>42.0</v>
      </c>
    </row>
    <row r="4189" ht="15.75" hidden="1" customHeight="1">
      <c r="A4189" s="47"/>
      <c r="B4189" s="47"/>
      <c r="C4189" s="47"/>
      <c r="D4189" s="47"/>
      <c r="E4189" s="47"/>
      <c r="F4189" s="47"/>
      <c r="G4189" s="47"/>
      <c r="H4189" s="47"/>
      <c r="I4189" s="47"/>
      <c r="J4189" s="1">
        <v>42.0</v>
      </c>
    </row>
    <row r="4190" ht="15.75" hidden="1" customHeight="1">
      <c r="A4190" s="47"/>
      <c r="B4190" s="47"/>
      <c r="C4190" s="47"/>
      <c r="D4190" s="47"/>
      <c r="E4190" s="47"/>
      <c r="F4190" s="47"/>
      <c r="G4190" s="47"/>
      <c r="H4190" s="47"/>
      <c r="I4190" s="47"/>
      <c r="J4190" s="1">
        <v>42.0</v>
      </c>
    </row>
    <row r="4191" ht="15.75" hidden="1" customHeight="1">
      <c r="A4191" s="47"/>
      <c r="B4191" s="47"/>
      <c r="C4191" s="47"/>
      <c r="D4191" s="47"/>
      <c r="E4191" s="47"/>
      <c r="F4191" s="47"/>
      <c r="G4191" s="47"/>
      <c r="H4191" s="47"/>
      <c r="I4191" s="47"/>
      <c r="J4191" s="1">
        <v>42.0</v>
      </c>
    </row>
    <row r="4192" ht="15.75" hidden="1" customHeight="1">
      <c r="A4192" s="47"/>
      <c r="B4192" s="47"/>
      <c r="C4192" s="47"/>
      <c r="D4192" s="47"/>
      <c r="E4192" s="47"/>
      <c r="F4192" s="47"/>
      <c r="G4192" s="47"/>
      <c r="H4192" s="47"/>
      <c r="I4192" s="47"/>
      <c r="J4192" s="1">
        <v>42.0</v>
      </c>
    </row>
    <row r="4193" ht="15.75" hidden="1" customHeight="1">
      <c r="A4193" s="47"/>
      <c r="B4193" s="47"/>
      <c r="C4193" s="47"/>
      <c r="D4193" s="47"/>
      <c r="E4193" s="47"/>
      <c r="F4193" s="47"/>
      <c r="G4193" s="47"/>
      <c r="H4193" s="47"/>
      <c r="I4193" s="47"/>
      <c r="J4193" s="1">
        <v>42.0</v>
      </c>
    </row>
    <row r="4194" ht="15.75" hidden="1" customHeight="1">
      <c r="A4194" s="47"/>
      <c r="B4194" s="47"/>
      <c r="C4194" s="47"/>
      <c r="D4194" s="47"/>
      <c r="E4194" s="47"/>
      <c r="F4194" s="47"/>
      <c r="G4194" s="47"/>
      <c r="H4194" s="47"/>
      <c r="I4194" s="47"/>
      <c r="J4194" s="1">
        <v>42.0</v>
      </c>
    </row>
    <row r="4195" ht="15.75" hidden="1" customHeight="1">
      <c r="A4195" s="47"/>
      <c r="B4195" s="47"/>
      <c r="C4195" s="47"/>
      <c r="D4195" s="47"/>
      <c r="E4195" s="47"/>
      <c r="F4195" s="47"/>
      <c r="G4195" s="47"/>
      <c r="H4195" s="47"/>
      <c r="I4195" s="47"/>
      <c r="J4195" s="1">
        <v>42.0</v>
      </c>
    </row>
    <row r="4196" ht="15.75" hidden="1" customHeight="1">
      <c r="A4196" s="47"/>
      <c r="B4196" s="47"/>
      <c r="C4196" s="47"/>
      <c r="D4196" s="47"/>
      <c r="E4196" s="47"/>
      <c r="F4196" s="47"/>
      <c r="G4196" s="47"/>
      <c r="H4196" s="47"/>
      <c r="I4196" s="47"/>
      <c r="J4196" s="1">
        <v>42.0</v>
      </c>
    </row>
    <row r="4197" ht="15.75" hidden="1" customHeight="1">
      <c r="A4197" s="47"/>
      <c r="B4197" s="47"/>
      <c r="C4197" s="47"/>
      <c r="D4197" s="47"/>
      <c r="E4197" s="47"/>
      <c r="F4197" s="47"/>
      <c r="G4197" s="47"/>
      <c r="H4197" s="47"/>
      <c r="I4197" s="47"/>
      <c r="J4197" s="1">
        <v>42.0</v>
      </c>
    </row>
    <row r="4198" ht="15.75" hidden="1" customHeight="1">
      <c r="A4198" s="47"/>
      <c r="B4198" s="47"/>
      <c r="C4198" s="47"/>
      <c r="D4198" s="47"/>
      <c r="E4198" s="47"/>
      <c r="F4198" s="47"/>
      <c r="G4198" s="47"/>
      <c r="H4198" s="47"/>
      <c r="I4198" s="47"/>
      <c r="J4198" s="1">
        <v>42.0</v>
      </c>
    </row>
    <row r="4199" ht="15.75" hidden="1" customHeight="1">
      <c r="A4199" s="47"/>
      <c r="B4199" s="47"/>
      <c r="C4199" s="47"/>
      <c r="D4199" s="47"/>
      <c r="E4199" s="47"/>
      <c r="F4199" s="47"/>
      <c r="G4199" s="47"/>
      <c r="H4199" s="47"/>
      <c r="I4199" s="47"/>
      <c r="J4199" s="1">
        <v>42.0</v>
      </c>
    </row>
    <row r="4200" ht="15.75" hidden="1" customHeight="1">
      <c r="A4200" s="47"/>
      <c r="B4200" s="47"/>
      <c r="C4200" s="47"/>
      <c r="D4200" s="47"/>
      <c r="E4200" s="47"/>
      <c r="F4200" s="47"/>
      <c r="G4200" s="47"/>
      <c r="H4200" s="47"/>
      <c r="I4200" s="47"/>
      <c r="J4200" s="1">
        <v>42.0</v>
      </c>
    </row>
    <row r="4201" ht="15.75" hidden="1" customHeight="1">
      <c r="A4201" s="47"/>
      <c r="B4201" s="47"/>
      <c r="C4201" s="47"/>
      <c r="D4201" s="47"/>
      <c r="E4201" s="47"/>
      <c r="F4201" s="47"/>
      <c r="G4201" s="47"/>
      <c r="H4201" s="47"/>
      <c r="I4201" s="47"/>
      <c r="J4201" s="1">
        <v>42.0</v>
      </c>
    </row>
    <row r="4202" ht="15.75" hidden="1" customHeight="1">
      <c r="A4202" s="47"/>
      <c r="B4202" s="47"/>
      <c r="C4202" s="47"/>
      <c r="D4202" s="47"/>
      <c r="E4202" s="47"/>
      <c r="F4202" s="47"/>
      <c r="G4202" s="47"/>
      <c r="H4202" s="47"/>
      <c r="I4202" s="47"/>
      <c r="J4202" s="1">
        <v>42.0</v>
      </c>
    </row>
    <row r="4203" ht="15.75" hidden="1" customHeight="1">
      <c r="A4203" s="47"/>
      <c r="B4203" s="47"/>
      <c r="C4203" s="47"/>
      <c r="D4203" s="47"/>
      <c r="E4203" s="47"/>
      <c r="F4203" s="47"/>
      <c r="G4203" s="47"/>
      <c r="H4203" s="47"/>
      <c r="I4203" s="47"/>
      <c r="J4203" s="1">
        <v>42.0</v>
      </c>
    </row>
    <row r="4204" ht="15.75" hidden="1" customHeight="1">
      <c r="A4204" s="47"/>
      <c r="B4204" s="47"/>
      <c r="C4204" s="47"/>
      <c r="D4204" s="47"/>
      <c r="E4204" s="47"/>
      <c r="F4204" s="47"/>
      <c r="G4204" s="47"/>
      <c r="H4204" s="47"/>
      <c r="I4204" s="47"/>
      <c r="J4204" s="1">
        <v>42.0</v>
      </c>
    </row>
    <row r="4205" ht="15.75" hidden="1" customHeight="1">
      <c r="A4205" s="47"/>
      <c r="B4205" s="47"/>
      <c r="C4205" s="47"/>
      <c r="D4205" s="47"/>
      <c r="E4205" s="47"/>
      <c r="F4205" s="47"/>
      <c r="G4205" s="47"/>
      <c r="H4205" s="47"/>
      <c r="I4205" s="47"/>
      <c r="J4205" s="1">
        <v>42.0</v>
      </c>
    </row>
    <row r="4206" ht="15.75" hidden="1" customHeight="1">
      <c r="A4206" s="47"/>
      <c r="B4206" s="47"/>
      <c r="C4206" s="47"/>
      <c r="D4206" s="47"/>
      <c r="E4206" s="47"/>
      <c r="F4206" s="47"/>
      <c r="G4206" s="47"/>
      <c r="H4206" s="47"/>
      <c r="I4206" s="47"/>
      <c r="J4206" s="1">
        <v>42.0</v>
      </c>
    </row>
    <row r="4207" ht="15.75" hidden="1" customHeight="1">
      <c r="A4207" s="47"/>
      <c r="B4207" s="47"/>
      <c r="C4207" s="47"/>
      <c r="D4207" s="47"/>
      <c r="E4207" s="47"/>
      <c r="F4207" s="47"/>
      <c r="G4207" s="47"/>
      <c r="H4207" s="47"/>
      <c r="I4207" s="47"/>
      <c r="J4207" s="1">
        <v>42.0</v>
      </c>
    </row>
    <row r="4208" ht="15.75" hidden="1" customHeight="1">
      <c r="A4208" s="47"/>
      <c r="B4208" s="47"/>
      <c r="C4208" s="47"/>
      <c r="D4208" s="47"/>
      <c r="E4208" s="47"/>
      <c r="F4208" s="47"/>
      <c r="G4208" s="47"/>
      <c r="H4208" s="47"/>
      <c r="I4208" s="47"/>
      <c r="J4208" s="1">
        <v>42.0</v>
      </c>
    </row>
    <row r="4209" ht="15.75" hidden="1" customHeight="1">
      <c r="A4209" s="47"/>
      <c r="B4209" s="47"/>
      <c r="C4209" s="47"/>
      <c r="D4209" s="47"/>
      <c r="E4209" s="47"/>
      <c r="F4209" s="47"/>
      <c r="G4209" s="47"/>
      <c r="H4209" s="47"/>
      <c r="I4209" s="47"/>
      <c r="J4209" s="1">
        <v>42.0</v>
      </c>
    </row>
    <row r="4210" ht="15.75" hidden="1" customHeight="1">
      <c r="A4210" s="47"/>
      <c r="B4210" s="47"/>
      <c r="C4210" s="47"/>
      <c r="D4210" s="47"/>
      <c r="E4210" s="47"/>
      <c r="F4210" s="47"/>
      <c r="G4210" s="47"/>
      <c r="H4210" s="47"/>
      <c r="I4210" s="47"/>
      <c r="J4210" s="1">
        <v>42.0</v>
      </c>
    </row>
    <row r="4211" ht="15.75" hidden="1" customHeight="1">
      <c r="A4211" s="47"/>
      <c r="B4211" s="47"/>
      <c r="C4211" s="47"/>
      <c r="D4211" s="47"/>
      <c r="E4211" s="47"/>
      <c r="F4211" s="47"/>
      <c r="G4211" s="47"/>
      <c r="H4211" s="47"/>
      <c r="I4211" s="47"/>
      <c r="J4211" s="1">
        <v>42.0</v>
      </c>
    </row>
    <row r="4212" ht="15.75" hidden="1" customHeight="1">
      <c r="A4212" s="47"/>
      <c r="B4212" s="47"/>
      <c r="C4212" s="47"/>
      <c r="D4212" s="47"/>
      <c r="E4212" s="47"/>
      <c r="F4212" s="47"/>
      <c r="G4212" s="47"/>
      <c r="H4212" s="47"/>
      <c r="I4212" s="47"/>
      <c r="J4212" s="1">
        <v>42.0</v>
      </c>
    </row>
    <row r="4213" ht="15.75" hidden="1" customHeight="1">
      <c r="A4213" s="47"/>
      <c r="B4213" s="47"/>
      <c r="C4213" s="47"/>
      <c r="D4213" s="47"/>
      <c r="E4213" s="47"/>
      <c r="F4213" s="47"/>
      <c r="G4213" s="47"/>
      <c r="H4213" s="47"/>
      <c r="I4213" s="47"/>
      <c r="J4213" s="1">
        <v>42.0</v>
      </c>
    </row>
    <row r="4214" ht="15.75" hidden="1" customHeight="1">
      <c r="A4214" s="47"/>
      <c r="B4214" s="47"/>
      <c r="C4214" s="47"/>
      <c r="D4214" s="47"/>
      <c r="E4214" s="47"/>
      <c r="F4214" s="47"/>
      <c r="G4214" s="47"/>
      <c r="H4214" s="47"/>
      <c r="I4214" s="47"/>
      <c r="J4214" s="1">
        <v>42.0</v>
      </c>
    </row>
    <row r="4215" ht="15.75" hidden="1" customHeight="1">
      <c r="A4215" s="47"/>
      <c r="B4215" s="47"/>
      <c r="C4215" s="47"/>
      <c r="D4215" s="47"/>
      <c r="E4215" s="47"/>
      <c r="F4215" s="47"/>
      <c r="G4215" s="47"/>
      <c r="H4215" s="47"/>
      <c r="I4215" s="47"/>
      <c r="J4215" s="1">
        <v>42.0</v>
      </c>
    </row>
    <row r="4216" ht="15.75" hidden="1" customHeight="1">
      <c r="A4216" s="47"/>
      <c r="B4216" s="47"/>
      <c r="C4216" s="47"/>
      <c r="D4216" s="47"/>
      <c r="E4216" s="47"/>
      <c r="F4216" s="47"/>
      <c r="G4216" s="47"/>
      <c r="H4216" s="47"/>
      <c r="I4216" s="47"/>
      <c r="J4216" s="1">
        <v>42.0</v>
      </c>
    </row>
    <row r="4217" ht="15.75" hidden="1" customHeight="1">
      <c r="A4217" s="47"/>
      <c r="B4217" s="47"/>
      <c r="C4217" s="47"/>
      <c r="D4217" s="47"/>
      <c r="E4217" s="47"/>
      <c r="F4217" s="47"/>
      <c r="G4217" s="47"/>
      <c r="H4217" s="47"/>
      <c r="I4217" s="47"/>
      <c r="J4217" s="1">
        <v>42.0</v>
      </c>
    </row>
    <row r="4218" ht="15.75" hidden="1" customHeight="1">
      <c r="A4218" s="47"/>
      <c r="B4218" s="47"/>
      <c r="C4218" s="47"/>
      <c r="D4218" s="47"/>
      <c r="E4218" s="47"/>
      <c r="F4218" s="47"/>
      <c r="G4218" s="47"/>
      <c r="H4218" s="47"/>
      <c r="I4218" s="47"/>
      <c r="J4218" s="1">
        <v>42.0</v>
      </c>
    </row>
    <row r="4219" ht="15.75" hidden="1" customHeight="1">
      <c r="A4219" s="47"/>
      <c r="B4219" s="47"/>
      <c r="C4219" s="47"/>
      <c r="D4219" s="47"/>
      <c r="E4219" s="47"/>
      <c r="F4219" s="47"/>
      <c r="G4219" s="47"/>
      <c r="H4219" s="47"/>
      <c r="I4219" s="47"/>
      <c r="J4219" s="1">
        <v>42.0</v>
      </c>
    </row>
    <row r="4220" ht="15.75" hidden="1" customHeight="1">
      <c r="A4220" s="47"/>
      <c r="B4220" s="47"/>
      <c r="C4220" s="47"/>
      <c r="D4220" s="47"/>
      <c r="E4220" s="47"/>
      <c r="F4220" s="47"/>
      <c r="G4220" s="47"/>
      <c r="H4220" s="47"/>
      <c r="I4220" s="47"/>
      <c r="J4220" s="1">
        <v>42.0</v>
      </c>
    </row>
    <row r="4221" ht="15.75" hidden="1" customHeight="1">
      <c r="A4221" s="47"/>
      <c r="B4221" s="47"/>
      <c r="C4221" s="47"/>
      <c r="D4221" s="47"/>
      <c r="E4221" s="47"/>
      <c r="F4221" s="47"/>
      <c r="G4221" s="47"/>
      <c r="H4221" s="47"/>
      <c r="I4221" s="47"/>
      <c r="J4221" s="1">
        <v>42.0</v>
      </c>
    </row>
    <row r="4222" ht="15.75" hidden="1" customHeight="1">
      <c r="A4222" s="47"/>
      <c r="B4222" s="47"/>
      <c r="C4222" s="47"/>
      <c r="D4222" s="47"/>
      <c r="E4222" s="47"/>
      <c r="F4222" s="47"/>
      <c r="G4222" s="47"/>
      <c r="H4222" s="47"/>
      <c r="I4222" s="47"/>
      <c r="J4222" s="1">
        <v>42.0</v>
      </c>
    </row>
    <row r="4223" ht="15.75" hidden="1" customHeight="1">
      <c r="A4223" s="47"/>
      <c r="B4223" s="47"/>
      <c r="C4223" s="47"/>
      <c r="D4223" s="47"/>
      <c r="E4223" s="47"/>
      <c r="F4223" s="47"/>
      <c r="G4223" s="47"/>
      <c r="H4223" s="47"/>
      <c r="I4223" s="47"/>
      <c r="J4223" s="1">
        <v>42.0</v>
      </c>
    </row>
    <row r="4224" ht="15.75" hidden="1" customHeight="1">
      <c r="A4224" s="47"/>
      <c r="B4224" s="47"/>
      <c r="C4224" s="47"/>
      <c r="D4224" s="47"/>
      <c r="E4224" s="47"/>
      <c r="F4224" s="47"/>
      <c r="G4224" s="47"/>
      <c r="H4224" s="47"/>
      <c r="I4224" s="47"/>
      <c r="J4224" s="1">
        <v>42.0</v>
      </c>
    </row>
    <row r="4225" ht="15.75" hidden="1" customHeight="1">
      <c r="A4225" s="47"/>
      <c r="B4225" s="47"/>
      <c r="C4225" s="47"/>
      <c r="D4225" s="47"/>
      <c r="E4225" s="47"/>
      <c r="F4225" s="47"/>
      <c r="G4225" s="47"/>
      <c r="H4225" s="47"/>
      <c r="I4225" s="47"/>
      <c r="J4225" s="1">
        <v>42.0</v>
      </c>
    </row>
    <row r="4226" ht="15.75" hidden="1" customHeight="1">
      <c r="A4226" s="47"/>
      <c r="B4226" s="47"/>
      <c r="C4226" s="47"/>
      <c r="D4226" s="47"/>
      <c r="E4226" s="47"/>
      <c r="F4226" s="47"/>
      <c r="G4226" s="47"/>
      <c r="H4226" s="47"/>
      <c r="I4226" s="47"/>
      <c r="J4226" s="1">
        <v>42.0</v>
      </c>
    </row>
    <row r="4227" ht="15.75" hidden="1" customHeight="1">
      <c r="A4227" s="47"/>
      <c r="B4227" s="47"/>
      <c r="C4227" s="47"/>
      <c r="D4227" s="47"/>
      <c r="E4227" s="47"/>
      <c r="F4227" s="47"/>
      <c r="G4227" s="47"/>
      <c r="H4227" s="47"/>
      <c r="I4227" s="47"/>
      <c r="J4227" s="1">
        <v>42.0</v>
      </c>
    </row>
    <row r="4228" ht="15.75" hidden="1" customHeight="1">
      <c r="A4228" s="47"/>
      <c r="B4228" s="47"/>
      <c r="C4228" s="47"/>
      <c r="D4228" s="47"/>
      <c r="E4228" s="47"/>
      <c r="F4228" s="47"/>
      <c r="G4228" s="47"/>
      <c r="H4228" s="47"/>
      <c r="I4228" s="47"/>
      <c r="J4228" s="1">
        <v>42.0</v>
      </c>
    </row>
    <row r="4229" ht="15.75" hidden="1" customHeight="1">
      <c r="A4229" s="47"/>
      <c r="B4229" s="47"/>
      <c r="C4229" s="47"/>
      <c r="D4229" s="47"/>
      <c r="E4229" s="47"/>
      <c r="F4229" s="47"/>
      <c r="G4229" s="47"/>
      <c r="H4229" s="47"/>
      <c r="I4229" s="47"/>
      <c r="J4229" s="1">
        <v>42.0</v>
      </c>
    </row>
    <row r="4230" ht="15.75" hidden="1" customHeight="1">
      <c r="A4230" s="47"/>
      <c r="B4230" s="47"/>
      <c r="C4230" s="47"/>
      <c r="D4230" s="47"/>
      <c r="E4230" s="47"/>
      <c r="F4230" s="47"/>
      <c r="G4230" s="47"/>
      <c r="H4230" s="47"/>
      <c r="I4230" s="47"/>
      <c r="J4230" s="1">
        <v>42.0</v>
      </c>
    </row>
    <row r="4231" ht="15.75" hidden="1" customHeight="1">
      <c r="A4231" s="47"/>
      <c r="B4231" s="47"/>
      <c r="C4231" s="47"/>
      <c r="D4231" s="47"/>
      <c r="E4231" s="47"/>
      <c r="F4231" s="47"/>
      <c r="G4231" s="47"/>
      <c r="H4231" s="47"/>
      <c r="I4231" s="47"/>
      <c r="J4231" s="1">
        <v>42.0</v>
      </c>
    </row>
    <row r="4232" ht="15.75" hidden="1" customHeight="1">
      <c r="A4232" s="47"/>
      <c r="B4232" s="47"/>
      <c r="C4232" s="47"/>
      <c r="D4232" s="47"/>
      <c r="E4232" s="47"/>
      <c r="F4232" s="47"/>
      <c r="G4232" s="47"/>
      <c r="H4232" s="47"/>
      <c r="I4232" s="47"/>
      <c r="J4232" s="1">
        <v>42.0</v>
      </c>
    </row>
    <row r="4233" ht="15.75" hidden="1" customHeight="1">
      <c r="A4233" s="47"/>
      <c r="B4233" s="47"/>
      <c r="C4233" s="47"/>
      <c r="D4233" s="47"/>
      <c r="E4233" s="47"/>
      <c r="F4233" s="47"/>
      <c r="G4233" s="47"/>
      <c r="H4233" s="47"/>
      <c r="I4233" s="47"/>
      <c r="J4233" s="1">
        <v>42.0</v>
      </c>
    </row>
    <row r="4234" ht="15.75" hidden="1" customHeight="1">
      <c r="A4234" s="47"/>
      <c r="B4234" s="47"/>
      <c r="C4234" s="47"/>
      <c r="D4234" s="47"/>
      <c r="E4234" s="47"/>
      <c r="F4234" s="47"/>
      <c r="G4234" s="47"/>
      <c r="H4234" s="47"/>
      <c r="I4234" s="47"/>
      <c r="J4234" s="1">
        <v>42.0</v>
      </c>
    </row>
    <row r="4235" ht="15.75" hidden="1" customHeight="1">
      <c r="A4235" s="47"/>
      <c r="B4235" s="47"/>
      <c r="C4235" s="47"/>
      <c r="D4235" s="47"/>
      <c r="E4235" s="47"/>
      <c r="F4235" s="47"/>
      <c r="G4235" s="47"/>
      <c r="H4235" s="47"/>
      <c r="I4235" s="47"/>
      <c r="J4235" s="1">
        <v>42.0</v>
      </c>
    </row>
    <row r="4236" ht="15.75" hidden="1" customHeight="1">
      <c r="A4236" s="47"/>
      <c r="B4236" s="47"/>
      <c r="C4236" s="47"/>
      <c r="D4236" s="47"/>
      <c r="E4236" s="47"/>
      <c r="F4236" s="47"/>
      <c r="G4236" s="47"/>
      <c r="H4236" s="47"/>
      <c r="I4236" s="47"/>
      <c r="J4236" s="1">
        <v>42.0</v>
      </c>
    </row>
    <row r="4237" ht="15.75" hidden="1" customHeight="1">
      <c r="A4237" s="47"/>
      <c r="B4237" s="47"/>
      <c r="C4237" s="47"/>
      <c r="D4237" s="47"/>
      <c r="E4237" s="47"/>
      <c r="F4237" s="47"/>
      <c r="G4237" s="47"/>
      <c r="H4237" s="47"/>
      <c r="I4237" s="47"/>
      <c r="J4237" s="1">
        <v>42.0</v>
      </c>
    </row>
    <row r="4238" ht="15.75" hidden="1" customHeight="1">
      <c r="A4238" s="47"/>
      <c r="B4238" s="47"/>
      <c r="C4238" s="47"/>
      <c r="D4238" s="47"/>
      <c r="E4238" s="47"/>
      <c r="F4238" s="47"/>
      <c r="G4238" s="47"/>
      <c r="H4238" s="47"/>
      <c r="I4238" s="47"/>
      <c r="J4238" s="1">
        <v>42.0</v>
      </c>
    </row>
    <row r="4239" ht="15.75" hidden="1" customHeight="1">
      <c r="A4239" s="47"/>
      <c r="B4239" s="47"/>
      <c r="C4239" s="47"/>
      <c r="D4239" s="47"/>
      <c r="E4239" s="47"/>
      <c r="F4239" s="47"/>
      <c r="G4239" s="47"/>
      <c r="H4239" s="47"/>
      <c r="I4239" s="47"/>
      <c r="J4239" s="1">
        <v>42.0</v>
      </c>
    </row>
    <row r="4240" ht="15.75" hidden="1" customHeight="1">
      <c r="A4240" s="47"/>
      <c r="B4240" s="47"/>
      <c r="C4240" s="47"/>
      <c r="D4240" s="47"/>
      <c r="E4240" s="47"/>
      <c r="F4240" s="47"/>
      <c r="G4240" s="47"/>
      <c r="H4240" s="47"/>
      <c r="I4240" s="47"/>
      <c r="J4240" s="1">
        <v>42.0</v>
      </c>
    </row>
    <row r="4241" ht="15.75" hidden="1" customHeight="1">
      <c r="A4241" s="47"/>
      <c r="B4241" s="47"/>
      <c r="C4241" s="47"/>
      <c r="D4241" s="47"/>
      <c r="E4241" s="47"/>
      <c r="F4241" s="47"/>
      <c r="G4241" s="47"/>
      <c r="H4241" s="47"/>
      <c r="I4241" s="47"/>
      <c r="J4241" s="1">
        <v>42.0</v>
      </c>
    </row>
    <row r="4242" ht="15.75" hidden="1" customHeight="1">
      <c r="A4242" s="47"/>
      <c r="B4242" s="47"/>
      <c r="C4242" s="47"/>
      <c r="D4242" s="47"/>
      <c r="E4242" s="47"/>
      <c r="F4242" s="47"/>
      <c r="G4242" s="47"/>
      <c r="H4242" s="47"/>
      <c r="I4242" s="47"/>
      <c r="J4242" s="1">
        <v>42.0</v>
      </c>
    </row>
    <row r="4243" ht="15.75" hidden="1" customHeight="1">
      <c r="A4243" s="47"/>
      <c r="B4243" s="47"/>
      <c r="C4243" s="47"/>
      <c r="D4243" s="47"/>
      <c r="E4243" s="47"/>
      <c r="F4243" s="47"/>
      <c r="G4243" s="47"/>
      <c r="H4243" s="47"/>
      <c r="I4243" s="47"/>
      <c r="J4243" s="1">
        <v>42.0</v>
      </c>
    </row>
    <row r="4244" ht="15.75" hidden="1" customHeight="1">
      <c r="A4244" s="47"/>
      <c r="B4244" s="47"/>
      <c r="C4244" s="47"/>
      <c r="D4244" s="47"/>
      <c r="E4244" s="47"/>
      <c r="F4244" s="47"/>
      <c r="G4244" s="47"/>
      <c r="H4244" s="47"/>
      <c r="I4244" s="47"/>
      <c r="J4244" s="1">
        <v>42.0</v>
      </c>
    </row>
    <row r="4245" ht="15.75" hidden="1" customHeight="1">
      <c r="A4245" s="47"/>
      <c r="B4245" s="47"/>
      <c r="C4245" s="47"/>
      <c r="D4245" s="47"/>
      <c r="E4245" s="47"/>
      <c r="F4245" s="47"/>
      <c r="G4245" s="47"/>
      <c r="H4245" s="47"/>
      <c r="I4245" s="47"/>
      <c r="J4245" s="1">
        <v>42.0</v>
      </c>
    </row>
    <row r="4246" ht="15.75" hidden="1" customHeight="1">
      <c r="A4246" s="47"/>
      <c r="B4246" s="47"/>
      <c r="C4246" s="47"/>
      <c r="D4246" s="47"/>
      <c r="E4246" s="47"/>
      <c r="F4246" s="47"/>
      <c r="G4246" s="47"/>
      <c r="H4246" s="47"/>
      <c r="I4246" s="47"/>
      <c r="J4246" s="1">
        <v>42.0</v>
      </c>
    </row>
    <row r="4247" ht="15.75" hidden="1" customHeight="1">
      <c r="A4247" s="47"/>
      <c r="B4247" s="47"/>
      <c r="C4247" s="47"/>
      <c r="D4247" s="47"/>
      <c r="E4247" s="47"/>
      <c r="F4247" s="47"/>
      <c r="G4247" s="47"/>
      <c r="H4247" s="47"/>
      <c r="I4247" s="47"/>
      <c r="J4247" s="1">
        <v>42.0</v>
      </c>
    </row>
    <row r="4248" ht="15.75" hidden="1" customHeight="1">
      <c r="A4248" s="47"/>
      <c r="B4248" s="47"/>
      <c r="C4248" s="47"/>
      <c r="D4248" s="47"/>
      <c r="E4248" s="47"/>
      <c r="F4248" s="47"/>
      <c r="G4248" s="47"/>
      <c r="H4248" s="47"/>
      <c r="I4248" s="47"/>
      <c r="J4248" s="1">
        <v>42.0</v>
      </c>
    </row>
    <row r="4249" ht="15.75" hidden="1" customHeight="1">
      <c r="A4249" s="47"/>
      <c r="B4249" s="47"/>
      <c r="C4249" s="47"/>
      <c r="D4249" s="47"/>
      <c r="E4249" s="47"/>
      <c r="F4249" s="47"/>
      <c r="G4249" s="47"/>
      <c r="H4249" s="47"/>
      <c r="I4249" s="47"/>
      <c r="J4249" s="1">
        <v>42.0</v>
      </c>
    </row>
    <row r="4250" ht="15.75" hidden="1" customHeight="1">
      <c r="A4250" s="47"/>
      <c r="B4250" s="47"/>
      <c r="C4250" s="47"/>
      <c r="D4250" s="47"/>
      <c r="E4250" s="47"/>
      <c r="F4250" s="47"/>
      <c r="G4250" s="47"/>
      <c r="H4250" s="47"/>
      <c r="I4250" s="47"/>
      <c r="J4250" s="1">
        <v>42.0</v>
      </c>
    </row>
    <row r="4251" ht="15.75" hidden="1" customHeight="1">
      <c r="A4251" s="47"/>
      <c r="B4251" s="47"/>
      <c r="C4251" s="47"/>
      <c r="D4251" s="47"/>
      <c r="E4251" s="47"/>
      <c r="F4251" s="47"/>
      <c r="G4251" s="47"/>
      <c r="H4251" s="47"/>
      <c r="I4251" s="47"/>
      <c r="J4251" s="1">
        <v>42.0</v>
      </c>
    </row>
    <row r="4252" ht="15.75" hidden="1" customHeight="1">
      <c r="A4252" s="47"/>
      <c r="B4252" s="47"/>
      <c r="C4252" s="47"/>
      <c r="D4252" s="47"/>
      <c r="E4252" s="47"/>
      <c r="F4252" s="47"/>
      <c r="G4252" s="47"/>
      <c r="H4252" s="47"/>
      <c r="I4252" s="47"/>
      <c r="J4252" s="1">
        <v>42.0</v>
      </c>
    </row>
    <row r="4253" ht="15.75" hidden="1" customHeight="1">
      <c r="A4253" s="47"/>
      <c r="B4253" s="47"/>
      <c r="C4253" s="47"/>
      <c r="D4253" s="47"/>
      <c r="E4253" s="47"/>
      <c r="F4253" s="47"/>
      <c r="G4253" s="47"/>
      <c r="H4253" s="47"/>
      <c r="I4253" s="47"/>
      <c r="J4253" s="1">
        <v>42.0</v>
      </c>
    </row>
    <row r="4254" ht="15.75" hidden="1" customHeight="1">
      <c r="A4254" s="47"/>
      <c r="B4254" s="47"/>
      <c r="C4254" s="47"/>
      <c r="D4254" s="47"/>
      <c r="E4254" s="47"/>
      <c r="F4254" s="47"/>
      <c r="G4254" s="47"/>
      <c r="H4254" s="47"/>
      <c r="I4254" s="47"/>
      <c r="J4254" s="1">
        <v>42.0</v>
      </c>
    </row>
    <row r="4255" ht="15.75" hidden="1" customHeight="1">
      <c r="A4255" s="47"/>
      <c r="B4255" s="47"/>
      <c r="C4255" s="47"/>
      <c r="D4255" s="47"/>
      <c r="E4255" s="47"/>
      <c r="F4255" s="47"/>
      <c r="G4255" s="47"/>
      <c r="H4255" s="47"/>
      <c r="I4255" s="47"/>
      <c r="J4255" s="1">
        <v>42.0</v>
      </c>
    </row>
    <row r="4256" ht="15.75" hidden="1" customHeight="1">
      <c r="A4256" s="47"/>
      <c r="B4256" s="47"/>
      <c r="C4256" s="47"/>
      <c r="D4256" s="47"/>
      <c r="E4256" s="47"/>
      <c r="F4256" s="47"/>
      <c r="G4256" s="47"/>
      <c r="H4256" s="47"/>
      <c r="I4256" s="47"/>
      <c r="J4256" s="1">
        <v>42.0</v>
      </c>
    </row>
    <row r="4257" ht="15.75" hidden="1" customHeight="1">
      <c r="A4257" s="47"/>
      <c r="B4257" s="47"/>
      <c r="C4257" s="47"/>
      <c r="D4257" s="47"/>
      <c r="E4257" s="47"/>
      <c r="F4257" s="47"/>
      <c r="G4257" s="47"/>
      <c r="H4257" s="47"/>
      <c r="I4257" s="47"/>
      <c r="J4257" s="1">
        <v>42.0</v>
      </c>
    </row>
    <row r="4258" ht="15.75" hidden="1" customHeight="1">
      <c r="A4258" s="47"/>
      <c r="B4258" s="47"/>
      <c r="C4258" s="47"/>
      <c r="D4258" s="47"/>
      <c r="E4258" s="47"/>
      <c r="F4258" s="47"/>
      <c r="G4258" s="47"/>
      <c r="H4258" s="47"/>
      <c r="I4258" s="47"/>
      <c r="J4258" s="1">
        <v>42.0</v>
      </c>
    </row>
    <row r="4259" ht="15.75" hidden="1" customHeight="1">
      <c r="A4259" s="47"/>
      <c r="B4259" s="47"/>
      <c r="C4259" s="47"/>
      <c r="D4259" s="47"/>
      <c r="E4259" s="47"/>
      <c r="F4259" s="47"/>
      <c r="G4259" s="47"/>
      <c r="H4259" s="47"/>
      <c r="I4259" s="47"/>
      <c r="J4259" s="1">
        <v>42.0</v>
      </c>
    </row>
    <row r="4260" ht="15.75" hidden="1" customHeight="1">
      <c r="A4260" s="47"/>
      <c r="B4260" s="47"/>
      <c r="C4260" s="47"/>
      <c r="D4260" s="47"/>
      <c r="E4260" s="47"/>
      <c r="F4260" s="47"/>
      <c r="G4260" s="47"/>
      <c r="H4260" s="47"/>
      <c r="I4260" s="47"/>
      <c r="J4260" s="1">
        <v>42.0</v>
      </c>
    </row>
    <row r="4261" ht="15.75" hidden="1" customHeight="1">
      <c r="A4261" s="47"/>
      <c r="B4261" s="47"/>
      <c r="C4261" s="47"/>
      <c r="D4261" s="47"/>
      <c r="E4261" s="47"/>
      <c r="F4261" s="47"/>
      <c r="G4261" s="47"/>
      <c r="H4261" s="47"/>
      <c r="I4261" s="47"/>
      <c r="J4261" s="1">
        <v>42.0</v>
      </c>
    </row>
    <row r="4262" ht="15.75" hidden="1" customHeight="1">
      <c r="A4262" s="47"/>
      <c r="B4262" s="47"/>
      <c r="C4262" s="47"/>
      <c r="D4262" s="47"/>
      <c r="E4262" s="47"/>
      <c r="F4262" s="47"/>
      <c r="G4262" s="47"/>
      <c r="H4262" s="47"/>
      <c r="I4262" s="47"/>
      <c r="J4262" s="1">
        <v>42.0</v>
      </c>
    </row>
    <row r="4263" ht="15.75" hidden="1" customHeight="1">
      <c r="A4263" s="47"/>
      <c r="B4263" s="47"/>
      <c r="C4263" s="47"/>
      <c r="D4263" s="47"/>
      <c r="E4263" s="47"/>
      <c r="F4263" s="47"/>
      <c r="G4263" s="47"/>
      <c r="H4263" s="47"/>
      <c r="I4263" s="47"/>
      <c r="J4263" s="1">
        <v>42.0</v>
      </c>
    </row>
    <row r="4264" ht="15.75" hidden="1" customHeight="1">
      <c r="A4264" s="47"/>
      <c r="B4264" s="47"/>
      <c r="C4264" s="47"/>
      <c r="D4264" s="47"/>
      <c r="E4264" s="47"/>
      <c r="F4264" s="47"/>
      <c r="G4264" s="47"/>
      <c r="H4264" s="47"/>
      <c r="I4264" s="47"/>
      <c r="J4264" s="1">
        <v>42.0</v>
      </c>
    </row>
    <row r="4265" ht="15.75" hidden="1" customHeight="1">
      <c r="A4265" s="47"/>
      <c r="B4265" s="47"/>
      <c r="C4265" s="47"/>
      <c r="D4265" s="47"/>
      <c r="E4265" s="47"/>
      <c r="F4265" s="47"/>
      <c r="G4265" s="47"/>
      <c r="H4265" s="47"/>
      <c r="I4265" s="47"/>
      <c r="J4265" s="1">
        <v>42.0</v>
      </c>
    </row>
    <row r="4266" ht="15.75" hidden="1" customHeight="1">
      <c r="A4266" s="47"/>
      <c r="B4266" s="47"/>
      <c r="C4266" s="47"/>
      <c r="D4266" s="47"/>
      <c r="E4266" s="47"/>
      <c r="F4266" s="47"/>
      <c r="G4266" s="47"/>
      <c r="H4266" s="47"/>
      <c r="I4266" s="47"/>
      <c r="J4266" s="1">
        <v>42.0</v>
      </c>
    </row>
    <row r="4267" ht="15.75" hidden="1" customHeight="1">
      <c r="A4267" s="47"/>
      <c r="B4267" s="47"/>
      <c r="C4267" s="47"/>
      <c r="D4267" s="47"/>
      <c r="E4267" s="47"/>
      <c r="F4267" s="47"/>
      <c r="G4267" s="47"/>
      <c r="H4267" s="47"/>
      <c r="I4267" s="47"/>
      <c r="J4267" s="1">
        <v>42.0</v>
      </c>
    </row>
    <row r="4268" ht="15.75" hidden="1" customHeight="1">
      <c r="A4268" s="47"/>
      <c r="B4268" s="47"/>
      <c r="C4268" s="47"/>
      <c r="D4268" s="47"/>
      <c r="E4268" s="47"/>
      <c r="F4268" s="47"/>
      <c r="G4268" s="47"/>
      <c r="H4268" s="47"/>
      <c r="I4268" s="47"/>
      <c r="J4268" s="1">
        <v>42.0</v>
      </c>
    </row>
    <row r="4269" ht="15.75" hidden="1" customHeight="1">
      <c r="A4269" s="47"/>
      <c r="B4269" s="47"/>
      <c r="C4269" s="47"/>
      <c r="D4269" s="47"/>
      <c r="E4269" s="47"/>
      <c r="F4269" s="47"/>
      <c r="G4269" s="47"/>
      <c r="H4269" s="47"/>
      <c r="I4269" s="47"/>
      <c r="J4269" s="1">
        <v>42.0</v>
      </c>
    </row>
    <row r="4270" ht="15.75" hidden="1" customHeight="1">
      <c r="A4270" s="47"/>
      <c r="B4270" s="47"/>
      <c r="C4270" s="47"/>
      <c r="D4270" s="47"/>
      <c r="E4270" s="47"/>
      <c r="F4270" s="47"/>
      <c r="G4270" s="47"/>
      <c r="H4270" s="47"/>
      <c r="I4270" s="47"/>
      <c r="J4270" s="1">
        <v>42.0</v>
      </c>
    </row>
    <row r="4271" ht="15.75" hidden="1" customHeight="1">
      <c r="A4271" s="47"/>
      <c r="B4271" s="47"/>
      <c r="C4271" s="47"/>
      <c r="D4271" s="47"/>
      <c r="E4271" s="47"/>
      <c r="F4271" s="47"/>
      <c r="G4271" s="47"/>
      <c r="H4271" s="47"/>
      <c r="I4271" s="47"/>
      <c r="J4271" s="1">
        <v>42.0</v>
      </c>
    </row>
    <row r="4272" ht="15.75" hidden="1" customHeight="1">
      <c r="A4272" s="47"/>
      <c r="B4272" s="47"/>
      <c r="C4272" s="47"/>
      <c r="D4272" s="47"/>
      <c r="E4272" s="47"/>
      <c r="F4272" s="47"/>
      <c r="G4272" s="47"/>
      <c r="H4272" s="47"/>
      <c r="I4272" s="47"/>
      <c r="J4272" s="1">
        <v>42.0</v>
      </c>
    </row>
    <row r="4273" ht="15.75" hidden="1" customHeight="1">
      <c r="A4273" s="47"/>
      <c r="B4273" s="47"/>
      <c r="C4273" s="47"/>
      <c r="D4273" s="47"/>
      <c r="E4273" s="47"/>
      <c r="F4273" s="47"/>
      <c r="G4273" s="47"/>
      <c r="H4273" s="47"/>
      <c r="I4273" s="47"/>
      <c r="J4273" s="1">
        <v>42.0</v>
      </c>
    </row>
    <row r="4274" ht="15.75" hidden="1" customHeight="1">
      <c r="A4274" s="47"/>
      <c r="B4274" s="47"/>
      <c r="C4274" s="47"/>
      <c r="D4274" s="47"/>
      <c r="E4274" s="47"/>
      <c r="F4274" s="47"/>
      <c r="G4274" s="47"/>
      <c r="H4274" s="47"/>
      <c r="I4274" s="47"/>
      <c r="J4274" s="1">
        <v>42.0</v>
      </c>
    </row>
    <row r="4275" ht="15.75" hidden="1" customHeight="1">
      <c r="A4275" s="47"/>
      <c r="B4275" s="47"/>
      <c r="C4275" s="47"/>
      <c r="D4275" s="47"/>
      <c r="E4275" s="47"/>
      <c r="F4275" s="47"/>
      <c r="G4275" s="47"/>
      <c r="H4275" s="47"/>
      <c r="I4275" s="47"/>
      <c r="J4275" s="1">
        <v>42.0</v>
      </c>
    </row>
    <row r="4276" ht="15.75" hidden="1" customHeight="1">
      <c r="A4276" s="47"/>
      <c r="B4276" s="47"/>
      <c r="C4276" s="47"/>
      <c r="D4276" s="47"/>
      <c r="E4276" s="47"/>
      <c r="F4276" s="47"/>
      <c r="G4276" s="47"/>
      <c r="H4276" s="47"/>
      <c r="I4276" s="47"/>
      <c r="J4276" s="1">
        <v>42.0</v>
      </c>
    </row>
    <row r="4277" ht="15.75" hidden="1" customHeight="1">
      <c r="A4277" s="47"/>
      <c r="B4277" s="47"/>
      <c r="C4277" s="47"/>
      <c r="D4277" s="47"/>
      <c r="E4277" s="47"/>
      <c r="F4277" s="47"/>
      <c r="G4277" s="47"/>
      <c r="H4277" s="47"/>
      <c r="I4277" s="47"/>
      <c r="J4277" s="1">
        <v>42.0</v>
      </c>
    </row>
    <row r="4278" ht="15.75" hidden="1" customHeight="1">
      <c r="A4278" s="47"/>
      <c r="B4278" s="47"/>
      <c r="C4278" s="47"/>
      <c r="D4278" s="47"/>
      <c r="E4278" s="47"/>
      <c r="F4278" s="47"/>
      <c r="G4278" s="47"/>
      <c r="H4278" s="47"/>
      <c r="I4278" s="47"/>
      <c r="J4278" s="1">
        <v>42.0</v>
      </c>
    </row>
    <row r="4279" ht="15.75" hidden="1" customHeight="1">
      <c r="A4279" s="47"/>
      <c r="B4279" s="47"/>
      <c r="C4279" s="47"/>
      <c r="D4279" s="47"/>
      <c r="E4279" s="47"/>
      <c r="F4279" s="47"/>
      <c r="G4279" s="47"/>
      <c r="H4279" s="47"/>
      <c r="I4279" s="47"/>
      <c r="J4279" s="1">
        <v>42.0</v>
      </c>
    </row>
    <row r="4280" ht="15.75" hidden="1" customHeight="1">
      <c r="A4280" s="47"/>
      <c r="B4280" s="47"/>
      <c r="C4280" s="47"/>
      <c r="D4280" s="47"/>
      <c r="E4280" s="47"/>
      <c r="F4280" s="47"/>
      <c r="G4280" s="47"/>
      <c r="H4280" s="47"/>
      <c r="I4280" s="47"/>
      <c r="J4280" s="1">
        <v>42.0</v>
      </c>
    </row>
    <row r="4281" ht="15.75" hidden="1" customHeight="1">
      <c r="A4281" s="47"/>
      <c r="B4281" s="47"/>
      <c r="C4281" s="47"/>
      <c r="D4281" s="47"/>
      <c r="E4281" s="47"/>
      <c r="F4281" s="47"/>
      <c r="G4281" s="47"/>
      <c r="H4281" s="47"/>
      <c r="I4281" s="47"/>
      <c r="J4281" s="1">
        <v>42.0</v>
      </c>
    </row>
    <row r="4282" ht="15.75" hidden="1" customHeight="1">
      <c r="A4282" s="47"/>
      <c r="B4282" s="47"/>
      <c r="C4282" s="47"/>
      <c r="D4282" s="47"/>
      <c r="E4282" s="47"/>
      <c r="F4282" s="47"/>
      <c r="G4282" s="47"/>
      <c r="H4282" s="47"/>
      <c r="I4282" s="47"/>
      <c r="J4282" s="1">
        <v>42.0</v>
      </c>
    </row>
    <row r="4283" ht="15.75" hidden="1" customHeight="1">
      <c r="A4283" s="47"/>
      <c r="B4283" s="47"/>
      <c r="C4283" s="47"/>
      <c r="D4283" s="47"/>
      <c r="E4283" s="47"/>
      <c r="F4283" s="47"/>
      <c r="G4283" s="47"/>
      <c r="H4283" s="47"/>
      <c r="I4283" s="47"/>
      <c r="J4283" s="1">
        <v>42.0</v>
      </c>
    </row>
    <row r="4284" ht="15.75" hidden="1" customHeight="1">
      <c r="A4284" s="47"/>
      <c r="B4284" s="47"/>
      <c r="C4284" s="47"/>
      <c r="D4284" s="47"/>
      <c r="E4284" s="47"/>
      <c r="F4284" s="47"/>
      <c r="G4284" s="47"/>
      <c r="H4284" s="47"/>
      <c r="I4284" s="47"/>
      <c r="J4284" s="1">
        <v>42.0</v>
      </c>
    </row>
    <row r="4285" ht="15.75" hidden="1" customHeight="1">
      <c r="A4285" s="47"/>
      <c r="B4285" s="47"/>
      <c r="C4285" s="47"/>
      <c r="D4285" s="47"/>
      <c r="E4285" s="47"/>
      <c r="F4285" s="47"/>
      <c r="G4285" s="47"/>
      <c r="H4285" s="47"/>
      <c r="I4285" s="47"/>
      <c r="J4285" s="1">
        <v>42.0</v>
      </c>
    </row>
    <row r="4286" ht="15.75" hidden="1" customHeight="1">
      <c r="A4286" s="47"/>
      <c r="B4286" s="47"/>
      <c r="C4286" s="47"/>
      <c r="D4286" s="47"/>
      <c r="E4286" s="47"/>
      <c r="F4286" s="47"/>
      <c r="G4286" s="47"/>
      <c r="H4286" s="47"/>
      <c r="I4286" s="47"/>
      <c r="J4286" s="1">
        <v>42.0</v>
      </c>
    </row>
    <row r="4287" ht="15.75" hidden="1" customHeight="1">
      <c r="A4287" s="47"/>
      <c r="B4287" s="47"/>
      <c r="C4287" s="47"/>
      <c r="D4287" s="47"/>
      <c r="E4287" s="47"/>
      <c r="F4287" s="47"/>
      <c r="G4287" s="47"/>
      <c r="H4287" s="47"/>
      <c r="I4287" s="47"/>
      <c r="J4287" s="1">
        <v>42.0</v>
      </c>
    </row>
    <row r="4288" ht="15.75" hidden="1" customHeight="1">
      <c r="A4288" s="47"/>
      <c r="B4288" s="47"/>
      <c r="C4288" s="47"/>
      <c r="D4288" s="47"/>
      <c r="E4288" s="47"/>
      <c r="F4288" s="47"/>
      <c r="G4288" s="47"/>
      <c r="H4288" s="47"/>
      <c r="I4288" s="47"/>
      <c r="J4288" s="1">
        <v>42.0</v>
      </c>
    </row>
    <row r="4289" ht="15.75" hidden="1" customHeight="1">
      <c r="A4289" s="47"/>
      <c r="B4289" s="47"/>
      <c r="C4289" s="47"/>
      <c r="D4289" s="47"/>
      <c r="E4289" s="47"/>
      <c r="F4289" s="47"/>
      <c r="G4289" s="47"/>
      <c r="H4289" s="47"/>
      <c r="I4289" s="47"/>
      <c r="J4289" s="1">
        <v>42.0</v>
      </c>
    </row>
    <row r="4290" ht="15.75" hidden="1" customHeight="1">
      <c r="A4290" s="47"/>
      <c r="B4290" s="47"/>
      <c r="C4290" s="47"/>
      <c r="D4290" s="47"/>
      <c r="E4290" s="47"/>
      <c r="F4290" s="47"/>
      <c r="G4290" s="47"/>
      <c r="H4290" s="47"/>
      <c r="I4290" s="47"/>
      <c r="J4290" s="1">
        <v>42.0</v>
      </c>
    </row>
    <row r="4291" ht="15.75" hidden="1" customHeight="1">
      <c r="A4291" s="47"/>
      <c r="B4291" s="47"/>
      <c r="C4291" s="47"/>
      <c r="D4291" s="47"/>
      <c r="E4291" s="47"/>
      <c r="F4291" s="47"/>
      <c r="G4291" s="47"/>
      <c r="H4291" s="47"/>
      <c r="I4291" s="47"/>
      <c r="J4291" s="1">
        <v>42.0</v>
      </c>
    </row>
    <row r="4292" ht="15.75" hidden="1" customHeight="1">
      <c r="A4292" s="47"/>
      <c r="B4292" s="47"/>
      <c r="C4292" s="47"/>
      <c r="D4292" s="47"/>
      <c r="E4292" s="47"/>
      <c r="F4292" s="47"/>
      <c r="G4292" s="47"/>
      <c r="H4292" s="47"/>
      <c r="I4292" s="47"/>
      <c r="J4292" s="1">
        <v>42.0</v>
      </c>
    </row>
    <row r="4293" ht="15.75" hidden="1" customHeight="1">
      <c r="A4293" s="47"/>
      <c r="B4293" s="47"/>
      <c r="C4293" s="47"/>
      <c r="D4293" s="47"/>
      <c r="E4293" s="47"/>
      <c r="F4293" s="47"/>
      <c r="G4293" s="47"/>
      <c r="H4293" s="47"/>
      <c r="I4293" s="47"/>
      <c r="J4293" s="1">
        <v>42.0</v>
      </c>
    </row>
    <row r="4294" ht="15.75" hidden="1" customHeight="1">
      <c r="A4294" s="47"/>
      <c r="B4294" s="47"/>
      <c r="C4294" s="47"/>
      <c r="D4294" s="47"/>
      <c r="E4294" s="47"/>
      <c r="F4294" s="47"/>
      <c r="G4294" s="47"/>
      <c r="H4294" s="47"/>
      <c r="I4294" s="47"/>
      <c r="J4294" s="1">
        <v>42.0</v>
      </c>
    </row>
    <row r="4295" ht="15.75" hidden="1" customHeight="1">
      <c r="A4295" s="47"/>
      <c r="B4295" s="47"/>
      <c r="C4295" s="47"/>
      <c r="D4295" s="47"/>
      <c r="E4295" s="47"/>
      <c r="F4295" s="47"/>
      <c r="G4295" s="47"/>
      <c r="H4295" s="47"/>
      <c r="I4295" s="47"/>
      <c r="J4295" s="1">
        <v>42.0</v>
      </c>
    </row>
    <row r="4296" ht="15.75" hidden="1" customHeight="1">
      <c r="A4296" s="47"/>
      <c r="B4296" s="47"/>
      <c r="C4296" s="47"/>
      <c r="D4296" s="47"/>
      <c r="E4296" s="47"/>
      <c r="F4296" s="47"/>
      <c r="G4296" s="47"/>
      <c r="H4296" s="47"/>
      <c r="I4296" s="47"/>
      <c r="J4296" s="1">
        <v>42.0</v>
      </c>
    </row>
    <row r="4297" ht="15.75" hidden="1" customHeight="1">
      <c r="A4297" s="47"/>
      <c r="B4297" s="47"/>
      <c r="C4297" s="47"/>
      <c r="D4297" s="47"/>
      <c r="E4297" s="47"/>
      <c r="F4297" s="47"/>
      <c r="G4297" s="47"/>
      <c r="H4297" s="47"/>
      <c r="I4297" s="47"/>
      <c r="J4297" s="1">
        <v>42.0</v>
      </c>
    </row>
    <row r="4298" ht="15.75" hidden="1" customHeight="1">
      <c r="A4298" s="47"/>
      <c r="B4298" s="47"/>
      <c r="C4298" s="47"/>
      <c r="D4298" s="47"/>
      <c r="E4298" s="47"/>
      <c r="F4298" s="47"/>
      <c r="G4298" s="47"/>
      <c r="H4298" s="47"/>
      <c r="I4298" s="47"/>
      <c r="J4298" s="1">
        <v>42.0</v>
      </c>
    </row>
    <row r="4299" ht="15.75" hidden="1" customHeight="1">
      <c r="A4299" s="47"/>
      <c r="B4299" s="47"/>
      <c r="C4299" s="47"/>
      <c r="D4299" s="47"/>
      <c r="E4299" s="47"/>
      <c r="F4299" s="47"/>
      <c r="G4299" s="47"/>
      <c r="H4299" s="47"/>
      <c r="I4299" s="47"/>
      <c r="J4299" s="1">
        <v>42.0</v>
      </c>
    </row>
    <row r="4300" ht="15.75" hidden="1" customHeight="1">
      <c r="A4300" s="47"/>
      <c r="B4300" s="47"/>
      <c r="C4300" s="47"/>
      <c r="D4300" s="47"/>
      <c r="E4300" s="47"/>
      <c r="F4300" s="47"/>
      <c r="G4300" s="47"/>
      <c r="H4300" s="47"/>
      <c r="I4300" s="47"/>
      <c r="J4300" s="1">
        <v>42.0</v>
      </c>
    </row>
    <row r="4301" ht="15.75" hidden="1" customHeight="1">
      <c r="A4301" s="47"/>
      <c r="B4301" s="47"/>
      <c r="C4301" s="47"/>
      <c r="D4301" s="47"/>
      <c r="E4301" s="47"/>
      <c r="F4301" s="47"/>
      <c r="G4301" s="47"/>
      <c r="H4301" s="47"/>
      <c r="I4301" s="47"/>
      <c r="J4301" s="1">
        <v>42.0</v>
      </c>
    </row>
    <row r="4302" ht="15.75" hidden="1" customHeight="1">
      <c r="A4302" s="47"/>
      <c r="B4302" s="47"/>
      <c r="C4302" s="47"/>
      <c r="D4302" s="47"/>
      <c r="E4302" s="47"/>
      <c r="F4302" s="47"/>
      <c r="G4302" s="47"/>
      <c r="H4302" s="47"/>
      <c r="I4302" s="47"/>
      <c r="J4302" s="1">
        <v>42.0</v>
      </c>
    </row>
    <row r="4303" ht="15.75" hidden="1" customHeight="1">
      <c r="A4303" s="47"/>
      <c r="B4303" s="47"/>
      <c r="C4303" s="47"/>
      <c r="D4303" s="47"/>
      <c r="E4303" s="47"/>
      <c r="F4303" s="47"/>
      <c r="G4303" s="47"/>
      <c r="H4303" s="47"/>
      <c r="I4303" s="47"/>
      <c r="J4303" s="1">
        <v>42.0</v>
      </c>
    </row>
    <row r="4304" ht="15.75" hidden="1" customHeight="1">
      <c r="A4304" s="47"/>
      <c r="B4304" s="47"/>
      <c r="C4304" s="47"/>
      <c r="D4304" s="47"/>
      <c r="E4304" s="47"/>
      <c r="F4304" s="47"/>
      <c r="G4304" s="47"/>
      <c r="H4304" s="47"/>
      <c r="I4304" s="47"/>
      <c r="J4304" s="1">
        <v>42.0</v>
      </c>
    </row>
    <row r="4305" ht="15.75" hidden="1" customHeight="1">
      <c r="A4305" s="47"/>
      <c r="B4305" s="47"/>
      <c r="C4305" s="47"/>
      <c r="D4305" s="47"/>
      <c r="E4305" s="47"/>
      <c r="F4305" s="47"/>
      <c r="G4305" s="47"/>
      <c r="H4305" s="47"/>
      <c r="I4305" s="47"/>
      <c r="J4305" s="1">
        <v>42.0</v>
      </c>
    </row>
    <row r="4306" ht="15.75" hidden="1" customHeight="1">
      <c r="A4306" s="47"/>
      <c r="B4306" s="47"/>
      <c r="C4306" s="47"/>
      <c r="D4306" s="47"/>
      <c r="E4306" s="47"/>
      <c r="F4306" s="47"/>
      <c r="G4306" s="47"/>
      <c r="H4306" s="47"/>
      <c r="I4306" s="47"/>
      <c r="J4306" s="1">
        <v>42.0</v>
      </c>
    </row>
    <row r="4307" ht="15.75" hidden="1" customHeight="1">
      <c r="A4307" s="47"/>
      <c r="B4307" s="47"/>
      <c r="C4307" s="47"/>
      <c r="D4307" s="47"/>
      <c r="E4307" s="47"/>
      <c r="F4307" s="47"/>
      <c r="G4307" s="47"/>
      <c r="H4307" s="47"/>
      <c r="I4307" s="47"/>
      <c r="J4307" s="1">
        <v>42.0</v>
      </c>
    </row>
    <row r="4308" ht="15.75" hidden="1" customHeight="1">
      <c r="A4308" s="47"/>
      <c r="B4308" s="47"/>
      <c r="C4308" s="47"/>
      <c r="D4308" s="47"/>
      <c r="E4308" s="47"/>
      <c r="F4308" s="47"/>
      <c r="G4308" s="47"/>
      <c r="H4308" s="47"/>
      <c r="I4308" s="47"/>
      <c r="J4308" s="1">
        <v>42.0</v>
      </c>
    </row>
    <row r="4309" ht="15.75" hidden="1" customHeight="1">
      <c r="A4309" s="47"/>
      <c r="B4309" s="47"/>
      <c r="C4309" s="47"/>
      <c r="D4309" s="47"/>
      <c r="E4309" s="47"/>
      <c r="F4309" s="47"/>
      <c r="G4309" s="47"/>
      <c r="H4309" s="47"/>
      <c r="I4309" s="47"/>
      <c r="J4309" s="1">
        <v>42.0</v>
      </c>
    </row>
    <row r="4310" ht="15.75" hidden="1" customHeight="1">
      <c r="A4310" s="47"/>
      <c r="B4310" s="47"/>
      <c r="C4310" s="47"/>
      <c r="D4310" s="47"/>
      <c r="E4310" s="47"/>
      <c r="F4310" s="47"/>
      <c r="G4310" s="47"/>
      <c r="H4310" s="47"/>
      <c r="I4310" s="47"/>
      <c r="J4310" s="1">
        <v>42.0</v>
      </c>
    </row>
    <row r="4311" ht="15.75" hidden="1" customHeight="1">
      <c r="A4311" s="47"/>
      <c r="B4311" s="47"/>
      <c r="C4311" s="47"/>
      <c r="D4311" s="47"/>
      <c r="E4311" s="47"/>
      <c r="F4311" s="47"/>
      <c r="G4311" s="47"/>
      <c r="H4311" s="47"/>
      <c r="I4311" s="47"/>
      <c r="J4311" s="1">
        <v>42.0</v>
      </c>
    </row>
    <row r="4312" ht="15.75" hidden="1" customHeight="1">
      <c r="A4312" s="47"/>
      <c r="B4312" s="47"/>
      <c r="C4312" s="47"/>
      <c r="D4312" s="47"/>
      <c r="E4312" s="47"/>
      <c r="F4312" s="47"/>
      <c r="G4312" s="47"/>
      <c r="H4312" s="47"/>
      <c r="I4312" s="47"/>
      <c r="J4312" s="1">
        <v>42.0</v>
      </c>
    </row>
    <row r="4313" ht="15.75" hidden="1" customHeight="1">
      <c r="A4313" s="47"/>
      <c r="B4313" s="47"/>
      <c r="C4313" s="47"/>
      <c r="D4313" s="47"/>
      <c r="E4313" s="47"/>
      <c r="F4313" s="47"/>
      <c r="G4313" s="47"/>
      <c r="H4313" s="47"/>
      <c r="I4313" s="47"/>
      <c r="J4313" s="1">
        <v>42.0</v>
      </c>
    </row>
    <row r="4314" ht="15.75" hidden="1" customHeight="1">
      <c r="A4314" s="47"/>
      <c r="B4314" s="47"/>
      <c r="C4314" s="47"/>
      <c r="D4314" s="47"/>
      <c r="E4314" s="47"/>
      <c r="F4314" s="47"/>
      <c r="G4314" s="47"/>
      <c r="H4314" s="47"/>
      <c r="I4314" s="47"/>
      <c r="J4314" s="1">
        <v>42.0</v>
      </c>
    </row>
    <row r="4315" ht="15.75" hidden="1" customHeight="1">
      <c r="A4315" s="47"/>
      <c r="B4315" s="47"/>
      <c r="C4315" s="47"/>
      <c r="D4315" s="47"/>
      <c r="E4315" s="47"/>
      <c r="F4315" s="47"/>
      <c r="G4315" s="47"/>
      <c r="H4315" s="47"/>
      <c r="I4315" s="47"/>
      <c r="J4315" s="1">
        <v>42.0</v>
      </c>
    </row>
    <row r="4316" ht="15.75" hidden="1" customHeight="1">
      <c r="A4316" s="47"/>
      <c r="B4316" s="47"/>
      <c r="C4316" s="47"/>
      <c r="D4316" s="47"/>
      <c r="E4316" s="47"/>
      <c r="F4316" s="47"/>
      <c r="G4316" s="47"/>
      <c r="H4316" s="47"/>
      <c r="I4316" s="47"/>
      <c r="J4316" s="1">
        <v>42.0</v>
      </c>
    </row>
    <row r="4317" ht="15.75" hidden="1" customHeight="1">
      <c r="A4317" s="47"/>
      <c r="B4317" s="47"/>
      <c r="C4317" s="47"/>
      <c r="D4317" s="47"/>
      <c r="E4317" s="47"/>
      <c r="F4317" s="47"/>
      <c r="G4317" s="47"/>
      <c r="H4317" s="47"/>
      <c r="I4317" s="47"/>
      <c r="J4317" s="1">
        <v>42.0</v>
      </c>
    </row>
    <row r="4318" ht="15.75" hidden="1" customHeight="1">
      <c r="A4318" s="47"/>
      <c r="B4318" s="47"/>
      <c r="C4318" s="47"/>
      <c r="D4318" s="47"/>
      <c r="E4318" s="47"/>
      <c r="F4318" s="47"/>
      <c r="G4318" s="47"/>
      <c r="H4318" s="47"/>
      <c r="I4318" s="47"/>
      <c r="J4318" s="1">
        <v>42.0</v>
      </c>
    </row>
    <row r="4319" ht="15.75" hidden="1" customHeight="1">
      <c r="A4319" s="47"/>
      <c r="B4319" s="47"/>
      <c r="C4319" s="47"/>
      <c r="D4319" s="47"/>
      <c r="E4319" s="47"/>
      <c r="F4319" s="47"/>
      <c r="G4319" s="47"/>
      <c r="H4319" s="47"/>
      <c r="I4319" s="47"/>
      <c r="J4319" s="1">
        <v>42.0</v>
      </c>
    </row>
    <row r="4320" ht="15.75" hidden="1" customHeight="1">
      <c r="A4320" s="47"/>
      <c r="B4320" s="47"/>
      <c r="C4320" s="47"/>
      <c r="D4320" s="47"/>
      <c r="E4320" s="47"/>
      <c r="F4320" s="47"/>
      <c r="G4320" s="47"/>
      <c r="H4320" s="47"/>
      <c r="I4320" s="47"/>
      <c r="J4320" s="1">
        <v>42.0</v>
      </c>
    </row>
    <row r="4321" ht="15.75" hidden="1" customHeight="1">
      <c r="A4321" s="47"/>
      <c r="B4321" s="47"/>
      <c r="C4321" s="47"/>
      <c r="D4321" s="47"/>
      <c r="E4321" s="47"/>
      <c r="F4321" s="47"/>
      <c r="G4321" s="47"/>
      <c r="H4321" s="47"/>
      <c r="I4321" s="47"/>
      <c r="J4321" s="1">
        <v>42.0</v>
      </c>
    </row>
    <row r="4322" ht="15.75" hidden="1" customHeight="1">
      <c r="A4322" s="47"/>
      <c r="B4322" s="47"/>
      <c r="C4322" s="47"/>
      <c r="D4322" s="47"/>
      <c r="E4322" s="47"/>
      <c r="F4322" s="47"/>
      <c r="G4322" s="47"/>
      <c r="H4322" s="47"/>
      <c r="I4322" s="47"/>
      <c r="J4322" s="1">
        <v>42.0</v>
      </c>
    </row>
    <row r="4323" ht="15.75" hidden="1" customHeight="1">
      <c r="A4323" s="47"/>
      <c r="B4323" s="47"/>
      <c r="C4323" s="47"/>
      <c r="D4323" s="47"/>
      <c r="E4323" s="47"/>
      <c r="F4323" s="47"/>
      <c r="G4323" s="47"/>
      <c r="H4323" s="47"/>
      <c r="I4323" s="47"/>
      <c r="J4323" s="1">
        <v>42.0</v>
      </c>
    </row>
    <row r="4324" ht="15.75" hidden="1" customHeight="1">
      <c r="A4324" s="47"/>
      <c r="B4324" s="47"/>
      <c r="C4324" s="47"/>
      <c r="D4324" s="47"/>
      <c r="E4324" s="47"/>
      <c r="F4324" s="47"/>
      <c r="G4324" s="47"/>
      <c r="H4324" s="47"/>
      <c r="I4324" s="47"/>
      <c r="J4324" s="1">
        <v>42.0</v>
      </c>
    </row>
    <row r="4325" ht="15.75" hidden="1" customHeight="1">
      <c r="A4325" s="47"/>
      <c r="B4325" s="47"/>
      <c r="C4325" s="47"/>
      <c r="D4325" s="47"/>
      <c r="E4325" s="47"/>
      <c r="F4325" s="47"/>
      <c r="G4325" s="47"/>
      <c r="H4325" s="47"/>
      <c r="I4325" s="47"/>
      <c r="J4325" s="1">
        <v>42.0</v>
      </c>
    </row>
    <row r="4326" ht="15.75" hidden="1" customHeight="1">
      <c r="A4326" s="47"/>
      <c r="B4326" s="47"/>
      <c r="C4326" s="47"/>
      <c r="D4326" s="47"/>
      <c r="E4326" s="47"/>
      <c r="F4326" s="47"/>
      <c r="G4326" s="47"/>
      <c r="H4326" s="47"/>
      <c r="I4326" s="47"/>
      <c r="J4326" s="1">
        <v>42.0</v>
      </c>
    </row>
    <row r="4327" ht="15.75" hidden="1" customHeight="1">
      <c r="A4327" s="47"/>
      <c r="B4327" s="47"/>
      <c r="C4327" s="47"/>
      <c r="D4327" s="47"/>
      <c r="E4327" s="47"/>
      <c r="F4327" s="47"/>
      <c r="G4327" s="47"/>
      <c r="H4327" s="47"/>
      <c r="I4327" s="47"/>
      <c r="J4327" s="1">
        <v>42.0</v>
      </c>
    </row>
    <row r="4328" ht="15.75" hidden="1" customHeight="1">
      <c r="A4328" s="47"/>
      <c r="B4328" s="47"/>
      <c r="C4328" s="47"/>
      <c r="D4328" s="47"/>
      <c r="E4328" s="47"/>
      <c r="F4328" s="47"/>
      <c r="G4328" s="47"/>
      <c r="H4328" s="47"/>
      <c r="I4328" s="47"/>
      <c r="J4328" s="1">
        <v>42.0</v>
      </c>
    </row>
    <row r="4329" ht="15.75" hidden="1" customHeight="1">
      <c r="A4329" s="47"/>
      <c r="B4329" s="47"/>
      <c r="C4329" s="47"/>
      <c r="D4329" s="47"/>
      <c r="E4329" s="47"/>
      <c r="F4329" s="47"/>
      <c r="G4329" s="47"/>
      <c r="H4329" s="47"/>
      <c r="I4329" s="47"/>
      <c r="J4329" s="1">
        <v>42.0</v>
      </c>
    </row>
    <row r="4330" ht="15.75" hidden="1" customHeight="1">
      <c r="A4330" s="47"/>
      <c r="B4330" s="47"/>
      <c r="C4330" s="47"/>
      <c r="D4330" s="47"/>
      <c r="E4330" s="47"/>
      <c r="F4330" s="47"/>
      <c r="G4330" s="47"/>
      <c r="H4330" s="47"/>
      <c r="I4330" s="47"/>
      <c r="J4330" s="1">
        <v>42.0</v>
      </c>
    </row>
    <row r="4331" ht="15.75" hidden="1" customHeight="1">
      <c r="A4331" s="47"/>
      <c r="B4331" s="47"/>
      <c r="C4331" s="47"/>
      <c r="D4331" s="47"/>
      <c r="E4331" s="47"/>
      <c r="F4331" s="47"/>
      <c r="G4331" s="47"/>
      <c r="H4331" s="47"/>
      <c r="I4331" s="47"/>
      <c r="J4331" s="1">
        <v>42.0</v>
      </c>
    </row>
    <row r="4332" ht="15.75" hidden="1" customHeight="1">
      <c r="A4332" s="47"/>
      <c r="B4332" s="47"/>
      <c r="C4332" s="47"/>
      <c r="D4332" s="47"/>
      <c r="E4332" s="47"/>
      <c r="F4332" s="47"/>
      <c r="G4332" s="47"/>
      <c r="H4332" s="47"/>
      <c r="I4332" s="47"/>
      <c r="J4332" s="1">
        <v>42.0</v>
      </c>
    </row>
    <row r="4333" ht="15.75" hidden="1" customHeight="1">
      <c r="A4333" s="47"/>
      <c r="B4333" s="47"/>
      <c r="C4333" s="47"/>
      <c r="D4333" s="47"/>
      <c r="E4333" s="47"/>
      <c r="F4333" s="47"/>
      <c r="G4333" s="47"/>
      <c r="H4333" s="47"/>
      <c r="I4333" s="47"/>
      <c r="J4333" s="1">
        <v>42.0</v>
      </c>
    </row>
    <row r="4334" ht="15.75" hidden="1" customHeight="1">
      <c r="A4334" s="47"/>
      <c r="B4334" s="47"/>
      <c r="C4334" s="47"/>
      <c r="D4334" s="47"/>
      <c r="E4334" s="47"/>
      <c r="F4334" s="47"/>
      <c r="G4334" s="47"/>
      <c r="H4334" s="47"/>
      <c r="I4334" s="47"/>
      <c r="J4334" s="1">
        <v>42.0</v>
      </c>
    </row>
    <row r="4335" ht="15.75" hidden="1" customHeight="1">
      <c r="A4335" s="47"/>
      <c r="B4335" s="47"/>
      <c r="C4335" s="47"/>
      <c r="D4335" s="47"/>
      <c r="E4335" s="47"/>
      <c r="F4335" s="47"/>
      <c r="G4335" s="47"/>
      <c r="H4335" s="47"/>
      <c r="I4335" s="47"/>
      <c r="J4335" s="1">
        <v>42.0</v>
      </c>
    </row>
    <row r="4336" ht="15.75" hidden="1" customHeight="1">
      <c r="A4336" s="47"/>
      <c r="B4336" s="47"/>
      <c r="C4336" s="47"/>
      <c r="D4336" s="47"/>
      <c r="E4336" s="47"/>
      <c r="F4336" s="47"/>
      <c r="G4336" s="47"/>
      <c r="H4336" s="47"/>
      <c r="I4336" s="47"/>
      <c r="J4336" s="1">
        <v>42.0</v>
      </c>
    </row>
    <row r="4337" ht="15.75" hidden="1" customHeight="1">
      <c r="A4337" s="47"/>
      <c r="B4337" s="47"/>
      <c r="C4337" s="47"/>
      <c r="D4337" s="47"/>
      <c r="E4337" s="47"/>
      <c r="F4337" s="47"/>
      <c r="G4337" s="47"/>
      <c r="H4337" s="47"/>
      <c r="I4337" s="47"/>
      <c r="J4337" s="1">
        <v>42.0</v>
      </c>
    </row>
    <row r="4338" ht="15.75" hidden="1" customHeight="1">
      <c r="A4338" s="47"/>
      <c r="B4338" s="47"/>
      <c r="C4338" s="47"/>
      <c r="D4338" s="47"/>
      <c r="E4338" s="47"/>
      <c r="F4338" s="47"/>
      <c r="G4338" s="47"/>
      <c r="H4338" s="47"/>
      <c r="I4338" s="47"/>
      <c r="J4338" s="1">
        <v>42.0</v>
      </c>
    </row>
    <row r="4339" ht="15.75" hidden="1" customHeight="1">
      <c r="A4339" s="47"/>
      <c r="B4339" s="47"/>
      <c r="C4339" s="47"/>
      <c r="D4339" s="47"/>
      <c r="E4339" s="47"/>
      <c r="F4339" s="47"/>
      <c r="G4339" s="47"/>
      <c r="H4339" s="47"/>
      <c r="I4339" s="47"/>
      <c r="J4339" s="1">
        <v>42.0</v>
      </c>
    </row>
    <row r="4340" ht="15.75" hidden="1" customHeight="1">
      <c r="A4340" s="47"/>
      <c r="B4340" s="47"/>
      <c r="C4340" s="47"/>
      <c r="D4340" s="47"/>
      <c r="E4340" s="47"/>
      <c r="F4340" s="47"/>
      <c r="G4340" s="47"/>
      <c r="H4340" s="47"/>
      <c r="I4340" s="47"/>
      <c r="J4340" s="1">
        <v>42.0</v>
      </c>
    </row>
    <row r="4341" ht="15.75" hidden="1" customHeight="1">
      <c r="A4341" s="47"/>
      <c r="B4341" s="47"/>
      <c r="C4341" s="47"/>
      <c r="D4341" s="47"/>
      <c r="E4341" s="47"/>
      <c r="F4341" s="47"/>
      <c r="G4341" s="47"/>
      <c r="H4341" s="47"/>
      <c r="I4341" s="47"/>
      <c r="J4341" s="1">
        <v>42.0</v>
      </c>
    </row>
    <row r="4342" ht="15.75" hidden="1" customHeight="1">
      <c r="A4342" s="47"/>
      <c r="B4342" s="47"/>
      <c r="C4342" s="47"/>
      <c r="D4342" s="47"/>
      <c r="E4342" s="47"/>
      <c r="F4342" s="47"/>
      <c r="G4342" s="47"/>
      <c r="H4342" s="47"/>
      <c r="I4342" s="47"/>
      <c r="J4342" s="1">
        <v>42.0</v>
      </c>
    </row>
    <row r="4343" ht="15.75" hidden="1" customHeight="1">
      <c r="A4343" s="47"/>
      <c r="B4343" s="47"/>
      <c r="C4343" s="47"/>
      <c r="D4343" s="47"/>
      <c r="E4343" s="47"/>
      <c r="F4343" s="47"/>
      <c r="G4343" s="47"/>
      <c r="H4343" s="47"/>
      <c r="I4343" s="47"/>
      <c r="J4343" s="1">
        <v>42.0</v>
      </c>
    </row>
    <row r="4344" ht="15.75" hidden="1" customHeight="1">
      <c r="A4344" s="47"/>
      <c r="B4344" s="47"/>
      <c r="C4344" s="47"/>
      <c r="D4344" s="47"/>
      <c r="E4344" s="47"/>
      <c r="F4344" s="47"/>
      <c r="G4344" s="47"/>
      <c r="H4344" s="47"/>
      <c r="I4344" s="47"/>
      <c r="J4344" s="1">
        <v>42.0</v>
      </c>
    </row>
    <row r="4345" ht="15.75" hidden="1" customHeight="1">
      <c r="A4345" s="47"/>
      <c r="B4345" s="47"/>
      <c r="C4345" s="47"/>
      <c r="D4345" s="47"/>
      <c r="E4345" s="47"/>
      <c r="F4345" s="47"/>
      <c r="G4345" s="47"/>
      <c r="H4345" s="47"/>
      <c r="I4345" s="47"/>
      <c r="J4345" s="1">
        <v>42.0</v>
      </c>
    </row>
    <row r="4346" ht="15.75" hidden="1" customHeight="1">
      <c r="A4346" s="47"/>
      <c r="B4346" s="47"/>
      <c r="C4346" s="47"/>
      <c r="D4346" s="47"/>
      <c r="E4346" s="47"/>
      <c r="F4346" s="47"/>
      <c r="G4346" s="47"/>
      <c r="H4346" s="47"/>
      <c r="I4346" s="47"/>
      <c r="J4346" s="1">
        <v>42.0</v>
      </c>
    </row>
    <row r="4347" ht="15.75" hidden="1" customHeight="1">
      <c r="A4347" s="47"/>
      <c r="B4347" s="47"/>
      <c r="C4347" s="47"/>
      <c r="D4347" s="47"/>
      <c r="E4347" s="47"/>
      <c r="F4347" s="47"/>
      <c r="G4347" s="47"/>
      <c r="H4347" s="47"/>
      <c r="I4347" s="47"/>
      <c r="J4347" s="1">
        <v>42.0</v>
      </c>
    </row>
    <row r="4348" ht="15.75" hidden="1" customHeight="1">
      <c r="A4348" s="47"/>
      <c r="B4348" s="47"/>
      <c r="C4348" s="47"/>
      <c r="D4348" s="47"/>
      <c r="E4348" s="47"/>
      <c r="F4348" s="47"/>
      <c r="G4348" s="47"/>
      <c r="H4348" s="47"/>
      <c r="I4348" s="47"/>
      <c r="J4348" s="1">
        <v>42.0</v>
      </c>
    </row>
    <row r="4349" ht="15.75" hidden="1" customHeight="1">
      <c r="A4349" s="47"/>
      <c r="B4349" s="47"/>
      <c r="C4349" s="47"/>
      <c r="D4349" s="47"/>
      <c r="E4349" s="47"/>
      <c r="F4349" s="47"/>
      <c r="G4349" s="47"/>
      <c r="H4349" s="47"/>
      <c r="I4349" s="47"/>
      <c r="J4349" s="1">
        <v>42.0</v>
      </c>
    </row>
    <row r="4350" ht="15.75" hidden="1" customHeight="1">
      <c r="A4350" s="47"/>
      <c r="B4350" s="47"/>
      <c r="C4350" s="47"/>
      <c r="D4350" s="47"/>
      <c r="E4350" s="47"/>
      <c r="F4350" s="47"/>
      <c r="G4350" s="47"/>
      <c r="H4350" s="47"/>
      <c r="I4350" s="47"/>
      <c r="J4350" s="1">
        <v>42.0</v>
      </c>
    </row>
    <row r="4351" ht="15.75" hidden="1" customHeight="1">
      <c r="A4351" s="47"/>
      <c r="B4351" s="47"/>
      <c r="C4351" s="47"/>
      <c r="D4351" s="47"/>
      <c r="E4351" s="47"/>
      <c r="F4351" s="47"/>
      <c r="G4351" s="47"/>
      <c r="H4351" s="47"/>
      <c r="I4351" s="47"/>
      <c r="J4351" s="1">
        <v>42.0</v>
      </c>
    </row>
    <row r="4352" ht="15.75" hidden="1" customHeight="1">
      <c r="A4352" s="47"/>
      <c r="B4352" s="47"/>
      <c r="C4352" s="47"/>
      <c r="D4352" s="47"/>
      <c r="E4352" s="47"/>
      <c r="F4352" s="47"/>
      <c r="G4352" s="47"/>
      <c r="H4352" s="47"/>
      <c r="I4352" s="47"/>
      <c r="J4352" s="1">
        <v>42.0</v>
      </c>
    </row>
    <row r="4353" ht="15.75" hidden="1" customHeight="1">
      <c r="A4353" s="47"/>
      <c r="B4353" s="47"/>
      <c r="C4353" s="47"/>
      <c r="D4353" s="47"/>
      <c r="E4353" s="47"/>
      <c r="F4353" s="47"/>
      <c r="G4353" s="47"/>
      <c r="H4353" s="47"/>
      <c r="I4353" s="47"/>
      <c r="J4353" s="1">
        <v>42.0</v>
      </c>
    </row>
    <row r="4354" ht="15.75" hidden="1" customHeight="1">
      <c r="A4354" s="47"/>
      <c r="B4354" s="47"/>
      <c r="C4354" s="47"/>
      <c r="D4354" s="47"/>
      <c r="E4354" s="47"/>
      <c r="F4354" s="47"/>
      <c r="G4354" s="47"/>
      <c r="H4354" s="47"/>
      <c r="I4354" s="47"/>
      <c r="J4354" s="1">
        <v>42.0</v>
      </c>
    </row>
    <row r="4355" ht="15.75" hidden="1" customHeight="1">
      <c r="A4355" s="47"/>
      <c r="B4355" s="47"/>
      <c r="C4355" s="47"/>
      <c r="D4355" s="47"/>
      <c r="E4355" s="47"/>
      <c r="F4355" s="47"/>
      <c r="G4355" s="47"/>
      <c r="H4355" s="47"/>
      <c r="I4355" s="47"/>
      <c r="J4355" s="1">
        <v>42.0</v>
      </c>
    </row>
    <row r="4356" ht="15.75" hidden="1" customHeight="1">
      <c r="A4356" s="47"/>
      <c r="B4356" s="47"/>
      <c r="C4356" s="47"/>
      <c r="D4356" s="47"/>
      <c r="E4356" s="47"/>
      <c r="F4356" s="47"/>
      <c r="G4356" s="47"/>
      <c r="H4356" s="47"/>
      <c r="I4356" s="47"/>
      <c r="J4356" s="1">
        <v>42.0</v>
      </c>
    </row>
    <row r="4357" ht="15.75" hidden="1" customHeight="1">
      <c r="A4357" s="47"/>
      <c r="B4357" s="47"/>
      <c r="C4357" s="47"/>
      <c r="D4357" s="47"/>
      <c r="E4357" s="47"/>
      <c r="F4357" s="47"/>
      <c r="G4357" s="47"/>
      <c r="H4357" s="47"/>
      <c r="I4357" s="47"/>
      <c r="J4357" s="1">
        <v>42.0</v>
      </c>
    </row>
    <row r="4358" ht="15.75" hidden="1" customHeight="1">
      <c r="A4358" s="47"/>
      <c r="B4358" s="47"/>
      <c r="C4358" s="47"/>
      <c r="D4358" s="47"/>
      <c r="E4358" s="47"/>
      <c r="F4358" s="47"/>
      <c r="G4358" s="47"/>
      <c r="H4358" s="47"/>
      <c r="I4358" s="47"/>
      <c r="J4358" s="1">
        <v>42.0</v>
      </c>
    </row>
    <row r="4359" ht="15.75" hidden="1" customHeight="1">
      <c r="A4359" s="47"/>
      <c r="B4359" s="47"/>
      <c r="C4359" s="47"/>
      <c r="D4359" s="47"/>
      <c r="E4359" s="47"/>
      <c r="F4359" s="47"/>
      <c r="G4359" s="47"/>
      <c r="H4359" s="47"/>
      <c r="I4359" s="47"/>
      <c r="J4359" s="1">
        <v>42.0</v>
      </c>
    </row>
    <row r="4360" ht="15.75" hidden="1" customHeight="1">
      <c r="A4360" s="47"/>
      <c r="B4360" s="47"/>
      <c r="C4360" s="47"/>
      <c r="D4360" s="47"/>
      <c r="E4360" s="47"/>
      <c r="F4360" s="47"/>
      <c r="G4360" s="47"/>
      <c r="H4360" s="47"/>
      <c r="I4360" s="47"/>
      <c r="J4360" s="1">
        <v>42.0</v>
      </c>
    </row>
    <row r="4361" ht="15.75" hidden="1" customHeight="1">
      <c r="A4361" s="47"/>
      <c r="B4361" s="47"/>
      <c r="C4361" s="47"/>
      <c r="D4361" s="47"/>
      <c r="E4361" s="47"/>
      <c r="F4361" s="47"/>
      <c r="G4361" s="47"/>
      <c r="H4361" s="47"/>
      <c r="I4361" s="47"/>
      <c r="J4361" s="1">
        <v>42.0</v>
      </c>
    </row>
    <row r="4362" ht="15.75" hidden="1" customHeight="1">
      <c r="A4362" s="47"/>
      <c r="B4362" s="47"/>
      <c r="C4362" s="47"/>
      <c r="D4362" s="47"/>
      <c r="E4362" s="47"/>
      <c r="F4362" s="47"/>
      <c r="G4362" s="47"/>
      <c r="H4362" s="47"/>
      <c r="I4362" s="47"/>
      <c r="J4362" s="1">
        <v>42.0</v>
      </c>
    </row>
    <row r="4363" ht="15.75" hidden="1" customHeight="1">
      <c r="A4363" s="47"/>
      <c r="B4363" s="47"/>
      <c r="C4363" s="47"/>
      <c r="D4363" s="47"/>
      <c r="E4363" s="47"/>
      <c r="F4363" s="47"/>
      <c r="G4363" s="47"/>
      <c r="H4363" s="47"/>
      <c r="I4363" s="47"/>
      <c r="J4363" s="1">
        <v>42.0</v>
      </c>
    </row>
    <row r="4364" ht="15.75" hidden="1" customHeight="1">
      <c r="A4364" s="47"/>
      <c r="B4364" s="47"/>
      <c r="C4364" s="47"/>
      <c r="D4364" s="47"/>
      <c r="E4364" s="47"/>
      <c r="F4364" s="47"/>
      <c r="G4364" s="47"/>
      <c r="H4364" s="47"/>
      <c r="I4364" s="47"/>
      <c r="J4364" s="1">
        <v>42.0</v>
      </c>
    </row>
    <row r="4365" ht="15.75" hidden="1" customHeight="1">
      <c r="A4365" s="47"/>
      <c r="B4365" s="47"/>
      <c r="C4365" s="47"/>
      <c r="D4365" s="47"/>
      <c r="E4365" s="47"/>
      <c r="F4365" s="47"/>
      <c r="G4365" s="47"/>
      <c r="H4365" s="47"/>
      <c r="I4365" s="47"/>
      <c r="J4365" s="1">
        <v>42.0</v>
      </c>
    </row>
    <row r="4366" ht="15.75" hidden="1" customHeight="1">
      <c r="A4366" s="47"/>
      <c r="B4366" s="47"/>
      <c r="C4366" s="47"/>
      <c r="D4366" s="47"/>
      <c r="E4366" s="47"/>
      <c r="F4366" s="47"/>
      <c r="G4366" s="47"/>
      <c r="H4366" s="47"/>
      <c r="I4366" s="47"/>
      <c r="J4366" s="1">
        <v>42.0</v>
      </c>
    </row>
    <row r="4367" ht="15.75" hidden="1" customHeight="1">
      <c r="A4367" s="47"/>
      <c r="B4367" s="47"/>
      <c r="C4367" s="47"/>
      <c r="D4367" s="47"/>
      <c r="E4367" s="47"/>
      <c r="F4367" s="47"/>
      <c r="G4367" s="47"/>
      <c r="H4367" s="47"/>
      <c r="I4367" s="47"/>
      <c r="J4367" s="1">
        <v>42.0</v>
      </c>
    </row>
    <row r="4368" ht="15.75" hidden="1" customHeight="1">
      <c r="A4368" s="47"/>
      <c r="B4368" s="47"/>
      <c r="C4368" s="47"/>
      <c r="D4368" s="47"/>
      <c r="E4368" s="47"/>
      <c r="F4368" s="47"/>
      <c r="G4368" s="47"/>
      <c r="H4368" s="47"/>
      <c r="I4368" s="47"/>
      <c r="J4368" s="1">
        <v>42.0</v>
      </c>
    </row>
    <row r="4369" ht="15.75" hidden="1" customHeight="1">
      <c r="A4369" s="47"/>
      <c r="B4369" s="47"/>
      <c r="C4369" s="47"/>
      <c r="D4369" s="47"/>
      <c r="E4369" s="47"/>
      <c r="F4369" s="47"/>
      <c r="G4369" s="47"/>
      <c r="H4369" s="47"/>
      <c r="I4369" s="47"/>
      <c r="J4369" s="1">
        <v>42.0</v>
      </c>
    </row>
    <row r="4370" ht="15.75" hidden="1" customHeight="1">
      <c r="A4370" s="47"/>
      <c r="B4370" s="47"/>
      <c r="C4370" s="47"/>
      <c r="D4370" s="47"/>
      <c r="E4370" s="47"/>
      <c r="F4370" s="47"/>
      <c r="G4370" s="47"/>
      <c r="H4370" s="47"/>
      <c r="I4370" s="47"/>
      <c r="J4370" s="1">
        <v>42.0</v>
      </c>
    </row>
    <row r="4371" ht="15.75" hidden="1" customHeight="1">
      <c r="A4371" s="47"/>
      <c r="B4371" s="47"/>
      <c r="C4371" s="47"/>
      <c r="D4371" s="47"/>
      <c r="E4371" s="47"/>
      <c r="F4371" s="47"/>
      <c r="G4371" s="47"/>
      <c r="H4371" s="47"/>
      <c r="I4371" s="47"/>
      <c r="J4371" s="1">
        <v>42.0</v>
      </c>
    </row>
    <row r="4372" ht="15.75" hidden="1" customHeight="1">
      <c r="A4372" s="47"/>
      <c r="B4372" s="47"/>
      <c r="C4372" s="47"/>
      <c r="D4372" s="47"/>
      <c r="E4372" s="47"/>
      <c r="F4372" s="47"/>
      <c r="G4372" s="47"/>
      <c r="H4372" s="47"/>
      <c r="I4372" s="47"/>
      <c r="J4372" s="1">
        <v>42.0</v>
      </c>
    </row>
    <row r="4373" ht="15.75" hidden="1" customHeight="1">
      <c r="A4373" s="47"/>
      <c r="B4373" s="47"/>
      <c r="C4373" s="47"/>
      <c r="D4373" s="47"/>
      <c r="E4373" s="47"/>
      <c r="F4373" s="47"/>
      <c r="G4373" s="47"/>
      <c r="H4373" s="47"/>
      <c r="I4373" s="47"/>
      <c r="J4373" s="1">
        <v>42.0</v>
      </c>
    </row>
    <row r="4374" ht="15.75" hidden="1" customHeight="1">
      <c r="A4374" s="47"/>
      <c r="B4374" s="47"/>
      <c r="C4374" s="47"/>
      <c r="D4374" s="47"/>
      <c r="E4374" s="47"/>
      <c r="F4374" s="47"/>
      <c r="G4374" s="47"/>
      <c r="H4374" s="47"/>
      <c r="I4374" s="47"/>
      <c r="J4374" s="1">
        <v>42.0</v>
      </c>
    </row>
    <row r="4375" ht="15.75" hidden="1" customHeight="1">
      <c r="A4375" s="47"/>
      <c r="B4375" s="47"/>
      <c r="C4375" s="47"/>
      <c r="D4375" s="47"/>
      <c r="E4375" s="47"/>
      <c r="F4375" s="47"/>
      <c r="G4375" s="47"/>
      <c r="H4375" s="47"/>
      <c r="I4375" s="47"/>
      <c r="J4375" s="1">
        <v>42.0</v>
      </c>
    </row>
    <row r="4376" ht="15.75" hidden="1" customHeight="1">
      <c r="A4376" s="47"/>
      <c r="B4376" s="47"/>
      <c r="C4376" s="47"/>
      <c r="D4376" s="47"/>
      <c r="E4376" s="47"/>
      <c r="F4376" s="47"/>
      <c r="G4376" s="47"/>
      <c r="H4376" s="47"/>
      <c r="I4376" s="47"/>
      <c r="J4376" s="1">
        <v>42.0</v>
      </c>
    </row>
    <row r="4377" ht="15.75" hidden="1" customHeight="1">
      <c r="A4377" s="47"/>
      <c r="B4377" s="47"/>
      <c r="C4377" s="47"/>
      <c r="D4377" s="47"/>
      <c r="E4377" s="47"/>
      <c r="F4377" s="47"/>
      <c r="G4377" s="47"/>
      <c r="H4377" s="47"/>
      <c r="I4377" s="47"/>
      <c r="J4377" s="1">
        <v>42.0</v>
      </c>
    </row>
    <row r="4378" ht="15.75" hidden="1" customHeight="1">
      <c r="A4378" s="47"/>
      <c r="B4378" s="47"/>
      <c r="C4378" s="47"/>
      <c r="D4378" s="47"/>
      <c r="E4378" s="47"/>
      <c r="F4378" s="47"/>
      <c r="G4378" s="47"/>
      <c r="H4378" s="47"/>
      <c r="I4378" s="47"/>
      <c r="J4378" s="1">
        <v>42.0</v>
      </c>
    </row>
    <row r="4379" ht="15.75" hidden="1" customHeight="1">
      <c r="A4379" s="47"/>
      <c r="B4379" s="47"/>
      <c r="C4379" s="47"/>
      <c r="D4379" s="47"/>
      <c r="E4379" s="47"/>
      <c r="F4379" s="47"/>
      <c r="G4379" s="47"/>
      <c r="H4379" s="47"/>
      <c r="I4379" s="47"/>
      <c r="J4379" s="1">
        <v>42.0</v>
      </c>
    </row>
    <row r="4380" ht="15.75" hidden="1" customHeight="1">
      <c r="A4380" s="47"/>
      <c r="B4380" s="47"/>
      <c r="C4380" s="47"/>
      <c r="D4380" s="47"/>
      <c r="E4380" s="47"/>
      <c r="F4380" s="47"/>
      <c r="G4380" s="47"/>
      <c r="H4380" s="47"/>
      <c r="I4380" s="47"/>
      <c r="J4380" s="1">
        <v>42.0</v>
      </c>
    </row>
    <row r="4381" ht="15.75" hidden="1" customHeight="1">
      <c r="A4381" s="47"/>
      <c r="B4381" s="47"/>
      <c r="C4381" s="47"/>
      <c r="D4381" s="47"/>
      <c r="E4381" s="47"/>
      <c r="F4381" s="47"/>
      <c r="G4381" s="47"/>
      <c r="H4381" s="47"/>
      <c r="I4381" s="47"/>
      <c r="J4381" s="1">
        <v>42.0</v>
      </c>
    </row>
    <row r="4382" ht="15.75" hidden="1" customHeight="1">
      <c r="A4382" s="47"/>
      <c r="B4382" s="47"/>
      <c r="C4382" s="47"/>
      <c r="D4382" s="47"/>
      <c r="E4382" s="47"/>
      <c r="F4382" s="47"/>
      <c r="G4382" s="47"/>
      <c r="H4382" s="47"/>
      <c r="I4382" s="47"/>
      <c r="J4382" s="1">
        <v>42.0</v>
      </c>
    </row>
    <row r="4383" ht="15.75" hidden="1" customHeight="1">
      <c r="A4383" s="47"/>
      <c r="B4383" s="47"/>
      <c r="C4383" s="47"/>
      <c r="D4383" s="47"/>
      <c r="E4383" s="47"/>
      <c r="F4383" s="47"/>
      <c r="G4383" s="47"/>
      <c r="H4383" s="47"/>
      <c r="I4383" s="47"/>
      <c r="J4383" s="1">
        <v>42.0</v>
      </c>
    </row>
    <row r="4384" ht="15.75" hidden="1" customHeight="1">
      <c r="A4384" s="47"/>
      <c r="B4384" s="47"/>
      <c r="C4384" s="47"/>
      <c r="D4384" s="47"/>
      <c r="E4384" s="47"/>
      <c r="F4384" s="47"/>
      <c r="G4384" s="47"/>
      <c r="H4384" s="47"/>
      <c r="I4384" s="47"/>
      <c r="J4384" s="1">
        <v>42.0</v>
      </c>
    </row>
    <row r="4385" ht="15.75" hidden="1" customHeight="1">
      <c r="A4385" s="47"/>
      <c r="B4385" s="47"/>
      <c r="C4385" s="47"/>
      <c r="D4385" s="47"/>
      <c r="E4385" s="47"/>
      <c r="F4385" s="47"/>
      <c r="G4385" s="47"/>
      <c r="H4385" s="47"/>
      <c r="I4385" s="47"/>
      <c r="J4385" s="1">
        <v>42.0</v>
      </c>
    </row>
    <row r="4386" ht="15.75" hidden="1" customHeight="1">
      <c r="A4386" s="47"/>
      <c r="B4386" s="47"/>
      <c r="C4386" s="47"/>
      <c r="D4386" s="47"/>
      <c r="E4386" s="47"/>
      <c r="F4386" s="47"/>
      <c r="G4386" s="47"/>
      <c r="H4386" s="47"/>
      <c r="I4386" s="47"/>
      <c r="J4386" s="1">
        <v>42.0</v>
      </c>
    </row>
    <row r="4387" ht="15.75" hidden="1" customHeight="1">
      <c r="A4387" s="47"/>
      <c r="B4387" s="47"/>
      <c r="C4387" s="47"/>
      <c r="D4387" s="47"/>
      <c r="E4387" s="47"/>
      <c r="F4387" s="47"/>
      <c r="G4387" s="47"/>
      <c r="H4387" s="47"/>
      <c r="I4387" s="47"/>
      <c r="J4387" s="1">
        <v>42.0</v>
      </c>
    </row>
    <row r="4388" ht="15.75" hidden="1" customHeight="1">
      <c r="A4388" s="47"/>
      <c r="B4388" s="47"/>
      <c r="C4388" s="47"/>
      <c r="D4388" s="47"/>
      <c r="E4388" s="47"/>
      <c r="F4388" s="47"/>
      <c r="G4388" s="47"/>
      <c r="H4388" s="47"/>
      <c r="I4388" s="47"/>
      <c r="J4388" s="1">
        <v>42.0</v>
      </c>
    </row>
    <row r="4389" ht="15.75" hidden="1" customHeight="1">
      <c r="A4389" s="47"/>
      <c r="B4389" s="47"/>
      <c r="C4389" s="47"/>
      <c r="D4389" s="47"/>
      <c r="E4389" s="47"/>
      <c r="F4389" s="47"/>
      <c r="G4389" s="47"/>
      <c r="H4389" s="47"/>
      <c r="I4389" s="47"/>
      <c r="J4389" s="1">
        <v>42.0</v>
      </c>
    </row>
    <row r="4390" ht="15.75" hidden="1" customHeight="1">
      <c r="A4390" s="47"/>
      <c r="B4390" s="47"/>
      <c r="C4390" s="47"/>
      <c r="D4390" s="47"/>
      <c r="E4390" s="47"/>
      <c r="F4390" s="47"/>
      <c r="G4390" s="47"/>
      <c r="H4390" s="47"/>
      <c r="I4390" s="47"/>
      <c r="J4390" s="1">
        <v>42.0</v>
      </c>
    </row>
    <row r="4391" ht="15.75" hidden="1" customHeight="1">
      <c r="A4391" s="47"/>
      <c r="B4391" s="47"/>
      <c r="C4391" s="47"/>
      <c r="D4391" s="47"/>
      <c r="E4391" s="47"/>
      <c r="F4391" s="47"/>
      <c r="G4391" s="47"/>
      <c r="H4391" s="47"/>
      <c r="I4391" s="47"/>
      <c r="J4391" s="1">
        <v>42.0</v>
      </c>
    </row>
    <row r="4392" ht="15.75" hidden="1" customHeight="1">
      <c r="A4392" s="47"/>
      <c r="B4392" s="47"/>
      <c r="C4392" s="47"/>
      <c r="D4392" s="47"/>
      <c r="E4392" s="47"/>
      <c r="F4392" s="47"/>
      <c r="G4392" s="47"/>
      <c r="H4392" s="47"/>
      <c r="I4392" s="47"/>
      <c r="J4392" s="1">
        <v>42.0</v>
      </c>
    </row>
    <row r="4393" ht="15.75" hidden="1" customHeight="1">
      <c r="A4393" s="47"/>
      <c r="B4393" s="47"/>
      <c r="C4393" s="47"/>
      <c r="D4393" s="47"/>
      <c r="E4393" s="47"/>
      <c r="F4393" s="47"/>
      <c r="G4393" s="47"/>
      <c r="H4393" s="47"/>
      <c r="I4393" s="47"/>
      <c r="J4393" s="1">
        <v>42.0</v>
      </c>
    </row>
    <row r="4394" ht="15.75" hidden="1" customHeight="1">
      <c r="A4394" s="47"/>
      <c r="B4394" s="47"/>
      <c r="C4394" s="47"/>
      <c r="D4394" s="47"/>
      <c r="E4394" s="47"/>
      <c r="F4394" s="47"/>
      <c r="G4394" s="47"/>
      <c r="H4394" s="47"/>
      <c r="I4394" s="47"/>
      <c r="J4394" s="1">
        <v>42.0</v>
      </c>
    </row>
    <row r="4395" ht="15.75" hidden="1" customHeight="1">
      <c r="A4395" s="47"/>
      <c r="B4395" s="47"/>
      <c r="C4395" s="47"/>
      <c r="D4395" s="47"/>
      <c r="E4395" s="47"/>
      <c r="F4395" s="47"/>
      <c r="G4395" s="47"/>
      <c r="H4395" s="47"/>
      <c r="I4395" s="47"/>
      <c r="J4395" s="1">
        <v>42.0</v>
      </c>
    </row>
    <row r="4396" ht="15.75" hidden="1" customHeight="1">
      <c r="A4396" s="47"/>
      <c r="B4396" s="47"/>
      <c r="C4396" s="47"/>
      <c r="D4396" s="47"/>
      <c r="E4396" s="47"/>
      <c r="F4396" s="47"/>
      <c r="G4396" s="47"/>
      <c r="H4396" s="47"/>
      <c r="I4396" s="47"/>
      <c r="J4396" s="1">
        <v>42.0</v>
      </c>
    </row>
    <row r="4397" ht="15.75" hidden="1" customHeight="1">
      <c r="A4397" s="47"/>
      <c r="B4397" s="47"/>
      <c r="C4397" s="47"/>
      <c r="D4397" s="47"/>
      <c r="E4397" s="47"/>
      <c r="F4397" s="47"/>
      <c r="G4397" s="47"/>
      <c r="H4397" s="47"/>
      <c r="I4397" s="47"/>
      <c r="J4397" s="1">
        <v>42.0</v>
      </c>
    </row>
    <row r="4398" ht="15.75" hidden="1" customHeight="1">
      <c r="A4398" s="47"/>
      <c r="B4398" s="47"/>
      <c r="C4398" s="47"/>
      <c r="D4398" s="47"/>
      <c r="E4398" s="47"/>
      <c r="F4398" s="47"/>
      <c r="G4398" s="47"/>
      <c r="H4398" s="47"/>
      <c r="I4398" s="47"/>
      <c r="J4398" s="1">
        <v>42.0</v>
      </c>
    </row>
    <row r="4399" ht="15.75" hidden="1" customHeight="1">
      <c r="A4399" s="47"/>
      <c r="B4399" s="47"/>
      <c r="C4399" s="47"/>
      <c r="D4399" s="47"/>
      <c r="E4399" s="47"/>
      <c r="F4399" s="47"/>
      <c r="G4399" s="47"/>
      <c r="H4399" s="47"/>
      <c r="I4399" s="47"/>
      <c r="J4399" s="1">
        <v>42.0</v>
      </c>
    </row>
    <row r="4400" ht="15.75" hidden="1" customHeight="1">
      <c r="A4400" s="47"/>
      <c r="B4400" s="47"/>
      <c r="C4400" s="47"/>
      <c r="D4400" s="47"/>
      <c r="E4400" s="47"/>
      <c r="F4400" s="47"/>
      <c r="G4400" s="47"/>
      <c r="H4400" s="47"/>
      <c r="I4400" s="47"/>
      <c r="J4400" s="1">
        <v>42.0</v>
      </c>
    </row>
    <row r="4401" ht="15.75" hidden="1" customHeight="1">
      <c r="A4401" s="47"/>
      <c r="B4401" s="47"/>
      <c r="C4401" s="47"/>
      <c r="D4401" s="47"/>
      <c r="E4401" s="47"/>
      <c r="F4401" s="47"/>
      <c r="G4401" s="47"/>
      <c r="H4401" s="47"/>
      <c r="I4401" s="47"/>
      <c r="J4401" s="1">
        <v>42.0</v>
      </c>
    </row>
    <row r="4402" ht="15.75" hidden="1" customHeight="1">
      <c r="A4402" s="47"/>
      <c r="B4402" s="47"/>
      <c r="C4402" s="47"/>
      <c r="D4402" s="47"/>
      <c r="E4402" s="47"/>
      <c r="F4402" s="47"/>
      <c r="G4402" s="47"/>
      <c r="H4402" s="47"/>
      <c r="I4402" s="47"/>
      <c r="J4402" s="1">
        <v>42.0</v>
      </c>
    </row>
    <row r="4403" ht="15.75" hidden="1" customHeight="1">
      <c r="A4403" s="47"/>
      <c r="B4403" s="47"/>
      <c r="C4403" s="47"/>
      <c r="D4403" s="47"/>
      <c r="E4403" s="47"/>
      <c r="F4403" s="47"/>
      <c r="G4403" s="47"/>
      <c r="H4403" s="47"/>
      <c r="I4403" s="47"/>
      <c r="J4403" s="1">
        <v>42.0</v>
      </c>
    </row>
    <row r="4404" ht="15.75" hidden="1" customHeight="1">
      <c r="A4404" s="47"/>
      <c r="B4404" s="47"/>
      <c r="C4404" s="47"/>
      <c r="D4404" s="47"/>
      <c r="E4404" s="47"/>
      <c r="F4404" s="47"/>
      <c r="G4404" s="47"/>
      <c r="H4404" s="47"/>
      <c r="I4404" s="47"/>
      <c r="J4404" s="1">
        <v>42.0</v>
      </c>
    </row>
    <row r="4405" ht="15.75" hidden="1" customHeight="1">
      <c r="A4405" s="47"/>
      <c r="B4405" s="47"/>
      <c r="C4405" s="47"/>
      <c r="D4405" s="47"/>
      <c r="E4405" s="47"/>
      <c r="F4405" s="47"/>
      <c r="G4405" s="47"/>
      <c r="H4405" s="47"/>
      <c r="I4405" s="47"/>
      <c r="J4405" s="1">
        <v>42.0</v>
      </c>
    </row>
    <row r="4406" ht="15.75" hidden="1" customHeight="1">
      <c r="A4406" s="47"/>
      <c r="B4406" s="47"/>
      <c r="C4406" s="47"/>
      <c r="D4406" s="47"/>
      <c r="E4406" s="47"/>
      <c r="F4406" s="47"/>
      <c r="G4406" s="47"/>
      <c r="H4406" s="47"/>
      <c r="I4406" s="47"/>
      <c r="J4406" s="1">
        <v>42.0</v>
      </c>
    </row>
    <row r="4407" ht="15.75" hidden="1" customHeight="1">
      <c r="A4407" s="47"/>
      <c r="B4407" s="47"/>
      <c r="C4407" s="47"/>
      <c r="D4407" s="47"/>
      <c r="E4407" s="47"/>
      <c r="F4407" s="47"/>
      <c r="G4407" s="47"/>
      <c r="H4407" s="47"/>
      <c r="I4407" s="47"/>
      <c r="J4407" s="1">
        <v>42.0</v>
      </c>
    </row>
    <row r="4408" ht="15.75" hidden="1" customHeight="1">
      <c r="A4408" s="47"/>
      <c r="B4408" s="47"/>
      <c r="C4408" s="47"/>
      <c r="D4408" s="47"/>
      <c r="E4408" s="47"/>
      <c r="F4408" s="47"/>
      <c r="G4408" s="47"/>
      <c r="H4408" s="47"/>
      <c r="I4408" s="47"/>
      <c r="J4408" s="1">
        <v>42.0</v>
      </c>
    </row>
    <row r="4409" ht="15.75" hidden="1" customHeight="1">
      <c r="A4409" s="47"/>
      <c r="B4409" s="47"/>
      <c r="C4409" s="47"/>
      <c r="D4409" s="47"/>
      <c r="E4409" s="47"/>
      <c r="F4409" s="47"/>
      <c r="G4409" s="47"/>
      <c r="H4409" s="47"/>
      <c r="I4409" s="47"/>
      <c r="J4409" s="1">
        <v>42.0</v>
      </c>
    </row>
    <row r="4410" ht="15.75" hidden="1" customHeight="1">
      <c r="A4410" s="47"/>
      <c r="B4410" s="47"/>
      <c r="C4410" s="47"/>
      <c r="D4410" s="47"/>
      <c r="E4410" s="47"/>
      <c r="F4410" s="47"/>
      <c r="G4410" s="47"/>
      <c r="H4410" s="47"/>
      <c r="I4410" s="47"/>
      <c r="J4410" s="1">
        <v>42.0</v>
      </c>
    </row>
    <row r="4411" ht="15.75" hidden="1" customHeight="1">
      <c r="A4411" s="47"/>
      <c r="B4411" s="47"/>
      <c r="C4411" s="47"/>
      <c r="D4411" s="47"/>
      <c r="E4411" s="47"/>
      <c r="F4411" s="47"/>
      <c r="G4411" s="47"/>
      <c r="H4411" s="47"/>
      <c r="I4411" s="47"/>
      <c r="J4411" s="1">
        <v>42.0</v>
      </c>
    </row>
    <row r="4412" ht="15.75" hidden="1" customHeight="1">
      <c r="A4412" s="47"/>
      <c r="B4412" s="47"/>
      <c r="C4412" s="47"/>
      <c r="D4412" s="47"/>
      <c r="E4412" s="47"/>
      <c r="F4412" s="47"/>
      <c r="G4412" s="47"/>
      <c r="H4412" s="47"/>
      <c r="I4412" s="47"/>
      <c r="J4412" s="1">
        <v>42.0</v>
      </c>
    </row>
    <row r="4413" ht="15.75" hidden="1" customHeight="1">
      <c r="A4413" s="47"/>
      <c r="B4413" s="47"/>
      <c r="C4413" s="47"/>
      <c r="D4413" s="47"/>
      <c r="E4413" s="47"/>
      <c r="F4413" s="47"/>
      <c r="G4413" s="47"/>
      <c r="H4413" s="47"/>
      <c r="I4413" s="47"/>
      <c r="J4413" s="1">
        <v>42.0</v>
      </c>
    </row>
    <row r="4414" ht="15.75" hidden="1" customHeight="1">
      <c r="A4414" s="47"/>
      <c r="B4414" s="47"/>
      <c r="C4414" s="47"/>
      <c r="D4414" s="47"/>
      <c r="E4414" s="47"/>
      <c r="F4414" s="47"/>
      <c r="G4414" s="47"/>
      <c r="H4414" s="47"/>
      <c r="I4414" s="47"/>
      <c r="J4414" s="1">
        <v>42.0</v>
      </c>
    </row>
    <row r="4415" ht="15.75" hidden="1" customHeight="1">
      <c r="A4415" s="47"/>
      <c r="B4415" s="47"/>
      <c r="C4415" s="47"/>
      <c r="D4415" s="47"/>
      <c r="E4415" s="47"/>
      <c r="F4415" s="47"/>
      <c r="G4415" s="47"/>
      <c r="H4415" s="47"/>
      <c r="I4415" s="47"/>
      <c r="J4415" s="1">
        <v>42.0</v>
      </c>
    </row>
    <row r="4416" ht="15.75" hidden="1" customHeight="1">
      <c r="A4416" s="47"/>
      <c r="B4416" s="47"/>
      <c r="C4416" s="47"/>
      <c r="D4416" s="47"/>
      <c r="E4416" s="47"/>
      <c r="F4416" s="47"/>
      <c r="G4416" s="47"/>
      <c r="H4416" s="47"/>
      <c r="I4416" s="47"/>
      <c r="J4416" s="1">
        <v>42.0</v>
      </c>
    </row>
    <row r="4417" ht="15.75" hidden="1" customHeight="1">
      <c r="A4417" s="47"/>
      <c r="B4417" s="47"/>
      <c r="C4417" s="47"/>
      <c r="D4417" s="47"/>
      <c r="E4417" s="47"/>
      <c r="F4417" s="47"/>
      <c r="G4417" s="47"/>
      <c r="H4417" s="47"/>
      <c r="I4417" s="47"/>
      <c r="J4417" s="1">
        <v>42.0</v>
      </c>
    </row>
    <row r="4418" ht="15.75" hidden="1" customHeight="1">
      <c r="A4418" s="47"/>
      <c r="B4418" s="47"/>
      <c r="C4418" s="47"/>
      <c r="D4418" s="47"/>
      <c r="E4418" s="47"/>
      <c r="F4418" s="47"/>
      <c r="G4418" s="47"/>
      <c r="H4418" s="47"/>
      <c r="I4418" s="47"/>
      <c r="J4418" s="1">
        <v>42.0</v>
      </c>
    </row>
    <row r="4419" ht="15.75" hidden="1" customHeight="1">
      <c r="A4419" s="47"/>
      <c r="B4419" s="47"/>
      <c r="C4419" s="47"/>
      <c r="D4419" s="47"/>
      <c r="E4419" s="47"/>
      <c r="F4419" s="47"/>
      <c r="G4419" s="47"/>
      <c r="H4419" s="47"/>
      <c r="I4419" s="47"/>
      <c r="J4419" s="1">
        <v>42.0</v>
      </c>
    </row>
    <row r="4420" ht="15.75" hidden="1" customHeight="1">
      <c r="A4420" s="47"/>
      <c r="B4420" s="47"/>
      <c r="C4420" s="47"/>
      <c r="D4420" s="47"/>
      <c r="E4420" s="47"/>
      <c r="F4420" s="47"/>
      <c r="G4420" s="47"/>
      <c r="H4420" s="47"/>
      <c r="I4420" s="47"/>
      <c r="J4420" s="1">
        <v>42.0</v>
      </c>
    </row>
    <row r="4421" ht="15.75" hidden="1" customHeight="1">
      <c r="A4421" s="47"/>
      <c r="B4421" s="47"/>
      <c r="C4421" s="47"/>
      <c r="D4421" s="47"/>
      <c r="E4421" s="47"/>
      <c r="F4421" s="47"/>
      <c r="G4421" s="47"/>
      <c r="H4421" s="47"/>
      <c r="I4421" s="47"/>
      <c r="J4421" s="1">
        <v>42.0</v>
      </c>
    </row>
    <row r="4422" ht="15.75" hidden="1" customHeight="1">
      <c r="A4422" s="47"/>
      <c r="B4422" s="47"/>
      <c r="C4422" s="47"/>
      <c r="D4422" s="47"/>
      <c r="E4422" s="47"/>
      <c r="F4422" s="47"/>
      <c r="G4422" s="47"/>
      <c r="H4422" s="47"/>
      <c r="I4422" s="47"/>
      <c r="J4422" s="1">
        <v>42.0</v>
      </c>
    </row>
    <row r="4423" ht="15.75" hidden="1" customHeight="1">
      <c r="A4423" s="47"/>
      <c r="B4423" s="47"/>
      <c r="C4423" s="47"/>
      <c r="D4423" s="47"/>
      <c r="E4423" s="47"/>
      <c r="F4423" s="47"/>
      <c r="G4423" s="47"/>
      <c r="H4423" s="47"/>
      <c r="I4423" s="47"/>
      <c r="J4423" s="1">
        <v>42.0</v>
      </c>
    </row>
    <row r="4424" ht="15.75" hidden="1" customHeight="1">
      <c r="A4424" s="47"/>
      <c r="B4424" s="47"/>
      <c r="C4424" s="47"/>
      <c r="D4424" s="47"/>
      <c r="E4424" s="47"/>
      <c r="F4424" s="47"/>
      <c r="G4424" s="47"/>
      <c r="H4424" s="47"/>
      <c r="I4424" s="47"/>
      <c r="J4424" s="1">
        <v>42.0</v>
      </c>
    </row>
    <row r="4425" ht="15.75" hidden="1" customHeight="1">
      <c r="A4425" s="47"/>
      <c r="B4425" s="47"/>
      <c r="C4425" s="47"/>
      <c r="D4425" s="47"/>
      <c r="E4425" s="47"/>
      <c r="F4425" s="47"/>
      <c r="G4425" s="47"/>
      <c r="H4425" s="47"/>
      <c r="I4425" s="47"/>
      <c r="J4425" s="1">
        <v>42.0</v>
      </c>
    </row>
    <row r="4426" ht="15.75" hidden="1" customHeight="1">
      <c r="A4426" s="47"/>
      <c r="B4426" s="47"/>
      <c r="C4426" s="47"/>
      <c r="D4426" s="47"/>
      <c r="E4426" s="47"/>
      <c r="F4426" s="47"/>
      <c r="G4426" s="47"/>
      <c r="H4426" s="47"/>
      <c r="I4426" s="47"/>
      <c r="J4426" s="1">
        <v>42.0</v>
      </c>
    </row>
    <row r="4427" ht="15.75" hidden="1" customHeight="1">
      <c r="A4427" s="47"/>
      <c r="B4427" s="47"/>
      <c r="C4427" s="47"/>
      <c r="D4427" s="47"/>
      <c r="E4427" s="47"/>
      <c r="F4427" s="47"/>
      <c r="G4427" s="47"/>
      <c r="H4427" s="47"/>
      <c r="I4427" s="47"/>
      <c r="J4427" s="1">
        <v>42.0</v>
      </c>
    </row>
    <row r="4428" ht="15.75" hidden="1" customHeight="1">
      <c r="A4428" s="47"/>
      <c r="B4428" s="47"/>
      <c r="C4428" s="47"/>
      <c r="D4428" s="47"/>
      <c r="E4428" s="47"/>
      <c r="F4428" s="47"/>
      <c r="G4428" s="47"/>
      <c r="H4428" s="47"/>
      <c r="I4428" s="47"/>
      <c r="J4428" s="1">
        <v>42.0</v>
      </c>
    </row>
    <row r="4429" ht="15.75" hidden="1" customHeight="1">
      <c r="A4429" s="47"/>
      <c r="B4429" s="47"/>
      <c r="C4429" s="47"/>
      <c r="D4429" s="47"/>
      <c r="E4429" s="47"/>
      <c r="F4429" s="47"/>
      <c r="G4429" s="47"/>
      <c r="H4429" s="47"/>
      <c r="I4429" s="47"/>
      <c r="J4429" s="1">
        <v>42.0</v>
      </c>
    </row>
    <row r="4430" ht="15.75" hidden="1" customHeight="1">
      <c r="A4430" s="47"/>
      <c r="B4430" s="47"/>
      <c r="C4430" s="47"/>
      <c r="D4430" s="47"/>
      <c r="E4430" s="47"/>
      <c r="F4430" s="47"/>
      <c r="G4430" s="47"/>
      <c r="H4430" s="47"/>
      <c r="I4430" s="47"/>
      <c r="J4430" s="1">
        <v>42.0</v>
      </c>
    </row>
    <row r="4431" ht="15.75" hidden="1" customHeight="1">
      <c r="A4431" s="47"/>
      <c r="B4431" s="47"/>
      <c r="C4431" s="47"/>
      <c r="D4431" s="47"/>
      <c r="E4431" s="47"/>
      <c r="F4431" s="47"/>
      <c r="G4431" s="47"/>
      <c r="H4431" s="47"/>
      <c r="I4431" s="47"/>
      <c r="J4431" s="1">
        <v>42.0</v>
      </c>
    </row>
    <row r="4432" ht="15.75" hidden="1" customHeight="1">
      <c r="A4432" s="47"/>
      <c r="B4432" s="47"/>
      <c r="C4432" s="47"/>
      <c r="D4432" s="47"/>
      <c r="E4432" s="47"/>
      <c r="F4432" s="47"/>
      <c r="G4432" s="47"/>
      <c r="H4432" s="47"/>
      <c r="I4432" s="47"/>
      <c r="J4432" s="1">
        <v>42.0</v>
      </c>
    </row>
    <row r="4433" ht="15.75" hidden="1" customHeight="1">
      <c r="A4433" s="47"/>
      <c r="B4433" s="47"/>
      <c r="C4433" s="47"/>
      <c r="D4433" s="47"/>
      <c r="E4433" s="47"/>
      <c r="F4433" s="47"/>
      <c r="G4433" s="47"/>
      <c r="H4433" s="47"/>
      <c r="I4433" s="47"/>
      <c r="J4433" s="1">
        <v>42.0</v>
      </c>
    </row>
    <row r="4434" ht="15.75" hidden="1" customHeight="1">
      <c r="A4434" s="47"/>
      <c r="B4434" s="47"/>
      <c r="C4434" s="47"/>
      <c r="D4434" s="47"/>
      <c r="E4434" s="47"/>
      <c r="F4434" s="47"/>
      <c r="G4434" s="47"/>
      <c r="H4434" s="47"/>
      <c r="I4434" s="47"/>
      <c r="J4434" s="1">
        <v>42.0</v>
      </c>
    </row>
    <row r="4435" ht="15.75" hidden="1" customHeight="1">
      <c r="A4435" s="47"/>
      <c r="B4435" s="47"/>
      <c r="C4435" s="47"/>
      <c r="D4435" s="47"/>
      <c r="E4435" s="47"/>
      <c r="F4435" s="47"/>
      <c r="G4435" s="47"/>
      <c r="H4435" s="47"/>
      <c r="I4435" s="47"/>
      <c r="J4435" s="1">
        <v>42.0</v>
      </c>
    </row>
    <row r="4436" ht="15.75" hidden="1" customHeight="1">
      <c r="A4436" s="47"/>
      <c r="B4436" s="47"/>
      <c r="C4436" s="47"/>
      <c r="D4436" s="47"/>
      <c r="E4436" s="47"/>
      <c r="F4436" s="47"/>
      <c r="G4436" s="47"/>
      <c r="H4436" s="47"/>
      <c r="I4436" s="47"/>
      <c r="J4436" s="1">
        <v>42.0</v>
      </c>
    </row>
    <row r="4437" ht="15.75" hidden="1" customHeight="1">
      <c r="A4437" s="47"/>
      <c r="B4437" s="47"/>
      <c r="C4437" s="47"/>
      <c r="D4437" s="47"/>
      <c r="E4437" s="47"/>
      <c r="F4437" s="47"/>
      <c r="G4437" s="47"/>
      <c r="H4437" s="47"/>
      <c r="I4437" s="47"/>
      <c r="J4437" s="1">
        <v>42.0</v>
      </c>
    </row>
    <row r="4438" ht="15.75" hidden="1" customHeight="1">
      <c r="A4438" s="47"/>
      <c r="B4438" s="47"/>
      <c r="C4438" s="47"/>
      <c r="D4438" s="47"/>
      <c r="E4438" s="47"/>
      <c r="F4438" s="47"/>
      <c r="G4438" s="47"/>
      <c r="H4438" s="47"/>
      <c r="I4438" s="47"/>
      <c r="J4438" s="1">
        <v>42.0</v>
      </c>
    </row>
    <row r="4439" ht="15.75" hidden="1" customHeight="1">
      <c r="A4439" s="47"/>
      <c r="B4439" s="47"/>
      <c r="C4439" s="47"/>
      <c r="D4439" s="47"/>
      <c r="E4439" s="47"/>
      <c r="F4439" s="47"/>
      <c r="G4439" s="47"/>
      <c r="H4439" s="47"/>
      <c r="I4439" s="47"/>
      <c r="J4439" s="1">
        <v>42.0</v>
      </c>
    </row>
    <row r="4440" ht="15.75" hidden="1" customHeight="1">
      <c r="A4440" s="47"/>
      <c r="B4440" s="47"/>
      <c r="C4440" s="47"/>
      <c r="D4440" s="47"/>
      <c r="E4440" s="47"/>
      <c r="F4440" s="47"/>
      <c r="G4440" s="47"/>
      <c r="H4440" s="47"/>
      <c r="I4440" s="47"/>
      <c r="J4440" s="1">
        <v>42.0</v>
      </c>
    </row>
    <row r="4441" ht="15.75" hidden="1" customHeight="1">
      <c r="A4441" s="47"/>
      <c r="B4441" s="47"/>
      <c r="C4441" s="47"/>
      <c r="D4441" s="47"/>
      <c r="E4441" s="47"/>
      <c r="F4441" s="47"/>
      <c r="G4441" s="47"/>
      <c r="H4441" s="47"/>
      <c r="I4441" s="47"/>
      <c r="J4441" s="1">
        <v>42.0</v>
      </c>
    </row>
    <row r="4442" ht="15.75" hidden="1" customHeight="1">
      <c r="A4442" s="47"/>
      <c r="B4442" s="47"/>
      <c r="C4442" s="47"/>
      <c r="D4442" s="47"/>
      <c r="E4442" s="47"/>
      <c r="F4442" s="47"/>
      <c r="G4442" s="47"/>
      <c r="H4442" s="47"/>
      <c r="I4442" s="47"/>
      <c r="J4442" s="1">
        <v>42.0</v>
      </c>
    </row>
    <row r="4443" ht="15.75" hidden="1" customHeight="1">
      <c r="A4443" s="47"/>
      <c r="B4443" s="47"/>
      <c r="C4443" s="47"/>
      <c r="D4443" s="47"/>
      <c r="E4443" s="47"/>
      <c r="F4443" s="47"/>
      <c r="G4443" s="47"/>
      <c r="H4443" s="47"/>
      <c r="I4443" s="47"/>
      <c r="J4443" s="1">
        <v>42.0</v>
      </c>
    </row>
    <row r="4444" ht="15.75" hidden="1" customHeight="1">
      <c r="A4444" s="47"/>
      <c r="B4444" s="47"/>
      <c r="C4444" s="47"/>
      <c r="D4444" s="47"/>
      <c r="E4444" s="47"/>
      <c r="F4444" s="47"/>
      <c r="G4444" s="47"/>
      <c r="H4444" s="47"/>
      <c r="I4444" s="47"/>
      <c r="J4444" s="1">
        <v>42.0</v>
      </c>
    </row>
    <row r="4445" ht="15.75" hidden="1" customHeight="1">
      <c r="A4445" s="47"/>
      <c r="B4445" s="47"/>
      <c r="C4445" s="47"/>
      <c r="D4445" s="47"/>
      <c r="E4445" s="47"/>
      <c r="F4445" s="47"/>
      <c r="G4445" s="47"/>
      <c r="H4445" s="47"/>
      <c r="I4445" s="47"/>
      <c r="J4445" s="1">
        <v>42.0</v>
      </c>
    </row>
    <row r="4446" ht="15.75" hidden="1" customHeight="1">
      <c r="A4446" s="47"/>
      <c r="B4446" s="47"/>
      <c r="C4446" s="47"/>
      <c r="D4446" s="47"/>
      <c r="E4446" s="47"/>
      <c r="F4446" s="47"/>
      <c r="G4446" s="47"/>
      <c r="H4446" s="47"/>
      <c r="I4446" s="47"/>
      <c r="J4446" s="1">
        <v>42.0</v>
      </c>
    </row>
    <row r="4447" ht="15.75" hidden="1" customHeight="1">
      <c r="A4447" s="47"/>
      <c r="B4447" s="47"/>
      <c r="C4447" s="47"/>
      <c r="D4447" s="47"/>
      <c r="E4447" s="47"/>
      <c r="F4447" s="47"/>
      <c r="G4447" s="47"/>
      <c r="H4447" s="47"/>
      <c r="I4447" s="47"/>
      <c r="J4447" s="1">
        <v>42.0</v>
      </c>
    </row>
    <row r="4448" ht="15.75" hidden="1" customHeight="1">
      <c r="A4448" s="47"/>
      <c r="B4448" s="47"/>
      <c r="C4448" s="47"/>
      <c r="D4448" s="47"/>
      <c r="E4448" s="47"/>
      <c r="F4448" s="47"/>
      <c r="G4448" s="47"/>
      <c r="H4448" s="47"/>
      <c r="I4448" s="47"/>
      <c r="J4448" s="1">
        <v>42.0</v>
      </c>
    </row>
    <row r="4449" ht="15.75" hidden="1" customHeight="1">
      <c r="A4449" s="47"/>
      <c r="B4449" s="47"/>
      <c r="C4449" s="47"/>
      <c r="D4449" s="47"/>
      <c r="E4449" s="47"/>
      <c r="F4449" s="47"/>
      <c r="G4449" s="47"/>
      <c r="H4449" s="47"/>
      <c r="I4449" s="47"/>
      <c r="J4449" s="1">
        <v>42.0</v>
      </c>
    </row>
    <row r="4450" ht="15.75" hidden="1" customHeight="1">
      <c r="A4450" s="47"/>
      <c r="B4450" s="47"/>
      <c r="C4450" s="47"/>
      <c r="D4450" s="47"/>
      <c r="E4450" s="47"/>
      <c r="F4450" s="47"/>
      <c r="G4450" s="47"/>
      <c r="H4450" s="47"/>
      <c r="I4450" s="47"/>
      <c r="J4450" s="1">
        <v>42.0</v>
      </c>
    </row>
    <row r="4451" ht="15.75" hidden="1" customHeight="1">
      <c r="A4451" s="47"/>
      <c r="B4451" s="47"/>
      <c r="C4451" s="47"/>
      <c r="D4451" s="47"/>
      <c r="E4451" s="47"/>
      <c r="F4451" s="47"/>
      <c r="G4451" s="47"/>
      <c r="H4451" s="47"/>
      <c r="I4451" s="47"/>
      <c r="J4451" s="1">
        <v>42.0</v>
      </c>
    </row>
    <row r="4452" ht="15.75" hidden="1" customHeight="1">
      <c r="A4452" s="47"/>
      <c r="B4452" s="47"/>
      <c r="C4452" s="47"/>
      <c r="D4452" s="47"/>
      <c r="E4452" s="47"/>
      <c r="F4452" s="47"/>
      <c r="G4452" s="47"/>
      <c r="H4452" s="47"/>
      <c r="I4452" s="47"/>
      <c r="J4452" s="1">
        <v>42.0</v>
      </c>
    </row>
    <row r="4453" ht="15.75" hidden="1" customHeight="1">
      <c r="A4453" s="47"/>
      <c r="B4453" s="47"/>
      <c r="C4453" s="47"/>
      <c r="D4453" s="47"/>
      <c r="E4453" s="47"/>
      <c r="F4453" s="47"/>
      <c r="G4453" s="47"/>
      <c r="H4453" s="47"/>
      <c r="I4453" s="47"/>
      <c r="J4453" s="1">
        <v>42.0</v>
      </c>
    </row>
    <row r="4454" ht="15.75" hidden="1" customHeight="1">
      <c r="A4454" s="47"/>
      <c r="B4454" s="47"/>
      <c r="C4454" s="47"/>
      <c r="D4454" s="47"/>
      <c r="E4454" s="47"/>
      <c r="F4454" s="47"/>
      <c r="G4454" s="47"/>
      <c r="H4454" s="47"/>
      <c r="I4454" s="47"/>
      <c r="J4454" s="1">
        <v>42.0</v>
      </c>
    </row>
    <row r="4455" ht="15.75" hidden="1" customHeight="1">
      <c r="A4455" s="47"/>
      <c r="B4455" s="47"/>
      <c r="C4455" s="47"/>
      <c r="D4455" s="47"/>
      <c r="E4455" s="47"/>
      <c r="F4455" s="47"/>
      <c r="G4455" s="47"/>
      <c r="H4455" s="47"/>
      <c r="I4455" s="47"/>
      <c r="J4455" s="1">
        <v>42.0</v>
      </c>
    </row>
    <row r="4456" ht="15.75" hidden="1" customHeight="1">
      <c r="A4456" s="47"/>
      <c r="B4456" s="47"/>
      <c r="C4456" s="47"/>
      <c r="D4456" s="47"/>
      <c r="E4456" s="47"/>
      <c r="F4456" s="47"/>
      <c r="G4456" s="47"/>
      <c r="H4456" s="47"/>
      <c r="I4456" s="47"/>
      <c r="J4456" s="1">
        <v>42.0</v>
      </c>
    </row>
    <row r="4457" ht="15.75" hidden="1" customHeight="1">
      <c r="A4457" s="47"/>
      <c r="B4457" s="47"/>
      <c r="C4457" s="47"/>
      <c r="D4457" s="47"/>
      <c r="E4457" s="47"/>
      <c r="F4457" s="47"/>
      <c r="G4457" s="47"/>
      <c r="H4457" s="47"/>
      <c r="I4457" s="47"/>
      <c r="J4457" s="1">
        <v>42.0</v>
      </c>
    </row>
    <row r="4458" ht="15.75" hidden="1" customHeight="1">
      <c r="A4458" s="47"/>
      <c r="B4458" s="47"/>
      <c r="C4458" s="47"/>
      <c r="D4458" s="47"/>
      <c r="E4458" s="47"/>
      <c r="F4458" s="47"/>
      <c r="G4458" s="47"/>
      <c r="H4458" s="47"/>
      <c r="I4458" s="47"/>
      <c r="J4458" s="1">
        <v>42.0</v>
      </c>
    </row>
    <row r="4459" ht="15.75" hidden="1" customHeight="1">
      <c r="A4459" s="47"/>
      <c r="B4459" s="47"/>
      <c r="C4459" s="47"/>
      <c r="D4459" s="47"/>
      <c r="E4459" s="47"/>
      <c r="F4459" s="47"/>
      <c r="G4459" s="47"/>
      <c r="H4459" s="47"/>
      <c r="I4459" s="47"/>
      <c r="J4459" s="1">
        <v>42.0</v>
      </c>
    </row>
    <row r="4460" ht="15.75" hidden="1" customHeight="1">
      <c r="A4460" s="47"/>
      <c r="B4460" s="47"/>
      <c r="C4460" s="47"/>
      <c r="D4460" s="47"/>
      <c r="E4460" s="47"/>
      <c r="F4460" s="47"/>
      <c r="G4460" s="47"/>
      <c r="H4460" s="47"/>
      <c r="I4460" s="47"/>
      <c r="J4460" s="1">
        <v>42.0</v>
      </c>
    </row>
    <row r="4461" ht="15.75" hidden="1" customHeight="1">
      <c r="A4461" s="47"/>
      <c r="B4461" s="47"/>
      <c r="C4461" s="47"/>
      <c r="D4461" s="47"/>
      <c r="E4461" s="47"/>
      <c r="F4461" s="47"/>
      <c r="G4461" s="47"/>
      <c r="H4461" s="47"/>
      <c r="I4461" s="47"/>
      <c r="J4461" s="1">
        <v>42.0</v>
      </c>
    </row>
    <row r="4462" ht="15.75" hidden="1" customHeight="1">
      <c r="A4462" s="47"/>
      <c r="B4462" s="47"/>
      <c r="C4462" s="47"/>
      <c r="D4462" s="47"/>
      <c r="E4462" s="47"/>
      <c r="F4462" s="47"/>
      <c r="G4462" s="47"/>
      <c r="H4462" s="47"/>
      <c r="I4462" s="47"/>
      <c r="J4462" s="1">
        <v>42.0</v>
      </c>
    </row>
    <row r="4463" ht="15.75" hidden="1" customHeight="1">
      <c r="A4463" s="47"/>
      <c r="B4463" s="47"/>
      <c r="C4463" s="47"/>
      <c r="D4463" s="47"/>
      <c r="E4463" s="47"/>
      <c r="F4463" s="47"/>
      <c r="G4463" s="47"/>
      <c r="H4463" s="47"/>
      <c r="I4463" s="47"/>
      <c r="J4463" s="1">
        <v>42.0</v>
      </c>
    </row>
    <row r="4464" ht="15.75" hidden="1" customHeight="1">
      <c r="A4464" s="47"/>
      <c r="B4464" s="47"/>
      <c r="C4464" s="47"/>
      <c r="D4464" s="47"/>
      <c r="E4464" s="47"/>
      <c r="F4464" s="47"/>
      <c r="G4464" s="47"/>
      <c r="H4464" s="47"/>
      <c r="I4464" s="47"/>
      <c r="J4464" s="1">
        <v>42.0</v>
      </c>
    </row>
    <row r="4465" ht="15.75" hidden="1" customHeight="1">
      <c r="A4465" s="47"/>
      <c r="B4465" s="47"/>
      <c r="C4465" s="47"/>
      <c r="D4465" s="47"/>
      <c r="E4465" s="47"/>
      <c r="F4465" s="47"/>
      <c r="G4465" s="47"/>
      <c r="H4465" s="47"/>
      <c r="I4465" s="47"/>
      <c r="J4465" s="1">
        <v>42.0</v>
      </c>
    </row>
    <row r="4466" ht="15.75" hidden="1" customHeight="1">
      <c r="A4466" s="47"/>
      <c r="B4466" s="47"/>
      <c r="C4466" s="47"/>
      <c r="D4466" s="47"/>
      <c r="E4466" s="47"/>
      <c r="F4466" s="47"/>
      <c r="G4466" s="47"/>
      <c r="H4466" s="47"/>
      <c r="I4466" s="47"/>
      <c r="J4466" s="1">
        <v>42.0</v>
      </c>
    </row>
    <row r="4467" ht="15.75" hidden="1" customHeight="1">
      <c r="A4467" s="47"/>
      <c r="B4467" s="47"/>
      <c r="C4467" s="47"/>
      <c r="D4467" s="47"/>
      <c r="E4467" s="47"/>
      <c r="F4467" s="47"/>
      <c r="G4467" s="47"/>
      <c r="H4467" s="47"/>
      <c r="I4467" s="47"/>
      <c r="J4467" s="1">
        <v>42.0</v>
      </c>
    </row>
    <row r="4468" ht="15.75" hidden="1" customHeight="1">
      <c r="A4468" s="47"/>
      <c r="B4468" s="47"/>
      <c r="C4468" s="47"/>
      <c r="D4468" s="47"/>
      <c r="E4468" s="47"/>
      <c r="F4468" s="47"/>
      <c r="G4468" s="47"/>
      <c r="H4468" s="47"/>
      <c r="I4468" s="47"/>
      <c r="J4468" s="1">
        <v>42.0</v>
      </c>
    </row>
    <row r="4469" ht="15.75" hidden="1" customHeight="1">
      <c r="A4469" s="47"/>
      <c r="B4469" s="47"/>
      <c r="C4469" s="47"/>
      <c r="D4469" s="47"/>
      <c r="E4469" s="47"/>
      <c r="F4469" s="47"/>
      <c r="G4469" s="47"/>
      <c r="H4469" s="47"/>
      <c r="I4469" s="47"/>
      <c r="J4469" s="1">
        <v>42.0</v>
      </c>
    </row>
    <row r="4470" ht="15.75" hidden="1" customHeight="1">
      <c r="A4470" s="47"/>
      <c r="B4470" s="47"/>
      <c r="C4470" s="47"/>
      <c r="D4470" s="47"/>
      <c r="E4470" s="47"/>
      <c r="F4470" s="47"/>
      <c r="G4470" s="47"/>
      <c r="H4470" s="47"/>
      <c r="I4470" s="47"/>
      <c r="J4470" s="1">
        <v>42.0</v>
      </c>
    </row>
    <row r="4471" ht="15.75" hidden="1" customHeight="1">
      <c r="A4471" s="47"/>
      <c r="B4471" s="47"/>
      <c r="C4471" s="47"/>
      <c r="D4471" s="47"/>
      <c r="E4471" s="47"/>
      <c r="F4471" s="47"/>
      <c r="G4471" s="47"/>
      <c r="H4471" s="47"/>
      <c r="I4471" s="47"/>
      <c r="J4471" s="1">
        <v>42.0</v>
      </c>
    </row>
    <row r="4472" ht="15.75" hidden="1" customHeight="1">
      <c r="A4472" s="47"/>
      <c r="B4472" s="47"/>
      <c r="C4472" s="47"/>
      <c r="D4472" s="47"/>
      <c r="E4472" s="47"/>
      <c r="F4472" s="47"/>
      <c r="G4472" s="47"/>
      <c r="H4472" s="47"/>
      <c r="I4472" s="47"/>
      <c r="J4472" s="1">
        <v>42.0</v>
      </c>
    </row>
    <row r="4473" ht="15.75" hidden="1" customHeight="1">
      <c r="A4473" s="47"/>
      <c r="B4473" s="47"/>
      <c r="C4473" s="47"/>
      <c r="D4473" s="47"/>
      <c r="E4473" s="47"/>
      <c r="F4473" s="47"/>
      <c r="G4473" s="47"/>
      <c r="H4473" s="47"/>
      <c r="I4473" s="47"/>
      <c r="J4473" s="1">
        <v>42.0</v>
      </c>
    </row>
    <row r="4474" ht="15.75" hidden="1" customHeight="1">
      <c r="A4474" s="47"/>
      <c r="B4474" s="47"/>
      <c r="C4474" s="47"/>
      <c r="D4474" s="47"/>
      <c r="E4474" s="47"/>
      <c r="F4474" s="47"/>
      <c r="G4474" s="47"/>
      <c r="H4474" s="47"/>
      <c r="I4474" s="47"/>
      <c r="J4474" s="1">
        <v>42.0</v>
      </c>
    </row>
    <row r="4475" ht="15.75" hidden="1" customHeight="1">
      <c r="A4475" s="47"/>
      <c r="B4475" s="47"/>
      <c r="C4475" s="47"/>
      <c r="D4475" s="47"/>
      <c r="E4475" s="47"/>
      <c r="F4475" s="47"/>
      <c r="G4475" s="47"/>
      <c r="H4475" s="47"/>
      <c r="I4475" s="47"/>
      <c r="J4475" s="1">
        <v>42.0</v>
      </c>
    </row>
    <row r="4476" ht="15.75" hidden="1" customHeight="1">
      <c r="A4476" s="47"/>
      <c r="B4476" s="47"/>
      <c r="C4476" s="47"/>
      <c r="D4476" s="47"/>
      <c r="E4476" s="47"/>
      <c r="F4476" s="47"/>
      <c r="G4476" s="47"/>
      <c r="H4476" s="47"/>
      <c r="I4476" s="47"/>
      <c r="J4476" s="1">
        <v>42.0</v>
      </c>
    </row>
    <row r="4477" ht="15.75" hidden="1" customHeight="1">
      <c r="A4477" s="47"/>
      <c r="B4477" s="47"/>
      <c r="C4477" s="47"/>
      <c r="D4477" s="47"/>
      <c r="E4477" s="47"/>
      <c r="F4477" s="47"/>
      <c r="G4477" s="47"/>
      <c r="H4477" s="47"/>
      <c r="I4477" s="47"/>
      <c r="J4477" s="1">
        <v>42.0</v>
      </c>
    </row>
    <row r="4478" ht="15.75" hidden="1" customHeight="1">
      <c r="A4478" s="47"/>
      <c r="B4478" s="47"/>
      <c r="C4478" s="47"/>
      <c r="D4478" s="47"/>
      <c r="E4478" s="47"/>
      <c r="F4478" s="47"/>
      <c r="G4478" s="47"/>
      <c r="H4478" s="47"/>
      <c r="I4478" s="47"/>
      <c r="J4478" s="1">
        <v>42.0</v>
      </c>
    </row>
    <row r="4479" ht="15.75" hidden="1" customHeight="1">
      <c r="A4479" s="47"/>
      <c r="B4479" s="47"/>
      <c r="C4479" s="47"/>
      <c r="D4479" s="47"/>
      <c r="E4479" s="47"/>
      <c r="F4479" s="47"/>
      <c r="G4479" s="47"/>
      <c r="H4479" s="47"/>
      <c r="I4479" s="47"/>
      <c r="J4479" s="1">
        <v>42.0</v>
      </c>
    </row>
    <row r="4480" ht="15.75" hidden="1" customHeight="1">
      <c r="A4480" s="47"/>
      <c r="B4480" s="47"/>
      <c r="C4480" s="47"/>
      <c r="D4480" s="47"/>
      <c r="E4480" s="47"/>
      <c r="F4480" s="47"/>
      <c r="G4480" s="47"/>
      <c r="H4480" s="47"/>
      <c r="I4480" s="47"/>
      <c r="J4480" s="1">
        <v>42.0</v>
      </c>
    </row>
    <row r="4481" ht="15.75" hidden="1" customHeight="1">
      <c r="A4481" s="47"/>
      <c r="B4481" s="47"/>
      <c r="C4481" s="47"/>
      <c r="D4481" s="47"/>
      <c r="E4481" s="47"/>
      <c r="F4481" s="47"/>
      <c r="G4481" s="47"/>
      <c r="H4481" s="47"/>
      <c r="I4481" s="47"/>
      <c r="J4481" s="1">
        <v>42.0</v>
      </c>
    </row>
    <row r="4482" ht="15.75" hidden="1" customHeight="1">
      <c r="A4482" s="47"/>
      <c r="B4482" s="47"/>
      <c r="C4482" s="47"/>
      <c r="D4482" s="47"/>
      <c r="E4482" s="47"/>
      <c r="F4482" s="47"/>
      <c r="G4482" s="47"/>
      <c r="H4482" s="47"/>
      <c r="I4482" s="47"/>
      <c r="J4482" s="1">
        <v>42.0</v>
      </c>
    </row>
    <row r="4483" ht="15.75" hidden="1" customHeight="1">
      <c r="A4483" s="47"/>
      <c r="B4483" s="47"/>
      <c r="C4483" s="47"/>
      <c r="D4483" s="47"/>
      <c r="E4483" s="47"/>
      <c r="F4483" s="47"/>
      <c r="G4483" s="47"/>
      <c r="H4483" s="47"/>
      <c r="I4483" s="47"/>
      <c r="J4483" s="1">
        <v>42.0</v>
      </c>
    </row>
    <row r="4484" ht="15.75" hidden="1" customHeight="1">
      <c r="A4484" s="47"/>
      <c r="B4484" s="47"/>
      <c r="C4484" s="47"/>
      <c r="D4484" s="47"/>
      <c r="E4484" s="47"/>
      <c r="F4484" s="47"/>
      <c r="G4484" s="47"/>
      <c r="H4484" s="47"/>
      <c r="I4484" s="47"/>
      <c r="J4484" s="1">
        <v>42.0</v>
      </c>
    </row>
    <row r="4485" ht="15.75" hidden="1" customHeight="1">
      <c r="A4485" s="47"/>
      <c r="B4485" s="47"/>
      <c r="C4485" s="47"/>
      <c r="D4485" s="47"/>
      <c r="E4485" s="47"/>
      <c r="F4485" s="47"/>
      <c r="G4485" s="47"/>
      <c r="H4485" s="47"/>
      <c r="I4485" s="47"/>
      <c r="J4485" s="1">
        <v>42.0</v>
      </c>
    </row>
    <row r="4486" ht="15.75" hidden="1" customHeight="1">
      <c r="A4486" s="47"/>
      <c r="B4486" s="47"/>
      <c r="C4486" s="47"/>
      <c r="D4486" s="47"/>
      <c r="E4486" s="47"/>
      <c r="F4486" s="47"/>
      <c r="G4486" s="47"/>
      <c r="H4486" s="47"/>
      <c r="I4486" s="47"/>
      <c r="J4486" s="1">
        <v>42.0</v>
      </c>
    </row>
    <row r="4487" ht="15.75" hidden="1" customHeight="1">
      <c r="A4487" s="47"/>
      <c r="B4487" s="47"/>
      <c r="C4487" s="47"/>
      <c r="D4487" s="47"/>
      <c r="E4487" s="47"/>
      <c r="F4487" s="47"/>
      <c r="G4487" s="47"/>
      <c r="H4487" s="47"/>
      <c r="I4487" s="47"/>
      <c r="J4487" s="1">
        <v>42.0</v>
      </c>
    </row>
    <row r="4488" ht="15.75" hidden="1" customHeight="1">
      <c r="A4488" s="47"/>
      <c r="B4488" s="47"/>
      <c r="C4488" s="47"/>
      <c r="D4488" s="47"/>
      <c r="E4488" s="47"/>
      <c r="F4488" s="47"/>
      <c r="G4488" s="47"/>
      <c r="H4488" s="47"/>
      <c r="I4488" s="47"/>
      <c r="J4488" s="1">
        <v>42.0</v>
      </c>
    </row>
    <row r="4489" ht="15.75" hidden="1" customHeight="1">
      <c r="A4489" s="47"/>
      <c r="B4489" s="47"/>
      <c r="C4489" s="47"/>
      <c r="D4489" s="47"/>
      <c r="E4489" s="47"/>
      <c r="F4489" s="47"/>
      <c r="G4489" s="47"/>
      <c r="H4489" s="47"/>
      <c r="I4489" s="47"/>
      <c r="J4489" s="1">
        <v>42.0</v>
      </c>
    </row>
    <row r="4490" ht="15.75" hidden="1" customHeight="1">
      <c r="A4490" s="47"/>
      <c r="B4490" s="47"/>
      <c r="C4490" s="47"/>
      <c r="D4490" s="47"/>
      <c r="E4490" s="47"/>
      <c r="F4490" s="47"/>
      <c r="G4490" s="47"/>
      <c r="H4490" s="47"/>
      <c r="I4490" s="47"/>
      <c r="J4490" s="1">
        <v>42.0</v>
      </c>
    </row>
    <row r="4491" ht="15.75" hidden="1" customHeight="1">
      <c r="A4491" s="47"/>
      <c r="B4491" s="47"/>
      <c r="C4491" s="47"/>
      <c r="D4491" s="47"/>
      <c r="E4491" s="47"/>
      <c r="F4491" s="47"/>
      <c r="G4491" s="47"/>
      <c r="H4491" s="47"/>
      <c r="I4491" s="47"/>
      <c r="J4491" s="1">
        <v>42.0</v>
      </c>
    </row>
    <row r="4492" ht="15.75" hidden="1" customHeight="1">
      <c r="A4492" s="47"/>
      <c r="B4492" s="47"/>
      <c r="C4492" s="47"/>
      <c r="D4492" s="47"/>
      <c r="E4492" s="47"/>
      <c r="F4492" s="47"/>
      <c r="G4492" s="47"/>
      <c r="H4492" s="47"/>
      <c r="I4492" s="47"/>
      <c r="J4492" s="1">
        <v>42.0</v>
      </c>
    </row>
    <row r="4493" ht="15.75" hidden="1" customHeight="1">
      <c r="A4493" s="47"/>
      <c r="B4493" s="47"/>
      <c r="C4493" s="47"/>
      <c r="D4493" s="47"/>
      <c r="E4493" s="47"/>
      <c r="F4493" s="47"/>
      <c r="G4493" s="47"/>
      <c r="H4493" s="47"/>
      <c r="I4493" s="47"/>
      <c r="J4493" s="1">
        <v>42.0</v>
      </c>
    </row>
    <row r="4494" ht="15.75" hidden="1" customHeight="1">
      <c r="A4494" s="47"/>
      <c r="B4494" s="47"/>
      <c r="C4494" s="47"/>
      <c r="D4494" s="47"/>
      <c r="E4494" s="47"/>
      <c r="F4494" s="47"/>
      <c r="G4494" s="47"/>
      <c r="H4494" s="47"/>
      <c r="I4494" s="47"/>
      <c r="J4494" s="1">
        <v>42.0</v>
      </c>
    </row>
    <row r="4495" ht="15.75" hidden="1" customHeight="1">
      <c r="A4495" s="47"/>
      <c r="B4495" s="47"/>
      <c r="C4495" s="47"/>
      <c r="D4495" s="47"/>
      <c r="E4495" s="47"/>
      <c r="F4495" s="47"/>
      <c r="G4495" s="47"/>
      <c r="H4495" s="47"/>
      <c r="I4495" s="47"/>
      <c r="J4495" s="1">
        <v>42.0</v>
      </c>
    </row>
    <row r="4496" ht="15.75" hidden="1" customHeight="1">
      <c r="A4496" s="47"/>
      <c r="B4496" s="47"/>
      <c r="C4496" s="47"/>
      <c r="D4496" s="47"/>
      <c r="E4496" s="47"/>
      <c r="F4496" s="47"/>
      <c r="G4496" s="47"/>
      <c r="H4496" s="47"/>
      <c r="I4496" s="47"/>
      <c r="J4496" s="1">
        <v>42.0</v>
      </c>
    </row>
    <row r="4497" ht="15.75" hidden="1" customHeight="1">
      <c r="A4497" s="47"/>
      <c r="B4497" s="47"/>
      <c r="C4497" s="47"/>
      <c r="D4497" s="47"/>
      <c r="E4497" s="47"/>
      <c r="F4497" s="47"/>
      <c r="G4497" s="47"/>
      <c r="H4497" s="47"/>
      <c r="I4497" s="47"/>
      <c r="J4497" s="1">
        <v>42.0</v>
      </c>
    </row>
    <row r="4498" ht="15.75" hidden="1" customHeight="1">
      <c r="A4498" s="47"/>
      <c r="B4498" s="47"/>
      <c r="C4498" s="47"/>
      <c r="D4498" s="47"/>
      <c r="E4498" s="47"/>
      <c r="F4498" s="47"/>
      <c r="G4498" s="47"/>
      <c r="H4498" s="47"/>
      <c r="I4498" s="47"/>
      <c r="J4498" s="1">
        <v>42.0</v>
      </c>
    </row>
    <row r="4499" ht="15.75" hidden="1" customHeight="1">
      <c r="A4499" s="47"/>
      <c r="B4499" s="47"/>
      <c r="C4499" s="47"/>
      <c r="D4499" s="47"/>
      <c r="E4499" s="47"/>
      <c r="F4499" s="47"/>
      <c r="G4499" s="47"/>
      <c r="H4499" s="47"/>
      <c r="I4499" s="47"/>
      <c r="J4499" s="1">
        <v>42.0</v>
      </c>
    </row>
    <row r="4500" ht="15.75" hidden="1" customHeight="1">
      <c r="A4500" s="47"/>
      <c r="B4500" s="47"/>
      <c r="C4500" s="47"/>
      <c r="D4500" s="47"/>
      <c r="E4500" s="47"/>
      <c r="F4500" s="47"/>
      <c r="G4500" s="47"/>
      <c r="H4500" s="47"/>
      <c r="I4500" s="47"/>
      <c r="J4500" s="1">
        <v>42.0</v>
      </c>
    </row>
    <row r="4501" ht="15.75" hidden="1" customHeight="1">
      <c r="A4501" s="47"/>
      <c r="B4501" s="47"/>
      <c r="C4501" s="47"/>
      <c r="D4501" s="47"/>
      <c r="E4501" s="47"/>
      <c r="F4501" s="47"/>
      <c r="G4501" s="47"/>
      <c r="H4501" s="47"/>
      <c r="I4501" s="47"/>
      <c r="J4501" s="1">
        <v>42.0</v>
      </c>
    </row>
    <row r="4502" ht="15.75" hidden="1" customHeight="1">
      <c r="A4502" s="47"/>
      <c r="B4502" s="47"/>
      <c r="C4502" s="47"/>
      <c r="D4502" s="47"/>
      <c r="E4502" s="47"/>
      <c r="F4502" s="47"/>
      <c r="G4502" s="47"/>
      <c r="H4502" s="47"/>
      <c r="I4502" s="47"/>
      <c r="J4502" s="1">
        <v>42.0</v>
      </c>
    </row>
    <row r="4503" ht="15.75" hidden="1" customHeight="1">
      <c r="A4503" s="47"/>
      <c r="B4503" s="47"/>
      <c r="C4503" s="47"/>
      <c r="D4503" s="47"/>
      <c r="E4503" s="47"/>
      <c r="F4503" s="47"/>
      <c r="G4503" s="47"/>
      <c r="H4503" s="47"/>
      <c r="I4503" s="47"/>
      <c r="J4503" s="1">
        <v>42.0</v>
      </c>
    </row>
    <row r="4504" ht="15.75" hidden="1" customHeight="1">
      <c r="A4504" s="47"/>
      <c r="B4504" s="47"/>
      <c r="C4504" s="47"/>
      <c r="D4504" s="47"/>
      <c r="E4504" s="47"/>
      <c r="F4504" s="47"/>
      <c r="G4504" s="47"/>
      <c r="H4504" s="47"/>
      <c r="I4504" s="47"/>
      <c r="J4504" s="1">
        <v>42.0</v>
      </c>
    </row>
    <row r="4505" ht="15.75" hidden="1" customHeight="1">
      <c r="A4505" s="47"/>
      <c r="B4505" s="47"/>
      <c r="C4505" s="47"/>
      <c r="D4505" s="47"/>
      <c r="E4505" s="47"/>
      <c r="F4505" s="47"/>
      <c r="G4505" s="47"/>
      <c r="H4505" s="47"/>
      <c r="I4505" s="47"/>
      <c r="J4505" s="1">
        <v>42.0</v>
      </c>
    </row>
    <row r="4506" ht="15.75" hidden="1" customHeight="1">
      <c r="A4506" s="47"/>
      <c r="B4506" s="47"/>
      <c r="C4506" s="47"/>
      <c r="D4506" s="47"/>
      <c r="E4506" s="47"/>
      <c r="F4506" s="47"/>
      <c r="G4506" s="47"/>
      <c r="H4506" s="47"/>
      <c r="I4506" s="47"/>
      <c r="J4506" s="1">
        <v>42.0</v>
      </c>
    </row>
    <row r="4507" ht="15.75" hidden="1" customHeight="1">
      <c r="A4507" s="47"/>
      <c r="B4507" s="47"/>
      <c r="C4507" s="47"/>
      <c r="D4507" s="47"/>
      <c r="E4507" s="47"/>
      <c r="F4507" s="47"/>
      <c r="G4507" s="47"/>
      <c r="H4507" s="47"/>
      <c r="I4507" s="47"/>
      <c r="J4507" s="1">
        <v>42.0</v>
      </c>
    </row>
    <row r="4508" ht="15.75" hidden="1" customHeight="1">
      <c r="A4508" s="47"/>
      <c r="B4508" s="47"/>
      <c r="C4508" s="47"/>
      <c r="D4508" s="47"/>
      <c r="E4508" s="47"/>
      <c r="F4508" s="47"/>
      <c r="G4508" s="47"/>
      <c r="H4508" s="47"/>
      <c r="I4508" s="47"/>
      <c r="J4508" s="1">
        <v>42.0</v>
      </c>
    </row>
    <row r="4509" ht="15.75" hidden="1" customHeight="1">
      <c r="A4509" s="47"/>
      <c r="B4509" s="47"/>
      <c r="C4509" s="47"/>
      <c r="D4509" s="47"/>
      <c r="E4509" s="47"/>
      <c r="F4509" s="47"/>
      <c r="G4509" s="47"/>
      <c r="H4509" s="47"/>
      <c r="I4509" s="47"/>
      <c r="J4509" s="1">
        <v>42.0</v>
      </c>
    </row>
    <row r="4510" ht="15.75" hidden="1" customHeight="1">
      <c r="A4510" s="47"/>
      <c r="B4510" s="47"/>
      <c r="C4510" s="47"/>
      <c r="D4510" s="47"/>
      <c r="E4510" s="47"/>
      <c r="F4510" s="47"/>
      <c r="G4510" s="47"/>
      <c r="H4510" s="47"/>
      <c r="I4510" s="47"/>
      <c r="J4510" s="1">
        <v>42.0</v>
      </c>
    </row>
    <row r="4511" ht="15.75" hidden="1" customHeight="1">
      <c r="A4511" s="47"/>
      <c r="B4511" s="47"/>
      <c r="C4511" s="47"/>
      <c r="D4511" s="47"/>
      <c r="E4511" s="47"/>
      <c r="F4511" s="47"/>
      <c r="G4511" s="47"/>
      <c r="H4511" s="47"/>
      <c r="I4511" s="47"/>
      <c r="J4511" s="1">
        <v>42.0</v>
      </c>
    </row>
    <row r="4512" ht="15.75" hidden="1" customHeight="1">
      <c r="A4512" s="47"/>
      <c r="B4512" s="47"/>
      <c r="C4512" s="47"/>
      <c r="D4512" s="47"/>
      <c r="E4512" s="47"/>
      <c r="F4512" s="47"/>
      <c r="G4512" s="47"/>
      <c r="H4512" s="47"/>
      <c r="I4512" s="47"/>
      <c r="J4512" s="1">
        <v>42.0</v>
      </c>
    </row>
    <row r="4513" ht="15.75" hidden="1" customHeight="1">
      <c r="A4513" s="47"/>
      <c r="B4513" s="47"/>
      <c r="C4513" s="47"/>
      <c r="D4513" s="47"/>
      <c r="E4513" s="47"/>
      <c r="F4513" s="47"/>
      <c r="G4513" s="47"/>
      <c r="H4513" s="47"/>
      <c r="I4513" s="47"/>
      <c r="J4513" s="1">
        <v>42.0</v>
      </c>
    </row>
    <row r="4514" ht="15.75" hidden="1" customHeight="1">
      <c r="A4514" s="47"/>
      <c r="B4514" s="47"/>
      <c r="C4514" s="47"/>
      <c r="D4514" s="47"/>
      <c r="E4514" s="47"/>
      <c r="F4514" s="47"/>
      <c r="G4514" s="47"/>
      <c r="H4514" s="47"/>
      <c r="I4514" s="47"/>
      <c r="J4514" s="1">
        <v>42.0</v>
      </c>
    </row>
    <row r="4515" ht="15.75" hidden="1" customHeight="1">
      <c r="A4515" s="47"/>
      <c r="B4515" s="47"/>
      <c r="C4515" s="47"/>
      <c r="D4515" s="47"/>
      <c r="E4515" s="47"/>
      <c r="F4515" s="47"/>
      <c r="G4515" s="47"/>
      <c r="H4515" s="47"/>
      <c r="I4515" s="47"/>
      <c r="J4515" s="1">
        <v>42.0</v>
      </c>
    </row>
    <row r="4516" ht="15.75" hidden="1" customHeight="1">
      <c r="A4516" s="47"/>
      <c r="B4516" s="47"/>
      <c r="C4516" s="47"/>
      <c r="D4516" s="47"/>
      <c r="E4516" s="47"/>
      <c r="F4516" s="47"/>
      <c r="G4516" s="47"/>
      <c r="H4516" s="47"/>
      <c r="I4516" s="47"/>
      <c r="J4516" s="1">
        <v>42.0</v>
      </c>
    </row>
    <row r="4517" ht="15.75" hidden="1" customHeight="1">
      <c r="A4517" s="47"/>
      <c r="B4517" s="47"/>
      <c r="C4517" s="47"/>
      <c r="D4517" s="47"/>
      <c r="E4517" s="47"/>
      <c r="F4517" s="47"/>
      <c r="G4517" s="47"/>
      <c r="H4517" s="47"/>
      <c r="I4517" s="47"/>
      <c r="J4517" s="1">
        <v>42.0</v>
      </c>
    </row>
    <row r="4518" ht="15.75" hidden="1" customHeight="1">
      <c r="A4518" s="47"/>
      <c r="B4518" s="47"/>
      <c r="C4518" s="47"/>
      <c r="D4518" s="47"/>
      <c r="E4518" s="47"/>
      <c r="F4518" s="47"/>
      <c r="G4518" s="47"/>
      <c r="H4518" s="47"/>
      <c r="I4518" s="47"/>
      <c r="J4518" s="1">
        <v>42.0</v>
      </c>
    </row>
    <row r="4519" ht="15.75" hidden="1" customHeight="1">
      <c r="A4519" s="47"/>
      <c r="B4519" s="47"/>
      <c r="C4519" s="47"/>
      <c r="D4519" s="47"/>
      <c r="E4519" s="47"/>
      <c r="F4519" s="47"/>
      <c r="G4519" s="47"/>
      <c r="H4519" s="47"/>
      <c r="I4519" s="47"/>
      <c r="J4519" s="1">
        <v>42.0</v>
      </c>
    </row>
    <row r="4520" ht="15.75" hidden="1" customHeight="1">
      <c r="A4520" s="47"/>
      <c r="B4520" s="47"/>
      <c r="C4520" s="47"/>
      <c r="D4520" s="47"/>
      <c r="E4520" s="47"/>
      <c r="F4520" s="47"/>
      <c r="G4520" s="47"/>
      <c r="H4520" s="47"/>
      <c r="I4520" s="47"/>
      <c r="J4520" s="1">
        <v>42.0</v>
      </c>
    </row>
    <row r="4521" ht="15.75" hidden="1" customHeight="1">
      <c r="A4521" s="47"/>
      <c r="B4521" s="47"/>
      <c r="C4521" s="47"/>
      <c r="D4521" s="47"/>
      <c r="E4521" s="47"/>
      <c r="F4521" s="47"/>
      <c r="G4521" s="47"/>
      <c r="H4521" s="47"/>
      <c r="I4521" s="47"/>
      <c r="J4521" s="1">
        <v>42.0</v>
      </c>
    </row>
    <row r="4522" ht="15.75" hidden="1" customHeight="1">
      <c r="A4522" s="47"/>
      <c r="B4522" s="47"/>
      <c r="C4522" s="47"/>
      <c r="D4522" s="47"/>
      <c r="E4522" s="47"/>
      <c r="F4522" s="47"/>
      <c r="G4522" s="47"/>
      <c r="H4522" s="47"/>
      <c r="I4522" s="47"/>
      <c r="J4522" s="1">
        <v>42.0</v>
      </c>
    </row>
    <row r="4523" ht="15.75" hidden="1" customHeight="1">
      <c r="A4523" s="47"/>
      <c r="B4523" s="47"/>
      <c r="C4523" s="47"/>
      <c r="D4523" s="47"/>
      <c r="E4523" s="47"/>
      <c r="F4523" s="47"/>
      <c r="G4523" s="47"/>
      <c r="H4523" s="47"/>
      <c r="I4523" s="47"/>
      <c r="J4523" s="1">
        <v>42.0</v>
      </c>
    </row>
    <row r="4524" ht="15.75" hidden="1" customHeight="1">
      <c r="A4524" s="47"/>
      <c r="B4524" s="47"/>
      <c r="C4524" s="47"/>
      <c r="D4524" s="47"/>
      <c r="E4524" s="47"/>
      <c r="F4524" s="47"/>
      <c r="G4524" s="47"/>
      <c r="H4524" s="47"/>
      <c r="I4524" s="47"/>
      <c r="J4524" s="1">
        <v>42.0</v>
      </c>
    </row>
    <row r="4525" ht="15.75" hidden="1" customHeight="1">
      <c r="A4525" s="47"/>
      <c r="B4525" s="47"/>
      <c r="C4525" s="47"/>
      <c r="D4525" s="47"/>
      <c r="E4525" s="47"/>
      <c r="F4525" s="47"/>
      <c r="G4525" s="47"/>
      <c r="H4525" s="47"/>
      <c r="I4525" s="47"/>
      <c r="J4525" s="1">
        <v>42.0</v>
      </c>
    </row>
    <row r="4526" ht="15.75" hidden="1" customHeight="1">
      <c r="A4526" s="47"/>
      <c r="B4526" s="47"/>
      <c r="C4526" s="47"/>
      <c r="D4526" s="47"/>
      <c r="E4526" s="47"/>
      <c r="F4526" s="47"/>
      <c r="G4526" s="47"/>
      <c r="H4526" s="47"/>
      <c r="I4526" s="47"/>
      <c r="J4526" s="1">
        <v>42.0</v>
      </c>
    </row>
    <row r="4527" ht="15.75" hidden="1" customHeight="1">
      <c r="A4527" s="47"/>
      <c r="B4527" s="47"/>
      <c r="C4527" s="47"/>
      <c r="D4527" s="47"/>
      <c r="E4527" s="47"/>
      <c r="F4527" s="47"/>
      <c r="G4527" s="47"/>
      <c r="H4527" s="47"/>
      <c r="I4527" s="47"/>
      <c r="J4527" s="1">
        <v>42.0</v>
      </c>
    </row>
    <row r="4528" ht="15.75" hidden="1" customHeight="1">
      <c r="A4528" s="47"/>
      <c r="B4528" s="47"/>
      <c r="C4528" s="47"/>
      <c r="D4528" s="47"/>
      <c r="E4528" s="47"/>
      <c r="F4528" s="47"/>
      <c r="G4528" s="47"/>
      <c r="H4528" s="47"/>
      <c r="I4528" s="47"/>
      <c r="J4528" s="1">
        <v>42.0</v>
      </c>
    </row>
    <row r="4529" ht="15.75" hidden="1" customHeight="1">
      <c r="A4529" s="47"/>
      <c r="B4529" s="47"/>
      <c r="C4529" s="47"/>
      <c r="D4529" s="47"/>
      <c r="E4529" s="47"/>
      <c r="F4529" s="47"/>
      <c r="G4529" s="47"/>
      <c r="H4529" s="47"/>
      <c r="I4529" s="47"/>
      <c r="J4529" s="1">
        <v>42.0</v>
      </c>
    </row>
    <row r="4530" ht="15.75" hidden="1" customHeight="1">
      <c r="A4530" s="47"/>
      <c r="B4530" s="47"/>
      <c r="C4530" s="47"/>
      <c r="D4530" s="47"/>
      <c r="E4530" s="47"/>
      <c r="F4530" s="47"/>
      <c r="G4530" s="47"/>
      <c r="H4530" s="47"/>
      <c r="I4530" s="47"/>
      <c r="J4530" s="1">
        <v>42.0</v>
      </c>
    </row>
    <row r="4531" ht="15.75" hidden="1" customHeight="1">
      <c r="A4531" s="47"/>
      <c r="B4531" s="47"/>
      <c r="C4531" s="47"/>
      <c r="D4531" s="47"/>
      <c r="E4531" s="47"/>
      <c r="F4531" s="47"/>
      <c r="G4531" s="47"/>
      <c r="H4531" s="47"/>
      <c r="I4531" s="47"/>
      <c r="J4531" s="1">
        <v>42.0</v>
      </c>
    </row>
    <row r="4532" ht="15.75" hidden="1" customHeight="1">
      <c r="A4532" s="47"/>
      <c r="B4532" s="47"/>
      <c r="C4532" s="47"/>
      <c r="D4532" s="47"/>
      <c r="E4532" s="47"/>
      <c r="F4532" s="47"/>
      <c r="G4532" s="47"/>
      <c r="H4532" s="47"/>
      <c r="I4532" s="47"/>
      <c r="J4532" s="1">
        <v>42.0</v>
      </c>
    </row>
    <row r="4533" ht="15.75" hidden="1" customHeight="1">
      <c r="A4533" s="47"/>
      <c r="B4533" s="47"/>
      <c r="C4533" s="47"/>
      <c r="D4533" s="47"/>
      <c r="E4533" s="47"/>
      <c r="F4533" s="47"/>
      <c r="G4533" s="47"/>
      <c r="H4533" s="47"/>
      <c r="I4533" s="47"/>
      <c r="J4533" s="1">
        <v>42.0</v>
      </c>
    </row>
    <row r="4534" ht="15.75" hidden="1" customHeight="1">
      <c r="A4534" s="47"/>
      <c r="B4534" s="47"/>
      <c r="C4534" s="47"/>
      <c r="D4534" s="47"/>
      <c r="E4534" s="47"/>
      <c r="F4534" s="47"/>
      <c r="G4534" s="47"/>
      <c r="H4534" s="47"/>
      <c r="I4534" s="47"/>
      <c r="J4534" s="1">
        <v>42.0</v>
      </c>
    </row>
    <row r="4535" ht="15.75" hidden="1" customHeight="1">
      <c r="A4535" s="47"/>
      <c r="B4535" s="47"/>
      <c r="C4535" s="47"/>
      <c r="D4535" s="47"/>
      <c r="E4535" s="47"/>
      <c r="F4535" s="47"/>
      <c r="G4535" s="47"/>
      <c r="H4535" s="47"/>
      <c r="I4535" s="47"/>
      <c r="J4535" s="1">
        <v>42.0</v>
      </c>
    </row>
    <row r="4536" ht="15.75" hidden="1" customHeight="1">
      <c r="A4536" s="47"/>
      <c r="B4536" s="47"/>
      <c r="C4536" s="47"/>
      <c r="D4536" s="47"/>
      <c r="E4536" s="47"/>
      <c r="F4536" s="47"/>
      <c r="G4536" s="47"/>
      <c r="H4536" s="47"/>
      <c r="I4536" s="47"/>
      <c r="J4536" s="1">
        <v>42.0</v>
      </c>
    </row>
    <row r="4537" ht="15.75" hidden="1" customHeight="1">
      <c r="A4537" s="47"/>
      <c r="B4537" s="47"/>
      <c r="C4537" s="47"/>
      <c r="D4537" s="47"/>
      <c r="E4537" s="47"/>
      <c r="F4537" s="47"/>
      <c r="G4537" s="47"/>
      <c r="H4537" s="47"/>
      <c r="I4537" s="47"/>
      <c r="J4537" s="1">
        <v>42.0</v>
      </c>
    </row>
    <row r="4538" ht="15.75" hidden="1" customHeight="1">
      <c r="A4538" s="47"/>
      <c r="B4538" s="47"/>
      <c r="C4538" s="47"/>
      <c r="D4538" s="47"/>
      <c r="E4538" s="47"/>
      <c r="F4538" s="47"/>
      <c r="G4538" s="47"/>
      <c r="H4538" s="47"/>
      <c r="I4538" s="47"/>
      <c r="J4538" s="1">
        <v>42.0</v>
      </c>
    </row>
    <row r="4539" ht="15.75" hidden="1" customHeight="1">
      <c r="A4539" s="47"/>
      <c r="B4539" s="47"/>
      <c r="C4539" s="47"/>
      <c r="D4539" s="47"/>
      <c r="E4539" s="47"/>
      <c r="F4539" s="47"/>
      <c r="G4539" s="47"/>
      <c r="H4539" s="47"/>
      <c r="I4539" s="47"/>
      <c r="J4539" s="1">
        <v>42.0</v>
      </c>
    </row>
    <row r="4540" ht="15.75" hidden="1" customHeight="1">
      <c r="A4540" s="47"/>
      <c r="B4540" s="47"/>
      <c r="C4540" s="47"/>
      <c r="D4540" s="47"/>
      <c r="E4540" s="47"/>
      <c r="F4540" s="47"/>
      <c r="G4540" s="47"/>
      <c r="H4540" s="47"/>
      <c r="I4540" s="47"/>
      <c r="J4540" s="1">
        <v>42.0</v>
      </c>
    </row>
    <row r="4541" ht="15.75" hidden="1" customHeight="1">
      <c r="A4541" s="47"/>
      <c r="B4541" s="47"/>
      <c r="C4541" s="47"/>
      <c r="D4541" s="47"/>
      <c r="E4541" s="47"/>
      <c r="F4541" s="47"/>
      <c r="G4541" s="47"/>
      <c r="H4541" s="47"/>
      <c r="I4541" s="47"/>
      <c r="J4541" s="1">
        <v>42.0</v>
      </c>
    </row>
    <row r="4542" ht="15.75" hidden="1" customHeight="1">
      <c r="A4542" s="47"/>
      <c r="B4542" s="47"/>
      <c r="C4542" s="47"/>
      <c r="D4542" s="47"/>
      <c r="E4542" s="47"/>
      <c r="F4542" s="47"/>
      <c r="G4542" s="47"/>
      <c r="H4542" s="47"/>
      <c r="I4542" s="47"/>
      <c r="J4542" s="1">
        <v>42.0</v>
      </c>
    </row>
    <row r="4543" ht="15.75" hidden="1" customHeight="1">
      <c r="A4543" s="47"/>
      <c r="B4543" s="47"/>
      <c r="C4543" s="47"/>
      <c r="D4543" s="47"/>
      <c r="E4543" s="47"/>
      <c r="F4543" s="47"/>
      <c r="G4543" s="47"/>
      <c r="H4543" s="47"/>
      <c r="I4543" s="47"/>
      <c r="J4543" s="1">
        <v>42.0</v>
      </c>
    </row>
    <row r="4544" ht="15.75" hidden="1" customHeight="1">
      <c r="A4544" s="47"/>
      <c r="B4544" s="47"/>
      <c r="C4544" s="47"/>
      <c r="D4544" s="47"/>
      <c r="E4544" s="47"/>
      <c r="F4544" s="47"/>
      <c r="G4544" s="47"/>
      <c r="H4544" s="47"/>
      <c r="I4544" s="47"/>
      <c r="J4544" s="1">
        <v>42.0</v>
      </c>
    </row>
    <row r="4545" ht="15.75" hidden="1" customHeight="1">
      <c r="A4545" s="47"/>
      <c r="B4545" s="47"/>
      <c r="C4545" s="47"/>
      <c r="D4545" s="47"/>
      <c r="E4545" s="47"/>
      <c r="F4545" s="47"/>
      <c r="G4545" s="47"/>
      <c r="H4545" s="47"/>
      <c r="I4545" s="47"/>
      <c r="J4545" s="1">
        <v>42.0</v>
      </c>
    </row>
    <row r="4546" ht="15.75" hidden="1" customHeight="1">
      <c r="A4546" s="47"/>
      <c r="B4546" s="47"/>
      <c r="C4546" s="47"/>
      <c r="D4546" s="47"/>
      <c r="E4546" s="47"/>
      <c r="F4546" s="47"/>
      <c r="G4546" s="47"/>
      <c r="H4546" s="47"/>
      <c r="I4546" s="47"/>
      <c r="J4546" s="1">
        <v>42.0</v>
      </c>
    </row>
    <row r="4547" ht="15.75" hidden="1" customHeight="1">
      <c r="A4547" s="47"/>
      <c r="B4547" s="47"/>
      <c r="C4547" s="47"/>
      <c r="D4547" s="47"/>
      <c r="E4547" s="47"/>
      <c r="F4547" s="47"/>
      <c r="G4547" s="47"/>
      <c r="H4547" s="47"/>
      <c r="I4547" s="47"/>
      <c r="J4547" s="1">
        <v>42.0</v>
      </c>
    </row>
    <row r="4548" ht="15.75" hidden="1" customHeight="1">
      <c r="A4548" s="47"/>
      <c r="B4548" s="47"/>
      <c r="C4548" s="47"/>
      <c r="D4548" s="47"/>
      <c r="E4548" s="47"/>
      <c r="F4548" s="47"/>
      <c r="G4548" s="47"/>
      <c r="H4548" s="47"/>
      <c r="I4548" s="47"/>
      <c r="J4548" s="1">
        <v>42.0</v>
      </c>
    </row>
    <row r="4549" ht="15.75" hidden="1" customHeight="1">
      <c r="A4549" s="47"/>
      <c r="B4549" s="47"/>
      <c r="C4549" s="47"/>
      <c r="D4549" s="47"/>
      <c r="E4549" s="47"/>
      <c r="F4549" s="47"/>
      <c r="G4549" s="47"/>
      <c r="H4549" s="47"/>
      <c r="I4549" s="47"/>
      <c r="J4549" s="1">
        <v>42.0</v>
      </c>
    </row>
    <row r="4550" ht="15.75" hidden="1" customHeight="1">
      <c r="A4550" s="47"/>
      <c r="B4550" s="47"/>
      <c r="C4550" s="47"/>
      <c r="D4550" s="47"/>
      <c r="E4550" s="47"/>
      <c r="F4550" s="47"/>
      <c r="G4550" s="47"/>
      <c r="H4550" s="47"/>
      <c r="I4550" s="47"/>
      <c r="J4550" s="1">
        <v>42.0</v>
      </c>
    </row>
    <row r="4551" ht="15.75" hidden="1" customHeight="1">
      <c r="A4551" s="47"/>
      <c r="B4551" s="47"/>
      <c r="C4551" s="47"/>
      <c r="D4551" s="47"/>
      <c r="E4551" s="47"/>
      <c r="F4551" s="47"/>
      <c r="G4551" s="47"/>
      <c r="H4551" s="47"/>
      <c r="I4551" s="47"/>
      <c r="J4551" s="1">
        <v>42.0</v>
      </c>
    </row>
    <row r="4552" ht="15.75" hidden="1" customHeight="1">
      <c r="A4552" s="47"/>
      <c r="B4552" s="47"/>
      <c r="C4552" s="47"/>
      <c r="D4552" s="47"/>
      <c r="E4552" s="47"/>
      <c r="F4552" s="47"/>
      <c r="G4552" s="47"/>
      <c r="H4552" s="47"/>
      <c r="I4552" s="47"/>
      <c r="J4552" s="1">
        <v>42.0</v>
      </c>
    </row>
    <row r="4553" ht="15.75" hidden="1" customHeight="1">
      <c r="A4553" s="47"/>
      <c r="B4553" s="47"/>
      <c r="C4553" s="47"/>
      <c r="D4553" s="47"/>
      <c r="E4553" s="47"/>
      <c r="F4553" s="47"/>
      <c r="G4553" s="47"/>
      <c r="H4553" s="47"/>
      <c r="I4553" s="47"/>
      <c r="J4553" s="1">
        <v>42.0</v>
      </c>
    </row>
    <row r="4554" ht="15.75" hidden="1" customHeight="1">
      <c r="A4554" s="47"/>
      <c r="B4554" s="47"/>
      <c r="C4554" s="47"/>
      <c r="D4554" s="47"/>
      <c r="E4554" s="47"/>
      <c r="F4554" s="47"/>
      <c r="G4554" s="47"/>
      <c r="H4554" s="47"/>
      <c r="I4554" s="47"/>
      <c r="J4554" s="1">
        <v>42.0</v>
      </c>
    </row>
    <row r="4555" ht="15.75" hidden="1" customHeight="1">
      <c r="A4555" s="47"/>
      <c r="B4555" s="47"/>
      <c r="C4555" s="47"/>
      <c r="D4555" s="47"/>
      <c r="E4555" s="47"/>
      <c r="F4555" s="47"/>
      <c r="G4555" s="47"/>
      <c r="H4555" s="47"/>
      <c r="I4555" s="47"/>
      <c r="J4555" s="1">
        <v>42.0</v>
      </c>
    </row>
    <row r="4556" ht="15.75" hidden="1" customHeight="1">
      <c r="A4556" s="47"/>
      <c r="B4556" s="47"/>
      <c r="C4556" s="47"/>
      <c r="D4556" s="47"/>
      <c r="E4556" s="47"/>
      <c r="F4556" s="47"/>
      <c r="G4556" s="47"/>
      <c r="H4556" s="47"/>
      <c r="I4556" s="47"/>
      <c r="J4556" s="1">
        <v>42.0</v>
      </c>
    </row>
    <row r="4557" ht="15.75" hidden="1" customHeight="1">
      <c r="A4557" s="47"/>
      <c r="B4557" s="47"/>
      <c r="C4557" s="47"/>
      <c r="D4557" s="47"/>
      <c r="E4557" s="47"/>
      <c r="F4557" s="47"/>
      <c r="G4557" s="47"/>
      <c r="H4557" s="47"/>
      <c r="I4557" s="47"/>
      <c r="J4557" s="1">
        <v>42.0</v>
      </c>
    </row>
    <row r="4558" ht="15.75" hidden="1" customHeight="1">
      <c r="A4558" s="47"/>
      <c r="B4558" s="47"/>
      <c r="C4558" s="47"/>
      <c r="D4558" s="47"/>
      <c r="E4558" s="47"/>
      <c r="F4558" s="47"/>
      <c r="G4558" s="47"/>
      <c r="H4558" s="47"/>
      <c r="I4558" s="47"/>
      <c r="J4558" s="1">
        <v>42.0</v>
      </c>
    </row>
    <row r="4559" ht="15.75" hidden="1" customHeight="1">
      <c r="A4559" s="47"/>
      <c r="B4559" s="47"/>
      <c r="C4559" s="47"/>
      <c r="D4559" s="47"/>
      <c r="E4559" s="47"/>
      <c r="F4559" s="47"/>
      <c r="G4559" s="47"/>
      <c r="H4559" s="47"/>
      <c r="I4559" s="47"/>
      <c r="J4559" s="1">
        <v>42.0</v>
      </c>
    </row>
    <row r="4560" ht="15.75" hidden="1" customHeight="1">
      <c r="A4560" s="47"/>
      <c r="B4560" s="47"/>
      <c r="C4560" s="47"/>
      <c r="D4560" s="47"/>
      <c r="E4560" s="47"/>
      <c r="F4560" s="47"/>
      <c r="G4560" s="47"/>
      <c r="H4560" s="47"/>
      <c r="I4560" s="47"/>
      <c r="J4560" s="1">
        <v>42.0</v>
      </c>
    </row>
    <row r="4561" ht="15.75" hidden="1" customHeight="1">
      <c r="A4561" s="47"/>
      <c r="B4561" s="47"/>
      <c r="C4561" s="47"/>
      <c r="D4561" s="47"/>
      <c r="E4561" s="47"/>
      <c r="F4561" s="47"/>
      <c r="G4561" s="47"/>
      <c r="H4561" s="47"/>
      <c r="I4561" s="47"/>
      <c r="J4561" s="1">
        <v>42.0</v>
      </c>
    </row>
    <row r="4562" ht="15.75" hidden="1" customHeight="1">
      <c r="A4562" s="47"/>
      <c r="B4562" s="47"/>
      <c r="C4562" s="47"/>
      <c r="D4562" s="47"/>
      <c r="E4562" s="47"/>
      <c r="F4562" s="47"/>
      <c r="G4562" s="47"/>
      <c r="H4562" s="47"/>
      <c r="I4562" s="47"/>
      <c r="J4562" s="1">
        <v>42.0</v>
      </c>
    </row>
    <row r="4563" ht="15.75" hidden="1" customHeight="1">
      <c r="A4563" s="47"/>
      <c r="B4563" s="47"/>
      <c r="C4563" s="47"/>
      <c r="D4563" s="47"/>
      <c r="E4563" s="47"/>
      <c r="F4563" s="47"/>
      <c r="G4563" s="47"/>
      <c r="H4563" s="47"/>
      <c r="I4563" s="47"/>
      <c r="J4563" s="1">
        <v>42.0</v>
      </c>
    </row>
    <row r="4564" ht="15.75" hidden="1" customHeight="1">
      <c r="A4564" s="47"/>
      <c r="B4564" s="47"/>
      <c r="C4564" s="47"/>
      <c r="D4564" s="47"/>
      <c r="E4564" s="47"/>
      <c r="F4564" s="47"/>
      <c r="G4564" s="47"/>
      <c r="H4564" s="47"/>
      <c r="I4564" s="47"/>
      <c r="J4564" s="1">
        <v>42.0</v>
      </c>
    </row>
    <row r="4565" ht="15.75" hidden="1" customHeight="1">
      <c r="A4565" s="47"/>
      <c r="B4565" s="47"/>
      <c r="C4565" s="47"/>
      <c r="D4565" s="47"/>
      <c r="E4565" s="47"/>
      <c r="F4565" s="47"/>
      <c r="G4565" s="47"/>
      <c r="H4565" s="47"/>
      <c r="I4565" s="47"/>
      <c r="J4565" s="1">
        <v>42.0</v>
      </c>
    </row>
    <row r="4566" ht="15.75" hidden="1" customHeight="1">
      <c r="A4566" s="47"/>
      <c r="B4566" s="47"/>
      <c r="C4566" s="47"/>
      <c r="D4566" s="47"/>
      <c r="E4566" s="47"/>
      <c r="F4566" s="47"/>
      <c r="G4566" s="47"/>
      <c r="H4566" s="47"/>
      <c r="I4566" s="47"/>
      <c r="J4566" s="1">
        <v>42.0</v>
      </c>
    </row>
    <row r="4567" ht="15.75" hidden="1" customHeight="1">
      <c r="A4567" s="47"/>
      <c r="B4567" s="47"/>
      <c r="C4567" s="47"/>
      <c r="D4567" s="47"/>
      <c r="E4567" s="47"/>
      <c r="F4567" s="47"/>
      <c r="G4567" s="47"/>
      <c r="H4567" s="47"/>
      <c r="I4567" s="47"/>
      <c r="J4567" s="1">
        <v>42.0</v>
      </c>
    </row>
    <row r="4568" ht="15.75" hidden="1" customHeight="1">
      <c r="A4568" s="47"/>
      <c r="B4568" s="47"/>
      <c r="C4568" s="47"/>
      <c r="D4568" s="47"/>
      <c r="E4568" s="47"/>
      <c r="F4568" s="47"/>
      <c r="G4568" s="47"/>
      <c r="H4568" s="47"/>
      <c r="I4568" s="47"/>
      <c r="J4568" s="1">
        <v>42.0</v>
      </c>
    </row>
    <row r="4569" ht="15.75" hidden="1" customHeight="1">
      <c r="A4569" s="47"/>
      <c r="B4569" s="47"/>
      <c r="C4569" s="47"/>
      <c r="D4569" s="47"/>
      <c r="E4569" s="47"/>
      <c r="F4569" s="47"/>
      <c r="G4569" s="47"/>
      <c r="H4569" s="47"/>
      <c r="I4569" s="47"/>
      <c r="J4569" s="1">
        <v>42.0</v>
      </c>
    </row>
    <row r="4570" ht="15.75" hidden="1" customHeight="1">
      <c r="A4570" s="47"/>
      <c r="B4570" s="47"/>
      <c r="C4570" s="47"/>
      <c r="D4570" s="47"/>
      <c r="E4570" s="47"/>
      <c r="F4570" s="47"/>
      <c r="G4570" s="47"/>
      <c r="H4570" s="47"/>
      <c r="I4570" s="47"/>
      <c r="J4570" s="1">
        <v>42.0</v>
      </c>
    </row>
    <row r="4571" ht="15.75" hidden="1" customHeight="1">
      <c r="A4571" s="47"/>
      <c r="B4571" s="47"/>
      <c r="C4571" s="47"/>
      <c r="D4571" s="47"/>
      <c r="E4571" s="47"/>
      <c r="F4571" s="47"/>
      <c r="G4571" s="47"/>
      <c r="H4571" s="47"/>
      <c r="I4571" s="47"/>
      <c r="J4571" s="1">
        <v>42.0</v>
      </c>
    </row>
    <row r="4572" ht="15.75" hidden="1" customHeight="1">
      <c r="A4572" s="47"/>
      <c r="B4572" s="47"/>
      <c r="C4572" s="47"/>
      <c r="D4572" s="47"/>
      <c r="E4572" s="47"/>
      <c r="F4572" s="47"/>
      <c r="G4572" s="47"/>
      <c r="H4572" s="47"/>
      <c r="I4572" s="47"/>
      <c r="J4572" s="1">
        <v>42.0</v>
      </c>
    </row>
    <row r="4573" ht="15.75" hidden="1" customHeight="1">
      <c r="A4573" s="47"/>
      <c r="B4573" s="47"/>
      <c r="C4573" s="47"/>
      <c r="D4573" s="47"/>
      <c r="E4573" s="47"/>
      <c r="F4573" s="47"/>
      <c r="G4573" s="47"/>
      <c r="H4573" s="47"/>
      <c r="I4573" s="47"/>
      <c r="J4573" s="1">
        <v>42.0</v>
      </c>
    </row>
    <row r="4574" ht="15.75" hidden="1" customHeight="1">
      <c r="A4574" s="47"/>
      <c r="B4574" s="47"/>
      <c r="C4574" s="47"/>
      <c r="D4574" s="47"/>
      <c r="E4574" s="47"/>
      <c r="F4574" s="47"/>
      <c r="G4574" s="47"/>
      <c r="H4574" s="47"/>
      <c r="I4574" s="47"/>
      <c r="J4574" s="1">
        <v>42.0</v>
      </c>
    </row>
    <row r="4575" ht="15.75" hidden="1" customHeight="1">
      <c r="A4575" s="47"/>
      <c r="B4575" s="47"/>
      <c r="C4575" s="47"/>
      <c r="D4575" s="47"/>
      <c r="E4575" s="47"/>
      <c r="F4575" s="47"/>
      <c r="G4575" s="47"/>
      <c r="H4575" s="47"/>
      <c r="I4575" s="47"/>
      <c r="J4575" s="1">
        <v>42.0</v>
      </c>
    </row>
    <row r="4576" ht="15.75" hidden="1" customHeight="1">
      <c r="A4576" s="47"/>
      <c r="B4576" s="47"/>
      <c r="C4576" s="47"/>
      <c r="D4576" s="47"/>
      <c r="E4576" s="47"/>
      <c r="F4576" s="47"/>
      <c r="G4576" s="47"/>
      <c r="H4576" s="47"/>
      <c r="I4576" s="47"/>
      <c r="J4576" s="1">
        <v>42.0</v>
      </c>
    </row>
    <row r="4577" ht="15.75" hidden="1" customHeight="1">
      <c r="A4577" s="47"/>
      <c r="B4577" s="47"/>
      <c r="C4577" s="47"/>
      <c r="D4577" s="47"/>
      <c r="E4577" s="47"/>
      <c r="F4577" s="47"/>
      <c r="G4577" s="47"/>
      <c r="H4577" s="47"/>
      <c r="I4577" s="47"/>
      <c r="J4577" s="1">
        <v>42.0</v>
      </c>
    </row>
    <row r="4578" ht="15.75" hidden="1" customHeight="1">
      <c r="A4578" s="47"/>
      <c r="B4578" s="47"/>
      <c r="C4578" s="47"/>
      <c r="D4578" s="47"/>
      <c r="E4578" s="47"/>
      <c r="F4578" s="47"/>
      <c r="G4578" s="47"/>
      <c r="H4578" s="47"/>
      <c r="I4578" s="47"/>
      <c r="J4578" s="1">
        <v>42.0</v>
      </c>
    </row>
    <row r="4579" ht="15.75" hidden="1" customHeight="1">
      <c r="A4579" s="47"/>
      <c r="B4579" s="47"/>
      <c r="C4579" s="47"/>
      <c r="D4579" s="47"/>
      <c r="E4579" s="47"/>
      <c r="F4579" s="47"/>
      <c r="G4579" s="47"/>
      <c r="H4579" s="47"/>
      <c r="I4579" s="47"/>
      <c r="J4579" s="1">
        <v>42.0</v>
      </c>
    </row>
    <row r="4580" ht="15.75" hidden="1" customHeight="1">
      <c r="A4580" s="47"/>
      <c r="B4580" s="47"/>
      <c r="C4580" s="47"/>
      <c r="D4580" s="47"/>
      <c r="E4580" s="47"/>
      <c r="F4580" s="47"/>
      <c r="G4580" s="47"/>
      <c r="H4580" s="47"/>
      <c r="I4580" s="47"/>
      <c r="J4580" s="1">
        <v>42.0</v>
      </c>
    </row>
    <row r="4581" ht="15.75" hidden="1" customHeight="1">
      <c r="A4581" s="47"/>
      <c r="B4581" s="47"/>
      <c r="C4581" s="47"/>
      <c r="D4581" s="47"/>
      <c r="E4581" s="47"/>
      <c r="F4581" s="47"/>
      <c r="G4581" s="47"/>
      <c r="H4581" s="47"/>
      <c r="I4581" s="47"/>
      <c r="J4581" s="1">
        <v>42.0</v>
      </c>
    </row>
    <row r="4582" ht="15.75" hidden="1" customHeight="1">
      <c r="A4582" s="47"/>
      <c r="B4582" s="47"/>
      <c r="C4582" s="47"/>
      <c r="D4582" s="47"/>
      <c r="E4582" s="47"/>
      <c r="F4582" s="47"/>
      <c r="G4582" s="47"/>
      <c r="H4582" s="47"/>
      <c r="I4582" s="47"/>
      <c r="J4582" s="1">
        <v>42.0</v>
      </c>
    </row>
    <row r="4583" ht="15.75" hidden="1" customHeight="1">
      <c r="A4583" s="47"/>
      <c r="B4583" s="47"/>
      <c r="C4583" s="47"/>
      <c r="D4583" s="47"/>
      <c r="E4583" s="47"/>
      <c r="F4583" s="47"/>
      <c r="G4583" s="47"/>
      <c r="H4583" s="47"/>
      <c r="I4583" s="47"/>
      <c r="J4583" s="1">
        <v>42.0</v>
      </c>
    </row>
    <row r="4584" ht="15.75" hidden="1" customHeight="1">
      <c r="A4584" s="47"/>
      <c r="B4584" s="47"/>
      <c r="C4584" s="47"/>
      <c r="D4584" s="47"/>
      <c r="E4584" s="47"/>
      <c r="F4584" s="47"/>
      <c r="G4584" s="47"/>
      <c r="H4584" s="47"/>
      <c r="I4584" s="47"/>
      <c r="J4584" s="1">
        <v>42.0</v>
      </c>
    </row>
    <row r="4585" ht="15.75" hidden="1" customHeight="1">
      <c r="A4585" s="47"/>
      <c r="B4585" s="47"/>
      <c r="C4585" s="47"/>
      <c r="D4585" s="47"/>
      <c r="E4585" s="47"/>
      <c r="F4585" s="47"/>
      <c r="G4585" s="47"/>
      <c r="H4585" s="47"/>
      <c r="I4585" s="47"/>
      <c r="J4585" s="1">
        <v>42.0</v>
      </c>
    </row>
    <row r="4586" ht="15.75" hidden="1" customHeight="1">
      <c r="A4586" s="47"/>
      <c r="B4586" s="47"/>
      <c r="C4586" s="47"/>
      <c r="D4586" s="47"/>
      <c r="E4586" s="47"/>
      <c r="F4586" s="47"/>
      <c r="G4586" s="47"/>
      <c r="H4586" s="47"/>
      <c r="I4586" s="47"/>
      <c r="J4586" s="1">
        <v>42.0</v>
      </c>
    </row>
    <row r="4587" ht="15.75" hidden="1" customHeight="1">
      <c r="A4587" s="47"/>
      <c r="B4587" s="47"/>
      <c r="C4587" s="47"/>
      <c r="D4587" s="47"/>
      <c r="E4587" s="47"/>
      <c r="F4587" s="47"/>
      <c r="G4587" s="47"/>
      <c r="H4587" s="47"/>
      <c r="I4587" s="47"/>
      <c r="J4587" s="1">
        <v>42.0</v>
      </c>
    </row>
    <row r="4588" ht="15.75" hidden="1" customHeight="1">
      <c r="A4588" s="47"/>
      <c r="B4588" s="47"/>
      <c r="C4588" s="47"/>
      <c r="D4588" s="47"/>
      <c r="E4588" s="47"/>
      <c r="F4588" s="47"/>
      <c r="G4588" s="47"/>
      <c r="H4588" s="47"/>
      <c r="I4588" s="47"/>
      <c r="J4588" s="1">
        <v>42.0</v>
      </c>
    </row>
    <row r="4589" ht="15.75" hidden="1" customHeight="1">
      <c r="A4589" s="47"/>
      <c r="B4589" s="47"/>
      <c r="C4589" s="47"/>
      <c r="D4589" s="47"/>
      <c r="E4589" s="47"/>
      <c r="F4589" s="47"/>
      <c r="G4589" s="47"/>
      <c r="H4589" s="47"/>
      <c r="I4589" s="47"/>
      <c r="J4589" s="1">
        <v>42.0</v>
      </c>
    </row>
    <row r="4590" ht="15.75" hidden="1" customHeight="1">
      <c r="A4590" s="47"/>
      <c r="B4590" s="47"/>
      <c r="C4590" s="47"/>
      <c r="D4590" s="47"/>
      <c r="E4590" s="47"/>
      <c r="F4590" s="47"/>
      <c r="G4590" s="47"/>
      <c r="H4590" s="47"/>
      <c r="I4590" s="47"/>
      <c r="J4590" s="1">
        <v>42.0</v>
      </c>
    </row>
    <row r="4591" ht="15.75" hidden="1" customHeight="1">
      <c r="A4591" s="47"/>
      <c r="B4591" s="47"/>
      <c r="C4591" s="47"/>
      <c r="D4591" s="47"/>
      <c r="E4591" s="47"/>
      <c r="F4591" s="47"/>
      <c r="G4591" s="47"/>
      <c r="H4591" s="47"/>
      <c r="I4591" s="47"/>
      <c r="J4591" s="1">
        <v>42.0</v>
      </c>
    </row>
    <row r="4592" ht="15.75" hidden="1" customHeight="1">
      <c r="A4592" s="47"/>
      <c r="B4592" s="47"/>
      <c r="C4592" s="47"/>
      <c r="D4592" s="47"/>
      <c r="E4592" s="47"/>
      <c r="F4592" s="47"/>
      <c r="G4592" s="47"/>
      <c r="H4592" s="47"/>
      <c r="I4592" s="47"/>
      <c r="J4592" s="1">
        <v>42.0</v>
      </c>
    </row>
    <row r="4593" ht="15.75" hidden="1" customHeight="1">
      <c r="A4593" s="47"/>
      <c r="B4593" s="47"/>
      <c r="C4593" s="47"/>
      <c r="D4593" s="47"/>
      <c r="E4593" s="47"/>
      <c r="F4593" s="47"/>
      <c r="G4593" s="47"/>
      <c r="H4593" s="47"/>
      <c r="I4593" s="47"/>
      <c r="J4593" s="1">
        <v>42.0</v>
      </c>
    </row>
    <row r="4594" ht="15.75" hidden="1" customHeight="1">
      <c r="A4594" s="47"/>
      <c r="B4594" s="47"/>
      <c r="C4594" s="47"/>
      <c r="D4594" s="47"/>
      <c r="E4594" s="47"/>
      <c r="F4594" s="47"/>
      <c r="G4594" s="47"/>
      <c r="H4594" s="47"/>
      <c r="I4594" s="47"/>
      <c r="J4594" s="1">
        <v>42.0</v>
      </c>
    </row>
    <row r="4595" ht="15.75" hidden="1" customHeight="1">
      <c r="A4595" s="47"/>
      <c r="B4595" s="47"/>
      <c r="C4595" s="47"/>
      <c r="D4595" s="47"/>
      <c r="E4595" s="47"/>
      <c r="F4595" s="47"/>
      <c r="G4595" s="47"/>
      <c r="H4595" s="47"/>
      <c r="I4595" s="47"/>
      <c r="J4595" s="1">
        <v>42.0</v>
      </c>
    </row>
    <row r="4596" ht="15.75" hidden="1" customHeight="1">
      <c r="A4596" s="47"/>
      <c r="B4596" s="47"/>
      <c r="C4596" s="47"/>
      <c r="D4596" s="47"/>
      <c r="E4596" s="47"/>
      <c r="F4596" s="47"/>
      <c r="G4596" s="47"/>
      <c r="H4596" s="47"/>
      <c r="I4596" s="47"/>
      <c r="J4596" s="1">
        <v>42.0</v>
      </c>
    </row>
    <row r="4597" ht="15.75" hidden="1" customHeight="1">
      <c r="A4597" s="47"/>
      <c r="B4597" s="47"/>
      <c r="C4597" s="47"/>
      <c r="D4597" s="47"/>
      <c r="E4597" s="47"/>
      <c r="F4597" s="47"/>
      <c r="G4597" s="47"/>
      <c r="H4597" s="47"/>
      <c r="I4597" s="47"/>
      <c r="J4597" s="1">
        <v>42.0</v>
      </c>
    </row>
    <row r="4598" ht="15.75" hidden="1" customHeight="1">
      <c r="A4598" s="47"/>
      <c r="B4598" s="47"/>
      <c r="C4598" s="47"/>
      <c r="D4598" s="47"/>
      <c r="E4598" s="47"/>
      <c r="F4598" s="47"/>
      <c r="G4598" s="47"/>
      <c r="H4598" s="47"/>
      <c r="I4598" s="47"/>
      <c r="J4598" s="1">
        <v>42.0</v>
      </c>
    </row>
    <row r="4599" ht="15.75" hidden="1" customHeight="1">
      <c r="A4599" s="47"/>
      <c r="B4599" s="47"/>
      <c r="C4599" s="47"/>
      <c r="D4599" s="47"/>
      <c r="E4599" s="47"/>
      <c r="F4599" s="47"/>
      <c r="G4599" s="47"/>
      <c r="H4599" s="47"/>
      <c r="I4599" s="47"/>
      <c r="J4599" s="1">
        <v>42.0</v>
      </c>
    </row>
    <row r="4600" ht="15.75" hidden="1" customHeight="1">
      <c r="A4600" s="47"/>
      <c r="B4600" s="47"/>
      <c r="C4600" s="47"/>
      <c r="D4600" s="47"/>
      <c r="E4600" s="47"/>
      <c r="F4600" s="47"/>
      <c r="G4600" s="47"/>
      <c r="H4600" s="47"/>
      <c r="I4600" s="47"/>
      <c r="J4600" s="1">
        <v>42.0</v>
      </c>
    </row>
    <row r="4601" ht="15.75" hidden="1" customHeight="1">
      <c r="A4601" s="47"/>
      <c r="B4601" s="47"/>
      <c r="C4601" s="47"/>
      <c r="D4601" s="47"/>
      <c r="E4601" s="47"/>
      <c r="F4601" s="47"/>
      <c r="G4601" s="47"/>
      <c r="H4601" s="47"/>
      <c r="I4601" s="47"/>
      <c r="J4601" s="1">
        <v>42.0</v>
      </c>
    </row>
    <row r="4602" ht="15.75" hidden="1" customHeight="1">
      <c r="A4602" s="47"/>
      <c r="B4602" s="47"/>
      <c r="C4602" s="47"/>
      <c r="D4602" s="47"/>
      <c r="E4602" s="47"/>
      <c r="F4602" s="47"/>
      <c r="G4602" s="47"/>
      <c r="H4602" s="47"/>
      <c r="I4602" s="47"/>
      <c r="J4602" s="1">
        <v>42.0</v>
      </c>
    </row>
    <row r="4603" ht="15.75" hidden="1" customHeight="1">
      <c r="A4603" s="47"/>
      <c r="B4603" s="47"/>
      <c r="C4603" s="47"/>
      <c r="D4603" s="47"/>
      <c r="E4603" s="47"/>
      <c r="F4603" s="47"/>
      <c r="G4603" s="47"/>
      <c r="H4603" s="47"/>
      <c r="I4603" s="47"/>
      <c r="J4603" s="1">
        <v>42.0</v>
      </c>
    </row>
    <row r="4604" ht="15.75" hidden="1" customHeight="1">
      <c r="A4604" s="47"/>
      <c r="B4604" s="47"/>
      <c r="C4604" s="47"/>
      <c r="D4604" s="47"/>
      <c r="E4604" s="47"/>
      <c r="F4604" s="47"/>
      <c r="G4604" s="47"/>
      <c r="H4604" s="47"/>
      <c r="I4604" s="47"/>
      <c r="J4604" s="1">
        <v>42.0</v>
      </c>
    </row>
    <row r="4605" ht="15.75" hidden="1" customHeight="1">
      <c r="A4605" s="47"/>
      <c r="B4605" s="47"/>
      <c r="C4605" s="47"/>
      <c r="D4605" s="47"/>
      <c r="E4605" s="47"/>
      <c r="F4605" s="47"/>
      <c r="G4605" s="47"/>
      <c r="H4605" s="47"/>
      <c r="I4605" s="47"/>
      <c r="J4605" s="1">
        <v>42.0</v>
      </c>
    </row>
    <row r="4606" ht="15.75" hidden="1" customHeight="1">
      <c r="A4606" s="47"/>
      <c r="B4606" s="47"/>
      <c r="C4606" s="47"/>
      <c r="D4606" s="47"/>
      <c r="E4606" s="47"/>
      <c r="F4606" s="47"/>
      <c r="G4606" s="47"/>
      <c r="H4606" s="47"/>
      <c r="I4606" s="47"/>
      <c r="J4606" s="1">
        <v>42.0</v>
      </c>
    </row>
    <row r="4607" ht="15.75" hidden="1" customHeight="1">
      <c r="A4607" s="47"/>
      <c r="B4607" s="47"/>
      <c r="C4607" s="47"/>
      <c r="D4607" s="47"/>
      <c r="E4607" s="47"/>
      <c r="F4607" s="47"/>
      <c r="G4607" s="47"/>
      <c r="H4607" s="47"/>
      <c r="I4607" s="47"/>
      <c r="J4607" s="1">
        <v>42.0</v>
      </c>
    </row>
    <row r="4608" ht="15.75" hidden="1" customHeight="1">
      <c r="A4608" s="47"/>
      <c r="B4608" s="47"/>
      <c r="C4608" s="47"/>
      <c r="D4608" s="47"/>
      <c r="E4608" s="47"/>
      <c r="F4608" s="47"/>
      <c r="G4608" s="47"/>
      <c r="H4608" s="47"/>
      <c r="I4608" s="47"/>
      <c r="J4608" s="1">
        <v>42.0</v>
      </c>
    </row>
    <row r="4609" ht="15.75" hidden="1" customHeight="1">
      <c r="A4609" s="47"/>
      <c r="B4609" s="47"/>
      <c r="C4609" s="47"/>
      <c r="D4609" s="47"/>
      <c r="E4609" s="47"/>
      <c r="F4609" s="47"/>
      <c r="G4609" s="47"/>
      <c r="H4609" s="47"/>
      <c r="I4609" s="47"/>
      <c r="J4609" s="1">
        <v>42.0</v>
      </c>
    </row>
    <row r="4610" ht="15.75" hidden="1" customHeight="1">
      <c r="A4610" s="47"/>
      <c r="B4610" s="47"/>
      <c r="C4610" s="47"/>
      <c r="D4610" s="47"/>
      <c r="E4610" s="47"/>
      <c r="F4610" s="47"/>
      <c r="G4610" s="47"/>
      <c r="H4610" s="47"/>
      <c r="I4610" s="47"/>
      <c r="J4610" s="1">
        <v>42.0</v>
      </c>
    </row>
    <row r="4611" ht="15.75" hidden="1" customHeight="1">
      <c r="A4611" s="47"/>
      <c r="B4611" s="47"/>
      <c r="C4611" s="47"/>
      <c r="D4611" s="47"/>
      <c r="E4611" s="47"/>
      <c r="F4611" s="47"/>
      <c r="G4611" s="47"/>
      <c r="H4611" s="47"/>
      <c r="I4611" s="47"/>
      <c r="J4611" s="1">
        <v>42.0</v>
      </c>
    </row>
    <row r="4612" ht="15.75" hidden="1" customHeight="1">
      <c r="A4612" s="47"/>
      <c r="B4612" s="47"/>
      <c r="C4612" s="47"/>
      <c r="D4612" s="47"/>
      <c r="E4612" s="47"/>
      <c r="F4612" s="47"/>
      <c r="G4612" s="47"/>
      <c r="H4612" s="47"/>
      <c r="I4612" s="47"/>
      <c r="J4612" s="1">
        <v>42.0</v>
      </c>
    </row>
    <row r="4613" ht="15.75" hidden="1" customHeight="1">
      <c r="A4613" s="47"/>
      <c r="B4613" s="47"/>
      <c r="C4613" s="47"/>
      <c r="D4613" s="47"/>
      <c r="E4613" s="47"/>
      <c r="F4613" s="47"/>
      <c r="G4613" s="47"/>
      <c r="H4613" s="47"/>
      <c r="I4613" s="47"/>
      <c r="J4613" s="1">
        <v>42.0</v>
      </c>
    </row>
    <row r="4614" ht="15.75" hidden="1" customHeight="1">
      <c r="A4614" s="47"/>
      <c r="B4614" s="47"/>
      <c r="C4614" s="47"/>
      <c r="D4614" s="47"/>
      <c r="E4614" s="47"/>
      <c r="F4614" s="47"/>
      <c r="G4614" s="47"/>
      <c r="H4614" s="47"/>
      <c r="I4614" s="47"/>
      <c r="J4614" s="1">
        <v>42.0</v>
      </c>
    </row>
    <row r="4615" ht="15.75" hidden="1" customHeight="1">
      <c r="A4615" s="47"/>
      <c r="B4615" s="47"/>
      <c r="C4615" s="47"/>
      <c r="D4615" s="47"/>
      <c r="E4615" s="47"/>
      <c r="F4615" s="47"/>
      <c r="G4615" s="47"/>
      <c r="H4615" s="47"/>
      <c r="I4615" s="47"/>
      <c r="J4615" s="1">
        <v>42.0</v>
      </c>
    </row>
    <row r="4616" ht="15.75" hidden="1" customHeight="1">
      <c r="A4616" s="47"/>
      <c r="B4616" s="47"/>
      <c r="C4616" s="47"/>
      <c r="D4616" s="47"/>
      <c r="E4616" s="47"/>
      <c r="F4616" s="47"/>
      <c r="G4616" s="47"/>
      <c r="H4616" s="47"/>
      <c r="I4616" s="47"/>
      <c r="J4616" s="1">
        <v>42.0</v>
      </c>
    </row>
    <row r="4617" ht="15.75" hidden="1" customHeight="1">
      <c r="A4617" s="47"/>
      <c r="B4617" s="47"/>
      <c r="C4617" s="47"/>
      <c r="D4617" s="47"/>
      <c r="E4617" s="47"/>
      <c r="F4617" s="47"/>
      <c r="G4617" s="47"/>
      <c r="H4617" s="47"/>
      <c r="I4617" s="47"/>
      <c r="J4617" s="1">
        <v>42.0</v>
      </c>
    </row>
    <row r="4618" ht="15.75" hidden="1" customHeight="1">
      <c r="A4618" s="47"/>
      <c r="B4618" s="47"/>
      <c r="C4618" s="47"/>
      <c r="D4618" s="47"/>
      <c r="E4618" s="47"/>
      <c r="F4618" s="47"/>
      <c r="G4618" s="47"/>
      <c r="H4618" s="47"/>
      <c r="I4618" s="47"/>
      <c r="J4618" s="1">
        <v>42.0</v>
      </c>
    </row>
    <row r="4619" ht="15.75" hidden="1" customHeight="1">
      <c r="A4619" s="47"/>
      <c r="B4619" s="47"/>
      <c r="C4619" s="47"/>
      <c r="D4619" s="47"/>
      <c r="E4619" s="47"/>
      <c r="F4619" s="47"/>
      <c r="G4619" s="47"/>
      <c r="H4619" s="47"/>
      <c r="I4619" s="47"/>
      <c r="J4619" s="1">
        <v>42.0</v>
      </c>
    </row>
    <row r="4620" ht="15.75" hidden="1" customHeight="1">
      <c r="A4620" s="47"/>
      <c r="B4620" s="47"/>
      <c r="C4620" s="47"/>
      <c r="D4620" s="47"/>
      <c r="E4620" s="47"/>
      <c r="F4620" s="47"/>
      <c r="G4620" s="47"/>
      <c r="H4620" s="47"/>
      <c r="I4620" s="47"/>
      <c r="J4620" s="1">
        <v>42.0</v>
      </c>
    </row>
    <row r="4621" ht="15.75" hidden="1" customHeight="1">
      <c r="A4621" s="47"/>
      <c r="B4621" s="47"/>
      <c r="C4621" s="47"/>
      <c r="D4621" s="47"/>
      <c r="E4621" s="47"/>
      <c r="F4621" s="47"/>
      <c r="G4621" s="47"/>
      <c r="H4621" s="47"/>
      <c r="I4621" s="47"/>
      <c r="J4621" s="1">
        <v>42.0</v>
      </c>
    </row>
    <row r="4622" ht="15.75" hidden="1" customHeight="1">
      <c r="A4622" s="47"/>
      <c r="B4622" s="47"/>
      <c r="C4622" s="47"/>
      <c r="D4622" s="47"/>
      <c r="E4622" s="47"/>
      <c r="F4622" s="47"/>
      <c r="G4622" s="47"/>
      <c r="H4622" s="47"/>
      <c r="I4622" s="47"/>
      <c r="J4622" s="1">
        <v>42.0</v>
      </c>
    </row>
    <row r="4623" ht="15.75" hidden="1" customHeight="1">
      <c r="A4623" s="47"/>
      <c r="B4623" s="47"/>
      <c r="C4623" s="47"/>
      <c r="D4623" s="47"/>
      <c r="E4623" s="47"/>
      <c r="F4623" s="47"/>
      <c r="G4623" s="47"/>
      <c r="H4623" s="47"/>
      <c r="I4623" s="47"/>
      <c r="J4623" s="1">
        <v>42.0</v>
      </c>
    </row>
    <row r="4624" ht="15.75" hidden="1" customHeight="1">
      <c r="A4624" s="47"/>
      <c r="B4624" s="47"/>
      <c r="C4624" s="47"/>
      <c r="D4624" s="47"/>
      <c r="E4624" s="47"/>
      <c r="F4624" s="47"/>
      <c r="G4624" s="47"/>
      <c r="H4624" s="47"/>
      <c r="I4624" s="47"/>
      <c r="J4624" s="1">
        <v>42.0</v>
      </c>
    </row>
    <row r="4625" ht="15.75" hidden="1" customHeight="1">
      <c r="A4625" s="47"/>
      <c r="B4625" s="47"/>
      <c r="C4625" s="47"/>
      <c r="D4625" s="47"/>
      <c r="E4625" s="47"/>
      <c r="F4625" s="47"/>
      <c r="G4625" s="47"/>
      <c r="H4625" s="47"/>
      <c r="I4625" s="47"/>
      <c r="J4625" s="1">
        <v>42.0</v>
      </c>
    </row>
    <row r="4626" ht="15.75" hidden="1" customHeight="1">
      <c r="A4626" s="47"/>
      <c r="B4626" s="47"/>
      <c r="C4626" s="47"/>
      <c r="D4626" s="47"/>
      <c r="E4626" s="47"/>
      <c r="F4626" s="47"/>
      <c r="G4626" s="47"/>
      <c r="H4626" s="47"/>
      <c r="I4626" s="47"/>
      <c r="J4626" s="1">
        <v>42.0</v>
      </c>
    </row>
    <row r="4627" ht="15.75" hidden="1" customHeight="1">
      <c r="A4627" s="47"/>
      <c r="B4627" s="47"/>
      <c r="C4627" s="47"/>
      <c r="D4627" s="47"/>
      <c r="E4627" s="47"/>
      <c r="F4627" s="47"/>
      <c r="G4627" s="47"/>
      <c r="H4627" s="47"/>
      <c r="I4627" s="47"/>
      <c r="J4627" s="1">
        <v>42.0</v>
      </c>
    </row>
    <row r="4628" ht="15.75" hidden="1" customHeight="1">
      <c r="A4628" s="47"/>
      <c r="B4628" s="47"/>
      <c r="C4628" s="47"/>
      <c r="D4628" s="47"/>
      <c r="E4628" s="47"/>
      <c r="F4628" s="47"/>
      <c r="G4628" s="47"/>
      <c r="H4628" s="47"/>
      <c r="I4628" s="47"/>
      <c r="J4628" s="1">
        <v>42.0</v>
      </c>
    </row>
    <row r="4629" ht="15.75" hidden="1" customHeight="1">
      <c r="A4629" s="47"/>
      <c r="B4629" s="47"/>
      <c r="C4629" s="47"/>
      <c r="D4629" s="47"/>
      <c r="E4629" s="47"/>
      <c r="F4629" s="47"/>
      <c r="G4629" s="47"/>
      <c r="H4629" s="47"/>
      <c r="I4629" s="47"/>
      <c r="J4629" s="1">
        <v>42.0</v>
      </c>
    </row>
    <row r="4630" ht="15.75" hidden="1" customHeight="1">
      <c r="A4630" s="47"/>
      <c r="B4630" s="47"/>
      <c r="C4630" s="47"/>
      <c r="D4630" s="47"/>
      <c r="E4630" s="47"/>
      <c r="F4630" s="47"/>
      <c r="G4630" s="47"/>
      <c r="H4630" s="47"/>
      <c r="I4630" s="47"/>
      <c r="J4630" s="1">
        <v>42.0</v>
      </c>
    </row>
    <row r="4631" ht="15.75" hidden="1" customHeight="1">
      <c r="A4631" s="47"/>
      <c r="B4631" s="47"/>
      <c r="C4631" s="47"/>
      <c r="D4631" s="47"/>
      <c r="E4631" s="47"/>
      <c r="F4631" s="47"/>
      <c r="G4631" s="47"/>
      <c r="H4631" s="47"/>
      <c r="I4631" s="47"/>
      <c r="J4631" s="1">
        <v>42.0</v>
      </c>
    </row>
    <row r="4632" ht="15.75" hidden="1" customHeight="1">
      <c r="A4632" s="47"/>
      <c r="B4632" s="47"/>
      <c r="C4632" s="47"/>
      <c r="D4632" s="47"/>
      <c r="E4632" s="47"/>
      <c r="F4632" s="47"/>
      <c r="G4632" s="47"/>
      <c r="H4632" s="47"/>
      <c r="I4632" s="47"/>
      <c r="J4632" s="1">
        <v>42.0</v>
      </c>
    </row>
    <row r="4633" ht="15.75" hidden="1" customHeight="1">
      <c r="A4633" s="47"/>
      <c r="B4633" s="47"/>
      <c r="C4633" s="47"/>
      <c r="D4633" s="47"/>
      <c r="E4633" s="47"/>
      <c r="F4633" s="47"/>
      <c r="G4633" s="47"/>
      <c r="H4633" s="47"/>
      <c r="I4633" s="47"/>
      <c r="J4633" s="1">
        <v>42.0</v>
      </c>
    </row>
    <row r="4634" ht="15.75" hidden="1" customHeight="1">
      <c r="A4634" s="47"/>
      <c r="B4634" s="47"/>
      <c r="C4634" s="47"/>
      <c r="D4634" s="47"/>
      <c r="E4634" s="47"/>
      <c r="F4634" s="47"/>
      <c r="G4634" s="47"/>
      <c r="H4634" s="47"/>
      <c r="I4634" s="47"/>
      <c r="J4634" s="1">
        <v>42.0</v>
      </c>
    </row>
    <row r="4635" ht="15.75" hidden="1" customHeight="1">
      <c r="A4635" s="47"/>
      <c r="B4635" s="47"/>
      <c r="C4635" s="47"/>
      <c r="D4635" s="47"/>
      <c r="E4635" s="47"/>
      <c r="F4635" s="47"/>
      <c r="G4635" s="47"/>
      <c r="H4635" s="47"/>
      <c r="I4635" s="47"/>
      <c r="J4635" s="1">
        <v>42.0</v>
      </c>
    </row>
    <row r="4636" ht="15.75" hidden="1" customHeight="1">
      <c r="A4636" s="47"/>
      <c r="B4636" s="47"/>
      <c r="C4636" s="47"/>
      <c r="D4636" s="47"/>
      <c r="E4636" s="47"/>
      <c r="F4636" s="47"/>
      <c r="G4636" s="47"/>
      <c r="H4636" s="47"/>
      <c r="I4636" s="47"/>
      <c r="J4636" s="1">
        <v>42.0</v>
      </c>
    </row>
    <row r="4637" ht="15.75" hidden="1" customHeight="1">
      <c r="A4637" s="47"/>
      <c r="B4637" s="47"/>
      <c r="C4637" s="47"/>
      <c r="D4637" s="47"/>
      <c r="E4637" s="47"/>
      <c r="F4637" s="47"/>
      <c r="G4637" s="47"/>
      <c r="H4637" s="47"/>
      <c r="I4637" s="47"/>
      <c r="J4637" s="1">
        <v>42.0</v>
      </c>
    </row>
    <row r="4638" ht="15.75" hidden="1" customHeight="1">
      <c r="A4638" s="47"/>
      <c r="B4638" s="47"/>
      <c r="C4638" s="47"/>
      <c r="D4638" s="47"/>
      <c r="E4638" s="47"/>
      <c r="F4638" s="47"/>
      <c r="G4638" s="47"/>
      <c r="H4638" s="47"/>
      <c r="I4638" s="47"/>
      <c r="J4638" s="1">
        <v>42.0</v>
      </c>
    </row>
    <row r="4639" ht="15.75" hidden="1" customHeight="1">
      <c r="A4639" s="47"/>
      <c r="B4639" s="47"/>
      <c r="C4639" s="47"/>
      <c r="D4639" s="47"/>
      <c r="E4639" s="47"/>
      <c r="F4639" s="47"/>
      <c r="G4639" s="47"/>
      <c r="H4639" s="47"/>
      <c r="I4639" s="47"/>
      <c r="J4639" s="1">
        <v>42.0</v>
      </c>
    </row>
    <row r="4640" ht="15.75" hidden="1" customHeight="1">
      <c r="A4640" s="47"/>
      <c r="B4640" s="47"/>
      <c r="C4640" s="47"/>
      <c r="D4640" s="47"/>
      <c r="E4640" s="47"/>
      <c r="F4640" s="47"/>
      <c r="G4640" s="47"/>
      <c r="H4640" s="47"/>
      <c r="I4640" s="47"/>
      <c r="J4640" s="1">
        <v>42.0</v>
      </c>
    </row>
    <row r="4641" ht="15.75" hidden="1" customHeight="1">
      <c r="A4641" s="47"/>
      <c r="B4641" s="47"/>
      <c r="C4641" s="47"/>
      <c r="D4641" s="47"/>
      <c r="E4641" s="47"/>
      <c r="F4641" s="47"/>
      <c r="G4641" s="47"/>
      <c r="H4641" s="47"/>
      <c r="I4641" s="47"/>
      <c r="J4641" s="1">
        <v>42.0</v>
      </c>
    </row>
    <row r="4642" ht="15.75" hidden="1" customHeight="1">
      <c r="A4642" s="47"/>
      <c r="B4642" s="47"/>
      <c r="C4642" s="47"/>
      <c r="D4642" s="47"/>
      <c r="E4642" s="47"/>
      <c r="F4642" s="47"/>
      <c r="G4642" s="47"/>
      <c r="H4642" s="47"/>
      <c r="I4642" s="47"/>
      <c r="J4642" s="1">
        <v>42.0</v>
      </c>
    </row>
    <row r="4643" ht="15.75" hidden="1" customHeight="1">
      <c r="A4643" s="47"/>
      <c r="B4643" s="47"/>
      <c r="C4643" s="47"/>
      <c r="D4643" s="47"/>
      <c r="E4643" s="47"/>
      <c r="F4643" s="47"/>
      <c r="G4643" s="47"/>
      <c r="H4643" s="47"/>
      <c r="I4643" s="47"/>
      <c r="J4643" s="1">
        <v>42.0</v>
      </c>
    </row>
    <row r="4644" ht="15.75" hidden="1" customHeight="1">
      <c r="A4644" s="47"/>
      <c r="B4644" s="47"/>
      <c r="C4644" s="47"/>
      <c r="D4644" s="47"/>
      <c r="E4644" s="47"/>
      <c r="F4644" s="47"/>
      <c r="G4644" s="47"/>
      <c r="H4644" s="47"/>
      <c r="I4644" s="47"/>
      <c r="J4644" s="1">
        <v>42.0</v>
      </c>
    </row>
    <row r="4645" ht="15.75" hidden="1" customHeight="1">
      <c r="A4645" s="47"/>
      <c r="B4645" s="47"/>
      <c r="C4645" s="47"/>
      <c r="D4645" s="47"/>
      <c r="E4645" s="47"/>
      <c r="F4645" s="47"/>
      <c r="G4645" s="47"/>
      <c r="H4645" s="47"/>
      <c r="I4645" s="47"/>
      <c r="J4645" s="1">
        <v>42.0</v>
      </c>
    </row>
    <row r="4646" ht="15.75" hidden="1" customHeight="1">
      <c r="A4646" s="47"/>
      <c r="B4646" s="47"/>
      <c r="C4646" s="47"/>
      <c r="D4646" s="47"/>
      <c r="E4646" s="47"/>
      <c r="F4646" s="47"/>
      <c r="G4646" s="47"/>
      <c r="H4646" s="47"/>
      <c r="I4646" s="47"/>
      <c r="J4646" s="1">
        <v>42.0</v>
      </c>
    </row>
    <row r="4647" ht="15.75" hidden="1" customHeight="1">
      <c r="A4647" s="47"/>
      <c r="B4647" s="47"/>
      <c r="C4647" s="47"/>
      <c r="D4647" s="47"/>
      <c r="E4647" s="47"/>
      <c r="F4647" s="47"/>
      <c r="G4647" s="47"/>
      <c r="H4647" s="47"/>
      <c r="I4647" s="47"/>
      <c r="J4647" s="1">
        <v>42.0</v>
      </c>
    </row>
    <row r="4648" ht="15.75" hidden="1" customHeight="1">
      <c r="A4648" s="47"/>
      <c r="B4648" s="47"/>
      <c r="C4648" s="47"/>
      <c r="D4648" s="47"/>
      <c r="E4648" s="47"/>
      <c r="F4648" s="47"/>
      <c r="G4648" s="47"/>
      <c r="H4648" s="47"/>
      <c r="I4648" s="47"/>
      <c r="J4648" s="1">
        <v>42.0</v>
      </c>
    </row>
    <row r="4649" ht="15.75" hidden="1" customHeight="1">
      <c r="A4649" s="47"/>
      <c r="B4649" s="47"/>
      <c r="C4649" s="47"/>
      <c r="D4649" s="47"/>
      <c r="E4649" s="47"/>
      <c r="F4649" s="47"/>
      <c r="G4649" s="47"/>
      <c r="H4649" s="47"/>
      <c r="I4649" s="47"/>
      <c r="J4649" s="1">
        <v>42.0</v>
      </c>
    </row>
    <row r="4650" ht="15.75" hidden="1" customHeight="1">
      <c r="A4650" s="47"/>
      <c r="B4650" s="47"/>
      <c r="C4650" s="47"/>
      <c r="D4650" s="47"/>
      <c r="E4650" s="47"/>
      <c r="F4650" s="47"/>
      <c r="G4650" s="47"/>
      <c r="H4650" s="47"/>
      <c r="I4650" s="47"/>
      <c r="J4650" s="1">
        <v>42.0</v>
      </c>
    </row>
    <row r="4651" ht="15.75" hidden="1" customHeight="1">
      <c r="A4651" s="47"/>
      <c r="B4651" s="47"/>
      <c r="C4651" s="47"/>
      <c r="D4651" s="47"/>
      <c r="E4651" s="47"/>
      <c r="F4651" s="47"/>
      <c r="G4651" s="47"/>
      <c r="H4651" s="47"/>
      <c r="I4651" s="47"/>
      <c r="J4651" s="1">
        <v>42.0</v>
      </c>
    </row>
    <row r="4652" ht="15.75" hidden="1" customHeight="1">
      <c r="A4652" s="47"/>
      <c r="B4652" s="47"/>
      <c r="C4652" s="47"/>
      <c r="D4652" s="47"/>
      <c r="E4652" s="47"/>
      <c r="F4652" s="47"/>
      <c r="G4652" s="47"/>
      <c r="H4652" s="47"/>
      <c r="I4652" s="47"/>
      <c r="J4652" s="1">
        <v>42.0</v>
      </c>
    </row>
    <row r="4653" ht="15.75" hidden="1" customHeight="1">
      <c r="A4653" s="47"/>
      <c r="B4653" s="47"/>
      <c r="C4653" s="47"/>
      <c r="D4653" s="47"/>
      <c r="E4653" s="47"/>
      <c r="F4653" s="47"/>
      <c r="G4653" s="47"/>
      <c r="H4653" s="47"/>
      <c r="I4653" s="47"/>
      <c r="J4653" s="1">
        <v>42.0</v>
      </c>
    </row>
    <row r="4654" ht="15.75" hidden="1" customHeight="1">
      <c r="A4654" s="47"/>
      <c r="B4654" s="47"/>
      <c r="C4654" s="47"/>
      <c r="D4654" s="47"/>
      <c r="E4654" s="47"/>
      <c r="F4654" s="47"/>
      <c r="G4654" s="47"/>
      <c r="H4654" s="47"/>
      <c r="I4654" s="47"/>
      <c r="J4654" s="1">
        <v>42.0</v>
      </c>
    </row>
    <row r="4655" ht="15.75" hidden="1" customHeight="1">
      <c r="A4655" s="47"/>
      <c r="B4655" s="47"/>
      <c r="C4655" s="47"/>
      <c r="D4655" s="47"/>
      <c r="E4655" s="47"/>
      <c r="F4655" s="47"/>
      <c r="G4655" s="47"/>
      <c r="H4655" s="47"/>
      <c r="I4655" s="47"/>
      <c r="J4655" s="1">
        <v>42.0</v>
      </c>
    </row>
    <row r="4656" ht="15.75" hidden="1" customHeight="1">
      <c r="A4656" s="47"/>
      <c r="B4656" s="47"/>
      <c r="C4656" s="47"/>
      <c r="D4656" s="47"/>
      <c r="E4656" s="47"/>
      <c r="F4656" s="47"/>
      <c r="G4656" s="47"/>
      <c r="H4656" s="47"/>
      <c r="I4656" s="47"/>
      <c r="J4656" s="1">
        <v>42.0</v>
      </c>
    </row>
    <row r="4657" ht="15.75" hidden="1" customHeight="1">
      <c r="A4657" s="47"/>
      <c r="B4657" s="47"/>
      <c r="C4657" s="47"/>
      <c r="D4657" s="47"/>
      <c r="E4657" s="47"/>
      <c r="F4657" s="47"/>
      <c r="G4657" s="47"/>
      <c r="H4657" s="47"/>
      <c r="I4657" s="47"/>
      <c r="J4657" s="1">
        <v>42.0</v>
      </c>
    </row>
    <row r="4658" ht="15.75" hidden="1" customHeight="1">
      <c r="A4658" s="47"/>
      <c r="B4658" s="47"/>
      <c r="C4658" s="47"/>
      <c r="D4658" s="47"/>
      <c r="E4658" s="47"/>
      <c r="F4658" s="47"/>
      <c r="G4658" s="47"/>
      <c r="H4658" s="47"/>
      <c r="I4658" s="47"/>
      <c r="J4658" s="1">
        <v>42.0</v>
      </c>
    </row>
    <row r="4659" ht="15.75" hidden="1" customHeight="1">
      <c r="A4659" s="47"/>
      <c r="B4659" s="47"/>
      <c r="C4659" s="47"/>
      <c r="D4659" s="47"/>
      <c r="E4659" s="47"/>
      <c r="F4659" s="47"/>
      <c r="G4659" s="47"/>
      <c r="H4659" s="47"/>
      <c r="I4659" s="47"/>
      <c r="J4659" s="1">
        <v>42.0</v>
      </c>
    </row>
    <row r="4660" ht="15.75" hidden="1" customHeight="1">
      <c r="A4660" s="47"/>
      <c r="B4660" s="47"/>
      <c r="C4660" s="47"/>
      <c r="D4660" s="47"/>
      <c r="E4660" s="47"/>
      <c r="F4660" s="47"/>
      <c r="G4660" s="47"/>
      <c r="H4660" s="47"/>
      <c r="I4660" s="47"/>
      <c r="J4660" s="1">
        <v>42.0</v>
      </c>
    </row>
    <row r="4661" ht="15.75" hidden="1" customHeight="1">
      <c r="A4661" s="47"/>
      <c r="B4661" s="47"/>
      <c r="C4661" s="47"/>
      <c r="D4661" s="47"/>
      <c r="E4661" s="47"/>
      <c r="F4661" s="47"/>
      <c r="G4661" s="47"/>
      <c r="H4661" s="47"/>
      <c r="I4661" s="47"/>
      <c r="J4661" s="1">
        <v>42.0</v>
      </c>
    </row>
    <row r="4662" ht="15.75" hidden="1" customHeight="1">
      <c r="A4662" s="47"/>
      <c r="B4662" s="47"/>
      <c r="C4662" s="47"/>
      <c r="D4662" s="47"/>
      <c r="E4662" s="47"/>
      <c r="F4662" s="47"/>
      <c r="G4662" s="47"/>
      <c r="H4662" s="47"/>
      <c r="I4662" s="47"/>
      <c r="J4662" s="1">
        <v>42.0</v>
      </c>
    </row>
    <row r="4663" ht="15.75" hidden="1" customHeight="1">
      <c r="A4663" s="47"/>
      <c r="B4663" s="47"/>
      <c r="C4663" s="47"/>
      <c r="D4663" s="47"/>
      <c r="E4663" s="47"/>
      <c r="F4663" s="47"/>
      <c r="G4663" s="47"/>
      <c r="H4663" s="47"/>
      <c r="I4663" s="47"/>
      <c r="J4663" s="1">
        <v>42.0</v>
      </c>
    </row>
    <row r="4664" ht="15.75" hidden="1" customHeight="1">
      <c r="A4664" s="47"/>
      <c r="B4664" s="47"/>
      <c r="C4664" s="47"/>
      <c r="D4664" s="47"/>
      <c r="E4664" s="47"/>
      <c r="F4664" s="47"/>
      <c r="G4664" s="47"/>
      <c r="H4664" s="47"/>
      <c r="I4664" s="47"/>
      <c r="J4664" s="1">
        <v>42.0</v>
      </c>
    </row>
    <row r="4665" ht="15.75" hidden="1" customHeight="1">
      <c r="A4665" s="47"/>
      <c r="B4665" s="47"/>
      <c r="C4665" s="47"/>
      <c r="D4665" s="47"/>
      <c r="E4665" s="47"/>
      <c r="F4665" s="47"/>
      <c r="G4665" s="47"/>
      <c r="H4665" s="47"/>
      <c r="I4665" s="47"/>
      <c r="J4665" s="1">
        <v>42.0</v>
      </c>
    </row>
    <row r="4666" ht="15.75" hidden="1" customHeight="1">
      <c r="A4666" s="47"/>
      <c r="B4666" s="47"/>
      <c r="C4666" s="47"/>
      <c r="D4666" s="47"/>
      <c r="E4666" s="47"/>
      <c r="F4666" s="47"/>
      <c r="G4666" s="47"/>
      <c r="H4666" s="47"/>
      <c r="I4666" s="47"/>
      <c r="J4666" s="1">
        <v>42.0</v>
      </c>
    </row>
    <row r="4667" ht="15.75" hidden="1" customHeight="1">
      <c r="A4667" s="47"/>
      <c r="B4667" s="47"/>
      <c r="C4667" s="47"/>
      <c r="D4667" s="47"/>
      <c r="E4667" s="47"/>
      <c r="F4667" s="47"/>
      <c r="G4667" s="47"/>
      <c r="H4667" s="47"/>
      <c r="I4667" s="47"/>
      <c r="J4667" s="1">
        <v>42.0</v>
      </c>
    </row>
    <row r="4668" ht="15.75" hidden="1" customHeight="1">
      <c r="A4668" s="47"/>
      <c r="B4668" s="47"/>
      <c r="C4668" s="47"/>
      <c r="D4668" s="47"/>
      <c r="E4668" s="47"/>
      <c r="F4668" s="47"/>
      <c r="G4668" s="47"/>
      <c r="H4668" s="47"/>
      <c r="I4668" s="47"/>
      <c r="J4668" s="1">
        <v>42.0</v>
      </c>
    </row>
    <row r="4669" ht="15.75" hidden="1" customHeight="1">
      <c r="A4669" s="47"/>
      <c r="B4669" s="47"/>
      <c r="C4669" s="47"/>
      <c r="D4669" s="47"/>
      <c r="E4669" s="47"/>
      <c r="F4669" s="47"/>
      <c r="G4669" s="47"/>
      <c r="H4669" s="47"/>
      <c r="I4669" s="47"/>
      <c r="J4669" s="1">
        <v>42.0</v>
      </c>
    </row>
    <row r="4670" ht="15.75" hidden="1" customHeight="1">
      <c r="A4670" s="47"/>
      <c r="B4670" s="47"/>
      <c r="C4670" s="47"/>
      <c r="D4670" s="47"/>
      <c r="E4670" s="47"/>
      <c r="F4670" s="47"/>
      <c r="G4670" s="47"/>
      <c r="H4670" s="47"/>
      <c r="I4670" s="47"/>
      <c r="J4670" s="1">
        <v>42.0</v>
      </c>
    </row>
    <row r="4671" ht="15.75" hidden="1" customHeight="1">
      <c r="A4671" s="47"/>
      <c r="B4671" s="47"/>
      <c r="C4671" s="47"/>
      <c r="D4671" s="47"/>
      <c r="E4671" s="47"/>
      <c r="F4671" s="47"/>
      <c r="G4671" s="47"/>
      <c r="H4671" s="47"/>
      <c r="I4671" s="47"/>
      <c r="J4671" s="1">
        <v>42.0</v>
      </c>
    </row>
    <row r="4672" ht="15.75" hidden="1" customHeight="1">
      <c r="A4672" s="47"/>
      <c r="B4672" s="47"/>
      <c r="C4672" s="47"/>
      <c r="D4672" s="47"/>
      <c r="E4672" s="47"/>
      <c r="F4672" s="47"/>
      <c r="G4672" s="47"/>
      <c r="H4672" s="47"/>
      <c r="I4672" s="47"/>
      <c r="J4672" s="1">
        <v>42.0</v>
      </c>
    </row>
    <row r="4673" ht="15.75" hidden="1" customHeight="1">
      <c r="A4673" s="47"/>
      <c r="B4673" s="47"/>
      <c r="C4673" s="47"/>
      <c r="D4673" s="47"/>
      <c r="E4673" s="47"/>
      <c r="F4673" s="47"/>
      <c r="G4673" s="47"/>
      <c r="H4673" s="47"/>
      <c r="I4673" s="47"/>
      <c r="J4673" s="1">
        <v>42.0</v>
      </c>
    </row>
    <row r="4674" ht="15.75" hidden="1" customHeight="1">
      <c r="A4674" s="47"/>
      <c r="B4674" s="47"/>
      <c r="C4674" s="47"/>
      <c r="D4674" s="47"/>
      <c r="E4674" s="47"/>
      <c r="F4674" s="47"/>
      <c r="G4674" s="47"/>
      <c r="H4674" s="47"/>
      <c r="I4674" s="47"/>
      <c r="J4674" s="1">
        <v>42.0</v>
      </c>
    </row>
    <row r="4675" ht="15.75" hidden="1" customHeight="1">
      <c r="A4675" s="47"/>
      <c r="B4675" s="47"/>
      <c r="C4675" s="47"/>
      <c r="D4675" s="47"/>
      <c r="E4675" s="47"/>
      <c r="F4675" s="47"/>
      <c r="G4675" s="47"/>
      <c r="H4675" s="47"/>
      <c r="I4675" s="47"/>
      <c r="J4675" s="1">
        <v>42.0</v>
      </c>
    </row>
    <row r="4676" ht="15.75" hidden="1" customHeight="1">
      <c r="A4676" s="47"/>
      <c r="B4676" s="47"/>
      <c r="C4676" s="47"/>
      <c r="D4676" s="47"/>
      <c r="E4676" s="47"/>
      <c r="F4676" s="47"/>
      <c r="G4676" s="47"/>
      <c r="H4676" s="47"/>
      <c r="I4676" s="47"/>
      <c r="J4676" s="1">
        <v>42.0</v>
      </c>
    </row>
    <row r="4677" ht="15.75" hidden="1" customHeight="1">
      <c r="A4677" s="47"/>
      <c r="B4677" s="47"/>
      <c r="C4677" s="47"/>
      <c r="D4677" s="47"/>
      <c r="E4677" s="47"/>
      <c r="F4677" s="47"/>
      <c r="G4677" s="47"/>
      <c r="H4677" s="47"/>
      <c r="I4677" s="47"/>
      <c r="J4677" s="1">
        <v>42.0</v>
      </c>
    </row>
    <row r="4678" ht="15.75" hidden="1" customHeight="1">
      <c r="A4678" s="47"/>
      <c r="B4678" s="47"/>
      <c r="C4678" s="47"/>
      <c r="D4678" s="47"/>
      <c r="E4678" s="47"/>
      <c r="F4678" s="47"/>
      <c r="G4678" s="47"/>
      <c r="H4678" s="47"/>
      <c r="I4678" s="47"/>
      <c r="J4678" s="1">
        <v>42.0</v>
      </c>
    </row>
    <row r="4679" ht="15.75" hidden="1" customHeight="1">
      <c r="A4679" s="47"/>
      <c r="B4679" s="47"/>
      <c r="C4679" s="47"/>
      <c r="D4679" s="47"/>
      <c r="E4679" s="47"/>
      <c r="F4679" s="47"/>
      <c r="G4679" s="47"/>
      <c r="H4679" s="47"/>
      <c r="I4679" s="47"/>
      <c r="J4679" s="1">
        <v>42.0</v>
      </c>
    </row>
    <row r="4680" ht="15.75" hidden="1" customHeight="1">
      <c r="A4680" s="47"/>
      <c r="B4680" s="47"/>
      <c r="C4680" s="47"/>
      <c r="D4680" s="47"/>
      <c r="E4680" s="47"/>
      <c r="F4680" s="47"/>
      <c r="G4680" s="47"/>
      <c r="H4680" s="47"/>
      <c r="I4680" s="47"/>
      <c r="J4680" s="1">
        <v>42.0</v>
      </c>
    </row>
    <row r="4681" ht="15.75" hidden="1" customHeight="1">
      <c r="A4681" s="47"/>
      <c r="B4681" s="47"/>
      <c r="C4681" s="47"/>
      <c r="D4681" s="47"/>
      <c r="E4681" s="47"/>
      <c r="F4681" s="47"/>
      <c r="G4681" s="47"/>
      <c r="H4681" s="47"/>
      <c r="I4681" s="47"/>
      <c r="J4681" s="1">
        <v>42.0</v>
      </c>
    </row>
    <row r="4682" ht="15.75" hidden="1" customHeight="1">
      <c r="A4682" s="47"/>
      <c r="B4682" s="47"/>
      <c r="C4682" s="47"/>
      <c r="D4682" s="47"/>
      <c r="E4682" s="47"/>
      <c r="F4682" s="47"/>
      <c r="G4682" s="47"/>
      <c r="H4682" s="47"/>
      <c r="I4682" s="47"/>
      <c r="J4682" s="1">
        <v>42.0</v>
      </c>
    </row>
    <row r="4683" ht="15.75" hidden="1" customHeight="1">
      <c r="A4683" s="47"/>
      <c r="B4683" s="47"/>
      <c r="C4683" s="47"/>
      <c r="D4683" s="47"/>
      <c r="E4683" s="47"/>
      <c r="F4683" s="47"/>
      <c r="G4683" s="47"/>
      <c r="H4683" s="47"/>
      <c r="I4683" s="47"/>
      <c r="J4683" s="1">
        <v>42.0</v>
      </c>
    </row>
    <row r="4684" ht="15.75" hidden="1" customHeight="1">
      <c r="A4684" s="47"/>
      <c r="B4684" s="47"/>
      <c r="C4684" s="47"/>
      <c r="D4684" s="47"/>
      <c r="E4684" s="47"/>
      <c r="F4684" s="47"/>
      <c r="G4684" s="47"/>
      <c r="H4684" s="47"/>
      <c r="I4684" s="47"/>
      <c r="J4684" s="1">
        <v>42.0</v>
      </c>
    </row>
    <row r="4685" ht="15.75" hidden="1" customHeight="1">
      <c r="A4685" s="47"/>
      <c r="B4685" s="47"/>
      <c r="C4685" s="47"/>
      <c r="D4685" s="47"/>
      <c r="E4685" s="47"/>
      <c r="F4685" s="47"/>
      <c r="G4685" s="47"/>
      <c r="H4685" s="47"/>
      <c r="I4685" s="47"/>
      <c r="J4685" s="1">
        <v>42.0</v>
      </c>
    </row>
    <row r="4686" ht="15.75" hidden="1" customHeight="1">
      <c r="A4686" s="47"/>
      <c r="B4686" s="47"/>
      <c r="C4686" s="47"/>
      <c r="D4686" s="47"/>
      <c r="E4686" s="47"/>
      <c r="F4686" s="47"/>
      <c r="G4686" s="47"/>
      <c r="H4686" s="47"/>
      <c r="I4686" s="47"/>
      <c r="J4686" s="1">
        <v>42.0</v>
      </c>
    </row>
    <row r="4687" ht="15.75" hidden="1" customHeight="1">
      <c r="A4687" s="47"/>
      <c r="B4687" s="47"/>
      <c r="C4687" s="47"/>
      <c r="D4687" s="47"/>
      <c r="E4687" s="47"/>
      <c r="F4687" s="47"/>
      <c r="G4687" s="47"/>
      <c r="H4687" s="47"/>
      <c r="I4687" s="47"/>
      <c r="J4687" s="1">
        <v>42.0</v>
      </c>
    </row>
    <row r="4688" ht="15.75" hidden="1" customHeight="1">
      <c r="A4688" s="47"/>
      <c r="B4688" s="47"/>
      <c r="C4688" s="47"/>
      <c r="D4688" s="47"/>
      <c r="E4688" s="47"/>
      <c r="F4688" s="47"/>
      <c r="G4688" s="47"/>
      <c r="H4688" s="47"/>
      <c r="I4688" s="47"/>
      <c r="J4688" s="1">
        <v>42.0</v>
      </c>
    </row>
    <row r="4689" ht="15.75" hidden="1" customHeight="1">
      <c r="A4689" s="47"/>
      <c r="B4689" s="47"/>
      <c r="C4689" s="47"/>
      <c r="D4689" s="47"/>
      <c r="E4689" s="47"/>
      <c r="F4689" s="47"/>
      <c r="G4689" s="47"/>
      <c r="H4689" s="47"/>
      <c r="I4689" s="47"/>
      <c r="J4689" s="1">
        <v>42.0</v>
      </c>
    </row>
    <row r="4690" ht="15.75" hidden="1" customHeight="1">
      <c r="A4690" s="47"/>
      <c r="B4690" s="47"/>
      <c r="C4690" s="47"/>
      <c r="D4690" s="47"/>
      <c r="E4690" s="47"/>
      <c r="F4690" s="47"/>
      <c r="G4690" s="47"/>
      <c r="H4690" s="47"/>
      <c r="I4690" s="47"/>
      <c r="J4690" s="1">
        <v>42.0</v>
      </c>
    </row>
    <row r="4691" ht="15.75" hidden="1" customHeight="1">
      <c r="A4691" s="47"/>
      <c r="B4691" s="47"/>
      <c r="C4691" s="47"/>
      <c r="D4691" s="47"/>
      <c r="E4691" s="47"/>
      <c r="F4691" s="47"/>
      <c r="G4691" s="47"/>
      <c r="H4691" s="47"/>
      <c r="I4691" s="47"/>
      <c r="J4691" s="1">
        <v>42.0</v>
      </c>
    </row>
    <row r="4692" ht="15.75" hidden="1" customHeight="1">
      <c r="A4692" s="47"/>
      <c r="B4692" s="47"/>
      <c r="C4692" s="47"/>
      <c r="D4692" s="47"/>
      <c r="E4692" s="47"/>
      <c r="F4692" s="47"/>
      <c r="G4692" s="47"/>
      <c r="H4692" s="47"/>
      <c r="I4692" s="47"/>
      <c r="J4692" s="1">
        <v>42.0</v>
      </c>
    </row>
    <row r="4693" ht="15.75" hidden="1" customHeight="1">
      <c r="A4693" s="47"/>
      <c r="B4693" s="47"/>
      <c r="C4693" s="47"/>
      <c r="D4693" s="47"/>
      <c r="E4693" s="47"/>
      <c r="F4693" s="47"/>
      <c r="G4693" s="47"/>
      <c r="H4693" s="47"/>
      <c r="I4693" s="47"/>
      <c r="J4693" s="1">
        <v>42.0</v>
      </c>
    </row>
    <row r="4694" ht="15.75" hidden="1" customHeight="1">
      <c r="A4694" s="47"/>
      <c r="B4694" s="47"/>
      <c r="C4694" s="47"/>
      <c r="D4694" s="47"/>
      <c r="E4694" s="47"/>
      <c r="F4694" s="47"/>
      <c r="G4694" s="47"/>
      <c r="H4694" s="47"/>
      <c r="I4694" s="47"/>
      <c r="J4694" s="1">
        <v>42.0</v>
      </c>
    </row>
    <row r="4695" ht="15.75" hidden="1" customHeight="1">
      <c r="A4695" s="47"/>
      <c r="B4695" s="47"/>
      <c r="C4695" s="47"/>
      <c r="D4695" s="47"/>
      <c r="E4695" s="47"/>
      <c r="F4695" s="47"/>
      <c r="G4695" s="47"/>
      <c r="H4695" s="47"/>
      <c r="I4695" s="47"/>
      <c r="J4695" s="1">
        <v>42.0</v>
      </c>
    </row>
    <row r="4696" ht="15.75" hidden="1" customHeight="1">
      <c r="A4696" s="47"/>
      <c r="B4696" s="47"/>
      <c r="C4696" s="47"/>
      <c r="D4696" s="47"/>
      <c r="E4696" s="47"/>
      <c r="F4696" s="47"/>
      <c r="G4696" s="47"/>
      <c r="H4696" s="47"/>
      <c r="I4696" s="47"/>
      <c r="J4696" s="1">
        <v>42.0</v>
      </c>
    </row>
    <row r="4697" ht="15.75" hidden="1" customHeight="1">
      <c r="A4697" s="47"/>
      <c r="B4697" s="47"/>
      <c r="C4697" s="47"/>
      <c r="D4697" s="47"/>
      <c r="E4697" s="47"/>
      <c r="F4697" s="47"/>
      <c r="G4697" s="47"/>
      <c r="H4697" s="47"/>
      <c r="I4697" s="47"/>
      <c r="J4697" s="1">
        <v>42.0</v>
      </c>
    </row>
    <row r="4698" ht="15.75" hidden="1" customHeight="1">
      <c r="A4698" s="47"/>
      <c r="B4698" s="47"/>
      <c r="C4698" s="47"/>
      <c r="D4698" s="47"/>
      <c r="E4698" s="47"/>
      <c r="F4698" s="47"/>
      <c r="G4698" s="47"/>
      <c r="H4698" s="47"/>
      <c r="I4698" s="47"/>
      <c r="J4698" s="1">
        <v>42.0</v>
      </c>
    </row>
    <row r="4699" ht="15.75" hidden="1" customHeight="1">
      <c r="A4699" s="47"/>
      <c r="B4699" s="47"/>
      <c r="C4699" s="47"/>
      <c r="D4699" s="47"/>
      <c r="E4699" s="47"/>
      <c r="F4699" s="47"/>
      <c r="G4699" s="47"/>
      <c r="H4699" s="47"/>
      <c r="I4699" s="47"/>
      <c r="J4699" s="1">
        <v>42.0</v>
      </c>
    </row>
    <row r="4700" ht="15.75" hidden="1" customHeight="1">
      <c r="A4700" s="47"/>
      <c r="B4700" s="47"/>
      <c r="C4700" s="47"/>
      <c r="D4700" s="47"/>
      <c r="E4700" s="47"/>
      <c r="F4700" s="47"/>
      <c r="G4700" s="47"/>
      <c r="H4700" s="47"/>
      <c r="I4700" s="47"/>
      <c r="J4700" s="1">
        <v>42.0</v>
      </c>
    </row>
    <row r="4701" ht="15.75" hidden="1" customHeight="1">
      <c r="A4701" s="47"/>
      <c r="B4701" s="47"/>
      <c r="C4701" s="47"/>
      <c r="D4701" s="47"/>
      <c r="E4701" s="47"/>
      <c r="F4701" s="47"/>
      <c r="G4701" s="47"/>
      <c r="H4701" s="47"/>
      <c r="I4701" s="47"/>
      <c r="J4701" s="1">
        <v>42.0</v>
      </c>
    </row>
    <row r="4702" ht="15.75" hidden="1" customHeight="1">
      <c r="A4702" s="47"/>
      <c r="B4702" s="47"/>
      <c r="C4702" s="47"/>
      <c r="D4702" s="47"/>
      <c r="E4702" s="47"/>
      <c r="F4702" s="47"/>
      <c r="G4702" s="47"/>
      <c r="H4702" s="47"/>
      <c r="I4702" s="47"/>
      <c r="J4702" s="1">
        <v>42.0</v>
      </c>
    </row>
    <row r="4703" ht="15.75" hidden="1" customHeight="1">
      <c r="A4703" s="47"/>
      <c r="B4703" s="47"/>
      <c r="C4703" s="47"/>
      <c r="D4703" s="47"/>
      <c r="E4703" s="47"/>
      <c r="F4703" s="47"/>
      <c r="G4703" s="47"/>
      <c r="H4703" s="47"/>
      <c r="I4703" s="47"/>
      <c r="J4703" s="1">
        <v>42.0</v>
      </c>
    </row>
    <row r="4704" ht="15.75" hidden="1" customHeight="1">
      <c r="A4704" s="47"/>
      <c r="B4704" s="47"/>
      <c r="C4704" s="47"/>
      <c r="D4704" s="47"/>
      <c r="E4704" s="47"/>
      <c r="F4704" s="47"/>
      <c r="G4704" s="47"/>
      <c r="H4704" s="47"/>
      <c r="I4704" s="47"/>
      <c r="J4704" s="1">
        <v>42.0</v>
      </c>
    </row>
    <row r="4705" ht="15.75" hidden="1" customHeight="1">
      <c r="A4705" s="47"/>
      <c r="B4705" s="47"/>
      <c r="C4705" s="47"/>
      <c r="D4705" s="47"/>
      <c r="E4705" s="47"/>
      <c r="F4705" s="47"/>
      <c r="G4705" s="47"/>
      <c r="H4705" s="47"/>
      <c r="I4705" s="47"/>
      <c r="J4705" s="1">
        <v>42.0</v>
      </c>
    </row>
    <row r="4706" ht="15.75" hidden="1" customHeight="1">
      <c r="A4706" s="47"/>
      <c r="B4706" s="47"/>
      <c r="C4706" s="47"/>
      <c r="D4706" s="47"/>
      <c r="E4706" s="47"/>
      <c r="F4706" s="47"/>
      <c r="G4706" s="47"/>
      <c r="H4706" s="47"/>
      <c r="I4706" s="47"/>
      <c r="J4706" s="1">
        <v>42.0</v>
      </c>
    </row>
    <row r="4707" ht="15.75" hidden="1" customHeight="1">
      <c r="A4707" s="47"/>
      <c r="B4707" s="47"/>
      <c r="C4707" s="47"/>
      <c r="D4707" s="47"/>
      <c r="E4707" s="47"/>
      <c r="F4707" s="47"/>
      <c r="G4707" s="47"/>
      <c r="H4707" s="47"/>
      <c r="I4707" s="47"/>
      <c r="J4707" s="1">
        <v>42.0</v>
      </c>
    </row>
    <row r="4708" ht="15.75" hidden="1" customHeight="1">
      <c r="A4708" s="47"/>
      <c r="B4708" s="47"/>
      <c r="C4708" s="47"/>
      <c r="D4708" s="47"/>
      <c r="E4708" s="47"/>
      <c r="F4708" s="47"/>
      <c r="G4708" s="47"/>
      <c r="H4708" s="47"/>
      <c r="I4708" s="47"/>
      <c r="J4708" s="1">
        <v>42.0</v>
      </c>
    </row>
    <row r="4709" ht="15.75" hidden="1" customHeight="1">
      <c r="A4709" s="47"/>
      <c r="B4709" s="47"/>
      <c r="C4709" s="47"/>
      <c r="D4709" s="47"/>
      <c r="E4709" s="47"/>
      <c r="F4709" s="47"/>
      <c r="G4709" s="47"/>
      <c r="H4709" s="47"/>
      <c r="I4709" s="47"/>
      <c r="J4709" s="1">
        <v>42.0</v>
      </c>
    </row>
    <row r="4710" ht="15.75" hidden="1" customHeight="1">
      <c r="A4710" s="47"/>
      <c r="B4710" s="47"/>
      <c r="C4710" s="47"/>
      <c r="D4710" s="47"/>
      <c r="E4710" s="47"/>
      <c r="F4710" s="47"/>
      <c r="G4710" s="47"/>
      <c r="H4710" s="47"/>
      <c r="I4710" s="47"/>
      <c r="J4710" s="1">
        <v>42.0</v>
      </c>
    </row>
    <row r="4711" ht="15.75" hidden="1" customHeight="1">
      <c r="A4711" s="47"/>
      <c r="B4711" s="47"/>
      <c r="C4711" s="47"/>
      <c r="D4711" s="47"/>
      <c r="E4711" s="47"/>
      <c r="F4711" s="47"/>
      <c r="G4711" s="47"/>
      <c r="H4711" s="47"/>
      <c r="I4711" s="47"/>
      <c r="J4711" s="1">
        <v>42.0</v>
      </c>
    </row>
    <row r="4712" ht="15.75" hidden="1" customHeight="1">
      <c r="A4712" s="47"/>
      <c r="B4712" s="47"/>
      <c r="C4712" s="47"/>
      <c r="D4712" s="47"/>
      <c r="E4712" s="47"/>
      <c r="F4712" s="47"/>
      <c r="G4712" s="47"/>
      <c r="H4712" s="47"/>
      <c r="I4712" s="47"/>
      <c r="J4712" s="1">
        <v>42.0</v>
      </c>
    </row>
    <row r="4713" ht="15.75" hidden="1" customHeight="1">
      <c r="A4713" s="47"/>
      <c r="B4713" s="47"/>
      <c r="C4713" s="47"/>
      <c r="D4713" s="47"/>
      <c r="E4713" s="47"/>
      <c r="F4713" s="47"/>
      <c r="G4713" s="47"/>
      <c r="H4713" s="47"/>
      <c r="I4713" s="47"/>
      <c r="J4713" s="1">
        <v>42.0</v>
      </c>
    </row>
    <row r="4714" ht="15.75" hidden="1" customHeight="1">
      <c r="A4714" s="47"/>
      <c r="B4714" s="47"/>
      <c r="C4714" s="47"/>
      <c r="D4714" s="47"/>
      <c r="E4714" s="47"/>
      <c r="F4714" s="47"/>
      <c r="G4714" s="47"/>
      <c r="H4714" s="47"/>
      <c r="I4714" s="47"/>
      <c r="J4714" s="1">
        <v>42.0</v>
      </c>
    </row>
    <row r="4715" ht="15.75" hidden="1" customHeight="1">
      <c r="A4715" s="47"/>
      <c r="B4715" s="47"/>
      <c r="C4715" s="47"/>
      <c r="D4715" s="47"/>
      <c r="E4715" s="47"/>
      <c r="F4715" s="47"/>
      <c r="G4715" s="47"/>
      <c r="H4715" s="47"/>
      <c r="I4715" s="47"/>
      <c r="J4715" s="1">
        <v>42.0</v>
      </c>
    </row>
    <row r="4716" ht="15.75" hidden="1" customHeight="1">
      <c r="A4716" s="47"/>
      <c r="B4716" s="47"/>
      <c r="C4716" s="47"/>
      <c r="D4716" s="47"/>
      <c r="E4716" s="47"/>
      <c r="F4716" s="47"/>
      <c r="G4716" s="47"/>
      <c r="H4716" s="47"/>
      <c r="I4716" s="47"/>
      <c r="J4716" s="1">
        <v>42.0</v>
      </c>
    </row>
    <row r="4717" ht="15.75" hidden="1" customHeight="1">
      <c r="A4717" s="47"/>
      <c r="B4717" s="47"/>
      <c r="C4717" s="47"/>
      <c r="D4717" s="47"/>
      <c r="E4717" s="47"/>
      <c r="F4717" s="47"/>
      <c r="G4717" s="47"/>
      <c r="H4717" s="47"/>
      <c r="I4717" s="47"/>
      <c r="J4717" s="1">
        <v>42.0</v>
      </c>
    </row>
    <row r="4718" ht="15.75" hidden="1" customHeight="1">
      <c r="A4718" s="47"/>
      <c r="B4718" s="47"/>
      <c r="C4718" s="47"/>
      <c r="D4718" s="47"/>
      <c r="E4718" s="47"/>
      <c r="F4718" s="47"/>
      <c r="G4718" s="47"/>
      <c r="H4718" s="47"/>
      <c r="I4718" s="47"/>
      <c r="J4718" s="1">
        <v>42.0</v>
      </c>
    </row>
    <row r="4719" ht="15.75" hidden="1" customHeight="1">
      <c r="A4719" s="47"/>
      <c r="B4719" s="47"/>
      <c r="C4719" s="47"/>
      <c r="D4719" s="47"/>
      <c r="E4719" s="47"/>
      <c r="F4719" s="47"/>
      <c r="G4719" s="47"/>
      <c r="H4719" s="47"/>
      <c r="I4719" s="47"/>
      <c r="J4719" s="1">
        <v>42.0</v>
      </c>
    </row>
    <row r="4720" ht="15.75" hidden="1" customHeight="1">
      <c r="A4720" s="47"/>
      <c r="B4720" s="47"/>
      <c r="C4720" s="47"/>
      <c r="D4720" s="47"/>
      <c r="E4720" s="47"/>
      <c r="F4720" s="47"/>
      <c r="G4720" s="47"/>
      <c r="H4720" s="47"/>
      <c r="I4720" s="47"/>
      <c r="J4720" s="1">
        <v>42.0</v>
      </c>
    </row>
    <row r="4721" ht="15.75" hidden="1" customHeight="1">
      <c r="A4721" s="47"/>
      <c r="B4721" s="47"/>
      <c r="C4721" s="47"/>
      <c r="D4721" s="47"/>
      <c r="E4721" s="47"/>
      <c r="F4721" s="47"/>
      <c r="G4721" s="47"/>
      <c r="H4721" s="47"/>
      <c r="I4721" s="47"/>
      <c r="J4721" s="1">
        <v>42.0</v>
      </c>
    </row>
    <row r="4722" ht="15.75" hidden="1" customHeight="1">
      <c r="A4722" s="47"/>
      <c r="B4722" s="47"/>
      <c r="C4722" s="47"/>
      <c r="D4722" s="47"/>
      <c r="E4722" s="47"/>
      <c r="F4722" s="47"/>
      <c r="G4722" s="47"/>
      <c r="H4722" s="47"/>
      <c r="I4722" s="47"/>
      <c r="J4722" s="1">
        <v>42.0</v>
      </c>
    </row>
    <row r="4723" ht="15.75" hidden="1" customHeight="1">
      <c r="A4723" s="47"/>
      <c r="B4723" s="47"/>
      <c r="C4723" s="47"/>
      <c r="D4723" s="47"/>
      <c r="E4723" s="47"/>
      <c r="F4723" s="47"/>
      <c r="G4723" s="47"/>
      <c r="H4723" s="47"/>
      <c r="I4723" s="47"/>
      <c r="J4723" s="1">
        <v>42.0</v>
      </c>
    </row>
    <row r="4724" ht="15.75" hidden="1" customHeight="1">
      <c r="A4724" s="47"/>
      <c r="B4724" s="47"/>
      <c r="C4724" s="47"/>
      <c r="D4724" s="47"/>
      <c r="E4724" s="47"/>
      <c r="F4724" s="47"/>
      <c r="G4724" s="47"/>
      <c r="H4724" s="47"/>
      <c r="I4724" s="47"/>
      <c r="J4724" s="1">
        <v>42.0</v>
      </c>
    </row>
    <row r="4725" ht="15.75" hidden="1" customHeight="1">
      <c r="A4725" s="47"/>
      <c r="B4725" s="47"/>
      <c r="C4725" s="47"/>
      <c r="D4725" s="47"/>
      <c r="E4725" s="47"/>
      <c r="F4725" s="47"/>
      <c r="G4725" s="47"/>
      <c r="H4725" s="47"/>
      <c r="I4725" s="47"/>
      <c r="J4725" s="1">
        <v>42.0</v>
      </c>
    </row>
    <row r="4726" ht="15.75" hidden="1" customHeight="1">
      <c r="A4726" s="47"/>
      <c r="B4726" s="47"/>
      <c r="C4726" s="47"/>
      <c r="D4726" s="47"/>
      <c r="E4726" s="47"/>
      <c r="F4726" s="47"/>
      <c r="G4726" s="47"/>
      <c r="H4726" s="47"/>
      <c r="I4726" s="47"/>
      <c r="J4726" s="1">
        <v>42.0</v>
      </c>
    </row>
    <row r="4727" ht="15.75" hidden="1" customHeight="1">
      <c r="A4727" s="47"/>
      <c r="B4727" s="47"/>
      <c r="C4727" s="47"/>
      <c r="D4727" s="47"/>
      <c r="E4727" s="47"/>
      <c r="F4727" s="47"/>
      <c r="G4727" s="47"/>
      <c r="H4727" s="47"/>
      <c r="I4727" s="47"/>
      <c r="J4727" s="1">
        <v>42.0</v>
      </c>
    </row>
    <row r="4728" ht="15.75" hidden="1" customHeight="1">
      <c r="A4728" s="47"/>
      <c r="B4728" s="47"/>
      <c r="C4728" s="47"/>
      <c r="D4728" s="47"/>
      <c r="E4728" s="47"/>
      <c r="F4728" s="47"/>
      <c r="G4728" s="47"/>
      <c r="H4728" s="47"/>
      <c r="I4728" s="47"/>
      <c r="J4728" s="1">
        <v>42.0</v>
      </c>
    </row>
    <row r="4729" ht="15.75" hidden="1" customHeight="1">
      <c r="A4729" s="47"/>
      <c r="B4729" s="47"/>
      <c r="C4729" s="47"/>
      <c r="D4729" s="47"/>
      <c r="E4729" s="47"/>
      <c r="F4729" s="47"/>
      <c r="G4729" s="47"/>
      <c r="H4729" s="47"/>
      <c r="I4729" s="47"/>
      <c r="J4729" s="1">
        <v>42.0</v>
      </c>
    </row>
    <row r="4730" ht="15.75" hidden="1" customHeight="1">
      <c r="A4730" s="47"/>
      <c r="B4730" s="47"/>
      <c r="C4730" s="47"/>
      <c r="D4730" s="47"/>
      <c r="E4730" s="47"/>
      <c r="F4730" s="47"/>
      <c r="G4730" s="47"/>
      <c r="H4730" s="47"/>
      <c r="I4730" s="47"/>
      <c r="J4730" s="1">
        <v>42.0</v>
      </c>
    </row>
    <row r="4731" ht="15.75" hidden="1" customHeight="1">
      <c r="A4731" s="47"/>
      <c r="B4731" s="47"/>
      <c r="C4731" s="47"/>
      <c r="D4731" s="47"/>
      <c r="E4731" s="47"/>
      <c r="F4731" s="47"/>
      <c r="G4731" s="47"/>
      <c r="H4731" s="47"/>
      <c r="I4731" s="47"/>
      <c r="J4731" s="1">
        <v>42.0</v>
      </c>
    </row>
    <row r="4732" ht="15.75" hidden="1" customHeight="1">
      <c r="A4732" s="47"/>
      <c r="B4732" s="47"/>
      <c r="C4732" s="47"/>
      <c r="D4732" s="47"/>
      <c r="E4732" s="47"/>
      <c r="F4732" s="47"/>
      <c r="G4732" s="47"/>
      <c r="H4732" s="47"/>
      <c r="I4732" s="47"/>
      <c r="J4732" s="1">
        <v>42.0</v>
      </c>
    </row>
    <row r="4733" ht="15.75" hidden="1" customHeight="1">
      <c r="A4733" s="47"/>
      <c r="B4733" s="47"/>
      <c r="C4733" s="47"/>
      <c r="D4733" s="47"/>
      <c r="E4733" s="47"/>
      <c r="F4733" s="47"/>
      <c r="G4733" s="47"/>
      <c r="H4733" s="47"/>
      <c r="I4733" s="47"/>
      <c r="J4733" s="1">
        <v>42.0</v>
      </c>
    </row>
    <row r="4734" ht="15.75" hidden="1" customHeight="1">
      <c r="A4734" s="47"/>
      <c r="B4734" s="47"/>
      <c r="C4734" s="47"/>
      <c r="D4734" s="47"/>
      <c r="E4734" s="47"/>
      <c r="F4734" s="47"/>
      <c r="G4734" s="47"/>
      <c r="H4734" s="47"/>
      <c r="I4734" s="47"/>
      <c r="J4734" s="1">
        <v>42.0</v>
      </c>
    </row>
    <row r="4735" ht="15.75" hidden="1" customHeight="1">
      <c r="A4735" s="47"/>
      <c r="B4735" s="47"/>
      <c r="C4735" s="47"/>
      <c r="D4735" s="47"/>
      <c r="E4735" s="47"/>
      <c r="F4735" s="47"/>
      <c r="G4735" s="47"/>
      <c r="H4735" s="47"/>
      <c r="I4735" s="47"/>
      <c r="J4735" s="1">
        <v>42.0</v>
      </c>
    </row>
    <row r="4736" ht="15.75" hidden="1" customHeight="1">
      <c r="A4736" s="47"/>
      <c r="B4736" s="47"/>
      <c r="C4736" s="47"/>
      <c r="D4736" s="47"/>
      <c r="E4736" s="47"/>
      <c r="F4736" s="47"/>
      <c r="G4736" s="47"/>
      <c r="H4736" s="47"/>
      <c r="I4736" s="47"/>
      <c r="J4736" s="1">
        <v>42.0</v>
      </c>
    </row>
    <row r="4737" ht="15.75" hidden="1" customHeight="1">
      <c r="A4737" s="47"/>
      <c r="B4737" s="47"/>
      <c r="C4737" s="47"/>
      <c r="D4737" s="47"/>
      <c r="E4737" s="47"/>
      <c r="F4737" s="47"/>
      <c r="G4737" s="47"/>
      <c r="H4737" s="47"/>
      <c r="I4737" s="47"/>
      <c r="J4737" s="1">
        <v>42.0</v>
      </c>
    </row>
    <row r="4738" ht="15.75" hidden="1" customHeight="1">
      <c r="A4738" s="47"/>
      <c r="B4738" s="47"/>
      <c r="C4738" s="47"/>
      <c r="D4738" s="47"/>
      <c r="E4738" s="47"/>
      <c r="F4738" s="47"/>
      <c r="G4738" s="47"/>
      <c r="H4738" s="47"/>
      <c r="I4738" s="47"/>
      <c r="J4738" s="1">
        <v>42.0</v>
      </c>
    </row>
    <row r="4739" ht="15.75" hidden="1" customHeight="1">
      <c r="A4739" s="47"/>
      <c r="B4739" s="47"/>
      <c r="C4739" s="47"/>
      <c r="D4739" s="47"/>
      <c r="E4739" s="47"/>
      <c r="F4739" s="47"/>
      <c r="G4739" s="47"/>
      <c r="H4739" s="47"/>
      <c r="I4739" s="47"/>
      <c r="J4739" s="1">
        <v>42.0</v>
      </c>
    </row>
    <row r="4740" ht="15.75" hidden="1" customHeight="1">
      <c r="A4740" s="47"/>
      <c r="B4740" s="47"/>
      <c r="C4740" s="47"/>
      <c r="D4740" s="47"/>
      <c r="E4740" s="47"/>
      <c r="F4740" s="47"/>
      <c r="G4740" s="47"/>
      <c r="H4740" s="47"/>
      <c r="I4740" s="47"/>
      <c r="J4740" s="1">
        <v>42.0</v>
      </c>
    </row>
    <row r="4741" ht="15.75" hidden="1" customHeight="1">
      <c r="A4741" s="47"/>
      <c r="B4741" s="47"/>
      <c r="C4741" s="47"/>
      <c r="D4741" s="47"/>
      <c r="E4741" s="47"/>
      <c r="F4741" s="47"/>
      <c r="G4741" s="47"/>
      <c r="H4741" s="47"/>
      <c r="I4741" s="47"/>
      <c r="J4741" s="1">
        <v>42.0</v>
      </c>
    </row>
    <row r="4742" ht="15.75" hidden="1" customHeight="1">
      <c r="A4742" s="47"/>
      <c r="B4742" s="47"/>
      <c r="C4742" s="47"/>
      <c r="D4742" s="47"/>
      <c r="E4742" s="47"/>
      <c r="F4742" s="47"/>
      <c r="G4742" s="47"/>
      <c r="H4742" s="47"/>
      <c r="I4742" s="47"/>
      <c r="J4742" s="1">
        <v>42.0</v>
      </c>
    </row>
    <row r="4743" ht="15.75" hidden="1" customHeight="1">
      <c r="A4743" s="47"/>
      <c r="B4743" s="47"/>
      <c r="C4743" s="47"/>
      <c r="D4743" s="47"/>
      <c r="E4743" s="47"/>
      <c r="F4743" s="47"/>
      <c r="G4743" s="47"/>
      <c r="H4743" s="47"/>
      <c r="I4743" s="47"/>
      <c r="J4743" s="1">
        <v>42.0</v>
      </c>
    </row>
    <row r="4744" ht="15.75" hidden="1" customHeight="1">
      <c r="A4744" s="47"/>
      <c r="B4744" s="47"/>
      <c r="C4744" s="47"/>
      <c r="D4744" s="47"/>
      <c r="E4744" s="47"/>
      <c r="F4744" s="47"/>
      <c r="G4744" s="47"/>
      <c r="H4744" s="47"/>
      <c r="I4744" s="47"/>
      <c r="J4744" s="1">
        <v>42.0</v>
      </c>
    </row>
    <row r="4745" ht="15.75" hidden="1" customHeight="1">
      <c r="A4745" s="47"/>
      <c r="B4745" s="47"/>
      <c r="C4745" s="47"/>
      <c r="D4745" s="47"/>
      <c r="E4745" s="47"/>
      <c r="F4745" s="47"/>
      <c r="G4745" s="47"/>
      <c r="H4745" s="47"/>
      <c r="I4745" s="47"/>
      <c r="J4745" s="1">
        <v>42.0</v>
      </c>
    </row>
    <row r="4746" ht="15.75" hidden="1" customHeight="1">
      <c r="A4746" s="47"/>
      <c r="B4746" s="47"/>
      <c r="C4746" s="47"/>
      <c r="D4746" s="47"/>
      <c r="E4746" s="47"/>
      <c r="F4746" s="47"/>
      <c r="G4746" s="47"/>
      <c r="H4746" s="47"/>
      <c r="I4746" s="47"/>
      <c r="J4746" s="1">
        <v>42.0</v>
      </c>
    </row>
    <row r="4747" ht="15.75" hidden="1" customHeight="1">
      <c r="A4747" s="47"/>
      <c r="B4747" s="47"/>
      <c r="C4747" s="47"/>
      <c r="D4747" s="47"/>
      <c r="E4747" s="47"/>
      <c r="F4747" s="47"/>
      <c r="G4747" s="47"/>
      <c r="H4747" s="47"/>
      <c r="I4747" s="47"/>
      <c r="J4747" s="1">
        <v>42.0</v>
      </c>
    </row>
    <row r="4748" ht="15.75" hidden="1" customHeight="1">
      <c r="A4748" s="47"/>
      <c r="B4748" s="47"/>
      <c r="C4748" s="47"/>
      <c r="D4748" s="47"/>
      <c r="E4748" s="47"/>
      <c r="F4748" s="47"/>
      <c r="G4748" s="47"/>
      <c r="H4748" s="47"/>
      <c r="I4748" s="47"/>
      <c r="J4748" s="1">
        <v>42.0</v>
      </c>
    </row>
    <row r="4749" ht="15.75" hidden="1" customHeight="1">
      <c r="A4749" s="47"/>
      <c r="B4749" s="47"/>
      <c r="C4749" s="47"/>
      <c r="D4749" s="47"/>
      <c r="E4749" s="47"/>
      <c r="F4749" s="47"/>
      <c r="G4749" s="47"/>
      <c r="H4749" s="47"/>
      <c r="I4749" s="47"/>
      <c r="J4749" s="1">
        <v>42.0</v>
      </c>
    </row>
    <row r="4750" ht="15.75" hidden="1" customHeight="1">
      <c r="A4750" s="47"/>
      <c r="B4750" s="47"/>
      <c r="C4750" s="47"/>
      <c r="D4750" s="47"/>
      <c r="E4750" s="47"/>
      <c r="F4750" s="47"/>
      <c r="G4750" s="47"/>
      <c r="H4750" s="47"/>
      <c r="I4750" s="47"/>
      <c r="J4750" s="1">
        <v>42.0</v>
      </c>
    </row>
    <row r="4751" ht="15.75" hidden="1" customHeight="1">
      <c r="A4751" s="47"/>
      <c r="B4751" s="47"/>
      <c r="C4751" s="47"/>
      <c r="D4751" s="47"/>
      <c r="E4751" s="47"/>
      <c r="F4751" s="47"/>
      <c r="G4751" s="47"/>
      <c r="H4751" s="47"/>
      <c r="I4751" s="47"/>
      <c r="J4751" s="1">
        <v>42.0</v>
      </c>
    </row>
    <row r="4752" ht="15.75" hidden="1" customHeight="1">
      <c r="A4752" s="47"/>
      <c r="B4752" s="47"/>
      <c r="C4752" s="47"/>
      <c r="D4752" s="47"/>
      <c r="E4752" s="47"/>
      <c r="F4752" s="47"/>
      <c r="G4752" s="47"/>
      <c r="H4752" s="47"/>
      <c r="I4752" s="47"/>
      <c r="J4752" s="1">
        <v>42.0</v>
      </c>
    </row>
    <row r="4753" ht="15.75" hidden="1" customHeight="1">
      <c r="A4753" s="47"/>
      <c r="B4753" s="47"/>
      <c r="C4753" s="47"/>
      <c r="D4753" s="47"/>
      <c r="E4753" s="47"/>
      <c r="F4753" s="47"/>
      <c r="G4753" s="47"/>
      <c r="H4753" s="47"/>
      <c r="I4753" s="47"/>
      <c r="J4753" s="1">
        <v>42.0</v>
      </c>
    </row>
    <row r="4754" ht="15.75" hidden="1" customHeight="1">
      <c r="A4754" s="47"/>
      <c r="B4754" s="47"/>
      <c r="C4754" s="47"/>
      <c r="D4754" s="47"/>
      <c r="E4754" s="47"/>
      <c r="F4754" s="47"/>
      <c r="G4754" s="47"/>
      <c r="H4754" s="47"/>
      <c r="I4754" s="47"/>
      <c r="J4754" s="1">
        <v>42.0</v>
      </c>
    </row>
    <row r="4755" ht="15.75" hidden="1" customHeight="1">
      <c r="A4755" s="47"/>
      <c r="B4755" s="47"/>
      <c r="C4755" s="47"/>
      <c r="D4755" s="47"/>
      <c r="E4755" s="47"/>
      <c r="F4755" s="47"/>
      <c r="G4755" s="47"/>
      <c r="H4755" s="47"/>
      <c r="I4755" s="47"/>
      <c r="J4755" s="1">
        <v>42.0</v>
      </c>
    </row>
    <row r="4756" ht="15.75" hidden="1" customHeight="1">
      <c r="A4756" s="47"/>
      <c r="B4756" s="47"/>
      <c r="C4756" s="47"/>
      <c r="D4756" s="47"/>
      <c r="E4756" s="47"/>
      <c r="F4756" s="47"/>
      <c r="G4756" s="47"/>
      <c r="H4756" s="47"/>
      <c r="I4756" s="47"/>
      <c r="J4756" s="1">
        <v>42.0</v>
      </c>
    </row>
    <row r="4757" ht="15.75" hidden="1" customHeight="1">
      <c r="A4757" s="47"/>
      <c r="B4757" s="47"/>
      <c r="C4757" s="47"/>
      <c r="D4757" s="47"/>
      <c r="E4757" s="47"/>
      <c r="F4757" s="47"/>
      <c r="G4757" s="47"/>
      <c r="H4757" s="47"/>
      <c r="I4757" s="47"/>
      <c r="J4757" s="1">
        <v>42.0</v>
      </c>
    </row>
    <row r="4758" ht="15.75" hidden="1" customHeight="1">
      <c r="A4758" s="47"/>
      <c r="B4758" s="47"/>
      <c r="C4758" s="47"/>
      <c r="D4758" s="47"/>
      <c r="E4758" s="47"/>
      <c r="F4758" s="47"/>
      <c r="G4758" s="47"/>
      <c r="H4758" s="47"/>
      <c r="I4758" s="47"/>
      <c r="J4758" s="1">
        <v>42.0</v>
      </c>
    </row>
    <row r="4759" ht="15.75" hidden="1" customHeight="1">
      <c r="A4759" s="47"/>
      <c r="B4759" s="47"/>
      <c r="C4759" s="47"/>
      <c r="D4759" s="47"/>
      <c r="E4759" s="47"/>
      <c r="F4759" s="47"/>
      <c r="G4759" s="47"/>
      <c r="H4759" s="47"/>
      <c r="I4759" s="47"/>
      <c r="J4759" s="1">
        <v>42.0</v>
      </c>
    </row>
    <row r="4760" ht="15.75" hidden="1" customHeight="1">
      <c r="A4760" s="47"/>
      <c r="B4760" s="47"/>
      <c r="C4760" s="47"/>
      <c r="D4760" s="47"/>
      <c r="E4760" s="47"/>
      <c r="F4760" s="47"/>
      <c r="G4760" s="47"/>
      <c r="H4760" s="47"/>
      <c r="I4760" s="47"/>
      <c r="J4760" s="1">
        <v>42.0</v>
      </c>
    </row>
    <row r="4761" ht="15.75" hidden="1" customHeight="1">
      <c r="A4761" s="47"/>
      <c r="B4761" s="47"/>
      <c r="C4761" s="47"/>
      <c r="D4761" s="47"/>
      <c r="E4761" s="47"/>
      <c r="F4761" s="47"/>
      <c r="G4761" s="47"/>
      <c r="H4761" s="47"/>
      <c r="I4761" s="47"/>
      <c r="J4761" s="1">
        <v>42.0</v>
      </c>
    </row>
    <row r="4762" ht="15.75" hidden="1" customHeight="1">
      <c r="A4762" s="47"/>
      <c r="B4762" s="47"/>
      <c r="C4762" s="47"/>
      <c r="D4762" s="47"/>
      <c r="E4762" s="47"/>
      <c r="F4762" s="47"/>
      <c r="G4762" s="47"/>
      <c r="H4762" s="47"/>
      <c r="I4762" s="47"/>
      <c r="J4762" s="1">
        <v>42.0</v>
      </c>
    </row>
    <row r="4763" ht="15.75" hidden="1" customHeight="1">
      <c r="A4763" s="47"/>
      <c r="B4763" s="47"/>
      <c r="C4763" s="47"/>
      <c r="D4763" s="47"/>
      <c r="E4763" s="47"/>
      <c r="F4763" s="47"/>
      <c r="G4763" s="47"/>
      <c r="H4763" s="47"/>
      <c r="I4763" s="47"/>
      <c r="J4763" s="1">
        <v>42.0</v>
      </c>
    </row>
    <row r="4764" ht="15.75" hidden="1" customHeight="1">
      <c r="A4764" s="47"/>
      <c r="B4764" s="47"/>
      <c r="C4764" s="47"/>
      <c r="D4764" s="47"/>
      <c r="E4764" s="47"/>
      <c r="F4764" s="47"/>
      <c r="G4764" s="47"/>
      <c r="H4764" s="47"/>
      <c r="I4764" s="47"/>
      <c r="J4764" s="1">
        <v>42.0</v>
      </c>
    </row>
    <row r="4765" ht="15.75" hidden="1" customHeight="1">
      <c r="A4765" s="47"/>
      <c r="B4765" s="47"/>
      <c r="C4765" s="47"/>
      <c r="D4765" s="47"/>
      <c r="E4765" s="47"/>
      <c r="F4765" s="47"/>
      <c r="G4765" s="47"/>
      <c r="H4765" s="47"/>
      <c r="I4765" s="47"/>
      <c r="J4765" s="1">
        <v>42.0</v>
      </c>
    </row>
    <row r="4766" ht="15.75" hidden="1" customHeight="1">
      <c r="A4766" s="47"/>
      <c r="B4766" s="47"/>
      <c r="C4766" s="47"/>
      <c r="D4766" s="47"/>
      <c r="E4766" s="47"/>
      <c r="F4766" s="47"/>
      <c r="G4766" s="47"/>
      <c r="H4766" s="47"/>
      <c r="I4766" s="47"/>
      <c r="J4766" s="1">
        <v>42.0</v>
      </c>
    </row>
    <row r="4767" ht="15.75" hidden="1" customHeight="1">
      <c r="A4767" s="47"/>
      <c r="B4767" s="47"/>
      <c r="C4767" s="47"/>
      <c r="D4767" s="47"/>
      <c r="E4767" s="47"/>
      <c r="F4767" s="47"/>
      <c r="G4767" s="47"/>
      <c r="H4767" s="47"/>
      <c r="I4767" s="47"/>
      <c r="J4767" s="1">
        <v>42.0</v>
      </c>
    </row>
    <row r="4768" ht="15.75" hidden="1" customHeight="1">
      <c r="A4768" s="47"/>
      <c r="B4768" s="47"/>
      <c r="C4768" s="47"/>
      <c r="D4768" s="47"/>
      <c r="E4768" s="47"/>
      <c r="F4768" s="47"/>
      <c r="G4768" s="47"/>
      <c r="H4768" s="47"/>
      <c r="I4768" s="47"/>
      <c r="J4768" s="1">
        <v>42.0</v>
      </c>
    </row>
    <row r="4769" ht="15.75" hidden="1" customHeight="1">
      <c r="A4769" s="47"/>
      <c r="B4769" s="47"/>
      <c r="C4769" s="47"/>
      <c r="D4769" s="47"/>
      <c r="E4769" s="47"/>
      <c r="F4769" s="47"/>
      <c r="G4769" s="47"/>
      <c r="H4769" s="47"/>
      <c r="I4769" s="47"/>
      <c r="J4769" s="1">
        <v>42.0</v>
      </c>
    </row>
    <row r="4770" ht="15.75" hidden="1" customHeight="1">
      <c r="A4770" s="47"/>
      <c r="B4770" s="47"/>
      <c r="C4770" s="47"/>
      <c r="D4770" s="47"/>
      <c r="E4770" s="47"/>
      <c r="F4770" s="47"/>
      <c r="G4770" s="47"/>
      <c r="H4770" s="47"/>
      <c r="I4770" s="47"/>
      <c r="J4770" s="1">
        <v>42.0</v>
      </c>
    </row>
    <row r="4771" ht="15.75" hidden="1" customHeight="1">
      <c r="A4771" s="47"/>
      <c r="B4771" s="47"/>
      <c r="C4771" s="47"/>
      <c r="D4771" s="47"/>
      <c r="E4771" s="47"/>
      <c r="F4771" s="47"/>
      <c r="G4771" s="47"/>
      <c r="H4771" s="47"/>
      <c r="I4771" s="47"/>
      <c r="J4771" s="1">
        <v>42.0</v>
      </c>
    </row>
    <row r="4772" ht="15.75" hidden="1" customHeight="1">
      <c r="A4772" s="47"/>
      <c r="B4772" s="47"/>
      <c r="C4772" s="47"/>
      <c r="D4772" s="47"/>
      <c r="E4772" s="47"/>
      <c r="F4772" s="47"/>
      <c r="G4772" s="47"/>
      <c r="H4772" s="47"/>
      <c r="I4772" s="47"/>
      <c r="J4772" s="1">
        <v>42.0</v>
      </c>
    </row>
    <row r="4773" ht="15.75" hidden="1" customHeight="1">
      <c r="A4773" s="47"/>
      <c r="B4773" s="47"/>
      <c r="C4773" s="47"/>
      <c r="D4773" s="47"/>
      <c r="E4773" s="47"/>
      <c r="F4773" s="47"/>
      <c r="G4773" s="47"/>
      <c r="H4773" s="47"/>
      <c r="I4773" s="47"/>
      <c r="J4773" s="1">
        <v>42.0</v>
      </c>
    </row>
    <row r="4774" ht="15.75" hidden="1" customHeight="1">
      <c r="A4774" s="47"/>
      <c r="B4774" s="47"/>
      <c r="C4774" s="47"/>
      <c r="D4774" s="47"/>
      <c r="E4774" s="47"/>
      <c r="F4774" s="47"/>
      <c r="G4774" s="47"/>
      <c r="H4774" s="47"/>
      <c r="I4774" s="47"/>
      <c r="J4774" s="1">
        <v>42.0</v>
      </c>
    </row>
    <row r="4775" ht="15.75" hidden="1" customHeight="1">
      <c r="A4775" s="47"/>
      <c r="B4775" s="47"/>
      <c r="C4775" s="47"/>
      <c r="D4775" s="47"/>
      <c r="E4775" s="47"/>
      <c r="F4775" s="47"/>
      <c r="G4775" s="47"/>
      <c r="H4775" s="47"/>
      <c r="I4775" s="47"/>
      <c r="J4775" s="1">
        <v>42.0</v>
      </c>
    </row>
    <row r="4776" ht="15.75" hidden="1" customHeight="1">
      <c r="A4776" s="47"/>
      <c r="B4776" s="47"/>
      <c r="C4776" s="47"/>
      <c r="D4776" s="47"/>
      <c r="E4776" s="47"/>
      <c r="F4776" s="47"/>
      <c r="G4776" s="47"/>
      <c r="H4776" s="47"/>
      <c r="I4776" s="47"/>
      <c r="J4776" s="1">
        <v>42.0</v>
      </c>
    </row>
    <row r="4777" ht="15.75" hidden="1" customHeight="1">
      <c r="A4777" s="47"/>
      <c r="B4777" s="47"/>
      <c r="C4777" s="47"/>
      <c r="D4777" s="47"/>
      <c r="E4777" s="47"/>
      <c r="F4777" s="47"/>
      <c r="G4777" s="47"/>
      <c r="H4777" s="47"/>
      <c r="I4777" s="47"/>
      <c r="J4777" s="1">
        <v>42.0</v>
      </c>
    </row>
    <row r="4778" ht="15.75" hidden="1" customHeight="1">
      <c r="A4778" s="47"/>
      <c r="B4778" s="47"/>
      <c r="C4778" s="47"/>
      <c r="D4778" s="47"/>
      <c r="E4778" s="47"/>
      <c r="F4778" s="47"/>
      <c r="G4778" s="47"/>
      <c r="H4778" s="47"/>
      <c r="I4778" s="47"/>
      <c r="J4778" s="1">
        <v>42.0</v>
      </c>
    </row>
    <row r="4779" ht="15.75" hidden="1" customHeight="1">
      <c r="A4779" s="47"/>
      <c r="B4779" s="47"/>
      <c r="C4779" s="47"/>
      <c r="D4779" s="47"/>
      <c r="E4779" s="47"/>
      <c r="F4779" s="47"/>
      <c r="G4779" s="47"/>
      <c r="H4779" s="47"/>
      <c r="I4779" s="47"/>
      <c r="J4779" s="1">
        <v>42.0</v>
      </c>
    </row>
    <row r="4780" ht="15.75" hidden="1" customHeight="1">
      <c r="A4780" s="47"/>
      <c r="B4780" s="47"/>
      <c r="C4780" s="47"/>
      <c r="D4780" s="47"/>
      <c r="E4780" s="47"/>
      <c r="F4780" s="47"/>
      <c r="G4780" s="47"/>
      <c r="H4780" s="47"/>
      <c r="I4780" s="47"/>
      <c r="J4780" s="1">
        <v>42.0</v>
      </c>
    </row>
    <row r="4781" ht="15.75" hidden="1" customHeight="1">
      <c r="A4781" s="47"/>
      <c r="B4781" s="47"/>
      <c r="C4781" s="47"/>
      <c r="D4781" s="47"/>
      <c r="E4781" s="47"/>
      <c r="F4781" s="47"/>
      <c r="G4781" s="47"/>
      <c r="H4781" s="47"/>
      <c r="I4781" s="47"/>
      <c r="J4781" s="1">
        <v>42.0</v>
      </c>
    </row>
    <row r="4782" ht="15.75" hidden="1" customHeight="1">
      <c r="A4782" s="47"/>
      <c r="B4782" s="47"/>
      <c r="C4782" s="47"/>
      <c r="D4782" s="47"/>
      <c r="E4782" s="47"/>
      <c r="F4782" s="47"/>
      <c r="G4782" s="47"/>
      <c r="H4782" s="47"/>
      <c r="I4782" s="47"/>
      <c r="J4782" s="1">
        <v>42.0</v>
      </c>
    </row>
    <row r="4783" ht="15.75" hidden="1" customHeight="1">
      <c r="A4783" s="47"/>
      <c r="B4783" s="47"/>
      <c r="C4783" s="47"/>
      <c r="D4783" s="47"/>
      <c r="E4783" s="47"/>
      <c r="F4783" s="47"/>
      <c r="G4783" s="47"/>
      <c r="H4783" s="47"/>
      <c r="I4783" s="47"/>
      <c r="J4783" s="1">
        <v>42.0</v>
      </c>
    </row>
    <row r="4784" ht="15.75" hidden="1" customHeight="1">
      <c r="A4784" s="47"/>
      <c r="B4784" s="47"/>
      <c r="C4784" s="47"/>
      <c r="D4784" s="47"/>
      <c r="E4784" s="47"/>
      <c r="F4784" s="47"/>
      <c r="G4784" s="47"/>
      <c r="H4784" s="47"/>
      <c r="I4784" s="47"/>
      <c r="J4784" s="1">
        <v>42.0</v>
      </c>
    </row>
    <row r="4785" ht="15.75" hidden="1" customHeight="1">
      <c r="A4785" s="47"/>
      <c r="B4785" s="47"/>
      <c r="C4785" s="47"/>
      <c r="D4785" s="47"/>
      <c r="E4785" s="47"/>
      <c r="F4785" s="47"/>
      <c r="G4785" s="47"/>
      <c r="H4785" s="47"/>
      <c r="I4785" s="47"/>
      <c r="J4785" s="1">
        <v>42.0</v>
      </c>
    </row>
    <row r="4786" ht="15.75" hidden="1" customHeight="1">
      <c r="A4786" s="47"/>
      <c r="B4786" s="47"/>
      <c r="C4786" s="47"/>
      <c r="D4786" s="47"/>
      <c r="E4786" s="47"/>
      <c r="F4786" s="47"/>
      <c r="G4786" s="47"/>
      <c r="H4786" s="47"/>
      <c r="I4786" s="47"/>
      <c r="J4786" s="1">
        <v>42.0</v>
      </c>
    </row>
    <row r="4787" ht="15.75" hidden="1" customHeight="1">
      <c r="A4787" s="47"/>
      <c r="B4787" s="47"/>
      <c r="C4787" s="47"/>
      <c r="D4787" s="47"/>
      <c r="E4787" s="47"/>
      <c r="F4787" s="47"/>
      <c r="G4787" s="47"/>
      <c r="H4787" s="47"/>
      <c r="I4787" s="47"/>
      <c r="J4787" s="1">
        <v>42.0</v>
      </c>
    </row>
    <row r="4788" ht="15.75" hidden="1" customHeight="1">
      <c r="A4788" s="47"/>
      <c r="B4788" s="47"/>
      <c r="C4788" s="47"/>
      <c r="D4788" s="47"/>
      <c r="E4788" s="47"/>
      <c r="F4788" s="47"/>
      <c r="G4788" s="47"/>
      <c r="H4788" s="47"/>
      <c r="I4788" s="47"/>
      <c r="J4788" s="1">
        <v>42.0</v>
      </c>
    </row>
    <row r="4789" ht="15.75" hidden="1" customHeight="1">
      <c r="A4789" s="47"/>
      <c r="B4789" s="47"/>
      <c r="C4789" s="47"/>
      <c r="D4789" s="47"/>
      <c r="E4789" s="47"/>
      <c r="F4789" s="47"/>
      <c r="G4789" s="47"/>
      <c r="H4789" s="47"/>
      <c r="I4789" s="47"/>
      <c r="J4789" s="1">
        <v>42.0</v>
      </c>
    </row>
    <row r="4790" ht="15.75" hidden="1" customHeight="1">
      <c r="A4790" s="47"/>
      <c r="B4790" s="47"/>
      <c r="C4790" s="47"/>
      <c r="D4790" s="47"/>
      <c r="E4790" s="47"/>
      <c r="F4790" s="47"/>
      <c r="G4790" s="47"/>
      <c r="H4790" s="47"/>
      <c r="I4790" s="47"/>
      <c r="J4790" s="1">
        <v>42.0</v>
      </c>
    </row>
    <row r="4791" ht="15.75" hidden="1" customHeight="1">
      <c r="A4791" s="47"/>
      <c r="B4791" s="47"/>
      <c r="C4791" s="47"/>
      <c r="D4791" s="47"/>
      <c r="E4791" s="47"/>
      <c r="F4791" s="47"/>
      <c r="G4791" s="47"/>
      <c r="H4791" s="47"/>
      <c r="I4791" s="47"/>
      <c r="J4791" s="1">
        <v>42.0</v>
      </c>
    </row>
    <row r="4792" ht="15.75" hidden="1" customHeight="1">
      <c r="A4792" s="47"/>
      <c r="B4792" s="47"/>
      <c r="C4792" s="47"/>
      <c r="D4792" s="47"/>
      <c r="E4792" s="47"/>
      <c r="F4792" s="47"/>
      <c r="G4792" s="47"/>
      <c r="H4792" s="47"/>
      <c r="I4792" s="47"/>
      <c r="J4792" s="1">
        <v>42.0</v>
      </c>
    </row>
    <row r="4793" ht="15.75" hidden="1" customHeight="1">
      <c r="A4793" s="47"/>
      <c r="B4793" s="47"/>
      <c r="C4793" s="47"/>
      <c r="D4793" s="47"/>
      <c r="E4793" s="47"/>
      <c r="F4793" s="47"/>
      <c r="G4793" s="47"/>
      <c r="H4793" s="47"/>
      <c r="I4793" s="47"/>
      <c r="J4793" s="1">
        <v>42.0</v>
      </c>
    </row>
    <row r="4794" ht="15.75" hidden="1" customHeight="1">
      <c r="A4794" s="47"/>
      <c r="B4794" s="47"/>
      <c r="C4794" s="47"/>
      <c r="D4794" s="47"/>
      <c r="E4794" s="47"/>
      <c r="F4794" s="47"/>
      <c r="G4794" s="47"/>
      <c r="H4794" s="47"/>
      <c r="I4794" s="47"/>
      <c r="J4794" s="1">
        <v>42.0</v>
      </c>
    </row>
    <row r="4795" ht="15.75" hidden="1" customHeight="1">
      <c r="A4795" s="47"/>
      <c r="B4795" s="47"/>
      <c r="C4795" s="47"/>
      <c r="D4795" s="47"/>
      <c r="E4795" s="47"/>
      <c r="F4795" s="47"/>
      <c r="G4795" s="47"/>
      <c r="H4795" s="47"/>
      <c r="I4795" s="47"/>
      <c r="J4795" s="1">
        <v>42.0</v>
      </c>
    </row>
    <row r="4796" ht="15.75" hidden="1" customHeight="1">
      <c r="A4796" s="47"/>
      <c r="B4796" s="47"/>
      <c r="C4796" s="47"/>
      <c r="D4796" s="47"/>
      <c r="E4796" s="47"/>
      <c r="F4796" s="47"/>
      <c r="G4796" s="47"/>
      <c r="H4796" s="47"/>
      <c r="I4796" s="47"/>
      <c r="J4796" s="1">
        <v>42.0</v>
      </c>
    </row>
    <row r="4797" ht="15.75" hidden="1" customHeight="1">
      <c r="A4797" s="47"/>
      <c r="B4797" s="47"/>
      <c r="C4797" s="47"/>
      <c r="D4797" s="47"/>
      <c r="E4797" s="47"/>
      <c r="F4797" s="47"/>
      <c r="G4797" s="47"/>
      <c r="H4797" s="47"/>
      <c r="I4797" s="47"/>
      <c r="J4797" s="1">
        <v>42.0</v>
      </c>
    </row>
    <row r="4798" ht="15.75" hidden="1" customHeight="1">
      <c r="A4798" s="47"/>
      <c r="B4798" s="47"/>
      <c r="C4798" s="47"/>
      <c r="D4798" s="47"/>
      <c r="E4798" s="47"/>
      <c r="F4798" s="47"/>
      <c r="G4798" s="47"/>
      <c r="H4798" s="47"/>
      <c r="I4798" s="47"/>
      <c r="J4798" s="1">
        <v>42.0</v>
      </c>
    </row>
    <row r="4799" ht="15.75" hidden="1" customHeight="1">
      <c r="A4799" s="47"/>
      <c r="B4799" s="47"/>
      <c r="C4799" s="47"/>
      <c r="D4799" s="47"/>
      <c r="E4799" s="47"/>
      <c r="F4799" s="47"/>
      <c r="G4799" s="47"/>
      <c r="H4799" s="47"/>
      <c r="I4799" s="47"/>
      <c r="J4799" s="1">
        <v>42.0</v>
      </c>
    </row>
    <row r="4800" ht="15.75" hidden="1" customHeight="1">
      <c r="A4800" s="47"/>
      <c r="B4800" s="47"/>
      <c r="C4800" s="47"/>
      <c r="D4800" s="47"/>
      <c r="E4800" s="47"/>
      <c r="F4800" s="47"/>
      <c r="G4800" s="47"/>
      <c r="H4800" s="47"/>
      <c r="I4800" s="47"/>
      <c r="J4800" s="1">
        <v>42.0</v>
      </c>
    </row>
    <row r="4801" ht="15.75" hidden="1" customHeight="1">
      <c r="A4801" s="47"/>
      <c r="B4801" s="47"/>
      <c r="C4801" s="47"/>
      <c r="D4801" s="47"/>
      <c r="E4801" s="47"/>
      <c r="F4801" s="47"/>
      <c r="G4801" s="47"/>
      <c r="H4801" s="47"/>
      <c r="I4801" s="47"/>
      <c r="J4801" s="1">
        <v>42.0</v>
      </c>
    </row>
    <row r="4802" ht="15.75" hidden="1" customHeight="1">
      <c r="A4802" s="47"/>
      <c r="B4802" s="47"/>
      <c r="C4802" s="47"/>
      <c r="D4802" s="47"/>
      <c r="E4802" s="47"/>
      <c r="F4802" s="47"/>
      <c r="G4802" s="47"/>
      <c r="H4802" s="47"/>
      <c r="I4802" s="47"/>
      <c r="J4802" s="1">
        <v>42.0</v>
      </c>
    </row>
    <row r="4803" ht="15.75" hidden="1" customHeight="1">
      <c r="A4803" s="47"/>
      <c r="B4803" s="47"/>
      <c r="C4803" s="47"/>
      <c r="D4803" s="47"/>
      <c r="E4803" s="47"/>
      <c r="F4803" s="47"/>
      <c r="G4803" s="47"/>
      <c r="H4803" s="47"/>
      <c r="I4803" s="47"/>
      <c r="J4803" s="1">
        <v>42.0</v>
      </c>
    </row>
    <row r="4804" ht="15.75" hidden="1" customHeight="1">
      <c r="A4804" s="47"/>
      <c r="B4804" s="47"/>
      <c r="C4804" s="47"/>
      <c r="D4804" s="47"/>
      <c r="E4804" s="47"/>
      <c r="F4804" s="47"/>
      <c r="G4804" s="47"/>
      <c r="H4804" s="47"/>
      <c r="I4804" s="47"/>
      <c r="J4804" s="1">
        <v>42.0</v>
      </c>
    </row>
    <row r="4805" ht="15.75" hidden="1" customHeight="1">
      <c r="A4805" s="47"/>
      <c r="B4805" s="47"/>
      <c r="C4805" s="47"/>
      <c r="D4805" s="47"/>
      <c r="E4805" s="47"/>
      <c r="F4805" s="47"/>
      <c r="G4805" s="47"/>
      <c r="H4805" s="47"/>
      <c r="I4805" s="47"/>
      <c r="J4805" s="1">
        <v>42.0</v>
      </c>
    </row>
    <row r="4806" ht="15.75" hidden="1" customHeight="1">
      <c r="A4806" s="47"/>
      <c r="B4806" s="47"/>
      <c r="C4806" s="47"/>
      <c r="D4806" s="47"/>
      <c r="E4806" s="47"/>
      <c r="F4806" s="47"/>
      <c r="G4806" s="47"/>
      <c r="H4806" s="47"/>
      <c r="I4806" s="47"/>
      <c r="J4806" s="1">
        <v>42.0</v>
      </c>
    </row>
    <row r="4807" ht="15.75" hidden="1" customHeight="1">
      <c r="A4807" s="47"/>
      <c r="B4807" s="47"/>
      <c r="C4807" s="47"/>
      <c r="D4807" s="47"/>
      <c r="E4807" s="47"/>
      <c r="F4807" s="47"/>
      <c r="G4807" s="47"/>
      <c r="H4807" s="47"/>
      <c r="I4807" s="47"/>
      <c r="J4807" s="1">
        <v>42.0</v>
      </c>
    </row>
    <row r="4808" ht="15.75" hidden="1" customHeight="1">
      <c r="A4808" s="47"/>
      <c r="B4808" s="47"/>
      <c r="C4808" s="47"/>
      <c r="D4808" s="47"/>
      <c r="E4808" s="47"/>
      <c r="F4808" s="47"/>
      <c r="G4808" s="47"/>
      <c r="H4808" s="47"/>
      <c r="I4808" s="47"/>
      <c r="J4808" s="1">
        <v>42.0</v>
      </c>
    </row>
    <row r="4809" ht="15.75" hidden="1" customHeight="1">
      <c r="A4809" s="47"/>
      <c r="B4809" s="47"/>
      <c r="C4809" s="47"/>
      <c r="D4809" s="47"/>
      <c r="E4809" s="47"/>
      <c r="F4809" s="47"/>
      <c r="G4809" s="47"/>
      <c r="H4809" s="47"/>
      <c r="I4809" s="47"/>
      <c r="J4809" s="1">
        <v>42.0</v>
      </c>
    </row>
    <row r="4810" ht="15.75" hidden="1" customHeight="1">
      <c r="A4810" s="47"/>
      <c r="B4810" s="47"/>
      <c r="C4810" s="47"/>
      <c r="D4810" s="47"/>
      <c r="E4810" s="47"/>
      <c r="F4810" s="47"/>
      <c r="G4810" s="47"/>
      <c r="H4810" s="47"/>
      <c r="I4810" s="47"/>
      <c r="J4810" s="1">
        <v>42.0</v>
      </c>
    </row>
    <row r="4811" ht="15.75" hidden="1" customHeight="1">
      <c r="A4811" s="47"/>
      <c r="B4811" s="47"/>
      <c r="C4811" s="47"/>
      <c r="D4811" s="47"/>
      <c r="E4811" s="47"/>
      <c r="F4811" s="47"/>
      <c r="G4811" s="47"/>
      <c r="H4811" s="47"/>
      <c r="I4811" s="47"/>
      <c r="J4811" s="1">
        <v>42.0</v>
      </c>
    </row>
    <row r="4812" ht="15.75" hidden="1" customHeight="1">
      <c r="A4812" s="47"/>
      <c r="B4812" s="47"/>
      <c r="C4812" s="47"/>
      <c r="D4812" s="47"/>
      <c r="E4812" s="47"/>
      <c r="F4812" s="47"/>
      <c r="G4812" s="47"/>
      <c r="H4812" s="47"/>
      <c r="I4812" s="47"/>
      <c r="J4812" s="1">
        <v>42.0</v>
      </c>
    </row>
    <row r="4813" ht="15.75" hidden="1" customHeight="1">
      <c r="A4813" s="47"/>
      <c r="B4813" s="47"/>
      <c r="C4813" s="47"/>
      <c r="D4813" s="47"/>
      <c r="E4813" s="47"/>
      <c r="F4813" s="47"/>
      <c r="G4813" s="47"/>
      <c r="H4813" s="47"/>
      <c r="I4813" s="47"/>
      <c r="J4813" s="1">
        <v>42.0</v>
      </c>
    </row>
    <row r="4814" ht="15.75" hidden="1" customHeight="1">
      <c r="A4814" s="47"/>
      <c r="B4814" s="47"/>
      <c r="C4814" s="47"/>
      <c r="D4814" s="47"/>
      <c r="E4814" s="47"/>
      <c r="F4814" s="47"/>
      <c r="G4814" s="47"/>
      <c r="H4814" s="47"/>
      <c r="I4814" s="47"/>
      <c r="J4814" s="1">
        <v>42.0</v>
      </c>
    </row>
    <row r="4815" ht="15.75" hidden="1" customHeight="1">
      <c r="A4815" s="47"/>
      <c r="B4815" s="47"/>
      <c r="C4815" s="47"/>
      <c r="D4815" s="47"/>
      <c r="E4815" s="47"/>
      <c r="F4815" s="47"/>
      <c r="G4815" s="47"/>
      <c r="H4815" s="47"/>
      <c r="I4815" s="47"/>
      <c r="J4815" s="1">
        <v>42.0</v>
      </c>
    </row>
    <row r="4816" ht="15.75" hidden="1" customHeight="1">
      <c r="A4816" s="47"/>
      <c r="B4816" s="47"/>
      <c r="C4816" s="47"/>
      <c r="D4816" s="47"/>
      <c r="E4816" s="47"/>
      <c r="F4816" s="47"/>
      <c r="G4816" s="47"/>
      <c r="H4816" s="47"/>
      <c r="I4816" s="47"/>
      <c r="J4816" s="1">
        <v>42.0</v>
      </c>
    </row>
    <row r="4817" ht="15.75" hidden="1" customHeight="1">
      <c r="A4817" s="47"/>
      <c r="B4817" s="47"/>
      <c r="C4817" s="47"/>
      <c r="D4817" s="47"/>
      <c r="E4817" s="47"/>
      <c r="F4817" s="47"/>
      <c r="G4817" s="47"/>
      <c r="H4817" s="47"/>
      <c r="I4817" s="47"/>
      <c r="J4817" s="1">
        <v>42.0</v>
      </c>
    </row>
    <row r="4818" ht="15.75" hidden="1" customHeight="1">
      <c r="A4818" s="47"/>
      <c r="B4818" s="47"/>
      <c r="C4818" s="47"/>
      <c r="D4818" s="47"/>
      <c r="E4818" s="47"/>
      <c r="F4818" s="47"/>
      <c r="G4818" s="47"/>
      <c r="H4818" s="47"/>
      <c r="I4818" s="47"/>
      <c r="J4818" s="1">
        <v>42.0</v>
      </c>
    </row>
    <row r="4819" ht="15.75" hidden="1" customHeight="1">
      <c r="A4819" s="47"/>
      <c r="B4819" s="47"/>
      <c r="C4819" s="47"/>
      <c r="D4819" s="47"/>
      <c r="E4819" s="47"/>
      <c r="F4819" s="47"/>
      <c r="G4819" s="47"/>
      <c r="H4819" s="47"/>
      <c r="I4819" s="47"/>
      <c r="J4819" s="1">
        <v>42.0</v>
      </c>
    </row>
    <row r="4820" ht="15.75" hidden="1" customHeight="1">
      <c r="A4820" s="47"/>
      <c r="B4820" s="47"/>
      <c r="C4820" s="47"/>
      <c r="D4820" s="47"/>
      <c r="E4820" s="47"/>
      <c r="F4820" s="47"/>
      <c r="G4820" s="47"/>
      <c r="H4820" s="47"/>
      <c r="I4820" s="47"/>
      <c r="J4820" s="1">
        <v>42.0</v>
      </c>
    </row>
    <row r="4821" ht="15.75" hidden="1" customHeight="1">
      <c r="A4821" s="47"/>
      <c r="B4821" s="47"/>
      <c r="C4821" s="47"/>
      <c r="D4821" s="47"/>
      <c r="E4821" s="47"/>
      <c r="F4821" s="47"/>
      <c r="G4821" s="47"/>
      <c r="H4821" s="47"/>
      <c r="I4821" s="47"/>
      <c r="J4821" s="1">
        <v>42.0</v>
      </c>
    </row>
    <row r="4822" ht="15.75" hidden="1" customHeight="1">
      <c r="A4822" s="47"/>
      <c r="B4822" s="47"/>
      <c r="C4822" s="47"/>
      <c r="D4822" s="47"/>
      <c r="E4822" s="47"/>
      <c r="F4822" s="47"/>
      <c r="G4822" s="47"/>
      <c r="H4822" s="47"/>
      <c r="I4822" s="47"/>
      <c r="J4822" s="1">
        <v>42.0</v>
      </c>
    </row>
    <row r="4823" ht="15.75" hidden="1" customHeight="1">
      <c r="A4823" s="47"/>
      <c r="B4823" s="47"/>
      <c r="C4823" s="47"/>
      <c r="D4823" s="47"/>
      <c r="E4823" s="47"/>
      <c r="F4823" s="47"/>
      <c r="G4823" s="47"/>
      <c r="H4823" s="47"/>
      <c r="I4823" s="47"/>
      <c r="J4823" s="1">
        <v>42.0</v>
      </c>
    </row>
    <row r="4824" ht="15.75" hidden="1" customHeight="1">
      <c r="A4824" s="47"/>
      <c r="B4824" s="47"/>
      <c r="C4824" s="47"/>
      <c r="D4824" s="47"/>
      <c r="E4824" s="47"/>
      <c r="F4824" s="47"/>
      <c r="G4824" s="47"/>
      <c r="H4824" s="47"/>
      <c r="I4824" s="47"/>
      <c r="J4824" s="1">
        <v>42.0</v>
      </c>
    </row>
    <row r="4825" ht="15.75" hidden="1" customHeight="1">
      <c r="A4825" s="47"/>
      <c r="B4825" s="47"/>
      <c r="C4825" s="47"/>
      <c r="D4825" s="47"/>
      <c r="E4825" s="47"/>
      <c r="F4825" s="47"/>
      <c r="G4825" s="47"/>
      <c r="H4825" s="47"/>
      <c r="I4825" s="47"/>
      <c r="J4825" s="1">
        <v>42.0</v>
      </c>
    </row>
    <row r="4826" ht="15.75" hidden="1" customHeight="1">
      <c r="A4826" s="47"/>
      <c r="B4826" s="47"/>
      <c r="C4826" s="47"/>
      <c r="D4826" s="47"/>
      <c r="E4826" s="47"/>
      <c r="F4826" s="47"/>
      <c r="G4826" s="47"/>
      <c r="H4826" s="47"/>
      <c r="I4826" s="47"/>
      <c r="J4826" s="1">
        <v>42.0</v>
      </c>
    </row>
    <row r="4827" ht="15.75" hidden="1" customHeight="1">
      <c r="A4827" s="47"/>
      <c r="B4827" s="47"/>
      <c r="C4827" s="47"/>
      <c r="D4827" s="47"/>
      <c r="E4827" s="47"/>
      <c r="F4827" s="47"/>
      <c r="G4827" s="47"/>
      <c r="H4827" s="47"/>
      <c r="I4827" s="47"/>
      <c r="J4827" s="1">
        <v>42.0</v>
      </c>
    </row>
    <row r="4828" ht="15.75" hidden="1" customHeight="1">
      <c r="A4828" s="47"/>
      <c r="B4828" s="47"/>
      <c r="C4828" s="47"/>
      <c r="D4828" s="47"/>
      <c r="E4828" s="47"/>
      <c r="F4828" s="47"/>
      <c r="G4828" s="47"/>
      <c r="H4828" s="47"/>
      <c r="I4828" s="47"/>
      <c r="J4828" s="1">
        <v>42.0</v>
      </c>
    </row>
    <row r="4829" ht="15.75" hidden="1" customHeight="1">
      <c r="A4829" s="47"/>
      <c r="B4829" s="47"/>
      <c r="C4829" s="47"/>
      <c r="D4829" s="47"/>
      <c r="E4829" s="47"/>
      <c r="F4829" s="47"/>
      <c r="G4829" s="47"/>
      <c r="H4829" s="47"/>
      <c r="I4829" s="47"/>
      <c r="J4829" s="1">
        <v>42.0</v>
      </c>
    </row>
    <row r="4830" ht="15.75" hidden="1" customHeight="1">
      <c r="A4830" s="47"/>
      <c r="B4830" s="47"/>
      <c r="C4830" s="47"/>
      <c r="D4830" s="47"/>
      <c r="E4830" s="47"/>
      <c r="F4830" s="47"/>
      <c r="G4830" s="47"/>
      <c r="H4830" s="47"/>
      <c r="I4830" s="47"/>
      <c r="J4830" s="1">
        <v>42.0</v>
      </c>
    </row>
    <row r="4831" ht="15.75" hidden="1" customHeight="1">
      <c r="A4831" s="47"/>
      <c r="B4831" s="47"/>
      <c r="C4831" s="47"/>
      <c r="D4831" s="47"/>
      <c r="E4831" s="47"/>
      <c r="F4831" s="47"/>
      <c r="G4831" s="47"/>
      <c r="H4831" s="47"/>
      <c r="I4831" s="47"/>
      <c r="J4831" s="1">
        <v>42.0</v>
      </c>
    </row>
    <row r="4832" ht="15.75" hidden="1" customHeight="1">
      <c r="A4832" s="47"/>
      <c r="B4832" s="47"/>
      <c r="C4832" s="47"/>
      <c r="D4832" s="47"/>
      <c r="E4832" s="47"/>
      <c r="F4832" s="47"/>
      <c r="G4832" s="47"/>
      <c r="H4832" s="47"/>
      <c r="I4832" s="47"/>
      <c r="J4832" s="1">
        <v>42.0</v>
      </c>
    </row>
    <row r="4833" ht="15.75" hidden="1" customHeight="1">
      <c r="A4833" s="47"/>
      <c r="B4833" s="47"/>
      <c r="C4833" s="47"/>
      <c r="D4833" s="47"/>
      <c r="E4833" s="47"/>
      <c r="F4833" s="47"/>
      <c r="G4833" s="47"/>
      <c r="H4833" s="47"/>
      <c r="I4833" s="47"/>
      <c r="J4833" s="1">
        <v>42.0</v>
      </c>
    </row>
    <row r="4834" ht="15.75" hidden="1" customHeight="1">
      <c r="A4834" s="47"/>
      <c r="B4834" s="47"/>
      <c r="C4834" s="47"/>
      <c r="D4834" s="47"/>
      <c r="E4834" s="47"/>
      <c r="F4834" s="47"/>
      <c r="G4834" s="47"/>
      <c r="H4834" s="47"/>
      <c r="I4834" s="47"/>
      <c r="J4834" s="1">
        <v>42.0</v>
      </c>
    </row>
    <row r="4835" ht="15.75" hidden="1" customHeight="1">
      <c r="A4835" s="47"/>
      <c r="B4835" s="47"/>
      <c r="C4835" s="47"/>
      <c r="D4835" s="47"/>
      <c r="E4835" s="47"/>
      <c r="F4835" s="47"/>
      <c r="G4835" s="47"/>
      <c r="H4835" s="47"/>
      <c r="I4835" s="47"/>
      <c r="J4835" s="1">
        <v>42.0</v>
      </c>
    </row>
    <row r="4836" ht="15.75" hidden="1" customHeight="1">
      <c r="A4836" s="47"/>
      <c r="B4836" s="47"/>
      <c r="C4836" s="47"/>
      <c r="D4836" s="47"/>
      <c r="E4836" s="47"/>
      <c r="F4836" s="47"/>
      <c r="G4836" s="47"/>
      <c r="H4836" s="47"/>
      <c r="I4836" s="47"/>
      <c r="J4836" s="1">
        <v>42.0</v>
      </c>
    </row>
    <row r="4837" ht="15.75" hidden="1" customHeight="1">
      <c r="A4837" s="47"/>
      <c r="B4837" s="47"/>
      <c r="C4837" s="47"/>
      <c r="D4837" s="47"/>
      <c r="E4837" s="47"/>
      <c r="F4837" s="47"/>
      <c r="G4837" s="47"/>
      <c r="H4837" s="47"/>
      <c r="I4837" s="47"/>
      <c r="J4837" s="1">
        <v>42.0</v>
      </c>
    </row>
    <row r="4838" ht="15.75" hidden="1" customHeight="1">
      <c r="A4838" s="47"/>
      <c r="B4838" s="47"/>
      <c r="C4838" s="47"/>
      <c r="D4838" s="47"/>
      <c r="E4838" s="47"/>
      <c r="F4838" s="47"/>
      <c r="G4838" s="47"/>
      <c r="H4838" s="47"/>
      <c r="I4838" s="47"/>
      <c r="J4838" s="1">
        <v>42.0</v>
      </c>
    </row>
    <row r="4839" ht="15.75" hidden="1" customHeight="1">
      <c r="A4839" s="47"/>
      <c r="B4839" s="47"/>
      <c r="C4839" s="47"/>
      <c r="D4839" s="47"/>
      <c r="E4839" s="47"/>
      <c r="F4839" s="47"/>
      <c r="G4839" s="47"/>
      <c r="H4839" s="47"/>
      <c r="I4839" s="47"/>
      <c r="J4839" s="1">
        <v>42.0</v>
      </c>
    </row>
    <row r="4840" ht="15.75" hidden="1" customHeight="1">
      <c r="A4840" s="47"/>
      <c r="B4840" s="47"/>
      <c r="C4840" s="47"/>
      <c r="D4840" s="47"/>
      <c r="E4840" s="47"/>
      <c r="F4840" s="47"/>
      <c r="G4840" s="47"/>
      <c r="H4840" s="47"/>
      <c r="I4840" s="47"/>
      <c r="J4840" s="1">
        <v>42.0</v>
      </c>
    </row>
    <row r="4841" ht="15.75" hidden="1" customHeight="1">
      <c r="A4841" s="47"/>
      <c r="B4841" s="47"/>
      <c r="C4841" s="47"/>
      <c r="D4841" s="47"/>
      <c r="E4841" s="47"/>
      <c r="F4841" s="47"/>
      <c r="G4841" s="47"/>
      <c r="H4841" s="47"/>
      <c r="I4841" s="47"/>
      <c r="J4841" s="1">
        <v>42.0</v>
      </c>
    </row>
    <row r="4842" ht="15.75" hidden="1" customHeight="1">
      <c r="A4842" s="47"/>
      <c r="B4842" s="47"/>
      <c r="C4842" s="47"/>
      <c r="D4842" s="47"/>
      <c r="E4842" s="47"/>
      <c r="F4842" s="47"/>
      <c r="G4842" s="47"/>
      <c r="H4842" s="47"/>
      <c r="I4842" s="47"/>
      <c r="J4842" s="1">
        <v>42.0</v>
      </c>
    </row>
    <row r="4843" ht="15.75" hidden="1" customHeight="1">
      <c r="A4843" s="47"/>
      <c r="B4843" s="47"/>
      <c r="C4843" s="47"/>
      <c r="D4843" s="47"/>
      <c r="E4843" s="47"/>
      <c r="F4843" s="47"/>
      <c r="G4843" s="47"/>
      <c r="H4843" s="47"/>
      <c r="I4843" s="47"/>
      <c r="J4843" s="1">
        <v>42.0</v>
      </c>
    </row>
    <row r="4844" ht="15.75" hidden="1" customHeight="1">
      <c r="A4844" s="47"/>
      <c r="B4844" s="47"/>
      <c r="C4844" s="47"/>
      <c r="D4844" s="47"/>
      <c r="E4844" s="47"/>
      <c r="F4844" s="47"/>
      <c r="G4844" s="47"/>
      <c r="H4844" s="47"/>
      <c r="I4844" s="47"/>
      <c r="J4844" s="1">
        <v>42.0</v>
      </c>
    </row>
    <row r="4845" ht="15.75" hidden="1" customHeight="1">
      <c r="A4845" s="47"/>
      <c r="B4845" s="47"/>
      <c r="C4845" s="47"/>
      <c r="D4845" s="47"/>
      <c r="E4845" s="47"/>
      <c r="F4845" s="47"/>
      <c r="G4845" s="47"/>
      <c r="H4845" s="47"/>
      <c r="I4845" s="47"/>
      <c r="J4845" s="1">
        <v>42.0</v>
      </c>
    </row>
    <row r="4846" ht="15.75" hidden="1" customHeight="1">
      <c r="A4846" s="47"/>
      <c r="B4846" s="47"/>
      <c r="C4846" s="47"/>
      <c r="D4846" s="47"/>
      <c r="E4846" s="47"/>
      <c r="F4846" s="47"/>
      <c r="G4846" s="47"/>
      <c r="H4846" s="47"/>
      <c r="I4846" s="47"/>
      <c r="J4846" s="1">
        <v>42.0</v>
      </c>
    </row>
    <row r="4847" ht="15.75" hidden="1" customHeight="1">
      <c r="A4847" s="47"/>
      <c r="B4847" s="47"/>
      <c r="C4847" s="47"/>
      <c r="D4847" s="47"/>
      <c r="E4847" s="47"/>
      <c r="F4847" s="47"/>
      <c r="G4847" s="47"/>
      <c r="H4847" s="47"/>
      <c r="I4847" s="47"/>
      <c r="J4847" s="1">
        <v>42.0</v>
      </c>
    </row>
    <row r="4848" ht="15.75" hidden="1" customHeight="1">
      <c r="A4848" s="47"/>
      <c r="B4848" s="47"/>
      <c r="C4848" s="47"/>
      <c r="D4848" s="47"/>
      <c r="E4848" s="47"/>
      <c r="F4848" s="47"/>
      <c r="G4848" s="47"/>
      <c r="H4848" s="47"/>
      <c r="I4848" s="47"/>
      <c r="J4848" s="1">
        <v>42.0</v>
      </c>
    </row>
    <row r="4849" ht="15.75" hidden="1" customHeight="1">
      <c r="A4849" s="47"/>
      <c r="B4849" s="47"/>
      <c r="C4849" s="47"/>
      <c r="D4849" s="47"/>
      <c r="E4849" s="47"/>
      <c r="F4849" s="47"/>
      <c r="G4849" s="47"/>
      <c r="H4849" s="47"/>
      <c r="I4849" s="47"/>
      <c r="J4849" s="1">
        <v>42.0</v>
      </c>
    </row>
    <row r="4850" ht="15.75" hidden="1" customHeight="1">
      <c r="A4850" s="47"/>
      <c r="B4850" s="47"/>
      <c r="C4850" s="47"/>
      <c r="D4850" s="47"/>
      <c r="E4850" s="47"/>
      <c r="F4850" s="47"/>
      <c r="G4850" s="47"/>
      <c r="H4850" s="47"/>
      <c r="I4850" s="47"/>
      <c r="J4850" s="1">
        <v>42.0</v>
      </c>
    </row>
    <row r="4851" ht="15.75" hidden="1" customHeight="1">
      <c r="A4851" s="47"/>
      <c r="B4851" s="47"/>
      <c r="C4851" s="47"/>
      <c r="D4851" s="47"/>
      <c r="E4851" s="47"/>
      <c r="F4851" s="47"/>
      <c r="G4851" s="47"/>
      <c r="H4851" s="47"/>
      <c r="I4851" s="47"/>
      <c r="J4851" s="1">
        <v>42.0</v>
      </c>
    </row>
    <row r="4852" ht="15.75" hidden="1" customHeight="1">
      <c r="A4852" s="47"/>
      <c r="B4852" s="47"/>
      <c r="C4852" s="47"/>
      <c r="D4852" s="47"/>
      <c r="E4852" s="47"/>
      <c r="F4852" s="47"/>
      <c r="G4852" s="47"/>
      <c r="H4852" s="47"/>
      <c r="I4852" s="47"/>
      <c r="J4852" s="1">
        <v>42.0</v>
      </c>
    </row>
    <row r="4853" ht="15.75" hidden="1" customHeight="1">
      <c r="A4853" s="47"/>
      <c r="B4853" s="47"/>
      <c r="C4853" s="47"/>
      <c r="D4853" s="47"/>
      <c r="E4853" s="47"/>
      <c r="F4853" s="47"/>
      <c r="G4853" s="47"/>
      <c r="H4853" s="47"/>
      <c r="I4853" s="47"/>
      <c r="J4853" s="1">
        <v>42.0</v>
      </c>
    </row>
    <row r="4854" ht="15.75" hidden="1" customHeight="1">
      <c r="A4854" s="47"/>
      <c r="B4854" s="47"/>
      <c r="C4854" s="47"/>
      <c r="D4854" s="47"/>
      <c r="E4854" s="47"/>
      <c r="F4854" s="47"/>
      <c r="G4854" s="47"/>
      <c r="H4854" s="47"/>
      <c r="I4854" s="47"/>
      <c r="J4854" s="1">
        <v>42.0</v>
      </c>
    </row>
    <row r="4855" ht="15.75" hidden="1" customHeight="1">
      <c r="A4855" s="47"/>
      <c r="B4855" s="47"/>
      <c r="C4855" s="47"/>
      <c r="D4855" s="47"/>
      <c r="E4855" s="47"/>
      <c r="F4855" s="47"/>
      <c r="G4855" s="47"/>
      <c r="H4855" s="47"/>
      <c r="I4855" s="47"/>
      <c r="J4855" s="1">
        <v>42.0</v>
      </c>
    </row>
    <row r="4856" ht="15.75" hidden="1" customHeight="1">
      <c r="A4856" s="47"/>
      <c r="B4856" s="47"/>
      <c r="C4856" s="47"/>
      <c r="D4856" s="47"/>
      <c r="E4856" s="47"/>
      <c r="F4856" s="47"/>
      <c r="G4856" s="47"/>
      <c r="H4856" s="47"/>
      <c r="I4856" s="47"/>
      <c r="J4856" s="1">
        <v>42.0</v>
      </c>
    </row>
    <row r="4857" ht="15.75" hidden="1" customHeight="1">
      <c r="A4857" s="47"/>
      <c r="B4857" s="47"/>
      <c r="C4857" s="47"/>
      <c r="D4857" s="47"/>
      <c r="E4857" s="47"/>
      <c r="F4857" s="47"/>
      <c r="G4857" s="47"/>
      <c r="H4857" s="47"/>
      <c r="I4857" s="47"/>
      <c r="J4857" s="1">
        <v>42.0</v>
      </c>
    </row>
    <row r="4858" ht="15.75" hidden="1" customHeight="1">
      <c r="A4858" s="47"/>
      <c r="B4858" s="47"/>
      <c r="C4858" s="47"/>
      <c r="D4858" s="47"/>
      <c r="E4858" s="47"/>
      <c r="F4858" s="47"/>
      <c r="G4858" s="47"/>
      <c r="H4858" s="47"/>
      <c r="I4858" s="47"/>
      <c r="J4858" s="1">
        <v>42.0</v>
      </c>
    </row>
    <row r="4859" ht="15.75" hidden="1" customHeight="1">
      <c r="A4859" s="47"/>
      <c r="B4859" s="47"/>
      <c r="C4859" s="47"/>
      <c r="D4859" s="47"/>
      <c r="E4859" s="47"/>
      <c r="F4859" s="47"/>
      <c r="G4859" s="47"/>
      <c r="H4859" s="47"/>
      <c r="I4859" s="47"/>
      <c r="J4859" s="1">
        <v>42.0</v>
      </c>
    </row>
    <row r="4860" ht="15.75" hidden="1" customHeight="1">
      <c r="A4860" s="47"/>
      <c r="B4860" s="47"/>
      <c r="C4860" s="47"/>
      <c r="D4860" s="47"/>
      <c r="E4860" s="47"/>
      <c r="F4860" s="47"/>
      <c r="G4860" s="47"/>
      <c r="H4860" s="47"/>
      <c r="I4860" s="47"/>
      <c r="J4860" s="1">
        <v>42.0</v>
      </c>
    </row>
    <row r="4861" ht="15.75" hidden="1" customHeight="1">
      <c r="A4861" s="47"/>
      <c r="B4861" s="47"/>
      <c r="C4861" s="47"/>
      <c r="D4861" s="47"/>
      <c r="E4861" s="47"/>
      <c r="F4861" s="47"/>
      <c r="G4861" s="47"/>
      <c r="H4861" s="47"/>
      <c r="I4861" s="47"/>
      <c r="J4861" s="1">
        <v>42.0</v>
      </c>
    </row>
    <row r="4862" ht="15.75" hidden="1" customHeight="1">
      <c r="A4862" s="47"/>
      <c r="B4862" s="47"/>
      <c r="C4862" s="47"/>
      <c r="D4862" s="47"/>
      <c r="E4862" s="47"/>
      <c r="F4862" s="47"/>
      <c r="G4862" s="47"/>
      <c r="H4862" s="47"/>
      <c r="I4862" s="47"/>
      <c r="J4862" s="1">
        <v>42.0</v>
      </c>
    </row>
    <row r="4863" ht="15.75" hidden="1" customHeight="1">
      <c r="A4863" s="47"/>
      <c r="B4863" s="47"/>
      <c r="C4863" s="47"/>
      <c r="D4863" s="47"/>
      <c r="E4863" s="47"/>
      <c r="F4863" s="47"/>
      <c r="G4863" s="47"/>
      <c r="H4863" s="47"/>
      <c r="I4863" s="47"/>
      <c r="J4863" s="1">
        <v>42.0</v>
      </c>
    </row>
    <row r="4864" ht="15.75" hidden="1" customHeight="1">
      <c r="A4864" s="47"/>
      <c r="B4864" s="47"/>
      <c r="C4864" s="47"/>
      <c r="D4864" s="47"/>
      <c r="E4864" s="47"/>
      <c r="F4864" s="47"/>
      <c r="G4864" s="47"/>
      <c r="H4864" s="47"/>
      <c r="I4864" s="47"/>
      <c r="J4864" s="1">
        <v>42.0</v>
      </c>
    </row>
    <row r="4865" ht="15.75" hidden="1" customHeight="1">
      <c r="A4865" s="47"/>
      <c r="B4865" s="47"/>
      <c r="C4865" s="47"/>
      <c r="D4865" s="47"/>
      <c r="E4865" s="47"/>
      <c r="F4865" s="47"/>
      <c r="G4865" s="47"/>
      <c r="H4865" s="47"/>
      <c r="I4865" s="47"/>
      <c r="J4865" s="1">
        <v>42.0</v>
      </c>
    </row>
    <row r="4866" ht="15.75" hidden="1" customHeight="1">
      <c r="A4866" s="47"/>
      <c r="B4866" s="47"/>
      <c r="C4866" s="47"/>
      <c r="D4866" s="47"/>
      <c r="E4866" s="47"/>
      <c r="F4866" s="47"/>
      <c r="G4866" s="47"/>
      <c r="H4866" s="47"/>
      <c r="I4866" s="47"/>
      <c r="J4866" s="1">
        <v>42.0</v>
      </c>
    </row>
    <row r="4867" ht="15.75" hidden="1" customHeight="1">
      <c r="A4867" s="47"/>
      <c r="B4867" s="47"/>
      <c r="C4867" s="47"/>
      <c r="D4867" s="47"/>
      <c r="E4867" s="47"/>
      <c r="F4867" s="47"/>
      <c r="G4867" s="47"/>
      <c r="H4867" s="47"/>
      <c r="I4867" s="47"/>
      <c r="J4867" s="1">
        <v>42.0</v>
      </c>
    </row>
    <row r="4868" ht="15.75" hidden="1" customHeight="1">
      <c r="A4868" s="47"/>
      <c r="B4868" s="47"/>
      <c r="C4868" s="47"/>
      <c r="D4868" s="47"/>
      <c r="E4868" s="47"/>
      <c r="F4868" s="47"/>
      <c r="G4868" s="47"/>
      <c r="H4868" s="47"/>
      <c r="I4868" s="47"/>
      <c r="J4868" s="1">
        <v>42.0</v>
      </c>
    </row>
    <row r="4869" ht="15.75" hidden="1" customHeight="1">
      <c r="A4869" s="47"/>
      <c r="B4869" s="47"/>
      <c r="C4869" s="47"/>
      <c r="D4869" s="47"/>
      <c r="E4869" s="47"/>
      <c r="F4869" s="47"/>
      <c r="G4869" s="47"/>
      <c r="H4869" s="47"/>
      <c r="I4869" s="47"/>
      <c r="J4869" s="1">
        <v>42.0</v>
      </c>
    </row>
    <row r="4870" ht="15.75" hidden="1" customHeight="1">
      <c r="A4870" s="47"/>
      <c r="B4870" s="47"/>
      <c r="C4870" s="47"/>
      <c r="D4870" s="47"/>
      <c r="E4870" s="47"/>
      <c r="F4870" s="47"/>
      <c r="G4870" s="47"/>
      <c r="H4870" s="47"/>
      <c r="I4870" s="47"/>
      <c r="J4870" s="1">
        <v>42.0</v>
      </c>
    </row>
    <row r="4871" ht="15.75" hidden="1" customHeight="1">
      <c r="A4871" s="47"/>
      <c r="B4871" s="47"/>
      <c r="C4871" s="47"/>
      <c r="D4871" s="47"/>
      <c r="E4871" s="47"/>
      <c r="F4871" s="47"/>
      <c r="G4871" s="47"/>
      <c r="H4871" s="47"/>
      <c r="I4871" s="47"/>
      <c r="J4871" s="1">
        <v>42.0</v>
      </c>
    </row>
    <row r="4872" ht="15.75" hidden="1" customHeight="1">
      <c r="A4872" s="47"/>
      <c r="B4872" s="47"/>
      <c r="C4872" s="47"/>
      <c r="D4872" s="47"/>
      <c r="E4872" s="47"/>
      <c r="F4872" s="47"/>
      <c r="G4872" s="47"/>
      <c r="H4872" s="47"/>
      <c r="I4872" s="47"/>
      <c r="J4872" s="1">
        <v>42.0</v>
      </c>
    </row>
    <row r="4873" ht="15.75" hidden="1" customHeight="1">
      <c r="A4873" s="47"/>
      <c r="B4873" s="47"/>
      <c r="C4873" s="47"/>
      <c r="D4873" s="47"/>
      <c r="E4873" s="47"/>
      <c r="F4873" s="47"/>
      <c r="G4873" s="47"/>
      <c r="H4873" s="47"/>
      <c r="I4873" s="47"/>
      <c r="J4873" s="1">
        <v>42.0</v>
      </c>
    </row>
    <row r="4874" ht="15.75" hidden="1" customHeight="1">
      <c r="A4874" s="47"/>
      <c r="B4874" s="47"/>
      <c r="C4874" s="47"/>
      <c r="D4874" s="47"/>
      <c r="E4874" s="47"/>
      <c r="F4874" s="47"/>
      <c r="G4874" s="47"/>
      <c r="H4874" s="47"/>
      <c r="I4874" s="47"/>
      <c r="J4874" s="1">
        <v>42.0</v>
      </c>
    </row>
    <row r="4875" ht="15.75" hidden="1" customHeight="1">
      <c r="A4875" s="47"/>
      <c r="B4875" s="47"/>
      <c r="C4875" s="47"/>
      <c r="D4875" s="47"/>
      <c r="E4875" s="47"/>
      <c r="F4875" s="47"/>
      <c r="G4875" s="47"/>
      <c r="H4875" s="47"/>
      <c r="I4875" s="47"/>
      <c r="J4875" s="1">
        <v>42.0</v>
      </c>
    </row>
    <row r="4876" ht="15.75" hidden="1" customHeight="1">
      <c r="A4876" s="47"/>
      <c r="B4876" s="47"/>
      <c r="C4876" s="47"/>
      <c r="D4876" s="47"/>
      <c r="E4876" s="47"/>
      <c r="F4876" s="47"/>
      <c r="G4876" s="47"/>
      <c r="H4876" s="47"/>
      <c r="I4876" s="47"/>
      <c r="J4876" s="1">
        <v>42.0</v>
      </c>
    </row>
    <row r="4877" ht="15.75" hidden="1" customHeight="1">
      <c r="A4877" s="47"/>
      <c r="B4877" s="47"/>
      <c r="C4877" s="47"/>
      <c r="D4877" s="47"/>
      <c r="E4877" s="47"/>
      <c r="F4877" s="47"/>
      <c r="G4877" s="47"/>
      <c r="H4877" s="47"/>
      <c r="I4877" s="47"/>
      <c r="J4877" s="1">
        <v>42.0</v>
      </c>
    </row>
    <row r="4878" ht="15.75" hidden="1" customHeight="1">
      <c r="A4878" s="47"/>
      <c r="B4878" s="47"/>
      <c r="C4878" s="47"/>
      <c r="D4878" s="47"/>
      <c r="E4878" s="47"/>
      <c r="F4878" s="47"/>
      <c r="G4878" s="47"/>
      <c r="H4878" s="47"/>
      <c r="I4878" s="47"/>
      <c r="J4878" s="1">
        <v>42.0</v>
      </c>
    </row>
    <row r="4879" ht="15.75" hidden="1" customHeight="1">
      <c r="A4879" s="47"/>
      <c r="B4879" s="47"/>
      <c r="C4879" s="47"/>
      <c r="D4879" s="47"/>
      <c r="E4879" s="47"/>
      <c r="F4879" s="47"/>
      <c r="G4879" s="47"/>
      <c r="H4879" s="47"/>
      <c r="I4879" s="47"/>
      <c r="J4879" s="1">
        <v>42.0</v>
      </c>
    </row>
    <row r="4880" ht="15.75" hidden="1" customHeight="1">
      <c r="A4880" s="47"/>
      <c r="B4880" s="47"/>
      <c r="C4880" s="47"/>
      <c r="D4880" s="47"/>
      <c r="E4880" s="47"/>
      <c r="F4880" s="47"/>
      <c r="G4880" s="47"/>
      <c r="H4880" s="47"/>
      <c r="I4880" s="47"/>
      <c r="J4880" s="1">
        <v>42.0</v>
      </c>
    </row>
    <row r="4881" ht="15.75" hidden="1" customHeight="1">
      <c r="A4881" s="47"/>
      <c r="B4881" s="47"/>
      <c r="C4881" s="47"/>
      <c r="D4881" s="47"/>
      <c r="E4881" s="47"/>
      <c r="F4881" s="47"/>
      <c r="G4881" s="47"/>
      <c r="H4881" s="47"/>
      <c r="I4881" s="47"/>
      <c r="J4881" s="1">
        <v>42.0</v>
      </c>
    </row>
    <row r="4882" ht="15.75" hidden="1" customHeight="1">
      <c r="A4882" s="47"/>
      <c r="B4882" s="47"/>
      <c r="C4882" s="47"/>
      <c r="D4882" s="47"/>
      <c r="E4882" s="47"/>
      <c r="F4882" s="47"/>
      <c r="G4882" s="47"/>
      <c r="H4882" s="47"/>
      <c r="I4882" s="47"/>
      <c r="J4882" s="1">
        <v>42.0</v>
      </c>
    </row>
    <row r="4883" ht="15.75" hidden="1" customHeight="1">
      <c r="A4883" s="47"/>
      <c r="B4883" s="47"/>
      <c r="C4883" s="47"/>
      <c r="D4883" s="47"/>
      <c r="E4883" s="47"/>
      <c r="F4883" s="47"/>
      <c r="G4883" s="47"/>
      <c r="H4883" s="47"/>
      <c r="I4883" s="47"/>
      <c r="J4883" s="1">
        <v>42.0</v>
      </c>
    </row>
    <row r="4884" ht="15.75" hidden="1" customHeight="1">
      <c r="A4884" s="47"/>
      <c r="B4884" s="47"/>
      <c r="C4884" s="47"/>
      <c r="D4884" s="47"/>
      <c r="E4884" s="47"/>
      <c r="F4884" s="47"/>
      <c r="G4884" s="47"/>
      <c r="H4884" s="47"/>
      <c r="I4884" s="47"/>
      <c r="J4884" s="1">
        <v>42.0</v>
      </c>
    </row>
    <row r="4885" ht="15.75" hidden="1" customHeight="1">
      <c r="A4885" s="47"/>
      <c r="B4885" s="47"/>
      <c r="C4885" s="47"/>
      <c r="D4885" s="47"/>
      <c r="E4885" s="47"/>
      <c r="F4885" s="47"/>
      <c r="G4885" s="47"/>
      <c r="H4885" s="47"/>
      <c r="I4885" s="47"/>
      <c r="J4885" s="1">
        <v>42.0</v>
      </c>
    </row>
    <row r="4886" ht="15.75" hidden="1" customHeight="1">
      <c r="A4886" s="47"/>
      <c r="B4886" s="47"/>
      <c r="C4886" s="47"/>
      <c r="D4886" s="47"/>
      <c r="E4886" s="47"/>
      <c r="F4886" s="47"/>
      <c r="G4886" s="47"/>
      <c r="H4886" s="47"/>
      <c r="I4886" s="47"/>
      <c r="J4886" s="1">
        <v>42.0</v>
      </c>
    </row>
    <row r="4887" ht="15.75" hidden="1" customHeight="1">
      <c r="A4887" s="47"/>
      <c r="B4887" s="47"/>
      <c r="C4887" s="47"/>
      <c r="D4887" s="47"/>
      <c r="E4887" s="47"/>
      <c r="F4887" s="47"/>
      <c r="G4887" s="47"/>
      <c r="H4887" s="47"/>
      <c r="I4887" s="47"/>
      <c r="J4887" s="1">
        <v>42.0</v>
      </c>
    </row>
    <row r="4888" ht="15.75" hidden="1" customHeight="1">
      <c r="A4888" s="47"/>
      <c r="B4888" s="47"/>
      <c r="C4888" s="47"/>
      <c r="D4888" s="47"/>
      <c r="E4888" s="47"/>
      <c r="F4888" s="47"/>
      <c r="G4888" s="47"/>
      <c r="H4888" s="47"/>
      <c r="I4888" s="47"/>
      <c r="J4888" s="1">
        <v>42.0</v>
      </c>
    </row>
    <row r="4889" ht="15.75" hidden="1" customHeight="1">
      <c r="A4889" s="47"/>
      <c r="B4889" s="47"/>
      <c r="C4889" s="47"/>
      <c r="D4889" s="47"/>
      <c r="E4889" s="47"/>
      <c r="F4889" s="47"/>
      <c r="G4889" s="47"/>
      <c r="H4889" s="47"/>
      <c r="I4889" s="47"/>
      <c r="J4889" s="1">
        <v>42.0</v>
      </c>
    </row>
    <row r="4890" ht="15.75" hidden="1" customHeight="1">
      <c r="A4890" s="47"/>
      <c r="B4890" s="47"/>
      <c r="C4890" s="47"/>
      <c r="D4890" s="47"/>
      <c r="E4890" s="47"/>
      <c r="F4890" s="47"/>
      <c r="G4890" s="47"/>
      <c r="H4890" s="47"/>
      <c r="I4890" s="47"/>
      <c r="J4890" s="1">
        <v>42.0</v>
      </c>
    </row>
    <row r="4891" ht="15.75" hidden="1" customHeight="1">
      <c r="A4891" s="47"/>
      <c r="B4891" s="47"/>
      <c r="C4891" s="47"/>
      <c r="D4891" s="47"/>
      <c r="E4891" s="47"/>
      <c r="F4891" s="47"/>
      <c r="G4891" s="47"/>
      <c r="H4891" s="47"/>
      <c r="I4891" s="47"/>
      <c r="J4891" s="1">
        <v>42.0</v>
      </c>
    </row>
    <row r="4892" ht="15.75" hidden="1" customHeight="1">
      <c r="A4892" s="47"/>
      <c r="B4892" s="47"/>
      <c r="C4892" s="47"/>
      <c r="D4892" s="47"/>
      <c r="E4892" s="47"/>
      <c r="F4892" s="47"/>
      <c r="G4892" s="47"/>
      <c r="H4892" s="47"/>
      <c r="I4892" s="47"/>
      <c r="J4892" s="1">
        <v>42.0</v>
      </c>
    </row>
    <row r="4893" ht="15.75" hidden="1" customHeight="1">
      <c r="A4893" s="47"/>
      <c r="B4893" s="47"/>
      <c r="C4893" s="47"/>
      <c r="D4893" s="47"/>
      <c r="E4893" s="47"/>
      <c r="F4893" s="47"/>
      <c r="G4893" s="47"/>
      <c r="H4893" s="47"/>
      <c r="I4893" s="47"/>
      <c r="J4893" s="1">
        <v>42.0</v>
      </c>
    </row>
    <row r="4894" ht="15.75" hidden="1" customHeight="1">
      <c r="A4894" s="47"/>
      <c r="B4894" s="47"/>
      <c r="C4894" s="47"/>
      <c r="D4894" s="47"/>
      <c r="E4894" s="47"/>
      <c r="F4894" s="47"/>
      <c r="G4894" s="47"/>
      <c r="H4894" s="47"/>
      <c r="I4894" s="47"/>
      <c r="J4894" s="1">
        <v>42.0</v>
      </c>
    </row>
    <row r="4895" ht="15.75" hidden="1" customHeight="1">
      <c r="A4895" s="47"/>
      <c r="B4895" s="47"/>
      <c r="C4895" s="47"/>
      <c r="D4895" s="47"/>
      <c r="E4895" s="47"/>
      <c r="F4895" s="47"/>
      <c r="G4895" s="47"/>
      <c r="H4895" s="47"/>
      <c r="I4895" s="47"/>
      <c r="J4895" s="1">
        <v>42.0</v>
      </c>
    </row>
    <row r="4896" ht="15.75" hidden="1" customHeight="1">
      <c r="A4896" s="47"/>
      <c r="B4896" s="47"/>
      <c r="C4896" s="47"/>
      <c r="D4896" s="47"/>
      <c r="E4896" s="47"/>
      <c r="F4896" s="47"/>
      <c r="G4896" s="47"/>
      <c r="H4896" s="47"/>
      <c r="I4896" s="47"/>
      <c r="J4896" s="1">
        <v>42.0</v>
      </c>
    </row>
    <row r="4897" ht="15.75" hidden="1" customHeight="1">
      <c r="A4897" s="47"/>
      <c r="B4897" s="47"/>
      <c r="C4897" s="47"/>
      <c r="D4897" s="47"/>
      <c r="E4897" s="47"/>
      <c r="F4897" s="47"/>
      <c r="G4897" s="47"/>
      <c r="H4897" s="47"/>
      <c r="I4897" s="47"/>
      <c r="J4897" s="1">
        <v>42.0</v>
      </c>
    </row>
    <row r="4898" ht="15.75" hidden="1" customHeight="1">
      <c r="A4898" s="47"/>
      <c r="B4898" s="47"/>
      <c r="C4898" s="47"/>
      <c r="D4898" s="47"/>
      <c r="E4898" s="47"/>
      <c r="F4898" s="47"/>
      <c r="G4898" s="47"/>
      <c r="H4898" s="47"/>
      <c r="I4898" s="47"/>
      <c r="J4898" s="1">
        <v>42.0</v>
      </c>
    </row>
    <row r="4899" ht="15.75" hidden="1" customHeight="1">
      <c r="A4899" s="47"/>
      <c r="B4899" s="47"/>
      <c r="C4899" s="47"/>
      <c r="D4899" s="47"/>
      <c r="E4899" s="47"/>
      <c r="F4899" s="47"/>
      <c r="G4899" s="47"/>
      <c r="H4899" s="47"/>
      <c r="I4899" s="47"/>
      <c r="J4899" s="1">
        <v>42.0</v>
      </c>
    </row>
    <row r="4900" ht="15.75" hidden="1" customHeight="1">
      <c r="A4900" s="47"/>
      <c r="B4900" s="47"/>
      <c r="C4900" s="47"/>
      <c r="D4900" s="47"/>
      <c r="E4900" s="47"/>
      <c r="F4900" s="47"/>
      <c r="G4900" s="47"/>
      <c r="H4900" s="47"/>
      <c r="I4900" s="47"/>
      <c r="J4900" s="1">
        <v>42.0</v>
      </c>
    </row>
    <row r="4901" ht="15.75" hidden="1" customHeight="1">
      <c r="A4901" s="47"/>
      <c r="B4901" s="47"/>
      <c r="C4901" s="47"/>
      <c r="D4901" s="47"/>
      <c r="E4901" s="47"/>
      <c r="F4901" s="47"/>
      <c r="G4901" s="47"/>
      <c r="H4901" s="47"/>
      <c r="I4901" s="47"/>
      <c r="J4901" s="1">
        <v>42.0</v>
      </c>
    </row>
    <row r="4902" ht="15.75" hidden="1" customHeight="1">
      <c r="A4902" s="47"/>
      <c r="B4902" s="47"/>
      <c r="C4902" s="47"/>
      <c r="D4902" s="47"/>
      <c r="E4902" s="47"/>
      <c r="F4902" s="47"/>
      <c r="G4902" s="47"/>
      <c r="H4902" s="47"/>
      <c r="I4902" s="47"/>
      <c r="J4902" s="1">
        <v>42.0</v>
      </c>
    </row>
    <row r="4903" ht="15.75" hidden="1" customHeight="1">
      <c r="A4903" s="47"/>
      <c r="B4903" s="47"/>
      <c r="C4903" s="47"/>
      <c r="D4903" s="47"/>
      <c r="E4903" s="47"/>
      <c r="F4903" s="47"/>
      <c r="G4903" s="47"/>
      <c r="H4903" s="47"/>
      <c r="I4903" s="47"/>
      <c r="J4903" s="1">
        <v>42.0</v>
      </c>
    </row>
    <row r="4904" ht="15.75" hidden="1" customHeight="1">
      <c r="A4904" s="47"/>
      <c r="B4904" s="47"/>
      <c r="C4904" s="47"/>
      <c r="D4904" s="47"/>
      <c r="E4904" s="47"/>
      <c r="F4904" s="47"/>
      <c r="G4904" s="47"/>
      <c r="H4904" s="47"/>
      <c r="I4904" s="47"/>
      <c r="J4904" s="1">
        <v>42.0</v>
      </c>
    </row>
    <row r="4905" ht="15.75" hidden="1" customHeight="1">
      <c r="A4905" s="47"/>
      <c r="B4905" s="47"/>
      <c r="C4905" s="47"/>
      <c r="D4905" s="47"/>
      <c r="E4905" s="47"/>
      <c r="F4905" s="47"/>
      <c r="G4905" s="47"/>
      <c r="H4905" s="47"/>
      <c r="I4905" s="47"/>
      <c r="J4905" s="1">
        <v>42.0</v>
      </c>
    </row>
    <row r="4906" ht="15.75" hidden="1" customHeight="1">
      <c r="A4906" s="47"/>
      <c r="B4906" s="47"/>
      <c r="C4906" s="47"/>
      <c r="D4906" s="47"/>
      <c r="E4906" s="47"/>
      <c r="F4906" s="47"/>
      <c r="G4906" s="47"/>
      <c r="H4906" s="47"/>
      <c r="I4906" s="47"/>
      <c r="J4906" s="1">
        <v>42.0</v>
      </c>
    </row>
    <row r="4907" ht="15.75" hidden="1" customHeight="1">
      <c r="A4907" s="47"/>
      <c r="B4907" s="47"/>
      <c r="C4907" s="47"/>
      <c r="D4907" s="47"/>
      <c r="E4907" s="47"/>
      <c r="F4907" s="47"/>
      <c r="G4907" s="47"/>
      <c r="H4907" s="47"/>
      <c r="I4907" s="47"/>
      <c r="J4907" s="1">
        <v>42.0</v>
      </c>
    </row>
    <row r="4908" ht="15.75" hidden="1" customHeight="1">
      <c r="A4908" s="47"/>
      <c r="B4908" s="47"/>
      <c r="C4908" s="47"/>
      <c r="D4908" s="47"/>
      <c r="E4908" s="47"/>
      <c r="F4908" s="47"/>
      <c r="G4908" s="47"/>
      <c r="H4908" s="47"/>
      <c r="I4908" s="47"/>
      <c r="J4908" s="1">
        <v>42.0</v>
      </c>
    </row>
    <row r="4909" ht="15.75" hidden="1" customHeight="1">
      <c r="A4909" s="47"/>
      <c r="B4909" s="47"/>
      <c r="C4909" s="47"/>
      <c r="D4909" s="47"/>
      <c r="E4909" s="47"/>
      <c r="F4909" s="47"/>
      <c r="G4909" s="47"/>
      <c r="H4909" s="47"/>
      <c r="I4909" s="47"/>
      <c r="J4909" s="1">
        <v>42.0</v>
      </c>
    </row>
    <row r="4910" ht="15.75" hidden="1" customHeight="1">
      <c r="A4910" s="47"/>
      <c r="B4910" s="47"/>
      <c r="C4910" s="47"/>
      <c r="D4910" s="47"/>
      <c r="E4910" s="47"/>
      <c r="F4910" s="47"/>
      <c r="G4910" s="47"/>
      <c r="H4910" s="47"/>
      <c r="I4910" s="47"/>
      <c r="J4910" s="1">
        <v>42.0</v>
      </c>
    </row>
    <row r="4911" ht="15.75" hidden="1" customHeight="1">
      <c r="A4911" s="47"/>
      <c r="B4911" s="47"/>
      <c r="C4911" s="47"/>
      <c r="D4911" s="47"/>
      <c r="E4911" s="47"/>
      <c r="F4911" s="47"/>
      <c r="G4911" s="47"/>
      <c r="H4911" s="47"/>
      <c r="I4911" s="47"/>
      <c r="J4911" s="1">
        <v>42.0</v>
      </c>
    </row>
    <row r="4912" ht="15.75" hidden="1" customHeight="1">
      <c r="A4912" s="47"/>
      <c r="B4912" s="47"/>
      <c r="C4912" s="47"/>
      <c r="D4912" s="47"/>
      <c r="E4912" s="47"/>
      <c r="F4912" s="47"/>
      <c r="G4912" s="47"/>
      <c r="H4912" s="47"/>
      <c r="I4912" s="47"/>
      <c r="J4912" s="1">
        <v>42.0</v>
      </c>
    </row>
    <row r="4913" ht="15.75" hidden="1" customHeight="1">
      <c r="A4913" s="47"/>
      <c r="B4913" s="47"/>
      <c r="C4913" s="47"/>
      <c r="D4913" s="47"/>
      <c r="E4913" s="47"/>
      <c r="F4913" s="47"/>
      <c r="G4913" s="47"/>
      <c r="H4913" s="47"/>
      <c r="I4913" s="47"/>
      <c r="J4913" s="1">
        <v>42.0</v>
      </c>
    </row>
    <row r="4914" ht="15.75" hidden="1" customHeight="1">
      <c r="A4914" s="47"/>
      <c r="B4914" s="47"/>
      <c r="C4914" s="47"/>
      <c r="D4914" s="47"/>
      <c r="E4914" s="47"/>
      <c r="F4914" s="47"/>
      <c r="G4914" s="47"/>
      <c r="H4914" s="47"/>
      <c r="I4914" s="47"/>
      <c r="J4914" s="1">
        <v>42.0</v>
      </c>
    </row>
    <row r="4915" ht="15.75" hidden="1" customHeight="1">
      <c r="A4915" s="47"/>
      <c r="B4915" s="47"/>
      <c r="C4915" s="47"/>
      <c r="D4915" s="47"/>
      <c r="E4915" s="47"/>
      <c r="F4915" s="47"/>
      <c r="G4915" s="47"/>
      <c r="H4915" s="47"/>
      <c r="I4915" s="47"/>
      <c r="J4915" s="1">
        <v>42.0</v>
      </c>
    </row>
    <row r="4916" ht="15.75" hidden="1" customHeight="1">
      <c r="A4916" s="47"/>
      <c r="B4916" s="47"/>
      <c r="C4916" s="47"/>
      <c r="D4916" s="47"/>
      <c r="E4916" s="47"/>
      <c r="F4916" s="47"/>
      <c r="G4916" s="47"/>
      <c r="H4916" s="47"/>
      <c r="I4916" s="47"/>
      <c r="J4916" s="1">
        <v>42.0</v>
      </c>
    </row>
    <row r="4917" ht="15.75" hidden="1" customHeight="1">
      <c r="A4917" s="47"/>
      <c r="B4917" s="47"/>
      <c r="C4917" s="47"/>
      <c r="D4917" s="47"/>
      <c r="E4917" s="47"/>
      <c r="F4917" s="47"/>
      <c r="G4917" s="47"/>
      <c r="H4917" s="47"/>
      <c r="I4917" s="47"/>
      <c r="J4917" s="1">
        <v>42.0</v>
      </c>
    </row>
    <row r="4918" ht="15.75" hidden="1" customHeight="1">
      <c r="A4918" s="47"/>
      <c r="B4918" s="47"/>
      <c r="C4918" s="47"/>
      <c r="D4918" s="47"/>
      <c r="E4918" s="47"/>
      <c r="F4918" s="47"/>
      <c r="G4918" s="47"/>
      <c r="H4918" s="47"/>
      <c r="I4918" s="47"/>
      <c r="J4918" s="1">
        <v>42.0</v>
      </c>
    </row>
    <row r="4919" ht="15.75" hidden="1" customHeight="1">
      <c r="A4919" s="47"/>
      <c r="B4919" s="47"/>
      <c r="C4919" s="47"/>
      <c r="D4919" s="47"/>
      <c r="E4919" s="47"/>
      <c r="F4919" s="47"/>
      <c r="G4919" s="47"/>
      <c r="H4919" s="47"/>
      <c r="I4919" s="47"/>
      <c r="J4919" s="1">
        <v>42.0</v>
      </c>
    </row>
    <row r="4920" ht="15.75" hidden="1" customHeight="1">
      <c r="A4920" s="47"/>
      <c r="B4920" s="47"/>
      <c r="C4920" s="47"/>
      <c r="D4920" s="47"/>
      <c r="E4920" s="47"/>
      <c r="F4920" s="47"/>
      <c r="G4920" s="47"/>
      <c r="H4920" s="47"/>
      <c r="I4920" s="47"/>
      <c r="J4920" s="1">
        <v>42.0</v>
      </c>
    </row>
    <row r="4921" ht="15.75" hidden="1" customHeight="1">
      <c r="A4921" s="47"/>
      <c r="B4921" s="47"/>
      <c r="C4921" s="47"/>
      <c r="D4921" s="47"/>
      <c r="E4921" s="47"/>
      <c r="F4921" s="47"/>
      <c r="G4921" s="47"/>
      <c r="H4921" s="47"/>
      <c r="I4921" s="47"/>
      <c r="J4921" s="1">
        <v>42.0</v>
      </c>
    </row>
    <row r="4922" ht="15.75" hidden="1" customHeight="1">
      <c r="A4922" s="47"/>
      <c r="B4922" s="47"/>
      <c r="C4922" s="47"/>
      <c r="D4922" s="47"/>
      <c r="E4922" s="47"/>
      <c r="F4922" s="47"/>
      <c r="G4922" s="47"/>
      <c r="H4922" s="47"/>
      <c r="I4922" s="47"/>
      <c r="J4922" s="1">
        <v>42.0</v>
      </c>
    </row>
    <row r="4923" ht="15.75" hidden="1" customHeight="1">
      <c r="A4923" s="47"/>
      <c r="B4923" s="47"/>
      <c r="C4923" s="47"/>
      <c r="D4923" s="47"/>
      <c r="E4923" s="47"/>
      <c r="F4923" s="47"/>
      <c r="G4923" s="47"/>
      <c r="H4923" s="47"/>
      <c r="I4923" s="47"/>
      <c r="J4923" s="1">
        <v>42.0</v>
      </c>
    </row>
    <row r="4924" ht="15.75" hidden="1" customHeight="1">
      <c r="A4924" s="47"/>
      <c r="B4924" s="47"/>
      <c r="C4924" s="47"/>
      <c r="D4924" s="47"/>
      <c r="E4924" s="47"/>
      <c r="F4924" s="47"/>
      <c r="G4924" s="47"/>
      <c r="H4924" s="47"/>
      <c r="I4924" s="47"/>
      <c r="J4924" s="1">
        <v>42.0</v>
      </c>
    </row>
    <row r="4925" ht="15.75" hidden="1" customHeight="1">
      <c r="A4925" s="47"/>
      <c r="B4925" s="47"/>
      <c r="C4925" s="47"/>
      <c r="D4925" s="47"/>
      <c r="E4925" s="47"/>
      <c r="F4925" s="47"/>
      <c r="G4925" s="47"/>
      <c r="H4925" s="47"/>
      <c r="I4925" s="47"/>
      <c r="J4925" s="1">
        <v>42.0</v>
      </c>
    </row>
    <row r="4926" ht="15.75" hidden="1" customHeight="1">
      <c r="A4926" s="47"/>
      <c r="B4926" s="47"/>
      <c r="C4926" s="47"/>
      <c r="D4926" s="47"/>
      <c r="E4926" s="47"/>
      <c r="F4926" s="47"/>
      <c r="G4926" s="47"/>
      <c r="H4926" s="47"/>
      <c r="I4926" s="47"/>
      <c r="J4926" s="1">
        <v>42.0</v>
      </c>
    </row>
    <row r="4927" ht="15.75" hidden="1" customHeight="1">
      <c r="A4927" s="47"/>
      <c r="B4927" s="47"/>
      <c r="C4927" s="47"/>
      <c r="D4927" s="47"/>
      <c r="E4927" s="47"/>
      <c r="F4927" s="47"/>
      <c r="G4927" s="47"/>
      <c r="H4927" s="47"/>
      <c r="I4927" s="47"/>
      <c r="J4927" s="1">
        <v>42.0</v>
      </c>
    </row>
    <row r="4928" ht="15.75" hidden="1" customHeight="1">
      <c r="A4928" s="47"/>
      <c r="B4928" s="47"/>
      <c r="C4928" s="47"/>
      <c r="D4928" s="47"/>
      <c r="E4928" s="47"/>
      <c r="F4928" s="47"/>
      <c r="G4928" s="47"/>
      <c r="H4928" s="47"/>
      <c r="I4928" s="47"/>
      <c r="J4928" s="1">
        <v>42.0</v>
      </c>
    </row>
    <row r="4929" ht="15.75" hidden="1" customHeight="1">
      <c r="A4929" s="47"/>
      <c r="B4929" s="47"/>
      <c r="C4929" s="47"/>
      <c r="D4929" s="47"/>
      <c r="E4929" s="47"/>
      <c r="F4929" s="47"/>
      <c r="G4929" s="47"/>
      <c r="H4929" s="47"/>
      <c r="I4929" s="47"/>
      <c r="J4929" s="1">
        <v>42.0</v>
      </c>
    </row>
    <row r="4930" ht="15.75" hidden="1" customHeight="1">
      <c r="A4930" s="47"/>
      <c r="B4930" s="47"/>
      <c r="C4930" s="47"/>
      <c r="D4930" s="47"/>
      <c r="E4930" s="47"/>
      <c r="F4930" s="47"/>
      <c r="G4930" s="47"/>
      <c r="H4930" s="47"/>
      <c r="I4930" s="47"/>
      <c r="J4930" s="1">
        <v>42.0</v>
      </c>
    </row>
    <row r="4931" ht="15.75" hidden="1" customHeight="1">
      <c r="A4931" s="47"/>
      <c r="B4931" s="47"/>
      <c r="C4931" s="47"/>
      <c r="D4931" s="47"/>
      <c r="E4931" s="47"/>
      <c r="F4931" s="47"/>
      <c r="G4931" s="47"/>
      <c r="H4931" s="47"/>
      <c r="I4931" s="47"/>
      <c r="J4931" s="1">
        <v>42.0</v>
      </c>
    </row>
    <row r="4932" ht="15.75" hidden="1" customHeight="1">
      <c r="A4932" s="47"/>
      <c r="B4932" s="47"/>
      <c r="C4932" s="47"/>
      <c r="D4932" s="47"/>
      <c r="E4932" s="47"/>
      <c r="F4932" s="47"/>
      <c r="G4932" s="47"/>
      <c r="H4932" s="47"/>
      <c r="I4932" s="47"/>
      <c r="J4932" s="1">
        <v>42.0</v>
      </c>
    </row>
    <row r="4933" ht="15.75" hidden="1" customHeight="1">
      <c r="A4933" s="47"/>
      <c r="B4933" s="47"/>
      <c r="C4933" s="47"/>
      <c r="D4933" s="47"/>
      <c r="E4933" s="47"/>
      <c r="F4933" s="47"/>
      <c r="G4933" s="47"/>
      <c r="H4933" s="47"/>
      <c r="I4933" s="47"/>
      <c r="J4933" s="1">
        <v>42.0</v>
      </c>
    </row>
    <row r="4934" ht="15.75" hidden="1" customHeight="1">
      <c r="A4934" s="47"/>
      <c r="B4934" s="47"/>
      <c r="C4934" s="47"/>
      <c r="D4934" s="47"/>
      <c r="E4934" s="47"/>
      <c r="F4934" s="47"/>
      <c r="G4934" s="47"/>
      <c r="H4934" s="47"/>
      <c r="I4934" s="47"/>
      <c r="J4934" s="1">
        <v>42.0</v>
      </c>
    </row>
    <row r="4935" ht="15.75" hidden="1" customHeight="1">
      <c r="A4935" s="47"/>
      <c r="B4935" s="47"/>
      <c r="C4935" s="47"/>
      <c r="D4935" s="47"/>
      <c r="E4935" s="47"/>
      <c r="F4935" s="47"/>
      <c r="G4935" s="47"/>
      <c r="H4935" s="47"/>
      <c r="I4935" s="47"/>
      <c r="J4935" s="1">
        <v>42.0</v>
      </c>
    </row>
    <row r="4936" ht="15.75" hidden="1" customHeight="1">
      <c r="A4936" s="47"/>
      <c r="B4936" s="47"/>
      <c r="C4936" s="47"/>
      <c r="D4936" s="47"/>
      <c r="E4936" s="47"/>
      <c r="F4936" s="47"/>
      <c r="G4936" s="47"/>
      <c r="H4936" s="47"/>
      <c r="I4936" s="47"/>
      <c r="J4936" s="1">
        <v>42.0</v>
      </c>
    </row>
    <row r="4937" ht="15.75" hidden="1" customHeight="1">
      <c r="A4937" s="47"/>
      <c r="B4937" s="47"/>
      <c r="C4937" s="47"/>
      <c r="D4937" s="47"/>
      <c r="E4937" s="47"/>
      <c r="F4937" s="47"/>
      <c r="G4937" s="47"/>
      <c r="H4937" s="47"/>
      <c r="I4937" s="47"/>
      <c r="J4937" s="1">
        <v>42.0</v>
      </c>
    </row>
    <row r="4938" ht="15.75" hidden="1" customHeight="1">
      <c r="A4938" s="47"/>
      <c r="B4938" s="47"/>
      <c r="C4938" s="47"/>
      <c r="D4938" s="47"/>
      <c r="E4938" s="47"/>
      <c r="F4938" s="47"/>
      <c r="G4938" s="47"/>
      <c r="H4938" s="47"/>
      <c r="I4938" s="47"/>
      <c r="J4938" s="1">
        <v>42.0</v>
      </c>
    </row>
    <row r="4939" ht="15.75" hidden="1" customHeight="1">
      <c r="A4939" s="47"/>
      <c r="B4939" s="47"/>
      <c r="C4939" s="47"/>
      <c r="D4939" s="47"/>
      <c r="E4939" s="47"/>
      <c r="F4939" s="47"/>
      <c r="G4939" s="47"/>
      <c r="H4939" s="47"/>
      <c r="I4939" s="47"/>
      <c r="J4939" s="1">
        <v>42.0</v>
      </c>
    </row>
    <row r="4940" ht="15.75" hidden="1" customHeight="1">
      <c r="A4940" s="47"/>
      <c r="B4940" s="47"/>
      <c r="C4940" s="47"/>
      <c r="D4940" s="47"/>
      <c r="E4940" s="47"/>
      <c r="F4940" s="47"/>
      <c r="G4940" s="47"/>
      <c r="H4940" s="47"/>
      <c r="I4940" s="47"/>
      <c r="J4940" s="1">
        <v>42.0</v>
      </c>
    </row>
    <row r="4941" ht="15.75" hidden="1" customHeight="1">
      <c r="A4941" s="47"/>
      <c r="B4941" s="47"/>
      <c r="C4941" s="47"/>
      <c r="D4941" s="47"/>
      <c r="E4941" s="47"/>
      <c r="F4941" s="47"/>
      <c r="G4941" s="47"/>
      <c r="H4941" s="47"/>
      <c r="I4941" s="47"/>
      <c r="J4941" s="1">
        <v>42.0</v>
      </c>
    </row>
    <row r="4942" ht="15.75" hidden="1" customHeight="1">
      <c r="A4942" s="47"/>
      <c r="B4942" s="47"/>
      <c r="C4942" s="47"/>
      <c r="D4942" s="47"/>
      <c r="E4942" s="47"/>
      <c r="F4942" s="47"/>
      <c r="G4942" s="47"/>
      <c r="H4942" s="47"/>
      <c r="I4942" s="47"/>
      <c r="J4942" s="1">
        <v>42.0</v>
      </c>
    </row>
    <row r="4943" ht="15.75" hidden="1" customHeight="1">
      <c r="A4943" s="47"/>
      <c r="B4943" s="47"/>
      <c r="C4943" s="47"/>
      <c r="D4943" s="47"/>
      <c r="E4943" s="47"/>
      <c r="F4943" s="47"/>
      <c r="G4943" s="47"/>
      <c r="H4943" s="47"/>
      <c r="I4943" s="47"/>
      <c r="J4943" s="1">
        <v>42.0</v>
      </c>
    </row>
    <row r="4944" ht="15.75" hidden="1" customHeight="1">
      <c r="A4944" s="47"/>
      <c r="B4944" s="47"/>
      <c r="C4944" s="47"/>
      <c r="D4944" s="47"/>
      <c r="E4944" s="47"/>
      <c r="F4944" s="47"/>
      <c r="G4944" s="47"/>
      <c r="H4944" s="47"/>
      <c r="I4944" s="47"/>
      <c r="J4944" s="1">
        <v>42.0</v>
      </c>
    </row>
    <row r="4945" ht="15.75" hidden="1" customHeight="1">
      <c r="A4945" s="47"/>
      <c r="B4945" s="47"/>
      <c r="C4945" s="47"/>
      <c r="D4945" s="47"/>
      <c r="E4945" s="47"/>
      <c r="F4945" s="47"/>
      <c r="G4945" s="47"/>
      <c r="H4945" s="47"/>
      <c r="I4945" s="47"/>
      <c r="J4945" s="1">
        <v>42.0</v>
      </c>
    </row>
    <row r="4946" ht="15.75" hidden="1" customHeight="1">
      <c r="A4946" s="47"/>
      <c r="B4946" s="47"/>
      <c r="C4946" s="47"/>
      <c r="D4946" s="47"/>
      <c r="E4946" s="47"/>
      <c r="F4946" s="47"/>
      <c r="G4946" s="47"/>
      <c r="H4946" s="47"/>
      <c r="I4946" s="47"/>
      <c r="J4946" s="1">
        <v>42.0</v>
      </c>
    </row>
    <row r="4947" ht="15.75" hidden="1" customHeight="1">
      <c r="A4947" s="47"/>
      <c r="B4947" s="47"/>
      <c r="C4947" s="47"/>
      <c r="D4947" s="47"/>
      <c r="E4947" s="47"/>
      <c r="F4947" s="47"/>
      <c r="G4947" s="47"/>
      <c r="H4947" s="47"/>
      <c r="I4947" s="47"/>
      <c r="J4947" s="1">
        <v>42.0</v>
      </c>
    </row>
    <row r="4948" ht="15.75" hidden="1" customHeight="1">
      <c r="A4948" s="47"/>
      <c r="B4948" s="47"/>
      <c r="C4948" s="47"/>
      <c r="D4948" s="47"/>
      <c r="E4948" s="47"/>
      <c r="F4948" s="47"/>
      <c r="G4948" s="47"/>
      <c r="H4948" s="47"/>
      <c r="I4948" s="47"/>
      <c r="J4948" s="1">
        <v>42.0</v>
      </c>
    </row>
    <row r="4949" ht="15.75" hidden="1" customHeight="1">
      <c r="A4949" s="47"/>
      <c r="B4949" s="47"/>
      <c r="C4949" s="47"/>
      <c r="D4949" s="47"/>
      <c r="E4949" s="47"/>
      <c r="F4949" s="47"/>
      <c r="G4949" s="47"/>
      <c r="H4949" s="47"/>
      <c r="I4949" s="47"/>
      <c r="J4949" s="1">
        <v>42.0</v>
      </c>
    </row>
    <row r="4950" ht="15.75" hidden="1" customHeight="1">
      <c r="A4950" s="47"/>
      <c r="B4950" s="47"/>
      <c r="C4950" s="47"/>
      <c r="D4950" s="47"/>
      <c r="E4950" s="47"/>
      <c r="F4950" s="47"/>
      <c r="G4950" s="47"/>
      <c r="H4950" s="47"/>
      <c r="I4950" s="47"/>
      <c r="J4950" s="1">
        <v>42.0</v>
      </c>
    </row>
    <row r="4951" ht="15.75" hidden="1" customHeight="1">
      <c r="A4951" s="47"/>
      <c r="B4951" s="47"/>
      <c r="C4951" s="47"/>
      <c r="D4951" s="47"/>
      <c r="E4951" s="47"/>
      <c r="F4951" s="47"/>
      <c r="G4951" s="47"/>
      <c r="H4951" s="47"/>
      <c r="I4951" s="47"/>
      <c r="J4951" s="1">
        <v>42.0</v>
      </c>
    </row>
    <row r="4952" ht="15.75" hidden="1" customHeight="1">
      <c r="A4952" s="47"/>
      <c r="B4952" s="47"/>
      <c r="C4952" s="47"/>
      <c r="D4952" s="47"/>
      <c r="E4952" s="47"/>
      <c r="F4952" s="47"/>
      <c r="G4952" s="47"/>
      <c r="H4952" s="47"/>
      <c r="I4952" s="47"/>
      <c r="J4952" s="1">
        <v>42.0</v>
      </c>
    </row>
    <row r="4953" ht="15.75" hidden="1" customHeight="1">
      <c r="A4953" s="47"/>
      <c r="B4953" s="47"/>
      <c r="C4953" s="47"/>
      <c r="D4953" s="47"/>
      <c r="E4953" s="47"/>
      <c r="F4953" s="47"/>
      <c r="G4953" s="47"/>
      <c r="H4953" s="47"/>
      <c r="I4953" s="47"/>
      <c r="J4953" s="1">
        <v>42.0</v>
      </c>
    </row>
    <row r="4954" ht="15.75" hidden="1" customHeight="1">
      <c r="A4954" s="47"/>
      <c r="B4954" s="47"/>
      <c r="C4954" s="47"/>
      <c r="D4954" s="47"/>
      <c r="E4954" s="47"/>
      <c r="F4954" s="47"/>
      <c r="G4954" s="47"/>
      <c r="H4954" s="47"/>
      <c r="I4954" s="47"/>
      <c r="J4954" s="1">
        <v>42.0</v>
      </c>
    </row>
    <row r="4955" ht="15.75" hidden="1" customHeight="1">
      <c r="A4955" s="47"/>
      <c r="B4955" s="47"/>
      <c r="C4955" s="47"/>
      <c r="D4955" s="47"/>
      <c r="E4955" s="47"/>
      <c r="F4955" s="47"/>
      <c r="G4955" s="47"/>
      <c r="H4955" s="47"/>
      <c r="I4955" s="47"/>
      <c r="J4955" s="1">
        <v>42.0</v>
      </c>
    </row>
    <row r="4956" ht="15.75" hidden="1" customHeight="1">
      <c r="A4956" s="47"/>
      <c r="B4956" s="47"/>
      <c r="C4956" s="47"/>
      <c r="D4956" s="47"/>
      <c r="E4956" s="47"/>
      <c r="F4956" s="47"/>
      <c r="G4956" s="47"/>
      <c r="H4956" s="47"/>
      <c r="I4956" s="47"/>
      <c r="J4956" s="1">
        <v>42.0</v>
      </c>
    </row>
    <row r="4957" ht="15.75" hidden="1" customHeight="1">
      <c r="A4957" s="47"/>
      <c r="B4957" s="47"/>
      <c r="C4957" s="47"/>
      <c r="D4957" s="47"/>
      <c r="E4957" s="47"/>
      <c r="F4957" s="47"/>
      <c r="G4957" s="47"/>
      <c r="H4957" s="47"/>
      <c r="I4957" s="47"/>
      <c r="J4957" s="1">
        <v>42.0</v>
      </c>
    </row>
    <row r="4958" ht="15.75" hidden="1" customHeight="1">
      <c r="A4958" s="47"/>
      <c r="B4958" s="47"/>
      <c r="C4958" s="47"/>
      <c r="D4958" s="47"/>
      <c r="E4958" s="47"/>
      <c r="F4958" s="47"/>
      <c r="G4958" s="47"/>
      <c r="H4958" s="47"/>
      <c r="I4958" s="47"/>
      <c r="J4958" s="1">
        <v>42.0</v>
      </c>
    </row>
    <row r="4959" ht="15.75" hidden="1" customHeight="1">
      <c r="A4959" s="47"/>
      <c r="B4959" s="47"/>
      <c r="C4959" s="47"/>
      <c r="D4959" s="47"/>
      <c r="E4959" s="47"/>
      <c r="F4959" s="47"/>
      <c r="G4959" s="47"/>
      <c r="H4959" s="47"/>
      <c r="I4959" s="47"/>
      <c r="J4959" s="1">
        <v>42.0</v>
      </c>
    </row>
    <row r="4960" ht="15.75" hidden="1" customHeight="1">
      <c r="A4960" s="47"/>
      <c r="B4960" s="47"/>
      <c r="C4960" s="47"/>
      <c r="D4960" s="47"/>
      <c r="E4960" s="47"/>
      <c r="F4960" s="47"/>
      <c r="G4960" s="47"/>
      <c r="H4960" s="47"/>
      <c r="I4960" s="47"/>
      <c r="J4960" s="1">
        <v>42.0</v>
      </c>
    </row>
    <row r="4961" ht="15.75" hidden="1" customHeight="1">
      <c r="A4961" s="47"/>
      <c r="B4961" s="47"/>
      <c r="C4961" s="47"/>
      <c r="D4961" s="47"/>
      <c r="E4961" s="47"/>
      <c r="F4961" s="47"/>
      <c r="G4961" s="47"/>
      <c r="H4961" s="47"/>
      <c r="I4961" s="47"/>
      <c r="J4961" s="1">
        <v>42.0</v>
      </c>
    </row>
    <row r="4962" ht="15.75" hidden="1" customHeight="1">
      <c r="A4962" s="47"/>
      <c r="B4962" s="47"/>
      <c r="C4962" s="47"/>
      <c r="D4962" s="47"/>
      <c r="E4962" s="47"/>
      <c r="F4962" s="47"/>
      <c r="G4962" s="47"/>
      <c r="H4962" s="47"/>
      <c r="I4962" s="47"/>
      <c r="J4962" s="1">
        <v>42.0</v>
      </c>
    </row>
    <row r="4963" ht="15.75" hidden="1" customHeight="1">
      <c r="A4963" s="47"/>
      <c r="B4963" s="47"/>
      <c r="C4963" s="47"/>
      <c r="D4963" s="47"/>
      <c r="E4963" s="47"/>
      <c r="F4963" s="47"/>
      <c r="G4963" s="47"/>
      <c r="H4963" s="47"/>
      <c r="I4963" s="47"/>
      <c r="J4963" s="1">
        <v>42.0</v>
      </c>
    </row>
    <row r="4964" ht="15.75" hidden="1" customHeight="1">
      <c r="A4964" s="47"/>
      <c r="B4964" s="47"/>
      <c r="C4964" s="47"/>
      <c r="D4964" s="47"/>
      <c r="E4964" s="47"/>
      <c r="F4964" s="47"/>
      <c r="G4964" s="47"/>
      <c r="H4964" s="47"/>
      <c r="I4964" s="47"/>
      <c r="J4964" s="1">
        <v>42.0</v>
      </c>
    </row>
    <row r="4965" ht="15.75" hidden="1" customHeight="1">
      <c r="A4965" s="47"/>
      <c r="B4965" s="47"/>
      <c r="C4965" s="47"/>
      <c r="D4965" s="47"/>
      <c r="E4965" s="47"/>
      <c r="F4965" s="47"/>
      <c r="G4965" s="47"/>
      <c r="H4965" s="47"/>
      <c r="I4965" s="47"/>
      <c r="J4965" s="1">
        <v>42.0</v>
      </c>
    </row>
    <row r="4966" ht="15.75" hidden="1" customHeight="1">
      <c r="A4966" s="47"/>
      <c r="B4966" s="47"/>
      <c r="C4966" s="47"/>
      <c r="D4966" s="47"/>
      <c r="E4966" s="47"/>
      <c r="F4966" s="47"/>
      <c r="G4966" s="47"/>
      <c r="H4966" s="47"/>
      <c r="I4966" s="47"/>
      <c r="J4966" s="1">
        <v>42.0</v>
      </c>
    </row>
    <row r="4967" ht="15.75" hidden="1" customHeight="1">
      <c r="A4967" s="47"/>
      <c r="B4967" s="47"/>
      <c r="C4967" s="47"/>
      <c r="D4967" s="47"/>
      <c r="E4967" s="47"/>
      <c r="F4967" s="47"/>
      <c r="G4967" s="47"/>
      <c r="H4967" s="47"/>
      <c r="I4967" s="47"/>
      <c r="J4967" s="1">
        <v>42.0</v>
      </c>
    </row>
    <row r="4968" ht="15.75" hidden="1" customHeight="1">
      <c r="A4968" s="47"/>
      <c r="B4968" s="47"/>
      <c r="C4968" s="47"/>
      <c r="D4968" s="47"/>
      <c r="E4968" s="47"/>
      <c r="F4968" s="47"/>
      <c r="G4968" s="47"/>
      <c r="H4968" s="47"/>
      <c r="I4968" s="47"/>
      <c r="J4968" s="1">
        <v>42.0</v>
      </c>
    </row>
    <row r="4969" ht="15.75" hidden="1" customHeight="1">
      <c r="A4969" s="47"/>
      <c r="B4969" s="47"/>
      <c r="C4969" s="47"/>
      <c r="D4969" s="47"/>
      <c r="E4969" s="47"/>
      <c r="F4969" s="47"/>
      <c r="G4969" s="47"/>
      <c r="H4969" s="47"/>
      <c r="I4969" s="47"/>
      <c r="J4969" s="1">
        <v>42.0</v>
      </c>
    </row>
    <row r="4970" ht="15.75" hidden="1" customHeight="1">
      <c r="A4970" s="47"/>
      <c r="B4970" s="47"/>
      <c r="C4970" s="47"/>
      <c r="D4970" s="47"/>
      <c r="E4970" s="47"/>
      <c r="F4970" s="47"/>
      <c r="G4970" s="47"/>
      <c r="H4970" s="47"/>
      <c r="I4970" s="47"/>
      <c r="J4970" s="1">
        <v>42.0</v>
      </c>
    </row>
    <row r="4971" ht="15.75" hidden="1" customHeight="1">
      <c r="A4971" s="47"/>
      <c r="B4971" s="47"/>
      <c r="C4971" s="47"/>
      <c r="D4971" s="47"/>
      <c r="E4971" s="47"/>
      <c r="F4971" s="47"/>
      <c r="G4971" s="47"/>
      <c r="H4971" s="47"/>
      <c r="I4971" s="47"/>
      <c r="J4971" s="1">
        <v>42.0</v>
      </c>
    </row>
    <row r="4972" ht="15.75" hidden="1" customHeight="1">
      <c r="A4972" s="47"/>
      <c r="B4972" s="47"/>
      <c r="C4972" s="47"/>
      <c r="D4972" s="47"/>
      <c r="E4972" s="47"/>
      <c r="F4972" s="47"/>
      <c r="G4972" s="47"/>
      <c r="H4972" s="47"/>
      <c r="I4972" s="47"/>
      <c r="J4972" s="1">
        <v>42.0</v>
      </c>
    </row>
    <row r="4973" ht="15.75" hidden="1" customHeight="1">
      <c r="A4973" s="47"/>
      <c r="B4973" s="47"/>
      <c r="C4973" s="47"/>
      <c r="D4973" s="47"/>
      <c r="E4973" s="47"/>
      <c r="F4973" s="47"/>
      <c r="G4973" s="47"/>
      <c r="H4973" s="47"/>
      <c r="I4973" s="47"/>
      <c r="J4973" s="1">
        <v>42.0</v>
      </c>
    </row>
    <row r="4974" ht="15.75" hidden="1" customHeight="1">
      <c r="A4974" s="47"/>
      <c r="B4974" s="47"/>
      <c r="C4974" s="47"/>
      <c r="D4974" s="47"/>
      <c r="E4974" s="47"/>
      <c r="F4974" s="47"/>
      <c r="G4974" s="47"/>
      <c r="H4974" s="47"/>
      <c r="I4974" s="47"/>
      <c r="J4974" s="1">
        <v>42.0</v>
      </c>
    </row>
    <row r="4975" ht="15.75" hidden="1" customHeight="1">
      <c r="A4975" s="47"/>
      <c r="B4975" s="47"/>
      <c r="C4975" s="47"/>
      <c r="D4975" s="47"/>
      <c r="E4975" s="47"/>
      <c r="F4975" s="47"/>
      <c r="G4975" s="47"/>
      <c r="H4975" s="47"/>
      <c r="I4975" s="47"/>
      <c r="J4975" s="1">
        <v>42.0</v>
      </c>
    </row>
    <row r="4976" ht="15.75" hidden="1" customHeight="1">
      <c r="A4976" s="47"/>
      <c r="B4976" s="47"/>
      <c r="C4976" s="47"/>
      <c r="D4976" s="47"/>
      <c r="E4976" s="47"/>
      <c r="F4976" s="47"/>
      <c r="G4976" s="47"/>
      <c r="H4976" s="47"/>
      <c r="I4976" s="47"/>
      <c r="J4976" s="1">
        <v>42.0</v>
      </c>
    </row>
    <row r="4977" ht="15.75" hidden="1" customHeight="1">
      <c r="A4977" s="47"/>
      <c r="B4977" s="47"/>
      <c r="C4977" s="47"/>
      <c r="D4977" s="47"/>
      <c r="E4977" s="47"/>
      <c r="F4977" s="47"/>
      <c r="G4977" s="47"/>
      <c r="H4977" s="47"/>
      <c r="I4977" s="47"/>
      <c r="J4977" s="1">
        <v>42.0</v>
      </c>
    </row>
    <row r="4978" ht="15.75" hidden="1" customHeight="1">
      <c r="A4978" s="47"/>
      <c r="B4978" s="47"/>
      <c r="C4978" s="47"/>
      <c r="D4978" s="47"/>
      <c r="E4978" s="47"/>
      <c r="F4978" s="47"/>
      <c r="G4978" s="47"/>
      <c r="H4978" s="47"/>
      <c r="I4978" s="47"/>
      <c r="J4978" s="1">
        <v>42.0</v>
      </c>
    </row>
    <row r="4979" ht="15.75" hidden="1" customHeight="1">
      <c r="A4979" s="47"/>
      <c r="B4979" s="47"/>
      <c r="C4979" s="47"/>
      <c r="D4979" s="47"/>
      <c r="E4979" s="47"/>
      <c r="F4979" s="47"/>
      <c r="G4979" s="47"/>
      <c r="H4979" s="47"/>
      <c r="I4979" s="47"/>
      <c r="J4979" s="1">
        <v>42.0</v>
      </c>
    </row>
    <row r="4980" ht="15.75" hidden="1" customHeight="1">
      <c r="A4980" s="47"/>
      <c r="B4980" s="47"/>
      <c r="C4980" s="47"/>
      <c r="D4980" s="47"/>
      <c r="E4980" s="47"/>
      <c r="F4980" s="47"/>
      <c r="G4980" s="47"/>
      <c r="H4980" s="47"/>
      <c r="I4980" s="47"/>
      <c r="J4980" s="1">
        <v>42.0</v>
      </c>
    </row>
    <row r="4981" ht="15.75" hidden="1" customHeight="1">
      <c r="A4981" s="47"/>
      <c r="B4981" s="47"/>
      <c r="C4981" s="47"/>
      <c r="D4981" s="47"/>
      <c r="E4981" s="47"/>
      <c r="F4981" s="47"/>
      <c r="G4981" s="47"/>
      <c r="H4981" s="47"/>
      <c r="I4981" s="47"/>
      <c r="J4981" s="1">
        <v>42.0</v>
      </c>
    </row>
    <row r="4982" ht="15.75" hidden="1" customHeight="1">
      <c r="A4982" s="47"/>
      <c r="B4982" s="47"/>
      <c r="C4982" s="47"/>
      <c r="D4982" s="47"/>
      <c r="E4982" s="47"/>
      <c r="F4982" s="47"/>
      <c r="G4982" s="47"/>
      <c r="H4982" s="47"/>
      <c r="I4982" s="47"/>
      <c r="J4982" s="1">
        <v>42.0</v>
      </c>
    </row>
    <row r="4983" ht="15.75" hidden="1" customHeight="1">
      <c r="A4983" s="47"/>
      <c r="B4983" s="47"/>
      <c r="C4983" s="47"/>
      <c r="D4983" s="47"/>
      <c r="E4983" s="47"/>
      <c r="F4983" s="47"/>
      <c r="G4983" s="47"/>
      <c r="H4983" s="47"/>
      <c r="I4983" s="47"/>
      <c r="J4983" s="1">
        <v>42.0</v>
      </c>
    </row>
    <row r="4984" ht="15.75" hidden="1" customHeight="1">
      <c r="A4984" s="47"/>
      <c r="B4984" s="47"/>
      <c r="C4984" s="47"/>
      <c r="D4984" s="47"/>
      <c r="E4984" s="47"/>
      <c r="F4984" s="47"/>
      <c r="G4984" s="47"/>
      <c r="H4984" s="47"/>
      <c r="I4984" s="47"/>
      <c r="J4984" s="1">
        <v>42.0</v>
      </c>
    </row>
    <row r="4985" ht="15.75" hidden="1" customHeight="1">
      <c r="A4985" s="47"/>
      <c r="B4985" s="47"/>
      <c r="C4985" s="47"/>
      <c r="D4985" s="47"/>
      <c r="E4985" s="47"/>
      <c r="F4985" s="47"/>
      <c r="G4985" s="47"/>
      <c r="H4985" s="47"/>
      <c r="I4985" s="47"/>
      <c r="J4985" s="1">
        <v>42.0</v>
      </c>
    </row>
    <row r="4986" ht="15.75" hidden="1" customHeight="1">
      <c r="A4986" s="47"/>
      <c r="B4986" s="47"/>
      <c r="C4986" s="47"/>
      <c r="D4986" s="47"/>
      <c r="E4986" s="47"/>
      <c r="F4986" s="47"/>
      <c r="G4986" s="47"/>
      <c r="H4986" s="47"/>
      <c r="I4986" s="47"/>
      <c r="J4986" s="1">
        <v>42.0</v>
      </c>
    </row>
    <row r="4987" ht="15.75" hidden="1" customHeight="1">
      <c r="A4987" s="47"/>
      <c r="B4987" s="47"/>
      <c r="C4987" s="47"/>
      <c r="D4987" s="47"/>
      <c r="E4987" s="47"/>
      <c r="F4987" s="47"/>
      <c r="G4987" s="47"/>
      <c r="H4987" s="47"/>
      <c r="I4987" s="47"/>
      <c r="J4987" s="1">
        <v>42.0</v>
      </c>
    </row>
    <row r="4988" ht="15.75" hidden="1" customHeight="1">
      <c r="A4988" s="47"/>
      <c r="B4988" s="47"/>
      <c r="C4988" s="47"/>
      <c r="D4988" s="47"/>
      <c r="E4988" s="47"/>
      <c r="F4988" s="47"/>
      <c r="G4988" s="47"/>
      <c r="H4988" s="47"/>
      <c r="I4988" s="47"/>
      <c r="J4988" s="1">
        <v>42.0</v>
      </c>
    </row>
    <row r="4989" ht="15.75" hidden="1" customHeight="1">
      <c r="A4989" s="47"/>
      <c r="B4989" s="47"/>
      <c r="C4989" s="47"/>
      <c r="D4989" s="47"/>
      <c r="E4989" s="47"/>
      <c r="F4989" s="47"/>
      <c r="G4989" s="47"/>
      <c r="H4989" s="47"/>
      <c r="I4989" s="47"/>
      <c r="J4989" s="1">
        <v>42.0</v>
      </c>
    </row>
    <row r="4990" ht="15.75" hidden="1" customHeight="1">
      <c r="A4990" s="47"/>
      <c r="B4990" s="47"/>
      <c r="C4990" s="47"/>
      <c r="D4990" s="47"/>
      <c r="E4990" s="47"/>
      <c r="F4990" s="47"/>
      <c r="G4990" s="47"/>
      <c r="H4990" s="47"/>
      <c r="I4990" s="47"/>
      <c r="J4990" s="1">
        <v>42.0</v>
      </c>
    </row>
    <row r="4991" ht="15.75" hidden="1" customHeight="1">
      <c r="A4991" s="47"/>
      <c r="B4991" s="47"/>
      <c r="C4991" s="47"/>
      <c r="D4991" s="47"/>
      <c r="E4991" s="47"/>
      <c r="F4991" s="47"/>
      <c r="G4991" s="47"/>
      <c r="H4991" s="47"/>
      <c r="I4991" s="47"/>
      <c r="J4991" s="1">
        <v>42.0</v>
      </c>
    </row>
    <row r="4992" ht="15.75" hidden="1" customHeight="1">
      <c r="A4992" s="47"/>
      <c r="B4992" s="47"/>
      <c r="C4992" s="47"/>
      <c r="D4992" s="47"/>
      <c r="E4992" s="47"/>
      <c r="F4992" s="47"/>
      <c r="G4992" s="47"/>
      <c r="H4992" s="47"/>
      <c r="I4992" s="47"/>
      <c r="J4992" s="1">
        <v>42.0</v>
      </c>
    </row>
    <row r="4993" ht="15.75" hidden="1" customHeight="1">
      <c r="A4993" s="47"/>
      <c r="B4993" s="47"/>
      <c r="C4993" s="47"/>
      <c r="D4993" s="47"/>
      <c r="E4993" s="47"/>
      <c r="F4993" s="47"/>
      <c r="G4993" s="47"/>
      <c r="H4993" s="47"/>
      <c r="I4993" s="47"/>
      <c r="J4993" s="1">
        <v>42.0</v>
      </c>
    </row>
    <row r="4994" ht="15.75" hidden="1" customHeight="1">
      <c r="A4994" s="47"/>
      <c r="B4994" s="47"/>
      <c r="C4994" s="47"/>
      <c r="D4994" s="47"/>
      <c r="E4994" s="47"/>
      <c r="F4994" s="47"/>
      <c r="G4994" s="47"/>
      <c r="H4994" s="47"/>
      <c r="I4994" s="47"/>
      <c r="J4994" s="1">
        <v>42.0</v>
      </c>
    </row>
    <row r="4995" ht="15.75" hidden="1" customHeight="1">
      <c r="A4995" s="47"/>
      <c r="B4995" s="47"/>
      <c r="C4995" s="47"/>
      <c r="D4995" s="47"/>
      <c r="E4995" s="47"/>
      <c r="F4995" s="47"/>
      <c r="G4995" s="47"/>
      <c r="H4995" s="47"/>
      <c r="I4995" s="47"/>
      <c r="J4995" s="1">
        <v>42.0</v>
      </c>
    </row>
    <row r="4996" ht="15.75" hidden="1" customHeight="1">
      <c r="A4996" s="47"/>
      <c r="B4996" s="47"/>
      <c r="C4996" s="47"/>
      <c r="D4996" s="47"/>
      <c r="E4996" s="47"/>
      <c r="F4996" s="47"/>
      <c r="G4996" s="47"/>
      <c r="H4996" s="47"/>
      <c r="I4996" s="47"/>
      <c r="J4996" s="1">
        <v>42.0</v>
      </c>
    </row>
    <row r="4997" ht="15.75" hidden="1" customHeight="1">
      <c r="A4997" s="47"/>
      <c r="B4997" s="47"/>
      <c r="C4997" s="47"/>
      <c r="D4997" s="47"/>
      <c r="E4997" s="47"/>
      <c r="F4997" s="47"/>
      <c r="G4997" s="47"/>
      <c r="H4997" s="47"/>
      <c r="I4997" s="47"/>
      <c r="J4997" s="1">
        <v>42.0</v>
      </c>
    </row>
    <row r="4998" ht="15.75" hidden="1" customHeight="1">
      <c r="A4998" s="47"/>
      <c r="B4998" s="47"/>
      <c r="C4998" s="47"/>
      <c r="D4998" s="47"/>
      <c r="E4998" s="47"/>
      <c r="F4998" s="47"/>
      <c r="G4998" s="47"/>
      <c r="H4998" s="47"/>
      <c r="I4998" s="47"/>
      <c r="J4998" s="1">
        <v>42.0</v>
      </c>
    </row>
    <row r="4999" ht="15.75" hidden="1" customHeight="1">
      <c r="A4999" s="47"/>
      <c r="B4999" s="47"/>
      <c r="C4999" s="47"/>
      <c r="D4999" s="47"/>
      <c r="E4999" s="47"/>
      <c r="F4999" s="47"/>
      <c r="G4999" s="47"/>
      <c r="H4999" s="47"/>
      <c r="I4999" s="47"/>
      <c r="J4999" s="1">
        <v>42.0</v>
      </c>
    </row>
    <row r="5000" ht="15.75" hidden="1" customHeight="1">
      <c r="A5000" s="47"/>
      <c r="B5000" s="47"/>
      <c r="C5000" s="47"/>
      <c r="D5000" s="47"/>
      <c r="E5000" s="47"/>
      <c r="F5000" s="47"/>
      <c r="G5000" s="47"/>
      <c r="H5000" s="47"/>
      <c r="I5000" s="47"/>
      <c r="J5000" s="1">
        <v>42.0</v>
      </c>
    </row>
    <row r="5001" ht="15.75" hidden="1" customHeight="1">
      <c r="A5001" s="47"/>
      <c r="B5001" s="47"/>
      <c r="C5001" s="47"/>
      <c r="D5001" s="47"/>
      <c r="E5001" s="47"/>
      <c r="F5001" s="47"/>
      <c r="G5001" s="47"/>
      <c r="H5001" s="47"/>
      <c r="I5001" s="47"/>
      <c r="J5001" s="1">
        <v>42.0</v>
      </c>
    </row>
    <row r="5002" ht="15.75" hidden="1" customHeight="1">
      <c r="A5002" s="47"/>
      <c r="B5002" s="47"/>
      <c r="C5002" s="47"/>
      <c r="D5002" s="47"/>
      <c r="E5002" s="47"/>
      <c r="F5002" s="47"/>
      <c r="G5002" s="47"/>
      <c r="H5002" s="47"/>
      <c r="I5002" s="47"/>
      <c r="J5002" s="1">
        <v>42.0</v>
      </c>
    </row>
    <row r="5003" ht="15.75" hidden="1" customHeight="1">
      <c r="A5003" s="47"/>
      <c r="B5003" s="47"/>
      <c r="C5003" s="47"/>
      <c r="D5003" s="47"/>
      <c r="E5003" s="47"/>
      <c r="F5003" s="47"/>
      <c r="G5003" s="47"/>
      <c r="H5003" s="47"/>
      <c r="I5003" s="47"/>
      <c r="J5003" s="1">
        <v>42.0</v>
      </c>
    </row>
    <row r="5004" ht="15.75" hidden="1" customHeight="1">
      <c r="A5004" s="47"/>
      <c r="B5004" s="47"/>
      <c r="C5004" s="47"/>
      <c r="D5004" s="47"/>
      <c r="E5004" s="47"/>
      <c r="F5004" s="47"/>
      <c r="G5004" s="47"/>
      <c r="H5004" s="47"/>
      <c r="I5004" s="47"/>
      <c r="J5004" s="1">
        <v>42.0</v>
      </c>
    </row>
    <row r="5005" ht="15.75" hidden="1" customHeight="1">
      <c r="A5005" s="47"/>
      <c r="B5005" s="47"/>
      <c r="C5005" s="47"/>
      <c r="D5005" s="47"/>
      <c r="E5005" s="47"/>
      <c r="F5005" s="47"/>
      <c r="G5005" s="47"/>
      <c r="H5005" s="47"/>
      <c r="I5005" s="47"/>
      <c r="J5005" s="1">
        <v>42.0</v>
      </c>
    </row>
    <row r="5006" ht="15.75" hidden="1" customHeight="1">
      <c r="A5006" s="47"/>
      <c r="B5006" s="47"/>
      <c r="C5006" s="47"/>
      <c r="D5006" s="47"/>
      <c r="E5006" s="47"/>
      <c r="F5006" s="47"/>
      <c r="G5006" s="47"/>
      <c r="H5006" s="47"/>
      <c r="I5006" s="47"/>
      <c r="J5006" s="1">
        <v>42.0</v>
      </c>
    </row>
    <row r="5007" ht="15.75" hidden="1" customHeight="1">
      <c r="A5007" s="47"/>
      <c r="B5007" s="47"/>
      <c r="C5007" s="47"/>
      <c r="D5007" s="47"/>
      <c r="E5007" s="47"/>
      <c r="F5007" s="47"/>
      <c r="G5007" s="47"/>
      <c r="H5007" s="47"/>
      <c r="I5007" s="47"/>
      <c r="J5007" s="1">
        <v>42.0</v>
      </c>
    </row>
    <row r="5008" ht="15.75" hidden="1" customHeight="1">
      <c r="A5008" s="47"/>
      <c r="B5008" s="47"/>
      <c r="C5008" s="47"/>
      <c r="D5008" s="47"/>
      <c r="E5008" s="47"/>
      <c r="F5008" s="47"/>
      <c r="G5008" s="47"/>
      <c r="H5008" s="47"/>
      <c r="I5008" s="47"/>
      <c r="J5008" s="1">
        <v>42.0</v>
      </c>
    </row>
    <row r="5009" ht="15.75" hidden="1" customHeight="1">
      <c r="A5009" s="47"/>
      <c r="B5009" s="47"/>
      <c r="C5009" s="47"/>
      <c r="D5009" s="47"/>
      <c r="E5009" s="47"/>
      <c r="F5009" s="47"/>
      <c r="G5009" s="47"/>
      <c r="H5009" s="47"/>
      <c r="I5009" s="47"/>
      <c r="J5009" s="1">
        <v>42.0</v>
      </c>
    </row>
    <row r="5010" ht="15.75" hidden="1" customHeight="1">
      <c r="A5010" s="47"/>
      <c r="B5010" s="47"/>
      <c r="C5010" s="47"/>
      <c r="D5010" s="47"/>
      <c r="E5010" s="47"/>
      <c r="F5010" s="47"/>
      <c r="G5010" s="47"/>
      <c r="H5010" s="47"/>
      <c r="I5010" s="47"/>
      <c r="J5010" s="1">
        <v>42.0</v>
      </c>
    </row>
    <row r="5011" ht="15.75" hidden="1" customHeight="1">
      <c r="A5011" s="47"/>
      <c r="B5011" s="47"/>
      <c r="C5011" s="47"/>
      <c r="D5011" s="47"/>
      <c r="E5011" s="47"/>
      <c r="F5011" s="47"/>
      <c r="G5011" s="47"/>
      <c r="H5011" s="47"/>
      <c r="I5011" s="47"/>
      <c r="J5011" s="1">
        <v>42.0</v>
      </c>
    </row>
    <row r="5012" ht="15.75" hidden="1" customHeight="1">
      <c r="A5012" s="47"/>
      <c r="B5012" s="47"/>
      <c r="C5012" s="47"/>
      <c r="D5012" s="47"/>
      <c r="E5012" s="47"/>
      <c r="F5012" s="47"/>
      <c r="G5012" s="47"/>
      <c r="H5012" s="47"/>
      <c r="I5012" s="47"/>
      <c r="J5012" s="1">
        <v>42.0</v>
      </c>
    </row>
    <row r="5013" ht="15.75" hidden="1" customHeight="1">
      <c r="A5013" s="47"/>
      <c r="B5013" s="47"/>
      <c r="C5013" s="47"/>
      <c r="D5013" s="47"/>
      <c r="E5013" s="47"/>
      <c r="F5013" s="47"/>
      <c r="G5013" s="47"/>
      <c r="H5013" s="47"/>
      <c r="I5013" s="47"/>
      <c r="J5013" s="1">
        <v>42.0</v>
      </c>
    </row>
    <row r="5014" ht="15.75" hidden="1" customHeight="1">
      <c r="A5014" s="47"/>
      <c r="B5014" s="47"/>
      <c r="C5014" s="47"/>
      <c r="D5014" s="47"/>
      <c r="E5014" s="47"/>
      <c r="F5014" s="47"/>
      <c r="G5014" s="47"/>
      <c r="H5014" s="47"/>
      <c r="I5014" s="47"/>
      <c r="J5014" s="1">
        <v>42.0</v>
      </c>
    </row>
    <row r="5015" ht="15.75" hidden="1" customHeight="1">
      <c r="A5015" s="47"/>
      <c r="B5015" s="47"/>
      <c r="C5015" s="47"/>
      <c r="D5015" s="47"/>
      <c r="E5015" s="47"/>
      <c r="F5015" s="47"/>
      <c r="G5015" s="47"/>
      <c r="H5015" s="47"/>
      <c r="I5015" s="47"/>
      <c r="J5015" s="1">
        <v>42.0</v>
      </c>
    </row>
    <row r="5016" ht="15.75" hidden="1" customHeight="1">
      <c r="A5016" s="47"/>
      <c r="B5016" s="47"/>
      <c r="C5016" s="47"/>
      <c r="D5016" s="47"/>
      <c r="E5016" s="47"/>
      <c r="F5016" s="47"/>
      <c r="G5016" s="47"/>
      <c r="H5016" s="47"/>
      <c r="I5016" s="47"/>
      <c r="J5016" s="1">
        <v>42.0</v>
      </c>
    </row>
    <row r="5017" ht="15.75" hidden="1" customHeight="1">
      <c r="A5017" s="47"/>
      <c r="B5017" s="47"/>
      <c r="C5017" s="47"/>
      <c r="D5017" s="47"/>
      <c r="E5017" s="47"/>
      <c r="F5017" s="47"/>
      <c r="G5017" s="47"/>
      <c r="H5017" s="47"/>
      <c r="I5017" s="47"/>
      <c r="J5017" s="1">
        <v>42.0</v>
      </c>
    </row>
    <row r="5018" ht="15.75" hidden="1" customHeight="1">
      <c r="A5018" s="47"/>
      <c r="B5018" s="47"/>
      <c r="C5018" s="47"/>
      <c r="D5018" s="47"/>
      <c r="E5018" s="47"/>
      <c r="F5018" s="47"/>
      <c r="G5018" s="47"/>
      <c r="H5018" s="47"/>
      <c r="I5018" s="47"/>
      <c r="J5018" s="1">
        <v>42.0</v>
      </c>
    </row>
    <row r="5019" ht="15.75" hidden="1" customHeight="1">
      <c r="A5019" s="47"/>
      <c r="B5019" s="47"/>
      <c r="C5019" s="47"/>
      <c r="D5019" s="47"/>
      <c r="E5019" s="47"/>
      <c r="F5019" s="47"/>
      <c r="G5019" s="47"/>
      <c r="H5019" s="47"/>
      <c r="I5019" s="47"/>
      <c r="J5019" s="1">
        <v>42.0</v>
      </c>
    </row>
    <row r="5020" ht="15.75" hidden="1" customHeight="1">
      <c r="A5020" s="47"/>
      <c r="B5020" s="47"/>
      <c r="C5020" s="47"/>
      <c r="D5020" s="47"/>
      <c r="E5020" s="47"/>
      <c r="F5020" s="47"/>
      <c r="G5020" s="47"/>
      <c r="H5020" s="47"/>
      <c r="I5020" s="47"/>
      <c r="J5020" s="1">
        <v>42.0</v>
      </c>
    </row>
    <row r="5021" ht="15.75" hidden="1" customHeight="1">
      <c r="A5021" s="47"/>
      <c r="B5021" s="47"/>
      <c r="C5021" s="47"/>
      <c r="D5021" s="47"/>
      <c r="E5021" s="47"/>
      <c r="F5021" s="47"/>
      <c r="G5021" s="47"/>
      <c r="H5021" s="47"/>
      <c r="I5021" s="47"/>
      <c r="J5021" s="1">
        <v>42.0</v>
      </c>
    </row>
    <row r="5022" ht="15.75" hidden="1" customHeight="1">
      <c r="A5022" s="47"/>
      <c r="B5022" s="47"/>
      <c r="C5022" s="47"/>
      <c r="D5022" s="47"/>
      <c r="E5022" s="47"/>
      <c r="F5022" s="47"/>
      <c r="G5022" s="47"/>
      <c r="H5022" s="47"/>
      <c r="I5022" s="47"/>
      <c r="J5022" s="1">
        <v>42.0</v>
      </c>
    </row>
    <row r="5023" ht="15.75" hidden="1" customHeight="1">
      <c r="A5023" s="47"/>
      <c r="B5023" s="47"/>
      <c r="C5023" s="47"/>
      <c r="D5023" s="47"/>
      <c r="E5023" s="47"/>
      <c r="F5023" s="47"/>
      <c r="G5023" s="47"/>
      <c r="H5023" s="47"/>
      <c r="I5023" s="47"/>
      <c r="J5023" s="1">
        <v>42.0</v>
      </c>
    </row>
    <row r="5024" ht="15.75" hidden="1" customHeight="1">
      <c r="A5024" s="47"/>
      <c r="B5024" s="47"/>
      <c r="C5024" s="47"/>
      <c r="D5024" s="47"/>
      <c r="E5024" s="47"/>
      <c r="F5024" s="47"/>
      <c r="G5024" s="47"/>
      <c r="H5024" s="47"/>
      <c r="I5024" s="47"/>
      <c r="J5024" s="49">
        <v>42.0</v>
      </c>
    </row>
    <row r="5025" ht="15.75" hidden="1" customHeight="1">
      <c r="A5025" s="47"/>
      <c r="B5025" s="47"/>
      <c r="C5025" s="47"/>
      <c r="D5025" s="47"/>
      <c r="E5025" s="47"/>
      <c r="F5025" s="47"/>
      <c r="G5025" s="47"/>
      <c r="H5025" s="47"/>
      <c r="I5025" s="47"/>
      <c r="J5025" s="49">
        <v>42.0</v>
      </c>
    </row>
    <row r="5026" ht="15.75" hidden="1" customHeight="1">
      <c r="A5026" s="47"/>
      <c r="B5026" s="47"/>
      <c r="C5026" s="47"/>
      <c r="D5026" s="47"/>
      <c r="E5026" s="47"/>
      <c r="F5026" s="47"/>
      <c r="G5026" s="47"/>
      <c r="H5026" s="47"/>
      <c r="I5026" s="47"/>
      <c r="J5026" s="49">
        <v>42.0</v>
      </c>
    </row>
    <row r="5027" ht="15.75" hidden="1" customHeight="1">
      <c r="A5027" s="47"/>
      <c r="B5027" s="47"/>
      <c r="C5027" s="47"/>
      <c r="D5027" s="47"/>
      <c r="E5027" s="47"/>
      <c r="F5027" s="47"/>
      <c r="G5027" s="47"/>
      <c r="H5027" s="47"/>
      <c r="I5027" s="47"/>
      <c r="J5027" s="49">
        <v>42.0</v>
      </c>
    </row>
    <row r="5028" ht="15.75" hidden="1" customHeight="1">
      <c r="A5028" s="47"/>
      <c r="B5028" s="47"/>
      <c r="C5028" s="47"/>
      <c r="D5028" s="47"/>
      <c r="E5028" s="47"/>
      <c r="F5028" s="47"/>
      <c r="G5028" s="47"/>
      <c r="H5028" s="47"/>
      <c r="I5028" s="47"/>
      <c r="J5028" s="49">
        <v>42.0</v>
      </c>
    </row>
    <row r="5029" ht="15.75" hidden="1" customHeight="1">
      <c r="A5029" s="47"/>
      <c r="B5029" s="47"/>
      <c r="C5029" s="47"/>
      <c r="D5029" s="47"/>
      <c r="E5029" s="47"/>
      <c r="F5029" s="47"/>
      <c r="G5029" s="47"/>
      <c r="H5029" s="47"/>
      <c r="I5029" s="47"/>
      <c r="J5029" s="49">
        <v>42.0</v>
      </c>
    </row>
    <row r="5030" ht="15.75" hidden="1" customHeight="1">
      <c r="A5030" s="47"/>
      <c r="B5030" s="47"/>
      <c r="C5030" s="47"/>
      <c r="D5030" s="47"/>
      <c r="E5030" s="47"/>
      <c r="F5030" s="47"/>
      <c r="G5030" s="47"/>
      <c r="H5030" s="47"/>
      <c r="I5030" s="47"/>
      <c r="J5030" s="49">
        <v>42.0</v>
      </c>
    </row>
    <row r="5031" ht="15.75" hidden="1" customHeight="1">
      <c r="A5031" s="47"/>
      <c r="B5031" s="47"/>
      <c r="C5031" s="47"/>
      <c r="D5031" s="47"/>
      <c r="E5031" s="47"/>
      <c r="F5031" s="47"/>
      <c r="G5031" s="47"/>
      <c r="H5031" s="47"/>
      <c r="I5031" s="47"/>
      <c r="J5031" s="49">
        <v>42.0</v>
      </c>
    </row>
    <row r="5032" ht="15.75" hidden="1" customHeight="1">
      <c r="A5032" s="47"/>
      <c r="B5032" s="47"/>
      <c r="C5032" s="47"/>
      <c r="D5032" s="47"/>
      <c r="E5032" s="47"/>
      <c r="F5032" s="47"/>
      <c r="G5032" s="47"/>
      <c r="H5032" s="47"/>
      <c r="I5032" s="47"/>
      <c r="J5032" s="49">
        <v>42.0</v>
      </c>
    </row>
    <row r="5033" ht="15.75" hidden="1" customHeight="1">
      <c r="A5033" s="47"/>
      <c r="B5033" s="47"/>
      <c r="C5033" s="47"/>
      <c r="D5033" s="47"/>
      <c r="E5033" s="47"/>
      <c r="F5033" s="47"/>
      <c r="G5033" s="47"/>
      <c r="H5033" s="47"/>
      <c r="I5033" s="47"/>
      <c r="J5033" s="49">
        <v>42.0</v>
      </c>
    </row>
    <row r="5034" ht="15.75" hidden="1" customHeight="1">
      <c r="A5034" s="47"/>
      <c r="B5034" s="47"/>
      <c r="C5034" s="47"/>
      <c r="D5034" s="47"/>
      <c r="E5034" s="47"/>
      <c r="F5034" s="47"/>
      <c r="G5034" s="47"/>
      <c r="H5034" s="47"/>
      <c r="I5034" s="47"/>
      <c r="J5034" s="49">
        <v>42.0</v>
      </c>
    </row>
    <row r="5035" ht="15.75" hidden="1" customHeight="1">
      <c r="A5035" s="47"/>
      <c r="B5035" s="47"/>
      <c r="C5035" s="47"/>
      <c r="D5035" s="47"/>
      <c r="E5035" s="47"/>
      <c r="F5035" s="47"/>
      <c r="G5035" s="47"/>
      <c r="H5035" s="47"/>
      <c r="I5035" s="47"/>
      <c r="J5035" s="49">
        <v>42.0</v>
      </c>
    </row>
    <row r="5036" ht="15.75" hidden="1" customHeight="1">
      <c r="A5036" s="47"/>
      <c r="B5036" s="47"/>
      <c r="C5036" s="47"/>
      <c r="D5036" s="47"/>
      <c r="E5036" s="47"/>
      <c r="F5036" s="47"/>
      <c r="G5036" s="47"/>
      <c r="H5036" s="47"/>
      <c r="I5036" s="47"/>
      <c r="J5036" s="49">
        <v>42.0</v>
      </c>
    </row>
    <row r="5037" ht="15.75" hidden="1" customHeight="1">
      <c r="A5037" s="47"/>
      <c r="B5037" s="47"/>
      <c r="C5037" s="47"/>
      <c r="D5037" s="47"/>
      <c r="E5037" s="47"/>
      <c r="F5037" s="47"/>
      <c r="G5037" s="47"/>
      <c r="H5037" s="47"/>
      <c r="I5037" s="47"/>
      <c r="J5037" s="49">
        <v>42.0</v>
      </c>
    </row>
    <row r="5038" ht="15.75" hidden="1" customHeight="1">
      <c r="A5038" s="47"/>
      <c r="B5038" s="47"/>
      <c r="C5038" s="47"/>
      <c r="D5038" s="47"/>
      <c r="E5038" s="47"/>
      <c r="F5038" s="47"/>
      <c r="G5038" s="47"/>
      <c r="H5038" s="47"/>
      <c r="I5038" s="47"/>
      <c r="J5038" s="49">
        <v>42.0</v>
      </c>
    </row>
    <row r="5039" ht="15.75" hidden="1" customHeight="1">
      <c r="A5039" s="47"/>
      <c r="B5039" s="47"/>
      <c r="C5039" s="47"/>
      <c r="D5039" s="47"/>
      <c r="E5039" s="47"/>
      <c r="F5039" s="47"/>
      <c r="G5039" s="47"/>
      <c r="H5039" s="47"/>
      <c r="I5039" s="47"/>
      <c r="J5039" s="49">
        <v>42.0</v>
      </c>
    </row>
    <row r="5040" ht="15.75" hidden="1" customHeight="1">
      <c r="A5040" s="47"/>
      <c r="B5040" s="47"/>
      <c r="C5040" s="47"/>
      <c r="D5040" s="47"/>
      <c r="E5040" s="47"/>
      <c r="F5040" s="47"/>
      <c r="G5040" s="47"/>
      <c r="H5040" s="47"/>
      <c r="I5040" s="47"/>
      <c r="J5040" s="49">
        <v>42.0</v>
      </c>
    </row>
    <row r="5041" ht="15.75" hidden="1" customHeight="1">
      <c r="A5041" s="47"/>
      <c r="B5041" s="47"/>
      <c r="C5041" s="47"/>
      <c r="D5041" s="47"/>
      <c r="E5041" s="47"/>
      <c r="F5041" s="47"/>
      <c r="G5041" s="47"/>
      <c r="H5041" s="47"/>
      <c r="I5041" s="47"/>
      <c r="J5041" s="49">
        <v>42.0</v>
      </c>
    </row>
    <row r="5042" ht="15.75" hidden="1" customHeight="1">
      <c r="A5042" s="47"/>
      <c r="B5042" s="47"/>
      <c r="C5042" s="47"/>
      <c r="D5042" s="47"/>
      <c r="E5042" s="47"/>
      <c r="F5042" s="47"/>
      <c r="G5042" s="47"/>
      <c r="H5042" s="47"/>
      <c r="I5042" s="47"/>
      <c r="J5042" s="49">
        <v>42.0</v>
      </c>
    </row>
    <row r="5043" ht="15.75" hidden="1" customHeight="1">
      <c r="A5043" s="47"/>
      <c r="B5043" s="47"/>
      <c r="C5043" s="47"/>
      <c r="D5043" s="47"/>
      <c r="E5043" s="47"/>
      <c r="F5043" s="47"/>
      <c r="G5043" s="47"/>
      <c r="H5043" s="47"/>
      <c r="I5043" s="47"/>
      <c r="J5043" s="49">
        <v>42.0</v>
      </c>
    </row>
    <row r="5044" ht="15.75" hidden="1" customHeight="1">
      <c r="A5044" s="47"/>
      <c r="B5044" s="47"/>
      <c r="C5044" s="47"/>
      <c r="D5044" s="47"/>
      <c r="E5044" s="47"/>
      <c r="F5044" s="47"/>
      <c r="G5044" s="47"/>
      <c r="H5044" s="47"/>
      <c r="I5044" s="47"/>
      <c r="J5044" s="49">
        <v>42.0</v>
      </c>
    </row>
    <row r="5045" ht="15.75" hidden="1" customHeight="1">
      <c r="A5045" s="47"/>
      <c r="B5045" s="47"/>
      <c r="C5045" s="47"/>
      <c r="D5045" s="47"/>
      <c r="E5045" s="47"/>
      <c r="F5045" s="47"/>
      <c r="G5045" s="47"/>
      <c r="H5045" s="47"/>
      <c r="I5045" s="47"/>
      <c r="J5045" s="49">
        <v>42.0</v>
      </c>
    </row>
    <row r="5046" ht="15.75" hidden="1" customHeight="1">
      <c r="A5046" s="47"/>
      <c r="B5046" s="47"/>
      <c r="C5046" s="47"/>
      <c r="D5046" s="47"/>
      <c r="E5046" s="47"/>
      <c r="F5046" s="47"/>
      <c r="G5046" s="47"/>
      <c r="H5046" s="47"/>
      <c r="I5046" s="47"/>
      <c r="J5046" s="49">
        <v>42.0</v>
      </c>
    </row>
    <row r="5047" ht="15.75" hidden="1" customHeight="1">
      <c r="A5047" s="47"/>
      <c r="B5047" s="47"/>
      <c r="C5047" s="47"/>
      <c r="D5047" s="47"/>
      <c r="E5047" s="47"/>
      <c r="F5047" s="47"/>
      <c r="G5047" s="47"/>
      <c r="H5047" s="47"/>
      <c r="I5047" s="47"/>
      <c r="J5047" s="49">
        <v>42.0</v>
      </c>
    </row>
    <row r="5048" ht="15.75" hidden="1" customHeight="1">
      <c r="A5048" s="47"/>
      <c r="B5048" s="47"/>
      <c r="C5048" s="47"/>
      <c r="D5048" s="47"/>
      <c r="E5048" s="47"/>
      <c r="F5048" s="47"/>
      <c r="G5048" s="47"/>
      <c r="H5048" s="47"/>
      <c r="I5048" s="47"/>
      <c r="J5048" s="49">
        <v>42.0</v>
      </c>
    </row>
    <row r="5049" ht="15.75" hidden="1" customHeight="1">
      <c r="A5049" s="47"/>
      <c r="B5049" s="47"/>
      <c r="C5049" s="47"/>
      <c r="D5049" s="47"/>
      <c r="E5049" s="47"/>
      <c r="F5049" s="47"/>
      <c r="G5049" s="47"/>
      <c r="H5049" s="47"/>
      <c r="I5049" s="47"/>
      <c r="J5049" s="49">
        <v>42.0</v>
      </c>
    </row>
    <row r="5050" ht="15.75" hidden="1" customHeight="1">
      <c r="A5050" s="47"/>
      <c r="B5050" s="47"/>
      <c r="C5050" s="47"/>
      <c r="D5050" s="47"/>
      <c r="E5050" s="47"/>
      <c r="F5050" s="47"/>
      <c r="G5050" s="47"/>
      <c r="H5050" s="47"/>
      <c r="I5050" s="47"/>
      <c r="J5050" s="49">
        <v>42.0</v>
      </c>
    </row>
    <row r="5051" ht="15.75" hidden="1" customHeight="1">
      <c r="A5051" s="47"/>
      <c r="B5051" s="47"/>
      <c r="C5051" s="47"/>
      <c r="D5051" s="47"/>
      <c r="E5051" s="47"/>
      <c r="F5051" s="47"/>
      <c r="G5051" s="47"/>
      <c r="H5051" s="47"/>
      <c r="I5051" s="47"/>
      <c r="J5051" s="49">
        <v>42.0</v>
      </c>
    </row>
    <row r="5052" ht="15.75" hidden="1" customHeight="1">
      <c r="A5052" s="47"/>
      <c r="B5052" s="47"/>
      <c r="C5052" s="47"/>
      <c r="D5052" s="47"/>
      <c r="E5052" s="47"/>
      <c r="F5052" s="47"/>
      <c r="G5052" s="47"/>
      <c r="H5052" s="47"/>
      <c r="I5052" s="47"/>
      <c r="J5052" s="49">
        <v>42.0</v>
      </c>
    </row>
    <row r="5053" ht="15.75" hidden="1" customHeight="1">
      <c r="A5053" s="47"/>
      <c r="B5053" s="47"/>
      <c r="C5053" s="47"/>
      <c r="D5053" s="47"/>
      <c r="E5053" s="47"/>
      <c r="F5053" s="47"/>
      <c r="G5053" s="47"/>
      <c r="H5053" s="47"/>
      <c r="I5053" s="47"/>
      <c r="J5053" s="49">
        <v>42.0</v>
      </c>
    </row>
    <row r="5054" ht="15.75" hidden="1" customHeight="1">
      <c r="A5054" s="47"/>
      <c r="B5054" s="47"/>
      <c r="C5054" s="47"/>
      <c r="D5054" s="47"/>
      <c r="E5054" s="47"/>
      <c r="F5054" s="47"/>
      <c r="G5054" s="47"/>
      <c r="H5054" s="47"/>
      <c r="I5054" s="47"/>
      <c r="J5054" s="49">
        <v>42.0</v>
      </c>
    </row>
    <row r="5055" ht="15.75" hidden="1" customHeight="1">
      <c r="A5055" s="47"/>
      <c r="B5055" s="47"/>
      <c r="C5055" s="47"/>
      <c r="D5055" s="47"/>
      <c r="E5055" s="47"/>
      <c r="F5055" s="47"/>
      <c r="G5055" s="47"/>
      <c r="H5055" s="47"/>
      <c r="I5055" s="47"/>
      <c r="J5055" s="49">
        <v>42.0</v>
      </c>
    </row>
    <row r="5056" ht="15.75" hidden="1" customHeight="1">
      <c r="A5056" s="47"/>
      <c r="B5056" s="47"/>
      <c r="C5056" s="47"/>
      <c r="D5056" s="47"/>
      <c r="E5056" s="47"/>
      <c r="F5056" s="47"/>
      <c r="G5056" s="47"/>
      <c r="H5056" s="47"/>
      <c r="I5056" s="47"/>
      <c r="J5056" s="49">
        <v>42.0</v>
      </c>
    </row>
    <row r="5057" ht="15.75" hidden="1" customHeight="1">
      <c r="A5057" s="47"/>
      <c r="B5057" s="47"/>
      <c r="C5057" s="47"/>
      <c r="D5057" s="47"/>
      <c r="E5057" s="47"/>
      <c r="F5057" s="47"/>
      <c r="G5057" s="47"/>
      <c r="H5057" s="47"/>
      <c r="I5057" s="47"/>
      <c r="J5057" s="49">
        <v>42.0</v>
      </c>
    </row>
    <row r="5058" ht="15.75" hidden="1" customHeight="1">
      <c r="A5058" s="47"/>
      <c r="B5058" s="47"/>
      <c r="C5058" s="47"/>
      <c r="D5058" s="47"/>
      <c r="E5058" s="47"/>
      <c r="F5058" s="47"/>
      <c r="G5058" s="47"/>
      <c r="H5058" s="47"/>
      <c r="I5058" s="47"/>
      <c r="J5058" s="49">
        <v>42.0</v>
      </c>
    </row>
    <row r="5059" ht="15.75" hidden="1" customHeight="1">
      <c r="A5059" s="47"/>
      <c r="B5059" s="47"/>
      <c r="C5059" s="47"/>
      <c r="D5059" s="47"/>
      <c r="E5059" s="47"/>
      <c r="F5059" s="47"/>
      <c r="G5059" s="47"/>
      <c r="H5059" s="47"/>
      <c r="I5059" s="47"/>
      <c r="J5059" s="49">
        <v>42.0</v>
      </c>
    </row>
    <row r="5060" ht="15.75" hidden="1" customHeight="1">
      <c r="A5060" s="47"/>
      <c r="B5060" s="47"/>
      <c r="C5060" s="47"/>
      <c r="D5060" s="47"/>
      <c r="E5060" s="47"/>
      <c r="F5060" s="47"/>
      <c r="G5060" s="47"/>
      <c r="H5060" s="47"/>
      <c r="I5060" s="47"/>
      <c r="J5060" s="49">
        <v>42.0</v>
      </c>
    </row>
    <row r="5061" ht="15.75" hidden="1" customHeight="1">
      <c r="A5061" s="47"/>
      <c r="B5061" s="47"/>
      <c r="C5061" s="47"/>
      <c r="D5061" s="47"/>
      <c r="E5061" s="47"/>
      <c r="F5061" s="47"/>
      <c r="G5061" s="47"/>
      <c r="H5061" s="47"/>
      <c r="I5061" s="47"/>
      <c r="J5061" s="49">
        <v>42.0</v>
      </c>
    </row>
    <row r="5062" ht="15.75" hidden="1" customHeight="1">
      <c r="A5062" s="47"/>
      <c r="B5062" s="47"/>
      <c r="C5062" s="47"/>
      <c r="D5062" s="47"/>
      <c r="E5062" s="47"/>
      <c r="F5062" s="47"/>
      <c r="G5062" s="47"/>
      <c r="H5062" s="47"/>
      <c r="I5062" s="47"/>
      <c r="J5062" s="49">
        <v>42.0</v>
      </c>
    </row>
    <row r="5063" ht="15.75" hidden="1" customHeight="1">
      <c r="A5063" s="47"/>
      <c r="B5063" s="47"/>
      <c r="C5063" s="47"/>
      <c r="D5063" s="47"/>
      <c r="E5063" s="47"/>
      <c r="F5063" s="47"/>
      <c r="G5063" s="47"/>
      <c r="H5063" s="47"/>
      <c r="I5063" s="47"/>
      <c r="J5063" s="49">
        <v>42.0</v>
      </c>
    </row>
    <row r="5064" ht="15.75" hidden="1" customHeight="1">
      <c r="A5064" s="47"/>
      <c r="B5064" s="47"/>
      <c r="C5064" s="47"/>
      <c r="D5064" s="47"/>
      <c r="E5064" s="47"/>
      <c r="F5064" s="47"/>
      <c r="G5064" s="47"/>
      <c r="H5064" s="47"/>
      <c r="I5064" s="47"/>
      <c r="J5064" s="49">
        <v>42.0</v>
      </c>
    </row>
    <row r="5065" ht="15.75" hidden="1" customHeight="1">
      <c r="A5065" s="47"/>
      <c r="B5065" s="47"/>
      <c r="C5065" s="47"/>
      <c r="D5065" s="47"/>
      <c r="E5065" s="47"/>
      <c r="F5065" s="47"/>
      <c r="G5065" s="47"/>
      <c r="H5065" s="47"/>
      <c r="I5065" s="47"/>
      <c r="J5065" s="49">
        <v>42.0</v>
      </c>
    </row>
    <row r="5066" ht="15.75" hidden="1" customHeight="1">
      <c r="A5066" s="47"/>
      <c r="B5066" s="47"/>
      <c r="C5066" s="47"/>
      <c r="D5066" s="47"/>
      <c r="E5066" s="47"/>
      <c r="F5066" s="47"/>
      <c r="G5066" s="47"/>
      <c r="H5066" s="47"/>
      <c r="I5066" s="47"/>
      <c r="J5066" s="49">
        <v>42.0</v>
      </c>
    </row>
    <row r="5067" ht="15.75" hidden="1" customHeight="1">
      <c r="A5067" s="47"/>
      <c r="B5067" s="47"/>
      <c r="C5067" s="47"/>
      <c r="D5067" s="47"/>
      <c r="E5067" s="47"/>
      <c r="F5067" s="47"/>
      <c r="G5067" s="47"/>
      <c r="H5067" s="47"/>
      <c r="I5067" s="47"/>
      <c r="J5067" s="49">
        <v>42.0</v>
      </c>
    </row>
    <row r="5068" ht="15.75" hidden="1" customHeight="1">
      <c r="A5068" s="47"/>
      <c r="B5068" s="47"/>
      <c r="C5068" s="47"/>
      <c r="D5068" s="47"/>
      <c r="E5068" s="47"/>
      <c r="F5068" s="47"/>
      <c r="G5068" s="47"/>
      <c r="H5068" s="47"/>
      <c r="I5068" s="47"/>
      <c r="J5068" s="49">
        <v>42.0</v>
      </c>
    </row>
    <row r="5069" ht="15.75" hidden="1" customHeight="1">
      <c r="A5069" s="47"/>
      <c r="B5069" s="47"/>
      <c r="C5069" s="47"/>
      <c r="D5069" s="47"/>
      <c r="E5069" s="47"/>
      <c r="F5069" s="47"/>
      <c r="G5069" s="47"/>
      <c r="H5069" s="47"/>
      <c r="I5069" s="47"/>
      <c r="J5069" s="49">
        <v>42.0</v>
      </c>
    </row>
    <row r="5070" ht="15.75" hidden="1" customHeight="1">
      <c r="A5070" s="47"/>
      <c r="B5070" s="47"/>
      <c r="C5070" s="47"/>
      <c r="D5070" s="47"/>
      <c r="E5070" s="47"/>
      <c r="F5070" s="47"/>
      <c r="G5070" s="47"/>
      <c r="H5070" s="47"/>
      <c r="I5070" s="47"/>
      <c r="J5070" s="49">
        <v>42.0</v>
      </c>
    </row>
    <row r="5071" ht="15.75" hidden="1" customHeight="1">
      <c r="A5071" s="47"/>
      <c r="B5071" s="47"/>
      <c r="C5071" s="47"/>
      <c r="D5071" s="47"/>
      <c r="E5071" s="47"/>
      <c r="F5071" s="47"/>
      <c r="G5071" s="47"/>
      <c r="H5071" s="47"/>
      <c r="I5071" s="47"/>
      <c r="J5071" s="49">
        <v>42.0</v>
      </c>
    </row>
    <row r="5072" ht="15.75" hidden="1" customHeight="1">
      <c r="A5072" s="47"/>
      <c r="B5072" s="47"/>
      <c r="C5072" s="47"/>
      <c r="D5072" s="47"/>
      <c r="E5072" s="47"/>
      <c r="F5072" s="47"/>
      <c r="G5072" s="47"/>
      <c r="H5072" s="47"/>
      <c r="I5072" s="47"/>
      <c r="J5072" s="49">
        <v>42.0</v>
      </c>
    </row>
    <row r="5073" ht="15.75" hidden="1" customHeight="1">
      <c r="A5073" s="47"/>
      <c r="B5073" s="47"/>
      <c r="C5073" s="47"/>
      <c r="D5073" s="47"/>
      <c r="E5073" s="47"/>
      <c r="F5073" s="47"/>
      <c r="G5073" s="47"/>
      <c r="H5073" s="47"/>
      <c r="I5073" s="47"/>
      <c r="J5073" s="49">
        <v>42.0</v>
      </c>
    </row>
    <row r="5074" ht="15.75" hidden="1" customHeight="1">
      <c r="A5074" s="47"/>
      <c r="B5074" s="47"/>
      <c r="C5074" s="47"/>
      <c r="D5074" s="47"/>
      <c r="E5074" s="47"/>
      <c r="F5074" s="47"/>
      <c r="G5074" s="47"/>
      <c r="H5074" s="47"/>
      <c r="I5074" s="47"/>
      <c r="J5074" s="49">
        <v>42.0</v>
      </c>
    </row>
    <row r="5075" ht="15.75" hidden="1" customHeight="1">
      <c r="A5075" s="47"/>
      <c r="B5075" s="47"/>
      <c r="C5075" s="47"/>
      <c r="D5075" s="47"/>
      <c r="E5075" s="47"/>
      <c r="F5075" s="47"/>
      <c r="G5075" s="47"/>
      <c r="H5075" s="47"/>
      <c r="I5075" s="47"/>
      <c r="J5075" s="49">
        <v>42.0</v>
      </c>
    </row>
    <row r="5076" ht="15.75" hidden="1" customHeight="1">
      <c r="A5076" s="47"/>
      <c r="B5076" s="47"/>
      <c r="C5076" s="47"/>
      <c r="D5076" s="47"/>
      <c r="E5076" s="47"/>
      <c r="F5076" s="47"/>
      <c r="G5076" s="47"/>
      <c r="H5076" s="47"/>
      <c r="I5076" s="47"/>
      <c r="J5076" s="49">
        <v>42.0</v>
      </c>
    </row>
    <row r="5077" ht="15.75" hidden="1" customHeight="1">
      <c r="A5077" s="47"/>
      <c r="B5077" s="47"/>
      <c r="C5077" s="47"/>
      <c r="D5077" s="47"/>
      <c r="E5077" s="47"/>
      <c r="F5077" s="47"/>
      <c r="G5077" s="47"/>
      <c r="H5077" s="47"/>
      <c r="I5077" s="47"/>
      <c r="J5077" s="49">
        <v>42.0</v>
      </c>
    </row>
    <row r="5078" ht="15.75" hidden="1" customHeight="1">
      <c r="A5078" s="47"/>
      <c r="B5078" s="47"/>
      <c r="C5078" s="47"/>
      <c r="D5078" s="47"/>
      <c r="E5078" s="47"/>
      <c r="F5078" s="47"/>
      <c r="G5078" s="47"/>
      <c r="H5078" s="47"/>
      <c r="I5078" s="47"/>
      <c r="J5078" s="49">
        <v>42.0</v>
      </c>
    </row>
    <row r="5079" ht="15.75" hidden="1" customHeight="1">
      <c r="A5079" s="47"/>
      <c r="B5079" s="47"/>
      <c r="C5079" s="47"/>
      <c r="D5079" s="47"/>
      <c r="E5079" s="47"/>
      <c r="F5079" s="47"/>
      <c r="G5079" s="47"/>
      <c r="H5079" s="47"/>
      <c r="I5079" s="47"/>
      <c r="J5079" s="49">
        <v>42.0</v>
      </c>
    </row>
    <row r="5080" ht="15.75" hidden="1" customHeight="1">
      <c r="A5080" s="47"/>
      <c r="B5080" s="47"/>
      <c r="C5080" s="47"/>
      <c r="D5080" s="47"/>
      <c r="E5080" s="47"/>
      <c r="F5080" s="47"/>
      <c r="G5080" s="47"/>
      <c r="H5080" s="47"/>
      <c r="I5080" s="47"/>
      <c r="J5080" s="49">
        <v>42.0</v>
      </c>
    </row>
    <row r="5081" ht="15.75" hidden="1" customHeight="1">
      <c r="A5081" s="47"/>
      <c r="B5081" s="47"/>
      <c r="C5081" s="47"/>
      <c r="D5081" s="47"/>
      <c r="E5081" s="47"/>
      <c r="F5081" s="47"/>
      <c r="G5081" s="47"/>
      <c r="H5081" s="47"/>
      <c r="I5081" s="47"/>
      <c r="J5081" s="49">
        <v>42.0</v>
      </c>
    </row>
    <row r="5082" ht="15.75" hidden="1" customHeight="1">
      <c r="A5082" s="47"/>
      <c r="B5082" s="47"/>
      <c r="C5082" s="47"/>
      <c r="D5082" s="47"/>
      <c r="E5082" s="47"/>
      <c r="F5082" s="47"/>
      <c r="G5082" s="47"/>
      <c r="H5082" s="47"/>
      <c r="I5082" s="47"/>
      <c r="J5082" s="49">
        <v>42.0</v>
      </c>
    </row>
    <row r="5083" ht="15.75" hidden="1" customHeight="1">
      <c r="A5083" s="47"/>
      <c r="B5083" s="47"/>
      <c r="C5083" s="47"/>
      <c r="D5083" s="47"/>
      <c r="E5083" s="47"/>
      <c r="F5083" s="47"/>
      <c r="G5083" s="47"/>
      <c r="H5083" s="47"/>
      <c r="I5083" s="47"/>
      <c r="J5083" s="49">
        <v>42.0</v>
      </c>
    </row>
    <row r="5084" ht="15.75" hidden="1" customHeight="1">
      <c r="A5084" s="47"/>
      <c r="B5084" s="47"/>
      <c r="C5084" s="47"/>
      <c r="D5084" s="47"/>
      <c r="E5084" s="47"/>
      <c r="F5084" s="47"/>
      <c r="G5084" s="47"/>
      <c r="H5084" s="47"/>
      <c r="I5084" s="47"/>
      <c r="J5084" s="49">
        <v>42.0</v>
      </c>
    </row>
    <row r="5085" ht="15.75" hidden="1" customHeight="1">
      <c r="A5085" s="47"/>
      <c r="B5085" s="47"/>
      <c r="C5085" s="47"/>
      <c r="D5085" s="47"/>
      <c r="E5085" s="47"/>
      <c r="F5085" s="47"/>
      <c r="G5085" s="47"/>
      <c r="H5085" s="47"/>
      <c r="I5085" s="47"/>
      <c r="J5085" s="49">
        <v>42.0</v>
      </c>
    </row>
    <row r="5086" ht="15.75" hidden="1" customHeight="1">
      <c r="A5086" s="47"/>
      <c r="B5086" s="47"/>
      <c r="C5086" s="47"/>
      <c r="D5086" s="47"/>
      <c r="E5086" s="47"/>
      <c r="F5086" s="47"/>
      <c r="G5086" s="47"/>
      <c r="H5086" s="47"/>
      <c r="I5086" s="47"/>
      <c r="J5086" s="49">
        <v>42.0</v>
      </c>
    </row>
    <row r="5087" ht="15.75" hidden="1" customHeight="1">
      <c r="A5087" s="47"/>
      <c r="B5087" s="47"/>
      <c r="C5087" s="47"/>
      <c r="D5087" s="47"/>
      <c r="E5087" s="47"/>
      <c r="F5087" s="47"/>
      <c r="G5087" s="47"/>
      <c r="H5087" s="47"/>
      <c r="I5087" s="47"/>
      <c r="J5087" s="49">
        <v>42.0</v>
      </c>
    </row>
    <row r="5088" ht="15.75" hidden="1" customHeight="1">
      <c r="A5088" s="47"/>
      <c r="B5088" s="47"/>
      <c r="C5088" s="47"/>
      <c r="D5088" s="47"/>
      <c r="E5088" s="47"/>
      <c r="F5088" s="47"/>
      <c r="G5088" s="47"/>
      <c r="H5088" s="47"/>
      <c r="I5088" s="47"/>
      <c r="J5088" s="49">
        <v>42.0</v>
      </c>
    </row>
    <row r="5089" ht="15.75" hidden="1" customHeight="1">
      <c r="A5089" s="47"/>
      <c r="B5089" s="47"/>
      <c r="C5089" s="47"/>
      <c r="D5089" s="47"/>
      <c r="E5089" s="47"/>
      <c r="F5089" s="47"/>
      <c r="G5089" s="47"/>
      <c r="H5089" s="47"/>
      <c r="I5089" s="47"/>
      <c r="J5089" s="49">
        <v>42.0</v>
      </c>
    </row>
    <row r="5090" ht="15.75" hidden="1" customHeight="1">
      <c r="A5090" s="47"/>
      <c r="B5090" s="47"/>
      <c r="C5090" s="47"/>
      <c r="D5090" s="47"/>
      <c r="E5090" s="47"/>
      <c r="F5090" s="47"/>
      <c r="G5090" s="47"/>
      <c r="H5090" s="47"/>
      <c r="I5090" s="47"/>
      <c r="J5090" s="49">
        <v>42.0</v>
      </c>
    </row>
    <row r="5091" ht="15.75" hidden="1" customHeight="1">
      <c r="A5091" s="47"/>
      <c r="B5091" s="47"/>
      <c r="C5091" s="47"/>
      <c r="D5091" s="47"/>
      <c r="E5091" s="47"/>
      <c r="F5091" s="47"/>
      <c r="G5091" s="47"/>
      <c r="H5091" s="47"/>
      <c r="I5091" s="47"/>
      <c r="J5091" s="49">
        <v>42.0</v>
      </c>
    </row>
    <row r="5092" ht="15.75" hidden="1" customHeight="1">
      <c r="A5092" s="47"/>
      <c r="B5092" s="47"/>
      <c r="C5092" s="47"/>
      <c r="D5092" s="47"/>
      <c r="E5092" s="47"/>
      <c r="F5092" s="47"/>
      <c r="G5092" s="47"/>
      <c r="H5092" s="47"/>
      <c r="I5092" s="47"/>
      <c r="J5092" s="49">
        <v>42.0</v>
      </c>
    </row>
    <row r="5093" ht="15.75" hidden="1" customHeight="1">
      <c r="A5093" s="47"/>
      <c r="B5093" s="47"/>
      <c r="C5093" s="47"/>
      <c r="D5093" s="47"/>
      <c r="E5093" s="47"/>
      <c r="F5093" s="47"/>
      <c r="G5093" s="47"/>
      <c r="H5093" s="47"/>
      <c r="I5093" s="47"/>
      <c r="J5093" s="49">
        <v>42.0</v>
      </c>
    </row>
    <row r="5094" ht="15.75" hidden="1" customHeight="1">
      <c r="A5094" s="47"/>
      <c r="B5094" s="47"/>
      <c r="C5094" s="47"/>
      <c r="D5094" s="47"/>
      <c r="E5094" s="47"/>
      <c r="F5094" s="47"/>
      <c r="G5094" s="47"/>
      <c r="H5094" s="47"/>
      <c r="I5094" s="47"/>
      <c r="J5094" s="49">
        <v>42.0</v>
      </c>
    </row>
    <row r="5095" ht="15.75" hidden="1" customHeight="1">
      <c r="A5095" s="47"/>
      <c r="B5095" s="47"/>
      <c r="C5095" s="47"/>
      <c r="D5095" s="47"/>
      <c r="E5095" s="47"/>
      <c r="F5095" s="47"/>
      <c r="G5095" s="47"/>
      <c r="H5095" s="47"/>
      <c r="I5095" s="47"/>
      <c r="J5095" s="49">
        <v>42.0</v>
      </c>
    </row>
    <row r="5096" ht="15.75" hidden="1" customHeight="1">
      <c r="A5096" s="47"/>
      <c r="B5096" s="47"/>
      <c r="C5096" s="47"/>
      <c r="D5096" s="47"/>
      <c r="E5096" s="47"/>
      <c r="F5096" s="47"/>
      <c r="G5096" s="47"/>
      <c r="H5096" s="47"/>
      <c r="I5096" s="47"/>
      <c r="J5096" s="49">
        <v>42.0</v>
      </c>
    </row>
    <row r="5097" ht="15.75" hidden="1" customHeight="1">
      <c r="A5097" s="47"/>
      <c r="B5097" s="47"/>
      <c r="C5097" s="47"/>
      <c r="D5097" s="47"/>
      <c r="E5097" s="47"/>
      <c r="F5097" s="47"/>
      <c r="G5097" s="47"/>
      <c r="H5097" s="47"/>
      <c r="I5097" s="47"/>
      <c r="J5097" s="49">
        <v>42.0</v>
      </c>
    </row>
    <row r="5098" ht="15.75" hidden="1" customHeight="1">
      <c r="A5098" s="47"/>
      <c r="B5098" s="47"/>
      <c r="C5098" s="47"/>
      <c r="D5098" s="47"/>
      <c r="E5098" s="47"/>
      <c r="F5098" s="47"/>
      <c r="G5098" s="47"/>
      <c r="H5098" s="47"/>
      <c r="I5098" s="47"/>
      <c r="J5098" s="49">
        <v>42.0</v>
      </c>
    </row>
    <row r="5099" ht="15.75" hidden="1" customHeight="1">
      <c r="A5099" s="47"/>
      <c r="B5099" s="47"/>
      <c r="C5099" s="47"/>
      <c r="D5099" s="47"/>
      <c r="E5099" s="47"/>
      <c r="F5099" s="47"/>
      <c r="G5099" s="47"/>
      <c r="H5099" s="47"/>
      <c r="I5099" s="47"/>
      <c r="J5099" s="49">
        <v>42.0</v>
      </c>
    </row>
    <row r="5100" ht="15.75" hidden="1" customHeight="1">
      <c r="A5100" s="47"/>
      <c r="B5100" s="47"/>
      <c r="C5100" s="47"/>
      <c r="D5100" s="47"/>
      <c r="E5100" s="47"/>
      <c r="F5100" s="47"/>
      <c r="G5100" s="47"/>
      <c r="H5100" s="47"/>
      <c r="I5100" s="47"/>
      <c r="J5100" s="49">
        <v>42.0</v>
      </c>
    </row>
    <row r="5101" ht="15.75" hidden="1" customHeight="1">
      <c r="A5101" s="47"/>
      <c r="B5101" s="47"/>
      <c r="C5101" s="47"/>
      <c r="D5101" s="47"/>
      <c r="E5101" s="47"/>
      <c r="F5101" s="47"/>
      <c r="G5101" s="47"/>
      <c r="H5101" s="47"/>
      <c r="I5101" s="47"/>
      <c r="J5101" s="49">
        <v>42.0</v>
      </c>
    </row>
    <row r="5102" ht="15.75" hidden="1" customHeight="1">
      <c r="A5102" s="47"/>
      <c r="B5102" s="47"/>
      <c r="C5102" s="47"/>
      <c r="D5102" s="47"/>
      <c r="E5102" s="47"/>
      <c r="F5102" s="47"/>
      <c r="G5102" s="47"/>
      <c r="H5102" s="47"/>
      <c r="I5102" s="47"/>
      <c r="J5102" s="49">
        <v>42.0</v>
      </c>
    </row>
    <row r="5103" ht="15.75" hidden="1" customHeight="1">
      <c r="A5103" s="47"/>
      <c r="B5103" s="47"/>
      <c r="C5103" s="47"/>
      <c r="D5103" s="47"/>
      <c r="E5103" s="47"/>
      <c r="F5103" s="47"/>
      <c r="G5103" s="47"/>
      <c r="H5103" s="47"/>
      <c r="I5103" s="47"/>
      <c r="J5103" s="49">
        <v>42.0</v>
      </c>
    </row>
    <row r="5104" ht="15.75" hidden="1" customHeight="1">
      <c r="A5104" s="47"/>
      <c r="B5104" s="47"/>
      <c r="C5104" s="47"/>
      <c r="D5104" s="47"/>
      <c r="E5104" s="47"/>
      <c r="F5104" s="47"/>
      <c r="G5104" s="47"/>
      <c r="H5104" s="47"/>
      <c r="I5104" s="47"/>
      <c r="J5104" s="49">
        <v>42.0</v>
      </c>
    </row>
    <row r="5105" ht="15.75" hidden="1" customHeight="1">
      <c r="A5105" s="47"/>
      <c r="B5105" s="47"/>
      <c r="C5105" s="47"/>
      <c r="D5105" s="47"/>
      <c r="E5105" s="47"/>
      <c r="F5105" s="47"/>
      <c r="G5105" s="47"/>
      <c r="H5105" s="47"/>
      <c r="I5105" s="47"/>
      <c r="J5105" s="49">
        <v>42.0</v>
      </c>
    </row>
    <row r="5106" ht="15.75" hidden="1" customHeight="1">
      <c r="A5106" s="47"/>
      <c r="B5106" s="47"/>
      <c r="C5106" s="47"/>
      <c r="D5106" s="47"/>
      <c r="E5106" s="47"/>
      <c r="F5106" s="47"/>
      <c r="G5106" s="47"/>
      <c r="H5106" s="47"/>
      <c r="I5106" s="47"/>
      <c r="J5106" s="49">
        <v>42.0</v>
      </c>
    </row>
    <row r="5107" ht="15.75" hidden="1" customHeight="1">
      <c r="A5107" s="47"/>
      <c r="B5107" s="47"/>
      <c r="C5107" s="47"/>
      <c r="D5107" s="47"/>
      <c r="E5107" s="47"/>
      <c r="F5107" s="47"/>
      <c r="G5107" s="47"/>
      <c r="H5107" s="47"/>
      <c r="I5107" s="47"/>
      <c r="J5107" s="49">
        <v>42.0</v>
      </c>
    </row>
    <row r="5108" ht="15.75" hidden="1" customHeight="1">
      <c r="A5108" s="47"/>
      <c r="B5108" s="47"/>
      <c r="C5108" s="47"/>
      <c r="D5108" s="47"/>
      <c r="E5108" s="47"/>
      <c r="F5108" s="47"/>
      <c r="G5108" s="47"/>
      <c r="H5108" s="47"/>
      <c r="I5108" s="47"/>
      <c r="J5108" s="49">
        <v>42.0</v>
      </c>
    </row>
    <row r="5109" ht="15.75" hidden="1" customHeight="1">
      <c r="A5109" s="47"/>
      <c r="B5109" s="47"/>
      <c r="C5109" s="47"/>
      <c r="D5109" s="47"/>
      <c r="E5109" s="47"/>
      <c r="F5109" s="47"/>
      <c r="G5109" s="47"/>
      <c r="H5109" s="47"/>
      <c r="I5109" s="47"/>
      <c r="J5109" s="49">
        <v>42.0</v>
      </c>
    </row>
    <row r="5110" ht="15.75" hidden="1" customHeight="1">
      <c r="A5110" s="47"/>
      <c r="B5110" s="47"/>
      <c r="C5110" s="47"/>
      <c r="D5110" s="47"/>
      <c r="E5110" s="47"/>
      <c r="F5110" s="47"/>
      <c r="G5110" s="47"/>
      <c r="H5110" s="47"/>
      <c r="I5110" s="47"/>
      <c r="J5110" s="49">
        <v>42.0</v>
      </c>
    </row>
    <row r="5111" ht="15.75" hidden="1" customHeight="1">
      <c r="A5111" s="47"/>
      <c r="B5111" s="47"/>
      <c r="C5111" s="47"/>
      <c r="D5111" s="47"/>
      <c r="E5111" s="47"/>
      <c r="F5111" s="47"/>
      <c r="G5111" s="47"/>
      <c r="H5111" s="47"/>
      <c r="I5111" s="47"/>
      <c r="J5111" s="49">
        <v>42.0</v>
      </c>
    </row>
    <row r="5112" ht="15.75" hidden="1" customHeight="1">
      <c r="A5112" s="47"/>
      <c r="B5112" s="47"/>
      <c r="C5112" s="47"/>
      <c r="D5112" s="47"/>
      <c r="E5112" s="47"/>
      <c r="F5112" s="47"/>
      <c r="G5112" s="47"/>
      <c r="H5112" s="47"/>
      <c r="I5112" s="47"/>
      <c r="J5112" s="49">
        <v>42.0</v>
      </c>
    </row>
    <row r="5113" ht="15.75" hidden="1" customHeight="1">
      <c r="A5113" s="47"/>
      <c r="B5113" s="47"/>
      <c r="C5113" s="47"/>
      <c r="D5113" s="47"/>
      <c r="E5113" s="47"/>
      <c r="F5113" s="47"/>
      <c r="G5113" s="47"/>
      <c r="H5113" s="47"/>
      <c r="I5113" s="47"/>
      <c r="J5113" s="49">
        <v>42.0</v>
      </c>
    </row>
    <row r="5114" ht="15.75" hidden="1" customHeight="1">
      <c r="A5114" s="47"/>
      <c r="B5114" s="47"/>
      <c r="C5114" s="47"/>
      <c r="D5114" s="47"/>
      <c r="E5114" s="47"/>
      <c r="F5114" s="47"/>
      <c r="G5114" s="47"/>
      <c r="H5114" s="47"/>
      <c r="I5114" s="47"/>
      <c r="J5114" s="49">
        <v>42.0</v>
      </c>
    </row>
    <row r="5115" ht="15.75" hidden="1" customHeight="1">
      <c r="A5115" s="47"/>
      <c r="B5115" s="47"/>
      <c r="C5115" s="47"/>
      <c r="D5115" s="47"/>
      <c r="E5115" s="47"/>
      <c r="F5115" s="47"/>
      <c r="G5115" s="47"/>
      <c r="H5115" s="47"/>
      <c r="I5115" s="47"/>
      <c r="J5115" s="49">
        <v>42.0</v>
      </c>
    </row>
    <row r="5116" ht="15.75" hidden="1" customHeight="1">
      <c r="A5116" s="47"/>
      <c r="B5116" s="47"/>
      <c r="C5116" s="47"/>
      <c r="D5116" s="47"/>
      <c r="E5116" s="47"/>
      <c r="F5116" s="47"/>
      <c r="G5116" s="47"/>
      <c r="H5116" s="47"/>
      <c r="I5116" s="47"/>
      <c r="J5116" s="49">
        <v>42.0</v>
      </c>
    </row>
    <row r="5117" ht="15.75" hidden="1" customHeight="1">
      <c r="A5117" s="47"/>
      <c r="B5117" s="47"/>
      <c r="C5117" s="47"/>
      <c r="D5117" s="47"/>
      <c r="E5117" s="47"/>
      <c r="F5117" s="47"/>
      <c r="G5117" s="47"/>
      <c r="H5117" s="47"/>
      <c r="I5117" s="47"/>
      <c r="J5117" s="49">
        <v>42.0</v>
      </c>
    </row>
    <row r="5118" ht="15.75" hidden="1" customHeight="1">
      <c r="A5118" s="47"/>
      <c r="B5118" s="47"/>
      <c r="C5118" s="47"/>
      <c r="D5118" s="47"/>
      <c r="E5118" s="47"/>
      <c r="F5118" s="47"/>
      <c r="G5118" s="47"/>
      <c r="H5118" s="47"/>
      <c r="I5118" s="47"/>
      <c r="J5118" s="49">
        <v>42.0</v>
      </c>
    </row>
    <row r="5119" ht="15.75" hidden="1" customHeight="1">
      <c r="A5119" s="47"/>
      <c r="B5119" s="47"/>
      <c r="C5119" s="47"/>
      <c r="D5119" s="47"/>
      <c r="E5119" s="47"/>
      <c r="F5119" s="47"/>
      <c r="G5119" s="47"/>
      <c r="H5119" s="47"/>
      <c r="I5119" s="47"/>
      <c r="J5119" s="49">
        <v>42.0</v>
      </c>
    </row>
    <row r="5120" ht="15.75" hidden="1" customHeight="1">
      <c r="A5120" s="47"/>
      <c r="B5120" s="47"/>
      <c r="C5120" s="47"/>
      <c r="D5120" s="47"/>
      <c r="E5120" s="47"/>
      <c r="F5120" s="47"/>
      <c r="G5120" s="47"/>
      <c r="H5120" s="47"/>
      <c r="I5120" s="47"/>
      <c r="J5120" s="49">
        <v>42.0</v>
      </c>
    </row>
    <row r="5121" ht="15.75" hidden="1" customHeight="1">
      <c r="A5121" s="47"/>
      <c r="B5121" s="47"/>
      <c r="C5121" s="47"/>
      <c r="D5121" s="47"/>
      <c r="E5121" s="47"/>
      <c r="F5121" s="47"/>
      <c r="G5121" s="47"/>
      <c r="H5121" s="47"/>
      <c r="I5121" s="47"/>
      <c r="J5121" s="49">
        <v>42.0</v>
      </c>
    </row>
    <row r="5122" ht="15.75" hidden="1" customHeight="1">
      <c r="A5122" s="47"/>
      <c r="B5122" s="47"/>
      <c r="C5122" s="47"/>
      <c r="D5122" s="47"/>
      <c r="E5122" s="47"/>
      <c r="F5122" s="47"/>
      <c r="G5122" s="47"/>
      <c r="H5122" s="47"/>
      <c r="I5122" s="47"/>
      <c r="J5122" s="49">
        <v>42.0</v>
      </c>
    </row>
    <row r="5123" ht="15.75" hidden="1" customHeight="1">
      <c r="A5123" s="47"/>
      <c r="B5123" s="47"/>
      <c r="C5123" s="47"/>
      <c r="D5123" s="47"/>
      <c r="E5123" s="47"/>
      <c r="F5123" s="47"/>
      <c r="G5123" s="47"/>
      <c r="H5123" s="47"/>
      <c r="I5123" s="47"/>
      <c r="J5123" s="49">
        <v>42.0</v>
      </c>
    </row>
    <row r="5124" ht="15.75" hidden="1" customHeight="1">
      <c r="A5124" s="47"/>
      <c r="B5124" s="47"/>
      <c r="C5124" s="47"/>
      <c r="D5124" s="47"/>
      <c r="E5124" s="47"/>
      <c r="F5124" s="47"/>
      <c r="G5124" s="47"/>
      <c r="H5124" s="47"/>
      <c r="I5124" s="47"/>
      <c r="J5124" s="49">
        <v>42.0</v>
      </c>
    </row>
    <row r="5125" ht="15.75" hidden="1" customHeight="1">
      <c r="A5125" s="47"/>
      <c r="B5125" s="47"/>
      <c r="C5125" s="47"/>
      <c r="D5125" s="47"/>
      <c r="E5125" s="47"/>
      <c r="F5125" s="47"/>
      <c r="G5125" s="47"/>
      <c r="H5125" s="47"/>
      <c r="I5125" s="47"/>
      <c r="J5125" s="49">
        <v>42.0</v>
      </c>
    </row>
    <row r="5126" ht="15.75" hidden="1" customHeight="1">
      <c r="A5126" s="47"/>
      <c r="B5126" s="47"/>
      <c r="C5126" s="47"/>
      <c r="D5126" s="47"/>
      <c r="E5126" s="47"/>
      <c r="F5126" s="47"/>
      <c r="G5126" s="47"/>
      <c r="H5126" s="47"/>
      <c r="I5126" s="47"/>
      <c r="J5126" s="49">
        <v>42.0</v>
      </c>
    </row>
    <row r="5127" ht="15.75" hidden="1" customHeight="1">
      <c r="A5127" s="47"/>
      <c r="B5127" s="47"/>
      <c r="C5127" s="47"/>
      <c r="D5127" s="47"/>
      <c r="E5127" s="47"/>
      <c r="F5127" s="47"/>
      <c r="G5127" s="47"/>
      <c r="H5127" s="47"/>
      <c r="I5127" s="47"/>
      <c r="J5127" s="49">
        <v>42.0</v>
      </c>
    </row>
    <row r="5128" ht="15.75" hidden="1" customHeight="1">
      <c r="A5128" s="47"/>
      <c r="B5128" s="47"/>
      <c r="C5128" s="47"/>
      <c r="D5128" s="47"/>
      <c r="E5128" s="47"/>
      <c r="F5128" s="47"/>
      <c r="G5128" s="47"/>
      <c r="H5128" s="47"/>
      <c r="I5128" s="47"/>
      <c r="J5128" s="49">
        <v>42.0</v>
      </c>
    </row>
    <row r="5129" ht="15.75" hidden="1" customHeight="1">
      <c r="A5129" s="47"/>
      <c r="B5129" s="47"/>
      <c r="C5129" s="47"/>
      <c r="D5129" s="47"/>
      <c r="E5129" s="47"/>
      <c r="F5129" s="47"/>
      <c r="G5129" s="47"/>
      <c r="H5129" s="47"/>
      <c r="I5129" s="47"/>
      <c r="J5129" s="49">
        <v>42.0</v>
      </c>
    </row>
    <row r="5130" ht="15.75" hidden="1" customHeight="1">
      <c r="A5130" s="47"/>
      <c r="B5130" s="47"/>
      <c r="C5130" s="47"/>
      <c r="D5130" s="47"/>
      <c r="E5130" s="47"/>
      <c r="F5130" s="47"/>
      <c r="G5130" s="47"/>
      <c r="H5130" s="47"/>
      <c r="I5130" s="47"/>
      <c r="J5130" s="49">
        <v>42.0</v>
      </c>
    </row>
    <row r="5131" ht="15.75" hidden="1" customHeight="1">
      <c r="A5131" s="47"/>
      <c r="B5131" s="47"/>
      <c r="C5131" s="47"/>
      <c r="D5131" s="47"/>
      <c r="E5131" s="47"/>
      <c r="F5131" s="47"/>
      <c r="G5131" s="47"/>
      <c r="H5131" s="47"/>
      <c r="I5131" s="47"/>
      <c r="J5131" s="49">
        <v>42.0</v>
      </c>
    </row>
    <row r="5132" ht="15.75" hidden="1" customHeight="1">
      <c r="A5132" s="47"/>
      <c r="B5132" s="47"/>
      <c r="C5132" s="47"/>
      <c r="D5132" s="47"/>
      <c r="E5132" s="47"/>
      <c r="F5132" s="47"/>
      <c r="G5132" s="47"/>
      <c r="H5132" s="47"/>
      <c r="I5132" s="47"/>
      <c r="J5132" s="49">
        <v>42.0</v>
      </c>
    </row>
    <row r="5133" ht="15.75" hidden="1" customHeight="1">
      <c r="A5133" s="47"/>
      <c r="B5133" s="47"/>
      <c r="C5133" s="47"/>
      <c r="D5133" s="47"/>
      <c r="E5133" s="47"/>
      <c r="F5133" s="47"/>
      <c r="G5133" s="47"/>
      <c r="H5133" s="47"/>
      <c r="I5133" s="47"/>
      <c r="J5133" s="49">
        <v>42.0</v>
      </c>
    </row>
    <row r="5134" ht="15.75" hidden="1" customHeight="1">
      <c r="A5134" s="47"/>
      <c r="B5134" s="47"/>
      <c r="C5134" s="47"/>
      <c r="D5134" s="47"/>
      <c r="E5134" s="47"/>
      <c r="F5134" s="47"/>
      <c r="G5134" s="47"/>
      <c r="H5134" s="47"/>
      <c r="I5134" s="47"/>
      <c r="J5134" s="49">
        <v>42.0</v>
      </c>
    </row>
    <row r="5135" ht="15.75" hidden="1" customHeight="1">
      <c r="A5135" s="47"/>
      <c r="B5135" s="47"/>
      <c r="C5135" s="47"/>
      <c r="D5135" s="47"/>
      <c r="E5135" s="47"/>
      <c r="F5135" s="47"/>
      <c r="G5135" s="47"/>
      <c r="H5135" s="47"/>
      <c r="I5135" s="47"/>
      <c r="J5135" s="49">
        <v>42.0</v>
      </c>
    </row>
    <row r="5136" ht="15.75" hidden="1" customHeight="1">
      <c r="A5136" s="47"/>
      <c r="B5136" s="47"/>
      <c r="C5136" s="47"/>
      <c r="D5136" s="47"/>
      <c r="E5136" s="47"/>
      <c r="F5136" s="47"/>
      <c r="G5136" s="47"/>
      <c r="H5136" s="47"/>
      <c r="I5136" s="47"/>
      <c r="J5136" s="49">
        <v>42.0</v>
      </c>
    </row>
    <row r="5137" ht="15.75" hidden="1" customHeight="1">
      <c r="A5137" s="47"/>
      <c r="B5137" s="47"/>
      <c r="C5137" s="47"/>
      <c r="D5137" s="47"/>
      <c r="E5137" s="47"/>
      <c r="F5137" s="47"/>
      <c r="G5137" s="47"/>
      <c r="H5137" s="47"/>
      <c r="I5137" s="47"/>
      <c r="J5137" s="49">
        <v>42.0</v>
      </c>
    </row>
    <row r="5138" ht="15.75" hidden="1" customHeight="1">
      <c r="A5138" s="47"/>
      <c r="B5138" s="47"/>
      <c r="C5138" s="47"/>
      <c r="D5138" s="47"/>
      <c r="E5138" s="47"/>
      <c r="F5138" s="47"/>
      <c r="G5138" s="47"/>
      <c r="H5138" s="47"/>
      <c r="I5138" s="47"/>
      <c r="J5138" s="49">
        <v>42.0</v>
      </c>
    </row>
    <row r="5139" ht="15.75" hidden="1" customHeight="1">
      <c r="A5139" s="47"/>
      <c r="B5139" s="47"/>
      <c r="C5139" s="47"/>
      <c r="D5139" s="47"/>
      <c r="E5139" s="47"/>
      <c r="F5139" s="47"/>
      <c r="G5139" s="47"/>
      <c r="H5139" s="47"/>
      <c r="I5139" s="47"/>
      <c r="J5139" s="49">
        <v>42.0</v>
      </c>
    </row>
    <row r="5140" ht="15.75" hidden="1" customHeight="1">
      <c r="A5140" s="47"/>
      <c r="B5140" s="47"/>
      <c r="C5140" s="47"/>
      <c r="D5140" s="47"/>
      <c r="E5140" s="47"/>
      <c r="F5140" s="47"/>
      <c r="G5140" s="47"/>
      <c r="H5140" s="47"/>
      <c r="I5140" s="47"/>
      <c r="J5140" s="49">
        <v>42.0</v>
      </c>
    </row>
    <row r="5141" ht="15.75" hidden="1" customHeight="1">
      <c r="A5141" s="47"/>
      <c r="B5141" s="47"/>
      <c r="C5141" s="47"/>
      <c r="D5141" s="47"/>
      <c r="E5141" s="47"/>
      <c r="F5141" s="47"/>
      <c r="G5141" s="47"/>
      <c r="H5141" s="47"/>
      <c r="I5141" s="47"/>
      <c r="J5141" s="49">
        <v>42.0</v>
      </c>
    </row>
    <row r="5142" ht="15.75" hidden="1" customHeight="1">
      <c r="A5142" s="47"/>
      <c r="B5142" s="47"/>
      <c r="C5142" s="47"/>
      <c r="D5142" s="47"/>
      <c r="E5142" s="47"/>
      <c r="F5142" s="47"/>
      <c r="G5142" s="47"/>
      <c r="H5142" s="47"/>
      <c r="I5142" s="47"/>
      <c r="J5142" s="49">
        <v>42.0</v>
      </c>
    </row>
    <row r="5143" ht="15.75" hidden="1" customHeight="1">
      <c r="A5143" s="47"/>
      <c r="B5143" s="47"/>
      <c r="C5143" s="47"/>
      <c r="D5143" s="47"/>
      <c r="E5143" s="47"/>
      <c r="F5143" s="47"/>
      <c r="G5143" s="47"/>
      <c r="H5143" s="47"/>
      <c r="I5143" s="47"/>
      <c r="J5143" s="49">
        <v>42.0</v>
      </c>
    </row>
    <row r="5144" ht="15.75" hidden="1" customHeight="1">
      <c r="A5144" s="47"/>
      <c r="B5144" s="47"/>
      <c r="C5144" s="47"/>
      <c r="D5144" s="47"/>
      <c r="E5144" s="47"/>
      <c r="F5144" s="47"/>
      <c r="G5144" s="47"/>
      <c r="H5144" s="47"/>
      <c r="I5144" s="47"/>
      <c r="J5144" s="49">
        <v>42.0</v>
      </c>
    </row>
    <row r="5145" ht="15.75" hidden="1" customHeight="1">
      <c r="A5145" s="47"/>
      <c r="B5145" s="47"/>
      <c r="C5145" s="47"/>
      <c r="D5145" s="47"/>
      <c r="E5145" s="47"/>
      <c r="F5145" s="47"/>
      <c r="G5145" s="47"/>
      <c r="H5145" s="47"/>
      <c r="I5145" s="47"/>
      <c r="J5145" s="49">
        <v>42.0</v>
      </c>
    </row>
    <row r="5146" ht="15.75" hidden="1" customHeight="1">
      <c r="A5146" s="47"/>
      <c r="B5146" s="47"/>
      <c r="C5146" s="47"/>
      <c r="D5146" s="47"/>
      <c r="E5146" s="47"/>
      <c r="F5146" s="47"/>
      <c r="G5146" s="47"/>
      <c r="H5146" s="47"/>
      <c r="I5146" s="47"/>
      <c r="J5146" s="49">
        <v>42.0</v>
      </c>
    </row>
    <row r="5147" ht="15.75" hidden="1" customHeight="1">
      <c r="A5147" s="47"/>
      <c r="B5147" s="47"/>
      <c r="C5147" s="47"/>
      <c r="D5147" s="47"/>
      <c r="E5147" s="47"/>
      <c r="F5147" s="47"/>
      <c r="G5147" s="47"/>
      <c r="H5147" s="47"/>
      <c r="I5147" s="47"/>
      <c r="J5147" s="49">
        <v>42.0</v>
      </c>
    </row>
    <row r="5148" ht="15.75" hidden="1" customHeight="1">
      <c r="A5148" s="47"/>
      <c r="B5148" s="47"/>
      <c r="C5148" s="47"/>
      <c r="D5148" s="47"/>
      <c r="E5148" s="47"/>
      <c r="F5148" s="47"/>
      <c r="G5148" s="47"/>
      <c r="H5148" s="47"/>
      <c r="I5148" s="47"/>
      <c r="J5148" s="49">
        <v>42.0</v>
      </c>
    </row>
    <row r="5149" ht="15.75" hidden="1" customHeight="1">
      <c r="A5149" s="47"/>
      <c r="B5149" s="47"/>
      <c r="C5149" s="47"/>
      <c r="D5149" s="47"/>
      <c r="E5149" s="47"/>
      <c r="F5149" s="47"/>
      <c r="G5149" s="47"/>
      <c r="H5149" s="47"/>
      <c r="I5149" s="47"/>
      <c r="J5149" s="49">
        <v>42.0</v>
      </c>
    </row>
    <row r="5150" ht="15.75" hidden="1" customHeight="1">
      <c r="A5150" s="47"/>
      <c r="B5150" s="47"/>
      <c r="C5150" s="47"/>
      <c r="D5150" s="47"/>
      <c r="E5150" s="47"/>
      <c r="F5150" s="47"/>
      <c r="G5150" s="47"/>
      <c r="H5150" s="47"/>
      <c r="I5150" s="47"/>
      <c r="J5150" s="49">
        <v>42.0</v>
      </c>
    </row>
    <row r="5151" ht="15.75" hidden="1" customHeight="1">
      <c r="A5151" s="47"/>
      <c r="B5151" s="47"/>
      <c r="C5151" s="47"/>
      <c r="D5151" s="47"/>
      <c r="E5151" s="47"/>
      <c r="F5151" s="47"/>
      <c r="G5151" s="47"/>
      <c r="H5151" s="47"/>
      <c r="I5151" s="47"/>
      <c r="J5151" s="49">
        <v>42.0</v>
      </c>
    </row>
    <row r="5152" ht="15.75" hidden="1" customHeight="1">
      <c r="A5152" s="47"/>
      <c r="B5152" s="47"/>
      <c r="C5152" s="47"/>
      <c r="D5152" s="47"/>
      <c r="E5152" s="47"/>
      <c r="F5152" s="47"/>
      <c r="G5152" s="47"/>
      <c r="H5152" s="47"/>
      <c r="I5152" s="47"/>
      <c r="J5152" s="49">
        <v>42.0</v>
      </c>
    </row>
    <row r="5153" ht="15.75" hidden="1" customHeight="1">
      <c r="A5153" s="47"/>
      <c r="B5153" s="47"/>
      <c r="C5153" s="47"/>
      <c r="D5153" s="47"/>
      <c r="E5153" s="47"/>
      <c r="F5153" s="47"/>
      <c r="G5153" s="47"/>
      <c r="H5153" s="47"/>
      <c r="I5153" s="47"/>
      <c r="J5153" s="49">
        <v>42.0</v>
      </c>
    </row>
    <row r="5154" ht="15.75" hidden="1" customHeight="1">
      <c r="A5154" s="47"/>
      <c r="B5154" s="47"/>
      <c r="C5154" s="47"/>
      <c r="D5154" s="47"/>
      <c r="E5154" s="47"/>
      <c r="F5154" s="47"/>
      <c r="G5154" s="47"/>
      <c r="H5154" s="47"/>
      <c r="I5154" s="47"/>
      <c r="J5154" s="49">
        <v>42.0</v>
      </c>
    </row>
    <row r="5155" ht="15.75" hidden="1" customHeight="1">
      <c r="A5155" s="47"/>
      <c r="B5155" s="47"/>
      <c r="C5155" s="47"/>
      <c r="D5155" s="47"/>
      <c r="E5155" s="47"/>
      <c r="F5155" s="47"/>
      <c r="G5155" s="47"/>
      <c r="H5155" s="47"/>
      <c r="I5155" s="47"/>
      <c r="J5155" s="49">
        <v>42.0</v>
      </c>
    </row>
    <row r="5156" ht="15.75" hidden="1" customHeight="1">
      <c r="A5156" s="47"/>
      <c r="B5156" s="47"/>
      <c r="C5156" s="47"/>
      <c r="D5156" s="47"/>
      <c r="E5156" s="47"/>
      <c r="F5156" s="47"/>
      <c r="G5156" s="47"/>
      <c r="H5156" s="47"/>
      <c r="I5156" s="47"/>
      <c r="J5156" s="49">
        <v>42.0</v>
      </c>
    </row>
    <row r="5157" ht="15.75" hidden="1" customHeight="1">
      <c r="A5157" s="47"/>
      <c r="B5157" s="47"/>
      <c r="C5157" s="47"/>
      <c r="D5157" s="47"/>
      <c r="E5157" s="47"/>
      <c r="F5157" s="47"/>
      <c r="G5157" s="47"/>
      <c r="H5157" s="47"/>
      <c r="I5157" s="47"/>
      <c r="J5157" s="49">
        <v>42.0</v>
      </c>
    </row>
    <row r="5158" ht="15.75" hidden="1" customHeight="1">
      <c r="A5158" s="47"/>
      <c r="B5158" s="47"/>
      <c r="C5158" s="47"/>
      <c r="D5158" s="47"/>
      <c r="E5158" s="47"/>
      <c r="F5158" s="47"/>
      <c r="G5158" s="47"/>
      <c r="H5158" s="47"/>
      <c r="I5158" s="47"/>
      <c r="J5158" s="49">
        <v>42.0</v>
      </c>
    </row>
    <row r="5159" ht="15.75" hidden="1" customHeight="1">
      <c r="A5159" s="47"/>
      <c r="B5159" s="47"/>
      <c r="C5159" s="47"/>
      <c r="D5159" s="47"/>
      <c r="E5159" s="47"/>
      <c r="F5159" s="47"/>
      <c r="G5159" s="47"/>
      <c r="H5159" s="47"/>
      <c r="I5159" s="47"/>
      <c r="J5159" s="49">
        <v>42.0</v>
      </c>
    </row>
    <row r="5160" ht="15.75" hidden="1" customHeight="1">
      <c r="A5160" s="47"/>
      <c r="B5160" s="47"/>
      <c r="C5160" s="47"/>
      <c r="D5160" s="47"/>
      <c r="E5160" s="47"/>
      <c r="F5160" s="47"/>
      <c r="G5160" s="47"/>
      <c r="H5160" s="47"/>
      <c r="I5160" s="47"/>
      <c r="J5160" s="49">
        <v>42.0</v>
      </c>
    </row>
    <row r="5161" ht="15.75" hidden="1" customHeight="1">
      <c r="A5161" s="47"/>
      <c r="B5161" s="47"/>
      <c r="C5161" s="47"/>
      <c r="D5161" s="47"/>
      <c r="E5161" s="47"/>
      <c r="F5161" s="47"/>
      <c r="G5161" s="47"/>
      <c r="H5161" s="47"/>
      <c r="I5161" s="47"/>
      <c r="J5161" s="49">
        <v>42.0</v>
      </c>
    </row>
    <row r="5162" ht="15.75" hidden="1" customHeight="1">
      <c r="A5162" s="47"/>
      <c r="B5162" s="47"/>
      <c r="C5162" s="47"/>
      <c r="D5162" s="47"/>
      <c r="E5162" s="47"/>
      <c r="F5162" s="47"/>
      <c r="G5162" s="47"/>
      <c r="H5162" s="47"/>
      <c r="I5162" s="47"/>
      <c r="J5162" s="49">
        <v>42.0</v>
      </c>
    </row>
    <row r="5163" ht="15.75" hidden="1" customHeight="1">
      <c r="A5163" s="47"/>
      <c r="B5163" s="47"/>
      <c r="C5163" s="47"/>
      <c r="D5163" s="47"/>
      <c r="E5163" s="47"/>
      <c r="F5163" s="47"/>
      <c r="G5163" s="47"/>
      <c r="H5163" s="47"/>
      <c r="I5163" s="47"/>
      <c r="J5163" s="49">
        <v>42.0</v>
      </c>
    </row>
    <row r="5164" ht="15.75" hidden="1" customHeight="1">
      <c r="A5164" s="47"/>
      <c r="B5164" s="47"/>
      <c r="C5164" s="47"/>
      <c r="D5164" s="47"/>
      <c r="E5164" s="47"/>
      <c r="F5164" s="47"/>
      <c r="G5164" s="47"/>
      <c r="H5164" s="47"/>
      <c r="I5164" s="47"/>
      <c r="J5164" s="49">
        <v>42.0</v>
      </c>
    </row>
    <row r="5165" ht="15.75" hidden="1" customHeight="1">
      <c r="A5165" s="47"/>
      <c r="B5165" s="47"/>
      <c r="C5165" s="47"/>
      <c r="D5165" s="47"/>
      <c r="E5165" s="47"/>
      <c r="F5165" s="47"/>
      <c r="G5165" s="47"/>
      <c r="H5165" s="47"/>
      <c r="I5165" s="47"/>
      <c r="J5165" s="49">
        <v>42.0</v>
      </c>
    </row>
    <row r="5166" ht="15.75" hidden="1" customHeight="1">
      <c r="A5166" s="47"/>
      <c r="B5166" s="47"/>
      <c r="C5166" s="47"/>
      <c r="D5166" s="47"/>
      <c r="E5166" s="47"/>
      <c r="F5166" s="47"/>
      <c r="G5166" s="47"/>
      <c r="H5166" s="47"/>
      <c r="I5166" s="47"/>
      <c r="J5166" s="49">
        <v>42.0</v>
      </c>
    </row>
    <row r="5167" ht="15.75" hidden="1" customHeight="1">
      <c r="A5167" s="47"/>
      <c r="B5167" s="47"/>
      <c r="C5167" s="47"/>
      <c r="D5167" s="47"/>
      <c r="E5167" s="47"/>
      <c r="F5167" s="47"/>
      <c r="G5167" s="47"/>
      <c r="H5167" s="47"/>
      <c r="I5167" s="47"/>
      <c r="J5167" s="49">
        <v>42.0</v>
      </c>
    </row>
    <row r="5168" ht="15.75" hidden="1" customHeight="1">
      <c r="A5168" s="47"/>
      <c r="B5168" s="47"/>
      <c r="C5168" s="47"/>
      <c r="D5168" s="47"/>
      <c r="E5168" s="47"/>
      <c r="F5168" s="47"/>
      <c r="G5168" s="47"/>
      <c r="H5168" s="47"/>
      <c r="I5168" s="47"/>
      <c r="J5168" s="49">
        <v>42.0</v>
      </c>
    </row>
    <row r="5169" ht="15.75" hidden="1" customHeight="1">
      <c r="A5169" s="47"/>
      <c r="B5169" s="47"/>
      <c r="C5169" s="47"/>
      <c r="D5169" s="47"/>
      <c r="E5169" s="47"/>
      <c r="F5169" s="47"/>
      <c r="G5169" s="47"/>
      <c r="H5169" s="47"/>
      <c r="I5169" s="47"/>
      <c r="J5169" s="49">
        <v>42.0</v>
      </c>
    </row>
    <row r="5170" ht="15.75" hidden="1" customHeight="1">
      <c r="A5170" s="47"/>
      <c r="B5170" s="47"/>
      <c r="C5170" s="47"/>
      <c r="D5170" s="47"/>
      <c r="E5170" s="47"/>
      <c r="F5170" s="47"/>
      <c r="G5170" s="47"/>
      <c r="H5170" s="47"/>
      <c r="I5170" s="47"/>
      <c r="J5170" s="49">
        <v>42.0</v>
      </c>
    </row>
    <row r="5171" ht="15.75" hidden="1" customHeight="1">
      <c r="A5171" s="47"/>
      <c r="B5171" s="47"/>
      <c r="C5171" s="47"/>
      <c r="D5171" s="47"/>
      <c r="E5171" s="47"/>
      <c r="F5171" s="47"/>
      <c r="G5171" s="47"/>
      <c r="H5171" s="47"/>
      <c r="I5171" s="47"/>
      <c r="J5171" s="49">
        <v>42.0</v>
      </c>
    </row>
    <row r="5172" ht="15.75" hidden="1" customHeight="1">
      <c r="A5172" s="47"/>
      <c r="B5172" s="47"/>
      <c r="C5172" s="47"/>
      <c r="D5172" s="47"/>
      <c r="E5172" s="47"/>
      <c r="F5172" s="47"/>
      <c r="G5172" s="47"/>
      <c r="H5172" s="47"/>
      <c r="I5172" s="47"/>
      <c r="J5172" s="49">
        <v>42.0</v>
      </c>
    </row>
    <row r="5173" ht="15.75" hidden="1" customHeight="1">
      <c r="A5173" s="47"/>
      <c r="B5173" s="47"/>
      <c r="C5173" s="47"/>
      <c r="D5173" s="47"/>
      <c r="E5173" s="47"/>
      <c r="F5173" s="47"/>
      <c r="G5173" s="47"/>
      <c r="H5173" s="47"/>
      <c r="I5173" s="47"/>
      <c r="J5173" s="49">
        <v>42.0</v>
      </c>
    </row>
    <row r="5174" ht="15.75" hidden="1" customHeight="1">
      <c r="A5174" s="47"/>
      <c r="B5174" s="47"/>
      <c r="C5174" s="47"/>
      <c r="D5174" s="47"/>
      <c r="E5174" s="47"/>
      <c r="F5174" s="47"/>
      <c r="G5174" s="47"/>
      <c r="H5174" s="47"/>
      <c r="I5174" s="47"/>
      <c r="J5174" s="49">
        <v>42.0</v>
      </c>
    </row>
    <row r="5175" ht="15.75" hidden="1" customHeight="1">
      <c r="A5175" s="47"/>
      <c r="B5175" s="47"/>
      <c r="C5175" s="47"/>
      <c r="D5175" s="47"/>
      <c r="E5175" s="47"/>
      <c r="F5175" s="47"/>
      <c r="G5175" s="47"/>
      <c r="H5175" s="47"/>
      <c r="I5175" s="47"/>
      <c r="J5175" s="49">
        <v>42.0</v>
      </c>
    </row>
    <row r="5176" ht="15.75" hidden="1" customHeight="1">
      <c r="A5176" s="47"/>
      <c r="B5176" s="47"/>
      <c r="C5176" s="47"/>
      <c r="D5176" s="47"/>
      <c r="E5176" s="47"/>
      <c r="F5176" s="47"/>
      <c r="G5176" s="47"/>
      <c r="H5176" s="47"/>
      <c r="I5176" s="47"/>
      <c r="J5176" s="49">
        <v>42.0</v>
      </c>
    </row>
    <row r="5177" ht="15.75" hidden="1" customHeight="1">
      <c r="A5177" s="47"/>
      <c r="B5177" s="47"/>
      <c r="C5177" s="47"/>
      <c r="D5177" s="47"/>
      <c r="E5177" s="47"/>
      <c r="F5177" s="47"/>
      <c r="G5177" s="47"/>
      <c r="H5177" s="47"/>
      <c r="I5177" s="47"/>
      <c r="J5177" s="49">
        <v>42.0</v>
      </c>
    </row>
    <row r="5178" ht="15.75" hidden="1" customHeight="1">
      <c r="A5178" s="47"/>
      <c r="B5178" s="47"/>
      <c r="C5178" s="47"/>
      <c r="D5178" s="47"/>
      <c r="E5178" s="47"/>
      <c r="F5178" s="47"/>
      <c r="G5178" s="47"/>
      <c r="H5178" s="47"/>
      <c r="I5178" s="47"/>
      <c r="J5178" s="49">
        <v>42.0</v>
      </c>
    </row>
    <row r="5179" ht="15.75" hidden="1" customHeight="1">
      <c r="A5179" s="47"/>
      <c r="B5179" s="47"/>
      <c r="C5179" s="47"/>
      <c r="D5179" s="47"/>
      <c r="E5179" s="47"/>
      <c r="F5179" s="47"/>
      <c r="G5179" s="47"/>
      <c r="H5179" s="47"/>
      <c r="I5179" s="47"/>
      <c r="J5179" s="49">
        <v>42.0</v>
      </c>
    </row>
    <row r="5180" ht="15.75" hidden="1" customHeight="1">
      <c r="A5180" s="47"/>
      <c r="B5180" s="47"/>
      <c r="C5180" s="47"/>
      <c r="D5180" s="47"/>
      <c r="E5180" s="47"/>
      <c r="F5180" s="47"/>
      <c r="G5180" s="47"/>
      <c r="H5180" s="47"/>
      <c r="I5180" s="47"/>
      <c r="J5180" s="49">
        <v>42.0</v>
      </c>
    </row>
    <row r="5181" ht="15.75" hidden="1" customHeight="1">
      <c r="A5181" s="47"/>
      <c r="B5181" s="47"/>
      <c r="C5181" s="47"/>
      <c r="D5181" s="47"/>
      <c r="E5181" s="47"/>
      <c r="F5181" s="47"/>
      <c r="G5181" s="47"/>
      <c r="H5181" s="47"/>
      <c r="I5181" s="47"/>
      <c r="J5181" s="49">
        <v>42.0</v>
      </c>
    </row>
    <row r="5182" ht="15.75" hidden="1" customHeight="1">
      <c r="A5182" s="47"/>
      <c r="B5182" s="47"/>
      <c r="C5182" s="47"/>
      <c r="D5182" s="47"/>
      <c r="E5182" s="47"/>
      <c r="F5182" s="47"/>
      <c r="G5182" s="47"/>
      <c r="H5182" s="47"/>
      <c r="I5182" s="47"/>
      <c r="J5182" s="49">
        <v>42.0</v>
      </c>
    </row>
    <row r="5183" ht="15.75" hidden="1" customHeight="1">
      <c r="A5183" s="47"/>
      <c r="B5183" s="47"/>
      <c r="C5183" s="47"/>
      <c r="D5183" s="47"/>
      <c r="E5183" s="47"/>
      <c r="F5183" s="47"/>
      <c r="G5183" s="47"/>
      <c r="H5183" s="47"/>
      <c r="I5183" s="47"/>
      <c r="J5183" s="49">
        <v>42.0</v>
      </c>
    </row>
    <row r="5184" ht="15.75" hidden="1" customHeight="1">
      <c r="A5184" s="47"/>
      <c r="B5184" s="47"/>
      <c r="C5184" s="47"/>
      <c r="D5184" s="47"/>
      <c r="E5184" s="47"/>
      <c r="F5184" s="47"/>
      <c r="G5184" s="47"/>
      <c r="H5184" s="47"/>
      <c r="I5184" s="47"/>
      <c r="J5184" s="49">
        <v>42.0</v>
      </c>
    </row>
    <row r="5185" ht="15.75" hidden="1" customHeight="1">
      <c r="A5185" s="47"/>
      <c r="B5185" s="47"/>
      <c r="C5185" s="47"/>
      <c r="D5185" s="47"/>
      <c r="E5185" s="47"/>
      <c r="F5185" s="47"/>
      <c r="G5185" s="47"/>
      <c r="H5185" s="47"/>
      <c r="I5185" s="47"/>
      <c r="J5185" s="49">
        <v>42.0</v>
      </c>
    </row>
    <row r="5186" ht="15.75" hidden="1" customHeight="1">
      <c r="A5186" s="47"/>
      <c r="B5186" s="47"/>
      <c r="C5186" s="47"/>
      <c r="D5186" s="47"/>
      <c r="E5186" s="47"/>
      <c r="F5186" s="47"/>
      <c r="G5186" s="47"/>
      <c r="H5186" s="47"/>
      <c r="I5186" s="47"/>
      <c r="J5186" s="49">
        <v>42.0</v>
      </c>
    </row>
    <row r="5187" ht="15.75" hidden="1" customHeight="1">
      <c r="A5187" s="47"/>
      <c r="B5187" s="47"/>
      <c r="C5187" s="47"/>
      <c r="D5187" s="47"/>
      <c r="E5187" s="47"/>
      <c r="F5187" s="47"/>
      <c r="G5187" s="47"/>
      <c r="H5187" s="47"/>
      <c r="I5187" s="47"/>
      <c r="J5187" s="49">
        <v>42.0</v>
      </c>
    </row>
    <row r="5188" ht="15.75" hidden="1" customHeight="1">
      <c r="A5188" s="47"/>
      <c r="B5188" s="47"/>
      <c r="C5188" s="47"/>
      <c r="D5188" s="47"/>
      <c r="E5188" s="47"/>
      <c r="F5188" s="47"/>
      <c r="G5188" s="47"/>
      <c r="H5188" s="47"/>
      <c r="I5188" s="47"/>
      <c r="J5188" s="49">
        <v>42.0</v>
      </c>
    </row>
    <row r="5189" ht="15.75" hidden="1" customHeight="1">
      <c r="A5189" s="47"/>
      <c r="B5189" s="47"/>
      <c r="C5189" s="47"/>
      <c r="D5189" s="47"/>
      <c r="E5189" s="47"/>
      <c r="F5189" s="47"/>
      <c r="G5189" s="47"/>
      <c r="H5189" s="47"/>
      <c r="I5189" s="47"/>
      <c r="J5189" s="49">
        <v>42.0</v>
      </c>
    </row>
    <row r="5190" ht="15.75" hidden="1" customHeight="1">
      <c r="A5190" s="47"/>
      <c r="B5190" s="47"/>
      <c r="C5190" s="47"/>
      <c r="D5190" s="47"/>
      <c r="E5190" s="47"/>
      <c r="F5190" s="47"/>
      <c r="G5190" s="47"/>
      <c r="H5190" s="47"/>
      <c r="I5190" s="47"/>
      <c r="J5190" s="49">
        <v>42.0</v>
      </c>
    </row>
    <row r="5191" ht="15.75" hidden="1" customHeight="1">
      <c r="A5191" s="47"/>
      <c r="B5191" s="47"/>
      <c r="C5191" s="47"/>
      <c r="D5191" s="47"/>
      <c r="E5191" s="47"/>
      <c r="F5191" s="47"/>
      <c r="G5191" s="47"/>
      <c r="H5191" s="47"/>
      <c r="I5191" s="47"/>
      <c r="J5191" s="49">
        <v>42.0</v>
      </c>
    </row>
    <row r="5192" ht="15.75" hidden="1" customHeight="1">
      <c r="A5192" s="47"/>
      <c r="B5192" s="47"/>
      <c r="C5192" s="47"/>
      <c r="D5192" s="47"/>
      <c r="E5192" s="47"/>
      <c r="F5192" s="47"/>
      <c r="G5192" s="47"/>
      <c r="H5192" s="47"/>
      <c r="I5192" s="47"/>
      <c r="J5192" s="49">
        <v>42.0</v>
      </c>
    </row>
    <row r="5193" ht="15.75" hidden="1" customHeight="1">
      <c r="A5193" s="47"/>
      <c r="B5193" s="47"/>
      <c r="C5193" s="47"/>
      <c r="D5193" s="47"/>
      <c r="E5193" s="47"/>
      <c r="F5193" s="47"/>
      <c r="G5193" s="47"/>
      <c r="H5193" s="47"/>
      <c r="I5193" s="47"/>
      <c r="J5193" s="49">
        <v>42.0</v>
      </c>
    </row>
    <row r="5194" ht="15.75" hidden="1" customHeight="1">
      <c r="A5194" s="47"/>
      <c r="B5194" s="47"/>
      <c r="C5194" s="47"/>
      <c r="D5194" s="47"/>
      <c r="E5194" s="47"/>
      <c r="F5194" s="47"/>
      <c r="G5194" s="47"/>
      <c r="H5194" s="47"/>
      <c r="I5194" s="47"/>
      <c r="J5194" s="49">
        <v>42.0</v>
      </c>
    </row>
    <row r="5195" ht="15.75" hidden="1" customHeight="1">
      <c r="A5195" s="47"/>
      <c r="B5195" s="47"/>
      <c r="C5195" s="47"/>
      <c r="D5195" s="47"/>
      <c r="E5195" s="47"/>
      <c r="F5195" s="47"/>
      <c r="G5195" s="47"/>
      <c r="H5195" s="47"/>
      <c r="I5195" s="47"/>
      <c r="J5195" s="49">
        <v>42.0</v>
      </c>
    </row>
    <row r="5196" ht="15.75" hidden="1" customHeight="1">
      <c r="A5196" s="47"/>
      <c r="B5196" s="47"/>
      <c r="C5196" s="47"/>
      <c r="D5196" s="47"/>
      <c r="E5196" s="47"/>
      <c r="F5196" s="47"/>
      <c r="G5196" s="47"/>
      <c r="H5196" s="47"/>
      <c r="I5196" s="47"/>
      <c r="J5196" s="49">
        <v>42.0</v>
      </c>
    </row>
    <row r="5197" ht="15.75" hidden="1" customHeight="1">
      <c r="A5197" s="47"/>
      <c r="B5197" s="47"/>
      <c r="C5197" s="47"/>
      <c r="D5197" s="47"/>
      <c r="E5197" s="47"/>
      <c r="F5197" s="47"/>
      <c r="G5197" s="47"/>
      <c r="H5197" s="47"/>
      <c r="I5197" s="47"/>
      <c r="J5197" s="49">
        <v>42.0</v>
      </c>
    </row>
    <row r="5198" ht="15.75" hidden="1" customHeight="1">
      <c r="A5198" s="47"/>
      <c r="B5198" s="47"/>
      <c r="C5198" s="47"/>
      <c r="D5198" s="47"/>
      <c r="E5198" s="47"/>
      <c r="F5198" s="47"/>
      <c r="G5198" s="47"/>
      <c r="H5198" s="47"/>
      <c r="I5198" s="47"/>
      <c r="J5198" s="49">
        <v>42.0</v>
      </c>
    </row>
    <row r="5199" ht="15.75" hidden="1" customHeight="1">
      <c r="A5199" s="47"/>
      <c r="B5199" s="47"/>
      <c r="C5199" s="47"/>
      <c r="D5199" s="47"/>
      <c r="E5199" s="47"/>
      <c r="F5199" s="47"/>
      <c r="G5199" s="47"/>
      <c r="H5199" s="47"/>
      <c r="I5199" s="47"/>
      <c r="J5199" s="49">
        <v>42.0</v>
      </c>
    </row>
    <row r="5200" ht="15.75" hidden="1" customHeight="1">
      <c r="A5200" s="47"/>
      <c r="B5200" s="47"/>
      <c r="C5200" s="47"/>
      <c r="D5200" s="47"/>
      <c r="E5200" s="47"/>
      <c r="F5200" s="47"/>
      <c r="G5200" s="47"/>
      <c r="H5200" s="47"/>
      <c r="I5200" s="47"/>
      <c r="J5200" s="49">
        <v>42.0</v>
      </c>
    </row>
    <row r="5201" ht="15.75" hidden="1" customHeight="1">
      <c r="A5201" s="47"/>
      <c r="B5201" s="47"/>
      <c r="C5201" s="47"/>
      <c r="D5201" s="47"/>
      <c r="E5201" s="47"/>
      <c r="F5201" s="47"/>
      <c r="G5201" s="47"/>
      <c r="H5201" s="47"/>
      <c r="I5201" s="47"/>
      <c r="J5201" s="49">
        <v>42.0</v>
      </c>
    </row>
    <row r="5202" ht="15.75" hidden="1" customHeight="1">
      <c r="A5202" s="47"/>
      <c r="B5202" s="47"/>
      <c r="C5202" s="47"/>
      <c r="D5202" s="47"/>
      <c r="E5202" s="47"/>
      <c r="F5202" s="47"/>
      <c r="G5202" s="47"/>
      <c r="H5202" s="47"/>
      <c r="I5202" s="47"/>
      <c r="J5202" s="49">
        <v>42.0</v>
      </c>
    </row>
    <row r="5203" ht="15.75" hidden="1" customHeight="1">
      <c r="A5203" s="47"/>
      <c r="B5203" s="47"/>
      <c r="C5203" s="47"/>
      <c r="D5203" s="47"/>
      <c r="E5203" s="47"/>
      <c r="F5203" s="47"/>
      <c r="G5203" s="47"/>
      <c r="H5203" s="47"/>
      <c r="I5203" s="47"/>
      <c r="J5203" s="49">
        <v>42.0</v>
      </c>
    </row>
    <row r="5204" ht="15.75" hidden="1" customHeight="1">
      <c r="A5204" s="47"/>
      <c r="B5204" s="47"/>
      <c r="C5204" s="47"/>
      <c r="D5204" s="47"/>
      <c r="E5204" s="47"/>
      <c r="F5204" s="47"/>
      <c r="G5204" s="47"/>
      <c r="H5204" s="47"/>
      <c r="I5204" s="47"/>
      <c r="J5204" s="49">
        <v>42.0</v>
      </c>
    </row>
    <row r="5205" ht="15.75" hidden="1" customHeight="1">
      <c r="A5205" s="47"/>
      <c r="B5205" s="47"/>
      <c r="C5205" s="47"/>
      <c r="D5205" s="47"/>
      <c r="E5205" s="47"/>
      <c r="F5205" s="47"/>
      <c r="G5205" s="47"/>
      <c r="H5205" s="47"/>
      <c r="I5205" s="47"/>
      <c r="J5205" s="49">
        <v>42.0</v>
      </c>
    </row>
    <row r="5206" ht="15.75" hidden="1" customHeight="1">
      <c r="A5206" s="47"/>
      <c r="B5206" s="47"/>
      <c r="C5206" s="47"/>
      <c r="D5206" s="47"/>
      <c r="E5206" s="47"/>
      <c r="F5206" s="47"/>
      <c r="G5206" s="47"/>
      <c r="H5206" s="47"/>
      <c r="I5206" s="47"/>
      <c r="J5206" s="49">
        <v>42.0</v>
      </c>
    </row>
    <row r="5207" ht="15.75" hidden="1" customHeight="1">
      <c r="A5207" s="47"/>
      <c r="B5207" s="47"/>
      <c r="C5207" s="47"/>
      <c r="D5207" s="47"/>
      <c r="E5207" s="47"/>
      <c r="F5207" s="47"/>
      <c r="G5207" s="47"/>
      <c r="H5207" s="47"/>
      <c r="I5207" s="47"/>
      <c r="J5207" s="49">
        <v>42.0</v>
      </c>
    </row>
    <row r="5208" ht="15.75" hidden="1" customHeight="1">
      <c r="A5208" s="47"/>
      <c r="B5208" s="47"/>
      <c r="C5208" s="47"/>
      <c r="D5208" s="47"/>
      <c r="E5208" s="47"/>
      <c r="F5208" s="47"/>
      <c r="G5208" s="47"/>
      <c r="H5208" s="47"/>
      <c r="I5208" s="47"/>
      <c r="J5208" s="49">
        <v>42.0</v>
      </c>
    </row>
    <row r="5209" ht="15.75" hidden="1" customHeight="1">
      <c r="A5209" s="47"/>
      <c r="B5209" s="47"/>
      <c r="C5209" s="47"/>
      <c r="D5209" s="47"/>
      <c r="E5209" s="47"/>
      <c r="F5209" s="47"/>
      <c r="G5209" s="47"/>
      <c r="H5209" s="47"/>
      <c r="I5209" s="47"/>
      <c r="J5209" s="49">
        <v>42.0</v>
      </c>
    </row>
    <row r="5210" ht="15.75" hidden="1" customHeight="1">
      <c r="A5210" s="47"/>
      <c r="B5210" s="47"/>
      <c r="C5210" s="47"/>
      <c r="D5210" s="47"/>
      <c r="E5210" s="47"/>
      <c r="F5210" s="47"/>
      <c r="G5210" s="47"/>
      <c r="H5210" s="47"/>
      <c r="I5210" s="47"/>
      <c r="J5210" s="49">
        <v>42.0</v>
      </c>
    </row>
    <row r="5211" ht="15.75" hidden="1" customHeight="1">
      <c r="A5211" s="47"/>
      <c r="B5211" s="47"/>
      <c r="C5211" s="47"/>
      <c r="D5211" s="47"/>
      <c r="E5211" s="47"/>
      <c r="F5211" s="47"/>
      <c r="G5211" s="47"/>
      <c r="H5211" s="47"/>
      <c r="I5211" s="47"/>
      <c r="J5211" s="49">
        <v>42.0</v>
      </c>
    </row>
    <row r="5212" ht="15.75" hidden="1" customHeight="1">
      <c r="A5212" s="47"/>
      <c r="B5212" s="47"/>
      <c r="C5212" s="47"/>
      <c r="D5212" s="47"/>
      <c r="E5212" s="47"/>
      <c r="F5212" s="47"/>
      <c r="G5212" s="47"/>
      <c r="H5212" s="47"/>
      <c r="I5212" s="47"/>
      <c r="J5212" s="49">
        <v>42.0</v>
      </c>
    </row>
    <row r="5213" ht="15.75" hidden="1" customHeight="1">
      <c r="A5213" s="47"/>
      <c r="B5213" s="47"/>
      <c r="C5213" s="47"/>
      <c r="D5213" s="47"/>
      <c r="E5213" s="47"/>
      <c r="F5213" s="47"/>
      <c r="G5213" s="47"/>
      <c r="H5213" s="47"/>
      <c r="I5213" s="47"/>
      <c r="J5213" s="49">
        <v>42.0</v>
      </c>
    </row>
    <row r="5214" ht="15.75" hidden="1" customHeight="1">
      <c r="A5214" s="47"/>
      <c r="B5214" s="47"/>
      <c r="C5214" s="47"/>
      <c r="D5214" s="47"/>
      <c r="E5214" s="47"/>
      <c r="F5214" s="47"/>
      <c r="G5214" s="47"/>
      <c r="H5214" s="47"/>
      <c r="I5214" s="47"/>
      <c r="J5214" s="49">
        <v>42.0</v>
      </c>
    </row>
    <row r="5215" ht="15.75" hidden="1" customHeight="1">
      <c r="A5215" s="47"/>
      <c r="B5215" s="47"/>
      <c r="C5215" s="47"/>
      <c r="D5215" s="47"/>
      <c r="E5215" s="47"/>
      <c r="F5215" s="47"/>
      <c r="G5215" s="47"/>
      <c r="H5215" s="47"/>
      <c r="I5215" s="47"/>
      <c r="J5215" s="49">
        <v>42.0</v>
      </c>
    </row>
    <row r="5216" ht="15.75" hidden="1" customHeight="1">
      <c r="A5216" s="47"/>
      <c r="B5216" s="47"/>
      <c r="C5216" s="47"/>
      <c r="D5216" s="47"/>
      <c r="E5216" s="47"/>
      <c r="F5216" s="47"/>
      <c r="G5216" s="47"/>
      <c r="H5216" s="47"/>
      <c r="I5216" s="47"/>
      <c r="J5216" s="49">
        <v>42.0</v>
      </c>
    </row>
    <row r="5217" ht="15.75" hidden="1" customHeight="1">
      <c r="A5217" s="47"/>
      <c r="B5217" s="47"/>
      <c r="C5217" s="47"/>
      <c r="D5217" s="47"/>
      <c r="E5217" s="47"/>
      <c r="F5217" s="47"/>
      <c r="G5217" s="47"/>
      <c r="H5217" s="47"/>
      <c r="I5217" s="47"/>
      <c r="J5217" s="49">
        <v>42.0</v>
      </c>
    </row>
    <row r="5218" ht="15.75" hidden="1" customHeight="1">
      <c r="A5218" s="47"/>
      <c r="B5218" s="47"/>
      <c r="C5218" s="47"/>
      <c r="D5218" s="47"/>
      <c r="E5218" s="47"/>
      <c r="F5218" s="47"/>
      <c r="G5218" s="47"/>
      <c r="H5218" s="47"/>
      <c r="I5218" s="47"/>
      <c r="J5218" s="49">
        <v>42.0</v>
      </c>
    </row>
    <row r="5219" ht="15.75" hidden="1" customHeight="1">
      <c r="A5219" s="47"/>
      <c r="B5219" s="47"/>
      <c r="C5219" s="47"/>
      <c r="D5219" s="47"/>
      <c r="E5219" s="47"/>
      <c r="F5219" s="47"/>
      <c r="G5219" s="47"/>
      <c r="H5219" s="47"/>
      <c r="I5219" s="47"/>
      <c r="J5219" s="49">
        <v>42.0</v>
      </c>
    </row>
    <row r="5220" ht="15.75" hidden="1" customHeight="1">
      <c r="A5220" s="47"/>
      <c r="B5220" s="47"/>
      <c r="C5220" s="47"/>
      <c r="D5220" s="47"/>
      <c r="E5220" s="47"/>
      <c r="F5220" s="47"/>
      <c r="G5220" s="47"/>
      <c r="H5220" s="47"/>
      <c r="I5220" s="47"/>
      <c r="J5220" s="49">
        <v>42.0</v>
      </c>
    </row>
    <row r="5221" ht="15.75" hidden="1" customHeight="1">
      <c r="A5221" s="47"/>
      <c r="B5221" s="47"/>
      <c r="C5221" s="47"/>
      <c r="D5221" s="47"/>
      <c r="E5221" s="47"/>
      <c r="F5221" s="47"/>
      <c r="G5221" s="47"/>
      <c r="H5221" s="47"/>
      <c r="I5221" s="47"/>
      <c r="J5221" s="49">
        <v>42.0</v>
      </c>
    </row>
    <row r="5222" ht="15.75" hidden="1" customHeight="1">
      <c r="A5222" s="47"/>
      <c r="B5222" s="47"/>
      <c r="C5222" s="47"/>
      <c r="D5222" s="47"/>
      <c r="E5222" s="47"/>
      <c r="F5222" s="47"/>
      <c r="G5222" s="47"/>
      <c r="H5222" s="47"/>
      <c r="I5222" s="47"/>
      <c r="J5222" s="49">
        <v>42.0</v>
      </c>
    </row>
    <row r="5223" ht="15.75" hidden="1" customHeight="1">
      <c r="A5223" s="47"/>
      <c r="B5223" s="47"/>
      <c r="C5223" s="47"/>
      <c r="D5223" s="47"/>
      <c r="E5223" s="47"/>
      <c r="F5223" s="47"/>
      <c r="G5223" s="47"/>
      <c r="H5223" s="47"/>
      <c r="I5223" s="47"/>
      <c r="J5223" s="49">
        <v>42.0</v>
      </c>
    </row>
    <row r="5224" ht="15.75" hidden="1" customHeight="1">
      <c r="A5224" s="47"/>
      <c r="B5224" s="47"/>
      <c r="C5224" s="47"/>
      <c r="D5224" s="47"/>
      <c r="E5224" s="47"/>
      <c r="F5224" s="47"/>
      <c r="G5224" s="47"/>
      <c r="H5224" s="47"/>
      <c r="I5224" s="47"/>
      <c r="J5224" s="49">
        <v>42.0</v>
      </c>
    </row>
    <row r="5225" ht="15.75" hidden="1" customHeight="1">
      <c r="A5225" s="47"/>
      <c r="B5225" s="47"/>
      <c r="C5225" s="47"/>
      <c r="D5225" s="47"/>
      <c r="E5225" s="47"/>
      <c r="F5225" s="47"/>
      <c r="G5225" s="47"/>
      <c r="H5225" s="47"/>
      <c r="I5225" s="47"/>
      <c r="J5225" s="49">
        <v>42.0</v>
      </c>
    </row>
    <row r="5226" ht="15.75" hidden="1" customHeight="1">
      <c r="A5226" s="47"/>
      <c r="B5226" s="47"/>
      <c r="C5226" s="47"/>
      <c r="D5226" s="47"/>
      <c r="E5226" s="47"/>
      <c r="F5226" s="47"/>
      <c r="G5226" s="47"/>
      <c r="H5226" s="47"/>
      <c r="I5226" s="47"/>
      <c r="J5226" s="49">
        <v>42.0</v>
      </c>
    </row>
    <row r="5227" ht="15.75" hidden="1" customHeight="1">
      <c r="A5227" s="47"/>
      <c r="B5227" s="47"/>
      <c r="C5227" s="47"/>
      <c r="D5227" s="47"/>
      <c r="E5227" s="47"/>
      <c r="F5227" s="47"/>
      <c r="G5227" s="47"/>
      <c r="H5227" s="47"/>
      <c r="I5227" s="47"/>
      <c r="J5227" s="49">
        <v>42.0</v>
      </c>
    </row>
    <row r="5228" ht="15.75" hidden="1" customHeight="1">
      <c r="A5228" s="47"/>
      <c r="B5228" s="47"/>
      <c r="C5228" s="47"/>
      <c r="D5228" s="47"/>
      <c r="E5228" s="47"/>
      <c r="F5228" s="47"/>
      <c r="G5228" s="47"/>
      <c r="H5228" s="47"/>
      <c r="I5228" s="47"/>
      <c r="J5228" s="49">
        <v>42.0</v>
      </c>
    </row>
    <row r="5229" ht="15.75" hidden="1" customHeight="1">
      <c r="A5229" s="47"/>
      <c r="B5229" s="47"/>
      <c r="C5229" s="47"/>
      <c r="D5229" s="47"/>
      <c r="E5229" s="47"/>
      <c r="F5229" s="47"/>
      <c r="G5229" s="47"/>
      <c r="H5229" s="47"/>
      <c r="I5229" s="47"/>
      <c r="J5229" s="49">
        <v>42.0</v>
      </c>
    </row>
    <row r="5230" ht="15.75" hidden="1" customHeight="1">
      <c r="A5230" s="47"/>
      <c r="B5230" s="47"/>
      <c r="C5230" s="47"/>
      <c r="D5230" s="47"/>
      <c r="E5230" s="47"/>
      <c r="F5230" s="47"/>
      <c r="G5230" s="47"/>
      <c r="H5230" s="47"/>
      <c r="I5230" s="47"/>
      <c r="J5230" s="49">
        <v>42.0</v>
      </c>
    </row>
    <row r="5231" ht="15.75" hidden="1" customHeight="1">
      <c r="A5231" s="47"/>
      <c r="B5231" s="47"/>
      <c r="C5231" s="47"/>
      <c r="D5231" s="47"/>
      <c r="E5231" s="47"/>
      <c r="F5231" s="47"/>
      <c r="G5231" s="47"/>
      <c r="H5231" s="47"/>
      <c r="I5231" s="47"/>
      <c r="J5231" s="49">
        <v>42.0</v>
      </c>
    </row>
    <row r="5232" ht="15.75" hidden="1" customHeight="1">
      <c r="A5232" s="47"/>
      <c r="B5232" s="47"/>
      <c r="C5232" s="47"/>
      <c r="D5232" s="47"/>
      <c r="E5232" s="47"/>
      <c r="F5232" s="47"/>
      <c r="G5232" s="47"/>
      <c r="H5232" s="47"/>
      <c r="I5232" s="47"/>
      <c r="J5232" s="49">
        <v>42.0</v>
      </c>
    </row>
    <row r="5233" ht="15.75" hidden="1" customHeight="1">
      <c r="A5233" s="47"/>
      <c r="B5233" s="47"/>
      <c r="C5233" s="47"/>
      <c r="D5233" s="47"/>
      <c r="E5233" s="47"/>
      <c r="F5233" s="47"/>
      <c r="G5233" s="47"/>
      <c r="H5233" s="47"/>
      <c r="I5233" s="47"/>
      <c r="J5233" s="49">
        <v>42.0</v>
      </c>
    </row>
    <row r="5234" ht="15.75" hidden="1" customHeight="1">
      <c r="A5234" s="47"/>
      <c r="B5234" s="47"/>
      <c r="C5234" s="47"/>
      <c r="D5234" s="47"/>
      <c r="E5234" s="47"/>
      <c r="F5234" s="47"/>
      <c r="G5234" s="47"/>
      <c r="H5234" s="47"/>
      <c r="I5234" s="47"/>
      <c r="J5234" s="49">
        <v>42.0</v>
      </c>
    </row>
    <row r="5235" ht="15.75" hidden="1" customHeight="1">
      <c r="A5235" s="47"/>
      <c r="B5235" s="47"/>
      <c r="C5235" s="47"/>
      <c r="D5235" s="47"/>
      <c r="E5235" s="47"/>
      <c r="F5235" s="47"/>
      <c r="G5235" s="47"/>
      <c r="H5235" s="47"/>
      <c r="I5235" s="47"/>
      <c r="J5235" s="49">
        <v>42.0</v>
      </c>
    </row>
    <row r="5236" ht="15.75" hidden="1" customHeight="1">
      <c r="A5236" s="47"/>
      <c r="B5236" s="47"/>
      <c r="C5236" s="47"/>
      <c r="D5236" s="47"/>
      <c r="E5236" s="47"/>
      <c r="F5236" s="47"/>
      <c r="G5236" s="47"/>
      <c r="H5236" s="47"/>
      <c r="I5236" s="47"/>
      <c r="J5236" s="49">
        <v>42.0</v>
      </c>
    </row>
    <row r="5237" ht="15.75" hidden="1" customHeight="1">
      <c r="A5237" s="47"/>
      <c r="B5237" s="47"/>
      <c r="C5237" s="47"/>
      <c r="D5237" s="47"/>
      <c r="E5237" s="47"/>
      <c r="F5237" s="47"/>
      <c r="G5237" s="47"/>
      <c r="H5237" s="47"/>
      <c r="I5237" s="47"/>
      <c r="J5237" s="49">
        <v>42.0</v>
      </c>
    </row>
    <row r="5238" ht="15.75" hidden="1" customHeight="1">
      <c r="A5238" s="47"/>
      <c r="B5238" s="47"/>
      <c r="C5238" s="47"/>
      <c r="D5238" s="47"/>
      <c r="E5238" s="47"/>
      <c r="F5238" s="47"/>
      <c r="G5238" s="47"/>
      <c r="H5238" s="47"/>
      <c r="I5238" s="47"/>
      <c r="J5238" s="49">
        <v>42.0</v>
      </c>
    </row>
    <row r="5239" ht="15.75" hidden="1" customHeight="1">
      <c r="A5239" s="47"/>
      <c r="B5239" s="47"/>
      <c r="C5239" s="47"/>
      <c r="D5239" s="47"/>
      <c r="E5239" s="47"/>
      <c r="F5239" s="47"/>
      <c r="G5239" s="47"/>
      <c r="H5239" s="47"/>
      <c r="I5239" s="47"/>
      <c r="J5239" s="49">
        <v>42.0</v>
      </c>
    </row>
    <row r="5240" ht="15.75" hidden="1" customHeight="1">
      <c r="A5240" s="47"/>
      <c r="B5240" s="47"/>
      <c r="C5240" s="47"/>
      <c r="D5240" s="47"/>
      <c r="E5240" s="47"/>
      <c r="F5240" s="47"/>
      <c r="G5240" s="47"/>
      <c r="H5240" s="47"/>
      <c r="I5240" s="47"/>
      <c r="J5240" s="49">
        <v>42.0</v>
      </c>
    </row>
    <row r="5241" ht="15.75" hidden="1" customHeight="1">
      <c r="A5241" s="47"/>
      <c r="B5241" s="47"/>
      <c r="C5241" s="47"/>
      <c r="D5241" s="47"/>
      <c r="E5241" s="47"/>
      <c r="F5241" s="47"/>
      <c r="G5241" s="47"/>
      <c r="H5241" s="47"/>
      <c r="I5241" s="47"/>
      <c r="J5241" s="49">
        <v>42.0</v>
      </c>
    </row>
    <row r="5242" ht="15.75" hidden="1" customHeight="1">
      <c r="A5242" s="47"/>
      <c r="B5242" s="47"/>
      <c r="C5242" s="47"/>
      <c r="D5242" s="47"/>
      <c r="E5242" s="47"/>
      <c r="F5242" s="47"/>
      <c r="G5242" s="47"/>
      <c r="H5242" s="47"/>
      <c r="I5242" s="47"/>
      <c r="J5242" s="49">
        <v>42.0</v>
      </c>
    </row>
    <row r="5243" ht="15.75" hidden="1" customHeight="1">
      <c r="A5243" s="47"/>
      <c r="B5243" s="47"/>
      <c r="C5243" s="47"/>
      <c r="D5243" s="47"/>
      <c r="E5243" s="47"/>
      <c r="F5243" s="47"/>
      <c r="G5243" s="47"/>
      <c r="H5243" s="47"/>
      <c r="I5243" s="47"/>
      <c r="J5243" s="49">
        <v>42.0</v>
      </c>
    </row>
    <row r="5244" ht="15.75" hidden="1" customHeight="1">
      <c r="A5244" s="47"/>
      <c r="B5244" s="47"/>
      <c r="C5244" s="47"/>
      <c r="D5244" s="47"/>
      <c r="E5244" s="47"/>
      <c r="F5244" s="47"/>
      <c r="G5244" s="47"/>
      <c r="H5244" s="47"/>
      <c r="I5244" s="47"/>
      <c r="J5244" s="49">
        <v>42.0</v>
      </c>
    </row>
    <row r="5245" ht="15.75" hidden="1" customHeight="1">
      <c r="A5245" s="47"/>
      <c r="B5245" s="47"/>
      <c r="C5245" s="47"/>
      <c r="D5245" s="47"/>
      <c r="E5245" s="47"/>
      <c r="F5245" s="47"/>
      <c r="G5245" s="47"/>
      <c r="H5245" s="47"/>
      <c r="I5245" s="47"/>
      <c r="J5245" s="49">
        <v>42.0</v>
      </c>
    </row>
    <row r="5246" ht="15.75" hidden="1" customHeight="1">
      <c r="A5246" s="47"/>
      <c r="B5246" s="47"/>
      <c r="C5246" s="47"/>
      <c r="D5246" s="47"/>
      <c r="E5246" s="47"/>
      <c r="F5246" s="47"/>
      <c r="G5246" s="47"/>
      <c r="H5246" s="47"/>
      <c r="I5246" s="47"/>
      <c r="J5246" s="49">
        <v>42.0</v>
      </c>
    </row>
    <row r="5247" ht="15.75" hidden="1" customHeight="1">
      <c r="A5247" s="47"/>
      <c r="B5247" s="47"/>
      <c r="C5247" s="47"/>
      <c r="D5247" s="47"/>
      <c r="E5247" s="47"/>
      <c r="F5247" s="47"/>
      <c r="G5247" s="47"/>
      <c r="H5247" s="47"/>
      <c r="I5247" s="47"/>
      <c r="J5247" s="49">
        <v>42.0</v>
      </c>
    </row>
    <row r="5248" ht="15.75" hidden="1" customHeight="1">
      <c r="A5248" s="47"/>
      <c r="B5248" s="47"/>
      <c r="C5248" s="47"/>
      <c r="D5248" s="47"/>
      <c r="E5248" s="47"/>
      <c r="F5248" s="47"/>
      <c r="G5248" s="47"/>
      <c r="H5248" s="47"/>
      <c r="I5248" s="47"/>
      <c r="J5248" s="49">
        <v>42.0</v>
      </c>
    </row>
    <row r="5249" ht="15.75" hidden="1" customHeight="1">
      <c r="A5249" s="47"/>
      <c r="B5249" s="47"/>
      <c r="C5249" s="47"/>
      <c r="D5249" s="47"/>
      <c r="E5249" s="47"/>
      <c r="F5249" s="47"/>
      <c r="G5249" s="47"/>
      <c r="H5249" s="47"/>
      <c r="I5249" s="47"/>
      <c r="J5249" s="49">
        <v>42.0</v>
      </c>
    </row>
    <row r="5250" ht="15.75" hidden="1" customHeight="1">
      <c r="A5250" s="47"/>
      <c r="B5250" s="47"/>
      <c r="C5250" s="47"/>
      <c r="D5250" s="47"/>
      <c r="E5250" s="47"/>
      <c r="F5250" s="47"/>
      <c r="G5250" s="47"/>
      <c r="H5250" s="47"/>
      <c r="I5250" s="47"/>
      <c r="J5250" s="49">
        <v>42.0</v>
      </c>
    </row>
    <row r="5251" ht="15.75" hidden="1" customHeight="1">
      <c r="A5251" s="47"/>
      <c r="B5251" s="47"/>
      <c r="C5251" s="47"/>
      <c r="D5251" s="47"/>
      <c r="E5251" s="47"/>
      <c r="F5251" s="47"/>
      <c r="G5251" s="47"/>
      <c r="H5251" s="47"/>
      <c r="I5251" s="47"/>
      <c r="J5251" s="49">
        <v>42.0</v>
      </c>
    </row>
    <row r="5252" ht="15.75" hidden="1" customHeight="1">
      <c r="A5252" s="47"/>
      <c r="B5252" s="47"/>
      <c r="C5252" s="47"/>
      <c r="D5252" s="47"/>
      <c r="E5252" s="47"/>
      <c r="F5252" s="47"/>
      <c r="G5252" s="47"/>
      <c r="H5252" s="47"/>
      <c r="I5252" s="47"/>
      <c r="J5252" s="49">
        <v>42.0</v>
      </c>
    </row>
    <row r="5253" ht="15.75" hidden="1" customHeight="1">
      <c r="A5253" s="47"/>
      <c r="B5253" s="47"/>
      <c r="C5253" s="47"/>
      <c r="D5253" s="47"/>
      <c r="E5253" s="47"/>
      <c r="F5253" s="47"/>
      <c r="G5253" s="47"/>
      <c r="H5253" s="47"/>
      <c r="I5253" s="47"/>
      <c r="J5253" s="49">
        <v>42.0</v>
      </c>
    </row>
    <row r="5254" ht="15.75" hidden="1" customHeight="1">
      <c r="A5254" s="47"/>
      <c r="B5254" s="47"/>
      <c r="C5254" s="47"/>
      <c r="D5254" s="47"/>
      <c r="E5254" s="47"/>
      <c r="F5254" s="47"/>
      <c r="G5254" s="47"/>
      <c r="H5254" s="47"/>
      <c r="I5254" s="47"/>
      <c r="J5254" s="49">
        <v>42.0</v>
      </c>
    </row>
    <row r="5255" ht="15.75" hidden="1" customHeight="1">
      <c r="A5255" s="47"/>
      <c r="B5255" s="47"/>
      <c r="C5255" s="47"/>
      <c r="D5255" s="47"/>
      <c r="E5255" s="47"/>
      <c r="F5255" s="47"/>
      <c r="G5255" s="47"/>
      <c r="H5255" s="47"/>
      <c r="I5255" s="47"/>
      <c r="J5255" s="49">
        <v>42.0</v>
      </c>
    </row>
    <row r="5256" ht="15.75" hidden="1" customHeight="1">
      <c r="A5256" s="47"/>
      <c r="B5256" s="47"/>
      <c r="C5256" s="47"/>
      <c r="D5256" s="47"/>
      <c r="E5256" s="47"/>
      <c r="F5256" s="47"/>
      <c r="G5256" s="47"/>
      <c r="H5256" s="47"/>
      <c r="I5256" s="47"/>
      <c r="J5256" s="49">
        <v>42.0</v>
      </c>
    </row>
    <row r="5257" ht="15.75" hidden="1" customHeight="1">
      <c r="A5257" s="47"/>
      <c r="B5257" s="47"/>
      <c r="C5257" s="47"/>
      <c r="D5257" s="47"/>
      <c r="E5257" s="47"/>
      <c r="F5257" s="47"/>
      <c r="G5257" s="47"/>
      <c r="H5257" s="47"/>
      <c r="I5257" s="47"/>
      <c r="J5257" s="49">
        <v>42.0</v>
      </c>
    </row>
    <row r="5258" ht="15.75" hidden="1" customHeight="1">
      <c r="A5258" s="47"/>
      <c r="B5258" s="47"/>
      <c r="C5258" s="47"/>
      <c r="D5258" s="47"/>
      <c r="E5258" s="47"/>
      <c r="F5258" s="47"/>
      <c r="G5258" s="47"/>
      <c r="H5258" s="47"/>
      <c r="I5258" s="47"/>
      <c r="J5258" s="49">
        <v>42.0</v>
      </c>
    </row>
    <row r="5259" ht="15.75" hidden="1" customHeight="1">
      <c r="A5259" s="47"/>
      <c r="B5259" s="47"/>
      <c r="C5259" s="47"/>
      <c r="D5259" s="47"/>
      <c r="E5259" s="47"/>
      <c r="F5259" s="47"/>
      <c r="G5259" s="47"/>
      <c r="H5259" s="47"/>
      <c r="I5259" s="47"/>
      <c r="J5259" s="49">
        <v>42.0</v>
      </c>
    </row>
    <row r="5260" ht="15.75" hidden="1" customHeight="1">
      <c r="A5260" s="47"/>
      <c r="B5260" s="47"/>
      <c r="C5260" s="47"/>
      <c r="D5260" s="47"/>
      <c r="E5260" s="47"/>
      <c r="F5260" s="47"/>
      <c r="G5260" s="47"/>
      <c r="H5260" s="47"/>
      <c r="I5260" s="47"/>
      <c r="J5260" s="49">
        <v>42.0</v>
      </c>
    </row>
    <row r="5261" ht="15.75" hidden="1" customHeight="1">
      <c r="A5261" s="47"/>
      <c r="B5261" s="47"/>
      <c r="C5261" s="47"/>
      <c r="D5261" s="47"/>
      <c r="E5261" s="47"/>
      <c r="F5261" s="47"/>
      <c r="G5261" s="47"/>
      <c r="H5261" s="47"/>
      <c r="I5261" s="47"/>
      <c r="J5261" s="49">
        <v>42.0</v>
      </c>
    </row>
    <row r="5262" ht="15.75" hidden="1" customHeight="1">
      <c r="A5262" s="47"/>
      <c r="B5262" s="47"/>
      <c r="C5262" s="47"/>
      <c r="D5262" s="47"/>
      <c r="E5262" s="47"/>
      <c r="F5262" s="47"/>
      <c r="G5262" s="47"/>
      <c r="H5262" s="47"/>
      <c r="I5262" s="47"/>
      <c r="J5262" s="49">
        <v>42.0</v>
      </c>
    </row>
    <row r="5263" ht="15.75" hidden="1" customHeight="1">
      <c r="A5263" s="47"/>
      <c r="B5263" s="47"/>
      <c r="C5263" s="47"/>
      <c r="D5263" s="47"/>
      <c r="E5263" s="47"/>
      <c r="F5263" s="47"/>
      <c r="G5263" s="47"/>
      <c r="H5263" s="47"/>
      <c r="I5263" s="47"/>
      <c r="J5263" s="49">
        <v>42.0</v>
      </c>
    </row>
    <row r="5264" ht="15.75" hidden="1" customHeight="1">
      <c r="A5264" s="47"/>
      <c r="B5264" s="47"/>
      <c r="C5264" s="47"/>
      <c r="D5264" s="47"/>
      <c r="E5264" s="47"/>
      <c r="F5264" s="47"/>
      <c r="G5264" s="47"/>
      <c r="H5264" s="47"/>
      <c r="I5264" s="47"/>
      <c r="J5264" s="49">
        <v>42.0</v>
      </c>
    </row>
    <row r="5265" ht="15.75" hidden="1" customHeight="1">
      <c r="A5265" s="47"/>
      <c r="B5265" s="47"/>
      <c r="C5265" s="47"/>
      <c r="D5265" s="47"/>
      <c r="E5265" s="47"/>
      <c r="F5265" s="47"/>
      <c r="G5265" s="47"/>
      <c r="H5265" s="47"/>
      <c r="I5265" s="47"/>
      <c r="J5265" s="49">
        <v>42.0</v>
      </c>
    </row>
    <row r="5266" ht="15.75" hidden="1" customHeight="1">
      <c r="A5266" s="47"/>
      <c r="B5266" s="47"/>
      <c r="C5266" s="47"/>
      <c r="D5266" s="47"/>
      <c r="E5266" s="47"/>
      <c r="F5266" s="47"/>
      <c r="G5266" s="47"/>
      <c r="H5266" s="47"/>
      <c r="I5266" s="47"/>
      <c r="J5266" s="49">
        <v>42.0</v>
      </c>
    </row>
    <row r="5267" ht="15.75" hidden="1" customHeight="1">
      <c r="A5267" s="47"/>
      <c r="B5267" s="47"/>
      <c r="C5267" s="47"/>
      <c r="D5267" s="47"/>
      <c r="E5267" s="47"/>
      <c r="F5267" s="47"/>
      <c r="G5267" s="47"/>
      <c r="H5267" s="47"/>
      <c r="I5267" s="47"/>
      <c r="J5267" s="49">
        <v>42.0</v>
      </c>
    </row>
    <row r="5268" ht="15.75" hidden="1" customHeight="1">
      <c r="A5268" s="47"/>
      <c r="B5268" s="47"/>
      <c r="C5268" s="47"/>
      <c r="D5268" s="47"/>
      <c r="E5268" s="47"/>
      <c r="F5268" s="47"/>
      <c r="G5268" s="47"/>
      <c r="H5268" s="47"/>
      <c r="I5268" s="47"/>
      <c r="J5268" s="49">
        <v>42.0</v>
      </c>
    </row>
    <row r="5269" ht="15.75" hidden="1" customHeight="1">
      <c r="A5269" s="47"/>
      <c r="B5269" s="47"/>
      <c r="C5269" s="47"/>
      <c r="D5269" s="47"/>
      <c r="E5269" s="47"/>
      <c r="F5269" s="47"/>
      <c r="G5269" s="47"/>
      <c r="H5269" s="47"/>
      <c r="I5269" s="47"/>
      <c r="J5269" s="49">
        <v>42.0</v>
      </c>
    </row>
    <row r="5270" ht="15.75" hidden="1" customHeight="1">
      <c r="A5270" s="47"/>
      <c r="B5270" s="47"/>
      <c r="C5270" s="47"/>
      <c r="D5270" s="47"/>
      <c r="E5270" s="47"/>
      <c r="F5270" s="47"/>
      <c r="G5270" s="47"/>
      <c r="H5270" s="47"/>
      <c r="I5270" s="47"/>
      <c r="J5270" s="49">
        <v>42.0</v>
      </c>
    </row>
    <row r="5271" ht="15.75" hidden="1" customHeight="1">
      <c r="A5271" s="47"/>
      <c r="B5271" s="47"/>
      <c r="C5271" s="47"/>
      <c r="D5271" s="47"/>
      <c r="E5271" s="47"/>
      <c r="F5271" s="47"/>
      <c r="G5271" s="47"/>
      <c r="H5271" s="47"/>
      <c r="I5271" s="47"/>
      <c r="J5271" s="49">
        <v>42.0</v>
      </c>
    </row>
    <row r="5272" ht="15.75" hidden="1" customHeight="1">
      <c r="A5272" s="47"/>
      <c r="B5272" s="47"/>
      <c r="C5272" s="47"/>
      <c r="D5272" s="47"/>
      <c r="E5272" s="47"/>
      <c r="F5272" s="47"/>
      <c r="G5272" s="47"/>
      <c r="H5272" s="47"/>
      <c r="I5272" s="47"/>
      <c r="J5272" s="49">
        <v>42.0</v>
      </c>
    </row>
    <row r="5273" ht="15.75" hidden="1" customHeight="1">
      <c r="A5273" s="47"/>
      <c r="B5273" s="47"/>
      <c r="C5273" s="47"/>
      <c r="D5273" s="47"/>
      <c r="E5273" s="47"/>
      <c r="F5273" s="47"/>
      <c r="G5273" s="47"/>
      <c r="H5273" s="47"/>
      <c r="I5273" s="47"/>
      <c r="J5273" s="49">
        <v>42.0</v>
      </c>
    </row>
    <row r="5274" ht="15.75" hidden="1" customHeight="1">
      <c r="A5274" s="47"/>
      <c r="B5274" s="47"/>
      <c r="C5274" s="47"/>
      <c r="D5274" s="47"/>
      <c r="E5274" s="47"/>
      <c r="F5274" s="47"/>
      <c r="G5274" s="47"/>
      <c r="H5274" s="47"/>
      <c r="I5274" s="47"/>
      <c r="J5274" s="49">
        <v>42.0</v>
      </c>
    </row>
    <row r="5275" ht="15.75" hidden="1" customHeight="1">
      <c r="A5275" s="47"/>
      <c r="B5275" s="47"/>
      <c r="C5275" s="47"/>
      <c r="D5275" s="47"/>
      <c r="E5275" s="47"/>
      <c r="F5275" s="47"/>
      <c r="G5275" s="47"/>
      <c r="H5275" s="47"/>
      <c r="I5275" s="47"/>
      <c r="J5275" s="49">
        <v>42.0</v>
      </c>
    </row>
    <row r="5276" ht="15.75" hidden="1" customHeight="1">
      <c r="A5276" s="47"/>
      <c r="B5276" s="47"/>
      <c r="C5276" s="47"/>
      <c r="D5276" s="47"/>
      <c r="E5276" s="47"/>
      <c r="F5276" s="47"/>
      <c r="G5276" s="47"/>
      <c r="H5276" s="47"/>
      <c r="I5276" s="47"/>
      <c r="J5276" s="49">
        <v>42.0</v>
      </c>
    </row>
    <row r="5277" ht="15.75" hidden="1" customHeight="1">
      <c r="A5277" s="47"/>
      <c r="B5277" s="47"/>
      <c r="C5277" s="47"/>
      <c r="D5277" s="47"/>
      <c r="E5277" s="47"/>
      <c r="F5277" s="47"/>
      <c r="G5277" s="47"/>
      <c r="H5277" s="47"/>
      <c r="I5277" s="47"/>
      <c r="J5277" s="49">
        <v>42.0</v>
      </c>
    </row>
    <row r="5278" ht="15.75" hidden="1" customHeight="1">
      <c r="A5278" s="47"/>
      <c r="B5278" s="47"/>
      <c r="C5278" s="47"/>
      <c r="D5278" s="47"/>
      <c r="E5278" s="47"/>
      <c r="F5278" s="47"/>
      <c r="G5278" s="47"/>
      <c r="H5278" s="47"/>
      <c r="I5278" s="47"/>
      <c r="J5278" s="49">
        <v>42.0</v>
      </c>
    </row>
    <row r="5279" ht="15.75" hidden="1" customHeight="1">
      <c r="A5279" s="47"/>
      <c r="B5279" s="47"/>
      <c r="C5279" s="47"/>
      <c r="D5279" s="47"/>
      <c r="E5279" s="47"/>
      <c r="F5279" s="47"/>
      <c r="G5279" s="47"/>
      <c r="H5279" s="47"/>
      <c r="I5279" s="47"/>
      <c r="J5279" s="49">
        <v>42.0</v>
      </c>
    </row>
    <row r="5280" ht="15.75" hidden="1" customHeight="1">
      <c r="A5280" s="47"/>
      <c r="B5280" s="47"/>
      <c r="C5280" s="47"/>
      <c r="D5280" s="47"/>
      <c r="E5280" s="47"/>
      <c r="F5280" s="47"/>
      <c r="G5280" s="47"/>
      <c r="H5280" s="47"/>
      <c r="I5280" s="47"/>
      <c r="J5280" s="49">
        <v>42.0</v>
      </c>
    </row>
    <row r="5281" ht="15.75" hidden="1" customHeight="1">
      <c r="A5281" s="47"/>
      <c r="B5281" s="47"/>
      <c r="C5281" s="47"/>
      <c r="D5281" s="47"/>
      <c r="E5281" s="47"/>
      <c r="F5281" s="47"/>
      <c r="G5281" s="47"/>
      <c r="H5281" s="47"/>
      <c r="I5281" s="47"/>
      <c r="J5281" s="49">
        <v>42.0</v>
      </c>
    </row>
    <row r="5282" ht="15.75" hidden="1" customHeight="1">
      <c r="A5282" s="47"/>
      <c r="B5282" s="47"/>
      <c r="C5282" s="47"/>
      <c r="D5282" s="47"/>
      <c r="E5282" s="47"/>
      <c r="F5282" s="47"/>
      <c r="G5282" s="47"/>
      <c r="H5282" s="47"/>
      <c r="I5282" s="47"/>
      <c r="J5282" s="49">
        <v>42.0</v>
      </c>
    </row>
    <row r="5283" ht="15.75" hidden="1" customHeight="1">
      <c r="A5283" s="47"/>
      <c r="B5283" s="47"/>
      <c r="C5283" s="47"/>
      <c r="D5283" s="47"/>
      <c r="E5283" s="47"/>
      <c r="F5283" s="47"/>
      <c r="G5283" s="47"/>
      <c r="H5283" s="47"/>
      <c r="I5283" s="47"/>
      <c r="J5283" s="49">
        <v>42.0</v>
      </c>
    </row>
    <row r="5284" ht="15.75" hidden="1" customHeight="1">
      <c r="A5284" s="47"/>
      <c r="B5284" s="47"/>
      <c r="C5284" s="47"/>
      <c r="D5284" s="47"/>
      <c r="E5284" s="47"/>
      <c r="F5284" s="47"/>
      <c r="G5284" s="47"/>
      <c r="H5284" s="47"/>
      <c r="I5284" s="47"/>
      <c r="J5284" s="49">
        <v>42.0</v>
      </c>
    </row>
    <row r="5285" ht="15.75" hidden="1" customHeight="1">
      <c r="A5285" s="47"/>
      <c r="B5285" s="47"/>
      <c r="C5285" s="47"/>
      <c r="D5285" s="47"/>
      <c r="E5285" s="47"/>
      <c r="F5285" s="47"/>
      <c r="G5285" s="47"/>
      <c r="H5285" s="47"/>
      <c r="I5285" s="47"/>
      <c r="J5285" s="49">
        <v>42.0</v>
      </c>
    </row>
    <row r="5286" ht="15.75" hidden="1" customHeight="1">
      <c r="A5286" s="47"/>
      <c r="B5286" s="47"/>
      <c r="C5286" s="47"/>
      <c r="D5286" s="47"/>
      <c r="E5286" s="47"/>
      <c r="F5286" s="47"/>
      <c r="G5286" s="47"/>
      <c r="H5286" s="47"/>
      <c r="I5286" s="47"/>
      <c r="J5286" s="49">
        <v>42.0</v>
      </c>
    </row>
    <row r="5287" ht="15.75" hidden="1" customHeight="1">
      <c r="A5287" s="47"/>
      <c r="B5287" s="47"/>
      <c r="C5287" s="47"/>
      <c r="D5287" s="47"/>
      <c r="E5287" s="47"/>
      <c r="F5287" s="47"/>
      <c r="G5287" s="47"/>
      <c r="H5287" s="47"/>
      <c r="I5287" s="47"/>
      <c r="J5287" s="49">
        <v>42.0</v>
      </c>
    </row>
    <row r="5288" ht="15.75" hidden="1" customHeight="1">
      <c r="A5288" s="47"/>
      <c r="B5288" s="47"/>
      <c r="C5288" s="47"/>
      <c r="D5288" s="47"/>
      <c r="E5288" s="47"/>
      <c r="F5288" s="47"/>
      <c r="G5288" s="47"/>
      <c r="H5288" s="47"/>
      <c r="I5288" s="47"/>
      <c r="J5288" s="49">
        <v>42.0</v>
      </c>
    </row>
    <row r="5289" ht="15.75" hidden="1" customHeight="1">
      <c r="A5289" s="47"/>
      <c r="B5289" s="47"/>
      <c r="C5289" s="47"/>
      <c r="D5289" s="47"/>
      <c r="E5289" s="47"/>
      <c r="F5289" s="47"/>
      <c r="G5289" s="47"/>
      <c r="H5289" s="47"/>
      <c r="I5289" s="47"/>
      <c r="J5289" s="49">
        <v>42.0</v>
      </c>
    </row>
    <row r="5290" ht="15.75" hidden="1" customHeight="1">
      <c r="A5290" s="47"/>
      <c r="B5290" s="47"/>
      <c r="C5290" s="47"/>
      <c r="D5290" s="47"/>
      <c r="E5290" s="47"/>
      <c r="F5290" s="47"/>
      <c r="G5290" s="47"/>
      <c r="H5290" s="47"/>
      <c r="I5290" s="47"/>
      <c r="J5290" s="49">
        <v>42.0</v>
      </c>
    </row>
    <row r="5291" ht="15.75" hidden="1" customHeight="1">
      <c r="A5291" s="47"/>
      <c r="B5291" s="47"/>
      <c r="C5291" s="47"/>
      <c r="D5291" s="47"/>
      <c r="E5291" s="47"/>
      <c r="F5291" s="47"/>
      <c r="G5291" s="47"/>
      <c r="H5291" s="47"/>
      <c r="I5291" s="47"/>
      <c r="J5291" s="49">
        <v>42.0</v>
      </c>
    </row>
    <row r="5292" ht="15.75" hidden="1" customHeight="1">
      <c r="A5292" s="47"/>
      <c r="B5292" s="47"/>
      <c r="C5292" s="47"/>
      <c r="D5292" s="47"/>
      <c r="E5292" s="47"/>
      <c r="F5292" s="47"/>
      <c r="G5292" s="47"/>
      <c r="H5292" s="47"/>
      <c r="I5292" s="47"/>
      <c r="J5292" s="49">
        <v>42.0</v>
      </c>
    </row>
    <row r="5293" ht="15.75" hidden="1" customHeight="1">
      <c r="A5293" s="47"/>
      <c r="B5293" s="47"/>
      <c r="C5293" s="47"/>
      <c r="D5293" s="47"/>
      <c r="E5293" s="47"/>
      <c r="F5293" s="47"/>
      <c r="G5293" s="47"/>
      <c r="H5293" s="47"/>
      <c r="I5293" s="47"/>
      <c r="J5293" s="49">
        <v>42.0</v>
      </c>
    </row>
    <row r="5294" ht="15.75" hidden="1" customHeight="1">
      <c r="A5294" s="47"/>
      <c r="B5294" s="47"/>
      <c r="C5294" s="47"/>
      <c r="D5294" s="47"/>
      <c r="E5294" s="47"/>
      <c r="F5294" s="47"/>
      <c r="G5294" s="47"/>
      <c r="H5294" s="47"/>
      <c r="I5294" s="47"/>
      <c r="J5294" s="49">
        <v>42.0</v>
      </c>
    </row>
    <row r="5295" ht="15.75" hidden="1" customHeight="1">
      <c r="A5295" s="47"/>
      <c r="B5295" s="47"/>
      <c r="C5295" s="47"/>
      <c r="D5295" s="47"/>
      <c r="E5295" s="47"/>
      <c r="F5295" s="47"/>
      <c r="G5295" s="47"/>
      <c r="H5295" s="47"/>
      <c r="I5295" s="47"/>
      <c r="J5295" s="49">
        <v>42.0</v>
      </c>
    </row>
    <row r="5296" ht="15.75" hidden="1" customHeight="1">
      <c r="A5296" s="47"/>
      <c r="B5296" s="47"/>
      <c r="C5296" s="47"/>
      <c r="D5296" s="47"/>
      <c r="E5296" s="47"/>
      <c r="F5296" s="47"/>
      <c r="G5296" s="47"/>
      <c r="H5296" s="47"/>
      <c r="I5296" s="47"/>
      <c r="J5296" s="49">
        <v>42.0</v>
      </c>
    </row>
    <row r="5297" ht="15.75" hidden="1" customHeight="1">
      <c r="A5297" s="47"/>
      <c r="B5297" s="47"/>
      <c r="C5297" s="47"/>
      <c r="D5297" s="47"/>
      <c r="E5297" s="47"/>
      <c r="F5297" s="47"/>
      <c r="G5297" s="47"/>
      <c r="H5297" s="47"/>
      <c r="I5297" s="47"/>
      <c r="J5297" s="49">
        <v>42.0</v>
      </c>
    </row>
    <row r="5298" ht="15.75" hidden="1" customHeight="1">
      <c r="A5298" s="47"/>
      <c r="B5298" s="47"/>
      <c r="C5298" s="47"/>
      <c r="D5298" s="47"/>
      <c r="E5298" s="47"/>
      <c r="F5298" s="47"/>
      <c r="G5298" s="47"/>
      <c r="H5298" s="47"/>
      <c r="I5298" s="47"/>
      <c r="J5298" s="49">
        <v>42.0</v>
      </c>
    </row>
    <row r="5299" ht="15.75" hidden="1" customHeight="1">
      <c r="A5299" s="47"/>
      <c r="B5299" s="47"/>
      <c r="C5299" s="47"/>
      <c r="D5299" s="47"/>
      <c r="E5299" s="47"/>
      <c r="F5299" s="47"/>
      <c r="G5299" s="47"/>
      <c r="H5299" s="47"/>
      <c r="I5299" s="47"/>
      <c r="J5299" s="49">
        <v>42.0</v>
      </c>
    </row>
    <row r="5300" ht="15.75" hidden="1" customHeight="1">
      <c r="A5300" s="47"/>
      <c r="B5300" s="47"/>
      <c r="C5300" s="47"/>
      <c r="D5300" s="47"/>
      <c r="E5300" s="47"/>
      <c r="F5300" s="47"/>
      <c r="G5300" s="47"/>
      <c r="H5300" s="47"/>
      <c r="I5300" s="47"/>
      <c r="J5300" s="49">
        <v>42.0</v>
      </c>
    </row>
    <row r="5301" ht="15.75" hidden="1" customHeight="1">
      <c r="A5301" s="47"/>
      <c r="B5301" s="47"/>
      <c r="C5301" s="47"/>
      <c r="D5301" s="47"/>
      <c r="E5301" s="47"/>
      <c r="F5301" s="47"/>
      <c r="G5301" s="47"/>
      <c r="H5301" s="47"/>
      <c r="I5301" s="47"/>
      <c r="J5301" s="49">
        <v>42.0</v>
      </c>
    </row>
    <row r="5302" ht="15.75" hidden="1" customHeight="1">
      <c r="A5302" s="47"/>
      <c r="B5302" s="47"/>
      <c r="C5302" s="47"/>
      <c r="D5302" s="47"/>
      <c r="E5302" s="47"/>
      <c r="F5302" s="47"/>
      <c r="G5302" s="47"/>
      <c r="H5302" s="47"/>
      <c r="I5302" s="47"/>
      <c r="J5302" s="49">
        <v>42.0</v>
      </c>
    </row>
    <row r="5303" ht="15.75" hidden="1" customHeight="1">
      <c r="A5303" s="47"/>
      <c r="B5303" s="47"/>
      <c r="C5303" s="47"/>
      <c r="D5303" s="47"/>
      <c r="E5303" s="47"/>
      <c r="F5303" s="47"/>
      <c r="G5303" s="47"/>
      <c r="H5303" s="47"/>
      <c r="I5303" s="47"/>
      <c r="J5303" s="49">
        <v>42.0</v>
      </c>
    </row>
    <row r="5304" ht="15.75" hidden="1" customHeight="1">
      <c r="A5304" s="47"/>
      <c r="B5304" s="47"/>
      <c r="C5304" s="47"/>
      <c r="D5304" s="47"/>
      <c r="E5304" s="47"/>
      <c r="F5304" s="47"/>
      <c r="G5304" s="47"/>
      <c r="H5304" s="47"/>
      <c r="I5304" s="47"/>
      <c r="J5304" s="49">
        <v>42.0</v>
      </c>
    </row>
    <row r="5305" ht="15.75" hidden="1" customHeight="1">
      <c r="A5305" s="47"/>
      <c r="B5305" s="47"/>
      <c r="C5305" s="47"/>
      <c r="D5305" s="47"/>
      <c r="E5305" s="47"/>
      <c r="F5305" s="47"/>
      <c r="G5305" s="47"/>
      <c r="H5305" s="47"/>
      <c r="I5305" s="47"/>
      <c r="J5305" s="49">
        <v>42.0</v>
      </c>
    </row>
    <row r="5306" ht="15.75" hidden="1" customHeight="1">
      <c r="A5306" s="47"/>
      <c r="B5306" s="47"/>
      <c r="C5306" s="47"/>
      <c r="D5306" s="47"/>
      <c r="E5306" s="47"/>
      <c r="F5306" s="47"/>
      <c r="G5306" s="47"/>
      <c r="H5306" s="47"/>
      <c r="I5306" s="47"/>
      <c r="J5306" s="49">
        <v>42.0</v>
      </c>
    </row>
    <row r="5307" ht="15.75" hidden="1" customHeight="1">
      <c r="A5307" s="47"/>
      <c r="B5307" s="47"/>
      <c r="C5307" s="47"/>
      <c r="D5307" s="47"/>
      <c r="E5307" s="47"/>
      <c r="F5307" s="47"/>
      <c r="G5307" s="47"/>
      <c r="H5307" s="47"/>
      <c r="I5307" s="47"/>
      <c r="J5307" s="49">
        <v>42.0</v>
      </c>
    </row>
    <row r="5308" ht="15.75" hidden="1" customHeight="1">
      <c r="A5308" s="47"/>
      <c r="B5308" s="47"/>
      <c r="C5308" s="47"/>
      <c r="D5308" s="47"/>
      <c r="E5308" s="47"/>
      <c r="F5308" s="47"/>
      <c r="G5308" s="47"/>
      <c r="H5308" s="47"/>
      <c r="I5308" s="47"/>
      <c r="J5308" s="49">
        <v>42.0</v>
      </c>
    </row>
    <row r="5309" ht="15.75" hidden="1" customHeight="1">
      <c r="A5309" s="47"/>
      <c r="B5309" s="47"/>
      <c r="C5309" s="47"/>
      <c r="D5309" s="47"/>
      <c r="E5309" s="47"/>
      <c r="F5309" s="47"/>
      <c r="G5309" s="47"/>
      <c r="H5309" s="47"/>
      <c r="I5309" s="47"/>
      <c r="J5309" s="49">
        <v>42.0</v>
      </c>
    </row>
    <row r="5310" ht="15.75" hidden="1" customHeight="1">
      <c r="A5310" s="47"/>
      <c r="B5310" s="47"/>
      <c r="C5310" s="47"/>
      <c r="D5310" s="47"/>
      <c r="E5310" s="47"/>
      <c r="F5310" s="47"/>
      <c r="G5310" s="47"/>
      <c r="H5310" s="47"/>
      <c r="I5310" s="47"/>
      <c r="J5310" s="49">
        <v>42.0</v>
      </c>
    </row>
    <row r="5311" ht="15.75" hidden="1" customHeight="1">
      <c r="A5311" s="47"/>
      <c r="B5311" s="47"/>
      <c r="C5311" s="47"/>
      <c r="D5311" s="47"/>
      <c r="E5311" s="47"/>
      <c r="F5311" s="47"/>
      <c r="G5311" s="47"/>
      <c r="H5311" s="47"/>
      <c r="I5311" s="47"/>
      <c r="J5311" s="49">
        <v>42.0</v>
      </c>
    </row>
    <row r="5312" ht="15.75" hidden="1" customHeight="1">
      <c r="A5312" s="47"/>
      <c r="B5312" s="47"/>
      <c r="C5312" s="47"/>
      <c r="D5312" s="47"/>
      <c r="E5312" s="47"/>
      <c r="F5312" s="47"/>
      <c r="G5312" s="47"/>
      <c r="H5312" s="47"/>
      <c r="I5312" s="47"/>
      <c r="J5312" s="49">
        <v>42.0</v>
      </c>
    </row>
    <row r="5313" ht="15.75" hidden="1" customHeight="1">
      <c r="A5313" s="47"/>
      <c r="B5313" s="47"/>
      <c r="C5313" s="47"/>
      <c r="D5313" s="47"/>
      <c r="E5313" s="47"/>
      <c r="F5313" s="47"/>
      <c r="G5313" s="47"/>
      <c r="H5313" s="47"/>
      <c r="I5313" s="47"/>
      <c r="J5313" s="49">
        <v>42.0</v>
      </c>
    </row>
    <row r="5314" ht="15.75" hidden="1" customHeight="1">
      <c r="A5314" s="47"/>
      <c r="B5314" s="47"/>
      <c r="C5314" s="47"/>
      <c r="D5314" s="47"/>
      <c r="E5314" s="47"/>
      <c r="F5314" s="47"/>
      <c r="G5314" s="47"/>
      <c r="H5314" s="47"/>
      <c r="I5314" s="47"/>
      <c r="J5314" s="49">
        <v>42.0</v>
      </c>
    </row>
    <row r="5315" ht="15.75" hidden="1" customHeight="1">
      <c r="A5315" s="47"/>
      <c r="B5315" s="47"/>
      <c r="C5315" s="47"/>
      <c r="D5315" s="47"/>
      <c r="E5315" s="47"/>
      <c r="F5315" s="47"/>
      <c r="G5315" s="47"/>
      <c r="H5315" s="47"/>
      <c r="I5315" s="47"/>
      <c r="J5315" s="49">
        <v>42.0</v>
      </c>
    </row>
    <row r="5316" ht="15.75" hidden="1" customHeight="1">
      <c r="A5316" s="47"/>
      <c r="B5316" s="47"/>
      <c r="C5316" s="47"/>
      <c r="D5316" s="47"/>
      <c r="E5316" s="47"/>
      <c r="F5316" s="47"/>
      <c r="G5316" s="47"/>
      <c r="H5316" s="47"/>
      <c r="I5316" s="47"/>
      <c r="J5316" s="49">
        <v>42.0</v>
      </c>
    </row>
    <row r="5317" ht="15.75" hidden="1" customHeight="1">
      <c r="A5317" s="47"/>
      <c r="B5317" s="47"/>
      <c r="C5317" s="47"/>
      <c r="D5317" s="47"/>
      <c r="E5317" s="47"/>
      <c r="F5317" s="47"/>
      <c r="G5317" s="47"/>
      <c r="H5317" s="47"/>
      <c r="I5317" s="47"/>
      <c r="J5317" s="49">
        <v>42.0</v>
      </c>
    </row>
    <row r="5318" ht="15.75" hidden="1" customHeight="1">
      <c r="A5318" s="47"/>
      <c r="B5318" s="47"/>
      <c r="C5318" s="47"/>
      <c r="D5318" s="47"/>
      <c r="E5318" s="47"/>
      <c r="F5318" s="47"/>
      <c r="G5318" s="47"/>
      <c r="H5318" s="47"/>
      <c r="I5318" s="47"/>
      <c r="J5318" s="49">
        <v>42.0</v>
      </c>
    </row>
    <row r="5319" ht="15.75" hidden="1" customHeight="1">
      <c r="A5319" s="47"/>
      <c r="B5319" s="47"/>
      <c r="C5319" s="47"/>
      <c r="D5319" s="47"/>
      <c r="E5319" s="47"/>
      <c r="F5319" s="47"/>
      <c r="G5319" s="47"/>
      <c r="H5319" s="47"/>
      <c r="I5319" s="47"/>
      <c r="J5319" s="49">
        <v>42.0</v>
      </c>
    </row>
    <row r="5320" ht="15.75" hidden="1" customHeight="1">
      <c r="A5320" s="47"/>
      <c r="B5320" s="47"/>
      <c r="C5320" s="47"/>
      <c r="D5320" s="47"/>
      <c r="E5320" s="47"/>
      <c r="F5320" s="47"/>
      <c r="G5320" s="47"/>
      <c r="H5320" s="47"/>
      <c r="I5320" s="47"/>
      <c r="J5320" s="49">
        <v>42.0</v>
      </c>
    </row>
    <row r="5321" ht="15.75" hidden="1" customHeight="1">
      <c r="A5321" s="47"/>
      <c r="B5321" s="47"/>
      <c r="C5321" s="47"/>
      <c r="D5321" s="47"/>
      <c r="E5321" s="47"/>
      <c r="F5321" s="47"/>
      <c r="G5321" s="47"/>
      <c r="H5321" s="47"/>
      <c r="I5321" s="47"/>
      <c r="J5321" s="49">
        <v>42.0</v>
      </c>
    </row>
    <row r="5322" ht="15.75" hidden="1" customHeight="1">
      <c r="A5322" s="47"/>
      <c r="B5322" s="47"/>
      <c r="C5322" s="47"/>
      <c r="D5322" s="47"/>
      <c r="E5322" s="47"/>
      <c r="F5322" s="47"/>
      <c r="G5322" s="47"/>
      <c r="H5322" s="47"/>
      <c r="I5322" s="47"/>
      <c r="J5322" s="49">
        <v>42.0</v>
      </c>
    </row>
    <row r="5323" ht="15.75" hidden="1" customHeight="1">
      <c r="A5323" s="47"/>
      <c r="B5323" s="47"/>
      <c r="C5323" s="47"/>
      <c r="D5323" s="47"/>
      <c r="E5323" s="47"/>
      <c r="F5323" s="47"/>
      <c r="G5323" s="47"/>
      <c r="H5323" s="47"/>
      <c r="I5323" s="47"/>
      <c r="J5323" s="49">
        <v>42.0</v>
      </c>
    </row>
    <row r="5324" ht="15.75" hidden="1" customHeight="1">
      <c r="A5324" s="47"/>
      <c r="B5324" s="47"/>
      <c r="C5324" s="47"/>
      <c r="D5324" s="47"/>
      <c r="E5324" s="47"/>
      <c r="F5324" s="47"/>
      <c r="G5324" s="47"/>
      <c r="H5324" s="47"/>
      <c r="I5324" s="47"/>
      <c r="J5324" s="49">
        <v>42.0</v>
      </c>
    </row>
    <row r="5325" ht="15.75" hidden="1" customHeight="1">
      <c r="A5325" s="47"/>
      <c r="B5325" s="47"/>
      <c r="C5325" s="47"/>
      <c r="D5325" s="47"/>
      <c r="E5325" s="47"/>
      <c r="F5325" s="47"/>
      <c r="G5325" s="47"/>
      <c r="H5325" s="47"/>
      <c r="I5325" s="47"/>
      <c r="J5325" s="49">
        <v>42.0</v>
      </c>
    </row>
    <row r="5326" ht="15.75" hidden="1" customHeight="1">
      <c r="A5326" s="47"/>
      <c r="B5326" s="47"/>
      <c r="C5326" s="47"/>
      <c r="D5326" s="47"/>
      <c r="E5326" s="47"/>
      <c r="F5326" s="47"/>
      <c r="G5326" s="47"/>
      <c r="H5326" s="47"/>
      <c r="I5326" s="47"/>
      <c r="J5326" s="49">
        <v>42.0</v>
      </c>
    </row>
    <row r="5327" ht="15.75" hidden="1" customHeight="1">
      <c r="A5327" s="47"/>
      <c r="B5327" s="47"/>
      <c r="C5327" s="47"/>
      <c r="D5327" s="47"/>
      <c r="E5327" s="47"/>
      <c r="F5327" s="47"/>
      <c r="G5327" s="47"/>
      <c r="H5327" s="47"/>
      <c r="I5327" s="47"/>
      <c r="J5327" s="49">
        <v>42.0</v>
      </c>
    </row>
    <row r="5328" ht="15.75" hidden="1" customHeight="1">
      <c r="A5328" s="47"/>
      <c r="B5328" s="47"/>
      <c r="C5328" s="47"/>
      <c r="D5328" s="47"/>
      <c r="E5328" s="47"/>
      <c r="F5328" s="47"/>
      <c r="G5328" s="47"/>
      <c r="H5328" s="47"/>
      <c r="I5328" s="47"/>
      <c r="J5328" s="49">
        <v>42.0</v>
      </c>
    </row>
    <row r="5329" ht="15.75" hidden="1" customHeight="1">
      <c r="A5329" s="47"/>
      <c r="B5329" s="47"/>
      <c r="C5329" s="47"/>
      <c r="D5329" s="47"/>
      <c r="E5329" s="47"/>
      <c r="F5329" s="47"/>
      <c r="G5329" s="47"/>
      <c r="H5329" s="47"/>
      <c r="I5329" s="47"/>
      <c r="J5329" s="49">
        <v>42.0</v>
      </c>
    </row>
    <row r="5330" ht="15.75" hidden="1" customHeight="1">
      <c r="A5330" s="47"/>
      <c r="B5330" s="47"/>
      <c r="C5330" s="47"/>
      <c r="D5330" s="47"/>
      <c r="E5330" s="47"/>
      <c r="F5330" s="47"/>
      <c r="G5330" s="47"/>
      <c r="H5330" s="47"/>
      <c r="I5330" s="47"/>
      <c r="J5330" s="49">
        <v>42.0</v>
      </c>
    </row>
    <row r="5331" ht="15.75" hidden="1" customHeight="1">
      <c r="A5331" s="47"/>
      <c r="B5331" s="47"/>
      <c r="C5331" s="47"/>
      <c r="D5331" s="47"/>
      <c r="E5331" s="47"/>
      <c r="F5331" s="47"/>
      <c r="G5331" s="47"/>
      <c r="H5331" s="47"/>
      <c r="I5331" s="47"/>
      <c r="J5331" s="49">
        <v>42.0</v>
      </c>
    </row>
    <row r="5332" ht="15.75" hidden="1" customHeight="1">
      <c r="A5332" s="47"/>
      <c r="B5332" s="47"/>
      <c r="C5332" s="47"/>
      <c r="D5332" s="47"/>
      <c r="E5332" s="47"/>
      <c r="F5332" s="47"/>
      <c r="G5332" s="47"/>
      <c r="H5332" s="47"/>
      <c r="I5332" s="47"/>
      <c r="J5332" s="49">
        <v>42.0</v>
      </c>
    </row>
    <row r="5333" ht="15.75" hidden="1" customHeight="1">
      <c r="A5333" s="47"/>
      <c r="B5333" s="47"/>
      <c r="C5333" s="47"/>
      <c r="D5333" s="47"/>
      <c r="E5333" s="47"/>
      <c r="F5333" s="47"/>
      <c r="G5333" s="47"/>
      <c r="H5333" s="47"/>
      <c r="I5333" s="47"/>
      <c r="J5333" s="49">
        <v>42.0</v>
      </c>
    </row>
    <row r="5334" ht="15.75" hidden="1" customHeight="1">
      <c r="A5334" s="47"/>
      <c r="B5334" s="47"/>
      <c r="C5334" s="47"/>
      <c r="D5334" s="47"/>
      <c r="E5334" s="47"/>
      <c r="F5334" s="47"/>
      <c r="G5334" s="47"/>
      <c r="H5334" s="47"/>
      <c r="I5334" s="47"/>
      <c r="J5334" s="49">
        <v>42.0</v>
      </c>
    </row>
    <row r="5335" ht="15.75" hidden="1" customHeight="1">
      <c r="A5335" s="47"/>
      <c r="B5335" s="47"/>
      <c r="C5335" s="47"/>
      <c r="D5335" s="47"/>
      <c r="E5335" s="47"/>
      <c r="F5335" s="47"/>
      <c r="G5335" s="47"/>
      <c r="H5335" s="47"/>
      <c r="I5335" s="47"/>
      <c r="J5335" s="49">
        <v>42.0</v>
      </c>
    </row>
    <row r="5336" ht="15.75" hidden="1" customHeight="1">
      <c r="A5336" s="47"/>
      <c r="B5336" s="47"/>
      <c r="C5336" s="47"/>
      <c r="D5336" s="47"/>
      <c r="E5336" s="47"/>
      <c r="F5336" s="47"/>
      <c r="G5336" s="47"/>
      <c r="H5336" s="47"/>
      <c r="I5336" s="47"/>
      <c r="J5336" s="49">
        <v>42.0</v>
      </c>
    </row>
    <row r="5337" ht="15.75" hidden="1" customHeight="1">
      <c r="A5337" s="47"/>
      <c r="B5337" s="47"/>
      <c r="C5337" s="47"/>
      <c r="D5337" s="47"/>
      <c r="E5337" s="47"/>
      <c r="F5337" s="47"/>
      <c r="G5337" s="47"/>
      <c r="H5337" s="47"/>
      <c r="I5337" s="47"/>
      <c r="J5337" s="49">
        <v>42.0</v>
      </c>
    </row>
    <row r="5338" ht="15.75" hidden="1" customHeight="1">
      <c r="A5338" s="47"/>
      <c r="B5338" s="47"/>
      <c r="C5338" s="47"/>
      <c r="D5338" s="47"/>
      <c r="E5338" s="47"/>
      <c r="F5338" s="47"/>
      <c r="G5338" s="47"/>
      <c r="H5338" s="47"/>
      <c r="I5338" s="47"/>
      <c r="J5338" s="49">
        <v>42.0</v>
      </c>
    </row>
    <row r="5339" ht="15.75" hidden="1" customHeight="1">
      <c r="A5339" s="47"/>
      <c r="B5339" s="47"/>
      <c r="C5339" s="47"/>
      <c r="D5339" s="47"/>
      <c r="E5339" s="47"/>
      <c r="F5339" s="47"/>
      <c r="G5339" s="47"/>
      <c r="H5339" s="47"/>
      <c r="I5339" s="47"/>
      <c r="J5339" s="49">
        <v>42.0</v>
      </c>
    </row>
    <row r="5340" ht="15.75" hidden="1" customHeight="1">
      <c r="A5340" s="47"/>
      <c r="B5340" s="47"/>
      <c r="C5340" s="47"/>
      <c r="D5340" s="47"/>
      <c r="E5340" s="47"/>
      <c r="F5340" s="47"/>
      <c r="G5340" s="47"/>
      <c r="H5340" s="47"/>
      <c r="I5340" s="47"/>
      <c r="J5340" s="49">
        <v>42.0</v>
      </c>
    </row>
    <row r="5341" ht="15.75" hidden="1" customHeight="1">
      <c r="A5341" s="47"/>
      <c r="B5341" s="47"/>
      <c r="C5341" s="47"/>
      <c r="D5341" s="47"/>
      <c r="E5341" s="47"/>
      <c r="F5341" s="47"/>
      <c r="G5341" s="47"/>
      <c r="H5341" s="47"/>
      <c r="I5341" s="47"/>
      <c r="J5341" s="49">
        <v>42.0</v>
      </c>
    </row>
    <row r="5342" ht="15.75" hidden="1" customHeight="1">
      <c r="A5342" s="47"/>
      <c r="B5342" s="47"/>
      <c r="C5342" s="47"/>
      <c r="D5342" s="47"/>
      <c r="E5342" s="47"/>
      <c r="F5342" s="47"/>
      <c r="G5342" s="47"/>
      <c r="H5342" s="47"/>
      <c r="I5342" s="47"/>
      <c r="J5342" s="49">
        <v>42.0</v>
      </c>
    </row>
    <row r="5343" ht="15.75" hidden="1" customHeight="1">
      <c r="A5343" s="47"/>
      <c r="B5343" s="47"/>
      <c r="C5343" s="47"/>
      <c r="D5343" s="47"/>
      <c r="E5343" s="47"/>
      <c r="F5343" s="47"/>
      <c r="G5343" s="47"/>
      <c r="H5343" s="47"/>
      <c r="I5343" s="47"/>
      <c r="J5343" s="49">
        <v>42.0</v>
      </c>
    </row>
    <row r="5344" ht="15.75" hidden="1" customHeight="1">
      <c r="A5344" s="47"/>
      <c r="B5344" s="47"/>
      <c r="C5344" s="47"/>
      <c r="D5344" s="47"/>
      <c r="E5344" s="47"/>
      <c r="F5344" s="47"/>
      <c r="G5344" s="47"/>
      <c r="H5344" s="47"/>
      <c r="I5344" s="47"/>
      <c r="J5344" s="49">
        <v>42.0</v>
      </c>
    </row>
    <row r="5345" ht="15.75" hidden="1" customHeight="1">
      <c r="A5345" s="47"/>
      <c r="B5345" s="47"/>
      <c r="C5345" s="47"/>
      <c r="D5345" s="47"/>
      <c r="E5345" s="47"/>
      <c r="F5345" s="47"/>
      <c r="G5345" s="47"/>
      <c r="H5345" s="47"/>
      <c r="I5345" s="47"/>
      <c r="J5345" s="49">
        <v>42.0</v>
      </c>
    </row>
    <row r="5346" ht="15.75" hidden="1" customHeight="1">
      <c r="A5346" s="47"/>
      <c r="B5346" s="47"/>
      <c r="C5346" s="47"/>
      <c r="D5346" s="47"/>
      <c r="E5346" s="47"/>
      <c r="F5346" s="47"/>
      <c r="G5346" s="47"/>
      <c r="H5346" s="47"/>
      <c r="I5346" s="47"/>
      <c r="J5346" s="49">
        <v>42.0</v>
      </c>
    </row>
    <row r="5347" ht="15.75" hidden="1" customHeight="1">
      <c r="A5347" s="47"/>
      <c r="B5347" s="47"/>
      <c r="C5347" s="47"/>
      <c r="D5347" s="47"/>
      <c r="E5347" s="47"/>
      <c r="F5347" s="47"/>
      <c r="G5347" s="47"/>
      <c r="H5347" s="47"/>
      <c r="I5347" s="47"/>
      <c r="J5347" s="49">
        <v>42.0</v>
      </c>
    </row>
    <row r="5348" ht="15.75" hidden="1" customHeight="1">
      <c r="A5348" s="47"/>
      <c r="B5348" s="47"/>
      <c r="C5348" s="47"/>
      <c r="D5348" s="47"/>
      <c r="E5348" s="47"/>
      <c r="F5348" s="47"/>
      <c r="G5348" s="47"/>
      <c r="H5348" s="47"/>
      <c r="I5348" s="47"/>
      <c r="J5348" s="49">
        <v>42.0</v>
      </c>
    </row>
    <row r="5349" ht="15.75" hidden="1" customHeight="1">
      <c r="A5349" s="47"/>
      <c r="B5349" s="47"/>
      <c r="C5349" s="47"/>
      <c r="D5349" s="47"/>
      <c r="E5349" s="47"/>
      <c r="F5349" s="47"/>
      <c r="G5349" s="47"/>
      <c r="H5349" s="47"/>
      <c r="I5349" s="47"/>
      <c r="J5349" s="49">
        <v>42.0</v>
      </c>
    </row>
    <row r="5350" ht="15.75" hidden="1" customHeight="1">
      <c r="A5350" s="47"/>
      <c r="B5350" s="47"/>
      <c r="C5350" s="47"/>
      <c r="D5350" s="47"/>
      <c r="E5350" s="47"/>
      <c r="F5350" s="47"/>
      <c r="G5350" s="47"/>
      <c r="H5350" s="47"/>
      <c r="I5350" s="47"/>
      <c r="J5350" s="49">
        <v>42.0</v>
      </c>
    </row>
    <row r="5351" ht="15.75" hidden="1" customHeight="1">
      <c r="A5351" s="47"/>
      <c r="B5351" s="47"/>
      <c r="C5351" s="47"/>
      <c r="D5351" s="47"/>
      <c r="E5351" s="47"/>
      <c r="F5351" s="47"/>
      <c r="G5351" s="47"/>
      <c r="H5351" s="47"/>
      <c r="I5351" s="47"/>
      <c r="J5351" s="49">
        <v>42.0</v>
      </c>
    </row>
    <row r="5352" ht="15.75" hidden="1" customHeight="1">
      <c r="A5352" s="47"/>
      <c r="B5352" s="47"/>
      <c r="C5352" s="47"/>
      <c r="D5352" s="47"/>
      <c r="E5352" s="47"/>
      <c r="F5352" s="47"/>
      <c r="G5352" s="47"/>
      <c r="H5352" s="47"/>
      <c r="I5352" s="47"/>
      <c r="J5352" s="49">
        <v>42.0</v>
      </c>
    </row>
    <row r="5353" ht="15.75" hidden="1" customHeight="1">
      <c r="A5353" s="47"/>
      <c r="B5353" s="47"/>
      <c r="C5353" s="47"/>
      <c r="D5353" s="47"/>
      <c r="E5353" s="47"/>
      <c r="F5353" s="47"/>
      <c r="G5353" s="47"/>
      <c r="H5353" s="47"/>
      <c r="I5353" s="47"/>
      <c r="J5353" s="49">
        <v>42.0</v>
      </c>
    </row>
    <row r="5354" ht="15.75" hidden="1" customHeight="1">
      <c r="A5354" s="47"/>
      <c r="B5354" s="47"/>
      <c r="C5354" s="47"/>
      <c r="D5354" s="47"/>
      <c r="E5354" s="47"/>
      <c r="F5354" s="47"/>
      <c r="G5354" s="47"/>
      <c r="H5354" s="47"/>
      <c r="I5354" s="47"/>
      <c r="J5354" s="49">
        <v>42.0</v>
      </c>
    </row>
    <row r="5355" ht="15.75" hidden="1" customHeight="1">
      <c r="A5355" s="47"/>
      <c r="B5355" s="47"/>
      <c r="C5355" s="47"/>
      <c r="D5355" s="47"/>
      <c r="E5355" s="47"/>
      <c r="F5355" s="47"/>
      <c r="G5355" s="47"/>
      <c r="H5355" s="47"/>
      <c r="I5355" s="47"/>
      <c r="J5355" s="49">
        <v>42.0</v>
      </c>
    </row>
    <row r="5356" ht="15.75" hidden="1" customHeight="1">
      <c r="A5356" s="47"/>
      <c r="B5356" s="47"/>
      <c r="C5356" s="47"/>
      <c r="D5356" s="47"/>
      <c r="E5356" s="47"/>
      <c r="F5356" s="47"/>
      <c r="G5356" s="47"/>
      <c r="H5356" s="47"/>
      <c r="I5356" s="47"/>
      <c r="J5356" s="49">
        <v>42.0</v>
      </c>
    </row>
    <row r="5357" ht="15.75" hidden="1" customHeight="1">
      <c r="A5357" s="47"/>
      <c r="B5357" s="47"/>
      <c r="C5357" s="47"/>
      <c r="D5357" s="47"/>
      <c r="E5357" s="47"/>
      <c r="F5357" s="47"/>
      <c r="G5357" s="47"/>
      <c r="H5357" s="47"/>
      <c r="I5357" s="47"/>
      <c r="J5357" s="49">
        <v>42.0</v>
      </c>
    </row>
    <row r="5358" ht="15.75" hidden="1" customHeight="1">
      <c r="A5358" s="47"/>
      <c r="B5358" s="47"/>
      <c r="C5358" s="47"/>
      <c r="D5358" s="47"/>
      <c r="E5358" s="47"/>
      <c r="F5358" s="47"/>
      <c r="G5358" s="47"/>
      <c r="H5358" s="47"/>
      <c r="I5358" s="47"/>
      <c r="J5358" s="49">
        <v>42.0</v>
      </c>
    </row>
    <row r="5359" ht="15.75" hidden="1" customHeight="1">
      <c r="A5359" s="47"/>
      <c r="B5359" s="47"/>
      <c r="C5359" s="47"/>
      <c r="D5359" s="47"/>
      <c r="E5359" s="47"/>
      <c r="F5359" s="47"/>
      <c r="G5359" s="47"/>
      <c r="H5359" s="47"/>
      <c r="I5359" s="47"/>
      <c r="J5359" s="49">
        <v>42.0</v>
      </c>
    </row>
    <row r="5360" ht="15.75" hidden="1" customHeight="1">
      <c r="A5360" s="47"/>
      <c r="B5360" s="47"/>
      <c r="C5360" s="47"/>
      <c r="D5360" s="47"/>
      <c r="E5360" s="47"/>
      <c r="F5360" s="47"/>
      <c r="G5360" s="47"/>
      <c r="H5360" s="47"/>
      <c r="I5360" s="47"/>
      <c r="J5360" s="49">
        <v>42.0</v>
      </c>
    </row>
    <row r="5361" ht="15.75" hidden="1" customHeight="1">
      <c r="A5361" s="47"/>
      <c r="B5361" s="47"/>
      <c r="C5361" s="47"/>
      <c r="D5361" s="47"/>
      <c r="E5361" s="47"/>
      <c r="F5361" s="47"/>
      <c r="G5361" s="47"/>
      <c r="H5361" s="47"/>
      <c r="I5361" s="47"/>
      <c r="J5361" s="49">
        <v>42.0</v>
      </c>
    </row>
    <row r="5362" ht="15.75" hidden="1" customHeight="1">
      <c r="A5362" s="47"/>
      <c r="B5362" s="47"/>
      <c r="C5362" s="47"/>
      <c r="D5362" s="47"/>
      <c r="E5362" s="47"/>
      <c r="F5362" s="47"/>
      <c r="G5362" s="47"/>
      <c r="H5362" s="47"/>
      <c r="I5362" s="47"/>
      <c r="J5362" s="49">
        <v>42.0</v>
      </c>
    </row>
    <row r="5363" ht="15.75" hidden="1" customHeight="1">
      <c r="A5363" s="47"/>
      <c r="B5363" s="47"/>
      <c r="C5363" s="47"/>
      <c r="D5363" s="47"/>
      <c r="E5363" s="47"/>
      <c r="F5363" s="47"/>
      <c r="G5363" s="47"/>
      <c r="H5363" s="47"/>
      <c r="I5363" s="47"/>
      <c r="J5363" s="49">
        <v>42.0</v>
      </c>
    </row>
    <row r="5364" ht="15.75" hidden="1" customHeight="1">
      <c r="A5364" s="47"/>
      <c r="B5364" s="47"/>
      <c r="C5364" s="47"/>
      <c r="D5364" s="47"/>
      <c r="E5364" s="47"/>
      <c r="F5364" s="47"/>
      <c r="G5364" s="47"/>
      <c r="H5364" s="47"/>
      <c r="I5364" s="47"/>
      <c r="J5364" s="49">
        <v>42.0</v>
      </c>
    </row>
    <row r="5365" ht="15.75" hidden="1" customHeight="1">
      <c r="A5365" s="47"/>
      <c r="B5365" s="47"/>
      <c r="C5365" s="47"/>
      <c r="D5365" s="47"/>
      <c r="E5365" s="47"/>
      <c r="F5365" s="47"/>
      <c r="G5365" s="47"/>
      <c r="H5365" s="47"/>
      <c r="I5365" s="47"/>
      <c r="J5365" s="49">
        <v>42.0</v>
      </c>
    </row>
    <row r="5366" ht="15.75" hidden="1" customHeight="1">
      <c r="A5366" s="47"/>
      <c r="B5366" s="47"/>
      <c r="C5366" s="47"/>
      <c r="D5366" s="47"/>
      <c r="E5366" s="47"/>
      <c r="F5366" s="47"/>
      <c r="G5366" s="47"/>
      <c r="H5366" s="47"/>
      <c r="I5366" s="47"/>
      <c r="J5366" s="49">
        <v>42.0</v>
      </c>
    </row>
    <row r="5367" ht="15.75" hidden="1" customHeight="1">
      <c r="A5367" s="47"/>
      <c r="B5367" s="47"/>
      <c r="C5367" s="47"/>
      <c r="D5367" s="47"/>
      <c r="E5367" s="47"/>
      <c r="F5367" s="47"/>
      <c r="G5367" s="47"/>
      <c r="H5367" s="47"/>
      <c r="I5367" s="47"/>
      <c r="J5367" s="49">
        <v>42.0</v>
      </c>
    </row>
    <row r="5368" ht="15.75" hidden="1" customHeight="1">
      <c r="A5368" s="47"/>
      <c r="B5368" s="47"/>
      <c r="C5368" s="47"/>
      <c r="D5368" s="47"/>
      <c r="E5368" s="47"/>
      <c r="F5368" s="47"/>
      <c r="G5368" s="47"/>
      <c r="H5368" s="47"/>
      <c r="I5368" s="47"/>
      <c r="J5368" s="49">
        <v>42.0</v>
      </c>
    </row>
    <row r="5369" ht="15.75" hidden="1" customHeight="1">
      <c r="A5369" s="47"/>
      <c r="B5369" s="47"/>
      <c r="C5369" s="47"/>
      <c r="D5369" s="47"/>
      <c r="E5369" s="47"/>
      <c r="F5369" s="47"/>
      <c r="G5369" s="47"/>
      <c r="H5369" s="47"/>
      <c r="I5369" s="47"/>
      <c r="J5369" s="49">
        <v>42.0</v>
      </c>
    </row>
    <row r="5370" ht="15.75" hidden="1" customHeight="1">
      <c r="A5370" s="47"/>
      <c r="B5370" s="47"/>
      <c r="C5370" s="47"/>
      <c r="D5370" s="47"/>
      <c r="E5370" s="47"/>
      <c r="F5370" s="47"/>
      <c r="G5370" s="47"/>
      <c r="H5370" s="47"/>
      <c r="I5370" s="47"/>
      <c r="J5370" s="49">
        <v>42.0</v>
      </c>
    </row>
    <row r="5371" ht="15.75" hidden="1" customHeight="1">
      <c r="A5371" s="47"/>
      <c r="B5371" s="47"/>
      <c r="C5371" s="47"/>
      <c r="D5371" s="47"/>
      <c r="E5371" s="47"/>
      <c r="F5371" s="47"/>
      <c r="G5371" s="47"/>
      <c r="H5371" s="47"/>
      <c r="I5371" s="47"/>
      <c r="J5371" s="49">
        <v>42.0</v>
      </c>
    </row>
    <row r="5372" ht="15.75" hidden="1" customHeight="1">
      <c r="A5372" s="47"/>
      <c r="B5372" s="47"/>
      <c r="C5372" s="47"/>
      <c r="D5372" s="47"/>
      <c r="E5372" s="47"/>
      <c r="F5372" s="47"/>
      <c r="G5372" s="47"/>
      <c r="H5372" s="47"/>
      <c r="I5372" s="47"/>
      <c r="J5372" s="49">
        <v>42.0</v>
      </c>
    </row>
    <row r="5373" ht="15.75" hidden="1" customHeight="1">
      <c r="A5373" s="47"/>
      <c r="B5373" s="47"/>
      <c r="C5373" s="47"/>
      <c r="D5373" s="47"/>
      <c r="E5373" s="47"/>
      <c r="F5373" s="47"/>
      <c r="G5373" s="47"/>
      <c r="H5373" s="47"/>
      <c r="I5373" s="47"/>
      <c r="J5373" s="49">
        <v>42.0</v>
      </c>
    </row>
    <row r="5374" ht="15.75" hidden="1" customHeight="1">
      <c r="A5374" s="47"/>
      <c r="B5374" s="47"/>
      <c r="C5374" s="47"/>
      <c r="D5374" s="47"/>
      <c r="E5374" s="47"/>
      <c r="F5374" s="47"/>
      <c r="G5374" s="47"/>
      <c r="H5374" s="47"/>
      <c r="I5374" s="47"/>
      <c r="J5374" s="49">
        <v>42.0</v>
      </c>
    </row>
  </sheetData>
  <autoFilter ref="$A$1:$J$5374">
    <filterColumn colId="1">
      <filters>
        <filter val="US Spa Earner Acc/Pay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" t="s">
        <v>213</v>
      </c>
      <c r="B1" s="32" t="s">
        <v>17</v>
      </c>
      <c r="C1" s="32" t="s">
        <v>214</v>
      </c>
      <c r="D1" s="33" t="s">
        <v>215</v>
      </c>
      <c r="E1" s="34" t="s">
        <v>216</v>
      </c>
      <c r="F1" s="34" t="s">
        <v>217</v>
      </c>
      <c r="G1" s="34" t="s">
        <v>218</v>
      </c>
      <c r="H1" s="33" t="s">
        <v>219</v>
      </c>
    </row>
    <row r="2">
      <c r="A2" s="36">
        <v>2116682.0</v>
      </c>
      <c r="B2" s="37" t="s">
        <v>13</v>
      </c>
      <c r="C2" s="37" t="s">
        <v>28</v>
      </c>
      <c r="D2" s="37" t="s">
        <v>224</v>
      </c>
      <c r="E2" s="37" t="s">
        <v>340</v>
      </c>
      <c r="F2" s="37" t="s">
        <v>341</v>
      </c>
      <c r="G2" s="39" t="s">
        <v>3</v>
      </c>
      <c r="H2" s="37" t="s">
        <v>342</v>
      </c>
      <c r="J2" s="41">
        <f t="shared" ref="J2:J44" si="1">VLOOKUP(A2,$R$2:$S$45,2,0)</f>
        <v>94.445</v>
      </c>
      <c r="K2" s="3" t="s">
        <v>5644</v>
      </c>
      <c r="L2" s="41">
        <f t="shared" ref="L2:L44" si="2">VLOOKUP(A2,$U$3:$V$45,2,)</f>
        <v>0</v>
      </c>
      <c r="R2" s="3">
        <v>3524085.0</v>
      </c>
      <c r="S2" s="3">
        <v>96.29666667</v>
      </c>
      <c r="U2" s="3" t="s">
        <v>5645</v>
      </c>
      <c r="V2" s="3" t="s">
        <v>5646</v>
      </c>
    </row>
    <row r="3">
      <c r="A3" s="38">
        <v>2816053.0</v>
      </c>
      <c r="B3" s="39" t="s">
        <v>13</v>
      </c>
      <c r="C3" s="39" t="s">
        <v>30</v>
      </c>
      <c r="D3" s="39" t="s">
        <v>224</v>
      </c>
      <c r="E3" s="39" t="s">
        <v>340</v>
      </c>
      <c r="F3" s="39" t="s">
        <v>341</v>
      </c>
      <c r="G3" s="39" t="s">
        <v>3</v>
      </c>
      <c r="H3" s="39" t="s">
        <v>519</v>
      </c>
      <c r="J3" s="41">
        <f t="shared" si="1"/>
        <v>92.59333333</v>
      </c>
      <c r="L3" s="41">
        <f t="shared" si="2"/>
        <v>14.1025641</v>
      </c>
      <c r="R3" s="3">
        <v>5439948.0</v>
      </c>
      <c r="S3" s="3">
        <v>93.82777778</v>
      </c>
      <c r="U3" s="3">
        <v>2116682.0</v>
      </c>
      <c r="V3" s="3">
        <v>0.0</v>
      </c>
    </row>
    <row r="4">
      <c r="A4" s="36">
        <v>3195695.0</v>
      </c>
      <c r="B4" s="37" t="s">
        <v>13</v>
      </c>
      <c r="C4" s="37" t="s">
        <v>31</v>
      </c>
      <c r="D4" s="37" t="s">
        <v>224</v>
      </c>
      <c r="E4" s="37" t="s">
        <v>357</v>
      </c>
      <c r="F4" s="37" t="s">
        <v>341</v>
      </c>
      <c r="G4" s="37" t="s">
        <v>3</v>
      </c>
      <c r="H4" s="37" t="s">
        <v>744</v>
      </c>
      <c r="J4" s="41">
        <f t="shared" si="1"/>
        <v>90.12444444</v>
      </c>
      <c r="L4" s="41">
        <f t="shared" si="2"/>
        <v>0</v>
      </c>
      <c r="R4" s="3">
        <v>5346664.0</v>
      </c>
      <c r="S4" s="3">
        <v>77.78</v>
      </c>
      <c r="U4" s="3">
        <v>2816053.0</v>
      </c>
      <c r="V4" s="3">
        <v>14.1025641</v>
      </c>
    </row>
    <row r="5">
      <c r="A5" s="38">
        <v>3460648.0</v>
      </c>
      <c r="B5" s="39" t="s">
        <v>13</v>
      </c>
      <c r="C5" s="39" t="s">
        <v>32</v>
      </c>
      <c r="D5" s="39" t="s">
        <v>269</v>
      </c>
      <c r="E5" s="39" t="s">
        <v>357</v>
      </c>
      <c r="F5" s="39" t="s">
        <v>341</v>
      </c>
      <c r="G5" s="39" t="s">
        <v>3</v>
      </c>
      <c r="H5" s="39" t="s">
        <v>879</v>
      </c>
      <c r="J5" s="41" t="str">
        <f t="shared" si="1"/>
        <v>#N/A</v>
      </c>
      <c r="L5" s="41">
        <f t="shared" si="2"/>
        <v>13.00309598</v>
      </c>
      <c r="R5" s="3">
        <v>5321003.0</v>
      </c>
      <c r="S5" s="3">
        <v>90.12333333</v>
      </c>
      <c r="U5" s="3">
        <v>3195695.0</v>
      </c>
      <c r="V5" s="3">
        <v>0.0</v>
      </c>
    </row>
    <row r="6">
      <c r="A6" s="38">
        <v>3524085.0</v>
      </c>
      <c r="B6" s="39" t="s">
        <v>13</v>
      </c>
      <c r="C6" s="39" t="s">
        <v>33</v>
      </c>
      <c r="D6" s="39" t="s">
        <v>224</v>
      </c>
      <c r="E6" s="39" t="s">
        <v>408</v>
      </c>
      <c r="F6" s="39" t="s">
        <v>341</v>
      </c>
      <c r="G6" s="39" t="s">
        <v>3</v>
      </c>
      <c r="H6" s="39" t="s">
        <v>920</v>
      </c>
      <c r="J6" s="41">
        <f t="shared" si="1"/>
        <v>96.29666667</v>
      </c>
      <c r="L6" s="41">
        <f t="shared" si="2"/>
        <v>9.825327511</v>
      </c>
      <c r="R6" s="3">
        <v>5437184.0</v>
      </c>
      <c r="S6" s="3">
        <v>91.6675</v>
      </c>
      <c r="U6" s="3">
        <v>3460648.0</v>
      </c>
      <c r="V6" s="3">
        <v>13.00309598</v>
      </c>
    </row>
    <row r="7">
      <c r="A7" s="36">
        <v>3570218.0</v>
      </c>
      <c r="B7" s="37" t="s">
        <v>13</v>
      </c>
      <c r="C7" s="37" t="s">
        <v>34</v>
      </c>
      <c r="D7" s="37" t="s">
        <v>224</v>
      </c>
      <c r="E7" s="37" t="s">
        <v>340</v>
      </c>
      <c r="F7" s="37" t="s">
        <v>341</v>
      </c>
      <c r="G7" s="37" t="s">
        <v>3</v>
      </c>
      <c r="H7" s="37" t="s">
        <v>961</v>
      </c>
      <c r="J7" s="41">
        <f t="shared" si="1"/>
        <v>90.27875</v>
      </c>
      <c r="L7" s="41">
        <f t="shared" si="2"/>
        <v>11</v>
      </c>
      <c r="R7" s="3">
        <v>5327778.0</v>
      </c>
      <c r="S7" s="3">
        <v>81.48111111</v>
      </c>
      <c r="U7" s="3">
        <v>3524085.0</v>
      </c>
      <c r="V7" s="3">
        <v>9.825327511</v>
      </c>
    </row>
    <row r="8">
      <c r="A8" s="36">
        <v>3924273.0</v>
      </c>
      <c r="B8" s="37" t="s">
        <v>13</v>
      </c>
      <c r="C8" s="37" t="s">
        <v>35</v>
      </c>
      <c r="D8" s="37" t="s">
        <v>224</v>
      </c>
      <c r="E8" s="37" t="s">
        <v>357</v>
      </c>
      <c r="F8" s="37" t="s">
        <v>341</v>
      </c>
      <c r="G8" s="37" t="s">
        <v>3</v>
      </c>
      <c r="H8" s="37" t="s">
        <v>1213</v>
      </c>
      <c r="J8" s="41">
        <f t="shared" si="1"/>
        <v>80.24888889</v>
      </c>
      <c r="L8" s="41">
        <f t="shared" si="2"/>
        <v>100</v>
      </c>
      <c r="R8" s="3">
        <v>5437211.0</v>
      </c>
      <c r="S8" s="3">
        <v>88.89</v>
      </c>
      <c r="U8" s="3">
        <v>3570218.0</v>
      </c>
      <c r="V8" s="3">
        <v>11.0</v>
      </c>
    </row>
    <row r="9">
      <c r="A9" s="38">
        <v>5346664.0</v>
      </c>
      <c r="B9" s="39" t="s">
        <v>13</v>
      </c>
      <c r="C9" s="39" t="s">
        <v>54</v>
      </c>
      <c r="D9" s="39" t="s">
        <v>224</v>
      </c>
      <c r="E9" s="39" t="s">
        <v>340</v>
      </c>
      <c r="F9" s="39" t="s">
        <v>341</v>
      </c>
      <c r="G9" s="39" t="s">
        <v>3</v>
      </c>
      <c r="H9" s="39" t="s">
        <v>1353</v>
      </c>
      <c r="J9" s="41">
        <f t="shared" si="1"/>
        <v>77.78</v>
      </c>
      <c r="L9" s="41">
        <f t="shared" si="2"/>
        <v>22</v>
      </c>
      <c r="R9" s="3">
        <v>4747160.0</v>
      </c>
      <c r="S9" s="3">
        <v>76.54333333</v>
      </c>
      <c r="U9" s="3">
        <v>3924273.0</v>
      </c>
      <c r="V9" s="3">
        <v>100.0</v>
      </c>
    </row>
    <row r="10">
      <c r="A10" s="36">
        <v>5349465.0</v>
      </c>
      <c r="B10" s="37" t="s">
        <v>13</v>
      </c>
      <c r="C10" s="37" t="s">
        <v>56</v>
      </c>
      <c r="D10" s="37" t="s">
        <v>331</v>
      </c>
      <c r="E10" s="37" t="s">
        <v>340</v>
      </c>
      <c r="F10" s="37" t="s">
        <v>341</v>
      </c>
      <c r="G10" s="37" t="s">
        <v>3</v>
      </c>
      <c r="H10" s="37" t="s">
        <v>1362</v>
      </c>
      <c r="J10" s="41" t="str">
        <f t="shared" si="1"/>
        <v>#N/A</v>
      </c>
      <c r="L10" s="41">
        <f t="shared" si="2"/>
        <v>0</v>
      </c>
      <c r="R10" s="3">
        <v>5021467.0</v>
      </c>
      <c r="S10" s="3">
        <v>100.0</v>
      </c>
      <c r="U10" s="3">
        <v>5346664.0</v>
      </c>
      <c r="V10" s="3">
        <v>22.0</v>
      </c>
    </row>
    <row r="11">
      <c r="A11" s="36">
        <v>5438244.0</v>
      </c>
      <c r="B11" s="37" t="s">
        <v>13</v>
      </c>
      <c r="C11" s="37" t="s">
        <v>63</v>
      </c>
      <c r="D11" s="37" t="s">
        <v>224</v>
      </c>
      <c r="E11" s="37" t="s">
        <v>340</v>
      </c>
      <c r="F11" s="37" t="s">
        <v>341</v>
      </c>
      <c r="G11" s="37" t="s">
        <v>3</v>
      </c>
      <c r="H11" s="37" t="s">
        <v>1366</v>
      </c>
      <c r="J11" s="41">
        <f t="shared" si="1"/>
        <v>92.59333333</v>
      </c>
      <c r="L11" s="41">
        <f t="shared" si="2"/>
        <v>5</v>
      </c>
      <c r="R11" s="3">
        <v>5333582.0</v>
      </c>
      <c r="S11" s="3">
        <v>90.27875</v>
      </c>
      <c r="U11" s="3">
        <v>5349465.0</v>
      </c>
      <c r="V11" s="3">
        <v>0.0</v>
      </c>
    </row>
    <row r="12">
      <c r="A12" s="36">
        <v>5528028.0</v>
      </c>
      <c r="B12" s="37" t="s">
        <v>13</v>
      </c>
      <c r="C12" s="37" t="s">
        <v>67</v>
      </c>
      <c r="D12" s="37" t="s">
        <v>224</v>
      </c>
      <c r="E12" s="37" t="s">
        <v>340</v>
      </c>
      <c r="F12" s="37" t="s">
        <v>341</v>
      </c>
      <c r="G12" s="37" t="s">
        <v>3</v>
      </c>
      <c r="H12" s="37" t="s">
        <v>1369</v>
      </c>
      <c r="J12" s="41">
        <f t="shared" si="1"/>
        <v>86.1125</v>
      </c>
      <c r="L12" s="41">
        <f t="shared" si="2"/>
        <v>33</v>
      </c>
      <c r="R12" s="3">
        <v>3195695.0</v>
      </c>
      <c r="S12" s="3">
        <v>90.12444444</v>
      </c>
      <c r="U12" s="3">
        <v>5438244.0</v>
      </c>
      <c r="V12" s="3">
        <v>5.0</v>
      </c>
    </row>
    <row r="13">
      <c r="A13" s="36">
        <v>5327778.0</v>
      </c>
      <c r="B13" s="37" t="s">
        <v>13</v>
      </c>
      <c r="C13" s="37" t="s">
        <v>49</v>
      </c>
      <c r="D13" s="37" t="s">
        <v>224</v>
      </c>
      <c r="E13" s="37" t="s">
        <v>340</v>
      </c>
      <c r="F13" s="37" t="s">
        <v>341</v>
      </c>
      <c r="G13" s="37" t="s">
        <v>3</v>
      </c>
      <c r="H13" s="37" t="s">
        <v>1372</v>
      </c>
      <c r="J13" s="41">
        <f t="shared" si="1"/>
        <v>81.48111111</v>
      </c>
      <c r="L13" s="41">
        <f t="shared" si="2"/>
        <v>0</v>
      </c>
      <c r="R13" s="3">
        <v>5426155.0</v>
      </c>
      <c r="S13" s="3">
        <v>93.05625</v>
      </c>
      <c r="U13" s="3">
        <v>5528028.0</v>
      </c>
      <c r="V13" s="3">
        <v>33.0</v>
      </c>
    </row>
    <row r="14">
      <c r="A14" s="36">
        <v>5437184.0</v>
      </c>
      <c r="B14" s="37" t="s">
        <v>13</v>
      </c>
      <c r="C14" s="37" t="s">
        <v>61</v>
      </c>
      <c r="D14" s="37" t="s">
        <v>224</v>
      </c>
      <c r="E14" s="37" t="s">
        <v>340</v>
      </c>
      <c r="F14" s="37" t="s">
        <v>341</v>
      </c>
      <c r="G14" s="37" t="s">
        <v>3</v>
      </c>
      <c r="H14" s="37" t="s">
        <v>1374</v>
      </c>
      <c r="J14" s="41">
        <f t="shared" si="1"/>
        <v>91.6675</v>
      </c>
      <c r="L14" s="41">
        <f t="shared" si="2"/>
        <v>13.33333333</v>
      </c>
      <c r="R14" s="3">
        <v>5327776.0</v>
      </c>
      <c r="S14" s="3">
        <v>94.445</v>
      </c>
      <c r="U14" s="3">
        <v>5327778.0</v>
      </c>
      <c r="V14" s="3">
        <v>0.0</v>
      </c>
    </row>
    <row r="15">
      <c r="A15" s="36">
        <v>5021481.0</v>
      </c>
      <c r="B15" s="37" t="s">
        <v>13</v>
      </c>
      <c r="C15" s="37" t="s">
        <v>39</v>
      </c>
      <c r="D15" s="37" t="s">
        <v>224</v>
      </c>
      <c r="E15" s="37" t="s">
        <v>340</v>
      </c>
      <c r="F15" s="37" t="s">
        <v>341</v>
      </c>
      <c r="G15" s="37" t="s">
        <v>3</v>
      </c>
      <c r="H15" s="37" t="s">
        <v>1377</v>
      </c>
      <c r="J15" s="41">
        <f t="shared" si="1"/>
        <v>88.89</v>
      </c>
      <c r="L15" s="41">
        <f t="shared" si="2"/>
        <v>11.89189189</v>
      </c>
      <c r="R15" s="3">
        <v>5021481.0</v>
      </c>
      <c r="S15" s="3">
        <v>88.89</v>
      </c>
      <c r="U15" s="3">
        <v>5437184.0</v>
      </c>
      <c r="V15" s="3">
        <v>13.33333333</v>
      </c>
    </row>
    <row r="16">
      <c r="A16" s="36">
        <v>5388863.0</v>
      </c>
      <c r="B16" s="37" t="s">
        <v>13</v>
      </c>
      <c r="C16" s="37" t="s">
        <v>59</v>
      </c>
      <c r="D16" s="37" t="s">
        <v>224</v>
      </c>
      <c r="E16" s="37" t="s">
        <v>340</v>
      </c>
      <c r="F16" s="37" t="s">
        <v>341</v>
      </c>
      <c r="G16" s="37" t="s">
        <v>3</v>
      </c>
      <c r="H16" s="37" t="s">
        <v>1380</v>
      </c>
      <c r="J16" s="41">
        <f t="shared" si="1"/>
        <v>96.29666667</v>
      </c>
      <c r="L16" s="41">
        <f t="shared" si="2"/>
        <v>33.33333333</v>
      </c>
      <c r="R16" s="3">
        <v>5176081.0</v>
      </c>
      <c r="S16" s="3">
        <v>98.14833333</v>
      </c>
      <c r="U16" s="3">
        <v>5021481.0</v>
      </c>
      <c r="V16" s="3">
        <v>11.89189189</v>
      </c>
    </row>
    <row r="17">
      <c r="A17" s="36">
        <v>5492754.0</v>
      </c>
      <c r="B17" s="37" t="s">
        <v>13</v>
      </c>
      <c r="C17" s="37" t="s">
        <v>66</v>
      </c>
      <c r="D17" s="37" t="s">
        <v>224</v>
      </c>
      <c r="E17" s="37" t="s">
        <v>340</v>
      </c>
      <c r="F17" s="37" t="s">
        <v>341</v>
      </c>
      <c r="G17" s="37" t="s">
        <v>3</v>
      </c>
      <c r="H17" s="37" t="s">
        <v>1383</v>
      </c>
      <c r="J17" s="41">
        <f t="shared" si="1"/>
        <v>96.29666667</v>
      </c>
      <c r="L17" s="41">
        <f t="shared" si="2"/>
        <v>15.97222222</v>
      </c>
      <c r="R17" s="3">
        <v>5050871.0</v>
      </c>
      <c r="S17" s="3">
        <v>83.335</v>
      </c>
      <c r="U17" s="3">
        <v>5388863.0</v>
      </c>
      <c r="V17" s="3">
        <v>33.33333333</v>
      </c>
    </row>
    <row r="18">
      <c r="A18" s="36">
        <v>5161496.0</v>
      </c>
      <c r="B18" s="37" t="s">
        <v>13</v>
      </c>
      <c r="C18" s="37" t="s">
        <v>44</v>
      </c>
      <c r="D18" s="37" t="s">
        <v>224</v>
      </c>
      <c r="E18" s="37" t="s">
        <v>340</v>
      </c>
      <c r="F18" s="37" t="s">
        <v>341</v>
      </c>
      <c r="G18" s="37" t="s">
        <v>3</v>
      </c>
      <c r="H18" s="37" t="s">
        <v>1386</v>
      </c>
      <c r="J18" s="41">
        <f t="shared" si="1"/>
        <v>97.53111111</v>
      </c>
      <c r="L18" s="41">
        <f t="shared" si="2"/>
        <v>9</v>
      </c>
      <c r="R18" s="3">
        <v>5388863.0</v>
      </c>
      <c r="S18" s="3">
        <v>96.29666667</v>
      </c>
      <c r="U18" s="3">
        <v>5492754.0</v>
      </c>
      <c r="V18" s="3">
        <v>15.97222222</v>
      </c>
    </row>
    <row r="19">
      <c r="A19" s="36">
        <v>5438085.0</v>
      </c>
      <c r="B19" s="37" t="s">
        <v>13</v>
      </c>
      <c r="C19" s="37" t="s">
        <v>62</v>
      </c>
      <c r="D19" s="37" t="s">
        <v>224</v>
      </c>
      <c r="E19" s="37" t="s">
        <v>340</v>
      </c>
      <c r="F19" s="37" t="s">
        <v>341</v>
      </c>
      <c r="G19" s="37" t="s">
        <v>3</v>
      </c>
      <c r="H19" s="37" t="s">
        <v>1389</v>
      </c>
      <c r="J19" s="41">
        <f t="shared" si="1"/>
        <v>90.12444444</v>
      </c>
      <c r="L19" s="41">
        <f t="shared" si="2"/>
        <v>8</v>
      </c>
      <c r="R19" s="3">
        <v>5438244.0</v>
      </c>
      <c r="S19" s="3">
        <v>92.59333333</v>
      </c>
      <c r="U19" s="3">
        <v>5161496.0</v>
      </c>
      <c r="V19" s="3">
        <v>9.0</v>
      </c>
    </row>
    <row r="20">
      <c r="A20" s="36">
        <v>5320998.0</v>
      </c>
      <c r="B20" s="37" t="s">
        <v>13</v>
      </c>
      <c r="C20" s="37" t="s">
        <v>45</v>
      </c>
      <c r="D20" s="37" t="s">
        <v>331</v>
      </c>
      <c r="E20" s="37" t="s">
        <v>340</v>
      </c>
      <c r="F20" s="37" t="s">
        <v>341</v>
      </c>
      <c r="G20" s="37" t="s">
        <v>3</v>
      </c>
      <c r="H20" s="37" t="s">
        <v>1393</v>
      </c>
      <c r="J20" s="41" t="str">
        <f t="shared" si="1"/>
        <v>#N/A</v>
      </c>
      <c r="L20" s="41">
        <f t="shared" si="2"/>
        <v>0</v>
      </c>
      <c r="R20" s="3">
        <v>5546274.0</v>
      </c>
      <c r="S20" s="3">
        <v>97.53111111</v>
      </c>
      <c r="U20" s="3">
        <v>5438085.0</v>
      </c>
      <c r="V20" s="3">
        <v>8.0</v>
      </c>
    </row>
    <row r="21">
      <c r="A21" s="36">
        <v>5651748.0</v>
      </c>
      <c r="B21" s="37" t="s">
        <v>13</v>
      </c>
      <c r="C21" s="37" t="s">
        <v>71</v>
      </c>
      <c r="D21" s="37" t="s">
        <v>224</v>
      </c>
      <c r="E21" s="37" t="s">
        <v>340</v>
      </c>
      <c r="F21" s="37" t="s">
        <v>341</v>
      </c>
      <c r="G21" s="37" t="s">
        <v>3</v>
      </c>
      <c r="H21" s="37" t="s">
        <v>1396</v>
      </c>
      <c r="J21" s="41">
        <f t="shared" si="1"/>
        <v>90.47714286</v>
      </c>
      <c r="L21" s="41">
        <f t="shared" si="2"/>
        <v>7</v>
      </c>
      <c r="R21" s="3">
        <v>5134626.0</v>
      </c>
      <c r="S21" s="3">
        <v>96.29666667</v>
      </c>
      <c r="U21" s="3">
        <v>5320998.0</v>
      </c>
      <c r="V21" s="3">
        <v>0.0</v>
      </c>
    </row>
    <row r="22">
      <c r="A22" s="36">
        <v>5333582.0</v>
      </c>
      <c r="B22" s="37" t="s">
        <v>13</v>
      </c>
      <c r="C22" s="37" t="s">
        <v>51</v>
      </c>
      <c r="D22" s="37" t="s">
        <v>224</v>
      </c>
      <c r="E22" s="37" t="s">
        <v>340</v>
      </c>
      <c r="F22" s="37" t="s">
        <v>341</v>
      </c>
      <c r="G22" s="37" t="s">
        <v>3</v>
      </c>
      <c r="H22" s="37" t="s">
        <v>1399</v>
      </c>
      <c r="J22" s="41">
        <f t="shared" si="1"/>
        <v>90.27875</v>
      </c>
      <c r="L22" s="41">
        <f t="shared" si="2"/>
        <v>4</v>
      </c>
      <c r="R22" s="3">
        <v>5528028.0</v>
      </c>
      <c r="S22" s="3">
        <v>86.1125</v>
      </c>
      <c r="U22" s="3">
        <v>5651748.0</v>
      </c>
      <c r="V22" s="3">
        <v>7.0</v>
      </c>
    </row>
    <row r="23">
      <c r="A23" s="38">
        <v>5333703.0</v>
      </c>
      <c r="B23" s="39" t="s">
        <v>13</v>
      </c>
      <c r="C23" s="39" t="s">
        <v>52</v>
      </c>
      <c r="D23" s="39" t="s">
        <v>224</v>
      </c>
      <c r="E23" s="39" t="s">
        <v>340</v>
      </c>
      <c r="F23" s="39" t="s">
        <v>341</v>
      </c>
      <c r="G23" s="39" t="s">
        <v>3</v>
      </c>
      <c r="H23" s="39" t="s">
        <v>1400</v>
      </c>
      <c r="J23" s="41">
        <f t="shared" si="1"/>
        <v>95.23857143</v>
      </c>
      <c r="L23" s="41">
        <f t="shared" si="2"/>
        <v>25</v>
      </c>
      <c r="R23" s="3">
        <v>4734515.0</v>
      </c>
      <c r="S23" s="3">
        <v>81.48333333</v>
      </c>
      <c r="U23" s="3">
        <v>5333582.0</v>
      </c>
      <c r="V23" s="3">
        <v>4.0</v>
      </c>
    </row>
    <row r="24">
      <c r="A24" s="36">
        <v>5533585.0</v>
      </c>
      <c r="B24" s="37" t="s">
        <v>13</v>
      </c>
      <c r="C24" s="37" t="s">
        <v>68</v>
      </c>
      <c r="D24" s="37" t="s">
        <v>224</v>
      </c>
      <c r="E24" s="37" t="s">
        <v>340</v>
      </c>
      <c r="F24" s="37" t="s">
        <v>341</v>
      </c>
      <c r="G24" s="37" t="s">
        <v>3</v>
      </c>
      <c r="H24" s="37" t="s">
        <v>1401</v>
      </c>
      <c r="J24" s="41">
        <f t="shared" si="1"/>
        <v>97.53111111</v>
      </c>
      <c r="L24" s="41">
        <f t="shared" si="2"/>
        <v>0</v>
      </c>
      <c r="R24" s="3">
        <v>5651748.0</v>
      </c>
      <c r="S24" s="3">
        <v>90.47714286</v>
      </c>
      <c r="U24" s="3">
        <v>5333703.0</v>
      </c>
      <c r="V24" s="3">
        <v>25.0</v>
      </c>
    </row>
    <row r="25">
      <c r="A25" s="36">
        <v>5546274.0</v>
      </c>
      <c r="B25" s="37" t="s">
        <v>13</v>
      </c>
      <c r="C25" s="37" t="s">
        <v>69</v>
      </c>
      <c r="D25" s="37" t="s">
        <v>224</v>
      </c>
      <c r="E25" s="37" t="s">
        <v>340</v>
      </c>
      <c r="F25" s="37" t="s">
        <v>341</v>
      </c>
      <c r="G25" s="37" t="s">
        <v>3</v>
      </c>
      <c r="H25" s="37" t="s">
        <v>1405</v>
      </c>
      <c r="J25" s="41">
        <f t="shared" si="1"/>
        <v>97.53111111</v>
      </c>
      <c r="L25" s="41">
        <f t="shared" si="2"/>
        <v>100</v>
      </c>
      <c r="R25" s="3">
        <v>5349458.0</v>
      </c>
      <c r="S25" s="3">
        <v>86.1125</v>
      </c>
      <c r="U25" s="3">
        <v>5533585.0</v>
      </c>
      <c r="V25" s="3">
        <v>0.0</v>
      </c>
    </row>
    <row r="26">
      <c r="A26" s="36">
        <v>5021467.0</v>
      </c>
      <c r="B26" s="37" t="s">
        <v>13</v>
      </c>
      <c r="C26" s="37" t="s">
        <v>38</v>
      </c>
      <c r="D26" s="37" t="s">
        <v>224</v>
      </c>
      <c r="E26" s="37" t="s">
        <v>340</v>
      </c>
      <c r="F26" s="37" t="s">
        <v>341</v>
      </c>
      <c r="G26" s="37" t="s">
        <v>3</v>
      </c>
      <c r="H26" s="37" t="s">
        <v>1409</v>
      </c>
      <c r="J26" s="41">
        <f t="shared" si="1"/>
        <v>100</v>
      </c>
      <c r="L26" s="41">
        <f t="shared" si="2"/>
        <v>0</v>
      </c>
      <c r="R26" s="3">
        <v>5331414.0</v>
      </c>
      <c r="S26" s="3">
        <v>95.06222222</v>
      </c>
      <c r="U26" s="3">
        <v>5546274.0</v>
      </c>
      <c r="V26" s="3">
        <v>100.0</v>
      </c>
    </row>
    <row r="27">
      <c r="A27" s="36">
        <v>5321003.0</v>
      </c>
      <c r="B27" s="37" t="s">
        <v>13</v>
      </c>
      <c r="C27" s="37" t="s">
        <v>46</v>
      </c>
      <c r="D27" s="37" t="s">
        <v>224</v>
      </c>
      <c r="E27" s="37" t="s">
        <v>340</v>
      </c>
      <c r="F27" s="37" t="s">
        <v>341</v>
      </c>
      <c r="G27" s="37" t="s">
        <v>3</v>
      </c>
      <c r="H27" s="37" t="s">
        <v>1413</v>
      </c>
      <c r="J27" s="41">
        <f t="shared" si="1"/>
        <v>90.12333333</v>
      </c>
      <c r="L27" s="41">
        <f t="shared" si="2"/>
        <v>4</v>
      </c>
      <c r="R27" s="3">
        <v>5333703.0</v>
      </c>
      <c r="S27" s="3">
        <v>95.23857143</v>
      </c>
      <c r="U27" s="3">
        <v>5021467.0</v>
      </c>
      <c r="V27" s="3">
        <v>0.0</v>
      </c>
    </row>
    <row r="28">
      <c r="A28" s="36">
        <v>5349458.0</v>
      </c>
      <c r="B28" s="37" t="s">
        <v>13</v>
      </c>
      <c r="C28" s="37" t="s">
        <v>55</v>
      </c>
      <c r="D28" s="37" t="s">
        <v>224</v>
      </c>
      <c r="E28" s="37" t="s">
        <v>340</v>
      </c>
      <c r="F28" s="37" t="s">
        <v>341</v>
      </c>
      <c r="G28" s="37" t="s">
        <v>3</v>
      </c>
      <c r="H28" s="37" t="s">
        <v>1416</v>
      </c>
      <c r="J28" s="41">
        <f t="shared" si="1"/>
        <v>86.1125</v>
      </c>
      <c r="L28" s="41">
        <f t="shared" si="2"/>
        <v>50</v>
      </c>
      <c r="R28" s="3">
        <v>2816053.0</v>
      </c>
      <c r="S28" s="3">
        <v>92.59333333</v>
      </c>
      <c r="U28" s="3">
        <v>5321003.0</v>
      </c>
      <c r="V28" s="3">
        <v>4.0</v>
      </c>
    </row>
    <row r="29">
      <c r="A29" s="36">
        <v>4734515.0</v>
      </c>
      <c r="B29" s="37" t="s">
        <v>13</v>
      </c>
      <c r="C29" s="37" t="s">
        <v>36</v>
      </c>
      <c r="D29" s="37" t="s">
        <v>224</v>
      </c>
      <c r="E29" s="37" t="s">
        <v>408</v>
      </c>
      <c r="F29" s="37" t="s">
        <v>341</v>
      </c>
      <c r="G29" s="37" t="s">
        <v>3</v>
      </c>
      <c r="H29" s="37" t="s">
        <v>1901</v>
      </c>
      <c r="J29" s="41">
        <f t="shared" si="1"/>
        <v>81.48333333</v>
      </c>
      <c r="L29" s="41">
        <f t="shared" si="2"/>
        <v>11.11111111</v>
      </c>
      <c r="R29" s="3">
        <v>2116682.0</v>
      </c>
      <c r="S29" s="3">
        <v>94.445</v>
      </c>
      <c r="U29" s="3">
        <v>5349458.0</v>
      </c>
      <c r="V29" s="3">
        <v>50.0</v>
      </c>
    </row>
    <row r="30">
      <c r="A30" s="36">
        <v>4747160.0</v>
      </c>
      <c r="B30" s="37" t="s">
        <v>13</v>
      </c>
      <c r="C30" s="37" t="s">
        <v>37</v>
      </c>
      <c r="D30" s="37" t="s">
        <v>224</v>
      </c>
      <c r="E30" s="37" t="s">
        <v>357</v>
      </c>
      <c r="F30" s="37" t="s">
        <v>341</v>
      </c>
      <c r="G30" s="37" t="s">
        <v>3</v>
      </c>
      <c r="H30" s="37" t="s">
        <v>1908</v>
      </c>
      <c r="J30" s="41">
        <f t="shared" si="1"/>
        <v>76.54333333</v>
      </c>
      <c r="L30" s="41">
        <f t="shared" si="2"/>
        <v>12</v>
      </c>
      <c r="R30" s="3">
        <v>5031967.0</v>
      </c>
      <c r="S30" s="3">
        <v>95.06222222</v>
      </c>
      <c r="U30" s="3">
        <v>4734515.0</v>
      </c>
      <c r="V30" s="3">
        <v>11.11111111</v>
      </c>
    </row>
    <row r="31">
      <c r="A31" s="38">
        <v>5321006.0</v>
      </c>
      <c r="B31" s="44" t="s">
        <v>13</v>
      </c>
      <c r="C31" s="39" t="s">
        <v>47</v>
      </c>
      <c r="D31" s="39" t="s">
        <v>224</v>
      </c>
      <c r="E31" s="39" t="s">
        <v>2023</v>
      </c>
      <c r="F31" s="42" t="s">
        <v>3</v>
      </c>
      <c r="G31" s="39" t="s">
        <v>3</v>
      </c>
      <c r="H31" s="39" t="s">
        <v>2340</v>
      </c>
      <c r="J31" s="41" t="str">
        <f t="shared" si="1"/>
        <v>#N/A</v>
      </c>
      <c r="L31" s="41">
        <f t="shared" si="2"/>
        <v>11</v>
      </c>
      <c r="R31" s="3">
        <v>2201415.0</v>
      </c>
      <c r="S31" s="3">
        <v>90.74166667</v>
      </c>
      <c r="U31" s="3">
        <v>4747160.0</v>
      </c>
      <c r="V31" s="3">
        <v>12.0</v>
      </c>
    </row>
    <row r="32">
      <c r="A32" s="38">
        <v>5331414.0</v>
      </c>
      <c r="B32" s="39" t="s">
        <v>13</v>
      </c>
      <c r="C32" s="39" t="s">
        <v>50</v>
      </c>
      <c r="D32" s="39" t="s">
        <v>224</v>
      </c>
      <c r="E32" s="39" t="s">
        <v>2023</v>
      </c>
      <c r="F32" s="39" t="s">
        <v>341</v>
      </c>
      <c r="G32" s="39" t="s">
        <v>3</v>
      </c>
      <c r="H32" s="39" t="s">
        <v>2343</v>
      </c>
      <c r="J32" s="41">
        <f t="shared" si="1"/>
        <v>95.06222222</v>
      </c>
      <c r="L32" s="41">
        <f t="shared" si="2"/>
        <v>10</v>
      </c>
      <c r="R32" s="3">
        <v>5438085.0</v>
      </c>
      <c r="S32" s="3">
        <v>90.12444444</v>
      </c>
      <c r="U32" s="3">
        <v>5321006.0</v>
      </c>
      <c r="V32" s="3">
        <v>11.0</v>
      </c>
    </row>
    <row r="33">
      <c r="A33" s="36">
        <v>5327776.0</v>
      </c>
      <c r="B33" s="37" t="s">
        <v>13</v>
      </c>
      <c r="C33" s="37" t="s">
        <v>48</v>
      </c>
      <c r="D33" s="37" t="s">
        <v>224</v>
      </c>
      <c r="E33" s="37" t="s">
        <v>2023</v>
      </c>
      <c r="F33" s="37" t="s">
        <v>341</v>
      </c>
      <c r="G33" s="37" t="s">
        <v>3</v>
      </c>
      <c r="H33" s="37" t="s">
        <v>2360</v>
      </c>
      <c r="J33" s="41">
        <f t="shared" si="1"/>
        <v>94.445</v>
      </c>
      <c r="L33" s="41">
        <f t="shared" si="2"/>
        <v>7.692307692</v>
      </c>
      <c r="R33" s="3">
        <v>5277774.0</v>
      </c>
      <c r="S33" s="3">
        <v>94.445</v>
      </c>
      <c r="U33" s="3">
        <v>5331414.0</v>
      </c>
      <c r="V33" s="3">
        <v>10.0</v>
      </c>
    </row>
    <row r="34">
      <c r="A34" s="36">
        <v>5334615.0</v>
      </c>
      <c r="B34" s="37" t="s">
        <v>13</v>
      </c>
      <c r="C34" s="37" t="s">
        <v>53</v>
      </c>
      <c r="D34" s="37" t="s">
        <v>224</v>
      </c>
      <c r="E34" s="37" t="s">
        <v>2023</v>
      </c>
      <c r="F34" s="37" t="s">
        <v>341</v>
      </c>
      <c r="G34" s="37" t="s">
        <v>3</v>
      </c>
      <c r="H34" s="37" t="s">
        <v>2367</v>
      </c>
      <c r="J34" s="41">
        <f t="shared" si="1"/>
        <v>91.35888889</v>
      </c>
      <c r="L34" s="41">
        <f t="shared" si="2"/>
        <v>0</v>
      </c>
      <c r="R34" s="3">
        <v>5492754.0</v>
      </c>
      <c r="S34" s="3">
        <v>96.29666667</v>
      </c>
      <c r="U34" s="3">
        <v>5327776.0</v>
      </c>
      <c r="V34" s="3">
        <v>7.692307692</v>
      </c>
    </row>
    <row r="35">
      <c r="A35" s="36">
        <v>5367498.0</v>
      </c>
      <c r="B35" s="37" t="s">
        <v>13</v>
      </c>
      <c r="C35" s="37" t="s">
        <v>57</v>
      </c>
      <c r="D35" s="37" t="s">
        <v>224</v>
      </c>
      <c r="E35" s="37" t="s">
        <v>2023</v>
      </c>
      <c r="F35" s="37" t="s">
        <v>341</v>
      </c>
      <c r="G35" s="37" t="s">
        <v>3</v>
      </c>
      <c r="H35" s="37" t="s">
        <v>2376</v>
      </c>
      <c r="J35" s="41">
        <f t="shared" si="1"/>
        <v>85.18666667</v>
      </c>
      <c r="L35" s="41">
        <f t="shared" si="2"/>
        <v>0</v>
      </c>
      <c r="R35" s="3">
        <v>5161496.0</v>
      </c>
      <c r="S35" s="3">
        <v>97.53111111</v>
      </c>
      <c r="U35" s="3">
        <v>5334615.0</v>
      </c>
      <c r="V35" s="3">
        <v>0.0</v>
      </c>
    </row>
    <row r="36">
      <c r="A36" s="36">
        <v>5369454.0</v>
      </c>
      <c r="B36" s="37" t="s">
        <v>13</v>
      </c>
      <c r="C36" s="37" t="s">
        <v>58</v>
      </c>
      <c r="D36" s="37" t="s">
        <v>224</v>
      </c>
      <c r="E36" s="37" t="s">
        <v>2023</v>
      </c>
      <c r="F36" s="37" t="s">
        <v>341</v>
      </c>
      <c r="G36" s="37" t="s">
        <v>3</v>
      </c>
      <c r="H36" s="37" t="s">
        <v>2379</v>
      </c>
      <c r="J36" s="41">
        <f t="shared" si="1"/>
        <v>86.42111111</v>
      </c>
      <c r="L36" s="41">
        <f t="shared" si="2"/>
        <v>14.54545455</v>
      </c>
      <c r="R36" s="3">
        <v>3924273.0</v>
      </c>
      <c r="S36" s="3">
        <v>80.24888889</v>
      </c>
      <c r="U36" s="3">
        <v>5367498.0</v>
      </c>
      <c r="V36" s="3">
        <v>0.0</v>
      </c>
    </row>
    <row r="37">
      <c r="A37" s="38">
        <v>5426155.0</v>
      </c>
      <c r="B37" s="39" t="s">
        <v>13</v>
      </c>
      <c r="C37" s="39" t="s">
        <v>60</v>
      </c>
      <c r="D37" s="39" t="s">
        <v>224</v>
      </c>
      <c r="E37" s="39" t="s">
        <v>2023</v>
      </c>
      <c r="F37" s="39" t="s">
        <v>341</v>
      </c>
      <c r="G37" s="39" t="s">
        <v>3</v>
      </c>
      <c r="H37" s="39" t="s">
        <v>2384</v>
      </c>
      <c r="J37" s="41">
        <f t="shared" si="1"/>
        <v>93.05625</v>
      </c>
      <c r="L37" s="41">
        <f t="shared" si="2"/>
        <v>10.23622047</v>
      </c>
      <c r="R37" s="3">
        <v>5369454.0</v>
      </c>
      <c r="S37" s="3">
        <v>86.42111111</v>
      </c>
      <c r="U37" s="3">
        <v>5369454.0</v>
      </c>
      <c r="V37" s="3">
        <v>14.54545455</v>
      </c>
    </row>
    <row r="38">
      <c r="A38" s="36">
        <v>5651744.0</v>
      </c>
      <c r="B38" s="44" t="s">
        <v>13</v>
      </c>
      <c r="C38" s="37" t="s">
        <v>70</v>
      </c>
      <c r="D38" s="37" t="s">
        <v>224</v>
      </c>
      <c r="E38" s="37" t="s">
        <v>2023</v>
      </c>
      <c r="F38" s="42" t="s">
        <v>3</v>
      </c>
      <c r="G38" s="37" t="s">
        <v>3</v>
      </c>
      <c r="H38" s="37" t="s">
        <v>2392</v>
      </c>
      <c r="J38" s="41" t="str">
        <f t="shared" si="1"/>
        <v>#N/A</v>
      </c>
      <c r="L38" s="41">
        <f t="shared" si="2"/>
        <v>14.46945338</v>
      </c>
      <c r="R38" s="3">
        <v>5439879.0</v>
      </c>
      <c r="S38" s="3">
        <v>90.27875</v>
      </c>
      <c r="U38" s="3">
        <v>5426155.0</v>
      </c>
      <c r="V38" s="3">
        <v>10.23622047</v>
      </c>
    </row>
    <row r="39">
      <c r="A39" s="38">
        <v>5031967.0</v>
      </c>
      <c r="B39" s="39" t="s">
        <v>13</v>
      </c>
      <c r="C39" s="39" t="s">
        <v>40</v>
      </c>
      <c r="D39" s="39" t="s">
        <v>224</v>
      </c>
      <c r="E39" s="39" t="s">
        <v>408</v>
      </c>
      <c r="F39" s="39" t="s">
        <v>341</v>
      </c>
      <c r="G39" s="39" t="s">
        <v>3</v>
      </c>
      <c r="H39" s="39" t="s">
        <v>2491</v>
      </c>
      <c r="J39" s="41">
        <f t="shared" si="1"/>
        <v>95.06222222</v>
      </c>
      <c r="L39" s="41">
        <f t="shared" si="2"/>
        <v>0</v>
      </c>
      <c r="R39" s="3">
        <v>5872084.0</v>
      </c>
      <c r="S39" s="3">
        <v>85.71571429</v>
      </c>
      <c r="U39" s="3">
        <v>5651744.0</v>
      </c>
      <c r="V39" s="3">
        <v>14.46945338</v>
      </c>
    </row>
    <row r="40">
      <c r="A40" s="38">
        <v>5439948.0</v>
      </c>
      <c r="B40" s="39" t="s">
        <v>13</v>
      </c>
      <c r="C40" s="39" t="s">
        <v>65</v>
      </c>
      <c r="D40" s="39" t="s">
        <v>224</v>
      </c>
      <c r="E40" s="39" t="s">
        <v>357</v>
      </c>
      <c r="F40" s="39" t="s">
        <v>341</v>
      </c>
      <c r="G40" s="39" t="s">
        <v>3</v>
      </c>
      <c r="H40" s="39" t="s">
        <v>2505</v>
      </c>
      <c r="J40" s="41">
        <f t="shared" si="1"/>
        <v>93.82777778</v>
      </c>
      <c r="L40" s="41">
        <f t="shared" si="2"/>
        <v>11.20689655</v>
      </c>
      <c r="R40" s="3">
        <v>5533585.0</v>
      </c>
      <c r="S40" s="3">
        <v>97.53111111</v>
      </c>
      <c r="U40" s="3">
        <v>5031967.0</v>
      </c>
      <c r="V40" s="3">
        <v>0.0</v>
      </c>
    </row>
    <row r="41">
      <c r="A41" s="36">
        <v>5439879.0</v>
      </c>
      <c r="B41" s="37" t="s">
        <v>13</v>
      </c>
      <c r="C41" s="37" t="s">
        <v>64</v>
      </c>
      <c r="D41" s="37" t="s">
        <v>224</v>
      </c>
      <c r="E41" s="37" t="s">
        <v>357</v>
      </c>
      <c r="F41" s="37" t="s">
        <v>341</v>
      </c>
      <c r="G41" s="37" t="s">
        <v>3</v>
      </c>
      <c r="H41" s="37" t="s">
        <v>2528</v>
      </c>
      <c r="J41" s="41">
        <f t="shared" si="1"/>
        <v>90.27875</v>
      </c>
      <c r="L41" s="41">
        <f t="shared" si="2"/>
        <v>10</v>
      </c>
      <c r="R41" s="3">
        <v>5495278.0</v>
      </c>
      <c r="S41" s="3">
        <v>100.0</v>
      </c>
      <c r="U41" s="3">
        <v>5439948.0</v>
      </c>
      <c r="V41" s="3">
        <v>11.20689655</v>
      </c>
    </row>
    <row r="42">
      <c r="A42" s="38">
        <v>5051677.0</v>
      </c>
      <c r="B42" s="39" t="s">
        <v>13</v>
      </c>
      <c r="C42" s="39" t="s">
        <v>41</v>
      </c>
      <c r="D42" s="39" t="s">
        <v>269</v>
      </c>
      <c r="E42" s="39" t="s">
        <v>357</v>
      </c>
      <c r="F42" s="39" t="s">
        <v>341</v>
      </c>
      <c r="G42" s="39" t="s">
        <v>3</v>
      </c>
      <c r="H42" s="39" t="s">
        <v>2549</v>
      </c>
      <c r="J42" s="41" t="str">
        <f t="shared" si="1"/>
        <v>#N/A</v>
      </c>
      <c r="L42" s="41">
        <f t="shared" si="2"/>
        <v>14.01869159</v>
      </c>
      <c r="R42" s="3">
        <v>5367498.0</v>
      </c>
      <c r="S42" s="3">
        <v>85.18666667</v>
      </c>
      <c r="U42" s="3">
        <v>5439879.0</v>
      </c>
      <c r="V42" s="3">
        <v>10.0</v>
      </c>
    </row>
    <row r="43">
      <c r="A43" s="38">
        <v>5072596.0</v>
      </c>
      <c r="B43" s="39" t="s">
        <v>13</v>
      </c>
      <c r="C43" s="39" t="s">
        <v>42</v>
      </c>
      <c r="D43" s="39" t="s">
        <v>331</v>
      </c>
      <c r="E43" s="39" t="s">
        <v>408</v>
      </c>
      <c r="F43" s="39" t="s">
        <v>341</v>
      </c>
      <c r="G43" s="39" t="s">
        <v>3</v>
      </c>
      <c r="H43" s="39" t="s">
        <v>2709</v>
      </c>
      <c r="J43" s="41" t="str">
        <f t="shared" si="1"/>
        <v>#N/A</v>
      </c>
      <c r="L43" s="41">
        <f t="shared" si="2"/>
        <v>0</v>
      </c>
      <c r="R43" s="3">
        <v>5334615.0</v>
      </c>
      <c r="S43" s="3">
        <v>91.35888889</v>
      </c>
      <c r="U43" s="3">
        <v>5051677.0</v>
      </c>
      <c r="V43" s="3">
        <v>14.01869159</v>
      </c>
    </row>
    <row r="44">
      <c r="A44" s="36">
        <v>5134626.0</v>
      </c>
      <c r="B44" s="37" t="s">
        <v>13</v>
      </c>
      <c r="C44" s="37" t="s">
        <v>43</v>
      </c>
      <c r="D44" s="37" t="s">
        <v>224</v>
      </c>
      <c r="E44" s="37" t="s">
        <v>408</v>
      </c>
      <c r="F44" s="37" t="s">
        <v>341</v>
      </c>
      <c r="G44" s="37" t="s">
        <v>3</v>
      </c>
      <c r="H44" s="37" t="s">
        <v>3016</v>
      </c>
      <c r="J44" s="41">
        <f t="shared" si="1"/>
        <v>96.29666667</v>
      </c>
      <c r="L44" s="41">
        <f t="shared" si="2"/>
        <v>0</v>
      </c>
      <c r="R44" s="3">
        <v>3570218.0</v>
      </c>
      <c r="S44" s="3">
        <v>90.27875</v>
      </c>
      <c r="U44" s="3">
        <v>5072596.0</v>
      </c>
      <c r="V44" s="3">
        <v>0.0</v>
      </c>
    </row>
    <row r="45">
      <c r="R45" s="3">
        <v>5439875.0</v>
      </c>
      <c r="S45" s="3">
        <v>93.334</v>
      </c>
      <c r="U45" s="3">
        <v>5134626.0</v>
      </c>
      <c r="V45" s="3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34.14"/>
    <col customWidth="1" min="3" max="6" width="14.43"/>
    <col customWidth="1" min="82" max="82" width="15.57"/>
  </cols>
  <sheetData>
    <row r="1" ht="15.75" customHeight="1">
      <c r="A1" s="50" t="s">
        <v>18</v>
      </c>
      <c r="B1" s="42" t="s">
        <v>17</v>
      </c>
      <c r="C1" s="42" t="s">
        <v>5</v>
      </c>
      <c r="D1" s="51" t="s">
        <v>5647</v>
      </c>
      <c r="E1" s="42" t="s">
        <v>5648</v>
      </c>
      <c r="F1" s="52" t="s">
        <v>5649</v>
      </c>
      <c r="G1" s="42" t="s">
        <v>5650</v>
      </c>
      <c r="H1" s="42" t="s">
        <v>5651</v>
      </c>
      <c r="I1" s="42" t="s">
        <v>5652</v>
      </c>
      <c r="J1" s="42" t="s">
        <v>5653</v>
      </c>
      <c r="K1" s="42" t="s">
        <v>5654</v>
      </c>
      <c r="L1" s="53" t="s">
        <v>5655</v>
      </c>
      <c r="M1" s="54" t="s">
        <v>5656</v>
      </c>
      <c r="N1" s="54" t="s">
        <v>5657</v>
      </c>
      <c r="O1" s="54" t="s">
        <v>5658</v>
      </c>
      <c r="P1" s="55" t="s">
        <v>5659</v>
      </c>
      <c r="Q1" s="54" t="s">
        <v>5656</v>
      </c>
      <c r="R1" s="54" t="s">
        <v>5657</v>
      </c>
      <c r="S1" s="54" t="s">
        <v>5658</v>
      </c>
      <c r="T1" s="55" t="s">
        <v>5659</v>
      </c>
      <c r="U1" s="54" t="s">
        <v>5656</v>
      </c>
      <c r="V1" s="54" t="s">
        <v>5657</v>
      </c>
      <c r="W1" s="54" t="s">
        <v>5658</v>
      </c>
      <c r="X1" s="55" t="s">
        <v>5659</v>
      </c>
      <c r="Y1" s="56" t="s">
        <v>5660</v>
      </c>
      <c r="Z1" s="56" t="s">
        <v>5661</v>
      </c>
      <c r="AA1" s="56" t="s">
        <v>5658</v>
      </c>
      <c r="AB1" s="55" t="s">
        <v>5659</v>
      </c>
      <c r="AC1" s="56" t="s">
        <v>5660</v>
      </c>
      <c r="AD1" s="56" t="s">
        <v>5661</v>
      </c>
      <c r="AE1" s="56" t="s">
        <v>5658</v>
      </c>
      <c r="AF1" s="55" t="s">
        <v>5659</v>
      </c>
      <c r="AG1" s="56" t="s">
        <v>5660</v>
      </c>
      <c r="AH1" s="56" t="s">
        <v>5661</v>
      </c>
      <c r="AI1" s="56" t="s">
        <v>5658</v>
      </c>
      <c r="AJ1" s="55" t="s">
        <v>5659</v>
      </c>
      <c r="AK1" s="57" t="s">
        <v>5662</v>
      </c>
      <c r="AL1" s="57" t="s">
        <v>5663</v>
      </c>
      <c r="AM1" s="57" t="s">
        <v>5658</v>
      </c>
      <c r="AN1" s="55" t="s">
        <v>5659</v>
      </c>
      <c r="AO1" s="57" t="s">
        <v>5662</v>
      </c>
      <c r="AP1" s="57" t="s">
        <v>5663</v>
      </c>
      <c r="AQ1" s="57" t="s">
        <v>5658</v>
      </c>
      <c r="AR1" s="55" t="s">
        <v>5659</v>
      </c>
      <c r="AS1" s="57" t="s">
        <v>5662</v>
      </c>
      <c r="AT1" s="57" t="s">
        <v>5663</v>
      </c>
      <c r="AU1" s="57" t="s">
        <v>5658</v>
      </c>
      <c r="AV1" s="55" t="s">
        <v>5659</v>
      </c>
      <c r="AW1" s="42" t="s">
        <v>5664</v>
      </c>
      <c r="AX1" s="42" t="s">
        <v>5665</v>
      </c>
      <c r="AY1" s="42" t="s">
        <v>5658</v>
      </c>
      <c r="AZ1" s="55" t="s">
        <v>5659</v>
      </c>
      <c r="BA1" s="42" t="s">
        <v>5664</v>
      </c>
      <c r="BB1" s="42" t="s">
        <v>5665</v>
      </c>
      <c r="BC1" s="42" t="s">
        <v>5658</v>
      </c>
      <c r="BD1" s="55" t="s">
        <v>5659</v>
      </c>
      <c r="BE1" s="42" t="s">
        <v>5664</v>
      </c>
      <c r="BF1" s="42" t="s">
        <v>5665</v>
      </c>
      <c r="BG1" s="42" t="s">
        <v>5658</v>
      </c>
      <c r="BH1" s="55" t="s">
        <v>5659</v>
      </c>
      <c r="BI1" s="42" t="s">
        <v>5664</v>
      </c>
      <c r="BJ1" s="42" t="s">
        <v>5665</v>
      </c>
      <c r="BK1" s="42" t="s">
        <v>5658</v>
      </c>
      <c r="BL1" s="55" t="s">
        <v>5659</v>
      </c>
      <c r="BM1" s="42" t="s">
        <v>5664</v>
      </c>
      <c r="BN1" s="42" t="s">
        <v>5665</v>
      </c>
      <c r="BO1" s="42" t="s">
        <v>5658</v>
      </c>
      <c r="BP1" s="55" t="s">
        <v>5659</v>
      </c>
      <c r="BQ1" s="42" t="s">
        <v>5664</v>
      </c>
      <c r="BR1" s="42" t="s">
        <v>5665</v>
      </c>
      <c r="BS1" s="42" t="s">
        <v>5658</v>
      </c>
      <c r="BT1" s="55" t="s">
        <v>5659</v>
      </c>
      <c r="BU1" s="42" t="s">
        <v>5664</v>
      </c>
      <c r="BV1" s="42" t="s">
        <v>5665</v>
      </c>
      <c r="BW1" s="42" t="s">
        <v>5658</v>
      </c>
      <c r="BX1" s="55" t="s">
        <v>5659</v>
      </c>
      <c r="BY1" s="42" t="s">
        <v>5664</v>
      </c>
      <c r="BZ1" s="42" t="s">
        <v>5665</v>
      </c>
      <c r="CA1" s="42" t="s">
        <v>5658</v>
      </c>
      <c r="CB1" s="55" t="s">
        <v>5659</v>
      </c>
      <c r="CC1" s="58" t="s">
        <v>5666</v>
      </c>
      <c r="CD1" s="42" t="s">
        <v>136</v>
      </c>
      <c r="CE1" s="42" t="s">
        <v>5667</v>
      </c>
      <c r="CF1" s="42" t="s">
        <v>5658</v>
      </c>
      <c r="CG1" s="50" t="s">
        <v>5659</v>
      </c>
      <c r="CH1" s="42" t="s">
        <v>5668</v>
      </c>
      <c r="CI1" s="42" t="s">
        <v>5669</v>
      </c>
      <c r="CJ1" s="42" t="s">
        <v>5658</v>
      </c>
      <c r="CK1" s="50" t="s">
        <v>5659</v>
      </c>
      <c r="CL1" s="42" t="s">
        <v>5670</v>
      </c>
      <c r="CM1" s="42" t="s">
        <v>5671</v>
      </c>
      <c r="CN1" s="42" t="s">
        <v>5658</v>
      </c>
      <c r="CO1" s="50" t="s">
        <v>5659</v>
      </c>
      <c r="CP1" s="42" t="s">
        <v>5670</v>
      </c>
      <c r="CQ1" s="42" t="s">
        <v>5671</v>
      </c>
      <c r="CR1" s="42" t="s">
        <v>5658</v>
      </c>
      <c r="CS1" s="50" t="s">
        <v>5659</v>
      </c>
      <c r="CT1" s="42" t="s">
        <v>5670</v>
      </c>
      <c r="CU1" s="42" t="s">
        <v>5671</v>
      </c>
      <c r="CV1" s="42" t="s">
        <v>5658</v>
      </c>
      <c r="CW1" s="50" t="s">
        <v>5659</v>
      </c>
      <c r="CX1" s="59" t="s">
        <v>5672</v>
      </c>
      <c r="CY1" s="42" t="s">
        <v>5673</v>
      </c>
      <c r="CZ1" s="42" t="s">
        <v>5674</v>
      </c>
      <c r="DA1" s="42" t="s">
        <v>5658</v>
      </c>
      <c r="DB1" s="50" t="s">
        <v>5659</v>
      </c>
      <c r="DC1" s="42" t="s">
        <v>5675</v>
      </c>
      <c r="DD1" s="42" t="s">
        <v>5676</v>
      </c>
      <c r="DE1" s="42" t="s">
        <v>5658</v>
      </c>
      <c r="DF1" s="50" t="s">
        <v>5659</v>
      </c>
      <c r="DG1" s="42" t="s">
        <v>5677</v>
      </c>
      <c r="DH1" s="42" t="s">
        <v>5678</v>
      </c>
      <c r="DI1" s="42" t="s">
        <v>5658</v>
      </c>
      <c r="DJ1" s="50" t="s">
        <v>5659</v>
      </c>
      <c r="DK1" s="42" t="s">
        <v>5679</v>
      </c>
      <c r="DL1" s="42" t="s">
        <v>5680</v>
      </c>
      <c r="DM1" s="42" t="s">
        <v>5658</v>
      </c>
      <c r="DN1" s="50" t="s">
        <v>5659</v>
      </c>
      <c r="DO1" s="42" t="s">
        <v>5679</v>
      </c>
      <c r="DP1" s="42" t="s">
        <v>5680</v>
      </c>
      <c r="DQ1" s="42" t="s">
        <v>5658</v>
      </c>
      <c r="DR1" s="50" t="s">
        <v>5659</v>
      </c>
      <c r="DS1" s="42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</row>
    <row r="2" ht="15.75" customHeight="1">
      <c r="A2" s="50" t="s">
        <v>111</v>
      </c>
      <c r="B2" s="60" t="s">
        <v>13</v>
      </c>
      <c r="C2" s="42" t="s">
        <v>5681</v>
      </c>
      <c r="D2" s="37" t="s">
        <v>3</v>
      </c>
      <c r="E2" s="51">
        <f>COUNTIFS(H_C!B:B, B2, H_C!D:D, "&lt;&gt;Soporte")</f>
        <v>40</v>
      </c>
      <c r="F2" s="42"/>
      <c r="G2" s="42"/>
      <c r="H2" s="42" t="s">
        <v>11</v>
      </c>
      <c r="I2" s="42" t="s">
        <v>5682</v>
      </c>
      <c r="J2" s="42"/>
      <c r="K2" s="61"/>
      <c r="L2" s="60"/>
      <c r="M2" s="62" t="s">
        <v>12</v>
      </c>
      <c r="N2" s="42" t="s">
        <v>5683</v>
      </c>
      <c r="O2" s="50">
        <v>30.0</v>
      </c>
      <c r="P2" s="63">
        <v>0.5</v>
      </c>
      <c r="Q2" s="50" t="s">
        <v>12</v>
      </c>
      <c r="R2" s="50" t="s">
        <v>5684</v>
      </c>
      <c r="S2" s="50">
        <v>30.0</v>
      </c>
      <c r="T2" s="50">
        <v>80.0</v>
      </c>
      <c r="U2" s="50" t="s">
        <v>12</v>
      </c>
      <c r="V2" s="50" t="s">
        <v>5685</v>
      </c>
      <c r="W2" s="50">
        <v>30.0</v>
      </c>
      <c r="X2" s="50">
        <v>100.0</v>
      </c>
      <c r="Y2" s="60" t="s">
        <v>7</v>
      </c>
      <c r="Z2" s="50" t="s">
        <v>5686</v>
      </c>
      <c r="AA2" s="50">
        <v>40.0</v>
      </c>
      <c r="AB2" s="64">
        <v>0.8</v>
      </c>
      <c r="AC2" s="60" t="s">
        <v>7</v>
      </c>
      <c r="AD2" s="50" t="s">
        <v>5687</v>
      </c>
      <c r="AE2" s="50">
        <v>40.0</v>
      </c>
      <c r="AF2" s="64">
        <v>0.9</v>
      </c>
      <c r="AG2" s="60" t="s">
        <v>7</v>
      </c>
      <c r="AH2" s="50" t="s">
        <v>5682</v>
      </c>
      <c r="AI2" s="50">
        <v>40.0</v>
      </c>
      <c r="AJ2" s="3">
        <v>100.0</v>
      </c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50"/>
      <c r="CC2" s="60"/>
      <c r="CD2" s="65" t="s">
        <v>149</v>
      </c>
      <c r="CE2" s="50" t="s">
        <v>5688</v>
      </c>
      <c r="CF2" s="50">
        <v>20.0</v>
      </c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2" t="s">
        <v>155</v>
      </c>
      <c r="CZ2" s="50" t="s">
        <v>5689</v>
      </c>
      <c r="DA2" s="50">
        <v>20.0</v>
      </c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</row>
    <row r="3" ht="15.75" customHeight="1">
      <c r="A3" s="65"/>
      <c r="B3" s="60"/>
      <c r="C3" s="65"/>
      <c r="D3" s="60"/>
      <c r="E3" s="61"/>
      <c r="F3" s="65"/>
      <c r="G3" s="65"/>
      <c r="H3" s="42"/>
      <c r="I3" s="42"/>
      <c r="J3" s="42"/>
      <c r="K3" s="42"/>
      <c r="L3" s="60"/>
      <c r="M3" s="65"/>
      <c r="N3" s="66"/>
      <c r="O3" s="67"/>
      <c r="P3" s="67"/>
      <c r="Q3" s="65"/>
      <c r="R3" s="66"/>
      <c r="S3" s="67"/>
      <c r="T3" s="67"/>
      <c r="U3" s="65"/>
      <c r="V3" s="66"/>
      <c r="W3" s="67"/>
      <c r="X3" s="67"/>
      <c r="Y3" s="42"/>
      <c r="Z3" s="42"/>
      <c r="AA3" s="67"/>
      <c r="AB3" s="67"/>
      <c r="AC3" s="42"/>
      <c r="AD3" s="42"/>
      <c r="AE3" s="67"/>
      <c r="AF3" s="67"/>
      <c r="AG3" s="42"/>
      <c r="AH3" s="42"/>
      <c r="AI3" s="67"/>
      <c r="AJ3" s="67"/>
      <c r="AK3" s="68"/>
      <c r="AL3" s="61"/>
      <c r="AM3" s="67"/>
      <c r="AN3" s="67"/>
      <c r="AO3" s="42"/>
      <c r="AP3" s="69"/>
      <c r="AQ3" s="67"/>
      <c r="AR3" s="67"/>
      <c r="AS3" s="68"/>
      <c r="AT3" s="69"/>
      <c r="AU3" s="67"/>
      <c r="AV3" s="67"/>
      <c r="AW3" s="68"/>
      <c r="AX3" s="61"/>
      <c r="AY3" s="67"/>
      <c r="AZ3" s="67"/>
      <c r="BA3" s="68"/>
      <c r="BB3" s="61"/>
      <c r="BC3" s="67"/>
      <c r="BD3" s="67"/>
      <c r="BE3" s="68"/>
      <c r="BF3" s="61"/>
      <c r="BG3" s="67"/>
      <c r="BH3" s="67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50"/>
      <c r="CC3" s="60"/>
      <c r="CD3" s="65"/>
      <c r="CE3" s="70"/>
      <c r="CF3" s="71"/>
      <c r="CG3" s="71"/>
      <c r="CH3" s="65"/>
      <c r="CI3" s="65"/>
      <c r="CJ3" s="71"/>
      <c r="CK3" s="71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Y3" s="65"/>
      <c r="CZ3" s="65"/>
      <c r="DA3" s="67"/>
      <c r="DB3" s="67"/>
      <c r="DC3" s="42"/>
      <c r="DD3" s="42"/>
      <c r="DE3" s="67"/>
      <c r="DF3" s="67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</row>
    <row r="4" ht="15.75" customHeight="1">
      <c r="A4" s="65"/>
      <c r="B4" s="65"/>
      <c r="C4" s="65"/>
      <c r="D4" s="60"/>
      <c r="E4" s="61"/>
      <c r="F4" s="65"/>
      <c r="G4" s="65"/>
      <c r="H4" s="65"/>
      <c r="I4" s="42"/>
      <c r="J4" s="42"/>
      <c r="K4" s="42"/>
      <c r="L4" s="60"/>
      <c r="M4" s="65"/>
      <c r="N4" s="65"/>
      <c r="O4" s="67"/>
      <c r="P4" s="67"/>
      <c r="Q4" s="65"/>
      <c r="R4" s="65"/>
      <c r="S4" s="67"/>
      <c r="T4" s="67"/>
      <c r="U4" s="65"/>
      <c r="V4" s="42"/>
      <c r="W4" s="67"/>
      <c r="X4" s="67"/>
      <c r="Y4" s="65"/>
      <c r="Z4" s="66"/>
      <c r="AA4" s="67"/>
      <c r="AB4" s="67"/>
      <c r="AC4" s="65"/>
      <c r="AD4" s="66"/>
      <c r="AE4" s="67"/>
      <c r="AF4" s="67"/>
      <c r="AG4" s="65"/>
      <c r="AH4" s="66"/>
      <c r="AI4" s="67"/>
      <c r="AJ4" s="67"/>
      <c r="AK4" s="65"/>
      <c r="AL4" s="65"/>
      <c r="AM4" s="67"/>
      <c r="AN4" s="67"/>
      <c r="AO4" s="65"/>
      <c r="AP4" s="65"/>
      <c r="AQ4" s="67"/>
      <c r="AR4" s="67"/>
      <c r="AS4" s="65"/>
      <c r="AT4" s="65"/>
      <c r="AU4" s="67"/>
      <c r="AV4" s="67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50"/>
      <c r="CC4" s="60"/>
      <c r="CD4" s="42"/>
      <c r="CE4" s="65"/>
      <c r="CF4" s="67"/>
      <c r="CG4" s="67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5"/>
      <c r="CZ4" s="65"/>
      <c r="DA4" s="67"/>
      <c r="DB4" s="67"/>
      <c r="DC4" s="65"/>
      <c r="DD4" s="65"/>
      <c r="DE4" s="67"/>
      <c r="DF4" s="67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</row>
    <row r="5" ht="15.75" customHeight="1">
      <c r="A5" s="42"/>
      <c r="B5" s="42"/>
      <c r="C5" s="42"/>
      <c r="D5" s="60"/>
      <c r="E5" s="61"/>
      <c r="F5" s="42"/>
      <c r="G5" s="42"/>
      <c r="H5" s="42"/>
      <c r="I5" s="42"/>
      <c r="J5" s="42"/>
      <c r="K5" s="42"/>
      <c r="L5" s="60"/>
      <c r="M5" s="42"/>
      <c r="N5" s="42"/>
      <c r="O5" s="67"/>
      <c r="P5" s="67"/>
      <c r="Q5" s="42"/>
      <c r="R5" s="42"/>
      <c r="S5" s="67"/>
      <c r="T5" s="67"/>
      <c r="U5" s="42"/>
      <c r="V5" s="42"/>
      <c r="W5" s="67"/>
      <c r="X5" s="67"/>
      <c r="Y5" s="42"/>
      <c r="Z5" s="42"/>
      <c r="AA5" s="67"/>
      <c r="AB5" s="67"/>
      <c r="AC5" s="42"/>
      <c r="AD5" s="42"/>
      <c r="AE5" s="67"/>
      <c r="AF5" s="67"/>
      <c r="AG5" s="42"/>
      <c r="AH5" s="42"/>
      <c r="AI5" s="67"/>
      <c r="AJ5" s="67"/>
      <c r="AK5" s="42"/>
      <c r="AL5" s="42"/>
      <c r="AM5" s="67"/>
      <c r="AN5" s="67"/>
      <c r="AO5" s="42"/>
      <c r="AP5" s="42"/>
      <c r="AQ5" s="67"/>
      <c r="AR5" s="67"/>
      <c r="AS5" s="42"/>
      <c r="AT5" s="42"/>
      <c r="AU5" s="67"/>
      <c r="AV5" s="67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42"/>
      <c r="CE5" s="42"/>
      <c r="CF5" s="67"/>
      <c r="CG5" s="67"/>
      <c r="CH5" s="42"/>
      <c r="CI5" s="42"/>
      <c r="CJ5" s="67"/>
      <c r="CK5" s="67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</row>
    <row r="6" ht="15.75" customHeight="1">
      <c r="A6" s="42"/>
      <c r="B6" s="42"/>
      <c r="C6" s="42"/>
      <c r="D6" s="60"/>
      <c r="E6" s="61"/>
      <c r="F6" s="42"/>
      <c r="G6" s="42"/>
      <c r="H6" s="42"/>
      <c r="I6" s="42"/>
      <c r="J6" s="42"/>
      <c r="K6" s="42"/>
      <c r="L6" s="60"/>
      <c r="M6" s="42"/>
      <c r="N6" s="42"/>
      <c r="O6" s="67"/>
      <c r="P6" s="67"/>
      <c r="Q6" s="42"/>
      <c r="R6" s="42"/>
      <c r="S6" s="67"/>
      <c r="T6" s="67"/>
      <c r="U6" s="42"/>
      <c r="V6" s="42"/>
      <c r="W6" s="67"/>
      <c r="X6" s="67"/>
      <c r="Y6" s="42"/>
      <c r="Z6" s="42"/>
      <c r="AA6" s="67"/>
      <c r="AB6" s="67"/>
      <c r="AC6" s="42"/>
      <c r="AD6" s="42"/>
      <c r="AE6" s="67"/>
      <c r="AF6" s="67"/>
      <c r="AG6" s="42"/>
      <c r="AH6" s="42"/>
      <c r="AI6" s="67"/>
      <c r="AJ6" s="67"/>
      <c r="AK6" s="42"/>
      <c r="AL6" s="42"/>
      <c r="AM6" s="67"/>
      <c r="AN6" s="67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</row>
    <row r="7" ht="15.75" customHeight="1">
      <c r="A7" s="42"/>
      <c r="B7" s="42"/>
      <c r="C7" s="42"/>
      <c r="D7" s="60"/>
      <c r="E7" s="61"/>
      <c r="F7" s="42"/>
      <c r="G7" s="42"/>
      <c r="H7" s="42"/>
      <c r="I7" s="42"/>
      <c r="J7" s="42"/>
      <c r="K7" s="42"/>
      <c r="L7" s="60"/>
      <c r="M7" s="42"/>
      <c r="N7" s="66"/>
      <c r="O7" s="67"/>
      <c r="P7" s="67"/>
      <c r="Q7" s="42"/>
      <c r="R7" s="66"/>
      <c r="S7" s="67"/>
      <c r="T7" s="67"/>
      <c r="U7" s="42"/>
      <c r="V7" s="66"/>
      <c r="W7" s="67"/>
      <c r="X7" s="67"/>
      <c r="Y7" s="42"/>
      <c r="Z7" s="42"/>
      <c r="AA7" s="67"/>
      <c r="AB7" s="67"/>
      <c r="AC7" s="42"/>
      <c r="AD7" s="42"/>
      <c r="AE7" s="67"/>
      <c r="AF7" s="67"/>
      <c r="AG7" s="42"/>
      <c r="AH7" s="42"/>
      <c r="AI7" s="67"/>
      <c r="AJ7" s="67"/>
      <c r="AK7" s="42"/>
      <c r="AL7" s="42"/>
      <c r="AM7" s="67"/>
      <c r="AN7" s="67"/>
      <c r="AO7" s="42"/>
      <c r="AP7" s="42"/>
      <c r="AQ7" s="67"/>
      <c r="AR7" s="67"/>
      <c r="AS7" s="42"/>
      <c r="AT7" s="42"/>
      <c r="AU7" s="67"/>
      <c r="AV7" s="67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42"/>
      <c r="CE7" s="42"/>
      <c r="CF7" s="42"/>
      <c r="CG7" s="42"/>
      <c r="CH7" s="42"/>
      <c r="CI7" s="67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42"/>
      <c r="CZ7" s="42"/>
      <c r="DA7" s="67"/>
      <c r="DB7" s="67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</row>
    <row r="8" ht="15.75" customHeight="1">
      <c r="A8" s="42"/>
      <c r="B8" s="42"/>
      <c r="C8" s="42"/>
      <c r="D8" s="74"/>
      <c r="E8" s="61"/>
      <c r="F8" s="65"/>
      <c r="G8" s="42"/>
      <c r="H8" s="60"/>
      <c r="I8" s="60"/>
      <c r="J8" s="60"/>
      <c r="K8" s="60"/>
      <c r="L8" s="60"/>
      <c r="M8" s="42"/>
      <c r="N8" s="42"/>
      <c r="O8" s="67"/>
      <c r="P8" s="67"/>
      <c r="Q8" s="42"/>
      <c r="R8" s="42"/>
      <c r="S8" s="67"/>
      <c r="T8" s="67"/>
      <c r="U8" s="60"/>
      <c r="V8" s="60"/>
      <c r="W8" s="60"/>
      <c r="X8" s="60"/>
      <c r="Y8" s="42"/>
      <c r="Z8" s="42"/>
      <c r="AA8" s="67"/>
      <c r="AB8" s="67"/>
      <c r="AC8" s="42"/>
      <c r="AD8" s="42"/>
      <c r="AE8" s="67"/>
      <c r="AF8" s="67"/>
      <c r="AG8" s="60"/>
      <c r="AH8" s="60"/>
      <c r="AI8" s="60"/>
      <c r="AJ8" s="60"/>
      <c r="AK8" s="42"/>
      <c r="AL8" s="42"/>
      <c r="AM8" s="67"/>
      <c r="AN8" s="67"/>
      <c r="AO8" s="60"/>
      <c r="AP8" s="60"/>
      <c r="AQ8" s="60"/>
      <c r="AR8" s="60"/>
      <c r="AS8" s="60"/>
      <c r="AT8" s="60"/>
      <c r="AU8" s="60"/>
      <c r="AV8" s="60"/>
      <c r="AW8" s="42"/>
      <c r="AX8" s="42"/>
      <c r="AY8" s="67"/>
      <c r="AZ8" s="67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42"/>
      <c r="CE8" s="42"/>
      <c r="CF8" s="67"/>
      <c r="CG8" s="67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42"/>
      <c r="CZ8" s="42"/>
      <c r="DA8" s="67"/>
      <c r="DB8" s="67"/>
      <c r="DC8" s="42"/>
      <c r="DD8" s="42"/>
      <c r="DE8" s="67"/>
      <c r="DF8" s="67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</row>
    <row r="9" ht="15.75" customHeight="1">
      <c r="A9" s="65"/>
      <c r="B9" s="65"/>
      <c r="C9" s="65"/>
      <c r="D9" s="75"/>
      <c r="E9" s="61"/>
      <c r="F9" s="65"/>
      <c r="G9" s="65"/>
      <c r="H9" s="65"/>
      <c r="I9" s="65"/>
      <c r="J9" s="65"/>
      <c r="K9" s="65"/>
      <c r="L9" s="60"/>
      <c r="M9" s="65"/>
      <c r="N9" s="65"/>
      <c r="O9" s="67"/>
      <c r="P9" s="67"/>
      <c r="Q9" s="65"/>
      <c r="R9" s="65"/>
      <c r="S9" s="67"/>
      <c r="T9" s="67"/>
      <c r="U9" s="65"/>
      <c r="V9" s="65"/>
      <c r="W9" s="72"/>
      <c r="X9" s="72"/>
      <c r="Y9" s="65"/>
      <c r="Z9" s="65"/>
      <c r="AA9" s="67"/>
      <c r="AB9" s="67"/>
      <c r="AC9" s="65"/>
      <c r="AD9" s="65"/>
      <c r="AE9" s="67"/>
      <c r="AF9" s="67"/>
      <c r="AG9" s="60"/>
      <c r="AH9" s="60"/>
      <c r="AI9" s="60"/>
      <c r="AJ9" s="60"/>
      <c r="AK9" s="65"/>
      <c r="AL9" s="65"/>
      <c r="AM9" s="67"/>
      <c r="AN9" s="67"/>
      <c r="AO9" s="60"/>
      <c r="AP9" s="60"/>
      <c r="AQ9" s="60"/>
      <c r="AR9" s="60"/>
      <c r="AS9" s="60"/>
      <c r="AT9" s="60"/>
      <c r="AU9" s="60"/>
      <c r="AV9" s="60"/>
      <c r="AW9" s="42"/>
      <c r="AX9" s="65"/>
      <c r="AY9" s="67"/>
      <c r="AZ9" s="67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5"/>
      <c r="CD9" s="65"/>
      <c r="CE9" s="65"/>
      <c r="CF9" s="67"/>
      <c r="CG9" s="67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7"/>
      <c r="DB9" s="67"/>
      <c r="DC9" s="65"/>
      <c r="DD9" s="65"/>
      <c r="DE9" s="65"/>
      <c r="DF9" s="65"/>
      <c r="DG9" s="65"/>
      <c r="DH9" s="65"/>
      <c r="DI9" s="65"/>
      <c r="DJ9" s="65"/>
      <c r="DK9" s="60"/>
      <c r="DL9" s="60"/>
      <c r="DM9" s="60"/>
      <c r="DN9" s="60"/>
      <c r="DO9" s="60"/>
      <c r="DP9" s="60"/>
      <c r="DQ9" s="60"/>
      <c r="DR9" s="60"/>
      <c r="DS9" s="60"/>
    </row>
    <row r="10" ht="15.75" customHeight="1">
      <c r="A10" s="65"/>
      <c r="B10" s="65"/>
      <c r="C10" s="65"/>
      <c r="D10" s="75"/>
      <c r="E10" s="61"/>
      <c r="F10" s="65"/>
      <c r="G10" s="65"/>
      <c r="H10" s="65"/>
      <c r="I10" s="65"/>
      <c r="J10" s="60"/>
      <c r="K10" s="60"/>
      <c r="L10" s="60"/>
      <c r="M10" s="65"/>
      <c r="N10" s="65"/>
      <c r="O10" s="67"/>
      <c r="P10" s="67"/>
      <c r="Q10" s="65"/>
      <c r="R10" s="65"/>
      <c r="S10" s="67"/>
      <c r="T10" s="67"/>
      <c r="U10" s="60"/>
      <c r="V10" s="60"/>
      <c r="W10" s="72"/>
      <c r="X10" s="72"/>
      <c r="Y10" s="65"/>
      <c r="Z10" s="65"/>
      <c r="AA10" s="67"/>
      <c r="AB10" s="67"/>
      <c r="AC10" s="42"/>
      <c r="AD10" s="42"/>
      <c r="AE10" s="67"/>
      <c r="AF10" s="67"/>
      <c r="AG10" s="60"/>
      <c r="AH10" s="60"/>
      <c r="AI10" s="60"/>
      <c r="AJ10" s="60"/>
      <c r="AK10" s="42"/>
      <c r="AL10" s="42"/>
      <c r="AM10" s="67"/>
      <c r="AN10" s="67"/>
      <c r="AO10" s="60"/>
      <c r="AP10" s="60"/>
      <c r="AQ10" s="60"/>
      <c r="AR10" s="60"/>
      <c r="AS10" s="60"/>
      <c r="AT10" s="60"/>
      <c r="AU10" s="60"/>
      <c r="AV10" s="60"/>
      <c r="AW10" s="42"/>
      <c r="AX10" s="42"/>
      <c r="AY10" s="67"/>
      <c r="AZ10" s="67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42"/>
      <c r="CE10" s="42"/>
      <c r="CF10" s="67"/>
      <c r="CG10" s="67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5"/>
      <c r="CZ10" s="65"/>
      <c r="DA10" s="67"/>
      <c r="DB10" s="67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</row>
    <row r="11" ht="15.75" customHeight="1">
      <c r="A11" s="65"/>
      <c r="B11" s="65"/>
      <c r="C11" s="65"/>
      <c r="D11" s="75"/>
      <c r="E11" s="61"/>
      <c r="F11" s="65"/>
      <c r="G11" s="65"/>
      <c r="H11" s="42"/>
      <c r="I11" s="42"/>
      <c r="J11" s="42"/>
      <c r="K11" s="65"/>
      <c r="L11" s="60"/>
      <c r="M11" s="65"/>
      <c r="N11" s="65"/>
      <c r="O11" s="67"/>
      <c r="P11" s="67"/>
      <c r="Q11" s="65"/>
      <c r="R11" s="65"/>
      <c r="S11" s="67"/>
      <c r="T11" s="67"/>
      <c r="U11" s="60"/>
      <c r="V11" s="60"/>
      <c r="W11" s="60"/>
      <c r="X11" s="60"/>
      <c r="Y11" s="42"/>
      <c r="Z11" s="42"/>
      <c r="AA11" s="67"/>
      <c r="AB11" s="67"/>
      <c r="AC11" s="42"/>
      <c r="AD11" s="42"/>
      <c r="AE11" s="67"/>
      <c r="AF11" s="67"/>
      <c r="AG11" s="60"/>
      <c r="AH11" s="60"/>
      <c r="AI11" s="60"/>
      <c r="AJ11" s="60"/>
      <c r="AK11" s="42"/>
      <c r="AL11" s="42"/>
      <c r="AM11" s="67"/>
      <c r="AN11" s="67"/>
      <c r="AO11" s="60"/>
      <c r="AP11" s="60"/>
      <c r="AQ11" s="60"/>
      <c r="AR11" s="60"/>
      <c r="AS11" s="60"/>
      <c r="AT11" s="60"/>
      <c r="AU11" s="60"/>
      <c r="AV11" s="60"/>
      <c r="AW11" s="42"/>
      <c r="AX11" s="42"/>
      <c r="AY11" s="67"/>
      <c r="AZ11" s="67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5"/>
      <c r="CE11" s="65"/>
      <c r="CF11" s="67"/>
      <c r="CG11" s="67"/>
      <c r="CH11" s="42"/>
      <c r="CI11" s="42"/>
      <c r="CJ11" s="67"/>
      <c r="CK11" s="67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60"/>
      <c r="CY11" s="65"/>
      <c r="CZ11" s="65"/>
      <c r="DA11" s="67"/>
      <c r="DB11" s="67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</row>
    <row r="12" ht="15.75" customHeight="1">
      <c r="A12" s="65"/>
      <c r="B12" s="65"/>
      <c r="C12" s="65"/>
      <c r="D12" s="75"/>
      <c r="E12" s="61"/>
      <c r="F12" s="65"/>
      <c r="G12" s="65"/>
      <c r="H12" s="65"/>
      <c r="I12" s="42"/>
      <c r="J12" s="60"/>
      <c r="K12" s="60"/>
      <c r="L12" s="60"/>
      <c r="M12" s="65"/>
      <c r="N12" s="65"/>
      <c r="O12" s="67"/>
      <c r="P12" s="67"/>
      <c r="Q12" s="65"/>
      <c r="R12" s="65"/>
      <c r="S12" s="67"/>
      <c r="T12" s="67"/>
      <c r="U12" s="60"/>
      <c r="V12" s="60"/>
      <c r="W12" s="60"/>
      <c r="X12" s="60"/>
      <c r="Y12" s="65"/>
      <c r="Z12" s="65"/>
      <c r="AA12" s="67"/>
      <c r="AB12" s="67"/>
      <c r="AC12" s="65"/>
      <c r="AD12" s="65"/>
      <c r="AE12" s="67"/>
      <c r="AF12" s="67"/>
      <c r="AG12" s="60"/>
      <c r="AH12" s="60"/>
      <c r="AI12" s="60"/>
      <c r="AJ12" s="60"/>
      <c r="AK12" s="42"/>
      <c r="AL12" s="42"/>
      <c r="AM12" s="67"/>
      <c r="AN12" s="67"/>
      <c r="AO12" s="60"/>
      <c r="AP12" s="60"/>
      <c r="AQ12" s="60"/>
      <c r="AR12" s="60"/>
      <c r="AS12" s="60"/>
      <c r="AT12" s="60"/>
      <c r="AU12" s="60"/>
      <c r="AV12" s="60"/>
      <c r="AW12" s="42"/>
      <c r="AX12" s="42"/>
      <c r="AY12" s="67"/>
      <c r="AZ12" s="67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42"/>
      <c r="CE12" s="42"/>
      <c r="CF12" s="67"/>
      <c r="CG12" s="67"/>
      <c r="CH12" s="42"/>
      <c r="CI12" s="42"/>
      <c r="CJ12" s="67"/>
      <c r="CK12" s="67"/>
      <c r="CL12" s="60"/>
      <c r="CM12" s="60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60"/>
      <c r="CY12" s="42"/>
      <c r="CZ12" s="42"/>
      <c r="DA12" s="67"/>
      <c r="DB12" s="67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</row>
    <row r="13" ht="15.75" customHeight="1">
      <c r="A13" s="65"/>
      <c r="B13" s="65"/>
      <c r="C13" s="65"/>
      <c r="D13" s="75"/>
      <c r="E13" s="61"/>
      <c r="F13" s="65"/>
      <c r="G13" s="42"/>
      <c r="H13" s="65"/>
      <c r="I13" s="65"/>
      <c r="J13" s="42"/>
      <c r="K13" s="42"/>
      <c r="L13" s="60"/>
      <c r="M13" s="65"/>
      <c r="N13" s="65"/>
      <c r="O13" s="67"/>
      <c r="P13" s="67"/>
      <c r="Q13" s="65"/>
      <c r="R13" s="65"/>
      <c r="S13" s="67"/>
      <c r="T13" s="67"/>
      <c r="U13" s="65"/>
      <c r="V13" s="65"/>
      <c r="W13" s="67"/>
      <c r="X13" s="67"/>
      <c r="Y13" s="42"/>
      <c r="Z13" s="42"/>
      <c r="AA13" s="67"/>
      <c r="AB13" s="67"/>
      <c r="AC13" s="42"/>
      <c r="AD13" s="42"/>
      <c r="AE13" s="67"/>
      <c r="AF13" s="67"/>
      <c r="AG13" s="42"/>
      <c r="AH13" s="42"/>
      <c r="AI13" s="67"/>
      <c r="AJ13" s="67"/>
      <c r="AK13" s="42"/>
      <c r="AL13" s="42"/>
      <c r="AM13" s="67"/>
      <c r="AN13" s="67"/>
      <c r="AO13" s="42"/>
      <c r="AP13" s="42"/>
      <c r="AQ13" s="67"/>
      <c r="AR13" s="67"/>
      <c r="AS13" s="42"/>
      <c r="AT13" s="42"/>
      <c r="AU13" s="67"/>
      <c r="AV13" s="67"/>
      <c r="AW13" s="42"/>
      <c r="AX13" s="42"/>
      <c r="AY13" s="67"/>
      <c r="AZ13" s="67"/>
      <c r="BA13" s="42"/>
      <c r="BB13" s="42"/>
      <c r="BC13" s="67"/>
      <c r="BD13" s="67"/>
      <c r="BE13" s="42"/>
      <c r="BF13" s="42"/>
      <c r="BG13" s="67"/>
      <c r="BH13" s="67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42"/>
      <c r="CE13" s="42"/>
      <c r="CF13" s="67"/>
      <c r="CG13" s="67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42"/>
      <c r="CZ13" s="42"/>
      <c r="DA13" s="67"/>
      <c r="DB13" s="67"/>
      <c r="DC13" s="42"/>
      <c r="DD13" s="42"/>
      <c r="DE13" s="67"/>
      <c r="DF13" s="67"/>
      <c r="DG13" s="42"/>
      <c r="DH13" s="42"/>
      <c r="DI13" s="67"/>
      <c r="DJ13" s="67"/>
      <c r="DK13" s="72"/>
      <c r="DL13" s="72"/>
      <c r="DM13" s="72"/>
      <c r="DN13" s="72"/>
      <c r="DO13" s="72"/>
      <c r="DP13" s="72"/>
      <c r="DQ13" s="72"/>
      <c r="DR13" s="72"/>
      <c r="DS13" s="72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6"/>
      <c r="EF13" s="76"/>
      <c r="EG13" s="76"/>
      <c r="EH13" s="76"/>
      <c r="EI13" s="76"/>
      <c r="EJ13" s="76"/>
      <c r="EK13" s="73"/>
      <c r="EL13" s="73"/>
      <c r="EM13" s="73"/>
      <c r="EN13" s="73"/>
      <c r="EO13" s="76"/>
      <c r="EP13" s="76"/>
      <c r="EQ13" s="76"/>
      <c r="ER13" s="76"/>
      <c r="ES13" s="76"/>
      <c r="ET13" s="76"/>
      <c r="EU13" s="73"/>
      <c r="EV13" s="73"/>
      <c r="EW13" s="73"/>
      <c r="EX13" s="73"/>
      <c r="EY13" s="73"/>
      <c r="EZ13" s="73"/>
      <c r="FA13" s="73"/>
    </row>
    <row r="14" ht="15.75" customHeight="1">
      <c r="A14" s="42"/>
      <c r="B14" s="42"/>
      <c r="C14" s="42"/>
      <c r="D14" s="74"/>
      <c r="E14" s="61"/>
      <c r="F14" s="42"/>
      <c r="G14" s="42"/>
      <c r="H14" s="42"/>
      <c r="I14" s="42"/>
      <c r="J14" s="60"/>
      <c r="K14" s="60"/>
      <c r="L14" s="60"/>
      <c r="M14" s="42"/>
      <c r="N14" s="42"/>
      <c r="O14" s="67"/>
      <c r="P14" s="67"/>
      <c r="Q14" s="42"/>
      <c r="R14" s="42"/>
      <c r="S14" s="67"/>
      <c r="T14" s="67"/>
      <c r="U14" s="42"/>
      <c r="V14" s="42"/>
      <c r="W14" s="67"/>
      <c r="X14" s="67"/>
      <c r="Y14" s="42"/>
      <c r="Z14" s="42"/>
      <c r="AA14" s="67"/>
      <c r="AB14" s="67"/>
      <c r="AC14" s="42"/>
      <c r="AD14" s="42"/>
      <c r="AE14" s="67"/>
      <c r="AF14" s="67"/>
      <c r="AG14" s="42"/>
      <c r="AH14" s="42"/>
      <c r="AI14" s="67"/>
      <c r="AJ14" s="67"/>
      <c r="AK14" s="42"/>
      <c r="AL14" s="42"/>
      <c r="AM14" s="67"/>
      <c r="AN14" s="67"/>
      <c r="AO14" s="42"/>
      <c r="AP14" s="42"/>
      <c r="AQ14" s="67"/>
      <c r="AR14" s="67"/>
      <c r="AS14" s="42"/>
      <c r="AT14" s="42"/>
      <c r="AU14" s="67"/>
      <c r="AV14" s="67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42"/>
      <c r="CZ14" s="42"/>
      <c r="DA14" s="61"/>
      <c r="DB14" s="61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</row>
    <row r="15" ht="15.75" customHeight="1">
      <c r="A15" s="42"/>
      <c r="B15" s="77"/>
      <c r="C15" s="42"/>
      <c r="D15" s="74"/>
      <c r="E15" s="61"/>
      <c r="F15" s="42"/>
      <c r="G15" s="42"/>
      <c r="H15" s="42"/>
      <c r="I15" s="42"/>
      <c r="J15" s="42"/>
      <c r="K15" s="42"/>
      <c r="L15" s="60"/>
      <c r="M15" s="42"/>
      <c r="N15" s="42"/>
      <c r="O15" s="67"/>
      <c r="P15" s="67"/>
      <c r="Q15" s="42"/>
      <c r="R15" s="42"/>
      <c r="S15" s="67"/>
      <c r="T15" s="67"/>
      <c r="U15" s="42"/>
      <c r="V15" s="42"/>
      <c r="W15" s="67"/>
      <c r="X15" s="67"/>
      <c r="Y15" s="42"/>
      <c r="Z15" s="42"/>
      <c r="AA15" s="67"/>
      <c r="AB15" s="67"/>
      <c r="AC15" s="42"/>
      <c r="AD15" s="42"/>
      <c r="AE15" s="67"/>
      <c r="AF15" s="67"/>
      <c r="AG15" s="42"/>
      <c r="AH15" s="42"/>
      <c r="AI15" s="67"/>
      <c r="AJ15" s="67"/>
      <c r="AK15" s="42"/>
      <c r="AL15" s="42"/>
      <c r="AM15" s="67"/>
      <c r="AN15" s="67"/>
      <c r="AO15" s="42"/>
      <c r="AP15" s="42"/>
      <c r="AQ15" s="67"/>
      <c r="AR15" s="67"/>
      <c r="AS15" s="42"/>
      <c r="AT15" s="42"/>
      <c r="AU15" s="67"/>
      <c r="AV15" s="67"/>
      <c r="AW15" s="42"/>
      <c r="AX15" s="42"/>
      <c r="AY15" s="67"/>
      <c r="AZ15" s="67"/>
      <c r="BA15" s="42"/>
      <c r="BB15" s="42"/>
      <c r="BC15" s="67"/>
      <c r="BD15" s="67"/>
      <c r="BE15" s="42"/>
      <c r="BF15" s="42"/>
      <c r="BG15" s="67"/>
      <c r="BH15" s="67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42"/>
      <c r="CE15" s="42"/>
      <c r="CF15" s="67"/>
      <c r="CG15" s="67"/>
      <c r="CH15" s="42"/>
      <c r="CI15" s="42"/>
      <c r="CJ15" s="67"/>
      <c r="CK15" s="67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42"/>
      <c r="CZ15" s="42"/>
      <c r="DA15" s="67"/>
      <c r="DB15" s="67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</row>
    <row r="16" ht="15.75" customHeight="1">
      <c r="A16" s="42"/>
      <c r="B16" s="42"/>
      <c r="C16" s="42"/>
      <c r="D16" s="74"/>
      <c r="E16" s="61"/>
      <c r="F16" s="42"/>
      <c r="G16" s="42"/>
      <c r="H16" s="42"/>
      <c r="I16" s="42"/>
      <c r="J16" s="42"/>
      <c r="K16" s="42"/>
      <c r="L16" s="60"/>
      <c r="M16" s="42"/>
      <c r="N16" s="42"/>
      <c r="O16" s="67"/>
      <c r="P16" s="67"/>
      <c r="Q16" s="42"/>
      <c r="R16" s="42"/>
      <c r="S16" s="67"/>
      <c r="T16" s="67"/>
      <c r="U16" s="42"/>
      <c r="V16" s="42"/>
      <c r="W16" s="67"/>
      <c r="X16" s="67"/>
      <c r="Y16" s="42"/>
      <c r="Z16" s="42"/>
      <c r="AA16" s="67"/>
      <c r="AB16" s="67"/>
      <c r="AC16" s="42"/>
      <c r="AD16" s="42"/>
      <c r="AE16" s="67"/>
      <c r="AF16" s="67"/>
      <c r="AG16" s="42"/>
      <c r="AH16" s="42"/>
      <c r="AI16" s="67"/>
      <c r="AJ16" s="67"/>
      <c r="AK16" s="42"/>
      <c r="AL16" s="42"/>
      <c r="AM16" s="67"/>
      <c r="AN16" s="67"/>
      <c r="AO16" s="42"/>
      <c r="AP16" s="42"/>
      <c r="AQ16" s="67"/>
      <c r="AR16" s="67"/>
      <c r="AS16" s="42"/>
      <c r="AT16" s="42"/>
      <c r="AU16" s="67"/>
      <c r="AV16" s="67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42"/>
      <c r="CE16" s="42"/>
      <c r="CF16" s="67"/>
      <c r="CG16" s="67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42"/>
      <c r="CZ16" s="42"/>
      <c r="DA16" s="67"/>
      <c r="DB16" s="67"/>
      <c r="DC16" s="42"/>
      <c r="DD16" s="42"/>
      <c r="DE16" s="67"/>
      <c r="DF16" s="67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</row>
    <row r="17" ht="15.75" customHeight="1">
      <c r="A17" s="42"/>
      <c r="B17" s="60"/>
      <c r="C17" s="42"/>
      <c r="D17" s="74"/>
      <c r="E17" s="61"/>
      <c r="F17" s="42"/>
      <c r="G17" s="42"/>
      <c r="H17" s="42"/>
      <c r="I17" s="42"/>
      <c r="J17" s="42"/>
      <c r="K17" s="42"/>
      <c r="L17" s="60"/>
      <c r="M17" s="42"/>
      <c r="N17" s="42"/>
      <c r="O17" s="67"/>
      <c r="P17" s="67"/>
      <c r="Q17" s="42"/>
      <c r="R17" s="42"/>
      <c r="S17" s="67"/>
      <c r="T17" s="67"/>
      <c r="U17" s="42"/>
      <c r="V17" s="42"/>
      <c r="W17" s="67"/>
      <c r="X17" s="67"/>
      <c r="Y17" s="42"/>
      <c r="Z17" s="42"/>
      <c r="AA17" s="67"/>
      <c r="AB17" s="67"/>
      <c r="AC17" s="42"/>
      <c r="AD17" s="42"/>
      <c r="AE17" s="67"/>
      <c r="AF17" s="67"/>
      <c r="AG17" s="42"/>
      <c r="AH17" s="42"/>
      <c r="AI17" s="67"/>
      <c r="AJ17" s="67"/>
      <c r="AK17" s="42"/>
      <c r="AL17" s="42"/>
      <c r="AM17" s="67"/>
      <c r="AN17" s="67"/>
      <c r="AO17" s="42"/>
      <c r="AP17" s="42"/>
      <c r="AQ17" s="67"/>
      <c r="AR17" s="67"/>
      <c r="AS17" s="42"/>
      <c r="AT17" s="42"/>
      <c r="AU17" s="67"/>
      <c r="AV17" s="67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42"/>
      <c r="CE17" s="42"/>
      <c r="CF17" s="67"/>
      <c r="CG17" s="67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42"/>
      <c r="CZ17" s="42"/>
      <c r="DA17" s="67"/>
      <c r="DB17" s="67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</row>
    <row r="18" ht="15.75" customHeight="1">
      <c r="A18" s="42"/>
      <c r="B18" s="42"/>
      <c r="C18" s="42"/>
      <c r="D18" s="74"/>
      <c r="E18" s="61"/>
      <c r="F18" s="42"/>
      <c r="G18" s="42"/>
      <c r="H18" s="42"/>
      <c r="I18" s="42"/>
      <c r="J18" s="42"/>
      <c r="K18" s="42"/>
      <c r="L18" s="60"/>
      <c r="M18" s="42"/>
      <c r="N18" s="42"/>
      <c r="O18" s="67"/>
      <c r="P18" s="67"/>
      <c r="Q18" s="42"/>
      <c r="R18" s="42"/>
      <c r="S18" s="67"/>
      <c r="T18" s="67"/>
      <c r="U18" s="42"/>
      <c r="V18" s="42"/>
      <c r="W18" s="67"/>
      <c r="X18" s="67"/>
      <c r="Y18" s="42"/>
      <c r="Z18" s="42"/>
      <c r="AA18" s="67"/>
      <c r="AB18" s="67"/>
      <c r="AC18" s="42"/>
      <c r="AD18" s="42"/>
      <c r="AE18" s="67"/>
      <c r="AF18" s="67"/>
      <c r="AG18" s="42"/>
      <c r="AH18" s="42"/>
      <c r="AI18" s="67"/>
      <c r="AJ18" s="67"/>
      <c r="AK18" s="42"/>
      <c r="AL18" s="42"/>
      <c r="AM18" s="67"/>
      <c r="AN18" s="67"/>
      <c r="AO18" s="42"/>
      <c r="AP18" s="42"/>
      <c r="AQ18" s="67"/>
      <c r="AR18" s="67"/>
      <c r="AS18" s="42"/>
      <c r="AT18" s="42"/>
      <c r="AU18" s="67"/>
      <c r="AV18" s="67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42"/>
      <c r="CZ18" s="42"/>
      <c r="DA18" s="67"/>
      <c r="DB18" s="67"/>
      <c r="DC18" s="42"/>
      <c r="DD18" s="42"/>
      <c r="DE18" s="67"/>
      <c r="DF18" s="67"/>
      <c r="DG18" s="42"/>
      <c r="DH18" s="42"/>
      <c r="DI18" s="67"/>
      <c r="DJ18" s="67"/>
      <c r="DK18" s="42"/>
      <c r="DL18" s="42"/>
      <c r="DM18" s="67"/>
      <c r="DN18" s="72"/>
      <c r="DO18" s="72"/>
      <c r="DP18" s="72"/>
      <c r="DQ18" s="72"/>
      <c r="DR18" s="72"/>
      <c r="DS18" s="72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</row>
    <row r="19" ht="15.75" customHeight="1">
      <c r="A19" s="42"/>
      <c r="B19" s="42"/>
      <c r="C19" s="42"/>
      <c r="D19" s="74"/>
      <c r="E19" s="61"/>
      <c r="F19" s="42"/>
      <c r="G19" s="42"/>
      <c r="H19" s="42"/>
      <c r="I19" s="42"/>
      <c r="J19" s="42"/>
      <c r="K19" s="42"/>
      <c r="L19" s="60"/>
      <c r="M19" s="42"/>
      <c r="N19" s="42"/>
      <c r="O19" s="67"/>
      <c r="P19" s="67"/>
      <c r="Q19" s="42"/>
      <c r="R19" s="42"/>
      <c r="S19" s="67"/>
      <c r="T19" s="67"/>
      <c r="U19" s="42"/>
      <c r="V19" s="42"/>
      <c r="W19" s="67"/>
      <c r="X19" s="67"/>
      <c r="Y19" s="42"/>
      <c r="Z19" s="42"/>
      <c r="AA19" s="67"/>
      <c r="AB19" s="67"/>
      <c r="AC19" s="42"/>
      <c r="AD19" s="42"/>
      <c r="AE19" s="67"/>
      <c r="AF19" s="67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42"/>
      <c r="CE19" s="42"/>
      <c r="CF19" s="67"/>
      <c r="CG19" s="67"/>
      <c r="CH19" s="42"/>
      <c r="CI19" s="42"/>
      <c r="CJ19" s="67"/>
      <c r="CK19" s="67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42"/>
      <c r="CZ19" s="42"/>
      <c r="DA19" s="67"/>
      <c r="DB19" s="67"/>
      <c r="DC19" s="42"/>
      <c r="DD19" s="42"/>
      <c r="DE19" s="67"/>
      <c r="DF19" s="67"/>
      <c r="DG19" s="42"/>
      <c r="DH19" s="42"/>
      <c r="DI19" s="67"/>
      <c r="DJ19" s="67"/>
      <c r="DK19" s="42"/>
      <c r="DL19" s="42"/>
      <c r="DM19" s="67"/>
      <c r="DN19" s="72"/>
      <c r="DO19" s="72"/>
      <c r="DP19" s="72"/>
      <c r="DQ19" s="72"/>
      <c r="DR19" s="72"/>
      <c r="DS19" s="72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</row>
    <row r="20" ht="15.75" customHeight="1">
      <c r="A20" s="42"/>
      <c r="B20" s="42"/>
      <c r="C20" s="42"/>
      <c r="D20" s="74"/>
      <c r="E20" s="61"/>
      <c r="F20" s="42"/>
      <c r="G20" s="42"/>
      <c r="H20" s="42"/>
      <c r="I20" s="42"/>
      <c r="J20" s="42"/>
      <c r="K20" s="42"/>
      <c r="L20" s="60"/>
      <c r="M20" s="42"/>
      <c r="N20" s="42"/>
      <c r="O20" s="67"/>
      <c r="P20" s="67"/>
      <c r="Q20" s="42"/>
      <c r="R20" s="42"/>
      <c r="S20" s="67"/>
      <c r="T20" s="67"/>
      <c r="U20" s="42"/>
      <c r="V20" s="42"/>
      <c r="W20" s="67"/>
      <c r="X20" s="67"/>
      <c r="Y20" s="42"/>
      <c r="Z20" s="42"/>
      <c r="AA20" s="67"/>
      <c r="AB20" s="67"/>
      <c r="AC20" s="42"/>
      <c r="AD20" s="42"/>
      <c r="AE20" s="67"/>
      <c r="AF20" s="67"/>
      <c r="AG20" s="60"/>
      <c r="AH20" s="60"/>
      <c r="AI20" s="60"/>
      <c r="AJ20" s="60"/>
      <c r="AK20" s="42"/>
      <c r="AL20" s="42"/>
      <c r="AM20" s="67"/>
      <c r="AN20" s="67"/>
      <c r="AO20" s="42"/>
      <c r="AP20" s="42"/>
      <c r="AQ20" s="67"/>
      <c r="AR20" s="67"/>
      <c r="AS20" s="42"/>
      <c r="AT20" s="42"/>
      <c r="AU20" s="67"/>
      <c r="AV20" s="67"/>
      <c r="AW20" s="42"/>
      <c r="AX20" s="42"/>
      <c r="AY20" s="67"/>
      <c r="AZ20" s="67"/>
      <c r="BA20" s="42"/>
      <c r="BB20" s="42"/>
      <c r="BC20" s="67"/>
      <c r="BD20" s="67"/>
      <c r="BE20" s="42"/>
      <c r="BF20" s="42"/>
      <c r="BG20" s="67"/>
      <c r="BH20" s="67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42"/>
      <c r="CZ20" s="42"/>
      <c r="DA20" s="67"/>
      <c r="DB20" s="67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</row>
    <row r="21" ht="15.75" customHeight="1">
      <c r="A21" s="42"/>
      <c r="B21" s="42"/>
      <c r="C21" s="42"/>
      <c r="D21" s="74"/>
      <c r="E21" s="61"/>
      <c r="F21" s="42"/>
      <c r="G21" s="42"/>
      <c r="H21" s="42"/>
      <c r="I21" s="42"/>
      <c r="J21" s="42"/>
      <c r="K21" s="42"/>
      <c r="L21" s="60"/>
      <c r="M21" s="42"/>
      <c r="N21" s="42"/>
      <c r="O21" s="67"/>
      <c r="P21" s="67"/>
      <c r="Q21" s="42"/>
      <c r="R21" s="42"/>
      <c r="S21" s="67"/>
      <c r="T21" s="67"/>
      <c r="U21" s="42"/>
      <c r="V21" s="42"/>
      <c r="W21" s="67"/>
      <c r="X21" s="67"/>
      <c r="Y21" s="42"/>
      <c r="Z21" s="42"/>
      <c r="AA21" s="67"/>
      <c r="AB21" s="67"/>
      <c r="AC21" s="42"/>
      <c r="AD21" s="42"/>
      <c r="AE21" s="67"/>
      <c r="AF21" s="67"/>
      <c r="AG21" s="42"/>
      <c r="AH21" s="42"/>
      <c r="AI21" s="67"/>
      <c r="AJ21" s="67"/>
      <c r="AK21" s="42"/>
      <c r="AL21" s="42"/>
      <c r="AM21" s="67"/>
      <c r="AN21" s="67"/>
      <c r="AO21" s="42"/>
      <c r="AP21" s="42"/>
      <c r="AQ21" s="67"/>
      <c r="AR21" s="67"/>
      <c r="AS21" s="42"/>
      <c r="AT21" s="42"/>
      <c r="AU21" s="67"/>
      <c r="AV21" s="67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42"/>
      <c r="CZ21" s="42"/>
      <c r="DA21" s="67"/>
      <c r="DB21" s="67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</row>
    <row r="22" ht="15.75" customHeight="1">
      <c r="A22" s="42"/>
      <c r="B22" s="42"/>
      <c r="C22" s="42"/>
      <c r="D22" s="74"/>
      <c r="E22" s="61"/>
      <c r="F22" s="42"/>
      <c r="G22" s="42"/>
      <c r="H22" s="42"/>
      <c r="I22" s="42"/>
      <c r="J22" s="60"/>
      <c r="K22" s="60"/>
      <c r="L22" s="60"/>
      <c r="M22" s="42"/>
      <c r="N22" s="42"/>
      <c r="O22" s="67"/>
      <c r="P22" s="67"/>
      <c r="Q22" s="42"/>
      <c r="R22" s="42"/>
      <c r="S22" s="67"/>
      <c r="T22" s="67"/>
      <c r="U22" s="42"/>
      <c r="V22" s="42"/>
      <c r="W22" s="67"/>
      <c r="X22" s="67"/>
      <c r="Y22" s="42"/>
      <c r="Z22" s="42"/>
      <c r="AA22" s="67"/>
      <c r="AB22" s="67"/>
      <c r="AC22" s="42"/>
      <c r="AD22" s="42"/>
      <c r="AE22" s="67"/>
      <c r="AF22" s="67"/>
      <c r="AG22" s="42"/>
      <c r="AH22" s="42"/>
      <c r="AI22" s="67"/>
      <c r="AJ22" s="67"/>
      <c r="AK22" s="42"/>
      <c r="AL22" s="42"/>
      <c r="AM22" s="67"/>
      <c r="AN22" s="67"/>
      <c r="AO22" s="60"/>
      <c r="AP22" s="60"/>
      <c r="AQ22" s="60"/>
      <c r="AR22" s="60"/>
      <c r="AS22" s="60"/>
      <c r="AT22" s="60"/>
      <c r="AU22" s="60"/>
      <c r="AV22" s="60"/>
      <c r="AW22" s="42"/>
      <c r="AX22" s="42"/>
      <c r="AY22" s="67"/>
      <c r="AZ22" s="67"/>
      <c r="BA22" s="42"/>
      <c r="BB22" s="42"/>
      <c r="BC22" s="67"/>
      <c r="BD22" s="67"/>
      <c r="BE22" s="42"/>
      <c r="BF22" s="42"/>
      <c r="BG22" s="67"/>
      <c r="BH22" s="67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</row>
    <row r="23" ht="15.75" customHeight="1">
      <c r="A23" s="42"/>
      <c r="B23" s="42"/>
      <c r="C23" s="42"/>
      <c r="D23" s="74"/>
      <c r="E23" s="61"/>
      <c r="F23" s="42"/>
      <c r="G23" s="42"/>
      <c r="H23" s="42"/>
      <c r="I23" s="42"/>
      <c r="J23" s="42"/>
      <c r="K23" s="42"/>
      <c r="L23" s="60"/>
      <c r="M23" s="42"/>
      <c r="N23" s="42"/>
      <c r="O23" s="67"/>
      <c r="P23" s="67"/>
      <c r="Q23" s="42"/>
      <c r="R23" s="42"/>
      <c r="S23" s="67"/>
      <c r="T23" s="67"/>
      <c r="U23" s="42"/>
      <c r="V23" s="42"/>
      <c r="W23" s="67"/>
      <c r="X23" s="67"/>
      <c r="Y23" s="42"/>
      <c r="Z23" s="42"/>
      <c r="AA23" s="67"/>
      <c r="AB23" s="67"/>
      <c r="AC23" s="42"/>
      <c r="AD23" s="42"/>
      <c r="AE23" s="67"/>
      <c r="AF23" s="67"/>
      <c r="AG23" s="42"/>
      <c r="AH23" s="42"/>
      <c r="AI23" s="67"/>
      <c r="AJ23" s="67"/>
      <c r="AK23" s="42"/>
      <c r="AL23" s="42"/>
      <c r="AM23" s="67"/>
      <c r="AN23" s="67"/>
      <c r="AO23" s="42"/>
      <c r="AP23" s="42"/>
      <c r="AQ23" s="67"/>
      <c r="AR23" s="67"/>
      <c r="AS23" s="42"/>
      <c r="AT23" s="42"/>
      <c r="AU23" s="67"/>
      <c r="AV23" s="67"/>
      <c r="AW23" s="42"/>
      <c r="AX23" s="42"/>
      <c r="AY23" s="67"/>
      <c r="AZ23" s="67"/>
      <c r="BA23" s="42"/>
      <c r="BB23" s="42"/>
      <c r="BC23" s="67"/>
      <c r="BD23" s="67"/>
      <c r="BE23" s="42"/>
      <c r="BF23" s="42"/>
      <c r="BG23" s="67"/>
      <c r="BH23" s="67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42"/>
      <c r="CE23" s="42"/>
      <c r="CF23" s="67"/>
      <c r="CG23" s="67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42"/>
      <c r="CZ23" s="61"/>
      <c r="DA23" s="67"/>
      <c r="DB23" s="67"/>
      <c r="DC23" s="42"/>
      <c r="DD23" s="42"/>
      <c r="DE23" s="67"/>
      <c r="DF23" s="67"/>
      <c r="DG23" s="42"/>
      <c r="DH23" s="42"/>
      <c r="DI23" s="67"/>
      <c r="DJ23" s="67"/>
      <c r="DK23" s="60"/>
      <c r="DL23" s="60"/>
      <c r="DM23" s="60"/>
      <c r="DN23" s="60"/>
      <c r="DO23" s="60"/>
      <c r="DP23" s="60"/>
      <c r="DQ23" s="60"/>
      <c r="DR23" s="60"/>
      <c r="DS23" s="60"/>
    </row>
    <row r="24" ht="15.75" customHeight="1">
      <c r="A24" s="42"/>
      <c r="B24" s="42"/>
      <c r="C24" s="42"/>
      <c r="D24" s="60"/>
      <c r="E24" s="61"/>
      <c r="F24" s="42"/>
      <c r="G24" s="42"/>
      <c r="H24" s="42"/>
      <c r="I24" s="42"/>
      <c r="J24" s="42"/>
      <c r="K24" s="42"/>
      <c r="L24" s="60"/>
      <c r="M24" s="42"/>
      <c r="N24" s="42"/>
      <c r="O24" s="67"/>
      <c r="P24" s="67"/>
      <c r="Q24" s="42"/>
      <c r="R24" s="42"/>
      <c r="S24" s="67"/>
      <c r="T24" s="67"/>
      <c r="U24" s="42"/>
      <c r="V24" s="42"/>
      <c r="W24" s="67"/>
      <c r="X24" s="67"/>
      <c r="Y24" s="42"/>
      <c r="Z24" s="42"/>
      <c r="AA24" s="67"/>
      <c r="AB24" s="67"/>
      <c r="AC24" s="42"/>
      <c r="AD24" s="42"/>
      <c r="AE24" s="67"/>
      <c r="AF24" s="67"/>
      <c r="AG24" s="42"/>
      <c r="AH24" s="42"/>
      <c r="AI24" s="67"/>
      <c r="AJ24" s="67"/>
      <c r="AK24" s="42"/>
      <c r="AL24" s="42"/>
      <c r="AM24" s="67"/>
      <c r="AN24" s="67"/>
      <c r="AO24" s="42"/>
      <c r="AP24" s="42"/>
      <c r="AQ24" s="67"/>
      <c r="AR24" s="67"/>
      <c r="AS24" s="42"/>
      <c r="AT24" s="42"/>
      <c r="AU24" s="67"/>
      <c r="AV24" s="67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42"/>
      <c r="CE24" s="42"/>
      <c r="CF24" s="71"/>
      <c r="CG24" s="71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</row>
    <row r="25" ht="15.75" customHeight="1">
      <c r="A25" s="42"/>
      <c r="B25" s="42"/>
      <c r="C25" s="42"/>
      <c r="D25" s="60"/>
      <c r="E25" s="61"/>
      <c r="F25" s="42"/>
      <c r="G25" s="42"/>
      <c r="H25" s="42"/>
      <c r="I25" s="42"/>
      <c r="J25" s="42"/>
      <c r="K25" s="42"/>
      <c r="L25" s="60"/>
      <c r="M25" s="42"/>
      <c r="N25" s="42"/>
      <c r="O25" s="67"/>
      <c r="P25" s="67"/>
      <c r="Q25" s="42"/>
      <c r="R25" s="42"/>
      <c r="S25" s="67"/>
      <c r="T25" s="67"/>
      <c r="U25" s="42"/>
      <c r="V25" s="42"/>
      <c r="W25" s="67"/>
      <c r="X25" s="67"/>
      <c r="Y25" s="42"/>
      <c r="Z25" s="42"/>
      <c r="AA25" s="67"/>
      <c r="AB25" s="67"/>
      <c r="AC25" s="42"/>
      <c r="AD25" s="42"/>
      <c r="AE25" s="67"/>
      <c r="AF25" s="67"/>
      <c r="AG25" s="42"/>
      <c r="AH25" s="42"/>
      <c r="AI25" s="67"/>
      <c r="AJ25" s="67"/>
      <c r="AK25" s="42"/>
      <c r="AL25" s="42"/>
      <c r="AM25" s="67"/>
      <c r="AN25" s="67"/>
      <c r="AO25" s="42"/>
      <c r="AP25" s="42"/>
      <c r="AQ25" s="67"/>
      <c r="AR25" s="67"/>
      <c r="AS25" s="42"/>
      <c r="AT25" s="42"/>
      <c r="AU25" s="67"/>
      <c r="AV25" s="67"/>
      <c r="AW25" s="42"/>
      <c r="AX25" s="42"/>
      <c r="AY25" s="67"/>
      <c r="AZ25" s="67"/>
      <c r="BA25" s="42"/>
      <c r="BB25" s="42"/>
      <c r="BC25" s="67"/>
      <c r="BD25" s="67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</row>
    <row r="26" ht="15.75" customHeight="1">
      <c r="A26" s="42"/>
      <c r="B26" s="42"/>
      <c r="C26" s="42"/>
      <c r="D26" s="60"/>
      <c r="E26" s="61"/>
      <c r="F26" s="42"/>
      <c r="G26" s="42"/>
      <c r="H26" s="42"/>
      <c r="I26" s="42"/>
      <c r="J26" s="42"/>
      <c r="K26" s="42"/>
      <c r="L26" s="60"/>
      <c r="M26" s="42"/>
      <c r="N26" s="42"/>
      <c r="O26" s="67"/>
      <c r="P26" s="67"/>
      <c r="Q26" s="42"/>
      <c r="R26" s="42"/>
      <c r="S26" s="67"/>
      <c r="T26" s="67"/>
      <c r="U26" s="42"/>
      <c r="V26" s="42"/>
      <c r="W26" s="67"/>
      <c r="X26" s="67"/>
      <c r="Y26" s="42"/>
      <c r="Z26" s="42"/>
      <c r="AA26" s="67"/>
      <c r="AB26" s="67"/>
      <c r="AC26" s="42"/>
      <c r="AD26" s="42"/>
      <c r="AE26" s="67"/>
      <c r="AF26" s="67"/>
      <c r="AG26" s="42"/>
      <c r="AH26" s="42"/>
      <c r="AI26" s="67"/>
      <c r="AJ26" s="67"/>
      <c r="AK26" s="42"/>
      <c r="AL26" s="42"/>
      <c r="AM26" s="67"/>
      <c r="AN26" s="67"/>
      <c r="AO26" s="42"/>
      <c r="AP26" s="42"/>
      <c r="AQ26" s="67"/>
      <c r="AR26" s="67"/>
      <c r="AS26" s="42"/>
      <c r="AT26" s="42"/>
      <c r="AU26" s="67"/>
      <c r="AV26" s="67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42"/>
      <c r="CE26" s="42"/>
      <c r="CF26" s="71"/>
      <c r="CG26" s="71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</row>
    <row r="27" ht="15.75" customHeight="1">
      <c r="A27" s="42"/>
      <c r="B27" s="42"/>
      <c r="C27" s="42"/>
      <c r="D27" s="60"/>
      <c r="E27" s="61"/>
      <c r="F27" s="42"/>
      <c r="G27" s="42"/>
      <c r="H27" s="42"/>
      <c r="I27" s="42"/>
      <c r="J27" s="60"/>
      <c r="K27" s="60"/>
      <c r="L27" s="60"/>
      <c r="M27" s="42"/>
      <c r="N27" s="42"/>
      <c r="O27" s="67"/>
      <c r="P27" s="67"/>
      <c r="Q27" s="42"/>
      <c r="R27" s="42"/>
      <c r="S27" s="67"/>
      <c r="T27" s="67"/>
      <c r="U27" s="42"/>
      <c r="V27" s="42"/>
      <c r="W27" s="67"/>
      <c r="X27" s="67"/>
      <c r="Y27" s="42"/>
      <c r="Z27" s="42"/>
      <c r="AA27" s="67"/>
      <c r="AB27" s="67"/>
      <c r="AC27" s="42"/>
      <c r="AD27" s="42"/>
      <c r="AE27" s="67"/>
      <c r="AF27" s="67"/>
      <c r="AG27" s="42"/>
      <c r="AH27" s="42"/>
      <c r="AI27" s="67"/>
      <c r="AJ27" s="67"/>
      <c r="AK27" s="42"/>
      <c r="AL27" s="42"/>
      <c r="AM27" s="67"/>
      <c r="AN27" s="67"/>
      <c r="AO27" s="42"/>
      <c r="AP27" s="42"/>
      <c r="AQ27" s="67"/>
      <c r="AR27" s="67"/>
      <c r="AS27" s="42"/>
      <c r="AT27" s="42"/>
      <c r="AU27" s="67"/>
      <c r="AV27" s="67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42"/>
      <c r="CE27" s="42"/>
      <c r="CF27" s="67"/>
      <c r="CG27" s="67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</row>
    <row r="28" ht="15.75" customHeight="1">
      <c r="A28" s="42"/>
      <c r="B28" s="42"/>
      <c r="C28" s="42"/>
      <c r="D28" s="60"/>
      <c r="E28" s="61"/>
      <c r="F28" s="42"/>
      <c r="G28" s="42"/>
      <c r="H28" s="42"/>
      <c r="I28" s="42"/>
      <c r="J28" s="60"/>
      <c r="K28" s="60"/>
      <c r="L28" s="60"/>
      <c r="M28" s="42"/>
      <c r="N28" s="42"/>
      <c r="O28" s="67"/>
      <c r="P28" s="67"/>
      <c r="Q28" s="42"/>
      <c r="R28" s="42"/>
      <c r="S28" s="67"/>
      <c r="T28" s="67"/>
      <c r="U28" s="42"/>
      <c r="V28" s="42"/>
      <c r="W28" s="67"/>
      <c r="X28" s="67"/>
      <c r="Y28" s="42"/>
      <c r="Z28" s="42"/>
      <c r="AA28" s="67"/>
      <c r="AB28" s="67"/>
      <c r="AC28" s="42"/>
      <c r="AD28" s="42"/>
      <c r="AE28" s="67"/>
      <c r="AF28" s="67"/>
      <c r="AG28" s="42"/>
      <c r="AH28" s="42"/>
      <c r="AI28" s="67"/>
      <c r="AJ28" s="67"/>
      <c r="AK28" s="42"/>
      <c r="AL28" s="42"/>
      <c r="AM28" s="67"/>
      <c r="AN28" s="67"/>
      <c r="AO28" s="42"/>
      <c r="AP28" s="42"/>
      <c r="AQ28" s="67"/>
      <c r="AR28" s="67"/>
      <c r="AS28" s="42"/>
      <c r="AT28" s="42"/>
      <c r="AU28" s="67"/>
      <c r="AV28" s="67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42"/>
      <c r="CE28" s="42"/>
      <c r="CF28" s="67"/>
      <c r="CG28" s="67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42"/>
      <c r="CZ28" s="42"/>
      <c r="DA28" s="67"/>
      <c r="DB28" s="67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</row>
    <row r="29" ht="15.75" customHeight="1">
      <c r="A29" s="42"/>
      <c r="B29" s="42"/>
      <c r="C29" s="42"/>
      <c r="D29" s="60"/>
      <c r="E29" s="61"/>
      <c r="F29" s="42"/>
      <c r="G29" s="42"/>
      <c r="H29" s="42"/>
      <c r="I29" s="42"/>
      <c r="J29" s="60"/>
      <c r="K29" s="60"/>
      <c r="L29" s="60"/>
      <c r="M29" s="42"/>
      <c r="N29" s="42"/>
      <c r="O29" s="67"/>
      <c r="P29" s="67"/>
      <c r="Q29" s="42"/>
      <c r="R29" s="42"/>
      <c r="S29" s="67"/>
      <c r="T29" s="67"/>
      <c r="U29" s="42"/>
      <c r="V29" s="42"/>
      <c r="W29" s="67"/>
      <c r="X29" s="67"/>
      <c r="Y29" s="42"/>
      <c r="Z29" s="42"/>
      <c r="AA29" s="67"/>
      <c r="AB29" s="67"/>
      <c r="AC29" s="42"/>
      <c r="AD29" s="42"/>
      <c r="AE29" s="67"/>
      <c r="AF29" s="67"/>
      <c r="AG29" s="42"/>
      <c r="AH29" s="42"/>
      <c r="AI29" s="67"/>
      <c r="AJ29" s="67"/>
      <c r="AK29" s="42"/>
      <c r="AL29" s="42"/>
      <c r="AM29" s="67"/>
      <c r="AN29" s="67"/>
      <c r="AO29" s="42"/>
      <c r="AP29" s="42"/>
      <c r="AQ29" s="67"/>
      <c r="AR29" s="67"/>
      <c r="AS29" s="42"/>
      <c r="AT29" s="42"/>
      <c r="AU29" s="67"/>
      <c r="AV29" s="67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42"/>
      <c r="CE29" s="42"/>
      <c r="CF29" s="67"/>
      <c r="CG29" s="67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</row>
    <row r="30" ht="15.75" customHeight="1">
      <c r="A30" s="42"/>
      <c r="B30" s="42"/>
      <c r="C30" s="42"/>
      <c r="D30" s="60"/>
      <c r="E30" s="61"/>
      <c r="F30" s="42"/>
      <c r="G30" s="42"/>
      <c r="H30" s="42"/>
      <c r="I30" s="42"/>
      <c r="J30" s="60"/>
      <c r="K30" s="60"/>
      <c r="L30" s="60"/>
      <c r="M30" s="42"/>
      <c r="N30" s="42"/>
      <c r="O30" s="67"/>
      <c r="P30" s="67"/>
      <c r="Q30" s="42"/>
      <c r="R30" s="42"/>
      <c r="S30" s="67"/>
      <c r="T30" s="67"/>
      <c r="U30" s="42"/>
      <c r="V30" s="42"/>
      <c r="W30" s="67"/>
      <c r="X30" s="67"/>
      <c r="Y30" s="42"/>
      <c r="Z30" s="42"/>
      <c r="AA30" s="67"/>
      <c r="AB30" s="67"/>
      <c r="AC30" s="42"/>
      <c r="AD30" s="42"/>
      <c r="AE30" s="67"/>
      <c r="AF30" s="67"/>
      <c r="AG30" s="42"/>
      <c r="AH30" s="42"/>
      <c r="AI30" s="67"/>
      <c r="AJ30" s="67"/>
      <c r="AK30" s="42"/>
      <c r="AL30" s="42"/>
      <c r="AM30" s="67"/>
      <c r="AN30" s="67"/>
      <c r="AO30" s="42"/>
      <c r="AP30" s="42"/>
      <c r="AQ30" s="67"/>
      <c r="AR30" s="67"/>
      <c r="AS30" s="42"/>
      <c r="AT30" s="42"/>
      <c r="AU30" s="67"/>
      <c r="AV30" s="67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42"/>
      <c r="CE30" s="42"/>
      <c r="CF30" s="67"/>
      <c r="CG30" s="67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42"/>
      <c r="CZ30" s="42"/>
      <c r="DA30" s="67"/>
      <c r="DB30" s="67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</row>
    <row r="31" ht="15.75" customHeight="1">
      <c r="A31" s="42"/>
      <c r="B31" s="42"/>
      <c r="C31" s="42"/>
      <c r="D31" s="60"/>
      <c r="E31" s="61"/>
      <c r="F31" s="42"/>
      <c r="G31" s="42"/>
      <c r="H31" s="42"/>
      <c r="I31" s="42"/>
      <c r="J31" s="60"/>
      <c r="K31" s="60"/>
      <c r="L31" s="60"/>
      <c r="M31" s="42"/>
      <c r="N31" s="42"/>
      <c r="O31" s="67"/>
      <c r="P31" s="67"/>
      <c r="Q31" s="42"/>
      <c r="R31" s="42"/>
      <c r="S31" s="67"/>
      <c r="T31" s="67"/>
      <c r="U31" s="42"/>
      <c r="V31" s="42"/>
      <c r="W31" s="67"/>
      <c r="X31" s="67"/>
      <c r="Y31" s="42"/>
      <c r="Z31" s="42"/>
      <c r="AA31" s="67"/>
      <c r="AB31" s="67"/>
      <c r="AC31" s="42"/>
      <c r="AD31" s="42"/>
      <c r="AE31" s="67"/>
      <c r="AF31" s="67"/>
      <c r="AG31" s="42"/>
      <c r="AH31" s="42"/>
      <c r="AI31" s="67"/>
      <c r="AJ31" s="67"/>
      <c r="AK31" s="42"/>
      <c r="AL31" s="42"/>
      <c r="AM31" s="67"/>
      <c r="AN31" s="67"/>
      <c r="AO31" s="42"/>
      <c r="AP31" s="42"/>
      <c r="AQ31" s="67"/>
      <c r="AR31" s="67"/>
      <c r="AS31" s="42"/>
      <c r="AT31" s="42"/>
      <c r="AU31" s="67"/>
      <c r="AV31" s="67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42"/>
      <c r="CE31" s="42"/>
      <c r="CF31" s="67"/>
      <c r="CG31" s="67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42"/>
      <c r="CZ31" s="42"/>
      <c r="DA31" s="67"/>
      <c r="DB31" s="67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</row>
    <row r="32" ht="15.75" customHeight="1">
      <c r="A32" s="42"/>
      <c r="B32" s="42"/>
      <c r="C32" s="42"/>
      <c r="D32" s="60"/>
      <c r="E32" s="61"/>
      <c r="F32" s="42"/>
      <c r="G32" s="42"/>
      <c r="H32" s="60"/>
      <c r="I32" s="60"/>
      <c r="J32" s="60"/>
      <c r="K32" s="60"/>
      <c r="L32" s="60"/>
      <c r="M32" s="42"/>
      <c r="N32" s="42"/>
      <c r="O32" s="67"/>
      <c r="P32" s="67"/>
      <c r="Q32" s="42"/>
      <c r="R32" s="42"/>
      <c r="S32" s="67"/>
      <c r="T32" s="67"/>
      <c r="U32" s="42"/>
      <c r="V32" s="42"/>
      <c r="W32" s="67"/>
      <c r="X32" s="67"/>
      <c r="Y32" s="42"/>
      <c r="Z32" s="42"/>
      <c r="AA32" s="67"/>
      <c r="AB32" s="67"/>
      <c r="AC32" s="42"/>
      <c r="AD32" s="42"/>
      <c r="AE32" s="67"/>
      <c r="AF32" s="67"/>
      <c r="AG32" s="60"/>
      <c r="AH32" s="60"/>
      <c r="AI32" s="72"/>
      <c r="AJ32" s="72"/>
      <c r="AK32" s="42"/>
      <c r="AL32" s="67"/>
      <c r="AM32" s="67"/>
      <c r="AN32" s="67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42"/>
      <c r="CZ32" s="67"/>
      <c r="DA32" s="67"/>
      <c r="DB32" s="67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</row>
    <row r="33" ht="15.75" customHeight="1">
      <c r="A33" s="42"/>
      <c r="B33" s="42"/>
      <c r="C33" s="42"/>
      <c r="D33" s="60"/>
      <c r="E33" s="61"/>
      <c r="F33" s="42"/>
      <c r="G33" s="42"/>
      <c r="H33" s="42"/>
      <c r="I33" s="67"/>
      <c r="J33" s="60"/>
      <c r="K33" s="60"/>
      <c r="L33" s="60"/>
      <c r="M33" s="42"/>
      <c r="N33" s="42"/>
      <c r="O33" s="67"/>
      <c r="P33" s="67"/>
      <c r="Q33" s="42"/>
      <c r="R33" s="42"/>
      <c r="S33" s="67"/>
      <c r="T33" s="67"/>
      <c r="U33" s="42"/>
      <c r="V33" s="42"/>
      <c r="W33" s="67"/>
      <c r="X33" s="67"/>
      <c r="Y33" s="42"/>
      <c r="Z33" s="42"/>
      <c r="AA33" s="67"/>
      <c r="AB33" s="67"/>
      <c r="AC33" s="42"/>
      <c r="AD33" s="42"/>
      <c r="AE33" s="67"/>
      <c r="AF33" s="67"/>
      <c r="AG33" s="42"/>
      <c r="AH33" s="42"/>
      <c r="AI33" s="67"/>
      <c r="AJ33" s="67"/>
      <c r="AK33" s="42"/>
      <c r="AL33" s="42"/>
      <c r="AM33" s="67"/>
      <c r="AN33" s="67"/>
      <c r="AO33" s="42"/>
      <c r="AP33" s="42"/>
      <c r="AQ33" s="67"/>
      <c r="AR33" s="67"/>
      <c r="AS33" s="42"/>
      <c r="AT33" s="42"/>
      <c r="AU33" s="67"/>
      <c r="AV33" s="67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42"/>
      <c r="CE33" s="78"/>
      <c r="CF33" s="79"/>
      <c r="CG33" s="79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42"/>
      <c r="CZ33" s="42"/>
      <c r="DA33" s="79"/>
      <c r="DB33" s="79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</row>
    <row r="34" ht="15.75" customHeight="1">
      <c r="A34" s="42"/>
      <c r="B34" s="42"/>
      <c r="C34" s="42"/>
      <c r="D34" s="60"/>
      <c r="E34" s="61"/>
      <c r="F34" s="42"/>
      <c r="G34" s="42"/>
      <c r="H34" s="42"/>
      <c r="I34" s="67"/>
      <c r="J34" s="60"/>
      <c r="K34" s="60"/>
      <c r="L34" s="60"/>
      <c r="M34" s="42"/>
      <c r="N34" s="42"/>
      <c r="O34" s="67"/>
      <c r="P34" s="67"/>
      <c r="Q34" s="42"/>
      <c r="R34" s="42"/>
      <c r="S34" s="67"/>
      <c r="T34" s="67"/>
      <c r="U34" s="42"/>
      <c r="V34" s="42"/>
      <c r="W34" s="67"/>
      <c r="X34" s="67"/>
      <c r="Y34" s="42"/>
      <c r="Z34" s="42"/>
      <c r="AA34" s="67"/>
      <c r="AB34" s="67"/>
      <c r="AC34" s="42"/>
      <c r="AD34" s="42"/>
      <c r="AE34" s="67"/>
      <c r="AF34" s="67"/>
      <c r="AG34" s="60"/>
      <c r="AH34" s="60"/>
      <c r="AI34" s="60"/>
      <c r="AJ34" s="60"/>
      <c r="AK34" s="42"/>
      <c r="AL34" s="42"/>
      <c r="AM34" s="67"/>
      <c r="AN34" s="67"/>
      <c r="AO34" s="42"/>
      <c r="AP34" s="42"/>
      <c r="AQ34" s="67"/>
      <c r="AR34" s="67"/>
      <c r="AS34" s="42"/>
      <c r="AT34" s="42"/>
      <c r="AU34" s="67"/>
      <c r="AV34" s="67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42"/>
      <c r="CZ34" s="42"/>
      <c r="DA34" s="67"/>
      <c r="DB34" s="67"/>
      <c r="DC34" s="42"/>
      <c r="DD34" s="42"/>
      <c r="DE34" s="67"/>
      <c r="DF34" s="67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</row>
    <row r="35" ht="15.75" customHeight="1">
      <c r="A35" s="42"/>
      <c r="B35" s="42"/>
      <c r="C35" s="42"/>
      <c r="D35" s="60"/>
      <c r="E35" s="61"/>
      <c r="F35" s="42"/>
      <c r="G35" s="42"/>
      <c r="H35" s="42"/>
      <c r="I35" s="42"/>
      <c r="J35" s="60"/>
      <c r="K35" s="60"/>
      <c r="L35" s="60"/>
      <c r="M35" s="42"/>
      <c r="N35" s="42"/>
      <c r="O35" s="67"/>
      <c r="P35" s="67"/>
      <c r="Q35" s="42"/>
      <c r="R35" s="42"/>
      <c r="S35" s="67"/>
      <c r="T35" s="67"/>
      <c r="U35" s="42"/>
      <c r="V35" s="42"/>
      <c r="W35" s="67"/>
      <c r="X35" s="67"/>
      <c r="Y35" s="42"/>
      <c r="Z35" s="42"/>
      <c r="AA35" s="67"/>
      <c r="AB35" s="67"/>
      <c r="AC35" s="42"/>
      <c r="AD35" s="42"/>
      <c r="AE35" s="67"/>
      <c r="AF35" s="67"/>
      <c r="AG35" s="42"/>
      <c r="AH35" s="42"/>
      <c r="AI35" s="67"/>
      <c r="AJ35" s="67"/>
      <c r="AK35" s="42"/>
      <c r="AL35" s="42"/>
      <c r="AM35" s="67"/>
      <c r="AN35" s="67"/>
      <c r="AO35" s="42"/>
      <c r="AP35" s="42"/>
      <c r="AQ35" s="67"/>
      <c r="AR35" s="67"/>
      <c r="AS35" s="42"/>
      <c r="AT35" s="42"/>
      <c r="AU35" s="67"/>
      <c r="AV35" s="67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42"/>
      <c r="CZ35" s="42"/>
      <c r="DA35" s="67"/>
      <c r="DB35" s="67"/>
      <c r="DC35" s="42"/>
      <c r="DD35" s="42"/>
      <c r="DE35" s="67"/>
      <c r="DF35" s="67"/>
      <c r="DG35" s="42"/>
      <c r="DH35" s="42"/>
      <c r="DI35" s="67"/>
      <c r="DJ35" s="67"/>
      <c r="DK35" s="60"/>
      <c r="DL35" s="60"/>
      <c r="DM35" s="60"/>
      <c r="DN35" s="60"/>
      <c r="DO35" s="60"/>
      <c r="DP35" s="60"/>
      <c r="DQ35" s="60"/>
      <c r="DR35" s="60"/>
      <c r="DS35" s="60"/>
    </row>
    <row r="36" ht="15.75" customHeight="1">
      <c r="A36" s="42"/>
      <c r="B36" s="42"/>
      <c r="C36" s="42"/>
      <c r="D36" s="60"/>
      <c r="E36" s="61"/>
      <c r="F36" s="42"/>
      <c r="G36" s="42"/>
      <c r="H36" s="42"/>
      <c r="I36" s="42"/>
      <c r="J36" s="60"/>
      <c r="K36" s="60"/>
      <c r="L36" s="60"/>
      <c r="M36" s="42"/>
      <c r="N36" s="42"/>
      <c r="O36" s="67"/>
      <c r="P36" s="67"/>
      <c r="Q36" s="42"/>
      <c r="R36" s="42"/>
      <c r="S36" s="67"/>
      <c r="T36" s="67"/>
      <c r="U36" s="42"/>
      <c r="V36" s="42"/>
      <c r="W36" s="67"/>
      <c r="X36" s="67"/>
      <c r="Y36" s="42"/>
      <c r="Z36" s="42"/>
      <c r="AA36" s="67"/>
      <c r="AB36" s="67"/>
      <c r="AC36" s="42"/>
      <c r="AD36" s="42"/>
      <c r="AE36" s="67"/>
      <c r="AF36" s="67"/>
      <c r="AG36" s="42"/>
      <c r="AH36" s="42"/>
      <c r="AI36" s="67"/>
      <c r="AJ36" s="67"/>
      <c r="AK36" s="42"/>
      <c r="AL36" s="42"/>
      <c r="AM36" s="67"/>
      <c r="AN36" s="67"/>
      <c r="AO36" s="42"/>
      <c r="AP36" s="42"/>
      <c r="AQ36" s="67"/>
      <c r="AR36" s="67"/>
      <c r="AS36" s="42"/>
      <c r="AT36" s="42"/>
      <c r="AU36" s="67"/>
      <c r="AV36" s="67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42"/>
      <c r="CZ36" s="42"/>
      <c r="DA36" s="67"/>
      <c r="DB36" s="67"/>
      <c r="DC36" s="42"/>
      <c r="DD36" s="42"/>
      <c r="DE36" s="67"/>
      <c r="DF36" s="67"/>
      <c r="DG36" s="42"/>
      <c r="DH36" s="42"/>
      <c r="DI36" s="67"/>
      <c r="DJ36" s="67"/>
      <c r="DK36" s="60"/>
      <c r="DL36" s="60"/>
      <c r="DM36" s="60"/>
      <c r="DN36" s="60"/>
      <c r="DO36" s="60"/>
      <c r="DP36" s="60"/>
      <c r="DQ36" s="60"/>
      <c r="DR36" s="60"/>
      <c r="DS36" s="60"/>
    </row>
    <row r="37" ht="15.75" customHeight="1">
      <c r="A37" s="42"/>
      <c r="B37" s="42"/>
      <c r="C37" s="42"/>
      <c r="D37" s="60"/>
      <c r="E37" s="61"/>
      <c r="F37" s="42"/>
      <c r="G37" s="42"/>
      <c r="H37" s="60"/>
      <c r="I37" s="60"/>
      <c r="J37" s="60"/>
      <c r="K37" s="60"/>
      <c r="L37" s="60"/>
      <c r="M37" s="42"/>
      <c r="N37" s="42"/>
      <c r="O37" s="67"/>
      <c r="P37" s="67"/>
      <c r="Q37" s="42"/>
      <c r="R37" s="42"/>
      <c r="S37" s="67"/>
      <c r="T37" s="67"/>
      <c r="U37" s="42"/>
      <c r="V37" s="42"/>
      <c r="W37" s="67"/>
      <c r="X37" s="67"/>
      <c r="Y37" s="42"/>
      <c r="Z37" s="42"/>
      <c r="AA37" s="67"/>
      <c r="AB37" s="67"/>
      <c r="AC37" s="42"/>
      <c r="AD37" s="42"/>
      <c r="AE37" s="67"/>
      <c r="AF37" s="67"/>
      <c r="AG37" s="42"/>
      <c r="AH37" s="42"/>
      <c r="AI37" s="67"/>
      <c r="AJ37" s="67"/>
      <c r="AK37" s="42"/>
      <c r="AL37" s="42"/>
      <c r="AM37" s="67"/>
      <c r="AN37" s="67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42"/>
      <c r="CE37" s="78"/>
      <c r="CF37" s="79"/>
      <c r="CG37" s="79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</row>
    <row r="38" ht="15.75" customHeight="1">
      <c r="A38" s="42"/>
      <c r="B38" s="42"/>
      <c r="C38" s="42"/>
      <c r="D38" s="60"/>
      <c r="E38" s="61"/>
      <c r="F38" s="42"/>
      <c r="G38" s="42"/>
      <c r="H38" s="60"/>
      <c r="I38" s="60"/>
      <c r="J38" s="60"/>
      <c r="K38" s="60"/>
      <c r="L38" s="60"/>
      <c r="M38" s="42"/>
      <c r="N38" s="42"/>
      <c r="O38" s="67"/>
      <c r="P38" s="67"/>
      <c r="Q38" s="42"/>
      <c r="R38" s="42"/>
      <c r="S38" s="67"/>
      <c r="T38" s="67"/>
      <c r="U38" s="42"/>
      <c r="V38" s="42"/>
      <c r="W38" s="67"/>
      <c r="X38" s="67"/>
      <c r="Y38" s="42"/>
      <c r="Z38" s="42"/>
      <c r="AA38" s="67"/>
      <c r="AB38" s="67"/>
      <c r="AC38" s="42"/>
      <c r="AD38" s="42"/>
      <c r="AE38" s="67"/>
      <c r="AF38" s="67"/>
      <c r="AG38" s="42"/>
      <c r="AH38" s="42"/>
      <c r="AI38" s="67"/>
      <c r="AJ38" s="67"/>
      <c r="AK38" s="42"/>
      <c r="AL38" s="42"/>
      <c r="AM38" s="67"/>
      <c r="AN38" s="67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42"/>
      <c r="CE38" s="78"/>
      <c r="CF38" s="79"/>
      <c r="CG38" s="79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</row>
    <row r="39" ht="15.75" customHeight="1">
      <c r="A39" s="42"/>
      <c r="B39" s="42"/>
      <c r="C39" s="42"/>
      <c r="D39" s="60"/>
      <c r="E39" s="61"/>
      <c r="F39" s="42"/>
      <c r="G39" s="42"/>
      <c r="H39" s="60"/>
      <c r="I39" s="60"/>
      <c r="J39" s="60"/>
      <c r="K39" s="60"/>
      <c r="L39" s="80"/>
      <c r="M39" s="42"/>
      <c r="N39" s="42"/>
      <c r="O39" s="67"/>
      <c r="P39" s="67"/>
      <c r="Q39" s="42"/>
      <c r="R39" s="42"/>
      <c r="S39" s="67"/>
      <c r="T39" s="67"/>
      <c r="U39" s="42"/>
      <c r="V39" s="42"/>
      <c r="W39" s="67"/>
      <c r="X39" s="67"/>
      <c r="Y39" s="42"/>
      <c r="Z39" s="42"/>
      <c r="AA39" s="67"/>
      <c r="AB39" s="67"/>
      <c r="AC39" s="42"/>
      <c r="AD39" s="42"/>
      <c r="AE39" s="67"/>
      <c r="AF39" s="67"/>
      <c r="AG39" s="42"/>
      <c r="AH39" s="42"/>
      <c r="AI39" s="67"/>
      <c r="AJ39" s="67"/>
      <c r="AK39" s="42"/>
      <c r="AL39" s="42"/>
      <c r="AM39" s="67"/>
      <c r="AN39" s="67"/>
      <c r="AO39" s="42"/>
      <c r="AP39" s="42"/>
      <c r="AQ39" s="67"/>
      <c r="AR39" s="67"/>
      <c r="AS39" s="42"/>
      <c r="AT39" s="42"/>
      <c r="AU39" s="67"/>
      <c r="AV39" s="67"/>
      <c r="AW39" s="42"/>
      <c r="AX39" s="42"/>
      <c r="AY39" s="67"/>
      <c r="AZ39" s="67"/>
      <c r="BA39" s="42"/>
      <c r="BB39" s="42"/>
      <c r="BC39" s="67"/>
      <c r="BD39" s="67"/>
      <c r="BE39" s="42"/>
      <c r="BF39" s="42"/>
      <c r="BG39" s="67"/>
      <c r="BH39" s="67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42"/>
      <c r="CE39" s="42"/>
      <c r="CF39" s="67"/>
      <c r="CG39" s="67"/>
      <c r="CH39" s="42"/>
      <c r="CI39" s="42"/>
      <c r="CJ39" s="67"/>
      <c r="CK39" s="67"/>
      <c r="CL39" s="42"/>
      <c r="CM39" s="42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60"/>
      <c r="CY39" s="42"/>
      <c r="CZ39" s="42"/>
      <c r="DA39" s="61"/>
      <c r="DB39" s="61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</row>
    <row r="40" ht="15.75" customHeight="1">
      <c r="A40" s="42"/>
      <c r="B40" s="42"/>
      <c r="C40" s="42"/>
      <c r="D40" s="60"/>
      <c r="E40" s="61"/>
      <c r="F40" s="42"/>
      <c r="G40" s="42"/>
      <c r="H40" s="42"/>
      <c r="I40" s="42"/>
      <c r="J40" s="42"/>
      <c r="K40" s="42"/>
      <c r="L40" s="80"/>
      <c r="M40" s="42"/>
      <c r="N40" s="42"/>
      <c r="O40" s="67"/>
      <c r="P40" s="67"/>
      <c r="Q40" s="42"/>
      <c r="R40" s="42"/>
      <c r="S40" s="67"/>
      <c r="T40" s="67"/>
      <c r="U40" s="42"/>
      <c r="V40" s="42"/>
      <c r="W40" s="67"/>
      <c r="X40" s="67"/>
      <c r="Y40" s="42"/>
      <c r="Z40" s="42"/>
      <c r="AA40" s="67"/>
      <c r="AB40" s="67"/>
      <c r="AC40" s="42"/>
      <c r="AD40" s="42"/>
      <c r="AE40" s="67"/>
      <c r="AF40" s="67"/>
      <c r="AG40" s="42"/>
      <c r="AH40" s="42"/>
      <c r="AI40" s="67"/>
      <c r="AJ40" s="67"/>
      <c r="AK40" s="42"/>
      <c r="AL40" s="42"/>
      <c r="AM40" s="67"/>
      <c r="AN40" s="67"/>
      <c r="AO40" s="42"/>
      <c r="AP40" s="42"/>
      <c r="AQ40" s="67"/>
      <c r="AR40" s="67"/>
      <c r="AS40" s="42"/>
      <c r="AT40" s="42"/>
      <c r="AU40" s="67"/>
      <c r="AV40" s="67"/>
      <c r="AW40" s="42"/>
      <c r="AX40" s="42"/>
      <c r="AY40" s="67"/>
      <c r="AZ40" s="67"/>
      <c r="BA40" s="42"/>
      <c r="BB40" s="42"/>
      <c r="BC40" s="67"/>
      <c r="BD40" s="67"/>
      <c r="BE40" s="42"/>
      <c r="BF40" s="42"/>
      <c r="BG40" s="67"/>
      <c r="BH40" s="67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42"/>
      <c r="CE40" s="42"/>
      <c r="CF40" s="67"/>
      <c r="CG40" s="67"/>
      <c r="CH40" s="42"/>
      <c r="CI40" s="42"/>
      <c r="CJ40" s="67"/>
      <c r="CK40" s="67"/>
      <c r="CL40" s="42"/>
      <c r="CM40" s="42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60"/>
      <c r="CY40" s="42"/>
      <c r="CZ40" s="42"/>
      <c r="DA40" s="61"/>
      <c r="DB40" s="61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</row>
    <row r="41" ht="15.75" customHeight="1">
      <c r="A41" s="60"/>
      <c r="B41" s="60"/>
      <c r="C41" s="60"/>
      <c r="D41" s="60"/>
      <c r="E41" s="61"/>
      <c r="F41" s="53"/>
      <c r="G41" s="53"/>
      <c r="H41" s="42"/>
      <c r="I41" s="61"/>
      <c r="J41" s="42"/>
      <c r="K41" s="61"/>
      <c r="L41" s="60"/>
      <c r="M41" s="81"/>
      <c r="N41" s="81"/>
      <c r="O41" s="67"/>
      <c r="P41" s="67"/>
      <c r="Q41" s="42"/>
      <c r="R41" s="82"/>
      <c r="S41" s="83"/>
      <c r="T41" s="83"/>
      <c r="U41" s="42"/>
      <c r="V41" s="84"/>
      <c r="W41" s="83"/>
      <c r="X41" s="83"/>
      <c r="Y41" s="42"/>
      <c r="Z41" s="42"/>
      <c r="AA41" s="85"/>
      <c r="AB41" s="85"/>
      <c r="AC41" s="42"/>
      <c r="AD41" s="61"/>
      <c r="AE41" s="61"/>
      <c r="AF41" s="61"/>
      <c r="AG41" s="42"/>
      <c r="AH41" s="61"/>
      <c r="AI41" s="61"/>
      <c r="AJ41" s="61"/>
      <c r="AK41" s="42"/>
      <c r="AL41" s="61"/>
      <c r="AM41" s="61"/>
      <c r="AN41" s="61"/>
      <c r="AO41" s="42"/>
      <c r="AP41" s="61"/>
      <c r="AQ41" s="61"/>
      <c r="AR41" s="61"/>
      <c r="AS41" s="42"/>
      <c r="AT41" s="61"/>
      <c r="AU41" s="61"/>
      <c r="AV41" s="61"/>
      <c r="AW41" s="42"/>
      <c r="AX41" s="61"/>
      <c r="AY41" s="60"/>
      <c r="AZ41" s="60"/>
      <c r="BA41" s="42"/>
      <c r="BB41" s="61"/>
      <c r="BC41" s="61"/>
      <c r="BD41" s="61"/>
      <c r="BE41" s="42"/>
      <c r="BF41" s="61"/>
      <c r="BG41" s="61"/>
      <c r="BH41" s="61"/>
      <c r="BI41" s="42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0"/>
      <c r="CD41" s="42"/>
      <c r="CE41" s="42"/>
      <c r="CF41" s="67"/>
      <c r="CG41" s="67"/>
      <c r="CH41" s="42"/>
      <c r="CI41" s="42"/>
      <c r="CJ41" s="67"/>
      <c r="CK41" s="67"/>
      <c r="CL41" s="72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0"/>
      <c r="CY41" s="42"/>
      <c r="CZ41" s="42"/>
      <c r="DA41" s="67"/>
      <c r="DB41" s="67"/>
      <c r="DC41" s="42"/>
      <c r="DD41" s="42"/>
      <c r="DE41" s="67"/>
      <c r="DF41" s="67"/>
      <c r="DG41" s="67"/>
      <c r="DH41" s="67"/>
      <c r="DI41" s="67"/>
      <c r="DJ41" s="67"/>
      <c r="DK41" s="67"/>
      <c r="DL41" s="67"/>
      <c r="DM41" s="67"/>
      <c r="DN41" s="72"/>
      <c r="DO41" s="72"/>
      <c r="DP41" s="72"/>
      <c r="DQ41" s="72"/>
      <c r="DR41" s="72"/>
      <c r="DS41" s="72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</row>
    <row r="42" ht="15.75" customHeight="1">
      <c r="A42" s="65"/>
      <c r="B42" s="60"/>
      <c r="C42" s="60"/>
      <c r="D42" s="60"/>
      <c r="E42" s="61"/>
      <c r="F42" s="86"/>
      <c r="G42" s="60"/>
      <c r="H42" s="60"/>
      <c r="I42" s="60"/>
      <c r="J42" s="60"/>
      <c r="K42" s="60"/>
      <c r="L42" s="80"/>
      <c r="M42" s="42"/>
      <c r="N42" s="87"/>
      <c r="O42" s="86"/>
      <c r="P42" s="86"/>
      <c r="Q42" s="86"/>
      <c r="R42" s="60"/>
      <c r="S42" s="86"/>
      <c r="T42" s="86"/>
      <c r="U42" s="86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86"/>
      <c r="CF42" s="86"/>
      <c r="CG42" s="86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86"/>
      <c r="CZ42" s="86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</row>
    <row r="43" ht="15.75" customHeight="1">
      <c r="A43" s="88"/>
      <c r="B43" s="60"/>
      <c r="C43" s="60"/>
      <c r="D43" s="60"/>
      <c r="E43" s="42"/>
      <c r="F43" s="60"/>
      <c r="G43" s="60"/>
      <c r="H43" s="60"/>
      <c r="I43" s="60"/>
      <c r="J43" s="60"/>
      <c r="K43" s="60"/>
      <c r="L43" s="80"/>
      <c r="M43" s="42"/>
      <c r="N43" s="42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</row>
    <row r="44" ht="15.75" customHeight="1">
      <c r="A44" s="88"/>
      <c r="B44" s="42"/>
      <c r="C44" s="60"/>
      <c r="D44" s="60"/>
      <c r="E44" s="42"/>
      <c r="F44" s="60"/>
      <c r="G44" s="60"/>
      <c r="H44" s="60"/>
      <c r="I44" s="60"/>
      <c r="J44" s="60"/>
      <c r="K44" s="60"/>
      <c r="L44" s="8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</row>
    <row r="45" ht="15.75" customHeight="1">
      <c r="A45" s="88"/>
      <c r="B45" s="42"/>
      <c r="C45" s="60"/>
      <c r="D45" s="60"/>
      <c r="E45" s="42"/>
      <c r="F45" s="60"/>
      <c r="G45" s="60"/>
      <c r="H45" s="60"/>
      <c r="I45" s="60"/>
      <c r="J45" s="60"/>
      <c r="K45" s="60"/>
      <c r="L45" s="8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</row>
    <row r="46" ht="15.75" customHeight="1">
      <c r="A46" s="88"/>
      <c r="B46" s="42"/>
      <c r="C46" s="60"/>
      <c r="D46" s="60"/>
      <c r="E46" s="42"/>
      <c r="F46" s="60"/>
      <c r="G46" s="60"/>
      <c r="H46" s="60"/>
      <c r="I46" s="60"/>
      <c r="J46" s="60"/>
      <c r="K46" s="60"/>
      <c r="L46" s="8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</row>
    <row r="47" ht="15.75" customHeight="1">
      <c r="A47" s="88"/>
      <c r="B47" s="42"/>
      <c r="C47" s="60"/>
      <c r="D47" s="60"/>
      <c r="E47" s="42"/>
      <c r="F47" s="60"/>
      <c r="G47" s="60"/>
      <c r="H47" s="60"/>
      <c r="I47" s="60"/>
      <c r="J47" s="60"/>
      <c r="K47" s="60"/>
      <c r="L47" s="8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</row>
    <row r="48" ht="15.75" customHeight="1">
      <c r="A48" s="88"/>
      <c r="B48" s="42"/>
      <c r="C48" s="60"/>
      <c r="D48" s="60"/>
      <c r="E48" s="42"/>
      <c r="F48" s="60"/>
      <c r="G48" s="60"/>
      <c r="H48" s="60"/>
      <c r="I48" s="60"/>
      <c r="J48" s="60"/>
      <c r="K48" s="60"/>
      <c r="L48" s="8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</row>
    <row r="49" ht="15.75" customHeight="1">
      <c r="A49" s="8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</row>
    <row r="50" ht="15.75" customHeight="1">
      <c r="A50" s="88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</row>
    <row r="51" ht="15.75" customHeight="1">
      <c r="A51" s="88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</row>
    <row r="52" ht="15.75" customHeight="1">
      <c r="A52" s="88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</row>
    <row r="53" ht="15.75" customHeight="1">
      <c r="A53" s="88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</row>
    <row r="54" ht="15.75" customHeight="1">
      <c r="A54" s="88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</row>
    <row r="55" ht="15.75" customHeight="1">
      <c r="A55" s="8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</row>
    <row r="56" ht="15.75" customHeight="1">
      <c r="A56" s="8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</row>
    <row r="57" ht="15.75" customHeight="1">
      <c r="A57" s="88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</row>
    <row r="58" ht="15.75" customHeight="1">
      <c r="A58" s="88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</row>
    <row r="59" ht="15.75" customHeight="1">
      <c r="A59" s="88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</row>
    <row r="60" ht="15.75" customHeight="1">
      <c r="A60" s="88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</row>
    <row r="61" ht="15.75" customHeight="1">
      <c r="A61" s="88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</row>
    <row r="62" ht="15.75" customHeight="1">
      <c r="A62" s="88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</row>
    <row r="63" ht="15.75" customHeight="1">
      <c r="A63" s="88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</row>
    <row r="64" ht="15.75" customHeight="1">
      <c r="A64" s="88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</row>
    <row r="65" ht="15.75" customHeight="1">
      <c r="A65" s="88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</row>
    <row r="66" ht="15.75" customHeight="1">
      <c r="A66" s="88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</row>
    <row r="67" ht="15.75" customHeight="1">
      <c r="A67" s="88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</row>
    <row r="68" ht="15.75" customHeight="1">
      <c r="A68" s="88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</row>
    <row r="69" ht="15.75" customHeight="1">
      <c r="A69" s="88"/>
      <c r="B69" s="60"/>
      <c r="C69" s="60"/>
      <c r="D69" s="90"/>
      <c r="E69" s="60"/>
      <c r="F69" s="91"/>
      <c r="G69" s="60"/>
      <c r="H69" s="60"/>
      <c r="I69" s="60"/>
      <c r="J69" s="60"/>
      <c r="K69" s="60"/>
      <c r="L69" s="92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96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97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</row>
    <row r="70" ht="15.75" customHeight="1">
      <c r="A70" s="88"/>
      <c r="B70" s="60"/>
      <c r="C70" s="60"/>
      <c r="D70" s="60"/>
      <c r="E70" s="86"/>
      <c r="F70" s="60"/>
      <c r="G70" s="60"/>
      <c r="H70" s="60"/>
      <c r="I70" s="60"/>
      <c r="J70" s="60"/>
      <c r="K70" s="86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</row>
    <row r="71" ht="15.75" customHeight="1">
      <c r="A71" s="88"/>
      <c r="B71" s="60"/>
      <c r="C71" s="60"/>
      <c r="D71" s="60"/>
      <c r="E71" s="86"/>
      <c r="F71" s="60"/>
      <c r="G71" s="60"/>
      <c r="H71" s="60"/>
      <c r="I71" s="60"/>
      <c r="J71" s="60"/>
      <c r="K71" s="60"/>
      <c r="L71" s="60"/>
      <c r="M71" s="60"/>
      <c r="N71" s="66"/>
      <c r="O71" s="67"/>
      <c r="P71" s="67"/>
      <c r="Q71" s="60"/>
      <c r="R71" s="66"/>
      <c r="S71" s="67"/>
      <c r="T71" s="67"/>
      <c r="U71" s="60"/>
      <c r="V71" s="66"/>
      <c r="W71" s="67"/>
      <c r="X71" s="67"/>
      <c r="Y71" s="60"/>
      <c r="Z71" s="60"/>
      <c r="AA71" s="67"/>
      <c r="AB71" s="67"/>
      <c r="AC71" s="60"/>
      <c r="AD71" s="60"/>
      <c r="AE71" s="67"/>
      <c r="AF71" s="67"/>
      <c r="AG71" s="60"/>
      <c r="AH71" s="60"/>
      <c r="AI71" s="67"/>
      <c r="AJ71" s="67"/>
      <c r="AK71" s="68"/>
      <c r="AL71" s="86"/>
      <c r="AM71" s="67"/>
      <c r="AN71" s="67"/>
      <c r="AO71" s="60"/>
      <c r="AP71" s="69"/>
      <c r="AQ71" s="67"/>
      <c r="AR71" s="67"/>
      <c r="AS71" s="68"/>
      <c r="AT71" s="69"/>
      <c r="AU71" s="67"/>
      <c r="AV71" s="67"/>
      <c r="AW71" s="68"/>
      <c r="AX71" s="86"/>
      <c r="AY71" s="67"/>
      <c r="AZ71" s="67"/>
      <c r="BA71" s="68"/>
      <c r="BB71" s="86"/>
      <c r="BC71" s="67"/>
      <c r="BD71" s="67"/>
      <c r="BE71" s="68"/>
      <c r="BF71" s="86"/>
      <c r="BG71" s="67"/>
      <c r="BH71" s="67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86"/>
      <c r="CF71" s="71"/>
      <c r="CG71" s="71"/>
      <c r="CH71" s="60"/>
      <c r="CI71" s="60"/>
      <c r="CJ71" s="71"/>
      <c r="CK71" s="71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0"/>
      <c r="CY71" s="60"/>
      <c r="CZ71" s="60"/>
      <c r="DA71" s="67"/>
      <c r="DB71" s="67"/>
      <c r="DC71" s="60"/>
      <c r="DD71" s="60"/>
      <c r="DE71" s="67"/>
      <c r="DF71" s="67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</row>
    <row r="72" ht="15.75" customHeight="1">
      <c r="A72" s="88"/>
      <c r="B72" s="60"/>
      <c r="C72" s="60"/>
      <c r="D72" s="60"/>
      <c r="E72" s="86"/>
      <c r="F72" s="60"/>
      <c r="G72" s="60"/>
      <c r="H72" s="60"/>
      <c r="I72" s="60"/>
      <c r="J72" s="60"/>
      <c r="K72" s="60"/>
      <c r="L72" s="60"/>
      <c r="M72" s="60"/>
      <c r="N72" s="60"/>
      <c r="O72" s="67"/>
      <c r="P72" s="67"/>
      <c r="Q72" s="60"/>
      <c r="R72" s="60"/>
      <c r="S72" s="67"/>
      <c r="T72" s="67"/>
      <c r="U72" s="60"/>
      <c r="V72" s="60"/>
      <c r="W72" s="67"/>
      <c r="X72" s="67"/>
      <c r="Y72" s="60"/>
      <c r="Z72" s="66"/>
      <c r="AA72" s="67"/>
      <c r="AB72" s="67"/>
      <c r="AC72" s="60"/>
      <c r="AD72" s="66"/>
      <c r="AE72" s="67"/>
      <c r="AF72" s="67"/>
      <c r="AG72" s="60"/>
      <c r="AH72" s="66"/>
      <c r="AI72" s="67"/>
      <c r="AJ72" s="67"/>
      <c r="AK72" s="60"/>
      <c r="AL72" s="60"/>
      <c r="AM72" s="67"/>
      <c r="AN72" s="67"/>
      <c r="AO72" s="60"/>
      <c r="AP72" s="60"/>
      <c r="AQ72" s="67"/>
      <c r="AR72" s="67"/>
      <c r="AS72" s="60"/>
      <c r="AT72" s="60"/>
      <c r="AU72" s="67"/>
      <c r="AV72" s="67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7"/>
      <c r="CG72" s="67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7"/>
      <c r="DB72" s="67"/>
      <c r="DC72" s="60"/>
      <c r="DD72" s="60"/>
      <c r="DE72" s="67"/>
      <c r="DF72" s="67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</row>
    <row r="73" ht="15.75" customHeight="1">
      <c r="A73" s="88"/>
      <c r="B73" s="60"/>
      <c r="C73" s="60"/>
      <c r="D73" s="60"/>
      <c r="E73" s="86"/>
      <c r="F73" s="60"/>
      <c r="G73" s="60"/>
      <c r="H73" s="60"/>
      <c r="I73" s="60"/>
      <c r="J73" s="60"/>
      <c r="K73" s="60"/>
      <c r="L73" s="60"/>
      <c r="M73" s="60"/>
      <c r="N73" s="60"/>
      <c r="O73" s="67"/>
      <c r="P73" s="67"/>
      <c r="Q73" s="60"/>
      <c r="R73" s="60"/>
      <c r="S73" s="67"/>
      <c r="T73" s="67"/>
      <c r="U73" s="60"/>
      <c r="V73" s="60"/>
      <c r="W73" s="67"/>
      <c r="X73" s="67"/>
      <c r="Y73" s="60"/>
      <c r="Z73" s="60"/>
      <c r="AA73" s="67"/>
      <c r="AB73" s="67"/>
      <c r="AC73" s="60"/>
      <c r="AD73" s="60"/>
      <c r="AE73" s="67"/>
      <c r="AF73" s="67"/>
      <c r="AG73" s="60"/>
      <c r="AH73" s="60"/>
      <c r="AI73" s="67"/>
      <c r="AJ73" s="67"/>
      <c r="AK73" s="60"/>
      <c r="AL73" s="60"/>
      <c r="AM73" s="67"/>
      <c r="AN73" s="67"/>
      <c r="AO73" s="60"/>
      <c r="AP73" s="60"/>
      <c r="AQ73" s="67"/>
      <c r="AR73" s="67"/>
      <c r="AS73" s="60"/>
      <c r="AT73" s="60"/>
      <c r="AU73" s="67"/>
      <c r="AV73" s="67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7"/>
      <c r="CG73" s="67"/>
      <c r="CH73" s="60"/>
      <c r="CI73" s="60"/>
      <c r="CJ73" s="67"/>
      <c r="CK73" s="67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</row>
    <row r="74" ht="15.75" customHeight="1">
      <c r="A74" s="88"/>
      <c r="B74" s="60"/>
      <c r="C74" s="60"/>
      <c r="D74" s="60"/>
      <c r="E74" s="86"/>
      <c r="F74" s="60"/>
      <c r="G74" s="60"/>
      <c r="H74" s="60"/>
      <c r="I74" s="60"/>
      <c r="J74" s="60"/>
      <c r="K74" s="60"/>
      <c r="L74" s="60"/>
      <c r="M74" s="60"/>
      <c r="N74" s="60"/>
      <c r="O74" s="67"/>
      <c r="P74" s="67"/>
      <c r="Q74" s="60"/>
      <c r="R74" s="60"/>
      <c r="S74" s="67"/>
      <c r="T74" s="67"/>
      <c r="U74" s="60"/>
      <c r="V74" s="60"/>
      <c r="W74" s="67"/>
      <c r="X74" s="67"/>
      <c r="Y74" s="60"/>
      <c r="Z74" s="60"/>
      <c r="AA74" s="67"/>
      <c r="AB74" s="67"/>
      <c r="AC74" s="60"/>
      <c r="AD74" s="60"/>
      <c r="AE74" s="67"/>
      <c r="AF74" s="67"/>
      <c r="AG74" s="60"/>
      <c r="AH74" s="60"/>
      <c r="AI74" s="67"/>
      <c r="AJ74" s="67"/>
      <c r="AK74" s="60"/>
      <c r="AL74" s="60"/>
      <c r="AM74" s="67"/>
      <c r="AN74" s="67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</row>
    <row r="75" ht="15.75" customHeight="1">
      <c r="A75" s="88"/>
      <c r="B75" s="60"/>
      <c r="C75" s="60"/>
      <c r="D75" s="60"/>
      <c r="E75" s="86"/>
      <c r="F75" s="60"/>
      <c r="G75" s="60"/>
      <c r="H75" s="60"/>
      <c r="I75" s="60"/>
      <c r="J75" s="60"/>
      <c r="K75" s="60"/>
      <c r="L75" s="60"/>
      <c r="M75" s="60"/>
      <c r="N75" s="66"/>
      <c r="O75" s="67"/>
      <c r="P75" s="67"/>
      <c r="Q75" s="60"/>
      <c r="R75" s="66"/>
      <c r="S75" s="67"/>
      <c r="T75" s="67"/>
      <c r="U75" s="60"/>
      <c r="V75" s="66"/>
      <c r="W75" s="67"/>
      <c r="X75" s="67"/>
      <c r="Y75" s="60"/>
      <c r="Z75" s="60"/>
      <c r="AA75" s="67"/>
      <c r="AB75" s="67"/>
      <c r="AC75" s="60"/>
      <c r="AD75" s="60"/>
      <c r="AE75" s="67"/>
      <c r="AF75" s="67"/>
      <c r="AG75" s="60"/>
      <c r="AH75" s="60"/>
      <c r="AI75" s="67"/>
      <c r="AJ75" s="67"/>
      <c r="AK75" s="60"/>
      <c r="AL75" s="60"/>
      <c r="AM75" s="67"/>
      <c r="AN75" s="67"/>
      <c r="AO75" s="60"/>
      <c r="AP75" s="60"/>
      <c r="AQ75" s="67"/>
      <c r="AR75" s="67"/>
      <c r="AS75" s="60"/>
      <c r="AT75" s="60"/>
      <c r="AU75" s="67"/>
      <c r="AV75" s="67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7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7"/>
      <c r="DB75" s="67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</row>
    <row r="76" ht="15.75" customHeight="1">
      <c r="A76" s="88"/>
      <c r="B76" s="60"/>
      <c r="C76" s="60"/>
      <c r="D76" s="74"/>
      <c r="E76" s="86"/>
      <c r="F76" s="60"/>
      <c r="G76" s="60"/>
      <c r="H76" s="60"/>
      <c r="I76" s="60"/>
      <c r="J76" s="60"/>
      <c r="K76" s="60"/>
      <c r="L76" s="60"/>
      <c r="M76" s="60"/>
      <c r="N76" s="60"/>
      <c r="O76" s="67"/>
      <c r="P76" s="67"/>
      <c r="Q76" s="60"/>
      <c r="R76" s="60"/>
      <c r="S76" s="67"/>
      <c r="T76" s="67"/>
      <c r="U76" s="60"/>
      <c r="V76" s="60"/>
      <c r="W76" s="60"/>
      <c r="X76" s="60"/>
      <c r="Y76" s="60"/>
      <c r="Z76" s="60"/>
      <c r="AA76" s="67"/>
      <c r="AB76" s="67"/>
      <c r="AC76" s="60"/>
      <c r="AD76" s="60"/>
      <c r="AE76" s="67"/>
      <c r="AF76" s="67"/>
      <c r="AG76" s="60"/>
      <c r="AH76" s="60"/>
      <c r="AI76" s="60"/>
      <c r="AJ76" s="60"/>
      <c r="AK76" s="60"/>
      <c r="AL76" s="60"/>
      <c r="AM76" s="67"/>
      <c r="AN76" s="67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7"/>
      <c r="AZ76" s="67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7"/>
      <c r="CG76" s="67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7"/>
      <c r="DB76" s="67"/>
      <c r="DC76" s="60"/>
      <c r="DD76" s="60"/>
      <c r="DE76" s="67"/>
      <c r="DF76" s="67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</row>
    <row r="77" ht="15.75" customHeight="1">
      <c r="A77" s="88"/>
      <c r="B77" s="60"/>
      <c r="C77" s="60"/>
      <c r="D77" s="74"/>
      <c r="E77" s="86"/>
      <c r="F77" s="60"/>
      <c r="G77" s="60"/>
      <c r="H77" s="60"/>
      <c r="I77" s="60"/>
      <c r="J77" s="60"/>
      <c r="K77" s="60"/>
      <c r="L77" s="60"/>
      <c r="M77" s="60"/>
      <c r="N77" s="60"/>
      <c r="O77" s="67"/>
      <c r="P77" s="67"/>
      <c r="Q77" s="60"/>
      <c r="R77" s="60"/>
      <c r="S77" s="67"/>
      <c r="T77" s="67"/>
      <c r="U77" s="60"/>
      <c r="V77" s="60"/>
      <c r="W77" s="72"/>
      <c r="X77" s="72"/>
      <c r="Y77" s="60"/>
      <c r="Z77" s="60"/>
      <c r="AA77" s="67"/>
      <c r="AB77" s="67"/>
      <c r="AC77" s="60"/>
      <c r="AD77" s="60"/>
      <c r="AE77" s="67"/>
      <c r="AF77" s="67"/>
      <c r="AG77" s="60"/>
      <c r="AH77" s="60"/>
      <c r="AI77" s="60"/>
      <c r="AJ77" s="60"/>
      <c r="AK77" s="60"/>
      <c r="AL77" s="60"/>
      <c r="AM77" s="67"/>
      <c r="AN77" s="67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7"/>
      <c r="AZ77" s="67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7"/>
      <c r="CG77" s="67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7"/>
      <c r="DB77" s="67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</row>
    <row r="78" ht="15.75" customHeight="1">
      <c r="A78" s="88"/>
      <c r="B78" s="60"/>
      <c r="C78" s="60"/>
      <c r="D78" s="74"/>
      <c r="E78" s="86"/>
      <c r="F78" s="60"/>
      <c r="G78" s="60"/>
      <c r="H78" s="60"/>
      <c r="I78" s="60"/>
      <c r="J78" s="60"/>
      <c r="K78" s="60"/>
      <c r="L78" s="60"/>
      <c r="M78" s="60"/>
      <c r="N78" s="60"/>
      <c r="O78" s="67"/>
      <c r="P78" s="67"/>
      <c r="Q78" s="60"/>
      <c r="R78" s="60"/>
      <c r="S78" s="67"/>
      <c r="T78" s="67"/>
      <c r="U78" s="60"/>
      <c r="V78" s="60"/>
      <c r="W78" s="72"/>
      <c r="X78" s="72"/>
      <c r="Y78" s="60"/>
      <c r="Z78" s="60"/>
      <c r="AA78" s="67"/>
      <c r="AB78" s="67"/>
      <c r="AC78" s="60"/>
      <c r="AD78" s="60"/>
      <c r="AE78" s="67"/>
      <c r="AF78" s="67"/>
      <c r="AG78" s="60"/>
      <c r="AH78" s="60"/>
      <c r="AI78" s="60"/>
      <c r="AJ78" s="60"/>
      <c r="AK78" s="60"/>
      <c r="AL78" s="60"/>
      <c r="AM78" s="67"/>
      <c r="AN78" s="67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7"/>
      <c r="AZ78" s="67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7"/>
      <c r="CG78" s="67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7"/>
      <c r="DB78" s="67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</row>
    <row r="79" ht="15.75" customHeight="1">
      <c r="A79" s="88"/>
      <c r="B79" s="60"/>
      <c r="C79" s="60"/>
      <c r="D79" s="74"/>
      <c r="E79" s="86"/>
      <c r="F79" s="60"/>
      <c r="G79" s="60"/>
      <c r="H79" s="60"/>
      <c r="I79" s="60"/>
      <c r="J79" s="60"/>
      <c r="K79" s="60"/>
      <c r="L79" s="60"/>
      <c r="M79" s="60"/>
      <c r="N79" s="60"/>
      <c r="O79" s="67"/>
      <c r="P79" s="67"/>
      <c r="Q79" s="60"/>
      <c r="R79" s="60"/>
      <c r="S79" s="67"/>
      <c r="T79" s="67"/>
      <c r="U79" s="60"/>
      <c r="V79" s="60"/>
      <c r="W79" s="60"/>
      <c r="X79" s="60"/>
      <c r="Y79" s="60"/>
      <c r="Z79" s="60"/>
      <c r="AA79" s="67"/>
      <c r="AB79" s="67"/>
      <c r="AC79" s="60"/>
      <c r="AD79" s="60"/>
      <c r="AE79" s="67"/>
      <c r="AF79" s="67"/>
      <c r="AG79" s="60"/>
      <c r="AH79" s="60"/>
      <c r="AI79" s="60"/>
      <c r="AJ79" s="60"/>
      <c r="AK79" s="60"/>
      <c r="AL79" s="60"/>
      <c r="AM79" s="67"/>
      <c r="AN79" s="67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7"/>
      <c r="AZ79" s="67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7"/>
      <c r="CG79" s="67"/>
      <c r="CH79" s="60"/>
      <c r="CI79" s="60"/>
      <c r="CJ79" s="67"/>
      <c r="CK79" s="67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60"/>
      <c r="CY79" s="60"/>
      <c r="CZ79" s="60"/>
      <c r="DA79" s="67"/>
      <c r="DB79" s="67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</row>
    <row r="80" ht="15.75" customHeight="1">
      <c r="A80" s="88"/>
      <c r="B80" s="60"/>
      <c r="C80" s="60"/>
      <c r="D80" s="74"/>
      <c r="E80" s="86"/>
      <c r="F80" s="60"/>
      <c r="G80" s="60"/>
      <c r="H80" s="60"/>
      <c r="I80" s="60"/>
      <c r="J80" s="60"/>
      <c r="K80" s="60"/>
      <c r="L80" s="60"/>
      <c r="M80" s="60"/>
      <c r="N80" s="60"/>
      <c r="O80" s="67"/>
      <c r="P80" s="67"/>
      <c r="Q80" s="60"/>
      <c r="R80" s="60"/>
      <c r="S80" s="67"/>
      <c r="T80" s="67"/>
      <c r="U80" s="60"/>
      <c r="V80" s="60"/>
      <c r="W80" s="60"/>
      <c r="X80" s="60"/>
      <c r="Y80" s="60"/>
      <c r="Z80" s="60"/>
      <c r="AA80" s="67"/>
      <c r="AB80" s="67"/>
      <c r="AC80" s="60"/>
      <c r="AD80" s="60"/>
      <c r="AE80" s="67"/>
      <c r="AF80" s="67"/>
      <c r="AG80" s="60"/>
      <c r="AH80" s="60"/>
      <c r="AI80" s="60"/>
      <c r="AJ80" s="60"/>
      <c r="AK80" s="60"/>
      <c r="AL80" s="60"/>
      <c r="AM80" s="67"/>
      <c r="AN80" s="67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7"/>
      <c r="AZ80" s="67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7"/>
      <c r="CG80" s="67"/>
      <c r="CH80" s="60"/>
      <c r="CI80" s="60"/>
      <c r="CJ80" s="67"/>
      <c r="CK80" s="67"/>
      <c r="CL80" s="60"/>
      <c r="CM80" s="60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60"/>
      <c r="CY80" s="60"/>
      <c r="CZ80" s="60"/>
      <c r="DA80" s="67"/>
      <c r="DB80" s="67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</row>
    <row r="81" ht="15.75" customHeight="1">
      <c r="A81" s="88"/>
      <c r="B81" s="60"/>
      <c r="C81" s="60"/>
      <c r="D81" s="74"/>
      <c r="E81" s="86"/>
      <c r="F81" s="60"/>
      <c r="G81" s="60"/>
      <c r="H81" s="60"/>
      <c r="I81" s="60"/>
      <c r="J81" s="60"/>
      <c r="K81" s="60"/>
      <c r="L81" s="60"/>
      <c r="M81" s="60"/>
      <c r="N81" s="60"/>
      <c r="O81" s="67"/>
      <c r="P81" s="67"/>
      <c r="Q81" s="60"/>
      <c r="R81" s="60"/>
      <c r="S81" s="67"/>
      <c r="T81" s="67"/>
      <c r="U81" s="60"/>
      <c r="V81" s="60"/>
      <c r="W81" s="67"/>
      <c r="X81" s="67"/>
      <c r="Y81" s="60"/>
      <c r="Z81" s="60"/>
      <c r="AA81" s="67"/>
      <c r="AB81" s="67"/>
      <c r="AC81" s="60"/>
      <c r="AD81" s="60"/>
      <c r="AE81" s="67"/>
      <c r="AF81" s="67"/>
      <c r="AG81" s="60"/>
      <c r="AH81" s="60"/>
      <c r="AI81" s="67"/>
      <c r="AJ81" s="67"/>
      <c r="AK81" s="60"/>
      <c r="AL81" s="60"/>
      <c r="AM81" s="67"/>
      <c r="AN81" s="67"/>
      <c r="AO81" s="60"/>
      <c r="AP81" s="60"/>
      <c r="AQ81" s="67"/>
      <c r="AR81" s="67"/>
      <c r="AS81" s="60"/>
      <c r="AT81" s="60"/>
      <c r="AU81" s="67"/>
      <c r="AV81" s="67"/>
      <c r="AW81" s="60"/>
      <c r="AX81" s="60"/>
      <c r="AY81" s="67"/>
      <c r="AZ81" s="67"/>
      <c r="BA81" s="60"/>
      <c r="BB81" s="60"/>
      <c r="BC81" s="67"/>
      <c r="BD81" s="67"/>
      <c r="BE81" s="60"/>
      <c r="BF81" s="60"/>
      <c r="BG81" s="67"/>
      <c r="BH81" s="67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7"/>
      <c r="CG81" s="67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7"/>
      <c r="DB81" s="67"/>
      <c r="DC81" s="60"/>
      <c r="DD81" s="60"/>
      <c r="DE81" s="67"/>
      <c r="DF81" s="67"/>
      <c r="DG81" s="60"/>
      <c r="DH81" s="60"/>
      <c r="DI81" s="67"/>
      <c r="DJ81" s="67"/>
      <c r="DK81" s="72"/>
      <c r="DL81" s="72"/>
      <c r="DM81" s="72"/>
      <c r="DN81" s="72"/>
      <c r="DO81" s="72"/>
      <c r="DP81" s="72"/>
      <c r="DQ81" s="72"/>
      <c r="DR81" s="72"/>
      <c r="DS81" s="72"/>
    </row>
    <row r="82" ht="15.75" customHeight="1">
      <c r="A82" s="88"/>
      <c r="B82" s="60"/>
      <c r="C82" s="60"/>
      <c r="D82" s="74"/>
      <c r="E82" s="86"/>
      <c r="F82" s="60"/>
      <c r="G82" s="60"/>
      <c r="H82" s="60"/>
      <c r="I82" s="60"/>
      <c r="J82" s="60"/>
      <c r="K82" s="60"/>
      <c r="L82" s="60"/>
      <c r="M82" s="60"/>
      <c r="N82" s="60"/>
      <c r="O82" s="67"/>
      <c r="P82" s="67"/>
      <c r="Q82" s="60"/>
      <c r="R82" s="60"/>
      <c r="S82" s="67"/>
      <c r="T82" s="67"/>
      <c r="U82" s="60"/>
      <c r="V82" s="60"/>
      <c r="W82" s="67"/>
      <c r="X82" s="67"/>
      <c r="Y82" s="60"/>
      <c r="Z82" s="60"/>
      <c r="AA82" s="67"/>
      <c r="AB82" s="67"/>
      <c r="AC82" s="60"/>
      <c r="AD82" s="60"/>
      <c r="AE82" s="67"/>
      <c r="AF82" s="67"/>
      <c r="AG82" s="60"/>
      <c r="AH82" s="60"/>
      <c r="AI82" s="67"/>
      <c r="AJ82" s="67"/>
      <c r="AK82" s="60"/>
      <c r="AL82" s="60"/>
      <c r="AM82" s="67"/>
      <c r="AN82" s="67"/>
      <c r="AO82" s="60"/>
      <c r="AP82" s="60"/>
      <c r="AQ82" s="67"/>
      <c r="AR82" s="67"/>
      <c r="AS82" s="60"/>
      <c r="AT82" s="60"/>
      <c r="AU82" s="67"/>
      <c r="AV82" s="67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86"/>
      <c r="DB82" s="86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</row>
    <row r="83" ht="15.75" customHeight="1">
      <c r="A83" s="88"/>
      <c r="B83" s="98"/>
      <c r="C83" s="60"/>
      <c r="D83" s="74"/>
      <c r="E83" s="86"/>
      <c r="F83" s="60"/>
      <c r="G83" s="60"/>
      <c r="H83" s="60"/>
      <c r="I83" s="60"/>
      <c r="J83" s="60"/>
      <c r="K83" s="60"/>
      <c r="L83" s="60"/>
      <c r="M83" s="60"/>
      <c r="N83" s="60"/>
      <c r="O83" s="67"/>
      <c r="P83" s="67"/>
      <c r="Q83" s="60"/>
      <c r="R83" s="60"/>
      <c r="S83" s="67"/>
      <c r="T83" s="67"/>
      <c r="U83" s="60"/>
      <c r="V83" s="60"/>
      <c r="W83" s="67"/>
      <c r="X83" s="67"/>
      <c r="Y83" s="60"/>
      <c r="Z83" s="60"/>
      <c r="AA83" s="67"/>
      <c r="AB83" s="67"/>
      <c r="AC83" s="60"/>
      <c r="AD83" s="60"/>
      <c r="AE83" s="67"/>
      <c r="AF83" s="67"/>
      <c r="AG83" s="60"/>
      <c r="AH83" s="60"/>
      <c r="AI83" s="67"/>
      <c r="AJ83" s="67"/>
      <c r="AK83" s="60"/>
      <c r="AL83" s="60"/>
      <c r="AM83" s="67"/>
      <c r="AN83" s="67"/>
      <c r="AO83" s="60"/>
      <c r="AP83" s="60"/>
      <c r="AQ83" s="67"/>
      <c r="AR83" s="67"/>
      <c r="AS83" s="60"/>
      <c r="AT83" s="60"/>
      <c r="AU83" s="67"/>
      <c r="AV83" s="67"/>
      <c r="AW83" s="60"/>
      <c r="AX83" s="60"/>
      <c r="AY83" s="67"/>
      <c r="AZ83" s="67"/>
      <c r="BA83" s="60"/>
      <c r="BB83" s="60"/>
      <c r="BC83" s="67"/>
      <c r="BD83" s="67"/>
      <c r="BE83" s="60"/>
      <c r="BF83" s="60"/>
      <c r="BG83" s="67"/>
      <c r="BH83" s="67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7"/>
      <c r="CG83" s="67"/>
      <c r="CH83" s="60"/>
      <c r="CI83" s="60"/>
      <c r="CJ83" s="67"/>
      <c r="CK83" s="67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7"/>
      <c r="DB83" s="67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</row>
    <row r="84" ht="15.75" customHeight="1">
      <c r="A84" s="88"/>
      <c r="B84" s="60"/>
      <c r="C84" s="60"/>
      <c r="D84" s="74"/>
      <c r="E84" s="86"/>
      <c r="F84" s="60"/>
      <c r="G84" s="60"/>
      <c r="H84" s="60"/>
      <c r="I84" s="60"/>
      <c r="J84" s="60"/>
      <c r="K84" s="60"/>
      <c r="L84" s="60"/>
      <c r="M84" s="60"/>
      <c r="N84" s="60"/>
      <c r="O84" s="67"/>
      <c r="P84" s="67"/>
      <c r="Q84" s="60"/>
      <c r="R84" s="60"/>
      <c r="S84" s="67"/>
      <c r="T84" s="67"/>
      <c r="U84" s="60"/>
      <c r="V84" s="60"/>
      <c r="W84" s="67"/>
      <c r="X84" s="67"/>
      <c r="Y84" s="60"/>
      <c r="Z84" s="60"/>
      <c r="AA84" s="67"/>
      <c r="AB84" s="67"/>
      <c r="AC84" s="60"/>
      <c r="AD84" s="60"/>
      <c r="AE84" s="67"/>
      <c r="AF84" s="67"/>
      <c r="AG84" s="60"/>
      <c r="AH84" s="60"/>
      <c r="AI84" s="67"/>
      <c r="AJ84" s="67"/>
      <c r="AK84" s="60"/>
      <c r="AL84" s="60"/>
      <c r="AM84" s="67"/>
      <c r="AN84" s="67"/>
      <c r="AO84" s="60"/>
      <c r="AP84" s="60"/>
      <c r="AQ84" s="67"/>
      <c r="AR84" s="67"/>
      <c r="AS84" s="60"/>
      <c r="AT84" s="60"/>
      <c r="AU84" s="67"/>
      <c r="AV84" s="67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7"/>
      <c r="CG84" s="67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7"/>
      <c r="DB84" s="67"/>
      <c r="DC84" s="60"/>
      <c r="DD84" s="60"/>
      <c r="DE84" s="67"/>
      <c r="DF84" s="67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</row>
    <row r="85" ht="15.75" customHeight="1">
      <c r="A85" s="88"/>
      <c r="B85" s="60"/>
      <c r="C85" s="60"/>
      <c r="D85" s="74"/>
      <c r="E85" s="86"/>
      <c r="F85" s="60"/>
      <c r="G85" s="60"/>
      <c r="H85" s="60"/>
      <c r="I85" s="60"/>
      <c r="J85" s="60"/>
      <c r="K85" s="60"/>
      <c r="L85" s="60"/>
      <c r="M85" s="60"/>
      <c r="N85" s="60"/>
      <c r="O85" s="67"/>
      <c r="P85" s="67"/>
      <c r="Q85" s="60"/>
      <c r="R85" s="60"/>
      <c r="S85" s="67"/>
      <c r="T85" s="67"/>
      <c r="U85" s="60"/>
      <c r="V85" s="60"/>
      <c r="W85" s="67"/>
      <c r="X85" s="67"/>
      <c r="Y85" s="60"/>
      <c r="Z85" s="60"/>
      <c r="AA85" s="67"/>
      <c r="AB85" s="67"/>
      <c r="AC85" s="60"/>
      <c r="AD85" s="60"/>
      <c r="AE85" s="67"/>
      <c r="AF85" s="67"/>
      <c r="AG85" s="60"/>
      <c r="AH85" s="60"/>
      <c r="AI85" s="67"/>
      <c r="AJ85" s="67"/>
      <c r="AK85" s="60"/>
      <c r="AL85" s="60"/>
      <c r="AM85" s="67"/>
      <c r="AN85" s="67"/>
      <c r="AO85" s="60"/>
      <c r="AP85" s="60"/>
      <c r="AQ85" s="67"/>
      <c r="AR85" s="67"/>
      <c r="AS85" s="60"/>
      <c r="AT85" s="60"/>
      <c r="AU85" s="67"/>
      <c r="AV85" s="67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7"/>
      <c r="CG85" s="67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7"/>
      <c r="DB85" s="67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</row>
    <row r="86" ht="15.75" customHeight="1">
      <c r="A86" s="88"/>
      <c r="B86" s="60"/>
      <c r="C86" s="60"/>
      <c r="D86" s="74"/>
      <c r="E86" s="86"/>
      <c r="F86" s="60"/>
      <c r="G86" s="60"/>
      <c r="H86" s="60"/>
      <c r="I86" s="60"/>
      <c r="J86" s="60"/>
      <c r="K86" s="60"/>
      <c r="L86" s="60"/>
      <c r="M86" s="60"/>
      <c r="N86" s="60"/>
      <c r="O86" s="67"/>
      <c r="P86" s="67"/>
      <c r="Q86" s="60"/>
      <c r="R86" s="60"/>
      <c r="S86" s="67"/>
      <c r="T86" s="67"/>
      <c r="U86" s="60"/>
      <c r="V86" s="60"/>
      <c r="W86" s="67"/>
      <c r="X86" s="67"/>
      <c r="Y86" s="60"/>
      <c r="Z86" s="60"/>
      <c r="AA86" s="67"/>
      <c r="AB86" s="67"/>
      <c r="AC86" s="60"/>
      <c r="AD86" s="60"/>
      <c r="AE86" s="67"/>
      <c r="AF86" s="67"/>
      <c r="AG86" s="60"/>
      <c r="AH86" s="60"/>
      <c r="AI86" s="67"/>
      <c r="AJ86" s="67"/>
      <c r="AK86" s="60"/>
      <c r="AL86" s="60"/>
      <c r="AM86" s="67"/>
      <c r="AN86" s="67"/>
      <c r="AO86" s="60"/>
      <c r="AP86" s="60"/>
      <c r="AQ86" s="67"/>
      <c r="AR86" s="67"/>
      <c r="AS86" s="60"/>
      <c r="AT86" s="60"/>
      <c r="AU86" s="67"/>
      <c r="AV86" s="67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7"/>
      <c r="DB86" s="67"/>
      <c r="DC86" s="60"/>
      <c r="DD86" s="60"/>
      <c r="DE86" s="67"/>
      <c r="DF86" s="67"/>
      <c r="DG86" s="60"/>
      <c r="DH86" s="60"/>
      <c r="DI86" s="67"/>
      <c r="DJ86" s="67"/>
      <c r="DK86" s="60"/>
      <c r="DL86" s="60"/>
      <c r="DM86" s="67"/>
      <c r="DN86" s="72"/>
      <c r="DO86" s="72"/>
      <c r="DP86" s="72"/>
      <c r="DQ86" s="72"/>
      <c r="DR86" s="72"/>
      <c r="DS86" s="72"/>
    </row>
    <row r="87" ht="15.75" customHeight="1">
      <c r="A87" s="88"/>
      <c r="B87" s="60"/>
      <c r="C87" s="60"/>
      <c r="D87" s="74"/>
      <c r="E87" s="86"/>
      <c r="F87" s="60"/>
      <c r="G87" s="60"/>
      <c r="H87" s="60"/>
      <c r="I87" s="60"/>
      <c r="J87" s="60"/>
      <c r="K87" s="60"/>
      <c r="L87" s="60"/>
      <c r="M87" s="60"/>
      <c r="N87" s="60"/>
      <c r="O87" s="67"/>
      <c r="P87" s="67"/>
      <c r="Q87" s="60"/>
      <c r="R87" s="60"/>
      <c r="S87" s="67"/>
      <c r="T87" s="67"/>
      <c r="U87" s="60"/>
      <c r="V87" s="60"/>
      <c r="W87" s="67"/>
      <c r="X87" s="67"/>
      <c r="Y87" s="60"/>
      <c r="Z87" s="60"/>
      <c r="AA87" s="67"/>
      <c r="AB87" s="67"/>
      <c r="AC87" s="60"/>
      <c r="AD87" s="60"/>
      <c r="AE87" s="67"/>
      <c r="AF87" s="67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7"/>
      <c r="CG87" s="67"/>
      <c r="CH87" s="60"/>
      <c r="CI87" s="60"/>
      <c r="CJ87" s="67"/>
      <c r="CK87" s="67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7"/>
      <c r="DB87" s="67"/>
      <c r="DC87" s="60"/>
      <c r="DD87" s="60"/>
      <c r="DE87" s="67"/>
      <c r="DF87" s="67"/>
      <c r="DG87" s="60"/>
      <c r="DH87" s="60"/>
      <c r="DI87" s="67"/>
      <c r="DJ87" s="67"/>
      <c r="DK87" s="60"/>
      <c r="DL87" s="60"/>
      <c r="DM87" s="67"/>
      <c r="DN87" s="72"/>
      <c r="DO87" s="72"/>
      <c r="DP87" s="72"/>
      <c r="DQ87" s="72"/>
      <c r="DR87" s="72"/>
      <c r="DS87" s="72"/>
    </row>
    <row r="88" ht="15.75" customHeight="1">
      <c r="A88" s="88"/>
      <c r="B88" s="60"/>
      <c r="C88" s="60"/>
      <c r="D88" s="74"/>
      <c r="E88" s="86"/>
      <c r="F88" s="60"/>
      <c r="G88" s="60"/>
      <c r="H88" s="60"/>
      <c r="I88" s="60"/>
      <c r="J88" s="60"/>
      <c r="K88" s="60"/>
      <c r="L88" s="60"/>
      <c r="M88" s="60"/>
      <c r="N88" s="60"/>
      <c r="O88" s="67"/>
      <c r="P88" s="67"/>
      <c r="Q88" s="60"/>
      <c r="R88" s="60"/>
      <c r="S88" s="67"/>
      <c r="T88" s="67"/>
      <c r="U88" s="60"/>
      <c r="V88" s="60"/>
      <c r="W88" s="67"/>
      <c r="X88" s="67"/>
      <c r="Y88" s="60"/>
      <c r="Z88" s="60"/>
      <c r="AA88" s="67"/>
      <c r="AB88" s="67"/>
      <c r="AC88" s="60"/>
      <c r="AD88" s="60"/>
      <c r="AE88" s="67"/>
      <c r="AF88" s="67"/>
      <c r="AG88" s="60"/>
      <c r="AH88" s="60"/>
      <c r="AI88" s="60"/>
      <c r="AJ88" s="60"/>
      <c r="AK88" s="60"/>
      <c r="AL88" s="60"/>
      <c r="AM88" s="67"/>
      <c r="AN88" s="67"/>
      <c r="AO88" s="60"/>
      <c r="AP88" s="60"/>
      <c r="AQ88" s="67"/>
      <c r="AR88" s="67"/>
      <c r="AS88" s="60"/>
      <c r="AT88" s="60"/>
      <c r="AU88" s="67"/>
      <c r="AV88" s="67"/>
      <c r="AW88" s="60"/>
      <c r="AX88" s="60"/>
      <c r="AY88" s="67"/>
      <c r="AZ88" s="67"/>
      <c r="BA88" s="60"/>
      <c r="BB88" s="60"/>
      <c r="BC88" s="67"/>
      <c r="BD88" s="67"/>
      <c r="BE88" s="60"/>
      <c r="BF88" s="60"/>
      <c r="BG88" s="67"/>
      <c r="BH88" s="67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7"/>
      <c r="DB88" s="67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</row>
    <row r="89" ht="15.75" customHeight="1">
      <c r="A89" s="88"/>
      <c r="B89" s="60"/>
      <c r="C89" s="60"/>
      <c r="D89" s="74"/>
      <c r="E89" s="86"/>
      <c r="F89" s="60"/>
      <c r="G89" s="60"/>
      <c r="H89" s="60"/>
      <c r="I89" s="60"/>
      <c r="J89" s="60"/>
      <c r="K89" s="60"/>
      <c r="L89" s="60"/>
      <c r="M89" s="60"/>
      <c r="N89" s="60"/>
      <c r="O89" s="67"/>
      <c r="P89" s="67"/>
      <c r="Q89" s="60"/>
      <c r="R89" s="60"/>
      <c r="S89" s="67"/>
      <c r="T89" s="67"/>
      <c r="U89" s="60"/>
      <c r="V89" s="60"/>
      <c r="W89" s="67"/>
      <c r="X89" s="67"/>
      <c r="Y89" s="60"/>
      <c r="Z89" s="60"/>
      <c r="AA89" s="67"/>
      <c r="AB89" s="67"/>
      <c r="AC89" s="60"/>
      <c r="AD89" s="60"/>
      <c r="AE89" s="67"/>
      <c r="AF89" s="67"/>
      <c r="AG89" s="60"/>
      <c r="AH89" s="60"/>
      <c r="AI89" s="67"/>
      <c r="AJ89" s="67"/>
      <c r="AK89" s="60"/>
      <c r="AL89" s="60"/>
      <c r="AM89" s="67"/>
      <c r="AN89" s="67"/>
      <c r="AO89" s="60"/>
      <c r="AP89" s="60"/>
      <c r="AQ89" s="67"/>
      <c r="AR89" s="67"/>
      <c r="AS89" s="60"/>
      <c r="AT89" s="60"/>
      <c r="AU89" s="67"/>
      <c r="AV89" s="67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7"/>
      <c r="DB89" s="67"/>
      <c r="DC89" s="60"/>
      <c r="DD89" s="60"/>
      <c r="DE89" s="60"/>
      <c r="DF89" s="60"/>
      <c r="DG89" s="60"/>
      <c r="DH89" s="60"/>
      <c r="DI89" s="60"/>
      <c r="DJ89" s="60"/>
      <c r="DK89" s="60"/>
      <c r="DL89" s="60"/>
      <c r="DM89" s="60"/>
      <c r="DN89" s="60"/>
      <c r="DO89" s="60"/>
      <c r="DP89" s="60"/>
      <c r="DQ89" s="60"/>
      <c r="DR89" s="60"/>
      <c r="DS89" s="60"/>
    </row>
    <row r="90" ht="15.75" customHeight="1">
      <c r="A90" s="88"/>
      <c r="B90" s="60"/>
      <c r="C90" s="60"/>
      <c r="D90" s="74"/>
      <c r="E90" s="86"/>
      <c r="F90" s="60"/>
      <c r="G90" s="60"/>
      <c r="H90" s="60"/>
      <c r="I90" s="60"/>
      <c r="J90" s="60"/>
      <c r="K90" s="60"/>
      <c r="L90" s="60"/>
      <c r="M90" s="60"/>
      <c r="N90" s="60"/>
      <c r="O90" s="67"/>
      <c r="P90" s="67"/>
      <c r="Q90" s="60"/>
      <c r="R90" s="60"/>
      <c r="S90" s="67"/>
      <c r="T90" s="67"/>
      <c r="U90" s="60"/>
      <c r="V90" s="60"/>
      <c r="W90" s="67"/>
      <c r="X90" s="67"/>
      <c r="Y90" s="60"/>
      <c r="Z90" s="60"/>
      <c r="AA90" s="67"/>
      <c r="AB90" s="67"/>
      <c r="AC90" s="60"/>
      <c r="AD90" s="60"/>
      <c r="AE90" s="67"/>
      <c r="AF90" s="67"/>
      <c r="AG90" s="60"/>
      <c r="AH90" s="60"/>
      <c r="AI90" s="67"/>
      <c r="AJ90" s="67"/>
      <c r="AK90" s="60"/>
      <c r="AL90" s="60"/>
      <c r="AM90" s="67"/>
      <c r="AN90" s="67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7"/>
      <c r="AZ90" s="67"/>
      <c r="BA90" s="60"/>
      <c r="BB90" s="60"/>
      <c r="BC90" s="67"/>
      <c r="BD90" s="67"/>
      <c r="BE90" s="60"/>
      <c r="BF90" s="60"/>
      <c r="BG90" s="67"/>
      <c r="BH90" s="67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</row>
    <row r="91" ht="15.75" customHeight="1">
      <c r="A91" s="88"/>
      <c r="B91" s="60"/>
      <c r="C91" s="60"/>
      <c r="D91" s="74"/>
      <c r="E91" s="86"/>
      <c r="F91" s="60"/>
      <c r="G91" s="60"/>
      <c r="H91" s="60"/>
      <c r="I91" s="60"/>
      <c r="J91" s="60"/>
      <c r="K91" s="60"/>
      <c r="L91" s="60"/>
      <c r="M91" s="60"/>
      <c r="N91" s="60"/>
      <c r="O91" s="67"/>
      <c r="P91" s="67"/>
      <c r="Q91" s="60"/>
      <c r="R91" s="60"/>
      <c r="S91" s="67"/>
      <c r="T91" s="67"/>
      <c r="U91" s="60"/>
      <c r="V91" s="60"/>
      <c r="W91" s="67"/>
      <c r="X91" s="67"/>
      <c r="Y91" s="60"/>
      <c r="Z91" s="60"/>
      <c r="AA91" s="67"/>
      <c r="AB91" s="67"/>
      <c r="AC91" s="60"/>
      <c r="AD91" s="60"/>
      <c r="AE91" s="67"/>
      <c r="AF91" s="67"/>
      <c r="AG91" s="60"/>
      <c r="AH91" s="60"/>
      <c r="AI91" s="67"/>
      <c r="AJ91" s="67"/>
      <c r="AK91" s="60"/>
      <c r="AL91" s="60"/>
      <c r="AM91" s="67"/>
      <c r="AN91" s="67"/>
      <c r="AO91" s="60"/>
      <c r="AP91" s="60"/>
      <c r="AQ91" s="67"/>
      <c r="AR91" s="67"/>
      <c r="AS91" s="60"/>
      <c r="AT91" s="60"/>
      <c r="AU91" s="67"/>
      <c r="AV91" s="67"/>
      <c r="AW91" s="60"/>
      <c r="AX91" s="60"/>
      <c r="AY91" s="67"/>
      <c r="AZ91" s="67"/>
      <c r="BA91" s="60"/>
      <c r="BB91" s="60"/>
      <c r="BC91" s="67"/>
      <c r="BD91" s="67"/>
      <c r="BE91" s="60"/>
      <c r="BF91" s="60"/>
      <c r="BG91" s="67"/>
      <c r="BH91" s="67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7"/>
      <c r="CG91" s="67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86"/>
      <c r="DA91" s="67"/>
      <c r="DB91" s="67"/>
      <c r="DC91" s="60"/>
      <c r="DD91" s="60"/>
      <c r="DE91" s="67"/>
      <c r="DF91" s="67"/>
      <c r="DG91" s="60"/>
      <c r="DH91" s="60"/>
      <c r="DI91" s="67"/>
      <c r="DJ91" s="67"/>
      <c r="DK91" s="60"/>
      <c r="DL91" s="60"/>
      <c r="DM91" s="60"/>
      <c r="DN91" s="60"/>
      <c r="DO91" s="60"/>
      <c r="DP91" s="60"/>
      <c r="DQ91" s="60"/>
      <c r="DR91" s="60"/>
      <c r="DS91" s="60"/>
    </row>
    <row r="92" ht="15.75" customHeight="1">
      <c r="A92" s="88"/>
      <c r="B92" s="60"/>
      <c r="C92" s="60"/>
      <c r="D92" s="60"/>
      <c r="E92" s="86"/>
      <c r="F92" s="60"/>
      <c r="G92" s="60"/>
      <c r="H92" s="60"/>
      <c r="I92" s="60"/>
      <c r="J92" s="60"/>
      <c r="K92" s="60"/>
      <c r="L92" s="60"/>
      <c r="M92" s="60"/>
      <c r="N92" s="60"/>
      <c r="O92" s="67"/>
      <c r="P92" s="67"/>
      <c r="Q92" s="60"/>
      <c r="R92" s="60"/>
      <c r="S92" s="67"/>
      <c r="T92" s="67"/>
      <c r="U92" s="60"/>
      <c r="V92" s="60"/>
      <c r="W92" s="67"/>
      <c r="X92" s="67"/>
      <c r="Y92" s="60"/>
      <c r="Z92" s="60"/>
      <c r="AA92" s="67"/>
      <c r="AB92" s="67"/>
      <c r="AC92" s="60"/>
      <c r="AD92" s="60"/>
      <c r="AE92" s="67"/>
      <c r="AF92" s="67"/>
      <c r="AG92" s="60"/>
      <c r="AH92" s="60"/>
      <c r="AI92" s="67"/>
      <c r="AJ92" s="67"/>
      <c r="AK92" s="60"/>
      <c r="AL92" s="60"/>
      <c r="AM92" s="67"/>
      <c r="AN92" s="67"/>
      <c r="AO92" s="60"/>
      <c r="AP92" s="60"/>
      <c r="AQ92" s="67"/>
      <c r="AR92" s="67"/>
      <c r="AS92" s="60"/>
      <c r="AT92" s="60"/>
      <c r="AU92" s="67"/>
      <c r="AV92" s="67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71"/>
      <c r="CG92" s="71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</row>
    <row r="93" ht="15.75" customHeight="1">
      <c r="A93" s="88"/>
      <c r="B93" s="60"/>
      <c r="C93" s="60"/>
      <c r="D93" s="60"/>
      <c r="E93" s="86"/>
      <c r="F93" s="60"/>
      <c r="G93" s="60"/>
      <c r="H93" s="60"/>
      <c r="I93" s="60"/>
      <c r="J93" s="60"/>
      <c r="K93" s="60"/>
      <c r="L93" s="60"/>
      <c r="M93" s="60"/>
      <c r="N93" s="60"/>
      <c r="O93" s="67"/>
      <c r="P93" s="67"/>
      <c r="Q93" s="60"/>
      <c r="R93" s="60"/>
      <c r="S93" s="67"/>
      <c r="T93" s="67"/>
      <c r="U93" s="60"/>
      <c r="V93" s="60"/>
      <c r="W93" s="67"/>
      <c r="X93" s="67"/>
      <c r="Y93" s="60"/>
      <c r="Z93" s="60"/>
      <c r="AA93" s="67"/>
      <c r="AB93" s="67"/>
      <c r="AC93" s="60"/>
      <c r="AD93" s="60"/>
      <c r="AE93" s="67"/>
      <c r="AF93" s="67"/>
      <c r="AG93" s="60"/>
      <c r="AH93" s="60"/>
      <c r="AI93" s="67"/>
      <c r="AJ93" s="67"/>
      <c r="AK93" s="60"/>
      <c r="AL93" s="60"/>
      <c r="AM93" s="67"/>
      <c r="AN93" s="67"/>
      <c r="AO93" s="60"/>
      <c r="AP93" s="60"/>
      <c r="AQ93" s="67"/>
      <c r="AR93" s="67"/>
      <c r="AS93" s="60"/>
      <c r="AT93" s="60"/>
      <c r="AU93" s="67"/>
      <c r="AV93" s="67"/>
      <c r="AW93" s="60"/>
      <c r="AX93" s="60"/>
      <c r="AY93" s="67"/>
      <c r="AZ93" s="67"/>
      <c r="BA93" s="60"/>
      <c r="BB93" s="60"/>
      <c r="BC93" s="67"/>
      <c r="BD93" s="67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</row>
    <row r="94" ht="15.75" customHeight="1">
      <c r="A94" s="88"/>
      <c r="B94" s="60"/>
      <c r="C94" s="60"/>
      <c r="D94" s="60"/>
      <c r="E94" s="86"/>
      <c r="F94" s="60"/>
      <c r="G94" s="60"/>
      <c r="H94" s="60"/>
      <c r="I94" s="60"/>
      <c r="J94" s="60"/>
      <c r="K94" s="60"/>
      <c r="L94" s="60"/>
      <c r="M94" s="60"/>
      <c r="N94" s="60"/>
      <c r="O94" s="67"/>
      <c r="P94" s="67"/>
      <c r="Q94" s="60"/>
      <c r="R94" s="60"/>
      <c r="S94" s="67"/>
      <c r="T94" s="67"/>
      <c r="U94" s="60"/>
      <c r="V94" s="60"/>
      <c r="W94" s="67"/>
      <c r="X94" s="67"/>
      <c r="Y94" s="60"/>
      <c r="Z94" s="60"/>
      <c r="AA94" s="67"/>
      <c r="AB94" s="67"/>
      <c r="AC94" s="60"/>
      <c r="AD94" s="60"/>
      <c r="AE94" s="67"/>
      <c r="AF94" s="67"/>
      <c r="AG94" s="60"/>
      <c r="AH94" s="60"/>
      <c r="AI94" s="67"/>
      <c r="AJ94" s="67"/>
      <c r="AK94" s="60"/>
      <c r="AL94" s="60"/>
      <c r="AM94" s="67"/>
      <c r="AN94" s="67"/>
      <c r="AO94" s="60"/>
      <c r="AP94" s="60"/>
      <c r="AQ94" s="67"/>
      <c r="AR94" s="67"/>
      <c r="AS94" s="60"/>
      <c r="AT94" s="60"/>
      <c r="AU94" s="67"/>
      <c r="AV94" s="67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71"/>
      <c r="CG94" s="71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/>
      <c r="DN94" s="60"/>
      <c r="DO94" s="60"/>
      <c r="DP94" s="60"/>
      <c r="DQ94" s="60"/>
      <c r="DR94" s="60"/>
      <c r="DS94" s="60"/>
    </row>
    <row r="95" ht="15.75" customHeight="1">
      <c r="A95" s="88"/>
      <c r="B95" s="60"/>
      <c r="C95" s="60"/>
      <c r="D95" s="60"/>
      <c r="E95" s="86"/>
      <c r="F95" s="60"/>
      <c r="G95" s="60"/>
      <c r="H95" s="60"/>
      <c r="I95" s="60"/>
      <c r="J95" s="60"/>
      <c r="K95" s="60"/>
      <c r="L95" s="60"/>
      <c r="M95" s="60"/>
      <c r="N95" s="60"/>
      <c r="O95" s="67"/>
      <c r="P95" s="67"/>
      <c r="Q95" s="60"/>
      <c r="R95" s="60"/>
      <c r="S95" s="67"/>
      <c r="T95" s="67"/>
      <c r="U95" s="60"/>
      <c r="V95" s="60"/>
      <c r="W95" s="67"/>
      <c r="X95" s="67"/>
      <c r="Y95" s="60"/>
      <c r="Z95" s="60"/>
      <c r="AA95" s="67"/>
      <c r="AB95" s="67"/>
      <c r="AC95" s="60"/>
      <c r="AD95" s="60"/>
      <c r="AE95" s="67"/>
      <c r="AF95" s="67"/>
      <c r="AG95" s="60"/>
      <c r="AH95" s="60"/>
      <c r="AI95" s="67"/>
      <c r="AJ95" s="67"/>
      <c r="AK95" s="60"/>
      <c r="AL95" s="60"/>
      <c r="AM95" s="67"/>
      <c r="AN95" s="67"/>
      <c r="AO95" s="60"/>
      <c r="AP95" s="60"/>
      <c r="AQ95" s="67"/>
      <c r="AR95" s="67"/>
      <c r="AS95" s="60"/>
      <c r="AT95" s="60"/>
      <c r="AU95" s="67"/>
      <c r="AV95" s="67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7"/>
      <c r="CG95" s="67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0"/>
      <c r="DF95" s="60"/>
      <c r="DG95" s="60"/>
      <c r="DH95" s="60"/>
      <c r="DI95" s="60"/>
      <c r="DJ95" s="60"/>
      <c r="DK95" s="60"/>
      <c r="DL95" s="60"/>
      <c r="DM95" s="60"/>
      <c r="DN95" s="60"/>
      <c r="DO95" s="60"/>
      <c r="DP95" s="60"/>
      <c r="DQ95" s="60"/>
      <c r="DR95" s="60"/>
      <c r="DS95" s="60"/>
    </row>
    <row r="96" ht="15.75" customHeight="1">
      <c r="A96" s="88"/>
      <c r="B96" s="60"/>
      <c r="C96" s="60"/>
      <c r="D96" s="60"/>
      <c r="E96" s="86"/>
      <c r="F96" s="60"/>
      <c r="G96" s="60"/>
      <c r="H96" s="60"/>
      <c r="I96" s="60"/>
      <c r="J96" s="60"/>
      <c r="K96" s="60"/>
      <c r="L96" s="60"/>
      <c r="M96" s="60"/>
      <c r="N96" s="60"/>
      <c r="O96" s="67"/>
      <c r="P96" s="67"/>
      <c r="Q96" s="60"/>
      <c r="R96" s="60"/>
      <c r="S96" s="67"/>
      <c r="T96" s="67"/>
      <c r="U96" s="60"/>
      <c r="V96" s="60"/>
      <c r="W96" s="67"/>
      <c r="X96" s="67"/>
      <c r="Y96" s="60"/>
      <c r="Z96" s="60"/>
      <c r="AA96" s="67"/>
      <c r="AB96" s="67"/>
      <c r="AC96" s="60"/>
      <c r="AD96" s="60"/>
      <c r="AE96" s="67"/>
      <c r="AF96" s="67"/>
      <c r="AG96" s="60"/>
      <c r="AH96" s="60"/>
      <c r="AI96" s="67"/>
      <c r="AJ96" s="67"/>
      <c r="AK96" s="60"/>
      <c r="AL96" s="60"/>
      <c r="AM96" s="67"/>
      <c r="AN96" s="67"/>
      <c r="AO96" s="60"/>
      <c r="AP96" s="60"/>
      <c r="AQ96" s="67"/>
      <c r="AR96" s="67"/>
      <c r="AS96" s="60"/>
      <c r="AT96" s="60"/>
      <c r="AU96" s="67"/>
      <c r="AV96" s="67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7"/>
      <c r="CG96" s="67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7"/>
      <c r="DB96" s="67"/>
      <c r="DC96" s="60"/>
      <c r="DD96" s="60"/>
      <c r="DE96" s="60"/>
      <c r="DF96" s="60"/>
      <c r="DG96" s="60"/>
      <c r="DH96" s="60"/>
      <c r="DI96" s="60"/>
      <c r="DJ96" s="60"/>
      <c r="DK96" s="60"/>
      <c r="DL96" s="60"/>
      <c r="DM96" s="60"/>
      <c r="DN96" s="60"/>
      <c r="DO96" s="60"/>
      <c r="DP96" s="60"/>
      <c r="DQ96" s="60"/>
      <c r="DR96" s="60"/>
      <c r="DS96" s="60"/>
    </row>
    <row r="97" ht="15.75" customHeight="1">
      <c r="A97" s="88"/>
      <c r="B97" s="60"/>
      <c r="C97" s="60"/>
      <c r="D97" s="60"/>
      <c r="E97" s="86"/>
      <c r="F97" s="60"/>
      <c r="G97" s="60"/>
      <c r="H97" s="60"/>
      <c r="I97" s="60"/>
      <c r="J97" s="60"/>
      <c r="K97" s="60"/>
      <c r="L97" s="60"/>
      <c r="M97" s="60"/>
      <c r="N97" s="60"/>
      <c r="O97" s="67"/>
      <c r="P97" s="67"/>
      <c r="Q97" s="60"/>
      <c r="R97" s="60"/>
      <c r="S97" s="67"/>
      <c r="T97" s="67"/>
      <c r="U97" s="60"/>
      <c r="V97" s="60"/>
      <c r="W97" s="67"/>
      <c r="X97" s="67"/>
      <c r="Y97" s="60"/>
      <c r="Z97" s="60"/>
      <c r="AA97" s="67"/>
      <c r="AB97" s="67"/>
      <c r="AC97" s="60"/>
      <c r="AD97" s="60"/>
      <c r="AE97" s="67"/>
      <c r="AF97" s="67"/>
      <c r="AG97" s="60"/>
      <c r="AH97" s="60"/>
      <c r="AI97" s="67"/>
      <c r="AJ97" s="67"/>
      <c r="AK97" s="60"/>
      <c r="AL97" s="60"/>
      <c r="AM97" s="67"/>
      <c r="AN97" s="67"/>
      <c r="AO97" s="60"/>
      <c r="AP97" s="60"/>
      <c r="AQ97" s="67"/>
      <c r="AR97" s="67"/>
      <c r="AS97" s="60"/>
      <c r="AT97" s="60"/>
      <c r="AU97" s="67"/>
      <c r="AV97" s="67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7"/>
      <c r="CG97" s="67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0"/>
      <c r="DO97" s="60"/>
      <c r="DP97" s="60"/>
      <c r="DQ97" s="60"/>
      <c r="DR97" s="60"/>
      <c r="DS97" s="60"/>
    </row>
    <row r="98" ht="15.75" customHeight="1">
      <c r="A98" s="88"/>
      <c r="B98" s="60"/>
      <c r="C98" s="60"/>
      <c r="D98" s="60"/>
      <c r="E98" s="86"/>
      <c r="F98" s="60"/>
      <c r="G98" s="60"/>
      <c r="H98" s="60"/>
      <c r="I98" s="60"/>
      <c r="J98" s="60"/>
      <c r="K98" s="60"/>
      <c r="L98" s="60"/>
      <c r="M98" s="60"/>
      <c r="N98" s="60"/>
      <c r="O98" s="67"/>
      <c r="P98" s="67"/>
      <c r="Q98" s="60"/>
      <c r="R98" s="60"/>
      <c r="S98" s="67"/>
      <c r="T98" s="67"/>
      <c r="U98" s="60"/>
      <c r="V98" s="60"/>
      <c r="W98" s="67"/>
      <c r="X98" s="67"/>
      <c r="Y98" s="60"/>
      <c r="Z98" s="60"/>
      <c r="AA98" s="67"/>
      <c r="AB98" s="67"/>
      <c r="AC98" s="60"/>
      <c r="AD98" s="60"/>
      <c r="AE98" s="67"/>
      <c r="AF98" s="67"/>
      <c r="AG98" s="60"/>
      <c r="AH98" s="60"/>
      <c r="AI98" s="67"/>
      <c r="AJ98" s="67"/>
      <c r="AK98" s="60"/>
      <c r="AL98" s="60"/>
      <c r="AM98" s="67"/>
      <c r="AN98" s="67"/>
      <c r="AO98" s="60"/>
      <c r="AP98" s="60"/>
      <c r="AQ98" s="67"/>
      <c r="AR98" s="67"/>
      <c r="AS98" s="60"/>
      <c r="AT98" s="60"/>
      <c r="AU98" s="67"/>
      <c r="AV98" s="67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7"/>
      <c r="CG98" s="67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7"/>
      <c r="DB98" s="67"/>
      <c r="DC98" s="60"/>
      <c r="DD98" s="60"/>
      <c r="DE98" s="60"/>
      <c r="DF98" s="60"/>
      <c r="DG98" s="60"/>
      <c r="DH98" s="60"/>
      <c r="DI98" s="60"/>
      <c r="DJ98" s="60"/>
      <c r="DK98" s="60"/>
      <c r="DL98" s="60"/>
      <c r="DM98" s="60"/>
      <c r="DN98" s="60"/>
      <c r="DO98" s="60"/>
      <c r="DP98" s="60"/>
      <c r="DQ98" s="60"/>
      <c r="DR98" s="60"/>
      <c r="DS98" s="60"/>
    </row>
    <row r="99" ht="15.75" customHeight="1">
      <c r="A99" s="88"/>
      <c r="B99" s="60"/>
      <c r="C99" s="60"/>
      <c r="D99" s="60"/>
      <c r="E99" s="86"/>
      <c r="F99" s="60"/>
      <c r="G99" s="60"/>
      <c r="H99" s="60"/>
      <c r="I99" s="60"/>
      <c r="J99" s="60"/>
      <c r="K99" s="60"/>
      <c r="L99" s="60"/>
      <c r="M99" s="60"/>
      <c r="N99" s="60"/>
      <c r="O99" s="67"/>
      <c r="P99" s="67"/>
      <c r="Q99" s="60"/>
      <c r="R99" s="60"/>
      <c r="S99" s="67"/>
      <c r="T99" s="67"/>
      <c r="U99" s="60"/>
      <c r="V99" s="60"/>
      <c r="W99" s="67"/>
      <c r="X99" s="67"/>
      <c r="Y99" s="60"/>
      <c r="Z99" s="60"/>
      <c r="AA99" s="67"/>
      <c r="AB99" s="67"/>
      <c r="AC99" s="60"/>
      <c r="AD99" s="60"/>
      <c r="AE99" s="67"/>
      <c r="AF99" s="67"/>
      <c r="AG99" s="60"/>
      <c r="AH99" s="60"/>
      <c r="AI99" s="67"/>
      <c r="AJ99" s="67"/>
      <c r="AK99" s="60"/>
      <c r="AL99" s="60"/>
      <c r="AM99" s="67"/>
      <c r="AN99" s="67"/>
      <c r="AO99" s="60"/>
      <c r="AP99" s="60"/>
      <c r="AQ99" s="67"/>
      <c r="AR99" s="67"/>
      <c r="AS99" s="60"/>
      <c r="AT99" s="60"/>
      <c r="AU99" s="67"/>
      <c r="AV99" s="67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7"/>
      <c r="CG99" s="67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7"/>
      <c r="DB99" s="67"/>
      <c r="DC99" s="60"/>
      <c r="DD99" s="60"/>
      <c r="DE99" s="60"/>
      <c r="DF99" s="60"/>
      <c r="DG99" s="60"/>
      <c r="DH99" s="60"/>
      <c r="DI99" s="60"/>
      <c r="DJ99" s="60"/>
      <c r="DK99" s="60"/>
      <c r="DL99" s="60"/>
      <c r="DM99" s="60"/>
      <c r="DN99" s="60"/>
      <c r="DO99" s="60"/>
      <c r="DP99" s="60"/>
      <c r="DQ99" s="60"/>
      <c r="DR99" s="60"/>
      <c r="DS99" s="60"/>
    </row>
    <row r="100" ht="15.75" customHeight="1">
      <c r="A100" s="88"/>
      <c r="B100" s="60"/>
      <c r="C100" s="60"/>
      <c r="D100" s="60"/>
      <c r="E100" s="86"/>
      <c r="F100" s="60"/>
      <c r="G100" s="60"/>
      <c r="H100" s="60"/>
      <c r="I100" s="60"/>
      <c r="J100" s="60"/>
      <c r="K100" s="60"/>
      <c r="L100" s="60"/>
      <c r="M100" s="60"/>
      <c r="N100" s="60"/>
      <c r="O100" s="67"/>
      <c r="P100" s="67"/>
      <c r="Q100" s="60"/>
      <c r="R100" s="60"/>
      <c r="S100" s="67"/>
      <c r="T100" s="67"/>
      <c r="U100" s="60"/>
      <c r="V100" s="60"/>
      <c r="W100" s="67"/>
      <c r="X100" s="67"/>
      <c r="Y100" s="60"/>
      <c r="Z100" s="60"/>
      <c r="AA100" s="67"/>
      <c r="AB100" s="67"/>
      <c r="AC100" s="60"/>
      <c r="AD100" s="60"/>
      <c r="AE100" s="67"/>
      <c r="AF100" s="67"/>
      <c r="AG100" s="60"/>
      <c r="AH100" s="60"/>
      <c r="AI100" s="72"/>
      <c r="AJ100" s="72"/>
      <c r="AK100" s="60"/>
      <c r="AL100" s="67"/>
      <c r="AM100" s="67"/>
      <c r="AN100" s="67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7"/>
      <c r="DA100" s="67"/>
      <c r="DB100" s="67"/>
      <c r="DC100" s="60"/>
      <c r="DD100" s="60"/>
      <c r="DE100" s="60"/>
      <c r="DF100" s="60"/>
      <c r="DG100" s="60"/>
      <c r="DH100" s="60"/>
      <c r="DI100" s="60"/>
      <c r="DJ100" s="60"/>
      <c r="DK100" s="60"/>
      <c r="DL100" s="60"/>
      <c r="DM100" s="60"/>
      <c r="DN100" s="60"/>
      <c r="DO100" s="60"/>
      <c r="DP100" s="60"/>
      <c r="DQ100" s="60"/>
      <c r="DR100" s="60"/>
      <c r="DS100" s="60"/>
    </row>
    <row r="101" ht="15.75" customHeight="1">
      <c r="A101" s="88"/>
      <c r="B101" s="60"/>
      <c r="C101" s="60"/>
      <c r="D101" s="60"/>
      <c r="E101" s="86"/>
      <c r="F101" s="60"/>
      <c r="G101" s="60"/>
      <c r="H101" s="60"/>
      <c r="I101" s="67"/>
      <c r="J101" s="60"/>
      <c r="K101" s="60"/>
      <c r="L101" s="60"/>
      <c r="M101" s="60"/>
      <c r="N101" s="60"/>
      <c r="O101" s="67"/>
      <c r="P101" s="67"/>
      <c r="Q101" s="60"/>
      <c r="R101" s="60"/>
      <c r="S101" s="67"/>
      <c r="T101" s="67"/>
      <c r="U101" s="60"/>
      <c r="V101" s="60"/>
      <c r="W101" s="67"/>
      <c r="X101" s="67"/>
      <c r="Y101" s="60"/>
      <c r="Z101" s="60"/>
      <c r="AA101" s="67"/>
      <c r="AB101" s="67"/>
      <c r="AC101" s="60"/>
      <c r="AD101" s="60"/>
      <c r="AE101" s="67"/>
      <c r="AF101" s="67"/>
      <c r="AG101" s="60"/>
      <c r="AH101" s="60"/>
      <c r="AI101" s="67"/>
      <c r="AJ101" s="67"/>
      <c r="AK101" s="60"/>
      <c r="AL101" s="60"/>
      <c r="AM101" s="67"/>
      <c r="AN101" s="67"/>
      <c r="AO101" s="60"/>
      <c r="AP101" s="60"/>
      <c r="AQ101" s="67"/>
      <c r="AR101" s="67"/>
      <c r="AS101" s="60"/>
      <c r="AT101" s="60"/>
      <c r="AU101" s="67"/>
      <c r="AV101" s="67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78"/>
      <c r="CF101" s="79"/>
      <c r="CG101" s="79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79"/>
      <c r="DB101" s="79"/>
      <c r="DC101" s="60"/>
      <c r="DD101" s="60"/>
      <c r="DE101" s="60"/>
      <c r="DF101" s="60"/>
      <c r="DG101" s="60"/>
      <c r="DH101" s="60"/>
      <c r="DI101" s="60"/>
      <c r="DJ101" s="60"/>
      <c r="DK101" s="60"/>
      <c r="DL101" s="60"/>
      <c r="DM101" s="60"/>
      <c r="DN101" s="60"/>
      <c r="DO101" s="60"/>
      <c r="DP101" s="60"/>
      <c r="DQ101" s="60"/>
      <c r="DR101" s="60"/>
      <c r="DS101" s="60"/>
    </row>
    <row r="102" ht="15.75" customHeight="1">
      <c r="A102" s="88"/>
      <c r="B102" s="60"/>
      <c r="C102" s="60"/>
      <c r="D102" s="60"/>
      <c r="E102" s="86"/>
      <c r="F102" s="60"/>
      <c r="G102" s="60"/>
      <c r="H102" s="60"/>
      <c r="I102" s="67"/>
      <c r="J102" s="60"/>
      <c r="K102" s="60"/>
      <c r="L102" s="60"/>
      <c r="M102" s="60"/>
      <c r="N102" s="60"/>
      <c r="O102" s="67"/>
      <c r="P102" s="67"/>
      <c r="Q102" s="60"/>
      <c r="R102" s="60"/>
      <c r="S102" s="67"/>
      <c r="T102" s="67"/>
      <c r="U102" s="60"/>
      <c r="V102" s="60"/>
      <c r="W102" s="67"/>
      <c r="X102" s="67"/>
      <c r="Y102" s="60"/>
      <c r="Z102" s="60"/>
      <c r="AA102" s="67"/>
      <c r="AB102" s="67"/>
      <c r="AC102" s="60"/>
      <c r="AD102" s="60"/>
      <c r="AE102" s="67"/>
      <c r="AF102" s="67"/>
      <c r="AG102" s="60"/>
      <c r="AH102" s="60"/>
      <c r="AI102" s="60"/>
      <c r="AJ102" s="60"/>
      <c r="AK102" s="60"/>
      <c r="AL102" s="60"/>
      <c r="AM102" s="67"/>
      <c r="AN102" s="67"/>
      <c r="AO102" s="60"/>
      <c r="AP102" s="60"/>
      <c r="AQ102" s="67"/>
      <c r="AR102" s="67"/>
      <c r="AS102" s="60"/>
      <c r="AT102" s="60"/>
      <c r="AU102" s="67"/>
      <c r="AV102" s="67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7"/>
      <c r="DB102" s="67"/>
      <c r="DC102" s="60"/>
      <c r="DD102" s="60"/>
      <c r="DE102" s="67"/>
      <c r="DF102" s="67"/>
      <c r="DG102" s="60"/>
      <c r="DH102" s="60"/>
      <c r="DI102" s="60"/>
      <c r="DJ102" s="60"/>
      <c r="DK102" s="60"/>
      <c r="DL102" s="60"/>
      <c r="DM102" s="60"/>
      <c r="DN102" s="60"/>
      <c r="DO102" s="60"/>
      <c r="DP102" s="60"/>
      <c r="DQ102" s="60"/>
      <c r="DR102" s="60"/>
      <c r="DS102" s="60"/>
    </row>
    <row r="103" ht="15.75" customHeight="1">
      <c r="A103" s="88"/>
      <c r="B103" s="60"/>
      <c r="C103" s="60"/>
      <c r="D103" s="60"/>
      <c r="E103" s="86"/>
      <c r="F103" s="60"/>
      <c r="G103" s="60"/>
      <c r="H103" s="60"/>
      <c r="I103" s="60"/>
      <c r="J103" s="60"/>
      <c r="K103" s="60"/>
      <c r="L103" s="60"/>
      <c r="M103" s="60"/>
      <c r="N103" s="60"/>
      <c r="O103" s="67"/>
      <c r="P103" s="67"/>
      <c r="Q103" s="60"/>
      <c r="R103" s="60"/>
      <c r="S103" s="67"/>
      <c r="T103" s="67"/>
      <c r="U103" s="60"/>
      <c r="V103" s="60"/>
      <c r="W103" s="67"/>
      <c r="X103" s="67"/>
      <c r="Y103" s="60"/>
      <c r="Z103" s="60"/>
      <c r="AA103" s="67"/>
      <c r="AB103" s="67"/>
      <c r="AC103" s="60"/>
      <c r="AD103" s="60"/>
      <c r="AE103" s="67"/>
      <c r="AF103" s="67"/>
      <c r="AG103" s="60"/>
      <c r="AH103" s="60"/>
      <c r="AI103" s="67"/>
      <c r="AJ103" s="67"/>
      <c r="AK103" s="60"/>
      <c r="AL103" s="60"/>
      <c r="AM103" s="67"/>
      <c r="AN103" s="67"/>
      <c r="AO103" s="60"/>
      <c r="AP103" s="60"/>
      <c r="AQ103" s="67"/>
      <c r="AR103" s="67"/>
      <c r="AS103" s="60"/>
      <c r="AT103" s="60"/>
      <c r="AU103" s="67"/>
      <c r="AV103" s="67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7"/>
      <c r="DB103" s="67"/>
      <c r="DC103" s="60"/>
      <c r="DD103" s="60"/>
      <c r="DE103" s="67"/>
      <c r="DF103" s="67"/>
      <c r="DG103" s="60"/>
      <c r="DH103" s="60"/>
      <c r="DI103" s="67"/>
      <c r="DJ103" s="67"/>
      <c r="DK103" s="60"/>
      <c r="DL103" s="60"/>
      <c r="DM103" s="60"/>
      <c r="DN103" s="60"/>
      <c r="DO103" s="60"/>
      <c r="DP103" s="60"/>
      <c r="DQ103" s="60"/>
      <c r="DR103" s="60"/>
      <c r="DS103" s="60"/>
    </row>
    <row r="104" ht="15.75" customHeight="1">
      <c r="A104" s="88"/>
      <c r="B104" s="60"/>
      <c r="C104" s="60"/>
      <c r="D104" s="60"/>
      <c r="E104" s="86"/>
      <c r="F104" s="60"/>
      <c r="G104" s="60"/>
      <c r="H104" s="60"/>
      <c r="I104" s="60"/>
      <c r="J104" s="60"/>
      <c r="K104" s="60"/>
      <c r="L104" s="60"/>
      <c r="M104" s="60"/>
      <c r="N104" s="60"/>
      <c r="O104" s="67"/>
      <c r="P104" s="67"/>
      <c r="Q104" s="60"/>
      <c r="R104" s="60"/>
      <c r="S104" s="67"/>
      <c r="T104" s="67"/>
      <c r="U104" s="60"/>
      <c r="V104" s="60"/>
      <c r="W104" s="67"/>
      <c r="X104" s="67"/>
      <c r="Y104" s="60"/>
      <c r="Z104" s="60"/>
      <c r="AA104" s="67"/>
      <c r="AB104" s="67"/>
      <c r="AC104" s="60"/>
      <c r="AD104" s="60"/>
      <c r="AE104" s="67"/>
      <c r="AF104" s="67"/>
      <c r="AG104" s="60"/>
      <c r="AH104" s="60"/>
      <c r="AI104" s="67"/>
      <c r="AJ104" s="67"/>
      <c r="AK104" s="60"/>
      <c r="AL104" s="60"/>
      <c r="AM104" s="67"/>
      <c r="AN104" s="67"/>
      <c r="AO104" s="60"/>
      <c r="AP104" s="60"/>
      <c r="AQ104" s="67"/>
      <c r="AR104" s="67"/>
      <c r="AS104" s="60"/>
      <c r="AT104" s="60"/>
      <c r="AU104" s="67"/>
      <c r="AV104" s="67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7"/>
      <c r="DB104" s="67"/>
      <c r="DC104" s="60"/>
      <c r="DD104" s="60"/>
      <c r="DE104" s="67"/>
      <c r="DF104" s="67"/>
      <c r="DG104" s="60"/>
      <c r="DH104" s="60"/>
      <c r="DI104" s="67"/>
      <c r="DJ104" s="67"/>
      <c r="DK104" s="60"/>
      <c r="DL104" s="60"/>
      <c r="DM104" s="60"/>
      <c r="DN104" s="60"/>
      <c r="DO104" s="60"/>
      <c r="DP104" s="60"/>
      <c r="DQ104" s="60"/>
      <c r="DR104" s="60"/>
      <c r="DS104" s="60"/>
    </row>
    <row r="105" ht="15.75" customHeight="1">
      <c r="A105" s="88"/>
      <c r="B105" s="60"/>
      <c r="C105" s="60"/>
      <c r="D105" s="60"/>
      <c r="E105" s="86"/>
      <c r="F105" s="60"/>
      <c r="G105" s="60"/>
      <c r="H105" s="60"/>
      <c r="I105" s="60"/>
      <c r="J105" s="60"/>
      <c r="K105" s="60"/>
      <c r="L105" s="60"/>
      <c r="M105" s="60"/>
      <c r="N105" s="60"/>
      <c r="O105" s="67"/>
      <c r="P105" s="67"/>
      <c r="Q105" s="60"/>
      <c r="R105" s="60"/>
      <c r="S105" s="67"/>
      <c r="T105" s="67"/>
      <c r="U105" s="60"/>
      <c r="V105" s="60"/>
      <c r="W105" s="67"/>
      <c r="X105" s="67"/>
      <c r="Y105" s="60"/>
      <c r="Z105" s="60"/>
      <c r="AA105" s="67"/>
      <c r="AB105" s="67"/>
      <c r="AC105" s="60"/>
      <c r="AD105" s="60"/>
      <c r="AE105" s="67"/>
      <c r="AF105" s="67"/>
      <c r="AG105" s="60"/>
      <c r="AH105" s="60"/>
      <c r="AI105" s="67"/>
      <c r="AJ105" s="67"/>
      <c r="AK105" s="60"/>
      <c r="AL105" s="60"/>
      <c r="AM105" s="67"/>
      <c r="AN105" s="67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78"/>
      <c r="CF105" s="79"/>
      <c r="CG105" s="79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0"/>
      <c r="DI105" s="60"/>
      <c r="DJ105" s="60"/>
      <c r="DK105" s="60"/>
      <c r="DL105" s="60"/>
      <c r="DM105" s="60"/>
      <c r="DN105" s="60"/>
      <c r="DO105" s="60"/>
      <c r="DP105" s="60"/>
      <c r="DQ105" s="60"/>
      <c r="DR105" s="60"/>
      <c r="DS105" s="60"/>
    </row>
    <row r="106" ht="15.75" customHeight="1">
      <c r="A106" s="88"/>
      <c r="B106" s="60"/>
      <c r="C106" s="60"/>
      <c r="D106" s="60"/>
      <c r="E106" s="86"/>
      <c r="F106" s="60"/>
      <c r="G106" s="60"/>
      <c r="H106" s="60"/>
      <c r="I106" s="60"/>
      <c r="J106" s="60"/>
      <c r="K106" s="60"/>
      <c r="L106" s="60"/>
      <c r="M106" s="60"/>
      <c r="N106" s="60"/>
      <c r="O106" s="67"/>
      <c r="P106" s="67"/>
      <c r="Q106" s="60"/>
      <c r="R106" s="60"/>
      <c r="S106" s="67"/>
      <c r="T106" s="67"/>
      <c r="U106" s="60"/>
      <c r="V106" s="60"/>
      <c r="W106" s="67"/>
      <c r="X106" s="67"/>
      <c r="Y106" s="60"/>
      <c r="Z106" s="60"/>
      <c r="AA106" s="67"/>
      <c r="AB106" s="67"/>
      <c r="AC106" s="60"/>
      <c r="AD106" s="60"/>
      <c r="AE106" s="67"/>
      <c r="AF106" s="67"/>
      <c r="AG106" s="60"/>
      <c r="AH106" s="60"/>
      <c r="AI106" s="67"/>
      <c r="AJ106" s="67"/>
      <c r="AK106" s="60"/>
      <c r="AL106" s="60"/>
      <c r="AM106" s="67"/>
      <c r="AN106" s="67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78"/>
      <c r="CF106" s="79"/>
      <c r="CG106" s="79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</row>
    <row r="107" ht="15.75" customHeight="1">
      <c r="A107" s="88"/>
      <c r="B107" s="60"/>
      <c r="C107" s="60"/>
      <c r="D107" s="60"/>
      <c r="E107" s="86"/>
      <c r="F107" s="60"/>
      <c r="G107" s="60"/>
      <c r="H107" s="60"/>
      <c r="I107" s="60"/>
      <c r="J107" s="60"/>
      <c r="K107" s="60"/>
      <c r="L107" s="99"/>
      <c r="M107" s="60"/>
      <c r="N107" s="60"/>
      <c r="O107" s="67"/>
      <c r="P107" s="67"/>
      <c r="Q107" s="60"/>
      <c r="R107" s="60"/>
      <c r="S107" s="67"/>
      <c r="T107" s="67"/>
      <c r="U107" s="60"/>
      <c r="V107" s="60"/>
      <c r="W107" s="67"/>
      <c r="X107" s="67"/>
      <c r="Y107" s="60"/>
      <c r="Z107" s="60"/>
      <c r="AA107" s="67"/>
      <c r="AB107" s="67"/>
      <c r="AC107" s="60"/>
      <c r="AD107" s="60"/>
      <c r="AE107" s="67"/>
      <c r="AF107" s="67"/>
      <c r="AG107" s="60"/>
      <c r="AH107" s="60"/>
      <c r="AI107" s="67"/>
      <c r="AJ107" s="67"/>
      <c r="AK107" s="60"/>
      <c r="AL107" s="60"/>
      <c r="AM107" s="67"/>
      <c r="AN107" s="67"/>
      <c r="AO107" s="60"/>
      <c r="AP107" s="60"/>
      <c r="AQ107" s="67"/>
      <c r="AR107" s="67"/>
      <c r="AS107" s="60"/>
      <c r="AT107" s="60"/>
      <c r="AU107" s="67"/>
      <c r="AV107" s="67"/>
      <c r="AW107" s="60"/>
      <c r="AX107" s="60"/>
      <c r="AY107" s="67"/>
      <c r="AZ107" s="67"/>
      <c r="BA107" s="60"/>
      <c r="BB107" s="60"/>
      <c r="BC107" s="67"/>
      <c r="BD107" s="67"/>
      <c r="BE107" s="60"/>
      <c r="BF107" s="60"/>
      <c r="BG107" s="67"/>
      <c r="BH107" s="67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7"/>
      <c r="CG107" s="67"/>
      <c r="CH107" s="60"/>
      <c r="CI107" s="60"/>
      <c r="CJ107" s="67"/>
      <c r="CK107" s="67"/>
      <c r="CL107" s="60"/>
      <c r="CM107" s="60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60"/>
      <c r="CY107" s="60"/>
      <c r="CZ107" s="60"/>
      <c r="DA107" s="86"/>
      <c r="DB107" s="86"/>
      <c r="DC107" s="60"/>
      <c r="DD107" s="60"/>
      <c r="DE107" s="60"/>
      <c r="DF107" s="60"/>
      <c r="DG107" s="60"/>
      <c r="DH107" s="60"/>
      <c r="DI107" s="60"/>
      <c r="DJ107" s="60"/>
      <c r="DK107" s="60"/>
      <c r="DL107" s="60"/>
      <c r="DM107" s="60"/>
      <c r="DN107" s="60"/>
      <c r="DO107" s="60"/>
      <c r="DP107" s="60"/>
      <c r="DQ107" s="60"/>
      <c r="DR107" s="60"/>
      <c r="DS107" s="60"/>
    </row>
    <row r="108" ht="15.75" customHeight="1">
      <c r="A108" s="88"/>
      <c r="B108" s="60"/>
      <c r="C108" s="60"/>
      <c r="D108" s="60"/>
      <c r="E108" s="86"/>
      <c r="F108" s="60"/>
      <c r="G108" s="60"/>
      <c r="H108" s="60"/>
      <c r="I108" s="60"/>
      <c r="J108" s="60"/>
      <c r="K108" s="60"/>
      <c r="L108" s="99"/>
      <c r="M108" s="60"/>
      <c r="N108" s="60"/>
      <c r="O108" s="67"/>
      <c r="P108" s="67"/>
      <c r="Q108" s="60"/>
      <c r="R108" s="60"/>
      <c r="S108" s="67"/>
      <c r="T108" s="67"/>
      <c r="U108" s="60"/>
      <c r="V108" s="60"/>
      <c r="W108" s="67"/>
      <c r="X108" s="67"/>
      <c r="Y108" s="60"/>
      <c r="Z108" s="60"/>
      <c r="AA108" s="67"/>
      <c r="AB108" s="67"/>
      <c r="AC108" s="60"/>
      <c r="AD108" s="60"/>
      <c r="AE108" s="67"/>
      <c r="AF108" s="67"/>
      <c r="AG108" s="60"/>
      <c r="AH108" s="60"/>
      <c r="AI108" s="67"/>
      <c r="AJ108" s="67"/>
      <c r="AK108" s="60"/>
      <c r="AL108" s="60"/>
      <c r="AM108" s="67"/>
      <c r="AN108" s="67"/>
      <c r="AO108" s="60"/>
      <c r="AP108" s="60"/>
      <c r="AQ108" s="67"/>
      <c r="AR108" s="67"/>
      <c r="AS108" s="60"/>
      <c r="AT108" s="60"/>
      <c r="AU108" s="67"/>
      <c r="AV108" s="67"/>
      <c r="AW108" s="60"/>
      <c r="AX108" s="60"/>
      <c r="AY108" s="67"/>
      <c r="AZ108" s="67"/>
      <c r="BA108" s="60"/>
      <c r="BB108" s="60"/>
      <c r="BC108" s="67"/>
      <c r="BD108" s="67"/>
      <c r="BE108" s="60"/>
      <c r="BF108" s="60"/>
      <c r="BG108" s="67"/>
      <c r="BH108" s="67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7"/>
      <c r="CG108" s="67"/>
      <c r="CH108" s="60"/>
      <c r="CI108" s="60"/>
      <c r="CJ108" s="67"/>
      <c r="CK108" s="67"/>
      <c r="CL108" s="60"/>
      <c r="CM108" s="60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60"/>
      <c r="CY108" s="60"/>
      <c r="CZ108" s="60"/>
      <c r="DA108" s="86"/>
      <c r="DB108" s="86"/>
      <c r="DC108" s="60"/>
      <c r="DD108" s="60"/>
      <c r="DE108" s="60"/>
      <c r="DF108" s="60"/>
      <c r="DG108" s="60"/>
      <c r="DH108" s="60"/>
      <c r="DI108" s="60"/>
      <c r="DJ108" s="60"/>
      <c r="DK108" s="60"/>
      <c r="DL108" s="60"/>
      <c r="DM108" s="60"/>
      <c r="DN108" s="60"/>
      <c r="DO108" s="60"/>
      <c r="DP108" s="60"/>
      <c r="DQ108" s="60"/>
      <c r="DR108" s="60"/>
      <c r="DS108" s="60"/>
    </row>
    <row r="109" ht="15.75" customHeight="1">
      <c r="A109" s="88"/>
      <c r="B109" s="60"/>
      <c r="C109" s="60"/>
      <c r="D109" s="60"/>
      <c r="E109" s="86"/>
      <c r="F109" s="92"/>
      <c r="G109" s="92"/>
      <c r="H109" s="60"/>
      <c r="I109" s="86"/>
      <c r="J109" s="60"/>
      <c r="K109" s="86"/>
      <c r="L109" s="60"/>
      <c r="M109" s="100"/>
      <c r="N109" s="100"/>
      <c r="O109" s="67"/>
      <c r="P109" s="67"/>
      <c r="Q109" s="60"/>
      <c r="R109" s="101"/>
      <c r="S109" s="102"/>
      <c r="T109" s="102"/>
      <c r="U109" s="60"/>
      <c r="V109" s="103"/>
      <c r="W109" s="102"/>
      <c r="X109" s="102"/>
      <c r="Y109" s="60"/>
      <c r="Z109" s="60"/>
      <c r="AA109" s="85"/>
      <c r="AB109" s="85"/>
      <c r="AC109" s="60"/>
      <c r="AD109" s="86"/>
      <c r="AE109" s="86"/>
      <c r="AF109" s="86"/>
      <c r="AG109" s="60"/>
      <c r="AH109" s="86"/>
      <c r="AI109" s="86"/>
      <c r="AJ109" s="86"/>
      <c r="AK109" s="60"/>
      <c r="AL109" s="86"/>
      <c r="AM109" s="86"/>
      <c r="AN109" s="86"/>
      <c r="AO109" s="60"/>
      <c r="AP109" s="86"/>
      <c r="AQ109" s="86"/>
      <c r="AR109" s="86"/>
      <c r="AS109" s="60"/>
      <c r="AT109" s="86"/>
      <c r="AU109" s="86"/>
      <c r="AV109" s="86"/>
      <c r="AW109" s="60"/>
      <c r="AX109" s="86"/>
      <c r="AY109" s="60"/>
      <c r="AZ109" s="60"/>
      <c r="BA109" s="60"/>
      <c r="BB109" s="86"/>
      <c r="BC109" s="86"/>
      <c r="BD109" s="86"/>
      <c r="BE109" s="60"/>
      <c r="BF109" s="86"/>
      <c r="BG109" s="86"/>
      <c r="BH109" s="86"/>
      <c r="BI109" s="60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60"/>
      <c r="CD109" s="60"/>
      <c r="CE109" s="60"/>
      <c r="CF109" s="67"/>
      <c r="CG109" s="67"/>
      <c r="CH109" s="60"/>
      <c r="CI109" s="60"/>
      <c r="CJ109" s="67"/>
      <c r="CK109" s="67"/>
      <c r="CL109" s="72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0"/>
      <c r="CY109" s="60"/>
      <c r="CZ109" s="60"/>
      <c r="DA109" s="67"/>
      <c r="DB109" s="67"/>
      <c r="DC109" s="60"/>
      <c r="DD109" s="60"/>
      <c r="DE109" s="67"/>
      <c r="DF109" s="67"/>
      <c r="DG109" s="67"/>
      <c r="DH109" s="67"/>
      <c r="DI109" s="67"/>
      <c r="DJ109" s="67"/>
      <c r="DK109" s="67"/>
      <c r="DL109" s="67"/>
      <c r="DM109" s="67"/>
      <c r="DN109" s="72"/>
      <c r="DO109" s="72"/>
      <c r="DP109" s="72"/>
      <c r="DQ109" s="72"/>
      <c r="DR109" s="72"/>
      <c r="DS109" s="72"/>
    </row>
    <row r="110" ht="15.75" customHeight="1">
      <c r="A110" s="50"/>
      <c r="B110" s="50"/>
      <c r="C110" s="60"/>
      <c r="D110" s="50"/>
      <c r="E110" s="104"/>
      <c r="F110" s="105"/>
      <c r="G110" s="50"/>
      <c r="H110" s="60"/>
      <c r="I110" s="60"/>
      <c r="J110" s="60"/>
      <c r="K110" s="60"/>
      <c r="L110" s="106"/>
      <c r="M110" s="50"/>
      <c r="N110" s="107"/>
      <c r="O110" s="105"/>
      <c r="P110" s="105"/>
      <c r="Q110" s="105"/>
      <c r="R110" s="50"/>
      <c r="S110" s="105"/>
      <c r="T110" s="105"/>
      <c r="U110" s="105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50"/>
      <c r="CD110" s="50"/>
      <c r="CE110" s="105"/>
      <c r="CF110" s="105"/>
      <c r="CG110" s="86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50"/>
      <c r="CY110" s="105"/>
      <c r="CZ110" s="105"/>
      <c r="DA110" s="50"/>
      <c r="DB110" s="60"/>
      <c r="DC110" s="60"/>
      <c r="DD110" s="60"/>
      <c r="DE110" s="60"/>
      <c r="DF110" s="60"/>
      <c r="DG110" s="60"/>
      <c r="DH110" s="60"/>
      <c r="DI110" s="60"/>
      <c r="DJ110" s="60"/>
      <c r="DK110" s="60"/>
      <c r="DL110" s="60"/>
      <c r="DM110" s="60"/>
      <c r="DN110" s="60"/>
      <c r="DO110" s="60"/>
      <c r="DP110" s="60"/>
      <c r="DQ110" s="60"/>
      <c r="DR110" s="60"/>
      <c r="DS110" s="60"/>
    </row>
    <row r="111" ht="15.75" customHeight="1">
      <c r="A111" s="50"/>
      <c r="B111" s="50"/>
      <c r="C111" s="50"/>
      <c r="D111" s="50"/>
      <c r="E111" s="108"/>
      <c r="F111" s="50"/>
      <c r="G111" s="50"/>
      <c r="H111" s="60"/>
      <c r="I111" s="60"/>
      <c r="J111" s="60"/>
      <c r="K111" s="60"/>
      <c r="L111" s="106"/>
      <c r="M111" s="50"/>
      <c r="N111" s="50"/>
      <c r="O111" s="50"/>
      <c r="P111" s="6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50"/>
      <c r="BN111" s="50"/>
      <c r="BO111" s="50"/>
      <c r="BP111" s="50"/>
      <c r="BQ111" s="60"/>
      <c r="BR111" s="60"/>
      <c r="BS111" s="60"/>
      <c r="BT111" s="60"/>
      <c r="BU111" s="60"/>
      <c r="BV111" s="60"/>
      <c r="BW111" s="60"/>
      <c r="BX111" s="60"/>
      <c r="BY111" s="60"/>
      <c r="BZ111" s="50"/>
      <c r="CA111" s="50"/>
      <c r="CB111" s="50"/>
      <c r="CC111" s="50"/>
      <c r="CD111" s="60"/>
      <c r="CE111" s="60"/>
      <c r="CF111" s="60"/>
      <c r="CG111" s="60"/>
      <c r="CH111" s="60"/>
      <c r="CI111" s="50"/>
      <c r="CJ111" s="50"/>
      <c r="CK111" s="50"/>
      <c r="CL111" s="50"/>
      <c r="CM111" s="50"/>
      <c r="CN111" s="60"/>
      <c r="CO111" s="60"/>
      <c r="CP111" s="60"/>
      <c r="CQ111" s="60"/>
      <c r="CR111" s="60"/>
      <c r="CS111" s="60"/>
      <c r="CT111" s="60"/>
      <c r="CU111" s="60"/>
      <c r="CV111" s="60"/>
      <c r="CW111" s="60"/>
      <c r="CX111" s="60"/>
      <c r="CY111" s="60"/>
      <c r="CZ111" s="60"/>
      <c r="DA111" s="60"/>
      <c r="DB111" s="60"/>
      <c r="DC111" s="60"/>
      <c r="DD111" s="50"/>
      <c r="DE111" s="60"/>
      <c r="DF111" s="60"/>
      <c r="DG111" s="60"/>
      <c r="DH111" s="60"/>
      <c r="DI111" s="60"/>
      <c r="DJ111" s="60"/>
      <c r="DK111" s="60"/>
      <c r="DL111" s="60"/>
      <c r="DM111" s="60"/>
      <c r="DN111" s="60"/>
      <c r="DO111" s="60"/>
      <c r="DP111" s="60"/>
      <c r="DQ111" s="60"/>
      <c r="DR111" s="60"/>
      <c r="DS111" s="60"/>
    </row>
    <row r="112" ht="15.75" customHeight="1">
      <c r="A112" s="50"/>
      <c r="B112" s="50"/>
      <c r="C112" s="50"/>
      <c r="D112" s="50"/>
      <c r="E112" s="108"/>
      <c r="F112" s="60"/>
      <c r="G112" s="60"/>
      <c r="H112" s="60"/>
      <c r="I112" s="60"/>
      <c r="J112" s="60"/>
      <c r="K112" s="60"/>
      <c r="L112" s="106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50"/>
      <c r="BN112" s="50"/>
      <c r="BO112" s="50"/>
      <c r="BP112" s="50"/>
      <c r="BQ112" s="5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50"/>
      <c r="CD112" s="60"/>
      <c r="CE112" s="60"/>
      <c r="CF112" s="60"/>
      <c r="CG112" s="60"/>
      <c r="CH112" s="60"/>
      <c r="CI112" s="50"/>
      <c r="CJ112" s="50"/>
      <c r="CK112" s="50"/>
      <c r="CL112" s="50"/>
      <c r="CM112" s="5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50"/>
      <c r="CY112" s="60"/>
      <c r="CZ112" s="60"/>
      <c r="DA112" s="60"/>
      <c r="DB112" s="60"/>
      <c r="DC112" s="60"/>
      <c r="DD112" s="50"/>
      <c r="DE112" s="60"/>
      <c r="DF112" s="60"/>
      <c r="DG112" s="60"/>
      <c r="DH112" s="60"/>
      <c r="DI112" s="60"/>
      <c r="DJ112" s="60"/>
      <c r="DK112" s="60"/>
      <c r="DL112" s="60"/>
      <c r="DM112" s="60"/>
      <c r="DN112" s="60"/>
      <c r="DO112" s="60"/>
      <c r="DP112" s="60"/>
      <c r="DQ112" s="60"/>
      <c r="DR112" s="60"/>
      <c r="DS112" s="60"/>
    </row>
    <row r="113" ht="15.75" customHeight="1">
      <c r="A113" s="50"/>
      <c r="B113" s="50"/>
      <c r="C113" s="60"/>
      <c r="D113" s="50"/>
      <c r="E113" s="108"/>
      <c r="F113" s="60"/>
      <c r="G113" s="60"/>
      <c r="H113" s="60"/>
      <c r="I113" s="60"/>
      <c r="J113" s="60"/>
      <c r="K113" s="60"/>
      <c r="L113" s="106"/>
      <c r="M113" s="50"/>
      <c r="N113" s="50"/>
      <c r="O113" s="50"/>
      <c r="P113" s="6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60"/>
      <c r="AE113" s="50"/>
      <c r="AF113" s="50"/>
      <c r="AG113" s="5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5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50"/>
      <c r="CJ113" s="60"/>
      <c r="CK113" s="60"/>
      <c r="CL113" s="50"/>
      <c r="CM113" s="60"/>
      <c r="CN113" s="60"/>
      <c r="CO113" s="60"/>
      <c r="CP113" s="60"/>
      <c r="CQ113" s="60"/>
      <c r="CR113" s="60"/>
      <c r="CS113" s="60"/>
      <c r="CT113" s="60"/>
      <c r="CU113" s="60"/>
      <c r="CV113" s="60"/>
      <c r="CW113" s="60"/>
      <c r="CX113" s="60"/>
      <c r="CY113" s="60"/>
      <c r="CZ113" s="60"/>
      <c r="DA113" s="60"/>
      <c r="DB113" s="60"/>
      <c r="DC113" s="60"/>
      <c r="DD113" s="50"/>
      <c r="DE113" s="60"/>
      <c r="DF113" s="60"/>
      <c r="DG113" s="60"/>
      <c r="DH113" s="60"/>
      <c r="DI113" s="60"/>
      <c r="DJ113" s="60"/>
      <c r="DK113" s="60"/>
      <c r="DL113" s="60"/>
      <c r="DM113" s="60"/>
      <c r="DN113" s="60"/>
      <c r="DO113" s="60"/>
      <c r="DP113" s="60"/>
      <c r="DQ113" s="60"/>
      <c r="DR113" s="60"/>
      <c r="DS113" s="60"/>
    </row>
    <row r="114" ht="15.75" customHeight="1">
      <c r="A114" s="88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9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60"/>
      <c r="DF114" s="60"/>
      <c r="DG114" s="60"/>
      <c r="DH114" s="60"/>
      <c r="DI114" s="60"/>
      <c r="DJ114" s="60"/>
      <c r="DK114" s="60"/>
      <c r="DL114" s="60"/>
      <c r="DM114" s="60"/>
      <c r="DN114" s="60"/>
      <c r="DO114" s="60"/>
      <c r="DP114" s="60"/>
      <c r="DQ114" s="60"/>
      <c r="DR114" s="60"/>
      <c r="DS114" s="60"/>
    </row>
    <row r="115" ht="15.75" customHeight="1">
      <c r="A115" s="88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99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60"/>
      <c r="CW115" s="60"/>
      <c r="CX115" s="60"/>
      <c r="CY115" s="60"/>
      <c r="CZ115" s="60"/>
      <c r="DA115" s="60"/>
      <c r="DB115" s="60"/>
      <c r="DC115" s="60"/>
      <c r="DD115" s="60"/>
      <c r="DE115" s="60"/>
      <c r="DF115" s="60"/>
      <c r="DG115" s="60"/>
      <c r="DH115" s="60"/>
      <c r="DI115" s="60"/>
      <c r="DJ115" s="60"/>
      <c r="DK115" s="60"/>
      <c r="DL115" s="60"/>
      <c r="DM115" s="60"/>
      <c r="DN115" s="60"/>
      <c r="DO115" s="60"/>
      <c r="DP115" s="60"/>
      <c r="DQ115" s="60"/>
      <c r="DR115" s="60"/>
      <c r="DS115" s="60"/>
    </row>
    <row r="116" ht="15.75" customHeight="1">
      <c r="A116" s="88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99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60"/>
      <c r="CV116" s="60"/>
      <c r="CW116" s="60"/>
      <c r="CX116" s="60"/>
      <c r="CY116" s="60"/>
      <c r="CZ116" s="60"/>
      <c r="DA116" s="60"/>
      <c r="DB116" s="60"/>
      <c r="DC116" s="60"/>
      <c r="DD116" s="60"/>
      <c r="DE116" s="60"/>
      <c r="DF116" s="60"/>
      <c r="DG116" s="60"/>
      <c r="DH116" s="60"/>
      <c r="DI116" s="60"/>
      <c r="DJ116" s="60"/>
      <c r="DK116" s="60"/>
      <c r="DL116" s="60"/>
      <c r="DM116" s="60"/>
      <c r="DN116" s="60"/>
      <c r="DO116" s="60"/>
      <c r="DP116" s="60"/>
      <c r="DQ116" s="60"/>
      <c r="DR116" s="60"/>
      <c r="DS116" s="60"/>
    </row>
    <row r="117" ht="15.75" customHeight="1">
      <c r="A117" s="89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60"/>
      <c r="CV117" s="60"/>
      <c r="CW117" s="60"/>
      <c r="CX117" s="60"/>
      <c r="CY117" s="60"/>
      <c r="CZ117" s="60"/>
      <c r="DA117" s="60"/>
      <c r="DB117" s="60"/>
      <c r="DC117" s="60"/>
      <c r="DD117" s="60"/>
      <c r="DE117" s="60"/>
      <c r="DF117" s="60"/>
      <c r="DG117" s="60"/>
      <c r="DH117" s="60"/>
      <c r="DI117" s="60"/>
      <c r="DJ117" s="60"/>
      <c r="DK117" s="60"/>
      <c r="DL117" s="60"/>
      <c r="DM117" s="60"/>
      <c r="DN117" s="60"/>
      <c r="DO117" s="60"/>
      <c r="DP117" s="60"/>
      <c r="DQ117" s="60"/>
      <c r="DR117" s="60"/>
      <c r="DS117" s="60"/>
    </row>
    <row r="118" ht="15.75" customHeight="1">
      <c r="A118" s="88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0"/>
      <c r="CG118" s="60"/>
      <c r="CH118" s="60"/>
      <c r="CI118" s="60"/>
      <c r="CJ118" s="60"/>
      <c r="CK118" s="60"/>
      <c r="CL118" s="60"/>
      <c r="CM118" s="60"/>
      <c r="CN118" s="60"/>
      <c r="CO118" s="60"/>
      <c r="CP118" s="60"/>
      <c r="CQ118" s="60"/>
      <c r="CR118" s="60"/>
      <c r="CS118" s="60"/>
      <c r="CT118" s="60"/>
      <c r="CU118" s="60"/>
      <c r="CV118" s="60"/>
      <c r="CW118" s="60"/>
      <c r="CX118" s="60"/>
      <c r="CY118" s="60"/>
      <c r="CZ118" s="60"/>
      <c r="DA118" s="60"/>
      <c r="DB118" s="60"/>
      <c r="DC118" s="60"/>
      <c r="DD118" s="60"/>
      <c r="DE118" s="60"/>
      <c r="DF118" s="60"/>
      <c r="DG118" s="60"/>
      <c r="DH118" s="60"/>
      <c r="DI118" s="60"/>
      <c r="DJ118" s="60"/>
      <c r="DK118" s="60"/>
      <c r="DL118" s="60"/>
      <c r="DM118" s="60"/>
      <c r="DN118" s="60"/>
      <c r="DO118" s="60"/>
      <c r="DP118" s="60"/>
      <c r="DQ118" s="60"/>
      <c r="DR118" s="60"/>
      <c r="DS118" s="60"/>
    </row>
    <row r="119" ht="15.75" customHeight="1">
      <c r="A119" s="88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0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C119" s="60"/>
      <c r="DD119" s="60"/>
      <c r="DE119" s="60"/>
      <c r="DF119" s="60"/>
      <c r="DG119" s="60"/>
      <c r="DH119" s="60"/>
      <c r="DI119" s="60"/>
      <c r="DJ119" s="60"/>
      <c r="DK119" s="60"/>
      <c r="DL119" s="60"/>
      <c r="DM119" s="60"/>
      <c r="DN119" s="60"/>
      <c r="DO119" s="60"/>
      <c r="DP119" s="60"/>
      <c r="DQ119" s="60"/>
      <c r="DR119" s="60"/>
      <c r="DS119" s="60"/>
    </row>
    <row r="120" ht="15.75" customHeight="1">
      <c r="A120" s="88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C120" s="60"/>
      <c r="DD120" s="60"/>
      <c r="DE120" s="60"/>
      <c r="DF120" s="60"/>
      <c r="DG120" s="60"/>
      <c r="DH120" s="60"/>
      <c r="DI120" s="60"/>
      <c r="DJ120" s="60"/>
      <c r="DK120" s="60"/>
      <c r="DL120" s="60"/>
      <c r="DM120" s="60"/>
      <c r="DN120" s="60"/>
      <c r="DO120" s="60"/>
      <c r="DP120" s="60"/>
      <c r="DQ120" s="60"/>
      <c r="DR120" s="60"/>
      <c r="DS120" s="60"/>
    </row>
    <row r="121" ht="15.75" customHeight="1">
      <c r="A121" s="88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60"/>
      <c r="CV121" s="60"/>
      <c r="CW121" s="60"/>
      <c r="CX121" s="60"/>
      <c r="CY121" s="60"/>
      <c r="CZ121" s="60"/>
      <c r="DA121" s="60"/>
      <c r="DB121" s="60"/>
      <c r="DC121" s="60"/>
      <c r="DD121" s="60"/>
      <c r="DE121" s="60"/>
      <c r="DF121" s="60"/>
      <c r="DG121" s="60"/>
      <c r="DH121" s="60"/>
      <c r="DI121" s="60"/>
      <c r="DJ121" s="60"/>
      <c r="DK121" s="60"/>
      <c r="DL121" s="60"/>
      <c r="DM121" s="60"/>
      <c r="DN121" s="60"/>
      <c r="DO121" s="60"/>
      <c r="DP121" s="60"/>
      <c r="DQ121" s="60"/>
      <c r="DR121" s="60"/>
      <c r="DS121" s="60"/>
    </row>
    <row r="122" ht="15.75" customHeight="1">
      <c r="A122" s="88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60"/>
      <c r="CV122" s="60"/>
      <c r="CW122" s="60"/>
      <c r="CX122" s="60"/>
      <c r="CY122" s="60"/>
      <c r="CZ122" s="60"/>
      <c r="DA122" s="60"/>
      <c r="DB122" s="60"/>
      <c r="DC122" s="60"/>
      <c r="DD122" s="60"/>
      <c r="DE122" s="60"/>
      <c r="DF122" s="60"/>
      <c r="DG122" s="60"/>
      <c r="DH122" s="60"/>
      <c r="DI122" s="60"/>
      <c r="DJ122" s="60"/>
      <c r="DK122" s="60"/>
      <c r="DL122" s="60"/>
      <c r="DM122" s="60"/>
      <c r="DN122" s="60"/>
      <c r="DO122" s="60"/>
      <c r="DP122" s="60"/>
      <c r="DQ122" s="60"/>
      <c r="DR122" s="60"/>
      <c r="DS122" s="60"/>
    </row>
    <row r="123" ht="15.75" customHeight="1">
      <c r="A123" s="88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0"/>
      <c r="CJ123" s="60"/>
      <c r="CK123" s="60"/>
      <c r="CL123" s="60"/>
      <c r="CM123" s="60"/>
      <c r="CN123" s="60"/>
      <c r="CO123" s="60"/>
      <c r="CP123" s="60"/>
      <c r="CQ123" s="60"/>
      <c r="CR123" s="60"/>
      <c r="CS123" s="60"/>
      <c r="CT123" s="60"/>
      <c r="CU123" s="60"/>
      <c r="CV123" s="60"/>
      <c r="CW123" s="60"/>
      <c r="CX123" s="60"/>
      <c r="CY123" s="60"/>
      <c r="CZ123" s="60"/>
      <c r="DA123" s="60"/>
      <c r="DB123" s="60"/>
      <c r="DC123" s="60"/>
      <c r="DD123" s="60"/>
      <c r="DE123" s="60"/>
      <c r="DF123" s="60"/>
      <c r="DG123" s="60"/>
      <c r="DH123" s="60"/>
      <c r="DI123" s="60"/>
      <c r="DJ123" s="60"/>
      <c r="DK123" s="60"/>
      <c r="DL123" s="60"/>
      <c r="DM123" s="60"/>
      <c r="DN123" s="60"/>
      <c r="DO123" s="60"/>
      <c r="DP123" s="60"/>
      <c r="DQ123" s="60"/>
      <c r="DR123" s="60"/>
      <c r="DS123" s="60"/>
    </row>
    <row r="124" ht="15.75" customHeight="1">
      <c r="A124" s="88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0"/>
      <c r="DF124" s="60"/>
      <c r="DG124" s="60"/>
      <c r="DH124" s="60"/>
      <c r="DI124" s="60"/>
      <c r="DJ124" s="60"/>
      <c r="DK124" s="60"/>
      <c r="DL124" s="60"/>
      <c r="DM124" s="60"/>
      <c r="DN124" s="60"/>
      <c r="DO124" s="60"/>
      <c r="DP124" s="60"/>
      <c r="DQ124" s="60"/>
      <c r="DR124" s="60"/>
      <c r="DS124" s="60"/>
    </row>
    <row r="125" ht="15.75" customHeight="1">
      <c r="A125" s="88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60"/>
      <c r="CV125" s="60"/>
      <c r="CW125" s="60"/>
      <c r="CX125" s="60"/>
      <c r="CY125" s="60"/>
      <c r="CZ125" s="60"/>
      <c r="DA125" s="60"/>
      <c r="DB125" s="60"/>
      <c r="DC125" s="60"/>
      <c r="DD125" s="60"/>
      <c r="DE125" s="60"/>
      <c r="DF125" s="60"/>
      <c r="DG125" s="60"/>
      <c r="DH125" s="60"/>
      <c r="DI125" s="60"/>
      <c r="DJ125" s="60"/>
      <c r="DK125" s="60"/>
      <c r="DL125" s="60"/>
      <c r="DM125" s="60"/>
      <c r="DN125" s="60"/>
      <c r="DO125" s="60"/>
      <c r="DP125" s="60"/>
      <c r="DQ125" s="60"/>
      <c r="DR125" s="60"/>
      <c r="DS125" s="60"/>
    </row>
    <row r="126" ht="15.75" customHeight="1">
      <c r="A126" s="88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0"/>
      <c r="CH126" s="60"/>
      <c r="CI126" s="60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60"/>
      <c r="CV126" s="60"/>
      <c r="CW126" s="60"/>
      <c r="CX126" s="60"/>
      <c r="CY126" s="60"/>
      <c r="CZ126" s="60"/>
      <c r="DA126" s="60"/>
      <c r="DB126" s="60"/>
      <c r="DC126" s="60"/>
      <c r="DD126" s="60"/>
      <c r="DE126" s="60"/>
      <c r="DF126" s="60"/>
      <c r="DG126" s="60"/>
      <c r="DH126" s="60"/>
      <c r="DI126" s="60"/>
      <c r="DJ126" s="60"/>
      <c r="DK126" s="60"/>
      <c r="DL126" s="60"/>
      <c r="DM126" s="60"/>
      <c r="DN126" s="60"/>
      <c r="DO126" s="60"/>
      <c r="DP126" s="60"/>
      <c r="DQ126" s="60"/>
      <c r="DR126" s="60"/>
      <c r="DS126" s="60"/>
    </row>
    <row r="127" ht="15.75" customHeight="1">
      <c r="A127" s="88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0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60"/>
      <c r="CV127" s="60"/>
      <c r="CW127" s="60"/>
      <c r="CX127" s="60"/>
      <c r="CY127" s="60"/>
      <c r="CZ127" s="60"/>
      <c r="DA127" s="60"/>
      <c r="DB127" s="60"/>
      <c r="DC127" s="60"/>
      <c r="DD127" s="60"/>
      <c r="DE127" s="60"/>
      <c r="DF127" s="60"/>
      <c r="DG127" s="60"/>
      <c r="DH127" s="60"/>
      <c r="DI127" s="60"/>
      <c r="DJ127" s="60"/>
      <c r="DK127" s="60"/>
      <c r="DL127" s="60"/>
      <c r="DM127" s="60"/>
      <c r="DN127" s="60"/>
      <c r="DO127" s="60"/>
      <c r="DP127" s="60"/>
      <c r="DQ127" s="60"/>
      <c r="DR127" s="60"/>
      <c r="DS127" s="60"/>
    </row>
    <row r="128" ht="15.75" customHeight="1">
      <c r="A128" s="88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  <c r="CD128" s="60"/>
      <c r="CE128" s="60"/>
      <c r="CF128" s="60"/>
      <c r="CG128" s="60"/>
      <c r="CH128" s="60"/>
      <c r="CI128" s="60"/>
      <c r="CJ128" s="60"/>
      <c r="CK128" s="60"/>
      <c r="CL128" s="60"/>
      <c r="CM128" s="60"/>
      <c r="CN128" s="60"/>
      <c r="CO128" s="60"/>
      <c r="CP128" s="60"/>
      <c r="CQ128" s="60"/>
      <c r="CR128" s="60"/>
      <c r="CS128" s="60"/>
      <c r="CT128" s="60"/>
      <c r="CU128" s="60"/>
      <c r="CV128" s="60"/>
      <c r="CW128" s="60"/>
      <c r="CX128" s="60"/>
      <c r="CY128" s="60"/>
      <c r="CZ128" s="60"/>
      <c r="DA128" s="60"/>
      <c r="DB128" s="60"/>
      <c r="DC128" s="60"/>
      <c r="DD128" s="60"/>
      <c r="DE128" s="60"/>
      <c r="DF128" s="60"/>
      <c r="DG128" s="60"/>
      <c r="DH128" s="60"/>
      <c r="DI128" s="60"/>
      <c r="DJ128" s="60"/>
      <c r="DK128" s="60"/>
      <c r="DL128" s="60"/>
      <c r="DM128" s="60"/>
      <c r="DN128" s="60"/>
      <c r="DO128" s="60"/>
      <c r="DP128" s="60"/>
      <c r="DQ128" s="60"/>
      <c r="DR128" s="60"/>
      <c r="DS128" s="60"/>
    </row>
    <row r="129" ht="15.75" customHeight="1">
      <c r="A129" s="88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0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60"/>
      <c r="CV129" s="60"/>
      <c r="CW129" s="60"/>
      <c r="CX129" s="60"/>
      <c r="CY129" s="60"/>
      <c r="CZ129" s="60"/>
      <c r="DA129" s="60"/>
      <c r="DB129" s="60"/>
      <c r="DC129" s="60"/>
      <c r="DD129" s="60"/>
      <c r="DE129" s="60"/>
      <c r="DF129" s="60"/>
      <c r="DG129" s="60"/>
      <c r="DH129" s="60"/>
      <c r="DI129" s="60"/>
      <c r="DJ129" s="60"/>
      <c r="DK129" s="60"/>
      <c r="DL129" s="60"/>
      <c r="DM129" s="60"/>
      <c r="DN129" s="60"/>
      <c r="DO129" s="60"/>
      <c r="DP129" s="60"/>
      <c r="DQ129" s="60"/>
      <c r="DR129" s="60"/>
      <c r="DS129" s="60"/>
    </row>
    <row r="130" ht="15.75" customHeight="1">
      <c r="A130" s="88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  <c r="CB130" s="60"/>
      <c r="CC130" s="60"/>
      <c r="CD130" s="60"/>
      <c r="CE130" s="60"/>
      <c r="CF130" s="60"/>
      <c r="CG130" s="60"/>
      <c r="CH130" s="60"/>
      <c r="CI130" s="60"/>
      <c r="CJ130" s="60"/>
      <c r="CK130" s="60"/>
      <c r="CL130" s="60"/>
      <c r="CM130" s="60"/>
      <c r="CN130" s="60"/>
      <c r="CO130" s="60"/>
      <c r="CP130" s="60"/>
      <c r="CQ130" s="60"/>
      <c r="CR130" s="60"/>
      <c r="CS130" s="60"/>
      <c r="CT130" s="60"/>
      <c r="CU130" s="60"/>
      <c r="CV130" s="60"/>
      <c r="CW130" s="60"/>
      <c r="CX130" s="60"/>
      <c r="CY130" s="60"/>
      <c r="CZ130" s="60"/>
      <c r="DA130" s="60"/>
      <c r="DB130" s="60"/>
      <c r="DC130" s="60"/>
      <c r="DD130" s="60"/>
      <c r="DE130" s="60"/>
      <c r="DF130" s="60"/>
      <c r="DG130" s="60"/>
      <c r="DH130" s="60"/>
      <c r="DI130" s="60"/>
      <c r="DJ130" s="60"/>
      <c r="DK130" s="60"/>
      <c r="DL130" s="60"/>
      <c r="DM130" s="60"/>
      <c r="DN130" s="60"/>
      <c r="DO130" s="60"/>
      <c r="DP130" s="60"/>
      <c r="DQ130" s="60"/>
      <c r="DR130" s="60"/>
      <c r="DS130" s="60"/>
    </row>
    <row r="131" ht="15.75" customHeight="1">
      <c r="A131" s="88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0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  <c r="CV131" s="60"/>
      <c r="CW131" s="60"/>
      <c r="CX131" s="60"/>
      <c r="CY131" s="60"/>
      <c r="CZ131" s="60"/>
      <c r="DA131" s="60"/>
      <c r="DB131" s="60"/>
      <c r="DC131" s="60"/>
      <c r="DD131" s="60"/>
      <c r="DE131" s="60"/>
      <c r="DF131" s="60"/>
      <c r="DG131" s="60"/>
      <c r="DH131" s="60"/>
      <c r="DI131" s="60"/>
      <c r="DJ131" s="60"/>
      <c r="DK131" s="60"/>
      <c r="DL131" s="60"/>
      <c r="DM131" s="60"/>
      <c r="DN131" s="60"/>
      <c r="DO131" s="60"/>
      <c r="DP131" s="60"/>
      <c r="DQ131" s="60"/>
      <c r="DR131" s="60"/>
      <c r="DS131" s="60"/>
    </row>
    <row r="132" ht="15.75" customHeight="1">
      <c r="A132" s="88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  <c r="CD132" s="60"/>
      <c r="CE132" s="60"/>
      <c r="CF132" s="60"/>
      <c r="CG132" s="60"/>
      <c r="CH132" s="60"/>
      <c r="CI132" s="60"/>
      <c r="CJ132" s="60"/>
      <c r="CK132" s="60"/>
      <c r="CL132" s="60"/>
      <c r="CM132" s="60"/>
      <c r="CN132" s="60"/>
      <c r="CO132" s="60"/>
      <c r="CP132" s="60"/>
      <c r="CQ132" s="60"/>
      <c r="CR132" s="60"/>
      <c r="CS132" s="60"/>
      <c r="CT132" s="60"/>
      <c r="CU132" s="60"/>
      <c r="CV132" s="60"/>
      <c r="CW132" s="60"/>
      <c r="CX132" s="60"/>
      <c r="CY132" s="60"/>
      <c r="CZ132" s="60"/>
      <c r="DA132" s="60"/>
      <c r="DB132" s="60"/>
      <c r="DC132" s="60"/>
      <c r="DD132" s="60"/>
      <c r="DE132" s="60"/>
      <c r="DF132" s="60"/>
      <c r="DG132" s="60"/>
      <c r="DH132" s="60"/>
      <c r="DI132" s="60"/>
      <c r="DJ132" s="60"/>
      <c r="DK132" s="60"/>
      <c r="DL132" s="60"/>
      <c r="DM132" s="60"/>
      <c r="DN132" s="60"/>
      <c r="DO132" s="60"/>
      <c r="DP132" s="60"/>
      <c r="DQ132" s="60"/>
      <c r="DR132" s="60"/>
      <c r="DS132" s="60"/>
    </row>
    <row r="133" ht="15.75" customHeight="1">
      <c r="A133" s="88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0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0"/>
      <c r="CZ133" s="60"/>
      <c r="DA133" s="60"/>
      <c r="DB133" s="60"/>
      <c r="DC133" s="60"/>
      <c r="DD133" s="60"/>
      <c r="DE133" s="60"/>
      <c r="DF133" s="60"/>
      <c r="DG133" s="60"/>
      <c r="DH133" s="60"/>
      <c r="DI133" s="60"/>
      <c r="DJ133" s="60"/>
      <c r="DK133" s="60"/>
      <c r="DL133" s="60"/>
      <c r="DM133" s="60"/>
      <c r="DN133" s="60"/>
      <c r="DO133" s="60"/>
      <c r="DP133" s="60"/>
      <c r="DQ133" s="60"/>
      <c r="DR133" s="60"/>
      <c r="DS133" s="60"/>
    </row>
    <row r="134" ht="15.75" customHeight="1">
      <c r="A134" s="88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60"/>
      <c r="CL134" s="60"/>
      <c r="CM134" s="60"/>
      <c r="CN134" s="60"/>
      <c r="CO134" s="60"/>
      <c r="CP134" s="60"/>
      <c r="CQ134" s="60"/>
      <c r="CR134" s="60"/>
      <c r="CS134" s="60"/>
      <c r="CT134" s="60"/>
      <c r="CU134" s="60"/>
      <c r="CV134" s="60"/>
      <c r="CW134" s="60"/>
      <c r="CX134" s="60"/>
      <c r="CY134" s="60"/>
      <c r="CZ134" s="60"/>
      <c r="DA134" s="60"/>
      <c r="DB134" s="60"/>
      <c r="DC134" s="60"/>
      <c r="DD134" s="60"/>
      <c r="DE134" s="60"/>
      <c r="DF134" s="60"/>
      <c r="DG134" s="60"/>
      <c r="DH134" s="60"/>
      <c r="DI134" s="60"/>
      <c r="DJ134" s="60"/>
      <c r="DK134" s="60"/>
      <c r="DL134" s="60"/>
      <c r="DM134" s="60"/>
      <c r="DN134" s="60"/>
      <c r="DO134" s="60"/>
      <c r="DP134" s="60"/>
      <c r="DQ134" s="60"/>
      <c r="DR134" s="60"/>
      <c r="DS134" s="60"/>
    </row>
    <row r="135" ht="15.75" customHeight="1">
      <c r="A135" s="88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0"/>
      <c r="DI135" s="60"/>
      <c r="DJ135" s="60"/>
      <c r="DK135" s="60"/>
      <c r="DL135" s="60"/>
      <c r="DM135" s="60"/>
      <c r="DN135" s="60"/>
      <c r="DO135" s="60"/>
      <c r="DP135" s="60"/>
      <c r="DQ135" s="60"/>
      <c r="DR135" s="60"/>
      <c r="DS135" s="60"/>
    </row>
    <row r="136" ht="15.75" customHeight="1">
      <c r="A136" s="88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0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60"/>
      <c r="CV136" s="60"/>
      <c r="CW136" s="60"/>
      <c r="CX136" s="60"/>
      <c r="CY136" s="60"/>
      <c r="CZ136" s="60"/>
      <c r="DA136" s="60"/>
      <c r="DB136" s="60"/>
      <c r="DC136" s="60"/>
      <c r="DD136" s="60"/>
      <c r="DE136" s="60"/>
      <c r="DF136" s="60"/>
      <c r="DG136" s="60"/>
      <c r="DH136" s="60"/>
      <c r="DI136" s="60"/>
      <c r="DJ136" s="60"/>
      <c r="DK136" s="60"/>
      <c r="DL136" s="60"/>
      <c r="DM136" s="60"/>
      <c r="DN136" s="60"/>
      <c r="DO136" s="60"/>
      <c r="DP136" s="60"/>
      <c r="DQ136" s="60"/>
      <c r="DR136" s="60"/>
      <c r="DS136" s="60"/>
    </row>
    <row r="137" ht="15.75" customHeight="1">
      <c r="A137" s="88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0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60"/>
      <c r="CV137" s="60"/>
      <c r="CW137" s="60"/>
      <c r="CX137" s="60"/>
      <c r="CY137" s="60"/>
      <c r="CZ137" s="60"/>
      <c r="DA137" s="60"/>
      <c r="DB137" s="60"/>
      <c r="DC137" s="60"/>
      <c r="DD137" s="60"/>
      <c r="DE137" s="60"/>
      <c r="DF137" s="60"/>
      <c r="DG137" s="60"/>
      <c r="DH137" s="60"/>
      <c r="DI137" s="60"/>
      <c r="DJ137" s="60"/>
      <c r="DK137" s="60"/>
      <c r="DL137" s="60"/>
      <c r="DM137" s="60"/>
      <c r="DN137" s="60"/>
      <c r="DO137" s="60"/>
      <c r="DP137" s="60"/>
      <c r="DQ137" s="60"/>
      <c r="DR137" s="60"/>
      <c r="DS137" s="60"/>
    </row>
    <row r="138" ht="15.75" customHeight="1">
      <c r="A138" s="88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  <c r="CB138" s="60"/>
      <c r="CC138" s="60"/>
      <c r="CD138" s="60"/>
      <c r="CE138" s="60"/>
      <c r="CF138" s="60"/>
      <c r="CG138" s="60"/>
      <c r="CH138" s="60"/>
      <c r="CI138" s="60"/>
      <c r="CJ138" s="60"/>
      <c r="CK138" s="60"/>
      <c r="CL138" s="60"/>
      <c r="CM138" s="60"/>
      <c r="CN138" s="60"/>
      <c r="CO138" s="60"/>
      <c r="CP138" s="60"/>
      <c r="CQ138" s="60"/>
      <c r="CR138" s="60"/>
      <c r="CS138" s="60"/>
      <c r="CT138" s="60"/>
      <c r="CU138" s="60"/>
      <c r="CV138" s="60"/>
      <c r="CW138" s="60"/>
      <c r="CX138" s="60"/>
      <c r="CY138" s="60"/>
      <c r="CZ138" s="60"/>
      <c r="DA138" s="60"/>
      <c r="DB138" s="60"/>
      <c r="DC138" s="60"/>
      <c r="DD138" s="60"/>
      <c r="DE138" s="60"/>
      <c r="DF138" s="60"/>
      <c r="DG138" s="60"/>
      <c r="DH138" s="60"/>
      <c r="DI138" s="60"/>
      <c r="DJ138" s="60"/>
      <c r="DK138" s="60"/>
      <c r="DL138" s="60"/>
      <c r="DM138" s="60"/>
      <c r="DN138" s="60"/>
      <c r="DO138" s="60"/>
      <c r="DP138" s="60"/>
      <c r="DQ138" s="60"/>
      <c r="DR138" s="60"/>
      <c r="DS138" s="60"/>
    </row>
    <row r="139" ht="15.75" customHeight="1">
      <c r="A139" s="88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  <c r="CV139" s="60"/>
      <c r="CW139" s="60"/>
      <c r="CX139" s="60"/>
      <c r="CY139" s="60"/>
      <c r="CZ139" s="60"/>
      <c r="DA139" s="60"/>
      <c r="DB139" s="60"/>
      <c r="DC139" s="60"/>
      <c r="DD139" s="60"/>
      <c r="DE139" s="60"/>
      <c r="DF139" s="60"/>
      <c r="DG139" s="60"/>
      <c r="DH139" s="60"/>
      <c r="DI139" s="60"/>
      <c r="DJ139" s="60"/>
      <c r="DK139" s="60"/>
      <c r="DL139" s="60"/>
      <c r="DM139" s="60"/>
      <c r="DN139" s="60"/>
      <c r="DO139" s="60"/>
      <c r="DP139" s="60"/>
      <c r="DQ139" s="60"/>
      <c r="DR139" s="60"/>
      <c r="DS139" s="60"/>
    </row>
    <row r="140" ht="15.75" customHeight="1">
      <c r="A140" s="88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0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60"/>
      <c r="CV140" s="60"/>
      <c r="CW140" s="60"/>
      <c r="CX140" s="60"/>
      <c r="CY140" s="60"/>
      <c r="CZ140" s="60"/>
      <c r="DA140" s="60"/>
      <c r="DB140" s="60"/>
      <c r="DC140" s="60"/>
      <c r="DD140" s="60"/>
      <c r="DE140" s="60"/>
      <c r="DF140" s="60"/>
      <c r="DG140" s="60"/>
      <c r="DH140" s="60"/>
      <c r="DI140" s="60"/>
      <c r="DJ140" s="60"/>
      <c r="DK140" s="60"/>
      <c r="DL140" s="60"/>
      <c r="DM140" s="60"/>
      <c r="DN140" s="60"/>
      <c r="DO140" s="60"/>
      <c r="DP140" s="60"/>
      <c r="DQ140" s="60"/>
      <c r="DR140" s="60"/>
      <c r="DS140" s="60"/>
    </row>
    <row r="141" ht="15.75" customHeight="1">
      <c r="A141" s="88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0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  <c r="CZ141" s="60"/>
      <c r="DA141" s="60"/>
      <c r="DB141" s="60"/>
      <c r="DC141" s="60"/>
      <c r="DD141" s="60"/>
      <c r="DE141" s="60"/>
      <c r="DF141" s="60"/>
      <c r="DG141" s="60"/>
      <c r="DH141" s="60"/>
      <c r="DI141" s="60"/>
      <c r="DJ141" s="60"/>
      <c r="DK141" s="60"/>
      <c r="DL141" s="60"/>
      <c r="DM141" s="60"/>
      <c r="DN141" s="60"/>
      <c r="DO141" s="60"/>
      <c r="DP141" s="60"/>
      <c r="DQ141" s="60"/>
      <c r="DR141" s="60"/>
      <c r="DS141" s="60"/>
    </row>
    <row r="142" ht="15.75" customHeight="1">
      <c r="A142" s="88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0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60"/>
      <c r="CV142" s="60"/>
      <c r="CW142" s="60"/>
      <c r="CX142" s="60"/>
      <c r="CY142" s="60"/>
      <c r="CZ142" s="60"/>
      <c r="DA142" s="60"/>
      <c r="DB142" s="60"/>
      <c r="DC142" s="60"/>
      <c r="DD142" s="60"/>
      <c r="DE142" s="60"/>
      <c r="DF142" s="60"/>
      <c r="DG142" s="60"/>
      <c r="DH142" s="60"/>
      <c r="DI142" s="60"/>
      <c r="DJ142" s="60"/>
      <c r="DK142" s="60"/>
      <c r="DL142" s="60"/>
      <c r="DM142" s="60"/>
      <c r="DN142" s="60"/>
      <c r="DO142" s="60"/>
      <c r="DP142" s="60"/>
      <c r="DQ142" s="60"/>
      <c r="DR142" s="60"/>
      <c r="DS142" s="60"/>
    </row>
    <row r="143" ht="15.75" customHeight="1">
      <c r="A143" s="88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60"/>
      <c r="CG143" s="60"/>
      <c r="CH143" s="60"/>
      <c r="CI143" s="60"/>
      <c r="CJ143" s="60"/>
      <c r="CK143" s="60"/>
      <c r="CL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  <c r="CZ143" s="60"/>
      <c r="DA143" s="60"/>
      <c r="DB143" s="60"/>
      <c r="DC143" s="60"/>
      <c r="DD143" s="60"/>
      <c r="DE143" s="60"/>
      <c r="DF143" s="60"/>
      <c r="DG143" s="60"/>
      <c r="DH143" s="60"/>
      <c r="DI143" s="60"/>
      <c r="DJ143" s="60"/>
      <c r="DK143" s="60"/>
      <c r="DL143" s="60"/>
      <c r="DM143" s="60"/>
      <c r="DN143" s="60"/>
      <c r="DO143" s="60"/>
      <c r="DP143" s="60"/>
      <c r="DQ143" s="60"/>
      <c r="DR143" s="60"/>
      <c r="DS143" s="60"/>
    </row>
    <row r="144" ht="15.75" customHeight="1">
      <c r="A144" s="88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  <c r="CB144" s="60"/>
      <c r="CC144" s="60"/>
      <c r="CD144" s="60"/>
      <c r="CE144" s="60"/>
      <c r="CF144" s="60"/>
      <c r="CG144" s="60"/>
      <c r="CH144" s="60"/>
      <c r="CI144" s="60"/>
      <c r="CJ144" s="60"/>
      <c r="CK144" s="60"/>
      <c r="CL144" s="60"/>
      <c r="CM144" s="60"/>
      <c r="CN144" s="60"/>
      <c r="CO144" s="60"/>
      <c r="CP144" s="60"/>
      <c r="CQ144" s="60"/>
      <c r="CR144" s="60"/>
      <c r="CS144" s="60"/>
      <c r="CT144" s="60"/>
      <c r="CU144" s="60"/>
      <c r="CV144" s="60"/>
      <c r="CW144" s="60"/>
      <c r="CX144" s="60"/>
      <c r="CY144" s="60"/>
      <c r="CZ144" s="60"/>
      <c r="DA144" s="60"/>
      <c r="DB144" s="60"/>
      <c r="DC144" s="60"/>
      <c r="DD144" s="60"/>
      <c r="DE144" s="60"/>
      <c r="DF144" s="60"/>
      <c r="DG144" s="60"/>
      <c r="DH144" s="60"/>
      <c r="DI144" s="60"/>
      <c r="DJ144" s="60"/>
      <c r="DK144" s="60"/>
      <c r="DL144" s="60"/>
      <c r="DM144" s="60"/>
      <c r="DN144" s="60"/>
      <c r="DO144" s="60"/>
      <c r="DP144" s="60"/>
      <c r="DQ144" s="60"/>
      <c r="DR144" s="60"/>
      <c r="DS144" s="60"/>
    </row>
    <row r="145" ht="15.75" customHeight="1">
      <c r="A145" s="88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  <c r="CD145" s="60"/>
      <c r="CE145" s="60"/>
      <c r="CF145" s="60"/>
      <c r="CG145" s="60"/>
      <c r="CH145" s="60"/>
      <c r="CI145" s="60"/>
      <c r="CJ145" s="60"/>
      <c r="CK145" s="60"/>
      <c r="CL145" s="60"/>
      <c r="CM145" s="60"/>
      <c r="CN145" s="60"/>
      <c r="CO145" s="60"/>
      <c r="CP145" s="60"/>
      <c r="CQ145" s="60"/>
      <c r="CR145" s="60"/>
      <c r="CS145" s="60"/>
      <c r="CT145" s="60"/>
      <c r="CU145" s="60"/>
      <c r="CV145" s="60"/>
      <c r="CW145" s="60"/>
      <c r="CX145" s="60"/>
      <c r="CY145" s="60"/>
      <c r="CZ145" s="60"/>
      <c r="DA145" s="60"/>
      <c r="DB145" s="60"/>
      <c r="DC145" s="60"/>
      <c r="DD145" s="60"/>
      <c r="DE145" s="60"/>
      <c r="DF145" s="60"/>
      <c r="DG145" s="60"/>
      <c r="DH145" s="60"/>
      <c r="DI145" s="60"/>
      <c r="DJ145" s="60"/>
      <c r="DK145" s="60"/>
      <c r="DL145" s="60"/>
      <c r="DM145" s="60"/>
      <c r="DN145" s="60"/>
      <c r="DO145" s="60"/>
      <c r="DP145" s="60"/>
      <c r="DQ145" s="60"/>
      <c r="DR145" s="60"/>
      <c r="DS145" s="60"/>
    </row>
    <row r="146" ht="15.75" customHeight="1">
      <c r="A146" s="88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  <c r="CB146" s="60"/>
      <c r="CC146" s="60"/>
      <c r="CD146" s="60"/>
      <c r="CE146" s="60"/>
      <c r="CF146" s="60"/>
      <c r="CG146" s="60"/>
      <c r="CH146" s="60"/>
      <c r="CI146" s="60"/>
      <c r="CJ146" s="60"/>
      <c r="CK146" s="60"/>
      <c r="CL146" s="60"/>
      <c r="CM146" s="60"/>
      <c r="CN146" s="60"/>
      <c r="CO146" s="60"/>
      <c r="CP146" s="60"/>
      <c r="CQ146" s="60"/>
      <c r="CR146" s="60"/>
      <c r="CS146" s="60"/>
      <c r="CT146" s="60"/>
      <c r="CU146" s="60"/>
      <c r="CV146" s="60"/>
      <c r="CW146" s="60"/>
      <c r="CX146" s="60"/>
      <c r="CY146" s="60"/>
      <c r="CZ146" s="60"/>
      <c r="DA146" s="60"/>
      <c r="DB146" s="60"/>
      <c r="DC146" s="60"/>
      <c r="DD146" s="60"/>
      <c r="DE146" s="60"/>
      <c r="DF146" s="60"/>
      <c r="DG146" s="60"/>
      <c r="DH146" s="60"/>
      <c r="DI146" s="60"/>
      <c r="DJ146" s="60"/>
      <c r="DK146" s="60"/>
      <c r="DL146" s="60"/>
      <c r="DM146" s="60"/>
      <c r="DN146" s="60"/>
      <c r="DO146" s="60"/>
      <c r="DP146" s="60"/>
      <c r="DQ146" s="60"/>
      <c r="DR146" s="60"/>
      <c r="DS146" s="60"/>
    </row>
    <row r="147" ht="15.75" customHeight="1">
      <c r="A147" s="88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0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60"/>
      <c r="CV147" s="60"/>
      <c r="CW147" s="60"/>
      <c r="CX147" s="60"/>
      <c r="CY147" s="60"/>
      <c r="CZ147" s="60"/>
      <c r="DA147" s="60"/>
      <c r="DB147" s="60"/>
      <c r="DC147" s="60"/>
      <c r="DD147" s="60"/>
      <c r="DE147" s="60"/>
      <c r="DF147" s="60"/>
      <c r="DG147" s="60"/>
      <c r="DH147" s="60"/>
      <c r="DI147" s="60"/>
      <c r="DJ147" s="60"/>
      <c r="DK147" s="60"/>
      <c r="DL147" s="60"/>
      <c r="DM147" s="60"/>
      <c r="DN147" s="60"/>
      <c r="DO147" s="60"/>
      <c r="DP147" s="60"/>
      <c r="DQ147" s="60"/>
      <c r="DR147" s="60"/>
      <c r="DS147" s="60"/>
    </row>
    <row r="148" ht="15.75" customHeight="1">
      <c r="A148" s="88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  <c r="CB148" s="60"/>
      <c r="CC148" s="60"/>
      <c r="CD148" s="60"/>
      <c r="CE148" s="60"/>
      <c r="CF148" s="60"/>
      <c r="CG148" s="60"/>
      <c r="CH148" s="60"/>
      <c r="CI148" s="60"/>
      <c r="CJ148" s="60"/>
      <c r="CK148" s="60"/>
      <c r="CL148" s="60"/>
      <c r="CM148" s="60"/>
      <c r="CN148" s="60"/>
      <c r="CO148" s="60"/>
      <c r="CP148" s="60"/>
      <c r="CQ148" s="60"/>
      <c r="CR148" s="60"/>
      <c r="CS148" s="60"/>
      <c r="CT148" s="60"/>
      <c r="CU148" s="60"/>
      <c r="CV148" s="60"/>
      <c r="CW148" s="60"/>
      <c r="CX148" s="60"/>
      <c r="CY148" s="60"/>
      <c r="CZ148" s="60"/>
      <c r="DA148" s="60"/>
      <c r="DB148" s="60"/>
      <c r="DC148" s="60"/>
      <c r="DD148" s="60"/>
      <c r="DE148" s="60"/>
      <c r="DF148" s="60"/>
      <c r="DG148" s="60"/>
      <c r="DH148" s="60"/>
      <c r="DI148" s="60"/>
      <c r="DJ148" s="60"/>
      <c r="DK148" s="60"/>
      <c r="DL148" s="60"/>
      <c r="DM148" s="60"/>
      <c r="DN148" s="60"/>
      <c r="DO148" s="60"/>
      <c r="DP148" s="60"/>
      <c r="DQ148" s="60"/>
      <c r="DR148" s="60"/>
      <c r="DS148" s="60"/>
    </row>
    <row r="149" ht="15.75" customHeight="1">
      <c r="A149" s="88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0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60"/>
      <c r="CV149" s="60"/>
      <c r="CW149" s="60"/>
      <c r="CX149" s="60"/>
      <c r="CY149" s="60"/>
      <c r="CZ149" s="60"/>
      <c r="DA149" s="60"/>
      <c r="DB149" s="60"/>
      <c r="DC149" s="60"/>
      <c r="DD149" s="60"/>
      <c r="DE149" s="60"/>
      <c r="DF149" s="60"/>
      <c r="DG149" s="60"/>
      <c r="DH149" s="60"/>
      <c r="DI149" s="60"/>
      <c r="DJ149" s="60"/>
      <c r="DK149" s="60"/>
      <c r="DL149" s="60"/>
      <c r="DM149" s="60"/>
      <c r="DN149" s="60"/>
      <c r="DO149" s="60"/>
      <c r="DP149" s="60"/>
      <c r="DQ149" s="60"/>
      <c r="DR149" s="60"/>
      <c r="DS149" s="60"/>
    </row>
    <row r="150" ht="15.75" customHeight="1">
      <c r="A150" s="88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  <c r="CB150" s="60"/>
      <c r="CC150" s="60"/>
      <c r="CD150" s="60"/>
      <c r="CE150" s="60"/>
      <c r="CF150" s="60"/>
      <c r="CG150" s="60"/>
      <c r="CH150" s="60"/>
      <c r="CI150" s="60"/>
      <c r="CJ150" s="60"/>
      <c r="CK150" s="60"/>
      <c r="CL150" s="60"/>
      <c r="CM150" s="60"/>
      <c r="CN150" s="60"/>
      <c r="CO150" s="60"/>
      <c r="CP150" s="60"/>
      <c r="CQ150" s="60"/>
      <c r="CR150" s="60"/>
      <c r="CS150" s="60"/>
      <c r="CT150" s="60"/>
      <c r="CU150" s="60"/>
      <c r="CV150" s="60"/>
      <c r="CW150" s="60"/>
      <c r="CX150" s="60"/>
      <c r="CY150" s="60"/>
      <c r="CZ150" s="60"/>
      <c r="DA150" s="60"/>
      <c r="DB150" s="60"/>
      <c r="DC150" s="60"/>
      <c r="DD150" s="60"/>
      <c r="DE150" s="60"/>
      <c r="DF150" s="60"/>
      <c r="DG150" s="60"/>
      <c r="DH150" s="60"/>
      <c r="DI150" s="60"/>
      <c r="DJ150" s="60"/>
      <c r="DK150" s="60"/>
      <c r="DL150" s="60"/>
      <c r="DM150" s="60"/>
      <c r="DN150" s="60"/>
      <c r="DO150" s="60"/>
      <c r="DP150" s="60"/>
      <c r="DQ150" s="60"/>
      <c r="DR150" s="60"/>
      <c r="DS150" s="60"/>
    </row>
    <row r="151" ht="15.75" customHeight="1">
      <c r="A151" s="88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0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60"/>
      <c r="CV151" s="60"/>
      <c r="CW151" s="60"/>
      <c r="CX151" s="60"/>
      <c r="CY151" s="60"/>
      <c r="CZ151" s="60"/>
      <c r="DA151" s="60"/>
      <c r="DB151" s="60"/>
      <c r="DC151" s="60"/>
      <c r="DD151" s="60"/>
      <c r="DE151" s="60"/>
      <c r="DF151" s="60"/>
      <c r="DG151" s="60"/>
      <c r="DH151" s="60"/>
      <c r="DI151" s="60"/>
      <c r="DJ151" s="60"/>
      <c r="DK151" s="60"/>
      <c r="DL151" s="60"/>
      <c r="DM151" s="60"/>
      <c r="DN151" s="60"/>
      <c r="DO151" s="60"/>
      <c r="DP151" s="60"/>
      <c r="DQ151" s="60"/>
      <c r="DR151" s="60"/>
      <c r="DS151" s="60"/>
    </row>
    <row r="152" ht="15.75" customHeight="1">
      <c r="A152" s="88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  <c r="CB152" s="60"/>
      <c r="CC152" s="60"/>
      <c r="CD152" s="60"/>
      <c r="CE152" s="60"/>
      <c r="CF152" s="60"/>
      <c r="CG152" s="60"/>
      <c r="CH152" s="60"/>
      <c r="CI152" s="60"/>
      <c r="CJ152" s="60"/>
      <c r="CK152" s="60"/>
      <c r="CL152" s="60"/>
      <c r="CM152" s="60"/>
      <c r="CN152" s="60"/>
      <c r="CO152" s="60"/>
      <c r="CP152" s="60"/>
      <c r="CQ152" s="60"/>
      <c r="CR152" s="60"/>
      <c r="CS152" s="60"/>
      <c r="CT152" s="60"/>
      <c r="CU152" s="60"/>
      <c r="CV152" s="60"/>
      <c r="CW152" s="60"/>
      <c r="CX152" s="60"/>
      <c r="CY152" s="60"/>
      <c r="CZ152" s="60"/>
      <c r="DA152" s="60"/>
      <c r="DB152" s="60"/>
      <c r="DC152" s="60"/>
      <c r="DD152" s="60"/>
      <c r="DE152" s="60"/>
      <c r="DF152" s="60"/>
      <c r="DG152" s="60"/>
      <c r="DH152" s="60"/>
      <c r="DI152" s="60"/>
      <c r="DJ152" s="60"/>
      <c r="DK152" s="60"/>
      <c r="DL152" s="60"/>
      <c r="DM152" s="60"/>
      <c r="DN152" s="60"/>
      <c r="DO152" s="60"/>
      <c r="DP152" s="60"/>
      <c r="DQ152" s="60"/>
      <c r="DR152" s="60"/>
      <c r="DS152" s="60"/>
    </row>
    <row r="153" ht="15.75" customHeight="1">
      <c r="A153" s="88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0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60"/>
      <c r="CV153" s="60"/>
      <c r="CW153" s="60"/>
      <c r="CX153" s="60"/>
      <c r="CY153" s="60"/>
      <c r="CZ153" s="60"/>
      <c r="DA153" s="60"/>
      <c r="DB153" s="60"/>
      <c r="DC153" s="60"/>
      <c r="DD153" s="60"/>
      <c r="DE153" s="60"/>
      <c r="DF153" s="60"/>
      <c r="DG153" s="60"/>
      <c r="DH153" s="60"/>
      <c r="DI153" s="60"/>
      <c r="DJ153" s="60"/>
      <c r="DK153" s="60"/>
      <c r="DL153" s="60"/>
      <c r="DM153" s="60"/>
      <c r="DN153" s="60"/>
      <c r="DO153" s="60"/>
      <c r="DP153" s="60"/>
      <c r="DQ153" s="60"/>
      <c r="DR153" s="60"/>
      <c r="DS153" s="60"/>
    </row>
    <row r="154" ht="15.75" customHeight="1">
      <c r="A154" s="88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0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60"/>
      <c r="CV154" s="60"/>
      <c r="CW154" s="60"/>
      <c r="CX154" s="60"/>
      <c r="CY154" s="60"/>
      <c r="CZ154" s="60"/>
      <c r="DA154" s="60"/>
      <c r="DB154" s="60"/>
      <c r="DC154" s="60"/>
      <c r="DD154" s="60"/>
      <c r="DE154" s="60"/>
      <c r="DF154" s="60"/>
      <c r="DG154" s="60"/>
      <c r="DH154" s="60"/>
      <c r="DI154" s="60"/>
      <c r="DJ154" s="60"/>
      <c r="DK154" s="60"/>
      <c r="DL154" s="60"/>
      <c r="DM154" s="60"/>
      <c r="DN154" s="60"/>
      <c r="DO154" s="60"/>
      <c r="DP154" s="60"/>
      <c r="DQ154" s="60"/>
      <c r="DR154" s="60"/>
      <c r="DS154" s="60"/>
    </row>
    <row r="155" ht="15.75" customHeight="1">
      <c r="A155" s="88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0"/>
      <c r="CQ155" s="60"/>
      <c r="CR155" s="60"/>
      <c r="CS155" s="60"/>
      <c r="CT155" s="60"/>
      <c r="CU155" s="60"/>
      <c r="CV155" s="60"/>
      <c r="CW155" s="60"/>
      <c r="CX155" s="60"/>
      <c r="CY155" s="60"/>
      <c r="CZ155" s="60"/>
      <c r="DA155" s="60"/>
      <c r="DB155" s="60"/>
      <c r="DC155" s="60"/>
      <c r="DD155" s="60"/>
      <c r="DE155" s="60"/>
      <c r="DF155" s="60"/>
      <c r="DG155" s="60"/>
      <c r="DH155" s="60"/>
      <c r="DI155" s="60"/>
      <c r="DJ155" s="60"/>
      <c r="DK155" s="60"/>
      <c r="DL155" s="60"/>
      <c r="DM155" s="60"/>
      <c r="DN155" s="60"/>
      <c r="DO155" s="60"/>
      <c r="DP155" s="60"/>
      <c r="DQ155" s="60"/>
      <c r="DR155" s="60"/>
      <c r="DS155" s="60"/>
    </row>
    <row r="156" ht="15.75" customHeight="1">
      <c r="A156" s="88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0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60"/>
      <c r="CV156" s="60"/>
      <c r="CW156" s="60"/>
      <c r="CX156" s="60"/>
      <c r="CY156" s="60"/>
      <c r="CZ156" s="60"/>
      <c r="DA156" s="60"/>
      <c r="DB156" s="60"/>
      <c r="DC156" s="60"/>
      <c r="DD156" s="60"/>
      <c r="DE156" s="60"/>
      <c r="DF156" s="60"/>
      <c r="DG156" s="60"/>
      <c r="DH156" s="60"/>
      <c r="DI156" s="60"/>
      <c r="DJ156" s="60"/>
      <c r="DK156" s="60"/>
      <c r="DL156" s="60"/>
      <c r="DM156" s="60"/>
      <c r="DN156" s="60"/>
      <c r="DO156" s="60"/>
      <c r="DP156" s="60"/>
      <c r="DQ156" s="60"/>
      <c r="DR156" s="60"/>
      <c r="DS156" s="60"/>
    </row>
    <row r="157" ht="15.75" customHeight="1">
      <c r="A157" s="88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0"/>
      <c r="DI157" s="60"/>
      <c r="DJ157" s="60"/>
      <c r="DK157" s="60"/>
      <c r="DL157" s="60"/>
      <c r="DM157" s="60"/>
      <c r="DN157" s="60"/>
      <c r="DO157" s="60"/>
      <c r="DP157" s="60"/>
      <c r="DQ157" s="60"/>
      <c r="DR157" s="60"/>
      <c r="DS157" s="60"/>
    </row>
    <row r="158" ht="15.75" customHeight="1">
      <c r="A158" s="88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0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0"/>
      <c r="DI158" s="60"/>
      <c r="DJ158" s="60"/>
      <c r="DK158" s="60"/>
      <c r="DL158" s="60"/>
      <c r="DM158" s="60"/>
      <c r="DN158" s="60"/>
      <c r="DO158" s="60"/>
      <c r="DP158" s="60"/>
      <c r="DQ158" s="60"/>
      <c r="DR158" s="60"/>
      <c r="DS158" s="60"/>
    </row>
    <row r="159" ht="15.75" customHeight="1">
      <c r="A159" s="88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0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0"/>
      <c r="DI159" s="60"/>
      <c r="DJ159" s="60"/>
      <c r="DK159" s="60"/>
      <c r="DL159" s="60"/>
      <c r="DM159" s="60"/>
      <c r="DN159" s="60"/>
      <c r="DO159" s="60"/>
      <c r="DP159" s="60"/>
      <c r="DQ159" s="60"/>
      <c r="DR159" s="60"/>
      <c r="DS159" s="60"/>
    </row>
    <row r="160" ht="15.75" customHeight="1">
      <c r="A160" s="88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0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0"/>
      <c r="DI160" s="60"/>
      <c r="DJ160" s="60"/>
      <c r="DK160" s="60"/>
      <c r="DL160" s="60"/>
      <c r="DM160" s="60"/>
      <c r="DN160" s="60"/>
      <c r="DO160" s="60"/>
      <c r="DP160" s="60"/>
      <c r="DQ160" s="60"/>
      <c r="DR160" s="60"/>
      <c r="DS160" s="60"/>
    </row>
    <row r="161" ht="15.75" customHeight="1">
      <c r="A161" s="88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</row>
    <row r="162" ht="15.75" customHeight="1">
      <c r="A162" s="88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</row>
    <row r="163" ht="15.75" customHeight="1">
      <c r="A163" s="88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 s="60"/>
      <c r="DP163" s="60"/>
      <c r="DQ163" s="60"/>
      <c r="DR163" s="60"/>
      <c r="DS163" s="60"/>
    </row>
    <row r="164" ht="15.75" customHeight="1">
      <c r="A164" s="88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  <c r="CD164" s="60"/>
      <c r="CE164" s="60"/>
      <c r="CF164" s="60"/>
      <c r="CG164" s="60"/>
      <c r="CH164" s="60"/>
      <c r="CI164" s="60"/>
      <c r="CJ164" s="60"/>
      <c r="CK164" s="60"/>
      <c r="CL164" s="60"/>
      <c r="CM164" s="60"/>
      <c r="CN164" s="60"/>
      <c r="CO164" s="60"/>
      <c r="CP164" s="60"/>
      <c r="CQ164" s="60"/>
      <c r="CR164" s="60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  <c r="DF164" s="60"/>
      <c r="DG164" s="60"/>
      <c r="DH164" s="60"/>
      <c r="DI164" s="60"/>
      <c r="DJ164" s="60"/>
      <c r="DK164" s="60"/>
      <c r="DL164" s="60"/>
      <c r="DM164" s="60"/>
      <c r="DN164" s="60"/>
      <c r="DO164" s="60"/>
      <c r="DP164" s="60"/>
      <c r="DQ164" s="60"/>
      <c r="DR164" s="60"/>
      <c r="DS164" s="60"/>
    </row>
    <row r="165" ht="15.75" customHeight="1">
      <c r="A165" s="88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0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0"/>
      <c r="DI165" s="60"/>
      <c r="DJ165" s="60"/>
      <c r="DK165" s="60"/>
      <c r="DL165" s="60"/>
      <c r="DM165" s="60"/>
      <c r="DN165" s="60"/>
      <c r="DO165" s="60"/>
      <c r="DP165" s="60"/>
      <c r="DQ165" s="60"/>
      <c r="DR165" s="60"/>
      <c r="DS165" s="60"/>
    </row>
    <row r="166" ht="15.75" customHeight="1">
      <c r="A166" s="88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</row>
    <row r="167" ht="15.75" customHeight="1">
      <c r="A167" s="88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 s="60"/>
      <c r="DP167" s="60"/>
      <c r="DQ167" s="60"/>
      <c r="DR167" s="60"/>
      <c r="DS167" s="60"/>
    </row>
    <row r="168" ht="15.75" customHeight="1">
      <c r="A168" s="88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0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0"/>
      <c r="DI168" s="60"/>
      <c r="DJ168" s="60"/>
      <c r="DK168" s="60"/>
      <c r="DL168" s="60"/>
      <c r="DM168" s="60"/>
      <c r="DN168" s="60"/>
      <c r="DO168" s="60"/>
      <c r="DP168" s="60"/>
      <c r="DQ168" s="60"/>
      <c r="DR168" s="60"/>
      <c r="DS168" s="60"/>
    </row>
    <row r="169" ht="15.75" customHeight="1">
      <c r="A169" s="88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0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0"/>
      <c r="DI169" s="60"/>
      <c r="DJ169" s="60"/>
      <c r="DK169" s="60"/>
      <c r="DL169" s="60"/>
      <c r="DM169" s="60"/>
      <c r="DN169" s="60"/>
      <c r="DO169" s="60"/>
      <c r="DP169" s="60"/>
      <c r="DQ169" s="60"/>
      <c r="DR169" s="60"/>
      <c r="DS169" s="60"/>
    </row>
    <row r="170" ht="15.75" customHeight="1">
      <c r="A170" s="88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  <c r="CD170" s="60"/>
      <c r="CE170" s="60"/>
      <c r="CF170" s="60"/>
      <c r="CG170" s="60"/>
      <c r="CH170" s="60"/>
      <c r="CI170" s="60"/>
      <c r="CJ170" s="60"/>
      <c r="CK170" s="60"/>
      <c r="CL170" s="60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 s="60"/>
      <c r="DP170" s="60"/>
      <c r="DQ170" s="60"/>
      <c r="DR170" s="60"/>
      <c r="DS170" s="60"/>
    </row>
    <row r="171" ht="15.75" customHeight="1">
      <c r="A171" s="88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 s="60"/>
      <c r="DP171" s="60"/>
      <c r="DQ171" s="60"/>
      <c r="DR171" s="60"/>
      <c r="DS171" s="60"/>
    </row>
    <row r="172" ht="15.75" customHeight="1">
      <c r="A172" s="88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</row>
    <row r="173" ht="15.75" customHeight="1">
      <c r="A173" s="88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/>
      <c r="DQ173" s="60"/>
      <c r="DR173" s="60"/>
      <c r="DS173" s="60"/>
    </row>
    <row r="174" ht="15.75" customHeight="1">
      <c r="A174" s="88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  <c r="CD174" s="60"/>
      <c r="CE174" s="60"/>
      <c r="CF174" s="60"/>
      <c r="CG174" s="60"/>
      <c r="CH174" s="60"/>
      <c r="CI174" s="60"/>
      <c r="CJ174" s="60"/>
      <c r="CK174" s="60"/>
      <c r="CL174" s="60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 s="60"/>
      <c r="DP174" s="60"/>
      <c r="DQ174" s="60"/>
      <c r="DR174" s="60"/>
      <c r="DS174" s="60"/>
    </row>
    <row r="175" ht="15.75" customHeight="1">
      <c r="A175" s="88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0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0"/>
      <c r="DI175" s="60"/>
      <c r="DJ175" s="60"/>
      <c r="DK175" s="60"/>
      <c r="DL175" s="60"/>
      <c r="DM175" s="60"/>
      <c r="DN175" s="60"/>
      <c r="DO175" s="60"/>
      <c r="DP175" s="60"/>
      <c r="DQ175" s="60"/>
      <c r="DR175" s="60"/>
      <c r="DS175" s="60"/>
    </row>
    <row r="176" ht="15.75" customHeight="1">
      <c r="A176" s="88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0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 s="60"/>
      <c r="DP176" s="60"/>
      <c r="DQ176" s="60"/>
      <c r="DR176" s="60"/>
      <c r="DS176" s="60"/>
    </row>
    <row r="177" ht="15.75" customHeight="1">
      <c r="A177" s="88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</row>
    <row r="178" ht="15.75" customHeight="1">
      <c r="A178" s="88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0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0"/>
      <c r="DI179" s="60"/>
      <c r="DJ179" s="60"/>
      <c r="DK179" s="60"/>
      <c r="DL179" s="60"/>
      <c r="DM179" s="60"/>
      <c r="DN179" s="60"/>
      <c r="DO179" s="60"/>
      <c r="DP179" s="60"/>
      <c r="DQ179" s="60"/>
      <c r="DR179" s="60"/>
      <c r="DS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0"/>
      <c r="DR182" s="60"/>
      <c r="DS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0"/>
      <c r="DR183" s="60"/>
      <c r="DS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0"/>
      <c r="DR186" s="60"/>
      <c r="DS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 s="60"/>
      <c r="DP187" s="60"/>
      <c r="DQ187" s="60"/>
      <c r="DR187" s="60"/>
      <c r="DS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 s="60"/>
      <c r="DP188" s="60"/>
      <c r="DQ188" s="60"/>
      <c r="DR188" s="60"/>
      <c r="DS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 s="60"/>
      <c r="DP189" s="60"/>
      <c r="DQ189" s="60"/>
      <c r="DR189" s="60"/>
      <c r="DS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 s="60"/>
      <c r="DP190" s="60"/>
      <c r="DQ190" s="60"/>
      <c r="DR190" s="60"/>
      <c r="DS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0"/>
      <c r="DR191" s="60"/>
      <c r="DS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0"/>
      <c r="DR193" s="60"/>
      <c r="DS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0"/>
      <c r="DR194" s="60"/>
      <c r="DS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0"/>
      <c r="DR195" s="60"/>
      <c r="DS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0"/>
      <c r="DR197" s="60"/>
      <c r="DS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0"/>
      <c r="DR198" s="60"/>
      <c r="DS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0"/>
      <c r="DR199" s="60"/>
      <c r="DS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0"/>
      <c r="DR201" s="60"/>
      <c r="DS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0"/>
      <c r="DR202" s="60"/>
      <c r="DS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 s="60"/>
      <c r="DP203" s="60"/>
      <c r="DQ203" s="60"/>
      <c r="DR203" s="60"/>
      <c r="DS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0"/>
      <c r="DR204" s="60"/>
      <c r="DS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0"/>
      <c r="DR205" s="60"/>
      <c r="DS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0"/>
      <c r="DR206" s="60"/>
      <c r="DS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0"/>
      <c r="DR207" s="60"/>
      <c r="DS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0"/>
      <c r="DR208" s="60"/>
      <c r="DS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0"/>
      <c r="DR209" s="60"/>
      <c r="DS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 s="60"/>
      <c r="DP210" s="60"/>
      <c r="DQ210" s="60"/>
      <c r="DR210" s="60"/>
      <c r="DS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0"/>
      <c r="DR215" s="60"/>
      <c r="DS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0"/>
      <c r="DR216" s="60"/>
      <c r="DS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0"/>
      <c r="DR217" s="60"/>
      <c r="DS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0"/>
      <c r="DR219" s="60"/>
      <c r="DS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0"/>
      <c r="DR220" s="60"/>
      <c r="DS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 s="60"/>
      <c r="DP221" s="60"/>
      <c r="DQ221" s="60"/>
      <c r="DR221" s="60"/>
      <c r="DS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 s="60"/>
      <c r="DP222" s="60"/>
      <c r="DQ222" s="60"/>
      <c r="DR222" s="60"/>
      <c r="DS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 s="60"/>
      <c r="DP223" s="60"/>
      <c r="DQ223" s="60"/>
      <c r="DR223" s="60"/>
      <c r="DS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0"/>
      <c r="DR224" s="60"/>
      <c r="DS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0"/>
      <c r="DR225" s="60"/>
      <c r="DS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0"/>
      <c r="DR226" s="60"/>
      <c r="DS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0"/>
      <c r="DR227" s="60"/>
      <c r="DS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0"/>
      <c r="DR228" s="60"/>
      <c r="DS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0"/>
      <c r="DR229" s="60"/>
      <c r="DS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0"/>
      <c r="DR230" s="60"/>
      <c r="DS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0"/>
      <c r="DR231" s="60"/>
      <c r="DS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0"/>
      <c r="DR232" s="60"/>
      <c r="DS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0"/>
      <c r="DR233" s="60"/>
      <c r="DS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0"/>
      <c r="DR234" s="60"/>
      <c r="DS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 s="60"/>
      <c r="DP235" s="60"/>
      <c r="DQ235" s="60"/>
      <c r="DR235" s="60"/>
      <c r="DS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 s="60"/>
      <c r="DP237" s="60"/>
      <c r="DQ237" s="60"/>
      <c r="DR237" s="60"/>
      <c r="DS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 s="60"/>
      <c r="DP239" s="60"/>
      <c r="DQ239" s="60"/>
      <c r="DR239" s="60"/>
      <c r="DS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0"/>
      <c r="DR240" s="60"/>
      <c r="DS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0"/>
      <c r="DR241" s="60"/>
      <c r="DS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0"/>
      <c r="DR242" s="60"/>
      <c r="DS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0"/>
      <c r="DR243" s="60"/>
      <c r="DS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0"/>
      <c r="DR244" s="60"/>
      <c r="DS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 s="60"/>
      <c r="DP245" s="60"/>
      <c r="DQ245" s="60"/>
      <c r="DR245" s="60"/>
      <c r="DS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 s="60"/>
      <c r="DP246" s="60"/>
      <c r="DQ246" s="60"/>
      <c r="DR246" s="60"/>
      <c r="DS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 s="60"/>
      <c r="DP247" s="60"/>
      <c r="DQ247" s="60"/>
      <c r="DR247" s="60"/>
      <c r="DS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 s="60"/>
      <c r="DP248" s="60"/>
      <c r="DQ248" s="60"/>
      <c r="DR248" s="60"/>
      <c r="DS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 s="60"/>
      <c r="DP249" s="60"/>
      <c r="DQ249" s="60"/>
      <c r="DR249" s="60"/>
      <c r="DS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0"/>
      <c r="DR250" s="60"/>
      <c r="DS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0"/>
      <c r="DR251" s="60"/>
      <c r="DS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 s="60"/>
      <c r="DP252" s="60"/>
      <c r="DQ252" s="60"/>
      <c r="DR252" s="60"/>
      <c r="DS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 s="60"/>
      <c r="DP253" s="60"/>
      <c r="DQ253" s="60"/>
      <c r="DR253" s="60"/>
      <c r="DS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 s="60"/>
      <c r="DP254" s="60"/>
      <c r="DQ254" s="60"/>
      <c r="DR254" s="60"/>
      <c r="DS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 s="60"/>
      <c r="DP255" s="60"/>
      <c r="DQ255" s="60"/>
      <c r="DR255" s="60"/>
      <c r="DS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 s="60"/>
      <c r="DP256" s="60"/>
      <c r="DQ256" s="60"/>
      <c r="DR256" s="60"/>
      <c r="DS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 s="60"/>
      <c r="DP257" s="60"/>
      <c r="DQ257" s="60"/>
      <c r="DR257" s="60"/>
      <c r="DS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 s="60"/>
      <c r="DP258" s="60"/>
      <c r="DQ258" s="60"/>
      <c r="DR258" s="60"/>
      <c r="DS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0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 s="60"/>
      <c r="DP259" s="60"/>
      <c r="DQ259" s="60"/>
      <c r="DR259" s="60"/>
      <c r="DS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 s="60"/>
      <c r="DP260" s="60"/>
      <c r="DQ260" s="60"/>
      <c r="DR260" s="60"/>
      <c r="DS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 s="60"/>
      <c r="DP261" s="60"/>
      <c r="DQ261" s="60"/>
      <c r="DR261" s="60"/>
      <c r="DS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  <c r="CD262" s="60"/>
      <c r="CE262" s="60"/>
      <c r="CF262" s="60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0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 s="60"/>
      <c r="DP262" s="60"/>
      <c r="DQ262" s="60"/>
      <c r="DR262" s="60"/>
      <c r="DS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 s="60"/>
      <c r="DP263" s="60"/>
      <c r="DQ263" s="60"/>
      <c r="DR263" s="60"/>
      <c r="DS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 s="60"/>
      <c r="DP264" s="60"/>
      <c r="DQ264" s="60"/>
      <c r="DR264" s="60"/>
      <c r="DS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 s="60"/>
      <c r="DP265" s="60"/>
      <c r="DQ265" s="60"/>
      <c r="DR265" s="60"/>
      <c r="DS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 s="60"/>
      <c r="DP266" s="60"/>
      <c r="DQ266" s="60"/>
      <c r="DR266" s="60"/>
      <c r="DS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 s="60"/>
      <c r="DP267" s="60"/>
      <c r="DQ267" s="60"/>
      <c r="DR267" s="60"/>
      <c r="DS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  <c r="CD268" s="60"/>
      <c r="CE268" s="60"/>
      <c r="CF268" s="60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0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 s="60"/>
      <c r="DP268" s="60"/>
      <c r="DQ268" s="60"/>
      <c r="DR268" s="60"/>
      <c r="DS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 s="60"/>
      <c r="DP269" s="60"/>
      <c r="DQ269" s="60"/>
      <c r="DR269" s="60"/>
      <c r="DS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 s="60"/>
      <c r="DP270" s="60"/>
      <c r="DQ270" s="60"/>
      <c r="DR270" s="60"/>
      <c r="DS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 s="60"/>
      <c r="DP272" s="60"/>
      <c r="DQ272" s="60"/>
      <c r="DR272" s="60"/>
      <c r="DS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 s="60"/>
      <c r="DP273" s="60"/>
      <c r="DQ273" s="60"/>
      <c r="DR273" s="60"/>
      <c r="DS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 s="60"/>
      <c r="DP274" s="60"/>
      <c r="DQ274" s="60"/>
      <c r="DR274" s="60"/>
      <c r="DS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0"/>
      <c r="DR275" s="60"/>
      <c r="DS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0"/>
      <c r="DR276" s="60"/>
      <c r="DS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0"/>
      <c r="DR277" s="60"/>
      <c r="DS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0"/>
      <c r="DR278" s="60"/>
      <c r="DS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O279" s="60"/>
      <c r="DP279" s="60"/>
      <c r="DQ279" s="60"/>
      <c r="DR279" s="60"/>
      <c r="DS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0"/>
      <c r="DR280" s="60"/>
      <c r="DS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0"/>
      <c r="DR281" s="60"/>
      <c r="DS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0"/>
      <c r="DR282" s="60"/>
      <c r="DS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0"/>
      <c r="DR283" s="60"/>
      <c r="DS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0"/>
      <c r="DR284" s="60"/>
      <c r="DS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O285" s="60"/>
      <c r="DP285" s="60"/>
      <c r="DQ285" s="60"/>
      <c r="DR285" s="60"/>
      <c r="DS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  <c r="CD286" s="60"/>
      <c r="CE286" s="60"/>
      <c r="CF286" s="60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0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O286" s="60"/>
      <c r="DP286" s="60"/>
      <c r="DQ286" s="60"/>
      <c r="DR286" s="60"/>
      <c r="DS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0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O287" s="60"/>
      <c r="DP287" s="60"/>
      <c r="DQ287" s="60"/>
      <c r="DR287" s="60"/>
      <c r="DS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  <c r="CD288" s="60"/>
      <c r="CE288" s="60"/>
      <c r="CF288" s="60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0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O288" s="60"/>
      <c r="DP288" s="60"/>
      <c r="DQ288" s="60"/>
      <c r="DR288" s="60"/>
      <c r="DS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O289" s="60"/>
      <c r="DP289" s="60"/>
      <c r="DQ289" s="60"/>
      <c r="DR289" s="60"/>
      <c r="DS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  <c r="CD290" s="60"/>
      <c r="CE290" s="60"/>
      <c r="CF290" s="60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0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O290" s="60"/>
      <c r="DP290" s="60"/>
      <c r="DQ290" s="60"/>
      <c r="DR290" s="60"/>
      <c r="DS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O291" s="60"/>
      <c r="DP291" s="60"/>
      <c r="DQ291" s="60"/>
      <c r="DR291" s="60"/>
      <c r="DS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O292" s="60"/>
      <c r="DP292" s="60"/>
      <c r="DQ292" s="60"/>
      <c r="DR292" s="60"/>
      <c r="DS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O293" s="60"/>
      <c r="DP293" s="60"/>
      <c r="DQ293" s="60"/>
      <c r="DR293" s="60"/>
      <c r="DS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O294" s="60"/>
      <c r="DP294" s="60"/>
      <c r="DQ294" s="60"/>
      <c r="DR294" s="60"/>
      <c r="DS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O295" s="60"/>
      <c r="DP295" s="60"/>
      <c r="DQ295" s="60"/>
      <c r="DR295" s="60"/>
      <c r="DS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O296" s="60"/>
      <c r="DP296" s="60"/>
      <c r="DQ296" s="60"/>
      <c r="DR296" s="60"/>
      <c r="DS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O297" s="60"/>
      <c r="DP297" s="60"/>
      <c r="DQ297" s="60"/>
      <c r="DR297" s="60"/>
      <c r="DS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O298" s="60"/>
      <c r="DP298" s="60"/>
      <c r="DQ298" s="60"/>
      <c r="DR298" s="60"/>
      <c r="DS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O299" s="60"/>
      <c r="DP299" s="60"/>
      <c r="DQ299" s="60"/>
      <c r="DR299" s="60"/>
      <c r="DS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O300" s="60"/>
      <c r="DP300" s="60"/>
      <c r="DQ300" s="60"/>
      <c r="DR300" s="60"/>
      <c r="DS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O301" s="60"/>
      <c r="DP301" s="60"/>
      <c r="DQ301" s="60"/>
      <c r="DR301" s="60"/>
      <c r="DS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0"/>
      <c r="DI302" s="60"/>
      <c r="DJ302" s="60"/>
      <c r="DK302" s="60"/>
      <c r="DL302" s="60"/>
      <c r="DM302" s="60"/>
      <c r="DN302" s="60"/>
      <c r="DO302" s="60"/>
      <c r="DP302" s="60"/>
      <c r="DQ302" s="60"/>
      <c r="DR302" s="60"/>
      <c r="DS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0"/>
      <c r="DI303" s="60"/>
      <c r="DJ303" s="60"/>
      <c r="DK303" s="60"/>
      <c r="DL303" s="60"/>
      <c r="DM303" s="60"/>
      <c r="DN303" s="60"/>
      <c r="DO303" s="60"/>
      <c r="DP303" s="60"/>
      <c r="DQ303" s="60"/>
      <c r="DR303" s="60"/>
      <c r="DS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0"/>
      <c r="DD305" s="60"/>
      <c r="DE305" s="60"/>
      <c r="DF305" s="60"/>
      <c r="DG305" s="60"/>
      <c r="DH305" s="60"/>
      <c r="DI305" s="60"/>
      <c r="DJ305" s="60"/>
      <c r="DK305" s="60"/>
      <c r="DL305" s="60"/>
      <c r="DM305" s="60"/>
      <c r="DN305" s="60"/>
      <c r="DO305" s="60"/>
      <c r="DP305" s="60"/>
      <c r="DQ305" s="60"/>
      <c r="DR305" s="60"/>
      <c r="DS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0"/>
      <c r="DI306" s="60"/>
      <c r="DJ306" s="60"/>
      <c r="DK306" s="60"/>
      <c r="DL306" s="60"/>
      <c r="DM306" s="60"/>
      <c r="DN306" s="60"/>
      <c r="DO306" s="60"/>
      <c r="DP306" s="60"/>
      <c r="DQ306" s="60"/>
      <c r="DR306" s="60"/>
      <c r="DS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0"/>
      <c r="DI307" s="60"/>
      <c r="DJ307" s="60"/>
      <c r="DK307" s="60"/>
      <c r="DL307" s="60"/>
      <c r="DM307" s="60"/>
      <c r="DN307" s="60"/>
      <c r="DO307" s="60"/>
      <c r="DP307" s="60"/>
      <c r="DQ307" s="60"/>
      <c r="DR307" s="60"/>
      <c r="DS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0"/>
      <c r="DI308" s="60"/>
      <c r="DJ308" s="60"/>
      <c r="DK308" s="60"/>
      <c r="DL308" s="60"/>
      <c r="DM308" s="60"/>
      <c r="DN308" s="60"/>
      <c r="DO308" s="60"/>
      <c r="DP308" s="60"/>
      <c r="DQ308" s="60"/>
      <c r="DR308" s="60"/>
      <c r="DS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0"/>
      <c r="DR309" s="60"/>
      <c r="DS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0"/>
      <c r="DR310" s="60"/>
      <c r="DS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0"/>
      <c r="DR311" s="60"/>
      <c r="DS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0"/>
      <c r="DR312" s="60"/>
      <c r="DS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0"/>
      <c r="DR314" s="60"/>
      <c r="DS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0"/>
      <c r="DR316" s="60"/>
      <c r="DS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0"/>
      <c r="DR317" s="60"/>
      <c r="DS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0"/>
      <c r="DR318" s="60"/>
      <c r="DS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0"/>
      <c r="DR319" s="60"/>
      <c r="DS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0"/>
      <c r="DR320" s="60"/>
      <c r="DS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0"/>
      <c r="DR321" s="60"/>
      <c r="DS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  <c r="CD322" s="60"/>
      <c r="CE322" s="60"/>
      <c r="CF322" s="60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0"/>
      <c r="DD322" s="60"/>
      <c r="DE322" s="60"/>
      <c r="DF322" s="60"/>
      <c r="DG322" s="60"/>
      <c r="DH322" s="60"/>
      <c r="DI322" s="60"/>
      <c r="DJ322" s="60"/>
      <c r="DK322" s="60"/>
      <c r="DL322" s="60"/>
      <c r="DM322" s="60"/>
      <c r="DN322" s="60"/>
      <c r="DO322" s="60"/>
      <c r="DP322" s="60"/>
      <c r="DQ322" s="60"/>
      <c r="DR322" s="60"/>
      <c r="DS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0"/>
      <c r="DR323" s="60"/>
      <c r="DS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0"/>
      <c r="DR324" s="60"/>
      <c r="DS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0"/>
      <c r="DR325" s="60"/>
      <c r="DS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0"/>
      <c r="DR326" s="60"/>
      <c r="DS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0"/>
      <c r="DR327" s="60"/>
      <c r="DS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0"/>
      <c r="DR328" s="60"/>
      <c r="DS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0"/>
      <c r="DI329" s="60"/>
      <c r="DJ329" s="60"/>
      <c r="DK329" s="60"/>
      <c r="DL329" s="60"/>
      <c r="DM329" s="60"/>
      <c r="DN329" s="60"/>
      <c r="DO329" s="60"/>
      <c r="DP329" s="60"/>
      <c r="DQ329" s="60"/>
      <c r="DR329" s="60"/>
      <c r="DS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0"/>
      <c r="DR330" s="60"/>
      <c r="DS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0"/>
      <c r="DR331" s="60"/>
      <c r="DS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0"/>
      <c r="DR332" s="60"/>
      <c r="DS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0"/>
      <c r="DI333" s="60"/>
      <c r="DJ333" s="60"/>
      <c r="DK333" s="60"/>
      <c r="DL333" s="60"/>
      <c r="DM333" s="60"/>
      <c r="DN333" s="60"/>
      <c r="DO333" s="60"/>
      <c r="DP333" s="60"/>
      <c r="DQ333" s="60"/>
      <c r="DR333" s="60"/>
      <c r="DS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0"/>
      <c r="DR338" s="60"/>
      <c r="DS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0"/>
      <c r="DR339" s="60"/>
      <c r="DS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0"/>
      <c r="DR340" s="60"/>
      <c r="DS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0"/>
      <c r="DR341" s="60"/>
      <c r="DS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0"/>
      <c r="DR342" s="60"/>
      <c r="DS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0"/>
      <c r="DR343" s="60"/>
      <c r="DS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0"/>
      <c r="DR344" s="60"/>
      <c r="DS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0"/>
      <c r="DR345" s="60"/>
      <c r="DS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0"/>
      <c r="DI346" s="60"/>
      <c r="DJ346" s="60"/>
      <c r="DK346" s="60"/>
      <c r="DL346" s="60"/>
      <c r="DM346" s="60"/>
      <c r="DN346" s="60"/>
      <c r="DO346" s="60"/>
      <c r="DP346" s="60"/>
      <c r="DQ346" s="60"/>
      <c r="DR346" s="60"/>
      <c r="DS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0"/>
      <c r="DI347" s="60"/>
      <c r="DJ347" s="60"/>
      <c r="DK347" s="60"/>
      <c r="DL347" s="60"/>
      <c r="DM347" s="60"/>
      <c r="DN347" s="60"/>
      <c r="DO347" s="60"/>
      <c r="DP347" s="60"/>
      <c r="DQ347" s="60"/>
      <c r="DR347" s="60"/>
      <c r="DS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  <c r="CD348" s="60"/>
      <c r="CE348" s="60"/>
      <c r="CF348" s="60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0"/>
      <c r="DD348" s="60"/>
      <c r="DE348" s="60"/>
      <c r="DF348" s="60"/>
      <c r="DG348" s="60"/>
      <c r="DH348" s="60"/>
      <c r="DI348" s="60"/>
      <c r="DJ348" s="60"/>
      <c r="DK348" s="60"/>
      <c r="DL348" s="60"/>
      <c r="DM348" s="60"/>
      <c r="DN348" s="60"/>
      <c r="DO348" s="60"/>
      <c r="DP348" s="60"/>
      <c r="DQ348" s="60"/>
      <c r="DR348" s="60"/>
      <c r="DS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0"/>
      <c r="DD349" s="60"/>
      <c r="DE349" s="60"/>
      <c r="DF349" s="60"/>
      <c r="DG349" s="60"/>
      <c r="DH349" s="60"/>
      <c r="DI349" s="60"/>
      <c r="DJ349" s="60"/>
      <c r="DK349" s="60"/>
      <c r="DL349" s="60"/>
      <c r="DM349" s="60"/>
      <c r="DN349" s="60"/>
      <c r="DO349" s="60"/>
      <c r="DP349" s="60"/>
      <c r="DQ349" s="60"/>
      <c r="DR349" s="60"/>
      <c r="DS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  <c r="CD350" s="60"/>
      <c r="CE350" s="60"/>
      <c r="CF350" s="60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0"/>
      <c r="DD350" s="60"/>
      <c r="DE350" s="60"/>
      <c r="DF350" s="60"/>
      <c r="DG350" s="60"/>
      <c r="DH350" s="60"/>
      <c r="DI350" s="60"/>
      <c r="DJ350" s="60"/>
      <c r="DK350" s="60"/>
      <c r="DL350" s="60"/>
      <c r="DM350" s="60"/>
      <c r="DN350" s="60"/>
      <c r="DO350" s="60"/>
      <c r="DP350" s="60"/>
      <c r="DQ350" s="60"/>
      <c r="DR350" s="60"/>
      <c r="DS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0"/>
      <c r="DI351" s="60"/>
      <c r="DJ351" s="60"/>
      <c r="DK351" s="60"/>
      <c r="DL351" s="60"/>
      <c r="DM351" s="60"/>
      <c r="DN351" s="60"/>
      <c r="DO351" s="60"/>
      <c r="DP351" s="60"/>
      <c r="DQ351" s="60"/>
      <c r="DR351" s="60"/>
      <c r="DS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0"/>
      <c r="DI352" s="60"/>
      <c r="DJ352" s="60"/>
      <c r="DK352" s="60"/>
      <c r="DL352" s="60"/>
      <c r="DM352" s="60"/>
      <c r="DN352" s="60"/>
      <c r="DO352" s="60"/>
      <c r="DP352" s="60"/>
      <c r="DQ352" s="60"/>
      <c r="DR352" s="60"/>
      <c r="DS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0"/>
      <c r="DD353" s="60"/>
      <c r="DE353" s="60"/>
      <c r="DF353" s="60"/>
      <c r="DG353" s="60"/>
      <c r="DH353" s="60"/>
      <c r="DI353" s="60"/>
      <c r="DJ353" s="60"/>
      <c r="DK353" s="60"/>
      <c r="DL353" s="60"/>
      <c r="DM353" s="60"/>
      <c r="DN353" s="60"/>
      <c r="DO353" s="60"/>
      <c r="DP353" s="60"/>
      <c r="DQ353" s="60"/>
      <c r="DR353" s="60"/>
      <c r="DS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0"/>
      <c r="DI354" s="60"/>
      <c r="DJ354" s="60"/>
      <c r="DK354" s="60"/>
      <c r="DL354" s="60"/>
      <c r="DM354" s="60"/>
      <c r="DN354" s="60"/>
      <c r="DO354" s="60"/>
      <c r="DP354" s="60"/>
      <c r="DQ354" s="60"/>
      <c r="DR354" s="60"/>
      <c r="DS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0"/>
      <c r="DI355" s="60"/>
      <c r="DJ355" s="60"/>
      <c r="DK355" s="60"/>
      <c r="DL355" s="60"/>
      <c r="DM355" s="60"/>
      <c r="DN355" s="60"/>
      <c r="DO355" s="60"/>
      <c r="DP355" s="60"/>
      <c r="DQ355" s="60"/>
      <c r="DR355" s="60"/>
      <c r="DS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0"/>
      <c r="DI356" s="60"/>
      <c r="DJ356" s="60"/>
      <c r="DK356" s="60"/>
      <c r="DL356" s="60"/>
      <c r="DM356" s="60"/>
      <c r="DN356" s="60"/>
      <c r="DO356" s="60"/>
      <c r="DP356" s="60"/>
      <c r="DQ356" s="60"/>
      <c r="DR356" s="60"/>
      <c r="DS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0"/>
      <c r="DI357" s="60"/>
      <c r="DJ357" s="60"/>
      <c r="DK357" s="60"/>
      <c r="DL357" s="60"/>
      <c r="DM357" s="60"/>
      <c r="DN357" s="60"/>
      <c r="DO357" s="60"/>
      <c r="DP357" s="60"/>
      <c r="DQ357" s="60"/>
      <c r="DR357" s="60"/>
      <c r="DS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0"/>
      <c r="DI358" s="60"/>
      <c r="DJ358" s="60"/>
      <c r="DK358" s="60"/>
      <c r="DL358" s="60"/>
      <c r="DM358" s="60"/>
      <c r="DN358" s="60"/>
      <c r="DO358" s="60"/>
      <c r="DP358" s="60"/>
      <c r="DQ358" s="60"/>
      <c r="DR358" s="60"/>
      <c r="DS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0"/>
      <c r="DD359" s="60"/>
      <c r="DE359" s="60"/>
      <c r="DF359" s="60"/>
      <c r="DG359" s="60"/>
      <c r="DH359" s="60"/>
      <c r="DI359" s="60"/>
      <c r="DJ359" s="60"/>
      <c r="DK359" s="60"/>
      <c r="DL359" s="60"/>
      <c r="DM359" s="60"/>
      <c r="DN359" s="60"/>
      <c r="DO359" s="60"/>
      <c r="DP359" s="60"/>
      <c r="DQ359" s="60"/>
      <c r="DR359" s="60"/>
      <c r="DS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  <c r="CD360" s="60"/>
      <c r="CE360" s="60"/>
      <c r="CF360" s="60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0"/>
      <c r="DD360" s="60"/>
      <c r="DE360" s="60"/>
      <c r="DF360" s="60"/>
      <c r="DG360" s="60"/>
      <c r="DH360" s="60"/>
      <c r="DI360" s="60"/>
      <c r="DJ360" s="60"/>
      <c r="DK360" s="60"/>
      <c r="DL360" s="60"/>
      <c r="DM360" s="60"/>
      <c r="DN360" s="60"/>
      <c r="DO360" s="60"/>
      <c r="DP360" s="60"/>
      <c r="DQ360" s="60"/>
      <c r="DR360" s="60"/>
      <c r="DS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0"/>
      <c r="DI361" s="60"/>
      <c r="DJ361" s="60"/>
      <c r="DK361" s="60"/>
      <c r="DL361" s="60"/>
      <c r="DM361" s="60"/>
      <c r="DN361" s="60"/>
      <c r="DO361" s="60"/>
      <c r="DP361" s="60"/>
      <c r="DQ361" s="60"/>
      <c r="DR361" s="60"/>
      <c r="DS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0"/>
      <c r="DI362" s="60"/>
      <c r="DJ362" s="60"/>
      <c r="DK362" s="60"/>
      <c r="DL362" s="60"/>
      <c r="DM362" s="60"/>
      <c r="DN362" s="60"/>
      <c r="DO362" s="60"/>
      <c r="DP362" s="60"/>
      <c r="DQ362" s="60"/>
      <c r="DR362" s="60"/>
      <c r="DS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0"/>
      <c r="DI363" s="60"/>
      <c r="DJ363" s="60"/>
      <c r="DK363" s="60"/>
      <c r="DL363" s="60"/>
      <c r="DM363" s="60"/>
      <c r="DN363" s="60"/>
      <c r="DO363" s="60"/>
      <c r="DP363" s="60"/>
      <c r="DQ363" s="60"/>
      <c r="DR363" s="60"/>
      <c r="DS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  <c r="CD364" s="60"/>
      <c r="CE364" s="60"/>
      <c r="CF364" s="60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0"/>
      <c r="DD364" s="60"/>
      <c r="DE364" s="60"/>
      <c r="DF364" s="60"/>
      <c r="DG364" s="60"/>
      <c r="DH364" s="60"/>
      <c r="DI364" s="60"/>
      <c r="DJ364" s="60"/>
      <c r="DK364" s="60"/>
      <c r="DL364" s="60"/>
      <c r="DM364" s="60"/>
      <c r="DN364" s="60"/>
      <c r="DO364" s="60"/>
      <c r="DP364" s="60"/>
      <c r="DQ364" s="60"/>
      <c r="DR364" s="60"/>
      <c r="DS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0"/>
      <c r="DI365" s="60"/>
      <c r="DJ365" s="60"/>
      <c r="DK365" s="60"/>
      <c r="DL365" s="60"/>
      <c r="DM365" s="60"/>
      <c r="DN365" s="60"/>
      <c r="DO365" s="60"/>
      <c r="DP365" s="60"/>
      <c r="DQ365" s="60"/>
      <c r="DR365" s="60"/>
      <c r="DS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0"/>
      <c r="DI366" s="60"/>
      <c r="DJ366" s="60"/>
      <c r="DK366" s="60"/>
      <c r="DL366" s="60"/>
      <c r="DM366" s="60"/>
      <c r="DN366" s="60"/>
      <c r="DO366" s="60"/>
      <c r="DP366" s="60"/>
      <c r="DQ366" s="60"/>
      <c r="DR366" s="60"/>
      <c r="DS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0"/>
      <c r="DI367" s="60"/>
      <c r="DJ367" s="60"/>
      <c r="DK367" s="60"/>
      <c r="DL367" s="60"/>
      <c r="DM367" s="60"/>
      <c r="DN367" s="60"/>
      <c r="DO367" s="60"/>
      <c r="DP367" s="60"/>
      <c r="DQ367" s="60"/>
      <c r="DR367" s="60"/>
      <c r="DS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  <c r="CD368" s="60"/>
      <c r="CE368" s="60"/>
      <c r="CF368" s="60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0"/>
      <c r="DD368" s="60"/>
      <c r="DE368" s="60"/>
      <c r="DF368" s="60"/>
      <c r="DG368" s="60"/>
      <c r="DH368" s="60"/>
      <c r="DI368" s="60"/>
      <c r="DJ368" s="60"/>
      <c r="DK368" s="60"/>
      <c r="DL368" s="60"/>
      <c r="DM368" s="60"/>
      <c r="DN368" s="60"/>
      <c r="DO368" s="60"/>
      <c r="DP368" s="60"/>
      <c r="DQ368" s="60"/>
      <c r="DR368" s="60"/>
      <c r="DS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0"/>
      <c r="DI369" s="60"/>
      <c r="DJ369" s="60"/>
      <c r="DK369" s="60"/>
      <c r="DL369" s="60"/>
      <c r="DM369" s="60"/>
      <c r="DN369" s="60"/>
      <c r="DO369" s="60"/>
      <c r="DP369" s="60"/>
      <c r="DQ369" s="60"/>
      <c r="DR369" s="60"/>
      <c r="DS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0"/>
      <c r="DI371" s="60"/>
      <c r="DJ371" s="60"/>
      <c r="DK371" s="60"/>
      <c r="DL371" s="60"/>
      <c r="DM371" s="60"/>
      <c r="DN371" s="60"/>
      <c r="DO371" s="60"/>
      <c r="DP371" s="60"/>
      <c r="DQ371" s="60"/>
      <c r="DR371" s="60"/>
      <c r="DS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  <c r="CD372" s="60"/>
      <c r="CE372" s="60"/>
      <c r="CF372" s="60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0"/>
      <c r="DD372" s="60"/>
      <c r="DE372" s="60"/>
      <c r="DF372" s="60"/>
      <c r="DG372" s="60"/>
      <c r="DH372" s="60"/>
      <c r="DI372" s="60"/>
      <c r="DJ372" s="60"/>
      <c r="DK372" s="60"/>
      <c r="DL372" s="60"/>
      <c r="DM372" s="60"/>
      <c r="DN372" s="60"/>
      <c r="DO372" s="60"/>
      <c r="DP372" s="60"/>
      <c r="DQ372" s="60"/>
      <c r="DR372" s="60"/>
      <c r="DS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0"/>
      <c r="DI373" s="60"/>
      <c r="DJ373" s="60"/>
      <c r="DK373" s="60"/>
      <c r="DL373" s="60"/>
      <c r="DM373" s="60"/>
      <c r="DN373" s="60"/>
      <c r="DO373" s="60"/>
      <c r="DP373" s="60"/>
      <c r="DQ373" s="60"/>
      <c r="DR373" s="60"/>
      <c r="DS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0"/>
      <c r="DI374" s="60"/>
      <c r="DJ374" s="60"/>
      <c r="DK374" s="60"/>
      <c r="DL374" s="60"/>
      <c r="DM374" s="60"/>
      <c r="DN374" s="60"/>
      <c r="DO374" s="60"/>
      <c r="DP374" s="60"/>
      <c r="DQ374" s="60"/>
      <c r="DR374" s="60"/>
      <c r="DS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0"/>
      <c r="DI375" s="60"/>
      <c r="DJ375" s="60"/>
      <c r="DK375" s="60"/>
      <c r="DL375" s="60"/>
      <c r="DM375" s="60"/>
      <c r="DN375" s="60"/>
      <c r="DO375" s="60"/>
      <c r="DP375" s="60"/>
      <c r="DQ375" s="60"/>
      <c r="DR375" s="60"/>
      <c r="DS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0"/>
      <c r="DI376" s="60"/>
      <c r="DJ376" s="60"/>
      <c r="DK376" s="60"/>
      <c r="DL376" s="60"/>
      <c r="DM376" s="60"/>
      <c r="DN376" s="60"/>
      <c r="DO376" s="60"/>
      <c r="DP376" s="60"/>
      <c r="DQ376" s="60"/>
      <c r="DR376" s="60"/>
      <c r="DS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0"/>
      <c r="DI377" s="60"/>
      <c r="DJ377" s="60"/>
      <c r="DK377" s="60"/>
      <c r="DL377" s="60"/>
      <c r="DM377" s="60"/>
      <c r="DN377" s="60"/>
      <c r="DO377" s="60"/>
      <c r="DP377" s="60"/>
      <c r="DQ377" s="60"/>
      <c r="DR377" s="60"/>
      <c r="DS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0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0"/>
      <c r="DJ378" s="60"/>
      <c r="DK378" s="60"/>
      <c r="DL378" s="60"/>
      <c r="DM378" s="60"/>
      <c r="DN378" s="60"/>
      <c r="DO378" s="60"/>
      <c r="DP378" s="60"/>
      <c r="DQ378" s="60"/>
      <c r="DR378" s="60"/>
      <c r="DS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0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60"/>
      <c r="CV379" s="60"/>
      <c r="CW379" s="60"/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0"/>
      <c r="DI379" s="60"/>
      <c r="DJ379" s="60"/>
      <c r="DK379" s="60"/>
      <c r="DL379" s="60"/>
      <c r="DM379" s="60"/>
      <c r="DN379" s="60"/>
      <c r="DO379" s="60"/>
      <c r="DP379" s="60"/>
      <c r="DQ379" s="60"/>
      <c r="DR379" s="60"/>
      <c r="DS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  <c r="BX380" s="60"/>
      <c r="BY380" s="60"/>
      <c r="BZ380" s="60"/>
      <c r="CA380" s="60"/>
      <c r="CB380" s="60"/>
      <c r="CC380" s="60"/>
      <c r="CD380" s="60"/>
      <c r="CE380" s="60"/>
      <c r="CF380" s="60"/>
      <c r="CG380" s="60"/>
      <c r="CH380" s="60"/>
      <c r="CI380" s="60"/>
      <c r="CJ380" s="60"/>
      <c r="CK380" s="60"/>
      <c r="CL380" s="60"/>
      <c r="CM380" s="60"/>
      <c r="CN380" s="60"/>
      <c r="CO380" s="60"/>
      <c r="CP380" s="60"/>
      <c r="CQ380" s="60"/>
      <c r="CR380" s="60"/>
      <c r="CS380" s="60"/>
      <c r="CT380" s="60"/>
      <c r="CU380" s="60"/>
      <c r="CV380" s="60"/>
      <c r="CW380" s="60"/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0"/>
      <c r="DI380" s="60"/>
      <c r="DJ380" s="60"/>
      <c r="DK380" s="60"/>
      <c r="DL380" s="60"/>
      <c r="DM380" s="60"/>
      <c r="DN380" s="60"/>
      <c r="DO380" s="60"/>
      <c r="DP380" s="60"/>
      <c r="DQ380" s="60"/>
      <c r="DR380" s="60"/>
      <c r="DS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  <c r="CD381" s="60"/>
      <c r="CE381" s="60"/>
      <c r="CF381" s="60"/>
      <c r="CG381" s="60"/>
      <c r="CH381" s="60"/>
      <c r="CI381" s="60"/>
      <c r="CJ381" s="60"/>
      <c r="CK381" s="60"/>
      <c r="CL381" s="60"/>
      <c r="CM381" s="60"/>
      <c r="CN381" s="60"/>
      <c r="CO381" s="60"/>
      <c r="CP381" s="60"/>
      <c r="CQ381" s="60"/>
      <c r="CR381" s="60"/>
      <c r="CS381" s="60"/>
      <c r="CT381" s="60"/>
      <c r="CU381" s="60"/>
      <c r="CV381" s="60"/>
      <c r="CW381" s="60"/>
      <c r="CX381" s="60"/>
      <c r="CY381" s="60"/>
      <c r="CZ381" s="60"/>
      <c r="DA381" s="60"/>
      <c r="DB381" s="60"/>
      <c r="DC381" s="60"/>
      <c r="DD381" s="60"/>
      <c r="DE381" s="60"/>
      <c r="DF381" s="60"/>
      <c r="DG381" s="60"/>
      <c r="DH381" s="60"/>
      <c r="DI381" s="60"/>
      <c r="DJ381" s="60"/>
      <c r="DK381" s="60"/>
      <c r="DL381" s="60"/>
      <c r="DM381" s="60"/>
      <c r="DN381" s="60"/>
      <c r="DO381" s="60"/>
      <c r="DP381" s="60"/>
      <c r="DQ381" s="60"/>
      <c r="DR381" s="60"/>
      <c r="DS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  <c r="BX382" s="60"/>
      <c r="BY382" s="60"/>
      <c r="BZ382" s="60"/>
      <c r="CA382" s="60"/>
      <c r="CB382" s="60"/>
      <c r="CC382" s="60"/>
      <c r="CD382" s="60"/>
      <c r="CE382" s="60"/>
      <c r="CF382" s="60"/>
      <c r="CG382" s="60"/>
      <c r="CH382" s="60"/>
      <c r="CI382" s="60"/>
      <c r="CJ382" s="60"/>
      <c r="CK382" s="60"/>
      <c r="CL382" s="60"/>
      <c r="CM382" s="60"/>
      <c r="CN382" s="60"/>
      <c r="CO382" s="60"/>
      <c r="CP382" s="60"/>
      <c r="CQ382" s="60"/>
      <c r="CR382" s="60"/>
      <c r="CS382" s="60"/>
      <c r="CT382" s="60"/>
      <c r="CU382" s="60"/>
      <c r="CV382" s="60"/>
      <c r="CW382" s="60"/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0"/>
      <c r="DI382" s="60"/>
      <c r="DJ382" s="60"/>
      <c r="DK382" s="60"/>
      <c r="DL382" s="60"/>
      <c r="DM382" s="60"/>
      <c r="DN382" s="60"/>
      <c r="DO382" s="60"/>
      <c r="DP382" s="60"/>
      <c r="DQ382" s="60"/>
      <c r="DR382" s="60"/>
      <c r="DS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  <c r="BY383" s="60"/>
      <c r="BZ383" s="60"/>
      <c r="CA383" s="60"/>
      <c r="CB383" s="60"/>
      <c r="CC383" s="60"/>
      <c r="CD383" s="60"/>
      <c r="CE383" s="60"/>
      <c r="CF383" s="60"/>
      <c r="CG383" s="60"/>
      <c r="CH383" s="60"/>
      <c r="CI383" s="60"/>
      <c r="CJ383" s="60"/>
      <c r="CK383" s="60"/>
      <c r="CL383" s="60"/>
      <c r="CM383" s="60"/>
      <c r="CN383" s="60"/>
      <c r="CO383" s="60"/>
      <c r="CP383" s="60"/>
      <c r="CQ383" s="60"/>
      <c r="CR383" s="60"/>
      <c r="CS383" s="60"/>
      <c r="CT383" s="60"/>
      <c r="CU383" s="60"/>
      <c r="CV383" s="60"/>
      <c r="CW383" s="60"/>
      <c r="CX383" s="60"/>
      <c r="CY383" s="60"/>
      <c r="CZ383" s="60"/>
      <c r="DA383" s="60"/>
      <c r="DB383" s="60"/>
      <c r="DC383" s="60"/>
      <c r="DD383" s="60"/>
      <c r="DE383" s="60"/>
      <c r="DF383" s="60"/>
      <c r="DG383" s="60"/>
      <c r="DH383" s="60"/>
      <c r="DI383" s="60"/>
      <c r="DJ383" s="60"/>
      <c r="DK383" s="60"/>
      <c r="DL383" s="60"/>
      <c r="DM383" s="60"/>
      <c r="DN383" s="60"/>
      <c r="DO383" s="60"/>
      <c r="DP383" s="60"/>
      <c r="DQ383" s="60"/>
      <c r="DR383" s="60"/>
      <c r="DS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  <c r="BX384" s="60"/>
      <c r="BY384" s="60"/>
      <c r="BZ384" s="60"/>
      <c r="CA384" s="60"/>
      <c r="CB384" s="60"/>
      <c r="CC384" s="60"/>
      <c r="CD384" s="60"/>
      <c r="CE384" s="60"/>
      <c r="CF384" s="60"/>
      <c r="CG384" s="60"/>
      <c r="CH384" s="60"/>
      <c r="CI384" s="60"/>
      <c r="CJ384" s="60"/>
      <c r="CK384" s="60"/>
      <c r="CL384" s="60"/>
      <c r="CM384" s="60"/>
      <c r="CN384" s="60"/>
      <c r="CO384" s="60"/>
      <c r="CP384" s="60"/>
      <c r="CQ384" s="60"/>
      <c r="CR384" s="60"/>
      <c r="CS384" s="60"/>
      <c r="CT384" s="60"/>
      <c r="CU384" s="60"/>
      <c r="CV384" s="60"/>
      <c r="CW384" s="60"/>
      <c r="CX384" s="60"/>
      <c r="CY384" s="60"/>
      <c r="CZ384" s="60"/>
      <c r="DA384" s="60"/>
      <c r="DB384" s="60"/>
      <c r="DC384" s="60"/>
      <c r="DD384" s="60"/>
      <c r="DE384" s="60"/>
      <c r="DF384" s="60"/>
      <c r="DG384" s="60"/>
      <c r="DH384" s="60"/>
      <c r="DI384" s="60"/>
      <c r="DJ384" s="60"/>
      <c r="DK384" s="60"/>
      <c r="DL384" s="60"/>
      <c r="DM384" s="60"/>
      <c r="DN384" s="60"/>
      <c r="DO384" s="60"/>
      <c r="DP384" s="60"/>
      <c r="DQ384" s="60"/>
      <c r="DR384" s="60"/>
      <c r="DS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  <c r="BY385" s="60"/>
      <c r="BZ385" s="60"/>
      <c r="CA385" s="60"/>
      <c r="CB385" s="60"/>
      <c r="CC385" s="60"/>
      <c r="CD385" s="60"/>
      <c r="CE385" s="60"/>
      <c r="CF385" s="60"/>
      <c r="CG385" s="60"/>
      <c r="CH385" s="60"/>
      <c r="CI385" s="60"/>
      <c r="CJ385" s="60"/>
      <c r="CK385" s="60"/>
      <c r="CL385" s="60"/>
      <c r="CM385" s="60"/>
      <c r="CN385" s="60"/>
      <c r="CO385" s="60"/>
      <c r="CP385" s="60"/>
      <c r="CQ385" s="60"/>
      <c r="CR385" s="60"/>
      <c r="CS385" s="60"/>
      <c r="CT385" s="60"/>
      <c r="CU385" s="60"/>
      <c r="CV385" s="60"/>
      <c r="CW385" s="60"/>
      <c r="CX385" s="60"/>
      <c r="CY385" s="60"/>
      <c r="CZ385" s="60"/>
      <c r="DA385" s="60"/>
      <c r="DB385" s="60"/>
      <c r="DC385" s="60"/>
      <c r="DD385" s="60"/>
      <c r="DE385" s="60"/>
      <c r="DF385" s="60"/>
      <c r="DG385" s="60"/>
      <c r="DH385" s="60"/>
      <c r="DI385" s="60"/>
      <c r="DJ385" s="60"/>
      <c r="DK385" s="60"/>
      <c r="DL385" s="60"/>
      <c r="DM385" s="60"/>
      <c r="DN385" s="60"/>
      <c r="DO385" s="60"/>
      <c r="DP385" s="60"/>
      <c r="DQ385" s="60"/>
      <c r="DR385" s="60"/>
      <c r="DS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  <c r="BX386" s="60"/>
      <c r="BY386" s="60"/>
      <c r="BZ386" s="60"/>
      <c r="CA386" s="60"/>
      <c r="CB386" s="60"/>
      <c r="CC386" s="60"/>
      <c r="CD386" s="60"/>
      <c r="CE386" s="60"/>
      <c r="CF386" s="60"/>
      <c r="CG386" s="60"/>
      <c r="CH386" s="60"/>
      <c r="CI386" s="60"/>
      <c r="CJ386" s="60"/>
      <c r="CK386" s="60"/>
      <c r="CL386" s="60"/>
      <c r="CM386" s="60"/>
      <c r="CN386" s="60"/>
      <c r="CO386" s="60"/>
      <c r="CP386" s="60"/>
      <c r="CQ386" s="60"/>
      <c r="CR386" s="60"/>
      <c r="CS386" s="60"/>
      <c r="CT386" s="60"/>
      <c r="CU386" s="60"/>
      <c r="CV386" s="60"/>
      <c r="CW386" s="60"/>
      <c r="CX386" s="60"/>
      <c r="CY386" s="60"/>
      <c r="CZ386" s="60"/>
      <c r="DA386" s="60"/>
      <c r="DB386" s="60"/>
      <c r="DC386" s="60"/>
      <c r="DD386" s="60"/>
      <c r="DE386" s="60"/>
      <c r="DF386" s="60"/>
      <c r="DG386" s="60"/>
      <c r="DH386" s="60"/>
      <c r="DI386" s="60"/>
      <c r="DJ386" s="60"/>
      <c r="DK386" s="60"/>
      <c r="DL386" s="60"/>
      <c r="DM386" s="60"/>
      <c r="DN386" s="60"/>
      <c r="DO386" s="60"/>
      <c r="DP386" s="60"/>
      <c r="DQ386" s="60"/>
      <c r="DR386" s="60"/>
      <c r="DS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  <c r="BY387" s="60"/>
      <c r="BZ387" s="60"/>
      <c r="CA387" s="60"/>
      <c r="CB387" s="60"/>
      <c r="CC387" s="60"/>
      <c r="CD387" s="60"/>
      <c r="CE387" s="60"/>
      <c r="CF387" s="60"/>
      <c r="CG387" s="60"/>
      <c r="CH387" s="60"/>
      <c r="CI387" s="60"/>
      <c r="CJ387" s="60"/>
      <c r="CK387" s="60"/>
      <c r="CL387" s="60"/>
      <c r="CM387" s="60"/>
      <c r="CN387" s="60"/>
      <c r="CO387" s="60"/>
      <c r="CP387" s="60"/>
      <c r="CQ387" s="60"/>
      <c r="CR387" s="60"/>
      <c r="CS387" s="60"/>
      <c r="CT387" s="60"/>
      <c r="CU387" s="60"/>
      <c r="CV387" s="60"/>
      <c r="CW387" s="60"/>
      <c r="CX387" s="60"/>
      <c r="CY387" s="60"/>
      <c r="CZ387" s="60"/>
      <c r="DA387" s="60"/>
      <c r="DB387" s="60"/>
      <c r="DC387" s="60"/>
      <c r="DD387" s="60"/>
      <c r="DE387" s="60"/>
      <c r="DF387" s="60"/>
      <c r="DG387" s="60"/>
      <c r="DH387" s="60"/>
      <c r="DI387" s="60"/>
      <c r="DJ387" s="60"/>
      <c r="DK387" s="60"/>
      <c r="DL387" s="60"/>
      <c r="DM387" s="60"/>
      <c r="DN387" s="60"/>
      <c r="DO387" s="60"/>
      <c r="DP387" s="60"/>
      <c r="DQ387" s="60"/>
      <c r="DR387" s="60"/>
      <c r="DS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  <c r="BX388" s="60"/>
      <c r="BY388" s="60"/>
      <c r="BZ388" s="60"/>
      <c r="CA388" s="60"/>
      <c r="CB388" s="60"/>
      <c r="CC388" s="60"/>
      <c r="CD388" s="60"/>
      <c r="CE388" s="60"/>
      <c r="CF388" s="60"/>
      <c r="CG388" s="60"/>
      <c r="CH388" s="60"/>
      <c r="CI388" s="60"/>
      <c r="CJ388" s="60"/>
      <c r="CK388" s="60"/>
      <c r="CL388" s="60"/>
      <c r="CM388" s="60"/>
      <c r="CN388" s="60"/>
      <c r="CO388" s="60"/>
      <c r="CP388" s="60"/>
      <c r="CQ388" s="60"/>
      <c r="CR388" s="60"/>
      <c r="CS388" s="60"/>
      <c r="CT388" s="60"/>
      <c r="CU388" s="60"/>
      <c r="CV388" s="60"/>
      <c r="CW388" s="60"/>
      <c r="CX388" s="60"/>
      <c r="CY388" s="60"/>
      <c r="CZ388" s="60"/>
      <c r="DA388" s="60"/>
      <c r="DB388" s="60"/>
      <c r="DC388" s="60"/>
      <c r="DD388" s="60"/>
      <c r="DE388" s="60"/>
      <c r="DF388" s="60"/>
      <c r="DG388" s="60"/>
      <c r="DH388" s="60"/>
      <c r="DI388" s="60"/>
      <c r="DJ388" s="60"/>
      <c r="DK388" s="60"/>
      <c r="DL388" s="60"/>
      <c r="DM388" s="60"/>
      <c r="DN388" s="60"/>
      <c r="DO388" s="60"/>
      <c r="DP388" s="60"/>
      <c r="DQ388" s="60"/>
      <c r="DR388" s="60"/>
      <c r="DS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  <c r="BY389" s="60"/>
      <c r="BZ389" s="60"/>
      <c r="CA389" s="60"/>
      <c r="CB389" s="60"/>
      <c r="CC389" s="60"/>
      <c r="CD389" s="60"/>
      <c r="CE389" s="60"/>
      <c r="CF389" s="60"/>
      <c r="CG389" s="60"/>
      <c r="CH389" s="60"/>
      <c r="CI389" s="60"/>
      <c r="CJ389" s="60"/>
      <c r="CK389" s="60"/>
      <c r="CL389" s="60"/>
      <c r="CM389" s="60"/>
      <c r="CN389" s="60"/>
      <c r="CO389" s="60"/>
      <c r="CP389" s="60"/>
      <c r="CQ389" s="60"/>
      <c r="CR389" s="60"/>
      <c r="CS389" s="60"/>
      <c r="CT389" s="60"/>
      <c r="CU389" s="60"/>
      <c r="CV389" s="60"/>
      <c r="CW389" s="60"/>
      <c r="CX389" s="60"/>
      <c r="CY389" s="60"/>
      <c r="CZ389" s="60"/>
      <c r="DA389" s="60"/>
      <c r="DB389" s="60"/>
      <c r="DC389" s="60"/>
      <c r="DD389" s="60"/>
      <c r="DE389" s="60"/>
      <c r="DF389" s="60"/>
      <c r="DG389" s="60"/>
      <c r="DH389" s="60"/>
      <c r="DI389" s="60"/>
      <c r="DJ389" s="60"/>
      <c r="DK389" s="60"/>
      <c r="DL389" s="60"/>
      <c r="DM389" s="60"/>
      <c r="DN389" s="60"/>
      <c r="DO389" s="60"/>
      <c r="DP389" s="60"/>
      <c r="DQ389" s="60"/>
      <c r="DR389" s="60"/>
      <c r="DS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  <c r="BX390" s="60"/>
      <c r="BY390" s="60"/>
      <c r="BZ390" s="60"/>
      <c r="CA390" s="60"/>
      <c r="CB390" s="60"/>
      <c r="CC390" s="60"/>
      <c r="CD390" s="60"/>
      <c r="CE390" s="60"/>
      <c r="CF390" s="60"/>
      <c r="CG390" s="60"/>
      <c r="CH390" s="60"/>
      <c r="CI390" s="60"/>
      <c r="CJ390" s="60"/>
      <c r="CK390" s="60"/>
      <c r="CL390" s="60"/>
      <c r="CM390" s="60"/>
      <c r="CN390" s="60"/>
      <c r="CO390" s="60"/>
      <c r="CP390" s="60"/>
      <c r="CQ390" s="60"/>
      <c r="CR390" s="60"/>
      <c r="CS390" s="60"/>
      <c r="CT390" s="60"/>
      <c r="CU390" s="60"/>
      <c r="CV390" s="60"/>
      <c r="CW390" s="60"/>
      <c r="CX390" s="60"/>
      <c r="CY390" s="60"/>
      <c r="CZ390" s="60"/>
      <c r="DA390" s="60"/>
      <c r="DB390" s="60"/>
      <c r="DC390" s="60"/>
      <c r="DD390" s="60"/>
      <c r="DE390" s="60"/>
      <c r="DF390" s="60"/>
      <c r="DG390" s="60"/>
      <c r="DH390" s="60"/>
      <c r="DI390" s="60"/>
      <c r="DJ390" s="60"/>
      <c r="DK390" s="60"/>
      <c r="DL390" s="60"/>
      <c r="DM390" s="60"/>
      <c r="DN390" s="60"/>
      <c r="DO390" s="60"/>
      <c r="DP390" s="60"/>
      <c r="DQ390" s="60"/>
      <c r="DR390" s="60"/>
      <c r="DS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  <c r="BY391" s="60"/>
      <c r="BZ391" s="60"/>
      <c r="CA391" s="60"/>
      <c r="CB391" s="60"/>
      <c r="CC391" s="60"/>
      <c r="CD391" s="60"/>
      <c r="CE391" s="60"/>
      <c r="CF391" s="60"/>
      <c r="CG391" s="60"/>
      <c r="CH391" s="60"/>
      <c r="CI391" s="60"/>
      <c r="CJ391" s="60"/>
      <c r="CK391" s="60"/>
      <c r="CL391" s="60"/>
      <c r="CM391" s="60"/>
      <c r="CN391" s="60"/>
      <c r="CO391" s="60"/>
      <c r="CP391" s="60"/>
      <c r="CQ391" s="60"/>
      <c r="CR391" s="60"/>
      <c r="CS391" s="60"/>
      <c r="CT391" s="60"/>
      <c r="CU391" s="60"/>
      <c r="CV391" s="60"/>
      <c r="CW391" s="60"/>
      <c r="CX391" s="60"/>
      <c r="CY391" s="60"/>
      <c r="CZ391" s="60"/>
      <c r="DA391" s="60"/>
      <c r="DB391" s="60"/>
      <c r="DC391" s="60"/>
      <c r="DD391" s="60"/>
      <c r="DE391" s="60"/>
      <c r="DF391" s="60"/>
      <c r="DG391" s="60"/>
      <c r="DH391" s="60"/>
      <c r="DI391" s="60"/>
      <c r="DJ391" s="60"/>
      <c r="DK391" s="60"/>
      <c r="DL391" s="60"/>
      <c r="DM391" s="60"/>
      <c r="DN391" s="60"/>
      <c r="DO391" s="60"/>
      <c r="DP391" s="60"/>
      <c r="DQ391" s="60"/>
      <c r="DR391" s="60"/>
      <c r="DS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  <c r="BX392" s="60"/>
      <c r="BY392" s="60"/>
      <c r="BZ392" s="60"/>
      <c r="CA392" s="60"/>
      <c r="CB392" s="60"/>
      <c r="CC392" s="60"/>
      <c r="CD392" s="60"/>
      <c r="CE392" s="60"/>
      <c r="CF392" s="60"/>
      <c r="CG392" s="60"/>
      <c r="CH392" s="60"/>
      <c r="CI392" s="60"/>
      <c r="CJ392" s="60"/>
      <c r="CK392" s="60"/>
      <c r="CL392" s="60"/>
      <c r="CM392" s="60"/>
      <c r="CN392" s="60"/>
      <c r="CO392" s="60"/>
      <c r="CP392" s="60"/>
      <c r="CQ392" s="60"/>
      <c r="CR392" s="60"/>
      <c r="CS392" s="60"/>
      <c r="CT392" s="60"/>
      <c r="CU392" s="60"/>
      <c r="CV392" s="60"/>
      <c r="CW392" s="60"/>
      <c r="CX392" s="60"/>
      <c r="CY392" s="60"/>
      <c r="CZ392" s="60"/>
      <c r="DA392" s="60"/>
      <c r="DB392" s="60"/>
      <c r="DC392" s="60"/>
      <c r="DD392" s="60"/>
      <c r="DE392" s="60"/>
      <c r="DF392" s="60"/>
      <c r="DG392" s="60"/>
      <c r="DH392" s="60"/>
      <c r="DI392" s="60"/>
      <c r="DJ392" s="60"/>
      <c r="DK392" s="60"/>
      <c r="DL392" s="60"/>
      <c r="DM392" s="60"/>
      <c r="DN392" s="60"/>
      <c r="DO392" s="60"/>
      <c r="DP392" s="60"/>
      <c r="DQ392" s="60"/>
      <c r="DR392" s="60"/>
      <c r="DS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  <c r="BY393" s="60"/>
      <c r="BZ393" s="60"/>
      <c r="CA393" s="60"/>
      <c r="CB393" s="60"/>
      <c r="CC393" s="60"/>
      <c r="CD393" s="60"/>
      <c r="CE393" s="60"/>
      <c r="CF393" s="60"/>
      <c r="CG393" s="60"/>
      <c r="CH393" s="60"/>
      <c r="CI393" s="60"/>
      <c r="CJ393" s="60"/>
      <c r="CK393" s="60"/>
      <c r="CL393" s="60"/>
      <c r="CM393" s="60"/>
      <c r="CN393" s="60"/>
      <c r="CO393" s="60"/>
      <c r="CP393" s="60"/>
      <c r="CQ393" s="60"/>
      <c r="CR393" s="60"/>
      <c r="CS393" s="60"/>
      <c r="CT393" s="60"/>
      <c r="CU393" s="60"/>
      <c r="CV393" s="60"/>
      <c r="CW393" s="60"/>
      <c r="CX393" s="60"/>
      <c r="CY393" s="60"/>
      <c r="CZ393" s="60"/>
      <c r="DA393" s="60"/>
      <c r="DB393" s="60"/>
      <c r="DC393" s="60"/>
      <c r="DD393" s="60"/>
      <c r="DE393" s="60"/>
      <c r="DF393" s="60"/>
      <c r="DG393" s="60"/>
      <c r="DH393" s="60"/>
      <c r="DI393" s="60"/>
      <c r="DJ393" s="60"/>
      <c r="DK393" s="60"/>
      <c r="DL393" s="60"/>
      <c r="DM393" s="60"/>
      <c r="DN393" s="60"/>
      <c r="DO393" s="60"/>
      <c r="DP393" s="60"/>
      <c r="DQ393" s="60"/>
      <c r="DR393" s="60"/>
      <c r="DS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  <c r="BY394" s="60"/>
      <c r="BZ394" s="60"/>
      <c r="CA394" s="60"/>
      <c r="CB394" s="60"/>
      <c r="CC394" s="60"/>
      <c r="CD394" s="60"/>
      <c r="CE394" s="60"/>
      <c r="CF394" s="60"/>
      <c r="CG394" s="60"/>
      <c r="CH394" s="60"/>
      <c r="CI394" s="60"/>
      <c r="CJ394" s="60"/>
      <c r="CK394" s="60"/>
      <c r="CL394" s="60"/>
      <c r="CM394" s="60"/>
      <c r="CN394" s="60"/>
      <c r="CO394" s="60"/>
      <c r="CP394" s="60"/>
      <c r="CQ394" s="60"/>
      <c r="CR394" s="60"/>
      <c r="CS394" s="60"/>
      <c r="CT394" s="60"/>
      <c r="CU394" s="60"/>
      <c r="CV394" s="60"/>
      <c r="CW394" s="60"/>
      <c r="CX394" s="60"/>
      <c r="CY394" s="60"/>
      <c r="CZ394" s="60"/>
      <c r="DA394" s="60"/>
      <c r="DB394" s="60"/>
      <c r="DC394" s="60"/>
      <c r="DD394" s="60"/>
      <c r="DE394" s="60"/>
      <c r="DF394" s="60"/>
      <c r="DG394" s="60"/>
      <c r="DH394" s="60"/>
      <c r="DI394" s="60"/>
      <c r="DJ394" s="60"/>
      <c r="DK394" s="60"/>
      <c r="DL394" s="60"/>
      <c r="DM394" s="60"/>
      <c r="DN394" s="60"/>
      <c r="DO394" s="60"/>
      <c r="DP394" s="60"/>
      <c r="DQ394" s="60"/>
      <c r="DR394" s="60"/>
      <c r="DS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  <c r="BY395" s="60"/>
      <c r="BZ395" s="60"/>
      <c r="CA395" s="60"/>
      <c r="CB395" s="60"/>
      <c r="CC395" s="60"/>
      <c r="CD395" s="60"/>
      <c r="CE395" s="60"/>
      <c r="CF395" s="60"/>
      <c r="CG395" s="60"/>
      <c r="CH395" s="60"/>
      <c r="CI395" s="60"/>
      <c r="CJ395" s="60"/>
      <c r="CK395" s="60"/>
      <c r="CL395" s="60"/>
      <c r="CM395" s="60"/>
      <c r="CN395" s="60"/>
      <c r="CO395" s="60"/>
      <c r="CP395" s="60"/>
      <c r="CQ395" s="60"/>
      <c r="CR395" s="60"/>
      <c r="CS395" s="60"/>
      <c r="CT395" s="60"/>
      <c r="CU395" s="60"/>
      <c r="CV395" s="60"/>
      <c r="CW395" s="60"/>
      <c r="CX395" s="60"/>
      <c r="CY395" s="60"/>
      <c r="CZ395" s="60"/>
      <c r="DA395" s="60"/>
      <c r="DB395" s="60"/>
      <c r="DC395" s="60"/>
      <c r="DD395" s="60"/>
      <c r="DE395" s="60"/>
      <c r="DF395" s="60"/>
      <c r="DG395" s="60"/>
      <c r="DH395" s="60"/>
      <c r="DI395" s="60"/>
      <c r="DJ395" s="60"/>
      <c r="DK395" s="60"/>
      <c r="DL395" s="60"/>
      <c r="DM395" s="60"/>
      <c r="DN395" s="60"/>
      <c r="DO395" s="60"/>
      <c r="DP395" s="60"/>
      <c r="DQ395" s="60"/>
      <c r="DR395" s="60"/>
      <c r="DS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  <c r="BX396" s="60"/>
      <c r="BY396" s="60"/>
      <c r="BZ396" s="60"/>
      <c r="CA396" s="60"/>
      <c r="CB396" s="60"/>
      <c r="CC396" s="60"/>
      <c r="CD396" s="60"/>
      <c r="CE396" s="60"/>
      <c r="CF396" s="60"/>
      <c r="CG396" s="60"/>
      <c r="CH396" s="60"/>
      <c r="CI396" s="60"/>
      <c r="CJ396" s="60"/>
      <c r="CK396" s="60"/>
      <c r="CL396" s="60"/>
      <c r="CM396" s="60"/>
      <c r="CN396" s="60"/>
      <c r="CO396" s="60"/>
      <c r="CP396" s="60"/>
      <c r="CQ396" s="60"/>
      <c r="CR396" s="60"/>
      <c r="CS396" s="60"/>
      <c r="CT396" s="60"/>
      <c r="CU396" s="60"/>
      <c r="CV396" s="60"/>
      <c r="CW396" s="60"/>
      <c r="CX396" s="60"/>
      <c r="CY396" s="60"/>
      <c r="CZ396" s="60"/>
      <c r="DA396" s="60"/>
      <c r="DB396" s="60"/>
      <c r="DC396" s="60"/>
      <c r="DD396" s="60"/>
      <c r="DE396" s="60"/>
      <c r="DF396" s="60"/>
      <c r="DG396" s="60"/>
      <c r="DH396" s="60"/>
      <c r="DI396" s="60"/>
      <c r="DJ396" s="60"/>
      <c r="DK396" s="60"/>
      <c r="DL396" s="60"/>
      <c r="DM396" s="60"/>
      <c r="DN396" s="60"/>
      <c r="DO396" s="60"/>
      <c r="DP396" s="60"/>
      <c r="DQ396" s="60"/>
      <c r="DR396" s="60"/>
      <c r="DS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  <c r="BY397" s="60"/>
      <c r="BZ397" s="60"/>
      <c r="CA397" s="60"/>
      <c r="CB397" s="60"/>
      <c r="CC397" s="60"/>
      <c r="CD397" s="60"/>
      <c r="CE397" s="60"/>
      <c r="CF397" s="60"/>
      <c r="CG397" s="60"/>
      <c r="CH397" s="60"/>
      <c r="CI397" s="60"/>
      <c r="CJ397" s="60"/>
      <c r="CK397" s="60"/>
      <c r="CL397" s="60"/>
      <c r="CM397" s="60"/>
      <c r="CN397" s="60"/>
      <c r="CO397" s="60"/>
      <c r="CP397" s="60"/>
      <c r="CQ397" s="60"/>
      <c r="CR397" s="60"/>
      <c r="CS397" s="60"/>
      <c r="CT397" s="60"/>
      <c r="CU397" s="60"/>
      <c r="CV397" s="60"/>
      <c r="CW397" s="60"/>
      <c r="CX397" s="60"/>
      <c r="CY397" s="60"/>
      <c r="CZ397" s="60"/>
      <c r="DA397" s="60"/>
      <c r="DB397" s="60"/>
      <c r="DC397" s="60"/>
      <c r="DD397" s="60"/>
      <c r="DE397" s="60"/>
      <c r="DF397" s="60"/>
      <c r="DG397" s="60"/>
      <c r="DH397" s="60"/>
      <c r="DI397" s="60"/>
      <c r="DJ397" s="60"/>
      <c r="DK397" s="60"/>
      <c r="DL397" s="60"/>
      <c r="DM397" s="60"/>
      <c r="DN397" s="60"/>
      <c r="DO397" s="60"/>
      <c r="DP397" s="60"/>
      <c r="DQ397" s="60"/>
      <c r="DR397" s="60"/>
      <c r="DS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  <c r="BX398" s="60"/>
      <c r="BY398" s="60"/>
      <c r="BZ398" s="60"/>
      <c r="CA398" s="60"/>
      <c r="CB398" s="60"/>
      <c r="CC398" s="60"/>
      <c r="CD398" s="60"/>
      <c r="CE398" s="60"/>
      <c r="CF398" s="60"/>
      <c r="CG398" s="60"/>
      <c r="CH398" s="60"/>
      <c r="CI398" s="60"/>
      <c r="CJ398" s="60"/>
      <c r="CK398" s="60"/>
      <c r="CL398" s="60"/>
      <c r="CM398" s="60"/>
      <c r="CN398" s="60"/>
      <c r="CO398" s="60"/>
      <c r="CP398" s="60"/>
      <c r="CQ398" s="60"/>
      <c r="CR398" s="60"/>
      <c r="CS398" s="60"/>
      <c r="CT398" s="60"/>
      <c r="CU398" s="60"/>
      <c r="CV398" s="60"/>
      <c r="CW398" s="60"/>
      <c r="CX398" s="60"/>
      <c r="CY398" s="60"/>
      <c r="CZ398" s="60"/>
      <c r="DA398" s="60"/>
      <c r="DB398" s="60"/>
      <c r="DC398" s="60"/>
      <c r="DD398" s="60"/>
      <c r="DE398" s="60"/>
      <c r="DF398" s="60"/>
      <c r="DG398" s="60"/>
      <c r="DH398" s="60"/>
      <c r="DI398" s="60"/>
      <c r="DJ398" s="60"/>
      <c r="DK398" s="60"/>
      <c r="DL398" s="60"/>
      <c r="DM398" s="60"/>
      <c r="DN398" s="60"/>
      <c r="DO398" s="60"/>
      <c r="DP398" s="60"/>
      <c r="DQ398" s="60"/>
      <c r="DR398" s="60"/>
      <c r="DS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  <c r="BY399" s="60"/>
      <c r="BZ399" s="60"/>
      <c r="CA399" s="60"/>
      <c r="CB399" s="60"/>
      <c r="CC399" s="60"/>
      <c r="CD399" s="60"/>
      <c r="CE399" s="60"/>
      <c r="CF399" s="60"/>
      <c r="CG399" s="60"/>
      <c r="CH399" s="60"/>
      <c r="CI399" s="60"/>
      <c r="CJ399" s="60"/>
      <c r="CK399" s="60"/>
      <c r="CL399" s="60"/>
      <c r="CM399" s="60"/>
      <c r="CN399" s="60"/>
      <c r="CO399" s="60"/>
      <c r="CP399" s="60"/>
      <c r="CQ399" s="60"/>
      <c r="CR399" s="60"/>
      <c r="CS399" s="60"/>
      <c r="CT399" s="60"/>
      <c r="CU399" s="60"/>
      <c r="CV399" s="60"/>
      <c r="CW399" s="60"/>
      <c r="CX399" s="60"/>
      <c r="CY399" s="60"/>
      <c r="CZ399" s="60"/>
      <c r="DA399" s="60"/>
      <c r="DB399" s="60"/>
      <c r="DC399" s="60"/>
      <c r="DD399" s="60"/>
      <c r="DE399" s="60"/>
      <c r="DF399" s="60"/>
      <c r="DG399" s="60"/>
      <c r="DH399" s="60"/>
      <c r="DI399" s="60"/>
      <c r="DJ399" s="60"/>
      <c r="DK399" s="60"/>
      <c r="DL399" s="60"/>
      <c r="DM399" s="60"/>
      <c r="DN399" s="60"/>
      <c r="DO399" s="60"/>
      <c r="DP399" s="60"/>
      <c r="DQ399" s="60"/>
      <c r="DR399" s="60"/>
      <c r="DS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  <c r="BX400" s="60"/>
      <c r="BY400" s="60"/>
      <c r="BZ400" s="60"/>
      <c r="CA400" s="60"/>
      <c r="CB400" s="60"/>
      <c r="CC400" s="60"/>
      <c r="CD400" s="60"/>
      <c r="CE400" s="60"/>
      <c r="CF400" s="60"/>
      <c r="CG400" s="60"/>
      <c r="CH400" s="60"/>
      <c r="CI400" s="60"/>
      <c r="CJ400" s="60"/>
      <c r="CK400" s="60"/>
      <c r="CL400" s="60"/>
      <c r="CM400" s="60"/>
      <c r="CN400" s="60"/>
      <c r="CO400" s="60"/>
      <c r="CP400" s="60"/>
      <c r="CQ400" s="60"/>
      <c r="CR400" s="60"/>
      <c r="CS400" s="60"/>
      <c r="CT400" s="60"/>
      <c r="CU400" s="60"/>
      <c r="CV400" s="60"/>
      <c r="CW400" s="60"/>
      <c r="CX400" s="60"/>
      <c r="CY400" s="60"/>
      <c r="CZ400" s="60"/>
      <c r="DA400" s="60"/>
      <c r="DB400" s="60"/>
      <c r="DC400" s="60"/>
      <c r="DD400" s="60"/>
      <c r="DE400" s="60"/>
      <c r="DF400" s="60"/>
      <c r="DG400" s="60"/>
      <c r="DH400" s="60"/>
      <c r="DI400" s="60"/>
      <c r="DJ400" s="60"/>
      <c r="DK400" s="60"/>
      <c r="DL400" s="60"/>
      <c r="DM400" s="60"/>
      <c r="DN400" s="60"/>
      <c r="DO400" s="60"/>
      <c r="DP400" s="60"/>
      <c r="DQ400" s="60"/>
      <c r="DR400" s="60"/>
      <c r="DS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  <c r="BY401" s="60"/>
      <c r="BZ401" s="60"/>
      <c r="CA401" s="60"/>
      <c r="CB401" s="60"/>
      <c r="CC401" s="60"/>
      <c r="CD401" s="60"/>
      <c r="CE401" s="60"/>
      <c r="CF401" s="60"/>
      <c r="CG401" s="60"/>
      <c r="CH401" s="60"/>
      <c r="CI401" s="60"/>
      <c r="CJ401" s="60"/>
      <c r="CK401" s="60"/>
      <c r="CL401" s="60"/>
      <c r="CM401" s="60"/>
      <c r="CN401" s="60"/>
      <c r="CO401" s="60"/>
      <c r="CP401" s="60"/>
      <c r="CQ401" s="60"/>
      <c r="CR401" s="60"/>
      <c r="CS401" s="60"/>
      <c r="CT401" s="60"/>
      <c r="CU401" s="60"/>
      <c r="CV401" s="60"/>
      <c r="CW401" s="60"/>
      <c r="CX401" s="60"/>
      <c r="CY401" s="60"/>
      <c r="CZ401" s="60"/>
      <c r="DA401" s="60"/>
      <c r="DB401" s="60"/>
      <c r="DC401" s="60"/>
      <c r="DD401" s="60"/>
      <c r="DE401" s="60"/>
      <c r="DF401" s="60"/>
      <c r="DG401" s="60"/>
      <c r="DH401" s="60"/>
      <c r="DI401" s="60"/>
      <c r="DJ401" s="60"/>
      <c r="DK401" s="60"/>
      <c r="DL401" s="60"/>
      <c r="DM401" s="60"/>
      <c r="DN401" s="60"/>
      <c r="DO401" s="60"/>
      <c r="DP401" s="60"/>
      <c r="DQ401" s="60"/>
      <c r="DR401" s="60"/>
      <c r="DS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  <c r="BY402" s="60"/>
      <c r="BZ402" s="60"/>
      <c r="CA402" s="60"/>
      <c r="CB402" s="60"/>
      <c r="CC402" s="60"/>
      <c r="CD402" s="60"/>
      <c r="CE402" s="60"/>
      <c r="CF402" s="60"/>
      <c r="CG402" s="60"/>
      <c r="CH402" s="60"/>
      <c r="CI402" s="60"/>
      <c r="CJ402" s="60"/>
      <c r="CK402" s="60"/>
      <c r="CL402" s="60"/>
      <c r="CM402" s="60"/>
      <c r="CN402" s="60"/>
      <c r="CO402" s="60"/>
      <c r="CP402" s="60"/>
      <c r="CQ402" s="60"/>
      <c r="CR402" s="60"/>
      <c r="CS402" s="60"/>
      <c r="CT402" s="60"/>
      <c r="CU402" s="60"/>
      <c r="CV402" s="60"/>
      <c r="CW402" s="60"/>
      <c r="CX402" s="60"/>
      <c r="CY402" s="60"/>
      <c r="CZ402" s="60"/>
      <c r="DA402" s="60"/>
      <c r="DB402" s="60"/>
      <c r="DC402" s="60"/>
      <c r="DD402" s="60"/>
      <c r="DE402" s="60"/>
      <c r="DF402" s="60"/>
      <c r="DG402" s="60"/>
      <c r="DH402" s="60"/>
      <c r="DI402" s="60"/>
      <c r="DJ402" s="60"/>
      <c r="DK402" s="60"/>
      <c r="DL402" s="60"/>
      <c r="DM402" s="60"/>
      <c r="DN402" s="60"/>
      <c r="DO402" s="60"/>
      <c r="DP402" s="60"/>
      <c r="DQ402" s="60"/>
      <c r="DR402" s="60"/>
      <c r="DS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0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0"/>
      <c r="DE403" s="60"/>
      <c r="DF403" s="60"/>
      <c r="DG403" s="60"/>
      <c r="DH403" s="60"/>
      <c r="DI403" s="60"/>
      <c r="DJ403" s="60"/>
      <c r="DK403" s="60"/>
      <c r="DL403" s="60"/>
      <c r="DM403" s="60"/>
      <c r="DN403" s="60"/>
      <c r="DO403" s="60"/>
      <c r="DP403" s="60"/>
      <c r="DQ403" s="60"/>
      <c r="DR403" s="60"/>
      <c r="DS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  <c r="BX404" s="60"/>
      <c r="BY404" s="60"/>
      <c r="BZ404" s="60"/>
      <c r="CA404" s="60"/>
      <c r="CB404" s="60"/>
      <c r="CC404" s="60"/>
      <c r="CD404" s="60"/>
      <c r="CE404" s="60"/>
      <c r="CF404" s="60"/>
      <c r="CG404" s="60"/>
      <c r="CH404" s="60"/>
      <c r="CI404" s="60"/>
      <c r="CJ404" s="60"/>
      <c r="CK404" s="60"/>
      <c r="CL404" s="60"/>
      <c r="CM404" s="60"/>
      <c r="CN404" s="60"/>
      <c r="CO404" s="60"/>
      <c r="CP404" s="60"/>
      <c r="CQ404" s="60"/>
      <c r="CR404" s="60"/>
      <c r="CS404" s="60"/>
      <c r="CT404" s="60"/>
      <c r="CU404" s="60"/>
      <c r="CV404" s="60"/>
      <c r="CW404" s="60"/>
      <c r="CX404" s="60"/>
      <c r="CY404" s="60"/>
      <c r="CZ404" s="60"/>
      <c r="DA404" s="60"/>
      <c r="DB404" s="60"/>
      <c r="DC404" s="60"/>
      <c r="DD404" s="60"/>
      <c r="DE404" s="60"/>
      <c r="DF404" s="60"/>
      <c r="DG404" s="60"/>
      <c r="DH404" s="60"/>
      <c r="DI404" s="60"/>
      <c r="DJ404" s="60"/>
      <c r="DK404" s="60"/>
      <c r="DL404" s="60"/>
      <c r="DM404" s="60"/>
      <c r="DN404" s="60"/>
      <c r="DO404" s="60"/>
      <c r="DP404" s="60"/>
      <c r="DQ404" s="60"/>
      <c r="DR404" s="60"/>
      <c r="DS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  <c r="BY405" s="60"/>
      <c r="BZ405" s="60"/>
      <c r="CA405" s="60"/>
      <c r="CB405" s="60"/>
      <c r="CC405" s="60"/>
      <c r="CD405" s="60"/>
      <c r="CE405" s="60"/>
      <c r="CF405" s="60"/>
      <c r="CG405" s="60"/>
      <c r="CH405" s="60"/>
      <c r="CI405" s="60"/>
      <c r="CJ405" s="60"/>
      <c r="CK405" s="60"/>
      <c r="CL405" s="60"/>
      <c r="CM405" s="60"/>
      <c r="CN405" s="60"/>
      <c r="CO405" s="60"/>
      <c r="CP405" s="60"/>
      <c r="CQ405" s="60"/>
      <c r="CR405" s="60"/>
      <c r="CS405" s="60"/>
      <c r="CT405" s="60"/>
      <c r="CU405" s="60"/>
      <c r="CV405" s="60"/>
      <c r="CW405" s="60"/>
      <c r="CX405" s="60"/>
      <c r="CY405" s="60"/>
      <c r="CZ405" s="60"/>
      <c r="DA405" s="60"/>
      <c r="DB405" s="60"/>
      <c r="DC405" s="60"/>
      <c r="DD405" s="60"/>
      <c r="DE405" s="60"/>
      <c r="DF405" s="60"/>
      <c r="DG405" s="60"/>
      <c r="DH405" s="60"/>
      <c r="DI405" s="60"/>
      <c r="DJ405" s="60"/>
      <c r="DK405" s="60"/>
      <c r="DL405" s="60"/>
      <c r="DM405" s="60"/>
      <c r="DN405" s="60"/>
      <c r="DO405" s="60"/>
      <c r="DP405" s="60"/>
      <c r="DQ405" s="60"/>
      <c r="DR405" s="60"/>
      <c r="DS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  <c r="BX406" s="60"/>
      <c r="BY406" s="60"/>
      <c r="BZ406" s="60"/>
      <c r="CA406" s="60"/>
      <c r="CB406" s="60"/>
      <c r="CC406" s="60"/>
      <c r="CD406" s="60"/>
      <c r="CE406" s="60"/>
      <c r="CF406" s="60"/>
      <c r="CG406" s="60"/>
      <c r="CH406" s="60"/>
      <c r="CI406" s="60"/>
      <c r="CJ406" s="60"/>
      <c r="CK406" s="60"/>
      <c r="CL406" s="60"/>
      <c r="CM406" s="60"/>
      <c r="CN406" s="60"/>
      <c r="CO406" s="60"/>
      <c r="CP406" s="60"/>
      <c r="CQ406" s="60"/>
      <c r="CR406" s="60"/>
      <c r="CS406" s="60"/>
      <c r="CT406" s="60"/>
      <c r="CU406" s="60"/>
      <c r="CV406" s="60"/>
      <c r="CW406" s="60"/>
      <c r="CX406" s="60"/>
      <c r="CY406" s="60"/>
      <c r="CZ406" s="60"/>
      <c r="DA406" s="60"/>
      <c r="DB406" s="60"/>
      <c r="DC406" s="60"/>
      <c r="DD406" s="60"/>
      <c r="DE406" s="60"/>
      <c r="DF406" s="60"/>
      <c r="DG406" s="60"/>
      <c r="DH406" s="60"/>
      <c r="DI406" s="60"/>
      <c r="DJ406" s="60"/>
      <c r="DK406" s="60"/>
      <c r="DL406" s="60"/>
      <c r="DM406" s="60"/>
      <c r="DN406" s="60"/>
      <c r="DO406" s="60"/>
      <c r="DP406" s="60"/>
      <c r="DQ406" s="60"/>
      <c r="DR406" s="60"/>
      <c r="DS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  <c r="BY407" s="60"/>
      <c r="BZ407" s="60"/>
      <c r="CA407" s="60"/>
      <c r="CB407" s="60"/>
      <c r="CC407" s="60"/>
      <c r="CD407" s="60"/>
      <c r="CE407" s="60"/>
      <c r="CF407" s="60"/>
      <c r="CG407" s="60"/>
      <c r="CH407" s="60"/>
      <c r="CI407" s="60"/>
      <c r="CJ407" s="60"/>
      <c r="CK407" s="60"/>
      <c r="CL407" s="60"/>
      <c r="CM407" s="60"/>
      <c r="CN407" s="60"/>
      <c r="CO407" s="60"/>
      <c r="CP407" s="60"/>
      <c r="CQ407" s="60"/>
      <c r="CR407" s="60"/>
      <c r="CS407" s="60"/>
      <c r="CT407" s="60"/>
      <c r="CU407" s="60"/>
      <c r="CV407" s="60"/>
      <c r="CW407" s="60"/>
      <c r="CX407" s="60"/>
      <c r="CY407" s="60"/>
      <c r="CZ407" s="60"/>
      <c r="DA407" s="60"/>
      <c r="DB407" s="60"/>
      <c r="DC407" s="60"/>
      <c r="DD407" s="60"/>
      <c r="DE407" s="60"/>
      <c r="DF407" s="60"/>
      <c r="DG407" s="60"/>
      <c r="DH407" s="60"/>
      <c r="DI407" s="60"/>
      <c r="DJ407" s="60"/>
      <c r="DK407" s="60"/>
      <c r="DL407" s="60"/>
      <c r="DM407" s="60"/>
      <c r="DN407" s="60"/>
      <c r="DO407" s="60"/>
      <c r="DP407" s="60"/>
      <c r="DQ407" s="60"/>
      <c r="DR407" s="60"/>
      <c r="DS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  <c r="BX408" s="60"/>
      <c r="BY408" s="60"/>
      <c r="BZ408" s="60"/>
      <c r="CA408" s="60"/>
      <c r="CB408" s="60"/>
      <c r="CC408" s="60"/>
      <c r="CD408" s="60"/>
      <c r="CE408" s="60"/>
      <c r="CF408" s="60"/>
      <c r="CG408" s="60"/>
      <c r="CH408" s="60"/>
      <c r="CI408" s="60"/>
      <c r="CJ408" s="60"/>
      <c r="CK408" s="60"/>
      <c r="CL408" s="60"/>
      <c r="CM408" s="60"/>
      <c r="CN408" s="60"/>
      <c r="CO408" s="60"/>
      <c r="CP408" s="60"/>
      <c r="CQ408" s="60"/>
      <c r="CR408" s="60"/>
      <c r="CS408" s="60"/>
      <c r="CT408" s="60"/>
      <c r="CU408" s="60"/>
      <c r="CV408" s="60"/>
      <c r="CW408" s="60"/>
      <c r="CX408" s="60"/>
      <c r="CY408" s="60"/>
      <c r="CZ408" s="60"/>
      <c r="DA408" s="60"/>
      <c r="DB408" s="60"/>
      <c r="DC408" s="60"/>
      <c r="DD408" s="60"/>
      <c r="DE408" s="60"/>
      <c r="DF408" s="60"/>
      <c r="DG408" s="60"/>
      <c r="DH408" s="60"/>
      <c r="DI408" s="60"/>
      <c r="DJ408" s="60"/>
      <c r="DK408" s="60"/>
      <c r="DL408" s="60"/>
      <c r="DM408" s="60"/>
      <c r="DN408" s="60"/>
      <c r="DO408" s="60"/>
      <c r="DP408" s="60"/>
      <c r="DQ408" s="60"/>
      <c r="DR408" s="60"/>
      <c r="DS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  <c r="BY409" s="60"/>
      <c r="BZ409" s="60"/>
      <c r="CA409" s="60"/>
      <c r="CB409" s="60"/>
      <c r="CC409" s="60"/>
      <c r="CD409" s="60"/>
      <c r="CE409" s="60"/>
      <c r="CF409" s="60"/>
      <c r="CG409" s="60"/>
      <c r="CH409" s="60"/>
      <c r="CI409" s="60"/>
      <c r="CJ409" s="60"/>
      <c r="CK409" s="60"/>
      <c r="CL409" s="60"/>
      <c r="CM409" s="60"/>
      <c r="CN409" s="60"/>
      <c r="CO409" s="60"/>
      <c r="CP409" s="60"/>
      <c r="CQ409" s="60"/>
      <c r="CR409" s="60"/>
      <c r="CS409" s="60"/>
      <c r="CT409" s="60"/>
      <c r="CU409" s="60"/>
      <c r="CV409" s="60"/>
      <c r="CW409" s="60"/>
      <c r="CX409" s="60"/>
      <c r="CY409" s="60"/>
      <c r="CZ409" s="60"/>
      <c r="DA409" s="60"/>
      <c r="DB409" s="60"/>
      <c r="DC409" s="60"/>
      <c r="DD409" s="60"/>
      <c r="DE409" s="60"/>
      <c r="DF409" s="60"/>
      <c r="DG409" s="60"/>
      <c r="DH409" s="60"/>
      <c r="DI409" s="60"/>
      <c r="DJ409" s="60"/>
      <c r="DK409" s="60"/>
      <c r="DL409" s="60"/>
      <c r="DM409" s="60"/>
      <c r="DN409" s="60"/>
      <c r="DO409" s="60"/>
      <c r="DP409" s="60"/>
      <c r="DQ409" s="60"/>
      <c r="DR409" s="60"/>
      <c r="DS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  <c r="BX410" s="60"/>
      <c r="BY410" s="60"/>
      <c r="BZ410" s="60"/>
      <c r="CA410" s="60"/>
      <c r="CB410" s="60"/>
      <c r="CC410" s="60"/>
      <c r="CD410" s="60"/>
      <c r="CE410" s="60"/>
      <c r="CF410" s="60"/>
      <c r="CG410" s="60"/>
      <c r="CH410" s="60"/>
      <c r="CI410" s="60"/>
      <c r="CJ410" s="60"/>
      <c r="CK410" s="60"/>
      <c r="CL410" s="60"/>
      <c r="CM410" s="60"/>
      <c r="CN410" s="60"/>
      <c r="CO410" s="60"/>
      <c r="CP410" s="60"/>
      <c r="CQ410" s="60"/>
      <c r="CR410" s="60"/>
      <c r="CS410" s="60"/>
      <c r="CT410" s="60"/>
      <c r="CU410" s="60"/>
      <c r="CV410" s="60"/>
      <c r="CW410" s="60"/>
      <c r="CX410" s="60"/>
      <c r="CY410" s="60"/>
      <c r="CZ410" s="60"/>
      <c r="DA410" s="60"/>
      <c r="DB410" s="60"/>
      <c r="DC410" s="60"/>
      <c r="DD410" s="60"/>
      <c r="DE410" s="60"/>
      <c r="DF410" s="60"/>
      <c r="DG410" s="60"/>
      <c r="DH410" s="60"/>
      <c r="DI410" s="60"/>
      <c r="DJ410" s="60"/>
      <c r="DK410" s="60"/>
      <c r="DL410" s="60"/>
      <c r="DM410" s="60"/>
      <c r="DN410" s="60"/>
      <c r="DO410" s="60"/>
      <c r="DP410" s="60"/>
      <c r="DQ410" s="60"/>
      <c r="DR410" s="60"/>
      <c r="DS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  <c r="BY411" s="60"/>
      <c r="BZ411" s="60"/>
      <c r="CA411" s="60"/>
      <c r="CB411" s="60"/>
      <c r="CC411" s="60"/>
      <c r="CD411" s="60"/>
      <c r="CE411" s="60"/>
      <c r="CF411" s="60"/>
      <c r="CG411" s="60"/>
      <c r="CH411" s="60"/>
      <c r="CI411" s="60"/>
      <c r="CJ411" s="60"/>
      <c r="CK411" s="60"/>
      <c r="CL411" s="60"/>
      <c r="CM411" s="60"/>
      <c r="CN411" s="60"/>
      <c r="CO411" s="60"/>
      <c r="CP411" s="60"/>
      <c r="CQ411" s="60"/>
      <c r="CR411" s="60"/>
      <c r="CS411" s="60"/>
      <c r="CT411" s="60"/>
      <c r="CU411" s="60"/>
      <c r="CV411" s="60"/>
      <c r="CW411" s="60"/>
      <c r="CX411" s="60"/>
      <c r="CY411" s="60"/>
      <c r="CZ411" s="60"/>
      <c r="DA411" s="60"/>
      <c r="DB411" s="60"/>
      <c r="DC411" s="60"/>
      <c r="DD411" s="60"/>
      <c r="DE411" s="60"/>
      <c r="DF411" s="60"/>
      <c r="DG411" s="60"/>
      <c r="DH411" s="60"/>
      <c r="DI411" s="60"/>
      <c r="DJ411" s="60"/>
      <c r="DK411" s="60"/>
      <c r="DL411" s="60"/>
      <c r="DM411" s="60"/>
      <c r="DN411" s="60"/>
      <c r="DO411" s="60"/>
      <c r="DP411" s="60"/>
      <c r="DQ411" s="60"/>
      <c r="DR411" s="60"/>
      <c r="DS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  <c r="BX412" s="60"/>
      <c r="BY412" s="60"/>
      <c r="BZ412" s="60"/>
      <c r="CA412" s="60"/>
      <c r="CB412" s="60"/>
      <c r="CC412" s="60"/>
      <c r="CD412" s="60"/>
      <c r="CE412" s="60"/>
      <c r="CF412" s="60"/>
      <c r="CG412" s="60"/>
      <c r="CH412" s="60"/>
      <c r="CI412" s="60"/>
      <c r="CJ412" s="60"/>
      <c r="CK412" s="60"/>
      <c r="CL412" s="60"/>
      <c r="CM412" s="60"/>
      <c r="CN412" s="60"/>
      <c r="CO412" s="60"/>
      <c r="CP412" s="60"/>
      <c r="CQ412" s="60"/>
      <c r="CR412" s="60"/>
      <c r="CS412" s="60"/>
      <c r="CT412" s="60"/>
      <c r="CU412" s="60"/>
      <c r="CV412" s="60"/>
      <c r="CW412" s="60"/>
      <c r="CX412" s="60"/>
      <c r="CY412" s="60"/>
      <c r="CZ412" s="60"/>
      <c r="DA412" s="60"/>
      <c r="DB412" s="60"/>
      <c r="DC412" s="60"/>
      <c r="DD412" s="60"/>
      <c r="DE412" s="60"/>
      <c r="DF412" s="60"/>
      <c r="DG412" s="60"/>
      <c r="DH412" s="60"/>
      <c r="DI412" s="60"/>
      <c r="DJ412" s="60"/>
      <c r="DK412" s="60"/>
      <c r="DL412" s="60"/>
      <c r="DM412" s="60"/>
      <c r="DN412" s="60"/>
      <c r="DO412" s="60"/>
      <c r="DP412" s="60"/>
      <c r="DQ412" s="60"/>
      <c r="DR412" s="60"/>
      <c r="DS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  <c r="BY413" s="60"/>
      <c r="BZ413" s="60"/>
      <c r="CA413" s="60"/>
      <c r="CB413" s="60"/>
      <c r="CC413" s="60"/>
      <c r="CD413" s="60"/>
      <c r="CE413" s="60"/>
      <c r="CF413" s="60"/>
      <c r="CG413" s="60"/>
      <c r="CH413" s="60"/>
      <c r="CI413" s="60"/>
      <c r="CJ413" s="60"/>
      <c r="CK413" s="60"/>
      <c r="CL413" s="60"/>
      <c r="CM413" s="60"/>
      <c r="CN413" s="60"/>
      <c r="CO413" s="60"/>
      <c r="CP413" s="60"/>
      <c r="CQ413" s="60"/>
      <c r="CR413" s="60"/>
      <c r="CS413" s="60"/>
      <c r="CT413" s="60"/>
      <c r="CU413" s="60"/>
      <c r="CV413" s="60"/>
      <c r="CW413" s="60"/>
      <c r="CX413" s="60"/>
      <c r="CY413" s="60"/>
      <c r="CZ413" s="60"/>
      <c r="DA413" s="60"/>
      <c r="DB413" s="60"/>
      <c r="DC413" s="60"/>
      <c r="DD413" s="60"/>
      <c r="DE413" s="60"/>
      <c r="DF413" s="60"/>
      <c r="DG413" s="60"/>
      <c r="DH413" s="60"/>
      <c r="DI413" s="60"/>
      <c r="DJ413" s="60"/>
      <c r="DK413" s="60"/>
      <c r="DL413" s="60"/>
      <c r="DM413" s="60"/>
      <c r="DN413" s="60"/>
      <c r="DO413" s="60"/>
      <c r="DP413" s="60"/>
      <c r="DQ413" s="60"/>
      <c r="DR413" s="60"/>
      <c r="DS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0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60"/>
      <c r="CV414" s="60"/>
      <c r="CW414" s="60"/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0"/>
      <c r="DI414" s="60"/>
      <c r="DJ414" s="60"/>
      <c r="DK414" s="60"/>
      <c r="DL414" s="60"/>
      <c r="DM414" s="60"/>
      <c r="DN414" s="60"/>
      <c r="DO414" s="60"/>
      <c r="DP414" s="60"/>
      <c r="DQ414" s="60"/>
      <c r="DR414" s="60"/>
      <c r="DS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  <c r="BY415" s="60"/>
      <c r="BZ415" s="60"/>
      <c r="CA415" s="60"/>
      <c r="CB415" s="60"/>
      <c r="CC415" s="60"/>
      <c r="CD415" s="60"/>
      <c r="CE415" s="60"/>
      <c r="CF415" s="60"/>
      <c r="CG415" s="60"/>
      <c r="CH415" s="60"/>
      <c r="CI415" s="60"/>
      <c r="CJ415" s="60"/>
      <c r="CK415" s="60"/>
      <c r="CL415" s="60"/>
      <c r="CM415" s="60"/>
      <c r="CN415" s="60"/>
      <c r="CO415" s="60"/>
      <c r="CP415" s="60"/>
      <c r="CQ415" s="60"/>
      <c r="CR415" s="60"/>
      <c r="CS415" s="60"/>
      <c r="CT415" s="60"/>
      <c r="CU415" s="60"/>
      <c r="CV415" s="60"/>
      <c r="CW415" s="60"/>
      <c r="CX415" s="60"/>
      <c r="CY415" s="60"/>
      <c r="CZ415" s="60"/>
      <c r="DA415" s="60"/>
      <c r="DB415" s="60"/>
      <c r="DC415" s="60"/>
      <c r="DD415" s="60"/>
      <c r="DE415" s="60"/>
      <c r="DF415" s="60"/>
      <c r="DG415" s="60"/>
      <c r="DH415" s="60"/>
      <c r="DI415" s="60"/>
      <c r="DJ415" s="60"/>
      <c r="DK415" s="60"/>
      <c r="DL415" s="60"/>
      <c r="DM415" s="60"/>
      <c r="DN415" s="60"/>
      <c r="DO415" s="60"/>
      <c r="DP415" s="60"/>
      <c r="DQ415" s="60"/>
      <c r="DR415" s="60"/>
      <c r="DS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  <c r="BX416" s="60"/>
      <c r="BY416" s="60"/>
      <c r="BZ416" s="60"/>
      <c r="CA416" s="60"/>
      <c r="CB416" s="60"/>
      <c r="CC416" s="60"/>
      <c r="CD416" s="60"/>
      <c r="CE416" s="60"/>
      <c r="CF416" s="60"/>
      <c r="CG416" s="60"/>
      <c r="CH416" s="60"/>
      <c r="CI416" s="60"/>
      <c r="CJ416" s="60"/>
      <c r="CK416" s="60"/>
      <c r="CL416" s="60"/>
      <c r="CM416" s="60"/>
      <c r="CN416" s="60"/>
      <c r="CO416" s="60"/>
      <c r="CP416" s="60"/>
      <c r="CQ416" s="60"/>
      <c r="CR416" s="60"/>
      <c r="CS416" s="60"/>
      <c r="CT416" s="60"/>
      <c r="CU416" s="60"/>
      <c r="CV416" s="60"/>
      <c r="CW416" s="60"/>
      <c r="CX416" s="60"/>
      <c r="CY416" s="60"/>
      <c r="CZ416" s="60"/>
      <c r="DA416" s="60"/>
      <c r="DB416" s="60"/>
      <c r="DC416" s="60"/>
      <c r="DD416" s="60"/>
      <c r="DE416" s="60"/>
      <c r="DF416" s="60"/>
      <c r="DG416" s="60"/>
      <c r="DH416" s="60"/>
      <c r="DI416" s="60"/>
      <c r="DJ416" s="60"/>
      <c r="DK416" s="60"/>
      <c r="DL416" s="60"/>
      <c r="DM416" s="60"/>
      <c r="DN416" s="60"/>
      <c r="DO416" s="60"/>
      <c r="DP416" s="60"/>
      <c r="DQ416" s="60"/>
      <c r="DR416" s="60"/>
      <c r="DS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  <c r="BY417" s="60"/>
      <c r="BZ417" s="60"/>
      <c r="CA417" s="60"/>
      <c r="CB417" s="60"/>
      <c r="CC417" s="60"/>
      <c r="CD417" s="60"/>
      <c r="CE417" s="60"/>
      <c r="CF417" s="60"/>
      <c r="CG417" s="60"/>
      <c r="CH417" s="60"/>
      <c r="CI417" s="60"/>
      <c r="CJ417" s="60"/>
      <c r="CK417" s="60"/>
      <c r="CL417" s="60"/>
      <c r="CM417" s="60"/>
      <c r="CN417" s="60"/>
      <c r="CO417" s="60"/>
      <c r="CP417" s="60"/>
      <c r="CQ417" s="60"/>
      <c r="CR417" s="60"/>
      <c r="CS417" s="60"/>
      <c r="CT417" s="60"/>
      <c r="CU417" s="60"/>
      <c r="CV417" s="60"/>
      <c r="CW417" s="60"/>
      <c r="CX417" s="60"/>
      <c r="CY417" s="60"/>
      <c r="CZ417" s="60"/>
      <c r="DA417" s="60"/>
      <c r="DB417" s="60"/>
      <c r="DC417" s="60"/>
      <c r="DD417" s="60"/>
      <c r="DE417" s="60"/>
      <c r="DF417" s="60"/>
      <c r="DG417" s="60"/>
      <c r="DH417" s="60"/>
      <c r="DI417" s="60"/>
      <c r="DJ417" s="60"/>
      <c r="DK417" s="60"/>
      <c r="DL417" s="60"/>
      <c r="DM417" s="60"/>
      <c r="DN417" s="60"/>
      <c r="DO417" s="60"/>
      <c r="DP417" s="60"/>
      <c r="DQ417" s="60"/>
      <c r="DR417" s="60"/>
      <c r="DS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  <c r="BX418" s="60"/>
      <c r="BY418" s="60"/>
      <c r="BZ418" s="60"/>
      <c r="CA418" s="60"/>
      <c r="CB418" s="60"/>
      <c r="CC418" s="60"/>
      <c r="CD418" s="60"/>
      <c r="CE418" s="60"/>
      <c r="CF418" s="60"/>
      <c r="CG418" s="60"/>
      <c r="CH418" s="60"/>
      <c r="CI418" s="60"/>
      <c r="CJ418" s="60"/>
      <c r="CK418" s="60"/>
      <c r="CL418" s="60"/>
      <c r="CM418" s="60"/>
      <c r="CN418" s="60"/>
      <c r="CO418" s="60"/>
      <c r="CP418" s="60"/>
      <c r="CQ418" s="60"/>
      <c r="CR418" s="60"/>
      <c r="CS418" s="60"/>
      <c r="CT418" s="60"/>
      <c r="CU418" s="60"/>
      <c r="CV418" s="60"/>
      <c r="CW418" s="60"/>
      <c r="CX418" s="60"/>
      <c r="CY418" s="60"/>
      <c r="CZ418" s="60"/>
      <c r="DA418" s="60"/>
      <c r="DB418" s="60"/>
      <c r="DC418" s="60"/>
      <c r="DD418" s="60"/>
      <c r="DE418" s="60"/>
      <c r="DF418" s="60"/>
      <c r="DG418" s="60"/>
      <c r="DH418" s="60"/>
      <c r="DI418" s="60"/>
      <c r="DJ418" s="60"/>
      <c r="DK418" s="60"/>
      <c r="DL418" s="60"/>
      <c r="DM418" s="60"/>
      <c r="DN418" s="60"/>
      <c r="DO418" s="60"/>
      <c r="DP418" s="60"/>
      <c r="DQ418" s="60"/>
      <c r="DR418" s="60"/>
      <c r="DS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  <c r="BY419" s="60"/>
      <c r="BZ419" s="60"/>
      <c r="CA419" s="60"/>
      <c r="CB419" s="60"/>
      <c r="CC419" s="60"/>
      <c r="CD419" s="60"/>
      <c r="CE419" s="60"/>
      <c r="CF419" s="60"/>
      <c r="CG419" s="60"/>
      <c r="CH419" s="60"/>
      <c r="CI419" s="60"/>
      <c r="CJ419" s="60"/>
      <c r="CK419" s="60"/>
      <c r="CL419" s="60"/>
      <c r="CM419" s="60"/>
      <c r="CN419" s="60"/>
      <c r="CO419" s="60"/>
      <c r="CP419" s="60"/>
      <c r="CQ419" s="60"/>
      <c r="CR419" s="60"/>
      <c r="CS419" s="60"/>
      <c r="CT419" s="60"/>
      <c r="CU419" s="60"/>
      <c r="CV419" s="60"/>
      <c r="CW419" s="60"/>
      <c r="CX419" s="60"/>
      <c r="CY419" s="60"/>
      <c r="CZ419" s="60"/>
      <c r="DA419" s="60"/>
      <c r="DB419" s="60"/>
      <c r="DC419" s="60"/>
      <c r="DD419" s="60"/>
      <c r="DE419" s="60"/>
      <c r="DF419" s="60"/>
      <c r="DG419" s="60"/>
      <c r="DH419" s="60"/>
      <c r="DI419" s="60"/>
      <c r="DJ419" s="60"/>
      <c r="DK419" s="60"/>
      <c r="DL419" s="60"/>
      <c r="DM419" s="60"/>
      <c r="DN419" s="60"/>
      <c r="DO419" s="60"/>
      <c r="DP419" s="60"/>
      <c r="DQ419" s="60"/>
      <c r="DR419" s="60"/>
      <c r="DS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  <c r="BX420" s="60"/>
      <c r="BY420" s="60"/>
      <c r="BZ420" s="60"/>
      <c r="CA420" s="60"/>
      <c r="CB420" s="60"/>
      <c r="CC420" s="60"/>
      <c r="CD420" s="60"/>
      <c r="CE420" s="60"/>
      <c r="CF420" s="60"/>
      <c r="CG420" s="60"/>
      <c r="CH420" s="60"/>
      <c r="CI420" s="60"/>
      <c r="CJ420" s="60"/>
      <c r="CK420" s="60"/>
      <c r="CL420" s="60"/>
      <c r="CM420" s="60"/>
      <c r="CN420" s="60"/>
      <c r="CO420" s="60"/>
      <c r="CP420" s="60"/>
      <c r="CQ420" s="60"/>
      <c r="CR420" s="60"/>
      <c r="CS420" s="60"/>
      <c r="CT420" s="60"/>
      <c r="CU420" s="60"/>
      <c r="CV420" s="60"/>
      <c r="CW420" s="60"/>
      <c r="CX420" s="60"/>
      <c r="CY420" s="60"/>
      <c r="CZ420" s="60"/>
      <c r="DA420" s="60"/>
      <c r="DB420" s="60"/>
      <c r="DC420" s="60"/>
      <c r="DD420" s="60"/>
      <c r="DE420" s="60"/>
      <c r="DF420" s="60"/>
      <c r="DG420" s="60"/>
      <c r="DH420" s="60"/>
      <c r="DI420" s="60"/>
      <c r="DJ420" s="60"/>
      <c r="DK420" s="60"/>
      <c r="DL420" s="60"/>
      <c r="DM420" s="60"/>
      <c r="DN420" s="60"/>
      <c r="DO420" s="60"/>
      <c r="DP420" s="60"/>
      <c r="DQ420" s="60"/>
      <c r="DR420" s="60"/>
      <c r="DS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  <c r="BY421" s="60"/>
      <c r="BZ421" s="60"/>
      <c r="CA421" s="60"/>
      <c r="CB421" s="60"/>
      <c r="CC421" s="60"/>
      <c r="CD421" s="60"/>
      <c r="CE421" s="60"/>
      <c r="CF421" s="60"/>
      <c r="CG421" s="60"/>
      <c r="CH421" s="60"/>
      <c r="CI421" s="60"/>
      <c r="CJ421" s="60"/>
      <c r="CK421" s="60"/>
      <c r="CL421" s="60"/>
      <c r="CM421" s="60"/>
      <c r="CN421" s="60"/>
      <c r="CO421" s="60"/>
      <c r="CP421" s="60"/>
      <c r="CQ421" s="60"/>
      <c r="CR421" s="60"/>
      <c r="CS421" s="60"/>
      <c r="CT421" s="60"/>
      <c r="CU421" s="60"/>
      <c r="CV421" s="60"/>
      <c r="CW421" s="60"/>
      <c r="CX421" s="60"/>
      <c r="CY421" s="60"/>
      <c r="CZ421" s="60"/>
      <c r="DA421" s="60"/>
      <c r="DB421" s="60"/>
      <c r="DC421" s="60"/>
      <c r="DD421" s="60"/>
      <c r="DE421" s="60"/>
      <c r="DF421" s="60"/>
      <c r="DG421" s="60"/>
      <c r="DH421" s="60"/>
      <c r="DI421" s="60"/>
      <c r="DJ421" s="60"/>
      <c r="DK421" s="60"/>
      <c r="DL421" s="60"/>
      <c r="DM421" s="60"/>
      <c r="DN421" s="60"/>
      <c r="DO421" s="60"/>
      <c r="DP421" s="60"/>
      <c r="DQ421" s="60"/>
      <c r="DR421" s="60"/>
      <c r="DS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  <c r="BY422" s="60"/>
      <c r="BZ422" s="60"/>
      <c r="CA422" s="60"/>
      <c r="CB422" s="60"/>
      <c r="CC422" s="60"/>
      <c r="CD422" s="60"/>
      <c r="CE422" s="60"/>
      <c r="CF422" s="60"/>
      <c r="CG422" s="60"/>
      <c r="CH422" s="60"/>
      <c r="CI422" s="60"/>
      <c r="CJ422" s="60"/>
      <c r="CK422" s="60"/>
      <c r="CL422" s="60"/>
      <c r="CM422" s="60"/>
      <c r="CN422" s="60"/>
      <c r="CO422" s="60"/>
      <c r="CP422" s="60"/>
      <c r="CQ422" s="60"/>
      <c r="CR422" s="60"/>
      <c r="CS422" s="60"/>
      <c r="CT422" s="60"/>
      <c r="CU422" s="60"/>
      <c r="CV422" s="60"/>
      <c r="CW422" s="60"/>
      <c r="CX422" s="60"/>
      <c r="CY422" s="60"/>
      <c r="CZ422" s="60"/>
      <c r="DA422" s="60"/>
      <c r="DB422" s="60"/>
      <c r="DC422" s="60"/>
      <c r="DD422" s="60"/>
      <c r="DE422" s="60"/>
      <c r="DF422" s="60"/>
      <c r="DG422" s="60"/>
      <c r="DH422" s="60"/>
      <c r="DI422" s="60"/>
      <c r="DJ422" s="60"/>
      <c r="DK422" s="60"/>
      <c r="DL422" s="60"/>
      <c r="DM422" s="60"/>
      <c r="DN422" s="60"/>
      <c r="DO422" s="60"/>
      <c r="DP422" s="60"/>
      <c r="DQ422" s="60"/>
      <c r="DR422" s="60"/>
      <c r="DS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  <c r="BY423" s="60"/>
      <c r="BZ423" s="60"/>
      <c r="CA423" s="60"/>
      <c r="CB423" s="60"/>
      <c r="CC423" s="60"/>
      <c r="CD423" s="60"/>
      <c r="CE423" s="60"/>
      <c r="CF423" s="60"/>
      <c r="CG423" s="60"/>
      <c r="CH423" s="60"/>
      <c r="CI423" s="60"/>
      <c r="CJ423" s="60"/>
      <c r="CK423" s="60"/>
      <c r="CL423" s="60"/>
      <c r="CM423" s="60"/>
      <c r="CN423" s="60"/>
      <c r="CO423" s="60"/>
      <c r="CP423" s="60"/>
      <c r="CQ423" s="60"/>
      <c r="CR423" s="60"/>
      <c r="CS423" s="60"/>
      <c r="CT423" s="60"/>
      <c r="CU423" s="60"/>
      <c r="CV423" s="60"/>
      <c r="CW423" s="60"/>
      <c r="CX423" s="60"/>
      <c r="CY423" s="60"/>
      <c r="CZ423" s="60"/>
      <c r="DA423" s="60"/>
      <c r="DB423" s="60"/>
      <c r="DC423" s="60"/>
      <c r="DD423" s="60"/>
      <c r="DE423" s="60"/>
      <c r="DF423" s="60"/>
      <c r="DG423" s="60"/>
      <c r="DH423" s="60"/>
      <c r="DI423" s="60"/>
      <c r="DJ423" s="60"/>
      <c r="DK423" s="60"/>
      <c r="DL423" s="60"/>
      <c r="DM423" s="60"/>
      <c r="DN423" s="60"/>
      <c r="DO423" s="60"/>
      <c r="DP423" s="60"/>
      <c r="DQ423" s="60"/>
      <c r="DR423" s="60"/>
      <c r="DS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  <c r="BX424" s="60"/>
      <c r="BY424" s="60"/>
      <c r="BZ424" s="60"/>
      <c r="CA424" s="60"/>
      <c r="CB424" s="60"/>
      <c r="CC424" s="60"/>
      <c r="CD424" s="60"/>
      <c r="CE424" s="60"/>
      <c r="CF424" s="60"/>
      <c r="CG424" s="60"/>
      <c r="CH424" s="60"/>
      <c r="CI424" s="60"/>
      <c r="CJ424" s="60"/>
      <c r="CK424" s="60"/>
      <c r="CL424" s="60"/>
      <c r="CM424" s="60"/>
      <c r="CN424" s="60"/>
      <c r="CO424" s="60"/>
      <c r="CP424" s="60"/>
      <c r="CQ424" s="60"/>
      <c r="CR424" s="60"/>
      <c r="CS424" s="60"/>
      <c r="CT424" s="60"/>
      <c r="CU424" s="60"/>
      <c r="CV424" s="60"/>
      <c r="CW424" s="60"/>
      <c r="CX424" s="60"/>
      <c r="CY424" s="60"/>
      <c r="CZ424" s="60"/>
      <c r="DA424" s="60"/>
      <c r="DB424" s="60"/>
      <c r="DC424" s="60"/>
      <c r="DD424" s="60"/>
      <c r="DE424" s="60"/>
      <c r="DF424" s="60"/>
      <c r="DG424" s="60"/>
      <c r="DH424" s="60"/>
      <c r="DI424" s="60"/>
      <c r="DJ424" s="60"/>
      <c r="DK424" s="60"/>
      <c r="DL424" s="60"/>
      <c r="DM424" s="60"/>
      <c r="DN424" s="60"/>
      <c r="DO424" s="60"/>
      <c r="DP424" s="60"/>
      <c r="DQ424" s="60"/>
      <c r="DR424" s="60"/>
      <c r="DS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  <c r="BY425" s="60"/>
      <c r="BZ425" s="60"/>
      <c r="CA425" s="60"/>
      <c r="CB425" s="60"/>
      <c r="CC425" s="60"/>
      <c r="CD425" s="60"/>
      <c r="CE425" s="60"/>
      <c r="CF425" s="60"/>
      <c r="CG425" s="60"/>
      <c r="CH425" s="60"/>
      <c r="CI425" s="60"/>
      <c r="CJ425" s="60"/>
      <c r="CK425" s="60"/>
      <c r="CL425" s="60"/>
      <c r="CM425" s="60"/>
      <c r="CN425" s="60"/>
      <c r="CO425" s="60"/>
      <c r="CP425" s="60"/>
      <c r="CQ425" s="60"/>
      <c r="CR425" s="60"/>
      <c r="CS425" s="60"/>
      <c r="CT425" s="60"/>
      <c r="CU425" s="60"/>
      <c r="CV425" s="60"/>
      <c r="CW425" s="60"/>
      <c r="CX425" s="60"/>
      <c r="CY425" s="60"/>
      <c r="CZ425" s="60"/>
      <c r="DA425" s="60"/>
      <c r="DB425" s="60"/>
      <c r="DC425" s="60"/>
      <c r="DD425" s="60"/>
      <c r="DE425" s="60"/>
      <c r="DF425" s="60"/>
      <c r="DG425" s="60"/>
      <c r="DH425" s="60"/>
      <c r="DI425" s="60"/>
      <c r="DJ425" s="60"/>
      <c r="DK425" s="60"/>
      <c r="DL425" s="60"/>
      <c r="DM425" s="60"/>
      <c r="DN425" s="60"/>
      <c r="DO425" s="60"/>
      <c r="DP425" s="60"/>
      <c r="DQ425" s="60"/>
      <c r="DR425" s="60"/>
      <c r="DS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  <c r="BX426" s="60"/>
      <c r="BY426" s="60"/>
      <c r="BZ426" s="60"/>
      <c r="CA426" s="60"/>
      <c r="CB426" s="60"/>
      <c r="CC426" s="60"/>
      <c r="CD426" s="60"/>
      <c r="CE426" s="60"/>
      <c r="CF426" s="60"/>
      <c r="CG426" s="60"/>
      <c r="CH426" s="60"/>
      <c r="CI426" s="60"/>
      <c r="CJ426" s="60"/>
      <c r="CK426" s="60"/>
      <c r="CL426" s="60"/>
      <c r="CM426" s="60"/>
      <c r="CN426" s="60"/>
      <c r="CO426" s="60"/>
      <c r="CP426" s="60"/>
      <c r="CQ426" s="60"/>
      <c r="CR426" s="60"/>
      <c r="CS426" s="60"/>
      <c r="CT426" s="60"/>
      <c r="CU426" s="60"/>
      <c r="CV426" s="60"/>
      <c r="CW426" s="60"/>
      <c r="CX426" s="60"/>
      <c r="CY426" s="60"/>
      <c r="CZ426" s="60"/>
      <c r="DA426" s="60"/>
      <c r="DB426" s="60"/>
      <c r="DC426" s="60"/>
      <c r="DD426" s="60"/>
      <c r="DE426" s="60"/>
      <c r="DF426" s="60"/>
      <c r="DG426" s="60"/>
      <c r="DH426" s="60"/>
      <c r="DI426" s="60"/>
      <c r="DJ426" s="60"/>
      <c r="DK426" s="60"/>
      <c r="DL426" s="60"/>
      <c r="DM426" s="60"/>
      <c r="DN426" s="60"/>
      <c r="DO426" s="60"/>
      <c r="DP426" s="60"/>
      <c r="DQ426" s="60"/>
      <c r="DR426" s="60"/>
      <c r="DS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  <c r="BY427" s="60"/>
      <c r="BZ427" s="60"/>
      <c r="CA427" s="60"/>
      <c r="CB427" s="60"/>
      <c r="CC427" s="60"/>
      <c r="CD427" s="60"/>
      <c r="CE427" s="60"/>
      <c r="CF427" s="60"/>
      <c r="CG427" s="60"/>
      <c r="CH427" s="60"/>
      <c r="CI427" s="60"/>
      <c r="CJ427" s="60"/>
      <c r="CK427" s="60"/>
      <c r="CL427" s="60"/>
      <c r="CM427" s="60"/>
      <c r="CN427" s="60"/>
      <c r="CO427" s="60"/>
      <c r="CP427" s="60"/>
      <c r="CQ427" s="60"/>
      <c r="CR427" s="60"/>
      <c r="CS427" s="60"/>
      <c r="CT427" s="60"/>
      <c r="CU427" s="60"/>
      <c r="CV427" s="60"/>
      <c r="CW427" s="60"/>
      <c r="CX427" s="60"/>
      <c r="CY427" s="60"/>
      <c r="CZ427" s="60"/>
      <c r="DA427" s="60"/>
      <c r="DB427" s="60"/>
      <c r="DC427" s="60"/>
      <c r="DD427" s="60"/>
      <c r="DE427" s="60"/>
      <c r="DF427" s="60"/>
      <c r="DG427" s="60"/>
      <c r="DH427" s="60"/>
      <c r="DI427" s="60"/>
      <c r="DJ427" s="60"/>
      <c r="DK427" s="60"/>
      <c r="DL427" s="60"/>
      <c r="DM427" s="60"/>
      <c r="DN427" s="60"/>
      <c r="DO427" s="60"/>
      <c r="DP427" s="60"/>
      <c r="DQ427" s="60"/>
      <c r="DR427" s="60"/>
      <c r="DS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  <c r="BX428" s="60"/>
      <c r="BY428" s="60"/>
      <c r="BZ428" s="60"/>
      <c r="CA428" s="60"/>
      <c r="CB428" s="60"/>
      <c r="CC428" s="60"/>
      <c r="CD428" s="60"/>
      <c r="CE428" s="60"/>
      <c r="CF428" s="60"/>
      <c r="CG428" s="60"/>
      <c r="CH428" s="60"/>
      <c r="CI428" s="60"/>
      <c r="CJ428" s="60"/>
      <c r="CK428" s="60"/>
      <c r="CL428" s="60"/>
      <c r="CM428" s="60"/>
      <c r="CN428" s="60"/>
      <c r="CO428" s="60"/>
      <c r="CP428" s="60"/>
      <c r="CQ428" s="60"/>
      <c r="CR428" s="60"/>
      <c r="CS428" s="60"/>
      <c r="CT428" s="60"/>
      <c r="CU428" s="60"/>
      <c r="CV428" s="60"/>
      <c r="CW428" s="60"/>
      <c r="CX428" s="60"/>
      <c r="CY428" s="60"/>
      <c r="CZ428" s="60"/>
      <c r="DA428" s="60"/>
      <c r="DB428" s="60"/>
      <c r="DC428" s="60"/>
      <c r="DD428" s="60"/>
      <c r="DE428" s="60"/>
      <c r="DF428" s="60"/>
      <c r="DG428" s="60"/>
      <c r="DH428" s="60"/>
      <c r="DI428" s="60"/>
      <c r="DJ428" s="60"/>
      <c r="DK428" s="60"/>
      <c r="DL428" s="60"/>
      <c r="DM428" s="60"/>
      <c r="DN428" s="60"/>
      <c r="DO428" s="60"/>
      <c r="DP428" s="60"/>
      <c r="DQ428" s="60"/>
      <c r="DR428" s="60"/>
      <c r="DS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  <c r="BY429" s="60"/>
      <c r="BZ429" s="60"/>
      <c r="CA429" s="60"/>
      <c r="CB429" s="60"/>
      <c r="CC429" s="60"/>
      <c r="CD429" s="60"/>
      <c r="CE429" s="60"/>
      <c r="CF429" s="60"/>
      <c r="CG429" s="60"/>
      <c r="CH429" s="60"/>
      <c r="CI429" s="60"/>
      <c r="CJ429" s="60"/>
      <c r="CK429" s="60"/>
      <c r="CL429" s="60"/>
      <c r="CM429" s="60"/>
      <c r="CN429" s="60"/>
      <c r="CO429" s="60"/>
      <c r="CP429" s="60"/>
      <c r="CQ429" s="60"/>
      <c r="CR429" s="60"/>
      <c r="CS429" s="60"/>
      <c r="CT429" s="60"/>
      <c r="CU429" s="60"/>
      <c r="CV429" s="60"/>
      <c r="CW429" s="60"/>
      <c r="CX429" s="60"/>
      <c r="CY429" s="60"/>
      <c r="CZ429" s="60"/>
      <c r="DA429" s="60"/>
      <c r="DB429" s="60"/>
      <c r="DC429" s="60"/>
      <c r="DD429" s="60"/>
      <c r="DE429" s="60"/>
      <c r="DF429" s="60"/>
      <c r="DG429" s="60"/>
      <c r="DH429" s="60"/>
      <c r="DI429" s="60"/>
      <c r="DJ429" s="60"/>
      <c r="DK429" s="60"/>
      <c r="DL429" s="60"/>
      <c r="DM429" s="60"/>
      <c r="DN429" s="60"/>
      <c r="DO429" s="60"/>
      <c r="DP429" s="60"/>
      <c r="DQ429" s="60"/>
      <c r="DR429" s="60"/>
      <c r="DS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  <c r="BX430" s="60"/>
      <c r="BY430" s="60"/>
      <c r="BZ430" s="60"/>
      <c r="CA430" s="60"/>
      <c r="CB430" s="60"/>
      <c r="CC430" s="60"/>
      <c r="CD430" s="60"/>
      <c r="CE430" s="60"/>
      <c r="CF430" s="60"/>
      <c r="CG430" s="60"/>
      <c r="CH430" s="60"/>
      <c r="CI430" s="60"/>
      <c r="CJ430" s="60"/>
      <c r="CK430" s="60"/>
      <c r="CL430" s="60"/>
      <c r="CM430" s="60"/>
      <c r="CN430" s="60"/>
      <c r="CO430" s="60"/>
      <c r="CP430" s="60"/>
      <c r="CQ430" s="60"/>
      <c r="CR430" s="60"/>
      <c r="CS430" s="60"/>
      <c r="CT430" s="60"/>
      <c r="CU430" s="60"/>
      <c r="CV430" s="60"/>
      <c r="CW430" s="60"/>
      <c r="CX430" s="60"/>
      <c r="CY430" s="60"/>
      <c r="CZ430" s="60"/>
      <c r="DA430" s="60"/>
      <c r="DB430" s="60"/>
      <c r="DC430" s="60"/>
      <c r="DD430" s="60"/>
      <c r="DE430" s="60"/>
      <c r="DF430" s="60"/>
      <c r="DG430" s="60"/>
      <c r="DH430" s="60"/>
      <c r="DI430" s="60"/>
      <c r="DJ430" s="60"/>
      <c r="DK430" s="60"/>
      <c r="DL430" s="60"/>
      <c r="DM430" s="60"/>
      <c r="DN430" s="60"/>
      <c r="DO430" s="60"/>
      <c r="DP430" s="60"/>
      <c r="DQ430" s="60"/>
      <c r="DR430" s="60"/>
      <c r="DS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  <c r="BY431" s="60"/>
      <c r="BZ431" s="60"/>
      <c r="CA431" s="60"/>
      <c r="CB431" s="60"/>
      <c r="CC431" s="60"/>
      <c r="CD431" s="60"/>
      <c r="CE431" s="60"/>
      <c r="CF431" s="60"/>
      <c r="CG431" s="60"/>
      <c r="CH431" s="60"/>
      <c r="CI431" s="60"/>
      <c r="CJ431" s="60"/>
      <c r="CK431" s="60"/>
      <c r="CL431" s="60"/>
      <c r="CM431" s="60"/>
      <c r="CN431" s="60"/>
      <c r="CO431" s="60"/>
      <c r="CP431" s="60"/>
      <c r="CQ431" s="60"/>
      <c r="CR431" s="60"/>
      <c r="CS431" s="60"/>
      <c r="CT431" s="60"/>
      <c r="CU431" s="60"/>
      <c r="CV431" s="60"/>
      <c r="CW431" s="60"/>
      <c r="CX431" s="60"/>
      <c r="CY431" s="60"/>
      <c r="CZ431" s="60"/>
      <c r="DA431" s="60"/>
      <c r="DB431" s="60"/>
      <c r="DC431" s="60"/>
      <c r="DD431" s="60"/>
      <c r="DE431" s="60"/>
      <c r="DF431" s="60"/>
      <c r="DG431" s="60"/>
      <c r="DH431" s="60"/>
      <c r="DI431" s="60"/>
      <c r="DJ431" s="60"/>
      <c r="DK431" s="60"/>
      <c r="DL431" s="60"/>
      <c r="DM431" s="60"/>
      <c r="DN431" s="60"/>
      <c r="DO431" s="60"/>
      <c r="DP431" s="60"/>
      <c r="DQ431" s="60"/>
      <c r="DR431" s="60"/>
      <c r="DS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  <c r="BX432" s="60"/>
      <c r="BY432" s="60"/>
      <c r="BZ432" s="60"/>
      <c r="CA432" s="60"/>
      <c r="CB432" s="60"/>
      <c r="CC432" s="60"/>
      <c r="CD432" s="60"/>
      <c r="CE432" s="60"/>
      <c r="CF432" s="60"/>
      <c r="CG432" s="60"/>
      <c r="CH432" s="60"/>
      <c r="CI432" s="60"/>
      <c r="CJ432" s="60"/>
      <c r="CK432" s="60"/>
      <c r="CL432" s="60"/>
      <c r="CM432" s="60"/>
      <c r="CN432" s="60"/>
      <c r="CO432" s="60"/>
      <c r="CP432" s="60"/>
      <c r="CQ432" s="60"/>
      <c r="CR432" s="60"/>
      <c r="CS432" s="60"/>
      <c r="CT432" s="60"/>
      <c r="CU432" s="60"/>
      <c r="CV432" s="60"/>
      <c r="CW432" s="60"/>
      <c r="CX432" s="60"/>
      <c r="CY432" s="60"/>
      <c r="CZ432" s="60"/>
      <c r="DA432" s="60"/>
      <c r="DB432" s="60"/>
      <c r="DC432" s="60"/>
      <c r="DD432" s="60"/>
      <c r="DE432" s="60"/>
      <c r="DF432" s="60"/>
      <c r="DG432" s="60"/>
      <c r="DH432" s="60"/>
      <c r="DI432" s="60"/>
      <c r="DJ432" s="60"/>
      <c r="DK432" s="60"/>
      <c r="DL432" s="60"/>
      <c r="DM432" s="60"/>
      <c r="DN432" s="60"/>
      <c r="DO432" s="60"/>
      <c r="DP432" s="60"/>
      <c r="DQ432" s="60"/>
      <c r="DR432" s="60"/>
      <c r="DS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  <c r="BY433" s="60"/>
      <c r="BZ433" s="60"/>
      <c r="CA433" s="60"/>
      <c r="CB433" s="60"/>
      <c r="CC433" s="60"/>
      <c r="CD433" s="60"/>
      <c r="CE433" s="60"/>
      <c r="CF433" s="60"/>
      <c r="CG433" s="60"/>
      <c r="CH433" s="60"/>
      <c r="CI433" s="60"/>
      <c r="CJ433" s="60"/>
      <c r="CK433" s="60"/>
      <c r="CL433" s="60"/>
      <c r="CM433" s="60"/>
      <c r="CN433" s="60"/>
      <c r="CO433" s="60"/>
      <c r="CP433" s="60"/>
      <c r="CQ433" s="60"/>
      <c r="CR433" s="60"/>
      <c r="CS433" s="60"/>
      <c r="CT433" s="60"/>
      <c r="CU433" s="60"/>
      <c r="CV433" s="60"/>
      <c r="CW433" s="60"/>
      <c r="CX433" s="60"/>
      <c r="CY433" s="60"/>
      <c r="CZ433" s="60"/>
      <c r="DA433" s="60"/>
      <c r="DB433" s="60"/>
      <c r="DC433" s="60"/>
      <c r="DD433" s="60"/>
      <c r="DE433" s="60"/>
      <c r="DF433" s="60"/>
      <c r="DG433" s="60"/>
      <c r="DH433" s="60"/>
      <c r="DI433" s="60"/>
      <c r="DJ433" s="60"/>
      <c r="DK433" s="60"/>
      <c r="DL433" s="60"/>
      <c r="DM433" s="60"/>
      <c r="DN433" s="60"/>
      <c r="DO433" s="60"/>
      <c r="DP433" s="60"/>
      <c r="DQ433" s="60"/>
      <c r="DR433" s="60"/>
      <c r="DS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  <c r="BX434" s="60"/>
      <c r="BY434" s="60"/>
      <c r="BZ434" s="60"/>
      <c r="CA434" s="60"/>
      <c r="CB434" s="60"/>
      <c r="CC434" s="60"/>
      <c r="CD434" s="60"/>
      <c r="CE434" s="60"/>
      <c r="CF434" s="60"/>
      <c r="CG434" s="60"/>
      <c r="CH434" s="60"/>
      <c r="CI434" s="60"/>
      <c r="CJ434" s="60"/>
      <c r="CK434" s="60"/>
      <c r="CL434" s="60"/>
      <c r="CM434" s="60"/>
      <c r="CN434" s="60"/>
      <c r="CO434" s="60"/>
      <c r="CP434" s="60"/>
      <c r="CQ434" s="60"/>
      <c r="CR434" s="60"/>
      <c r="CS434" s="60"/>
      <c r="CT434" s="60"/>
      <c r="CU434" s="60"/>
      <c r="CV434" s="60"/>
      <c r="CW434" s="60"/>
      <c r="CX434" s="60"/>
      <c r="CY434" s="60"/>
      <c r="CZ434" s="60"/>
      <c r="DA434" s="60"/>
      <c r="DB434" s="60"/>
      <c r="DC434" s="60"/>
      <c r="DD434" s="60"/>
      <c r="DE434" s="60"/>
      <c r="DF434" s="60"/>
      <c r="DG434" s="60"/>
      <c r="DH434" s="60"/>
      <c r="DI434" s="60"/>
      <c r="DJ434" s="60"/>
      <c r="DK434" s="60"/>
      <c r="DL434" s="60"/>
      <c r="DM434" s="60"/>
      <c r="DN434" s="60"/>
      <c r="DO434" s="60"/>
      <c r="DP434" s="60"/>
      <c r="DQ434" s="60"/>
      <c r="DR434" s="60"/>
      <c r="DS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  <c r="BY435" s="60"/>
      <c r="BZ435" s="60"/>
      <c r="CA435" s="60"/>
      <c r="CB435" s="60"/>
      <c r="CC435" s="60"/>
      <c r="CD435" s="60"/>
      <c r="CE435" s="60"/>
      <c r="CF435" s="60"/>
      <c r="CG435" s="60"/>
      <c r="CH435" s="60"/>
      <c r="CI435" s="60"/>
      <c r="CJ435" s="60"/>
      <c r="CK435" s="60"/>
      <c r="CL435" s="60"/>
      <c r="CM435" s="60"/>
      <c r="CN435" s="60"/>
      <c r="CO435" s="60"/>
      <c r="CP435" s="60"/>
      <c r="CQ435" s="60"/>
      <c r="CR435" s="60"/>
      <c r="CS435" s="60"/>
      <c r="CT435" s="60"/>
      <c r="CU435" s="60"/>
      <c r="CV435" s="60"/>
      <c r="CW435" s="60"/>
      <c r="CX435" s="60"/>
      <c r="CY435" s="60"/>
      <c r="CZ435" s="60"/>
      <c r="DA435" s="60"/>
      <c r="DB435" s="60"/>
      <c r="DC435" s="60"/>
      <c r="DD435" s="60"/>
      <c r="DE435" s="60"/>
      <c r="DF435" s="60"/>
      <c r="DG435" s="60"/>
      <c r="DH435" s="60"/>
      <c r="DI435" s="60"/>
      <c r="DJ435" s="60"/>
      <c r="DK435" s="60"/>
      <c r="DL435" s="60"/>
      <c r="DM435" s="60"/>
      <c r="DN435" s="60"/>
      <c r="DO435" s="60"/>
      <c r="DP435" s="60"/>
      <c r="DQ435" s="60"/>
      <c r="DR435" s="60"/>
      <c r="DS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0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60"/>
      <c r="CV436" s="60"/>
      <c r="CW436" s="60"/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0"/>
      <c r="DI436" s="60"/>
      <c r="DJ436" s="60"/>
      <c r="DK436" s="60"/>
      <c r="DL436" s="60"/>
      <c r="DM436" s="60"/>
      <c r="DN436" s="60"/>
      <c r="DO436" s="60"/>
      <c r="DP436" s="60"/>
      <c r="DQ436" s="60"/>
      <c r="DR436" s="60"/>
      <c r="DS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  <c r="BY437" s="60"/>
      <c r="BZ437" s="60"/>
      <c r="CA437" s="60"/>
      <c r="CB437" s="60"/>
      <c r="CC437" s="60"/>
      <c r="CD437" s="60"/>
      <c r="CE437" s="60"/>
      <c r="CF437" s="60"/>
      <c r="CG437" s="60"/>
      <c r="CH437" s="60"/>
      <c r="CI437" s="60"/>
      <c r="CJ437" s="60"/>
      <c r="CK437" s="60"/>
      <c r="CL437" s="60"/>
      <c r="CM437" s="60"/>
      <c r="CN437" s="60"/>
      <c r="CO437" s="60"/>
      <c r="CP437" s="60"/>
      <c r="CQ437" s="60"/>
      <c r="CR437" s="60"/>
      <c r="CS437" s="60"/>
      <c r="CT437" s="60"/>
      <c r="CU437" s="60"/>
      <c r="CV437" s="60"/>
      <c r="CW437" s="60"/>
      <c r="CX437" s="60"/>
      <c r="CY437" s="60"/>
      <c r="CZ437" s="60"/>
      <c r="DA437" s="60"/>
      <c r="DB437" s="60"/>
      <c r="DC437" s="60"/>
      <c r="DD437" s="60"/>
      <c r="DE437" s="60"/>
      <c r="DF437" s="60"/>
      <c r="DG437" s="60"/>
      <c r="DH437" s="60"/>
      <c r="DI437" s="60"/>
      <c r="DJ437" s="60"/>
      <c r="DK437" s="60"/>
      <c r="DL437" s="60"/>
      <c r="DM437" s="60"/>
      <c r="DN437" s="60"/>
      <c r="DO437" s="60"/>
      <c r="DP437" s="60"/>
      <c r="DQ437" s="60"/>
      <c r="DR437" s="60"/>
      <c r="DS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  <c r="BX438" s="60"/>
      <c r="BY438" s="60"/>
      <c r="BZ438" s="60"/>
      <c r="CA438" s="60"/>
      <c r="CB438" s="60"/>
      <c r="CC438" s="60"/>
      <c r="CD438" s="60"/>
      <c r="CE438" s="60"/>
      <c r="CF438" s="60"/>
      <c r="CG438" s="60"/>
      <c r="CH438" s="60"/>
      <c r="CI438" s="60"/>
      <c r="CJ438" s="60"/>
      <c r="CK438" s="60"/>
      <c r="CL438" s="60"/>
      <c r="CM438" s="60"/>
      <c r="CN438" s="60"/>
      <c r="CO438" s="60"/>
      <c r="CP438" s="60"/>
      <c r="CQ438" s="60"/>
      <c r="CR438" s="60"/>
      <c r="CS438" s="60"/>
      <c r="CT438" s="60"/>
      <c r="CU438" s="60"/>
      <c r="CV438" s="60"/>
      <c r="CW438" s="60"/>
      <c r="CX438" s="60"/>
      <c r="CY438" s="60"/>
      <c r="CZ438" s="60"/>
      <c r="DA438" s="60"/>
      <c r="DB438" s="60"/>
      <c r="DC438" s="60"/>
      <c r="DD438" s="60"/>
      <c r="DE438" s="60"/>
      <c r="DF438" s="60"/>
      <c r="DG438" s="60"/>
      <c r="DH438" s="60"/>
      <c r="DI438" s="60"/>
      <c r="DJ438" s="60"/>
      <c r="DK438" s="60"/>
      <c r="DL438" s="60"/>
      <c r="DM438" s="60"/>
      <c r="DN438" s="60"/>
      <c r="DO438" s="60"/>
      <c r="DP438" s="60"/>
      <c r="DQ438" s="60"/>
      <c r="DR438" s="60"/>
      <c r="DS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  <c r="BY439" s="60"/>
      <c r="BZ439" s="60"/>
      <c r="CA439" s="60"/>
      <c r="CB439" s="60"/>
      <c r="CC439" s="60"/>
      <c r="CD439" s="60"/>
      <c r="CE439" s="60"/>
      <c r="CF439" s="60"/>
      <c r="CG439" s="60"/>
      <c r="CH439" s="60"/>
      <c r="CI439" s="60"/>
      <c r="CJ439" s="60"/>
      <c r="CK439" s="60"/>
      <c r="CL439" s="60"/>
      <c r="CM439" s="60"/>
      <c r="CN439" s="60"/>
      <c r="CO439" s="60"/>
      <c r="CP439" s="60"/>
      <c r="CQ439" s="60"/>
      <c r="CR439" s="60"/>
      <c r="CS439" s="60"/>
      <c r="CT439" s="60"/>
      <c r="CU439" s="60"/>
      <c r="CV439" s="60"/>
      <c r="CW439" s="60"/>
      <c r="CX439" s="60"/>
      <c r="CY439" s="60"/>
      <c r="CZ439" s="60"/>
      <c r="DA439" s="60"/>
      <c r="DB439" s="60"/>
      <c r="DC439" s="60"/>
      <c r="DD439" s="60"/>
      <c r="DE439" s="60"/>
      <c r="DF439" s="60"/>
      <c r="DG439" s="60"/>
      <c r="DH439" s="60"/>
      <c r="DI439" s="60"/>
      <c r="DJ439" s="60"/>
      <c r="DK439" s="60"/>
      <c r="DL439" s="60"/>
      <c r="DM439" s="60"/>
      <c r="DN439" s="60"/>
      <c r="DO439" s="60"/>
      <c r="DP439" s="60"/>
      <c r="DQ439" s="60"/>
      <c r="DR439" s="60"/>
      <c r="DS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  <c r="BX440" s="60"/>
      <c r="BY440" s="60"/>
      <c r="BZ440" s="60"/>
      <c r="CA440" s="60"/>
      <c r="CB440" s="60"/>
      <c r="CC440" s="60"/>
      <c r="CD440" s="60"/>
      <c r="CE440" s="60"/>
      <c r="CF440" s="60"/>
      <c r="CG440" s="60"/>
      <c r="CH440" s="60"/>
      <c r="CI440" s="60"/>
      <c r="CJ440" s="60"/>
      <c r="CK440" s="60"/>
      <c r="CL440" s="60"/>
      <c r="CM440" s="60"/>
      <c r="CN440" s="60"/>
      <c r="CO440" s="60"/>
      <c r="CP440" s="60"/>
      <c r="CQ440" s="60"/>
      <c r="CR440" s="60"/>
      <c r="CS440" s="60"/>
      <c r="CT440" s="60"/>
      <c r="CU440" s="60"/>
      <c r="CV440" s="60"/>
      <c r="CW440" s="60"/>
      <c r="CX440" s="60"/>
      <c r="CY440" s="60"/>
      <c r="CZ440" s="60"/>
      <c r="DA440" s="60"/>
      <c r="DB440" s="60"/>
      <c r="DC440" s="60"/>
      <c r="DD440" s="60"/>
      <c r="DE440" s="60"/>
      <c r="DF440" s="60"/>
      <c r="DG440" s="60"/>
      <c r="DH440" s="60"/>
      <c r="DI440" s="60"/>
      <c r="DJ440" s="60"/>
      <c r="DK440" s="60"/>
      <c r="DL440" s="60"/>
      <c r="DM440" s="60"/>
      <c r="DN440" s="60"/>
      <c r="DO440" s="60"/>
      <c r="DP440" s="60"/>
      <c r="DQ440" s="60"/>
      <c r="DR440" s="60"/>
      <c r="DS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  <c r="BY441" s="60"/>
      <c r="BZ441" s="60"/>
      <c r="CA441" s="60"/>
      <c r="CB441" s="60"/>
      <c r="CC441" s="60"/>
      <c r="CD441" s="60"/>
      <c r="CE441" s="60"/>
      <c r="CF441" s="60"/>
      <c r="CG441" s="60"/>
      <c r="CH441" s="60"/>
      <c r="CI441" s="60"/>
      <c r="CJ441" s="60"/>
      <c r="CK441" s="60"/>
      <c r="CL441" s="60"/>
      <c r="CM441" s="60"/>
      <c r="CN441" s="60"/>
      <c r="CO441" s="60"/>
      <c r="CP441" s="60"/>
      <c r="CQ441" s="60"/>
      <c r="CR441" s="60"/>
      <c r="CS441" s="60"/>
      <c r="CT441" s="60"/>
      <c r="CU441" s="60"/>
      <c r="CV441" s="60"/>
      <c r="CW441" s="60"/>
      <c r="CX441" s="60"/>
      <c r="CY441" s="60"/>
      <c r="CZ441" s="60"/>
      <c r="DA441" s="60"/>
      <c r="DB441" s="60"/>
      <c r="DC441" s="60"/>
      <c r="DD441" s="60"/>
      <c r="DE441" s="60"/>
      <c r="DF441" s="60"/>
      <c r="DG441" s="60"/>
      <c r="DH441" s="60"/>
      <c r="DI441" s="60"/>
      <c r="DJ441" s="60"/>
      <c r="DK441" s="60"/>
      <c r="DL441" s="60"/>
      <c r="DM441" s="60"/>
      <c r="DN441" s="60"/>
      <c r="DO441" s="60"/>
      <c r="DP441" s="60"/>
      <c r="DQ441" s="60"/>
      <c r="DR441" s="60"/>
      <c r="DS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  <c r="BX442" s="60"/>
      <c r="BY442" s="60"/>
      <c r="BZ442" s="60"/>
      <c r="CA442" s="60"/>
      <c r="CB442" s="60"/>
      <c r="CC442" s="60"/>
      <c r="CD442" s="60"/>
      <c r="CE442" s="60"/>
      <c r="CF442" s="60"/>
      <c r="CG442" s="60"/>
      <c r="CH442" s="60"/>
      <c r="CI442" s="60"/>
      <c r="CJ442" s="60"/>
      <c r="CK442" s="60"/>
      <c r="CL442" s="60"/>
      <c r="CM442" s="60"/>
      <c r="CN442" s="60"/>
      <c r="CO442" s="60"/>
      <c r="CP442" s="60"/>
      <c r="CQ442" s="60"/>
      <c r="CR442" s="60"/>
      <c r="CS442" s="60"/>
      <c r="CT442" s="60"/>
      <c r="CU442" s="60"/>
      <c r="CV442" s="60"/>
      <c r="CW442" s="60"/>
      <c r="CX442" s="60"/>
      <c r="CY442" s="60"/>
      <c r="CZ442" s="60"/>
      <c r="DA442" s="60"/>
      <c r="DB442" s="60"/>
      <c r="DC442" s="60"/>
      <c r="DD442" s="60"/>
      <c r="DE442" s="60"/>
      <c r="DF442" s="60"/>
      <c r="DG442" s="60"/>
      <c r="DH442" s="60"/>
      <c r="DI442" s="60"/>
      <c r="DJ442" s="60"/>
      <c r="DK442" s="60"/>
      <c r="DL442" s="60"/>
      <c r="DM442" s="60"/>
      <c r="DN442" s="60"/>
      <c r="DO442" s="60"/>
      <c r="DP442" s="60"/>
      <c r="DQ442" s="60"/>
      <c r="DR442" s="60"/>
      <c r="DS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  <c r="BY443" s="60"/>
      <c r="BZ443" s="60"/>
      <c r="CA443" s="60"/>
      <c r="CB443" s="60"/>
      <c r="CC443" s="60"/>
      <c r="CD443" s="60"/>
      <c r="CE443" s="60"/>
      <c r="CF443" s="60"/>
      <c r="CG443" s="60"/>
      <c r="CH443" s="60"/>
      <c r="CI443" s="60"/>
      <c r="CJ443" s="60"/>
      <c r="CK443" s="60"/>
      <c r="CL443" s="60"/>
      <c r="CM443" s="60"/>
      <c r="CN443" s="60"/>
      <c r="CO443" s="60"/>
      <c r="CP443" s="60"/>
      <c r="CQ443" s="60"/>
      <c r="CR443" s="60"/>
      <c r="CS443" s="60"/>
      <c r="CT443" s="60"/>
      <c r="CU443" s="60"/>
      <c r="CV443" s="60"/>
      <c r="CW443" s="60"/>
      <c r="CX443" s="60"/>
      <c r="CY443" s="60"/>
      <c r="CZ443" s="60"/>
      <c r="DA443" s="60"/>
      <c r="DB443" s="60"/>
      <c r="DC443" s="60"/>
      <c r="DD443" s="60"/>
      <c r="DE443" s="60"/>
      <c r="DF443" s="60"/>
      <c r="DG443" s="60"/>
      <c r="DH443" s="60"/>
      <c r="DI443" s="60"/>
      <c r="DJ443" s="60"/>
      <c r="DK443" s="60"/>
      <c r="DL443" s="60"/>
      <c r="DM443" s="60"/>
      <c r="DN443" s="60"/>
      <c r="DO443" s="60"/>
      <c r="DP443" s="60"/>
      <c r="DQ443" s="60"/>
      <c r="DR443" s="60"/>
      <c r="DS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  <c r="BX444" s="60"/>
      <c r="BY444" s="60"/>
      <c r="BZ444" s="60"/>
      <c r="CA444" s="60"/>
      <c r="CB444" s="60"/>
      <c r="CC444" s="60"/>
      <c r="CD444" s="60"/>
      <c r="CE444" s="60"/>
      <c r="CF444" s="60"/>
      <c r="CG444" s="60"/>
      <c r="CH444" s="60"/>
      <c r="CI444" s="60"/>
      <c r="CJ444" s="60"/>
      <c r="CK444" s="60"/>
      <c r="CL444" s="60"/>
      <c r="CM444" s="60"/>
      <c r="CN444" s="60"/>
      <c r="CO444" s="60"/>
      <c r="CP444" s="60"/>
      <c r="CQ444" s="60"/>
      <c r="CR444" s="60"/>
      <c r="CS444" s="60"/>
      <c r="CT444" s="60"/>
      <c r="CU444" s="60"/>
      <c r="CV444" s="60"/>
      <c r="CW444" s="60"/>
      <c r="CX444" s="60"/>
      <c r="CY444" s="60"/>
      <c r="CZ444" s="60"/>
      <c r="DA444" s="60"/>
      <c r="DB444" s="60"/>
      <c r="DC444" s="60"/>
      <c r="DD444" s="60"/>
      <c r="DE444" s="60"/>
      <c r="DF444" s="60"/>
      <c r="DG444" s="60"/>
      <c r="DH444" s="60"/>
      <c r="DI444" s="60"/>
      <c r="DJ444" s="60"/>
      <c r="DK444" s="60"/>
      <c r="DL444" s="60"/>
      <c r="DM444" s="60"/>
      <c r="DN444" s="60"/>
      <c r="DO444" s="60"/>
      <c r="DP444" s="60"/>
      <c r="DQ444" s="60"/>
      <c r="DR444" s="60"/>
      <c r="DS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  <c r="BY445" s="60"/>
      <c r="BZ445" s="60"/>
      <c r="CA445" s="60"/>
      <c r="CB445" s="60"/>
      <c r="CC445" s="60"/>
      <c r="CD445" s="60"/>
      <c r="CE445" s="60"/>
      <c r="CF445" s="60"/>
      <c r="CG445" s="60"/>
      <c r="CH445" s="60"/>
      <c r="CI445" s="60"/>
      <c r="CJ445" s="60"/>
      <c r="CK445" s="60"/>
      <c r="CL445" s="60"/>
      <c r="CM445" s="60"/>
      <c r="CN445" s="60"/>
      <c r="CO445" s="60"/>
      <c r="CP445" s="60"/>
      <c r="CQ445" s="60"/>
      <c r="CR445" s="60"/>
      <c r="CS445" s="60"/>
      <c r="CT445" s="60"/>
      <c r="CU445" s="60"/>
      <c r="CV445" s="60"/>
      <c r="CW445" s="60"/>
      <c r="CX445" s="60"/>
      <c r="CY445" s="60"/>
      <c r="CZ445" s="60"/>
      <c r="DA445" s="60"/>
      <c r="DB445" s="60"/>
      <c r="DC445" s="60"/>
      <c r="DD445" s="60"/>
      <c r="DE445" s="60"/>
      <c r="DF445" s="60"/>
      <c r="DG445" s="60"/>
      <c r="DH445" s="60"/>
      <c r="DI445" s="60"/>
      <c r="DJ445" s="60"/>
      <c r="DK445" s="60"/>
      <c r="DL445" s="60"/>
      <c r="DM445" s="60"/>
      <c r="DN445" s="60"/>
      <c r="DO445" s="60"/>
      <c r="DP445" s="60"/>
      <c r="DQ445" s="60"/>
      <c r="DR445" s="60"/>
      <c r="DS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  <c r="BX446" s="60"/>
      <c r="BY446" s="60"/>
      <c r="BZ446" s="60"/>
      <c r="CA446" s="60"/>
      <c r="CB446" s="60"/>
      <c r="CC446" s="60"/>
      <c r="CD446" s="60"/>
      <c r="CE446" s="60"/>
      <c r="CF446" s="60"/>
      <c r="CG446" s="60"/>
      <c r="CH446" s="60"/>
      <c r="CI446" s="60"/>
      <c r="CJ446" s="60"/>
      <c r="CK446" s="60"/>
      <c r="CL446" s="60"/>
      <c r="CM446" s="60"/>
      <c r="CN446" s="60"/>
      <c r="CO446" s="60"/>
      <c r="CP446" s="60"/>
      <c r="CQ446" s="60"/>
      <c r="CR446" s="60"/>
      <c r="CS446" s="60"/>
      <c r="CT446" s="60"/>
      <c r="CU446" s="60"/>
      <c r="CV446" s="60"/>
      <c r="CW446" s="60"/>
      <c r="CX446" s="60"/>
      <c r="CY446" s="60"/>
      <c r="CZ446" s="60"/>
      <c r="DA446" s="60"/>
      <c r="DB446" s="60"/>
      <c r="DC446" s="60"/>
      <c r="DD446" s="60"/>
      <c r="DE446" s="60"/>
      <c r="DF446" s="60"/>
      <c r="DG446" s="60"/>
      <c r="DH446" s="60"/>
      <c r="DI446" s="60"/>
      <c r="DJ446" s="60"/>
      <c r="DK446" s="60"/>
      <c r="DL446" s="60"/>
      <c r="DM446" s="60"/>
      <c r="DN446" s="60"/>
      <c r="DO446" s="60"/>
      <c r="DP446" s="60"/>
      <c r="DQ446" s="60"/>
      <c r="DR446" s="60"/>
      <c r="DS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  <c r="BY447" s="60"/>
      <c r="BZ447" s="60"/>
      <c r="CA447" s="60"/>
      <c r="CB447" s="60"/>
      <c r="CC447" s="60"/>
      <c r="CD447" s="60"/>
      <c r="CE447" s="60"/>
      <c r="CF447" s="60"/>
      <c r="CG447" s="60"/>
      <c r="CH447" s="60"/>
      <c r="CI447" s="60"/>
      <c r="CJ447" s="60"/>
      <c r="CK447" s="60"/>
      <c r="CL447" s="60"/>
      <c r="CM447" s="60"/>
      <c r="CN447" s="60"/>
      <c r="CO447" s="60"/>
      <c r="CP447" s="60"/>
      <c r="CQ447" s="60"/>
      <c r="CR447" s="60"/>
      <c r="CS447" s="60"/>
      <c r="CT447" s="60"/>
      <c r="CU447" s="60"/>
      <c r="CV447" s="60"/>
      <c r="CW447" s="60"/>
      <c r="CX447" s="60"/>
      <c r="CY447" s="60"/>
      <c r="CZ447" s="60"/>
      <c r="DA447" s="60"/>
      <c r="DB447" s="60"/>
      <c r="DC447" s="60"/>
      <c r="DD447" s="60"/>
      <c r="DE447" s="60"/>
      <c r="DF447" s="60"/>
      <c r="DG447" s="60"/>
      <c r="DH447" s="60"/>
      <c r="DI447" s="60"/>
      <c r="DJ447" s="60"/>
      <c r="DK447" s="60"/>
      <c r="DL447" s="60"/>
      <c r="DM447" s="60"/>
      <c r="DN447" s="60"/>
      <c r="DO447" s="60"/>
      <c r="DP447" s="60"/>
      <c r="DQ447" s="60"/>
      <c r="DR447" s="60"/>
      <c r="DS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  <c r="BX448" s="60"/>
      <c r="BY448" s="60"/>
      <c r="BZ448" s="60"/>
      <c r="CA448" s="60"/>
      <c r="CB448" s="60"/>
      <c r="CC448" s="60"/>
      <c r="CD448" s="60"/>
      <c r="CE448" s="60"/>
      <c r="CF448" s="60"/>
      <c r="CG448" s="60"/>
      <c r="CH448" s="60"/>
      <c r="CI448" s="60"/>
      <c r="CJ448" s="60"/>
      <c r="CK448" s="60"/>
      <c r="CL448" s="60"/>
      <c r="CM448" s="60"/>
      <c r="CN448" s="60"/>
      <c r="CO448" s="60"/>
      <c r="CP448" s="60"/>
      <c r="CQ448" s="60"/>
      <c r="CR448" s="60"/>
      <c r="CS448" s="60"/>
      <c r="CT448" s="60"/>
      <c r="CU448" s="60"/>
      <c r="CV448" s="60"/>
      <c r="CW448" s="60"/>
      <c r="CX448" s="60"/>
      <c r="CY448" s="60"/>
      <c r="CZ448" s="60"/>
      <c r="DA448" s="60"/>
      <c r="DB448" s="60"/>
      <c r="DC448" s="60"/>
      <c r="DD448" s="60"/>
      <c r="DE448" s="60"/>
      <c r="DF448" s="60"/>
      <c r="DG448" s="60"/>
      <c r="DH448" s="60"/>
      <c r="DI448" s="60"/>
      <c r="DJ448" s="60"/>
      <c r="DK448" s="60"/>
      <c r="DL448" s="60"/>
      <c r="DM448" s="60"/>
      <c r="DN448" s="60"/>
      <c r="DO448" s="60"/>
      <c r="DP448" s="60"/>
      <c r="DQ448" s="60"/>
      <c r="DR448" s="60"/>
      <c r="DS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  <c r="BY449" s="60"/>
      <c r="BZ449" s="60"/>
      <c r="CA449" s="60"/>
      <c r="CB449" s="60"/>
      <c r="CC449" s="60"/>
      <c r="CD449" s="60"/>
      <c r="CE449" s="60"/>
      <c r="CF449" s="60"/>
      <c r="CG449" s="60"/>
      <c r="CH449" s="60"/>
      <c r="CI449" s="60"/>
      <c r="CJ449" s="60"/>
      <c r="CK449" s="60"/>
      <c r="CL449" s="60"/>
      <c r="CM449" s="60"/>
      <c r="CN449" s="60"/>
      <c r="CO449" s="60"/>
      <c r="CP449" s="60"/>
      <c r="CQ449" s="60"/>
      <c r="CR449" s="60"/>
      <c r="CS449" s="60"/>
      <c r="CT449" s="60"/>
      <c r="CU449" s="60"/>
      <c r="CV449" s="60"/>
      <c r="CW449" s="60"/>
      <c r="CX449" s="60"/>
      <c r="CY449" s="60"/>
      <c r="CZ449" s="60"/>
      <c r="DA449" s="60"/>
      <c r="DB449" s="60"/>
      <c r="DC449" s="60"/>
      <c r="DD449" s="60"/>
      <c r="DE449" s="60"/>
      <c r="DF449" s="60"/>
      <c r="DG449" s="60"/>
      <c r="DH449" s="60"/>
      <c r="DI449" s="60"/>
      <c r="DJ449" s="60"/>
      <c r="DK449" s="60"/>
      <c r="DL449" s="60"/>
      <c r="DM449" s="60"/>
      <c r="DN449" s="60"/>
      <c r="DO449" s="60"/>
      <c r="DP449" s="60"/>
      <c r="DQ449" s="60"/>
      <c r="DR449" s="60"/>
      <c r="DS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  <c r="BX450" s="60"/>
      <c r="BY450" s="60"/>
      <c r="BZ450" s="60"/>
      <c r="CA450" s="60"/>
      <c r="CB450" s="60"/>
      <c r="CC450" s="60"/>
      <c r="CD450" s="60"/>
      <c r="CE450" s="60"/>
      <c r="CF450" s="60"/>
      <c r="CG450" s="60"/>
      <c r="CH450" s="60"/>
      <c r="CI450" s="60"/>
      <c r="CJ450" s="60"/>
      <c r="CK450" s="60"/>
      <c r="CL450" s="60"/>
      <c r="CM450" s="60"/>
      <c r="CN450" s="60"/>
      <c r="CO450" s="60"/>
      <c r="CP450" s="60"/>
      <c r="CQ450" s="60"/>
      <c r="CR450" s="60"/>
      <c r="CS450" s="60"/>
      <c r="CT450" s="60"/>
      <c r="CU450" s="60"/>
      <c r="CV450" s="60"/>
      <c r="CW450" s="60"/>
      <c r="CX450" s="60"/>
      <c r="CY450" s="60"/>
      <c r="CZ450" s="60"/>
      <c r="DA450" s="60"/>
      <c r="DB450" s="60"/>
      <c r="DC450" s="60"/>
      <c r="DD450" s="60"/>
      <c r="DE450" s="60"/>
      <c r="DF450" s="60"/>
      <c r="DG450" s="60"/>
      <c r="DH450" s="60"/>
      <c r="DI450" s="60"/>
      <c r="DJ450" s="60"/>
      <c r="DK450" s="60"/>
      <c r="DL450" s="60"/>
      <c r="DM450" s="60"/>
      <c r="DN450" s="60"/>
      <c r="DO450" s="60"/>
      <c r="DP450" s="60"/>
      <c r="DQ450" s="60"/>
      <c r="DR450" s="60"/>
      <c r="DS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  <c r="BY451" s="60"/>
      <c r="BZ451" s="60"/>
      <c r="CA451" s="60"/>
      <c r="CB451" s="60"/>
      <c r="CC451" s="60"/>
      <c r="CD451" s="60"/>
      <c r="CE451" s="60"/>
      <c r="CF451" s="60"/>
      <c r="CG451" s="60"/>
      <c r="CH451" s="60"/>
      <c r="CI451" s="60"/>
      <c r="CJ451" s="60"/>
      <c r="CK451" s="60"/>
      <c r="CL451" s="60"/>
      <c r="CM451" s="60"/>
      <c r="CN451" s="60"/>
      <c r="CO451" s="60"/>
      <c r="CP451" s="60"/>
      <c r="CQ451" s="60"/>
      <c r="CR451" s="60"/>
      <c r="CS451" s="60"/>
      <c r="CT451" s="60"/>
      <c r="CU451" s="60"/>
      <c r="CV451" s="60"/>
      <c r="CW451" s="60"/>
      <c r="CX451" s="60"/>
      <c r="CY451" s="60"/>
      <c r="CZ451" s="60"/>
      <c r="DA451" s="60"/>
      <c r="DB451" s="60"/>
      <c r="DC451" s="60"/>
      <c r="DD451" s="60"/>
      <c r="DE451" s="60"/>
      <c r="DF451" s="60"/>
      <c r="DG451" s="60"/>
      <c r="DH451" s="60"/>
      <c r="DI451" s="60"/>
      <c r="DJ451" s="60"/>
      <c r="DK451" s="60"/>
      <c r="DL451" s="60"/>
      <c r="DM451" s="60"/>
      <c r="DN451" s="60"/>
      <c r="DO451" s="60"/>
      <c r="DP451" s="60"/>
      <c r="DQ451" s="60"/>
      <c r="DR451" s="60"/>
      <c r="DS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  <c r="BX452" s="60"/>
      <c r="BY452" s="60"/>
      <c r="BZ452" s="60"/>
      <c r="CA452" s="60"/>
      <c r="CB452" s="60"/>
      <c r="CC452" s="60"/>
      <c r="CD452" s="60"/>
      <c r="CE452" s="60"/>
      <c r="CF452" s="60"/>
      <c r="CG452" s="60"/>
      <c r="CH452" s="60"/>
      <c r="CI452" s="60"/>
      <c r="CJ452" s="60"/>
      <c r="CK452" s="60"/>
      <c r="CL452" s="60"/>
      <c r="CM452" s="60"/>
      <c r="CN452" s="60"/>
      <c r="CO452" s="60"/>
      <c r="CP452" s="60"/>
      <c r="CQ452" s="60"/>
      <c r="CR452" s="60"/>
      <c r="CS452" s="60"/>
      <c r="CT452" s="60"/>
      <c r="CU452" s="60"/>
      <c r="CV452" s="60"/>
      <c r="CW452" s="60"/>
      <c r="CX452" s="60"/>
      <c r="CY452" s="60"/>
      <c r="CZ452" s="60"/>
      <c r="DA452" s="60"/>
      <c r="DB452" s="60"/>
      <c r="DC452" s="60"/>
      <c r="DD452" s="60"/>
      <c r="DE452" s="60"/>
      <c r="DF452" s="60"/>
      <c r="DG452" s="60"/>
      <c r="DH452" s="60"/>
      <c r="DI452" s="60"/>
      <c r="DJ452" s="60"/>
      <c r="DK452" s="60"/>
      <c r="DL452" s="60"/>
      <c r="DM452" s="60"/>
      <c r="DN452" s="60"/>
      <c r="DO452" s="60"/>
      <c r="DP452" s="60"/>
      <c r="DQ452" s="60"/>
      <c r="DR452" s="60"/>
      <c r="DS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  <c r="BY453" s="60"/>
      <c r="BZ453" s="60"/>
      <c r="CA453" s="60"/>
      <c r="CB453" s="60"/>
      <c r="CC453" s="60"/>
      <c r="CD453" s="60"/>
      <c r="CE453" s="60"/>
      <c r="CF453" s="60"/>
      <c r="CG453" s="60"/>
      <c r="CH453" s="60"/>
      <c r="CI453" s="60"/>
      <c r="CJ453" s="60"/>
      <c r="CK453" s="60"/>
      <c r="CL453" s="60"/>
      <c r="CM453" s="60"/>
      <c r="CN453" s="60"/>
      <c r="CO453" s="60"/>
      <c r="CP453" s="60"/>
      <c r="CQ453" s="60"/>
      <c r="CR453" s="60"/>
      <c r="CS453" s="60"/>
      <c r="CT453" s="60"/>
      <c r="CU453" s="60"/>
      <c r="CV453" s="60"/>
      <c r="CW453" s="60"/>
      <c r="CX453" s="60"/>
      <c r="CY453" s="60"/>
      <c r="CZ453" s="60"/>
      <c r="DA453" s="60"/>
      <c r="DB453" s="60"/>
      <c r="DC453" s="60"/>
      <c r="DD453" s="60"/>
      <c r="DE453" s="60"/>
      <c r="DF453" s="60"/>
      <c r="DG453" s="60"/>
      <c r="DH453" s="60"/>
      <c r="DI453" s="60"/>
      <c r="DJ453" s="60"/>
      <c r="DK453" s="60"/>
      <c r="DL453" s="60"/>
      <c r="DM453" s="60"/>
      <c r="DN453" s="60"/>
      <c r="DO453" s="60"/>
      <c r="DP453" s="60"/>
      <c r="DQ453" s="60"/>
      <c r="DR453" s="60"/>
      <c r="DS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  <c r="BX454" s="60"/>
      <c r="BY454" s="60"/>
      <c r="BZ454" s="60"/>
      <c r="CA454" s="60"/>
      <c r="CB454" s="60"/>
      <c r="CC454" s="60"/>
      <c r="CD454" s="60"/>
      <c r="CE454" s="60"/>
      <c r="CF454" s="60"/>
      <c r="CG454" s="60"/>
      <c r="CH454" s="60"/>
      <c r="CI454" s="60"/>
      <c r="CJ454" s="60"/>
      <c r="CK454" s="60"/>
      <c r="CL454" s="60"/>
      <c r="CM454" s="60"/>
      <c r="CN454" s="60"/>
      <c r="CO454" s="60"/>
      <c r="CP454" s="60"/>
      <c r="CQ454" s="60"/>
      <c r="CR454" s="60"/>
      <c r="CS454" s="60"/>
      <c r="CT454" s="60"/>
      <c r="CU454" s="60"/>
      <c r="CV454" s="60"/>
      <c r="CW454" s="60"/>
      <c r="CX454" s="60"/>
      <c r="CY454" s="60"/>
      <c r="CZ454" s="60"/>
      <c r="DA454" s="60"/>
      <c r="DB454" s="60"/>
      <c r="DC454" s="60"/>
      <c r="DD454" s="60"/>
      <c r="DE454" s="60"/>
      <c r="DF454" s="60"/>
      <c r="DG454" s="60"/>
      <c r="DH454" s="60"/>
      <c r="DI454" s="60"/>
      <c r="DJ454" s="60"/>
      <c r="DK454" s="60"/>
      <c r="DL454" s="60"/>
      <c r="DM454" s="60"/>
      <c r="DN454" s="60"/>
      <c r="DO454" s="60"/>
      <c r="DP454" s="60"/>
      <c r="DQ454" s="60"/>
      <c r="DR454" s="60"/>
      <c r="DS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  <c r="BY455" s="60"/>
      <c r="BZ455" s="60"/>
      <c r="CA455" s="60"/>
      <c r="CB455" s="60"/>
      <c r="CC455" s="60"/>
      <c r="CD455" s="60"/>
      <c r="CE455" s="60"/>
      <c r="CF455" s="60"/>
      <c r="CG455" s="60"/>
      <c r="CH455" s="60"/>
      <c r="CI455" s="60"/>
      <c r="CJ455" s="60"/>
      <c r="CK455" s="60"/>
      <c r="CL455" s="60"/>
      <c r="CM455" s="60"/>
      <c r="CN455" s="60"/>
      <c r="CO455" s="60"/>
      <c r="CP455" s="60"/>
      <c r="CQ455" s="60"/>
      <c r="CR455" s="60"/>
      <c r="CS455" s="60"/>
      <c r="CT455" s="60"/>
      <c r="CU455" s="60"/>
      <c r="CV455" s="60"/>
      <c r="CW455" s="60"/>
      <c r="CX455" s="60"/>
      <c r="CY455" s="60"/>
      <c r="CZ455" s="60"/>
      <c r="DA455" s="60"/>
      <c r="DB455" s="60"/>
      <c r="DC455" s="60"/>
      <c r="DD455" s="60"/>
      <c r="DE455" s="60"/>
      <c r="DF455" s="60"/>
      <c r="DG455" s="60"/>
      <c r="DH455" s="60"/>
      <c r="DI455" s="60"/>
      <c r="DJ455" s="60"/>
      <c r="DK455" s="60"/>
      <c r="DL455" s="60"/>
      <c r="DM455" s="60"/>
      <c r="DN455" s="60"/>
      <c r="DO455" s="60"/>
      <c r="DP455" s="60"/>
      <c r="DQ455" s="60"/>
      <c r="DR455" s="60"/>
      <c r="DS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  <c r="BX456" s="60"/>
      <c r="BY456" s="60"/>
      <c r="BZ456" s="60"/>
      <c r="CA456" s="60"/>
      <c r="CB456" s="60"/>
      <c r="CC456" s="60"/>
      <c r="CD456" s="60"/>
      <c r="CE456" s="60"/>
      <c r="CF456" s="60"/>
      <c r="CG456" s="60"/>
      <c r="CH456" s="60"/>
      <c r="CI456" s="60"/>
      <c r="CJ456" s="60"/>
      <c r="CK456" s="60"/>
      <c r="CL456" s="60"/>
      <c r="CM456" s="60"/>
      <c r="CN456" s="60"/>
      <c r="CO456" s="60"/>
      <c r="CP456" s="60"/>
      <c r="CQ456" s="60"/>
      <c r="CR456" s="60"/>
      <c r="CS456" s="60"/>
      <c r="CT456" s="60"/>
      <c r="CU456" s="60"/>
      <c r="CV456" s="60"/>
      <c r="CW456" s="60"/>
      <c r="CX456" s="60"/>
      <c r="CY456" s="60"/>
      <c r="CZ456" s="60"/>
      <c r="DA456" s="60"/>
      <c r="DB456" s="60"/>
      <c r="DC456" s="60"/>
      <c r="DD456" s="60"/>
      <c r="DE456" s="60"/>
      <c r="DF456" s="60"/>
      <c r="DG456" s="60"/>
      <c r="DH456" s="60"/>
      <c r="DI456" s="60"/>
      <c r="DJ456" s="60"/>
      <c r="DK456" s="60"/>
      <c r="DL456" s="60"/>
      <c r="DM456" s="60"/>
      <c r="DN456" s="60"/>
      <c r="DO456" s="60"/>
      <c r="DP456" s="60"/>
      <c r="DQ456" s="60"/>
      <c r="DR456" s="60"/>
      <c r="DS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  <c r="BY457" s="60"/>
      <c r="BZ457" s="60"/>
      <c r="CA457" s="60"/>
      <c r="CB457" s="60"/>
      <c r="CC457" s="60"/>
      <c r="CD457" s="60"/>
      <c r="CE457" s="60"/>
      <c r="CF457" s="60"/>
      <c r="CG457" s="60"/>
      <c r="CH457" s="60"/>
      <c r="CI457" s="60"/>
      <c r="CJ457" s="60"/>
      <c r="CK457" s="60"/>
      <c r="CL457" s="60"/>
      <c r="CM457" s="60"/>
      <c r="CN457" s="60"/>
      <c r="CO457" s="60"/>
      <c r="CP457" s="60"/>
      <c r="CQ457" s="60"/>
      <c r="CR457" s="60"/>
      <c r="CS457" s="60"/>
      <c r="CT457" s="60"/>
      <c r="CU457" s="60"/>
      <c r="CV457" s="60"/>
      <c r="CW457" s="60"/>
      <c r="CX457" s="60"/>
      <c r="CY457" s="60"/>
      <c r="CZ457" s="60"/>
      <c r="DA457" s="60"/>
      <c r="DB457" s="60"/>
      <c r="DC457" s="60"/>
      <c r="DD457" s="60"/>
      <c r="DE457" s="60"/>
      <c r="DF457" s="60"/>
      <c r="DG457" s="60"/>
      <c r="DH457" s="60"/>
      <c r="DI457" s="60"/>
      <c r="DJ457" s="60"/>
      <c r="DK457" s="60"/>
      <c r="DL457" s="60"/>
      <c r="DM457" s="60"/>
      <c r="DN457" s="60"/>
      <c r="DO457" s="60"/>
      <c r="DP457" s="60"/>
      <c r="DQ457" s="60"/>
      <c r="DR457" s="60"/>
      <c r="DS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  <c r="BX458" s="60"/>
      <c r="BY458" s="60"/>
      <c r="BZ458" s="60"/>
      <c r="CA458" s="60"/>
      <c r="CB458" s="60"/>
      <c r="CC458" s="60"/>
      <c r="CD458" s="60"/>
      <c r="CE458" s="60"/>
      <c r="CF458" s="60"/>
      <c r="CG458" s="60"/>
      <c r="CH458" s="60"/>
      <c r="CI458" s="60"/>
      <c r="CJ458" s="60"/>
      <c r="CK458" s="60"/>
      <c r="CL458" s="60"/>
      <c r="CM458" s="60"/>
      <c r="CN458" s="60"/>
      <c r="CO458" s="60"/>
      <c r="CP458" s="60"/>
      <c r="CQ458" s="60"/>
      <c r="CR458" s="60"/>
      <c r="CS458" s="60"/>
      <c r="CT458" s="60"/>
      <c r="CU458" s="60"/>
      <c r="CV458" s="60"/>
      <c r="CW458" s="60"/>
      <c r="CX458" s="60"/>
      <c r="CY458" s="60"/>
      <c r="CZ458" s="60"/>
      <c r="DA458" s="60"/>
      <c r="DB458" s="60"/>
      <c r="DC458" s="60"/>
      <c r="DD458" s="60"/>
      <c r="DE458" s="60"/>
      <c r="DF458" s="60"/>
      <c r="DG458" s="60"/>
      <c r="DH458" s="60"/>
      <c r="DI458" s="60"/>
      <c r="DJ458" s="60"/>
      <c r="DK458" s="60"/>
      <c r="DL458" s="60"/>
      <c r="DM458" s="60"/>
      <c r="DN458" s="60"/>
      <c r="DO458" s="60"/>
      <c r="DP458" s="60"/>
      <c r="DQ458" s="60"/>
      <c r="DR458" s="60"/>
      <c r="DS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  <c r="BY459" s="60"/>
      <c r="BZ459" s="60"/>
      <c r="CA459" s="60"/>
      <c r="CB459" s="60"/>
      <c r="CC459" s="60"/>
      <c r="CD459" s="60"/>
      <c r="CE459" s="60"/>
      <c r="CF459" s="60"/>
      <c r="CG459" s="60"/>
      <c r="CH459" s="60"/>
      <c r="CI459" s="60"/>
      <c r="CJ459" s="60"/>
      <c r="CK459" s="60"/>
      <c r="CL459" s="60"/>
      <c r="CM459" s="60"/>
      <c r="CN459" s="60"/>
      <c r="CO459" s="60"/>
      <c r="CP459" s="60"/>
      <c r="CQ459" s="60"/>
      <c r="CR459" s="60"/>
      <c r="CS459" s="60"/>
      <c r="CT459" s="60"/>
      <c r="CU459" s="60"/>
      <c r="CV459" s="60"/>
      <c r="CW459" s="60"/>
      <c r="CX459" s="60"/>
      <c r="CY459" s="60"/>
      <c r="CZ459" s="60"/>
      <c r="DA459" s="60"/>
      <c r="DB459" s="60"/>
      <c r="DC459" s="60"/>
      <c r="DD459" s="60"/>
      <c r="DE459" s="60"/>
      <c r="DF459" s="60"/>
      <c r="DG459" s="60"/>
      <c r="DH459" s="60"/>
      <c r="DI459" s="60"/>
      <c r="DJ459" s="60"/>
      <c r="DK459" s="60"/>
      <c r="DL459" s="60"/>
      <c r="DM459" s="60"/>
      <c r="DN459" s="60"/>
      <c r="DO459" s="60"/>
      <c r="DP459" s="60"/>
      <c r="DQ459" s="60"/>
      <c r="DR459" s="60"/>
      <c r="DS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  <c r="BX460" s="60"/>
      <c r="BY460" s="60"/>
      <c r="BZ460" s="60"/>
      <c r="CA460" s="60"/>
      <c r="CB460" s="60"/>
      <c r="CC460" s="60"/>
      <c r="CD460" s="60"/>
      <c r="CE460" s="60"/>
      <c r="CF460" s="60"/>
      <c r="CG460" s="60"/>
      <c r="CH460" s="60"/>
      <c r="CI460" s="60"/>
      <c r="CJ460" s="60"/>
      <c r="CK460" s="60"/>
      <c r="CL460" s="60"/>
      <c r="CM460" s="60"/>
      <c r="CN460" s="60"/>
      <c r="CO460" s="60"/>
      <c r="CP460" s="60"/>
      <c r="CQ460" s="60"/>
      <c r="CR460" s="60"/>
      <c r="CS460" s="60"/>
      <c r="CT460" s="60"/>
      <c r="CU460" s="60"/>
      <c r="CV460" s="60"/>
      <c r="CW460" s="60"/>
      <c r="CX460" s="60"/>
      <c r="CY460" s="60"/>
      <c r="CZ460" s="60"/>
      <c r="DA460" s="60"/>
      <c r="DB460" s="60"/>
      <c r="DC460" s="60"/>
      <c r="DD460" s="60"/>
      <c r="DE460" s="60"/>
      <c r="DF460" s="60"/>
      <c r="DG460" s="60"/>
      <c r="DH460" s="60"/>
      <c r="DI460" s="60"/>
      <c r="DJ460" s="60"/>
      <c r="DK460" s="60"/>
      <c r="DL460" s="60"/>
      <c r="DM460" s="60"/>
      <c r="DN460" s="60"/>
      <c r="DO460" s="60"/>
      <c r="DP460" s="60"/>
      <c r="DQ460" s="60"/>
      <c r="DR460" s="60"/>
      <c r="DS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  <c r="BY461" s="60"/>
      <c r="BZ461" s="60"/>
      <c r="CA461" s="60"/>
      <c r="CB461" s="60"/>
      <c r="CC461" s="60"/>
      <c r="CD461" s="60"/>
      <c r="CE461" s="60"/>
      <c r="CF461" s="60"/>
      <c r="CG461" s="60"/>
      <c r="CH461" s="60"/>
      <c r="CI461" s="60"/>
      <c r="CJ461" s="60"/>
      <c r="CK461" s="60"/>
      <c r="CL461" s="60"/>
      <c r="CM461" s="60"/>
      <c r="CN461" s="60"/>
      <c r="CO461" s="60"/>
      <c r="CP461" s="60"/>
      <c r="CQ461" s="60"/>
      <c r="CR461" s="60"/>
      <c r="CS461" s="60"/>
      <c r="CT461" s="60"/>
      <c r="CU461" s="60"/>
      <c r="CV461" s="60"/>
      <c r="CW461" s="60"/>
      <c r="CX461" s="60"/>
      <c r="CY461" s="60"/>
      <c r="CZ461" s="60"/>
      <c r="DA461" s="60"/>
      <c r="DB461" s="60"/>
      <c r="DC461" s="60"/>
      <c r="DD461" s="60"/>
      <c r="DE461" s="60"/>
      <c r="DF461" s="60"/>
      <c r="DG461" s="60"/>
      <c r="DH461" s="60"/>
      <c r="DI461" s="60"/>
      <c r="DJ461" s="60"/>
      <c r="DK461" s="60"/>
      <c r="DL461" s="60"/>
      <c r="DM461" s="60"/>
      <c r="DN461" s="60"/>
      <c r="DO461" s="60"/>
      <c r="DP461" s="60"/>
      <c r="DQ461" s="60"/>
      <c r="DR461" s="60"/>
      <c r="DS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60"/>
      <c r="BJ462" s="60"/>
      <c r="BK462" s="60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  <c r="BX462" s="60"/>
      <c r="BY462" s="60"/>
      <c r="BZ462" s="60"/>
      <c r="CA462" s="60"/>
      <c r="CB462" s="60"/>
      <c r="CC462" s="60"/>
      <c r="CD462" s="60"/>
      <c r="CE462" s="60"/>
      <c r="CF462" s="60"/>
      <c r="CG462" s="60"/>
      <c r="CH462" s="60"/>
      <c r="CI462" s="60"/>
      <c r="CJ462" s="60"/>
      <c r="CK462" s="60"/>
      <c r="CL462" s="60"/>
      <c r="CM462" s="60"/>
      <c r="CN462" s="60"/>
      <c r="CO462" s="60"/>
      <c r="CP462" s="60"/>
      <c r="CQ462" s="60"/>
      <c r="CR462" s="60"/>
      <c r="CS462" s="60"/>
      <c r="CT462" s="60"/>
      <c r="CU462" s="60"/>
      <c r="CV462" s="60"/>
      <c r="CW462" s="60"/>
      <c r="CX462" s="60"/>
      <c r="CY462" s="60"/>
      <c r="CZ462" s="60"/>
      <c r="DA462" s="60"/>
      <c r="DB462" s="60"/>
      <c r="DC462" s="60"/>
      <c r="DD462" s="60"/>
      <c r="DE462" s="60"/>
      <c r="DF462" s="60"/>
      <c r="DG462" s="60"/>
      <c r="DH462" s="60"/>
      <c r="DI462" s="60"/>
      <c r="DJ462" s="60"/>
      <c r="DK462" s="60"/>
      <c r="DL462" s="60"/>
      <c r="DM462" s="60"/>
      <c r="DN462" s="60"/>
      <c r="DO462" s="60"/>
      <c r="DP462" s="60"/>
      <c r="DQ462" s="60"/>
      <c r="DR462" s="60"/>
      <c r="DS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  <c r="BY463" s="60"/>
      <c r="BZ463" s="60"/>
      <c r="CA463" s="60"/>
      <c r="CB463" s="60"/>
      <c r="CC463" s="60"/>
      <c r="CD463" s="60"/>
      <c r="CE463" s="60"/>
      <c r="CF463" s="60"/>
      <c r="CG463" s="60"/>
      <c r="CH463" s="60"/>
      <c r="CI463" s="60"/>
      <c r="CJ463" s="60"/>
      <c r="CK463" s="60"/>
      <c r="CL463" s="60"/>
      <c r="CM463" s="60"/>
      <c r="CN463" s="60"/>
      <c r="CO463" s="60"/>
      <c r="CP463" s="60"/>
      <c r="CQ463" s="60"/>
      <c r="CR463" s="60"/>
      <c r="CS463" s="60"/>
      <c r="CT463" s="60"/>
      <c r="CU463" s="60"/>
      <c r="CV463" s="60"/>
      <c r="CW463" s="60"/>
      <c r="CX463" s="60"/>
      <c r="CY463" s="60"/>
      <c r="CZ463" s="60"/>
      <c r="DA463" s="60"/>
      <c r="DB463" s="60"/>
      <c r="DC463" s="60"/>
      <c r="DD463" s="60"/>
      <c r="DE463" s="60"/>
      <c r="DF463" s="60"/>
      <c r="DG463" s="60"/>
      <c r="DH463" s="60"/>
      <c r="DI463" s="60"/>
      <c r="DJ463" s="60"/>
      <c r="DK463" s="60"/>
      <c r="DL463" s="60"/>
      <c r="DM463" s="60"/>
      <c r="DN463" s="60"/>
      <c r="DO463" s="60"/>
      <c r="DP463" s="60"/>
      <c r="DQ463" s="60"/>
      <c r="DR463" s="60"/>
      <c r="DS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60"/>
      <c r="BJ464" s="60"/>
      <c r="BK464" s="60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  <c r="BX464" s="60"/>
      <c r="BY464" s="60"/>
      <c r="BZ464" s="60"/>
      <c r="CA464" s="60"/>
      <c r="CB464" s="60"/>
      <c r="CC464" s="60"/>
      <c r="CD464" s="60"/>
      <c r="CE464" s="60"/>
      <c r="CF464" s="60"/>
      <c r="CG464" s="60"/>
      <c r="CH464" s="60"/>
      <c r="CI464" s="60"/>
      <c r="CJ464" s="60"/>
      <c r="CK464" s="60"/>
      <c r="CL464" s="60"/>
      <c r="CM464" s="60"/>
      <c r="CN464" s="60"/>
      <c r="CO464" s="60"/>
      <c r="CP464" s="60"/>
      <c r="CQ464" s="60"/>
      <c r="CR464" s="60"/>
      <c r="CS464" s="60"/>
      <c r="CT464" s="60"/>
      <c r="CU464" s="60"/>
      <c r="CV464" s="60"/>
      <c r="CW464" s="60"/>
      <c r="CX464" s="60"/>
      <c r="CY464" s="60"/>
      <c r="CZ464" s="60"/>
      <c r="DA464" s="60"/>
      <c r="DB464" s="60"/>
      <c r="DC464" s="60"/>
      <c r="DD464" s="60"/>
      <c r="DE464" s="60"/>
      <c r="DF464" s="60"/>
      <c r="DG464" s="60"/>
      <c r="DH464" s="60"/>
      <c r="DI464" s="60"/>
      <c r="DJ464" s="60"/>
      <c r="DK464" s="60"/>
      <c r="DL464" s="60"/>
      <c r="DM464" s="60"/>
      <c r="DN464" s="60"/>
      <c r="DO464" s="60"/>
      <c r="DP464" s="60"/>
      <c r="DQ464" s="60"/>
      <c r="DR464" s="60"/>
      <c r="DS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  <c r="BY465" s="60"/>
      <c r="BZ465" s="60"/>
      <c r="CA465" s="60"/>
      <c r="CB465" s="60"/>
      <c r="CC465" s="60"/>
      <c r="CD465" s="60"/>
      <c r="CE465" s="60"/>
      <c r="CF465" s="60"/>
      <c r="CG465" s="60"/>
      <c r="CH465" s="60"/>
      <c r="CI465" s="60"/>
      <c r="CJ465" s="60"/>
      <c r="CK465" s="60"/>
      <c r="CL465" s="60"/>
      <c r="CM465" s="60"/>
      <c r="CN465" s="60"/>
      <c r="CO465" s="60"/>
      <c r="CP465" s="60"/>
      <c r="CQ465" s="60"/>
      <c r="CR465" s="60"/>
      <c r="CS465" s="60"/>
      <c r="CT465" s="60"/>
      <c r="CU465" s="60"/>
      <c r="CV465" s="60"/>
      <c r="CW465" s="60"/>
      <c r="CX465" s="60"/>
      <c r="CY465" s="60"/>
      <c r="CZ465" s="60"/>
      <c r="DA465" s="60"/>
      <c r="DB465" s="60"/>
      <c r="DC465" s="60"/>
      <c r="DD465" s="60"/>
      <c r="DE465" s="60"/>
      <c r="DF465" s="60"/>
      <c r="DG465" s="60"/>
      <c r="DH465" s="60"/>
      <c r="DI465" s="60"/>
      <c r="DJ465" s="60"/>
      <c r="DK465" s="60"/>
      <c r="DL465" s="60"/>
      <c r="DM465" s="60"/>
      <c r="DN465" s="60"/>
      <c r="DO465" s="60"/>
      <c r="DP465" s="60"/>
      <c r="DQ465" s="60"/>
      <c r="DR465" s="60"/>
      <c r="DS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60"/>
      <c r="BJ466" s="60"/>
      <c r="BK466" s="60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  <c r="BX466" s="60"/>
      <c r="BY466" s="60"/>
      <c r="BZ466" s="60"/>
      <c r="CA466" s="60"/>
      <c r="CB466" s="60"/>
      <c r="CC466" s="60"/>
      <c r="CD466" s="60"/>
      <c r="CE466" s="60"/>
      <c r="CF466" s="60"/>
      <c r="CG466" s="60"/>
      <c r="CH466" s="60"/>
      <c r="CI466" s="60"/>
      <c r="CJ466" s="60"/>
      <c r="CK466" s="60"/>
      <c r="CL466" s="60"/>
      <c r="CM466" s="60"/>
      <c r="CN466" s="60"/>
      <c r="CO466" s="60"/>
      <c r="CP466" s="60"/>
      <c r="CQ466" s="60"/>
      <c r="CR466" s="60"/>
      <c r="CS466" s="60"/>
      <c r="CT466" s="60"/>
      <c r="CU466" s="60"/>
      <c r="CV466" s="60"/>
      <c r="CW466" s="60"/>
      <c r="CX466" s="60"/>
      <c r="CY466" s="60"/>
      <c r="CZ466" s="60"/>
      <c r="DA466" s="60"/>
      <c r="DB466" s="60"/>
      <c r="DC466" s="60"/>
      <c r="DD466" s="60"/>
      <c r="DE466" s="60"/>
      <c r="DF466" s="60"/>
      <c r="DG466" s="60"/>
      <c r="DH466" s="60"/>
      <c r="DI466" s="60"/>
      <c r="DJ466" s="60"/>
      <c r="DK466" s="60"/>
      <c r="DL466" s="60"/>
      <c r="DM466" s="60"/>
      <c r="DN466" s="60"/>
      <c r="DO466" s="60"/>
      <c r="DP466" s="60"/>
      <c r="DQ466" s="60"/>
      <c r="DR466" s="60"/>
      <c r="DS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  <c r="BY467" s="60"/>
      <c r="BZ467" s="60"/>
      <c r="CA467" s="60"/>
      <c r="CB467" s="60"/>
      <c r="CC467" s="60"/>
      <c r="CD467" s="60"/>
      <c r="CE467" s="60"/>
      <c r="CF467" s="60"/>
      <c r="CG467" s="60"/>
      <c r="CH467" s="60"/>
      <c r="CI467" s="60"/>
      <c r="CJ467" s="60"/>
      <c r="CK467" s="60"/>
      <c r="CL467" s="60"/>
      <c r="CM467" s="60"/>
      <c r="CN467" s="60"/>
      <c r="CO467" s="60"/>
      <c r="CP467" s="60"/>
      <c r="CQ467" s="60"/>
      <c r="CR467" s="60"/>
      <c r="CS467" s="60"/>
      <c r="CT467" s="60"/>
      <c r="CU467" s="60"/>
      <c r="CV467" s="60"/>
      <c r="CW467" s="60"/>
      <c r="CX467" s="60"/>
      <c r="CY467" s="60"/>
      <c r="CZ467" s="60"/>
      <c r="DA467" s="60"/>
      <c r="DB467" s="60"/>
      <c r="DC467" s="60"/>
      <c r="DD467" s="60"/>
      <c r="DE467" s="60"/>
      <c r="DF467" s="60"/>
      <c r="DG467" s="60"/>
      <c r="DH467" s="60"/>
      <c r="DI467" s="60"/>
      <c r="DJ467" s="60"/>
      <c r="DK467" s="60"/>
      <c r="DL467" s="60"/>
      <c r="DM467" s="60"/>
      <c r="DN467" s="60"/>
      <c r="DO467" s="60"/>
      <c r="DP467" s="60"/>
      <c r="DQ467" s="60"/>
      <c r="DR467" s="60"/>
      <c r="DS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60"/>
      <c r="BJ468" s="60"/>
      <c r="BK468" s="60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  <c r="BX468" s="60"/>
      <c r="BY468" s="60"/>
      <c r="BZ468" s="60"/>
      <c r="CA468" s="60"/>
      <c r="CB468" s="60"/>
      <c r="CC468" s="60"/>
      <c r="CD468" s="60"/>
      <c r="CE468" s="60"/>
      <c r="CF468" s="60"/>
      <c r="CG468" s="60"/>
      <c r="CH468" s="60"/>
      <c r="CI468" s="60"/>
      <c r="CJ468" s="60"/>
      <c r="CK468" s="60"/>
      <c r="CL468" s="60"/>
      <c r="CM468" s="60"/>
      <c r="CN468" s="60"/>
      <c r="CO468" s="60"/>
      <c r="CP468" s="60"/>
      <c r="CQ468" s="60"/>
      <c r="CR468" s="60"/>
      <c r="CS468" s="60"/>
      <c r="CT468" s="60"/>
      <c r="CU468" s="60"/>
      <c r="CV468" s="60"/>
      <c r="CW468" s="60"/>
      <c r="CX468" s="60"/>
      <c r="CY468" s="60"/>
      <c r="CZ468" s="60"/>
      <c r="DA468" s="60"/>
      <c r="DB468" s="60"/>
      <c r="DC468" s="60"/>
      <c r="DD468" s="60"/>
      <c r="DE468" s="60"/>
      <c r="DF468" s="60"/>
      <c r="DG468" s="60"/>
      <c r="DH468" s="60"/>
      <c r="DI468" s="60"/>
      <c r="DJ468" s="60"/>
      <c r="DK468" s="60"/>
      <c r="DL468" s="60"/>
      <c r="DM468" s="60"/>
      <c r="DN468" s="60"/>
      <c r="DO468" s="60"/>
      <c r="DP468" s="60"/>
      <c r="DQ468" s="60"/>
      <c r="DR468" s="60"/>
      <c r="DS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  <c r="CD469" s="60"/>
      <c r="CE469" s="60"/>
      <c r="CF469" s="60"/>
      <c r="CG469" s="60"/>
      <c r="CH469" s="60"/>
      <c r="CI469" s="60"/>
      <c r="CJ469" s="60"/>
      <c r="CK469" s="60"/>
      <c r="CL469" s="60"/>
      <c r="CM469" s="60"/>
      <c r="CN469" s="60"/>
      <c r="CO469" s="60"/>
      <c r="CP469" s="60"/>
      <c r="CQ469" s="60"/>
      <c r="CR469" s="60"/>
      <c r="CS469" s="60"/>
      <c r="CT469" s="60"/>
      <c r="CU469" s="60"/>
      <c r="CV469" s="60"/>
      <c r="CW469" s="60"/>
      <c r="CX469" s="60"/>
      <c r="CY469" s="60"/>
      <c r="CZ469" s="60"/>
      <c r="DA469" s="60"/>
      <c r="DB469" s="60"/>
      <c r="DC469" s="60"/>
      <c r="DD469" s="60"/>
      <c r="DE469" s="60"/>
      <c r="DF469" s="60"/>
      <c r="DG469" s="60"/>
      <c r="DH469" s="60"/>
      <c r="DI469" s="60"/>
      <c r="DJ469" s="60"/>
      <c r="DK469" s="60"/>
      <c r="DL469" s="60"/>
      <c r="DM469" s="60"/>
      <c r="DN469" s="60"/>
      <c r="DO469" s="60"/>
      <c r="DP469" s="60"/>
      <c r="DQ469" s="60"/>
      <c r="DR469" s="60"/>
      <c r="DS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60"/>
      <c r="BJ470" s="60"/>
      <c r="BK470" s="60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  <c r="BX470" s="60"/>
      <c r="BY470" s="60"/>
      <c r="BZ470" s="60"/>
      <c r="CA470" s="60"/>
      <c r="CB470" s="60"/>
      <c r="CC470" s="60"/>
      <c r="CD470" s="60"/>
      <c r="CE470" s="60"/>
      <c r="CF470" s="60"/>
      <c r="CG470" s="60"/>
      <c r="CH470" s="60"/>
      <c r="CI470" s="60"/>
      <c r="CJ470" s="60"/>
      <c r="CK470" s="60"/>
      <c r="CL470" s="60"/>
      <c r="CM470" s="60"/>
      <c r="CN470" s="60"/>
      <c r="CO470" s="60"/>
      <c r="CP470" s="60"/>
      <c r="CQ470" s="60"/>
      <c r="CR470" s="60"/>
      <c r="CS470" s="60"/>
      <c r="CT470" s="60"/>
      <c r="CU470" s="60"/>
      <c r="CV470" s="60"/>
      <c r="CW470" s="60"/>
      <c r="CX470" s="60"/>
      <c r="CY470" s="60"/>
      <c r="CZ470" s="60"/>
      <c r="DA470" s="60"/>
      <c r="DB470" s="60"/>
      <c r="DC470" s="60"/>
      <c r="DD470" s="60"/>
      <c r="DE470" s="60"/>
      <c r="DF470" s="60"/>
      <c r="DG470" s="60"/>
      <c r="DH470" s="60"/>
      <c r="DI470" s="60"/>
      <c r="DJ470" s="60"/>
      <c r="DK470" s="60"/>
      <c r="DL470" s="60"/>
      <c r="DM470" s="60"/>
      <c r="DN470" s="60"/>
      <c r="DO470" s="60"/>
      <c r="DP470" s="60"/>
      <c r="DQ470" s="60"/>
      <c r="DR470" s="60"/>
      <c r="DS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  <c r="BY471" s="60"/>
      <c r="BZ471" s="60"/>
      <c r="CA471" s="60"/>
      <c r="CB471" s="60"/>
      <c r="CC471" s="60"/>
      <c r="CD471" s="60"/>
      <c r="CE471" s="60"/>
      <c r="CF471" s="60"/>
      <c r="CG471" s="60"/>
      <c r="CH471" s="60"/>
      <c r="CI471" s="60"/>
      <c r="CJ471" s="60"/>
      <c r="CK471" s="60"/>
      <c r="CL471" s="60"/>
      <c r="CM471" s="60"/>
      <c r="CN471" s="60"/>
      <c r="CO471" s="60"/>
      <c r="CP471" s="60"/>
      <c r="CQ471" s="60"/>
      <c r="CR471" s="60"/>
      <c r="CS471" s="60"/>
      <c r="CT471" s="60"/>
      <c r="CU471" s="60"/>
      <c r="CV471" s="60"/>
      <c r="CW471" s="60"/>
      <c r="CX471" s="60"/>
      <c r="CY471" s="60"/>
      <c r="CZ471" s="60"/>
      <c r="DA471" s="60"/>
      <c r="DB471" s="60"/>
      <c r="DC471" s="60"/>
      <c r="DD471" s="60"/>
      <c r="DE471" s="60"/>
      <c r="DF471" s="60"/>
      <c r="DG471" s="60"/>
      <c r="DH471" s="60"/>
      <c r="DI471" s="60"/>
      <c r="DJ471" s="60"/>
      <c r="DK471" s="60"/>
      <c r="DL471" s="60"/>
      <c r="DM471" s="60"/>
      <c r="DN471" s="60"/>
      <c r="DO471" s="60"/>
      <c r="DP471" s="60"/>
      <c r="DQ471" s="60"/>
      <c r="DR471" s="60"/>
      <c r="DS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60"/>
      <c r="BJ472" s="60"/>
      <c r="BK472" s="60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  <c r="BX472" s="60"/>
      <c r="BY472" s="60"/>
      <c r="BZ472" s="60"/>
      <c r="CA472" s="60"/>
      <c r="CB472" s="60"/>
      <c r="CC472" s="60"/>
      <c r="CD472" s="60"/>
      <c r="CE472" s="60"/>
      <c r="CF472" s="60"/>
      <c r="CG472" s="60"/>
      <c r="CH472" s="60"/>
      <c r="CI472" s="60"/>
      <c r="CJ472" s="60"/>
      <c r="CK472" s="60"/>
      <c r="CL472" s="60"/>
      <c r="CM472" s="60"/>
      <c r="CN472" s="60"/>
      <c r="CO472" s="60"/>
      <c r="CP472" s="60"/>
      <c r="CQ472" s="60"/>
      <c r="CR472" s="60"/>
      <c r="CS472" s="60"/>
      <c r="CT472" s="60"/>
      <c r="CU472" s="60"/>
      <c r="CV472" s="60"/>
      <c r="CW472" s="60"/>
      <c r="CX472" s="60"/>
      <c r="CY472" s="60"/>
      <c r="CZ472" s="60"/>
      <c r="DA472" s="60"/>
      <c r="DB472" s="60"/>
      <c r="DC472" s="60"/>
      <c r="DD472" s="60"/>
      <c r="DE472" s="60"/>
      <c r="DF472" s="60"/>
      <c r="DG472" s="60"/>
      <c r="DH472" s="60"/>
      <c r="DI472" s="60"/>
      <c r="DJ472" s="60"/>
      <c r="DK472" s="60"/>
      <c r="DL472" s="60"/>
      <c r="DM472" s="60"/>
      <c r="DN472" s="60"/>
      <c r="DO472" s="60"/>
      <c r="DP472" s="60"/>
      <c r="DQ472" s="60"/>
      <c r="DR472" s="60"/>
      <c r="DS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0"/>
      <c r="CA473" s="60"/>
      <c r="CB473" s="60"/>
      <c r="CC473" s="60"/>
      <c r="CD473" s="60"/>
      <c r="CE473" s="60"/>
      <c r="CF473" s="60"/>
      <c r="CG473" s="60"/>
      <c r="CH473" s="60"/>
      <c r="CI473" s="60"/>
      <c r="CJ473" s="60"/>
      <c r="CK473" s="60"/>
      <c r="CL473" s="60"/>
      <c r="CM473" s="60"/>
      <c r="CN473" s="60"/>
      <c r="CO473" s="60"/>
      <c r="CP473" s="60"/>
      <c r="CQ473" s="60"/>
      <c r="CR473" s="60"/>
      <c r="CS473" s="60"/>
      <c r="CT473" s="60"/>
      <c r="CU473" s="60"/>
      <c r="CV473" s="60"/>
      <c r="CW473" s="60"/>
      <c r="CX473" s="60"/>
      <c r="CY473" s="60"/>
      <c r="CZ473" s="60"/>
      <c r="DA473" s="60"/>
      <c r="DB473" s="60"/>
      <c r="DC473" s="60"/>
      <c r="DD473" s="60"/>
      <c r="DE473" s="60"/>
      <c r="DF473" s="60"/>
      <c r="DG473" s="60"/>
      <c r="DH473" s="60"/>
      <c r="DI473" s="60"/>
      <c r="DJ473" s="60"/>
      <c r="DK473" s="60"/>
      <c r="DL473" s="60"/>
      <c r="DM473" s="60"/>
      <c r="DN473" s="60"/>
      <c r="DO473" s="60"/>
      <c r="DP473" s="60"/>
      <c r="DQ473" s="60"/>
      <c r="DR473" s="60"/>
      <c r="DS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60"/>
      <c r="BJ474" s="60"/>
      <c r="BK474" s="60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  <c r="BX474" s="60"/>
      <c r="BY474" s="60"/>
      <c r="BZ474" s="60"/>
      <c r="CA474" s="60"/>
      <c r="CB474" s="60"/>
      <c r="CC474" s="60"/>
      <c r="CD474" s="60"/>
      <c r="CE474" s="60"/>
      <c r="CF474" s="60"/>
      <c r="CG474" s="60"/>
      <c r="CH474" s="60"/>
      <c r="CI474" s="60"/>
      <c r="CJ474" s="60"/>
      <c r="CK474" s="60"/>
      <c r="CL474" s="60"/>
      <c r="CM474" s="60"/>
      <c r="CN474" s="60"/>
      <c r="CO474" s="60"/>
      <c r="CP474" s="60"/>
      <c r="CQ474" s="60"/>
      <c r="CR474" s="60"/>
      <c r="CS474" s="60"/>
      <c r="CT474" s="60"/>
      <c r="CU474" s="60"/>
      <c r="CV474" s="60"/>
      <c r="CW474" s="60"/>
      <c r="CX474" s="60"/>
      <c r="CY474" s="60"/>
      <c r="CZ474" s="60"/>
      <c r="DA474" s="60"/>
      <c r="DB474" s="60"/>
      <c r="DC474" s="60"/>
      <c r="DD474" s="60"/>
      <c r="DE474" s="60"/>
      <c r="DF474" s="60"/>
      <c r="DG474" s="60"/>
      <c r="DH474" s="60"/>
      <c r="DI474" s="60"/>
      <c r="DJ474" s="60"/>
      <c r="DK474" s="60"/>
      <c r="DL474" s="60"/>
      <c r="DM474" s="60"/>
      <c r="DN474" s="60"/>
      <c r="DO474" s="60"/>
      <c r="DP474" s="60"/>
      <c r="DQ474" s="60"/>
      <c r="DR474" s="60"/>
      <c r="DS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  <c r="BY475" s="60"/>
      <c r="BZ475" s="60"/>
      <c r="CA475" s="60"/>
      <c r="CB475" s="60"/>
      <c r="CC475" s="60"/>
      <c r="CD475" s="60"/>
      <c r="CE475" s="60"/>
      <c r="CF475" s="60"/>
      <c r="CG475" s="60"/>
      <c r="CH475" s="60"/>
      <c r="CI475" s="60"/>
      <c r="CJ475" s="60"/>
      <c r="CK475" s="60"/>
      <c r="CL475" s="60"/>
      <c r="CM475" s="60"/>
      <c r="CN475" s="60"/>
      <c r="CO475" s="60"/>
      <c r="CP475" s="60"/>
      <c r="CQ475" s="60"/>
      <c r="CR475" s="60"/>
      <c r="CS475" s="60"/>
      <c r="CT475" s="60"/>
      <c r="CU475" s="60"/>
      <c r="CV475" s="60"/>
      <c r="CW475" s="60"/>
      <c r="CX475" s="60"/>
      <c r="CY475" s="60"/>
      <c r="CZ475" s="60"/>
      <c r="DA475" s="60"/>
      <c r="DB475" s="60"/>
      <c r="DC475" s="60"/>
      <c r="DD475" s="60"/>
      <c r="DE475" s="60"/>
      <c r="DF475" s="60"/>
      <c r="DG475" s="60"/>
      <c r="DH475" s="60"/>
      <c r="DI475" s="60"/>
      <c r="DJ475" s="60"/>
      <c r="DK475" s="60"/>
      <c r="DL475" s="60"/>
      <c r="DM475" s="60"/>
      <c r="DN475" s="60"/>
      <c r="DO475" s="60"/>
      <c r="DP475" s="60"/>
      <c r="DQ475" s="60"/>
      <c r="DR475" s="60"/>
      <c r="DS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60"/>
      <c r="BJ476" s="60"/>
      <c r="BK476" s="60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  <c r="BX476" s="60"/>
      <c r="BY476" s="60"/>
      <c r="BZ476" s="60"/>
      <c r="CA476" s="60"/>
      <c r="CB476" s="60"/>
      <c r="CC476" s="60"/>
      <c r="CD476" s="60"/>
      <c r="CE476" s="60"/>
      <c r="CF476" s="60"/>
      <c r="CG476" s="60"/>
      <c r="CH476" s="60"/>
      <c r="CI476" s="60"/>
      <c r="CJ476" s="60"/>
      <c r="CK476" s="60"/>
      <c r="CL476" s="60"/>
      <c r="CM476" s="60"/>
      <c r="CN476" s="60"/>
      <c r="CO476" s="60"/>
      <c r="CP476" s="60"/>
      <c r="CQ476" s="60"/>
      <c r="CR476" s="60"/>
      <c r="CS476" s="60"/>
      <c r="CT476" s="60"/>
      <c r="CU476" s="60"/>
      <c r="CV476" s="60"/>
      <c r="CW476" s="60"/>
      <c r="CX476" s="60"/>
      <c r="CY476" s="60"/>
      <c r="CZ476" s="60"/>
      <c r="DA476" s="60"/>
      <c r="DB476" s="60"/>
      <c r="DC476" s="60"/>
      <c r="DD476" s="60"/>
      <c r="DE476" s="60"/>
      <c r="DF476" s="60"/>
      <c r="DG476" s="60"/>
      <c r="DH476" s="60"/>
      <c r="DI476" s="60"/>
      <c r="DJ476" s="60"/>
      <c r="DK476" s="60"/>
      <c r="DL476" s="60"/>
      <c r="DM476" s="60"/>
      <c r="DN476" s="60"/>
      <c r="DO476" s="60"/>
      <c r="DP476" s="60"/>
      <c r="DQ476" s="60"/>
      <c r="DR476" s="60"/>
      <c r="DS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  <c r="BY477" s="60"/>
      <c r="BZ477" s="60"/>
      <c r="CA477" s="60"/>
      <c r="CB477" s="60"/>
      <c r="CC477" s="60"/>
      <c r="CD477" s="60"/>
      <c r="CE477" s="60"/>
      <c r="CF477" s="60"/>
      <c r="CG477" s="60"/>
      <c r="CH477" s="60"/>
      <c r="CI477" s="60"/>
      <c r="CJ477" s="60"/>
      <c r="CK477" s="60"/>
      <c r="CL477" s="60"/>
      <c r="CM477" s="60"/>
      <c r="CN477" s="60"/>
      <c r="CO477" s="60"/>
      <c r="CP477" s="60"/>
      <c r="CQ477" s="60"/>
      <c r="CR477" s="60"/>
      <c r="CS477" s="60"/>
      <c r="CT477" s="60"/>
      <c r="CU477" s="60"/>
      <c r="CV477" s="60"/>
      <c r="CW477" s="60"/>
      <c r="CX477" s="60"/>
      <c r="CY477" s="60"/>
      <c r="CZ477" s="60"/>
      <c r="DA477" s="60"/>
      <c r="DB477" s="60"/>
      <c r="DC477" s="60"/>
      <c r="DD477" s="60"/>
      <c r="DE477" s="60"/>
      <c r="DF477" s="60"/>
      <c r="DG477" s="60"/>
      <c r="DH477" s="60"/>
      <c r="DI477" s="60"/>
      <c r="DJ477" s="60"/>
      <c r="DK477" s="60"/>
      <c r="DL477" s="60"/>
      <c r="DM477" s="60"/>
      <c r="DN477" s="60"/>
      <c r="DO477" s="60"/>
      <c r="DP477" s="60"/>
      <c r="DQ477" s="60"/>
      <c r="DR477" s="60"/>
      <c r="DS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60"/>
      <c r="BJ478" s="60"/>
      <c r="BK478" s="60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  <c r="BX478" s="60"/>
      <c r="BY478" s="60"/>
      <c r="BZ478" s="60"/>
      <c r="CA478" s="60"/>
      <c r="CB478" s="60"/>
      <c r="CC478" s="60"/>
      <c r="CD478" s="60"/>
      <c r="CE478" s="60"/>
      <c r="CF478" s="60"/>
      <c r="CG478" s="60"/>
      <c r="CH478" s="60"/>
      <c r="CI478" s="60"/>
      <c r="CJ478" s="60"/>
      <c r="CK478" s="60"/>
      <c r="CL478" s="60"/>
      <c r="CM478" s="60"/>
      <c r="CN478" s="60"/>
      <c r="CO478" s="60"/>
      <c r="CP478" s="60"/>
      <c r="CQ478" s="60"/>
      <c r="CR478" s="60"/>
      <c r="CS478" s="60"/>
      <c r="CT478" s="60"/>
      <c r="CU478" s="60"/>
      <c r="CV478" s="60"/>
      <c r="CW478" s="60"/>
      <c r="CX478" s="60"/>
      <c r="CY478" s="60"/>
      <c r="CZ478" s="60"/>
      <c r="DA478" s="60"/>
      <c r="DB478" s="60"/>
      <c r="DC478" s="60"/>
      <c r="DD478" s="60"/>
      <c r="DE478" s="60"/>
      <c r="DF478" s="60"/>
      <c r="DG478" s="60"/>
      <c r="DH478" s="60"/>
      <c r="DI478" s="60"/>
      <c r="DJ478" s="60"/>
      <c r="DK478" s="60"/>
      <c r="DL478" s="60"/>
      <c r="DM478" s="60"/>
      <c r="DN478" s="60"/>
      <c r="DO478" s="60"/>
      <c r="DP478" s="60"/>
      <c r="DQ478" s="60"/>
      <c r="DR478" s="60"/>
      <c r="DS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  <c r="BY479" s="60"/>
      <c r="BZ479" s="60"/>
      <c r="CA479" s="60"/>
      <c r="CB479" s="60"/>
      <c r="CC479" s="60"/>
      <c r="CD479" s="60"/>
      <c r="CE479" s="60"/>
      <c r="CF479" s="60"/>
      <c r="CG479" s="60"/>
      <c r="CH479" s="60"/>
      <c r="CI479" s="60"/>
      <c r="CJ479" s="60"/>
      <c r="CK479" s="60"/>
      <c r="CL479" s="60"/>
      <c r="CM479" s="60"/>
      <c r="CN479" s="60"/>
      <c r="CO479" s="60"/>
      <c r="CP479" s="60"/>
      <c r="CQ479" s="60"/>
      <c r="CR479" s="60"/>
      <c r="CS479" s="60"/>
      <c r="CT479" s="60"/>
      <c r="CU479" s="60"/>
      <c r="CV479" s="60"/>
      <c r="CW479" s="60"/>
      <c r="CX479" s="60"/>
      <c r="CY479" s="60"/>
      <c r="CZ479" s="60"/>
      <c r="DA479" s="60"/>
      <c r="DB479" s="60"/>
      <c r="DC479" s="60"/>
      <c r="DD479" s="60"/>
      <c r="DE479" s="60"/>
      <c r="DF479" s="60"/>
      <c r="DG479" s="60"/>
      <c r="DH479" s="60"/>
      <c r="DI479" s="60"/>
      <c r="DJ479" s="60"/>
      <c r="DK479" s="60"/>
      <c r="DL479" s="60"/>
      <c r="DM479" s="60"/>
      <c r="DN479" s="60"/>
      <c r="DO479" s="60"/>
      <c r="DP479" s="60"/>
      <c r="DQ479" s="60"/>
      <c r="DR479" s="60"/>
      <c r="DS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60"/>
      <c r="BJ480" s="60"/>
      <c r="BK480" s="60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  <c r="BX480" s="60"/>
      <c r="BY480" s="60"/>
      <c r="BZ480" s="60"/>
      <c r="CA480" s="60"/>
      <c r="CB480" s="60"/>
      <c r="CC480" s="60"/>
      <c r="CD480" s="60"/>
      <c r="CE480" s="60"/>
      <c r="CF480" s="60"/>
      <c r="CG480" s="60"/>
      <c r="CH480" s="60"/>
      <c r="CI480" s="60"/>
      <c r="CJ480" s="60"/>
      <c r="CK480" s="60"/>
      <c r="CL480" s="60"/>
      <c r="CM480" s="60"/>
      <c r="CN480" s="60"/>
      <c r="CO480" s="60"/>
      <c r="CP480" s="60"/>
      <c r="CQ480" s="60"/>
      <c r="CR480" s="60"/>
      <c r="CS480" s="60"/>
      <c r="CT480" s="60"/>
      <c r="CU480" s="60"/>
      <c r="CV480" s="60"/>
      <c r="CW480" s="60"/>
      <c r="CX480" s="60"/>
      <c r="CY480" s="60"/>
      <c r="CZ480" s="60"/>
      <c r="DA480" s="60"/>
      <c r="DB480" s="60"/>
      <c r="DC480" s="60"/>
      <c r="DD480" s="60"/>
      <c r="DE480" s="60"/>
      <c r="DF480" s="60"/>
      <c r="DG480" s="60"/>
      <c r="DH480" s="60"/>
      <c r="DI480" s="60"/>
      <c r="DJ480" s="60"/>
      <c r="DK480" s="60"/>
      <c r="DL480" s="60"/>
      <c r="DM480" s="60"/>
      <c r="DN480" s="60"/>
      <c r="DO480" s="60"/>
      <c r="DP480" s="60"/>
      <c r="DQ480" s="60"/>
      <c r="DR480" s="60"/>
      <c r="DS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  <c r="BY481" s="60"/>
      <c r="BZ481" s="60"/>
      <c r="CA481" s="60"/>
      <c r="CB481" s="60"/>
      <c r="CC481" s="60"/>
      <c r="CD481" s="60"/>
      <c r="CE481" s="60"/>
      <c r="CF481" s="60"/>
      <c r="CG481" s="60"/>
      <c r="CH481" s="60"/>
      <c r="CI481" s="60"/>
      <c r="CJ481" s="60"/>
      <c r="CK481" s="60"/>
      <c r="CL481" s="60"/>
      <c r="CM481" s="60"/>
      <c r="CN481" s="60"/>
      <c r="CO481" s="60"/>
      <c r="CP481" s="60"/>
      <c r="CQ481" s="60"/>
      <c r="CR481" s="60"/>
      <c r="CS481" s="60"/>
      <c r="CT481" s="60"/>
      <c r="CU481" s="60"/>
      <c r="CV481" s="60"/>
      <c r="CW481" s="60"/>
      <c r="CX481" s="60"/>
      <c r="CY481" s="60"/>
      <c r="CZ481" s="60"/>
      <c r="DA481" s="60"/>
      <c r="DB481" s="60"/>
      <c r="DC481" s="60"/>
      <c r="DD481" s="60"/>
      <c r="DE481" s="60"/>
      <c r="DF481" s="60"/>
      <c r="DG481" s="60"/>
      <c r="DH481" s="60"/>
      <c r="DI481" s="60"/>
      <c r="DJ481" s="60"/>
      <c r="DK481" s="60"/>
      <c r="DL481" s="60"/>
      <c r="DM481" s="60"/>
      <c r="DN481" s="60"/>
      <c r="DO481" s="60"/>
      <c r="DP481" s="60"/>
      <c r="DQ481" s="60"/>
      <c r="DR481" s="60"/>
      <c r="DS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60"/>
      <c r="BJ482" s="60"/>
      <c r="BK482" s="60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  <c r="BX482" s="60"/>
      <c r="BY482" s="60"/>
      <c r="BZ482" s="60"/>
      <c r="CA482" s="60"/>
      <c r="CB482" s="60"/>
      <c r="CC482" s="60"/>
      <c r="CD482" s="60"/>
      <c r="CE482" s="60"/>
      <c r="CF482" s="60"/>
      <c r="CG482" s="60"/>
      <c r="CH482" s="60"/>
      <c r="CI482" s="60"/>
      <c r="CJ482" s="60"/>
      <c r="CK482" s="60"/>
      <c r="CL482" s="60"/>
      <c r="CM482" s="60"/>
      <c r="CN482" s="60"/>
      <c r="CO482" s="60"/>
      <c r="CP482" s="60"/>
      <c r="CQ482" s="60"/>
      <c r="CR482" s="60"/>
      <c r="CS482" s="60"/>
      <c r="CT482" s="60"/>
      <c r="CU482" s="60"/>
      <c r="CV482" s="60"/>
      <c r="CW482" s="60"/>
      <c r="CX482" s="60"/>
      <c r="CY482" s="60"/>
      <c r="CZ482" s="60"/>
      <c r="DA482" s="60"/>
      <c r="DB482" s="60"/>
      <c r="DC482" s="60"/>
      <c r="DD482" s="60"/>
      <c r="DE482" s="60"/>
      <c r="DF482" s="60"/>
      <c r="DG482" s="60"/>
      <c r="DH482" s="60"/>
      <c r="DI482" s="60"/>
      <c r="DJ482" s="60"/>
      <c r="DK482" s="60"/>
      <c r="DL482" s="60"/>
      <c r="DM482" s="60"/>
      <c r="DN482" s="60"/>
      <c r="DO482" s="60"/>
      <c r="DP482" s="60"/>
      <c r="DQ482" s="60"/>
      <c r="DR482" s="60"/>
      <c r="DS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  <c r="BY483" s="60"/>
      <c r="BZ483" s="60"/>
      <c r="CA483" s="60"/>
      <c r="CB483" s="60"/>
      <c r="CC483" s="60"/>
      <c r="CD483" s="60"/>
      <c r="CE483" s="60"/>
      <c r="CF483" s="60"/>
      <c r="CG483" s="60"/>
      <c r="CH483" s="60"/>
      <c r="CI483" s="60"/>
      <c r="CJ483" s="60"/>
      <c r="CK483" s="60"/>
      <c r="CL483" s="60"/>
      <c r="CM483" s="60"/>
      <c r="CN483" s="60"/>
      <c r="CO483" s="60"/>
      <c r="CP483" s="60"/>
      <c r="CQ483" s="60"/>
      <c r="CR483" s="60"/>
      <c r="CS483" s="60"/>
      <c r="CT483" s="60"/>
      <c r="CU483" s="60"/>
      <c r="CV483" s="60"/>
      <c r="CW483" s="60"/>
      <c r="CX483" s="60"/>
      <c r="CY483" s="60"/>
      <c r="CZ483" s="60"/>
      <c r="DA483" s="60"/>
      <c r="DB483" s="60"/>
      <c r="DC483" s="60"/>
      <c r="DD483" s="60"/>
      <c r="DE483" s="60"/>
      <c r="DF483" s="60"/>
      <c r="DG483" s="60"/>
      <c r="DH483" s="60"/>
      <c r="DI483" s="60"/>
      <c r="DJ483" s="60"/>
      <c r="DK483" s="60"/>
      <c r="DL483" s="60"/>
      <c r="DM483" s="60"/>
      <c r="DN483" s="60"/>
      <c r="DO483" s="60"/>
      <c r="DP483" s="60"/>
      <c r="DQ483" s="60"/>
      <c r="DR483" s="60"/>
      <c r="DS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60"/>
      <c r="BJ484" s="60"/>
      <c r="BK484" s="60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  <c r="BX484" s="60"/>
      <c r="BY484" s="60"/>
      <c r="BZ484" s="60"/>
      <c r="CA484" s="60"/>
      <c r="CB484" s="60"/>
      <c r="CC484" s="60"/>
      <c r="CD484" s="60"/>
      <c r="CE484" s="60"/>
      <c r="CF484" s="60"/>
      <c r="CG484" s="60"/>
      <c r="CH484" s="60"/>
      <c r="CI484" s="60"/>
      <c r="CJ484" s="60"/>
      <c r="CK484" s="60"/>
      <c r="CL484" s="60"/>
      <c r="CM484" s="60"/>
      <c r="CN484" s="60"/>
      <c r="CO484" s="60"/>
      <c r="CP484" s="60"/>
      <c r="CQ484" s="60"/>
      <c r="CR484" s="60"/>
      <c r="CS484" s="60"/>
      <c r="CT484" s="60"/>
      <c r="CU484" s="60"/>
      <c r="CV484" s="60"/>
      <c r="CW484" s="60"/>
      <c r="CX484" s="60"/>
      <c r="CY484" s="60"/>
      <c r="CZ484" s="60"/>
      <c r="DA484" s="60"/>
      <c r="DB484" s="60"/>
      <c r="DC484" s="60"/>
      <c r="DD484" s="60"/>
      <c r="DE484" s="60"/>
      <c r="DF484" s="60"/>
      <c r="DG484" s="60"/>
      <c r="DH484" s="60"/>
      <c r="DI484" s="60"/>
      <c r="DJ484" s="60"/>
      <c r="DK484" s="60"/>
      <c r="DL484" s="60"/>
      <c r="DM484" s="60"/>
      <c r="DN484" s="60"/>
      <c r="DO484" s="60"/>
      <c r="DP484" s="60"/>
      <c r="DQ484" s="60"/>
      <c r="DR484" s="60"/>
      <c r="DS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  <c r="BY485" s="60"/>
      <c r="BZ485" s="60"/>
      <c r="CA485" s="60"/>
      <c r="CB485" s="60"/>
      <c r="CC485" s="60"/>
      <c r="CD485" s="60"/>
      <c r="CE485" s="60"/>
      <c r="CF485" s="60"/>
      <c r="CG485" s="60"/>
      <c r="CH485" s="60"/>
      <c r="CI485" s="60"/>
      <c r="CJ485" s="60"/>
      <c r="CK485" s="60"/>
      <c r="CL485" s="60"/>
      <c r="CM485" s="60"/>
      <c r="CN485" s="60"/>
      <c r="CO485" s="60"/>
      <c r="CP485" s="60"/>
      <c r="CQ485" s="60"/>
      <c r="CR485" s="60"/>
      <c r="CS485" s="60"/>
      <c r="CT485" s="60"/>
      <c r="CU485" s="60"/>
      <c r="CV485" s="60"/>
      <c r="CW485" s="60"/>
      <c r="CX485" s="60"/>
      <c r="CY485" s="60"/>
      <c r="CZ485" s="60"/>
      <c r="DA485" s="60"/>
      <c r="DB485" s="60"/>
      <c r="DC485" s="60"/>
      <c r="DD485" s="60"/>
      <c r="DE485" s="60"/>
      <c r="DF485" s="60"/>
      <c r="DG485" s="60"/>
      <c r="DH485" s="60"/>
      <c r="DI485" s="60"/>
      <c r="DJ485" s="60"/>
      <c r="DK485" s="60"/>
      <c r="DL485" s="60"/>
      <c r="DM485" s="60"/>
      <c r="DN485" s="60"/>
      <c r="DO485" s="60"/>
      <c r="DP485" s="60"/>
      <c r="DQ485" s="60"/>
      <c r="DR485" s="60"/>
      <c r="DS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60"/>
      <c r="BJ486" s="60"/>
      <c r="BK486" s="60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  <c r="BX486" s="60"/>
      <c r="BY486" s="60"/>
      <c r="BZ486" s="60"/>
      <c r="CA486" s="60"/>
      <c r="CB486" s="60"/>
      <c r="CC486" s="60"/>
      <c r="CD486" s="60"/>
      <c r="CE486" s="60"/>
      <c r="CF486" s="60"/>
      <c r="CG486" s="60"/>
      <c r="CH486" s="60"/>
      <c r="CI486" s="60"/>
      <c r="CJ486" s="60"/>
      <c r="CK486" s="60"/>
      <c r="CL486" s="60"/>
      <c r="CM486" s="60"/>
      <c r="CN486" s="60"/>
      <c r="CO486" s="60"/>
      <c r="CP486" s="60"/>
      <c r="CQ486" s="60"/>
      <c r="CR486" s="60"/>
      <c r="CS486" s="60"/>
      <c r="CT486" s="60"/>
      <c r="CU486" s="60"/>
      <c r="CV486" s="60"/>
      <c r="CW486" s="60"/>
      <c r="CX486" s="60"/>
      <c r="CY486" s="60"/>
      <c r="CZ486" s="60"/>
      <c r="DA486" s="60"/>
      <c r="DB486" s="60"/>
      <c r="DC486" s="60"/>
      <c r="DD486" s="60"/>
      <c r="DE486" s="60"/>
      <c r="DF486" s="60"/>
      <c r="DG486" s="60"/>
      <c r="DH486" s="60"/>
      <c r="DI486" s="60"/>
      <c r="DJ486" s="60"/>
      <c r="DK486" s="60"/>
      <c r="DL486" s="60"/>
      <c r="DM486" s="60"/>
      <c r="DN486" s="60"/>
      <c r="DO486" s="60"/>
      <c r="DP486" s="60"/>
      <c r="DQ486" s="60"/>
      <c r="DR486" s="60"/>
      <c r="DS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  <c r="BY487" s="60"/>
      <c r="BZ487" s="60"/>
      <c r="CA487" s="60"/>
      <c r="CB487" s="60"/>
      <c r="CC487" s="60"/>
      <c r="CD487" s="60"/>
      <c r="CE487" s="60"/>
      <c r="CF487" s="60"/>
      <c r="CG487" s="60"/>
      <c r="CH487" s="60"/>
      <c r="CI487" s="60"/>
      <c r="CJ487" s="60"/>
      <c r="CK487" s="60"/>
      <c r="CL487" s="60"/>
      <c r="CM487" s="60"/>
      <c r="CN487" s="60"/>
      <c r="CO487" s="60"/>
      <c r="CP487" s="60"/>
      <c r="CQ487" s="60"/>
      <c r="CR487" s="60"/>
      <c r="CS487" s="60"/>
      <c r="CT487" s="60"/>
      <c r="CU487" s="60"/>
      <c r="CV487" s="60"/>
      <c r="CW487" s="60"/>
      <c r="CX487" s="60"/>
      <c r="CY487" s="60"/>
      <c r="CZ487" s="60"/>
      <c r="DA487" s="60"/>
      <c r="DB487" s="60"/>
      <c r="DC487" s="60"/>
      <c r="DD487" s="60"/>
      <c r="DE487" s="60"/>
      <c r="DF487" s="60"/>
      <c r="DG487" s="60"/>
      <c r="DH487" s="60"/>
      <c r="DI487" s="60"/>
      <c r="DJ487" s="60"/>
      <c r="DK487" s="60"/>
      <c r="DL487" s="60"/>
      <c r="DM487" s="60"/>
      <c r="DN487" s="60"/>
      <c r="DO487" s="60"/>
      <c r="DP487" s="60"/>
      <c r="DQ487" s="60"/>
      <c r="DR487" s="60"/>
      <c r="DS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60"/>
      <c r="BJ488" s="60"/>
      <c r="BK488" s="60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  <c r="BX488" s="60"/>
      <c r="BY488" s="60"/>
      <c r="BZ488" s="60"/>
      <c r="CA488" s="60"/>
      <c r="CB488" s="60"/>
      <c r="CC488" s="60"/>
      <c r="CD488" s="60"/>
      <c r="CE488" s="60"/>
      <c r="CF488" s="60"/>
      <c r="CG488" s="60"/>
      <c r="CH488" s="60"/>
      <c r="CI488" s="60"/>
      <c r="CJ488" s="60"/>
      <c r="CK488" s="60"/>
      <c r="CL488" s="60"/>
      <c r="CM488" s="60"/>
      <c r="CN488" s="60"/>
      <c r="CO488" s="60"/>
      <c r="CP488" s="60"/>
      <c r="CQ488" s="60"/>
      <c r="CR488" s="60"/>
      <c r="CS488" s="60"/>
      <c r="CT488" s="60"/>
      <c r="CU488" s="60"/>
      <c r="CV488" s="60"/>
      <c r="CW488" s="60"/>
      <c r="CX488" s="60"/>
      <c r="CY488" s="60"/>
      <c r="CZ488" s="60"/>
      <c r="DA488" s="60"/>
      <c r="DB488" s="60"/>
      <c r="DC488" s="60"/>
      <c r="DD488" s="60"/>
      <c r="DE488" s="60"/>
      <c r="DF488" s="60"/>
      <c r="DG488" s="60"/>
      <c r="DH488" s="60"/>
      <c r="DI488" s="60"/>
      <c r="DJ488" s="60"/>
      <c r="DK488" s="60"/>
      <c r="DL488" s="60"/>
      <c r="DM488" s="60"/>
      <c r="DN488" s="60"/>
      <c r="DO488" s="60"/>
      <c r="DP488" s="60"/>
      <c r="DQ488" s="60"/>
      <c r="DR488" s="60"/>
      <c r="DS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  <c r="CD489" s="60"/>
      <c r="CE489" s="60"/>
      <c r="CF489" s="60"/>
      <c r="CG489" s="60"/>
      <c r="CH489" s="60"/>
      <c r="CI489" s="60"/>
      <c r="CJ489" s="60"/>
      <c r="CK489" s="60"/>
      <c r="CL489" s="60"/>
      <c r="CM489" s="60"/>
      <c r="CN489" s="60"/>
      <c r="CO489" s="60"/>
      <c r="CP489" s="60"/>
      <c r="CQ489" s="60"/>
      <c r="CR489" s="60"/>
      <c r="CS489" s="60"/>
      <c r="CT489" s="60"/>
      <c r="CU489" s="60"/>
      <c r="CV489" s="60"/>
      <c r="CW489" s="60"/>
      <c r="CX489" s="60"/>
      <c r="CY489" s="60"/>
      <c r="CZ489" s="60"/>
      <c r="DA489" s="60"/>
      <c r="DB489" s="60"/>
      <c r="DC489" s="60"/>
      <c r="DD489" s="60"/>
      <c r="DE489" s="60"/>
      <c r="DF489" s="60"/>
      <c r="DG489" s="60"/>
      <c r="DH489" s="60"/>
      <c r="DI489" s="60"/>
      <c r="DJ489" s="60"/>
      <c r="DK489" s="60"/>
      <c r="DL489" s="60"/>
      <c r="DM489" s="60"/>
      <c r="DN489" s="60"/>
      <c r="DO489" s="60"/>
      <c r="DP489" s="60"/>
      <c r="DQ489" s="60"/>
      <c r="DR489" s="60"/>
      <c r="DS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60"/>
      <c r="BJ490" s="60"/>
      <c r="BK490" s="60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  <c r="BX490" s="60"/>
      <c r="BY490" s="60"/>
      <c r="BZ490" s="60"/>
      <c r="CA490" s="60"/>
      <c r="CB490" s="60"/>
      <c r="CC490" s="60"/>
      <c r="CD490" s="60"/>
      <c r="CE490" s="60"/>
      <c r="CF490" s="60"/>
      <c r="CG490" s="60"/>
      <c r="CH490" s="60"/>
      <c r="CI490" s="60"/>
      <c r="CJ490" s="60"/>
      <c r="CK490" s="60"/>
      <c r="CL490" s="60"/>
      <c r="CM490" s="60"/>
      <c r="CN490" s="60"/>
      <c r="CO490" s="60"/>
      <c r="CP490" s="60"/>
      <c r="CQ490" s="60"/>
      <c r="CR490" s="60"/>
      <c r="CS490" s="60"/>
      <c r="CT490" s="60"/>
      <c r="CU490" s="60"/>
      <c r="CV490" s="60"/>
      <c r="CW490" s="60"/>
      <c r="CX490" s="60"/>
      <c r="CY490" s="60"/>
      <c r="CZ490" s="60"/>
      <c r="DA490" s="60"/>
      <c r="DB490" s="60"/>
      <c r="DC490" s="60"/>
      <c r="DD490" s="60"/>
      <c r="DE490" s="60"/>
      <c r="DF490" s="60"/>
      <c r="DG490" s="60"/>
      <c r="DH490" s="60"/>
      <c r="DI490" s="60"/>
      <c r="DJ490" s="60"/>
      <c r="DK490" s="60"/>
      <c r="DL490" s="60"/>
      <c r="DM490" s="60"/>
      <c r="DN490" s="60"/>
      <c r="DO490" s="60"/>
      <c r="DP490" s="60"/>
      <c r="DQ490" s="60"/>
      <c r="DR490" s="60"/>
      <c r="DS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  <c r="BY491" s="60"/>
      <c r="BZ491" s="60"/>
      <c r="CA491" s="60"/>
      <c r="CB491" s="60"/>
      <c r="CC491" s="60"/>
      <c r="CD491" s="60"/>
      <c r="CE491" s="60"/>
      <c r="CF491" s="60"/>
      <c r="CG491" s="60"/>
      <c r="CH491" s="60"/>
      <c r="CI491" s="60"/>
      <c r="CJ491" s="60"/>
      <c r="CK491" s="60"/>
      <c r="CL491" s="60"/>
      <c r="CM491" s="60"/>
      <c r="CN491" s="60"/>
      <c r="CO491" s="60"/>
      <c r="CP491" s="60"/>
      <c r="CQ491" s="60"/>
      <c r="CR491" s="60"/>
      <c r="CS491" s="60"/>
      <c r="CT491" s="60"/>
      <c r="CU491" s="60"/>
      <c r="CV491" s="60"/>
      <c r="CW491" s="60"/>
      <c r="CX491" s="60"/>
      <c r="CY491" s="60"/>
      <c r="CZ491" s="60"/>
      <c r="DA491" s="60"/>
      <c r="DB491" s="60"/>
      <c r="DC491" s="60"/>
      <c r="DD491" s="60"/>
      <c r="DE491" s="60"/>
      <c r="DF491" s="60"/>
      <c r="DG491" s="60"/>
      <c r="DH491" s="60"/>
      <c r="DI491" s="60"/>
      <c r="DJ491" s="60"/>
      <c r="DK491" s="60"/>
      <c r="DL491" s="60"/>
      <c r="DM491" s="60"/>
      <c r="DN491" s="60"/>
      <c r="DO491" s="60"/>
      <c r="DP491" s="60"/>
      <c r="DQ491" s="60"/>
      <c r="DR491" s="60"/>
      <c r="DS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60"/>
      <c r="BJ492" s="60"/>
      <c r="BK492" s="60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  <c r="BX492" s="60"/>
      <c r="BY492" s="60"/>
      <c r="BZ492" s="60"/>
      <c r="CA492" s="60"/>
      <c r="CB492" s="60"/>
      <c r="CC492" s="60"/>
      <c r="CD492" s="60"/>
      <c r="CE492" s="60"/>
      <c r="CF492" s="60"/>
      <c r="CG492" s="60"/>
      <c r="CH492" s="60"/>
      <c r="CI492" s="60"/>
      <c r="CJ492" s="60"/>
      <c r="CK492" s="60"/>
      <c r="CL492" s="60"/>
      <c r="CM492" s="60"/>
      <c r="CN492" s="60"/>
      <c r="CO492" s="60"/>
      <c r="CP492" s="60"/>
      <c r="CQ492" s="60"/>
      <c r="CR492" s="60"/>
      <c r="CS492" s="60"/>
      <c r="CT492" s="60"/>
      <c r="CU492" s="60"/>
      <c r="CV492" s="60"/>
      <c r="CW492" s="60"/>
      <c r="CX492" s="60"/>
      <c r="CY492" s="60"/>
      <c r="CZ492" s="60"/>
      <c r="DA492" s="60"/>
      <c r="DB492" s="60"/>
      <c r="DC492" s="60"/>
      <c r="DD492" s="60"/>
      <c r="DE492" s="60"/>
      <c r="DF492" s="60"/>
      <c r="DG492" s="60"/>
      <c r="DH492" s="60"/>
      <c r="DI492" s="60"/>
      <c r="DJ492" s="60"/>
      <c r="DK492" s="60"/>
      <c r="DL492" s="60"/>
      <c r="DM492" s="60"/>
      <c r="DN492" s="60"/>
      <c r="DO492" s="60"/>
      <c r="DP492" s="60"/>
      <c r="DQ492" s="60"/>
      <c r="DR492" s="60"/>
      <c r="DS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  <c r="BY493" s="60"/>
      <c r="BZ493" s="60"/>
      <c r="CA493" s="60"/>
      <c r="CB493" s="60"/>
      <c r="CC493" s="60"/>
      <c r="CD493" s="60"/>
      <c r="CE493" s="60"/>
      <c r="CF493" s="60"/>
      <c r="CG493" s="60"/>
      <c r="CH493" s="60"/>
      <c r="CI493" s="60"/>
      <c r="CJ493" s="60"/>
      <c r="CK493" s="60"/>
      <c r="CL493" s="60"/>
      <c r="CM493" s="60"/>
      <c r="CN493" s="60"/>
      <c r="CO493" s="60"/>
      <c r="CP493" s="60"/>
      <c r="CQ493" s="60"/>
      <c r="CR493" s="60"/>
      <c r="CS493" s="60"/>
      <c r="CT493" s="60"/>
      <c r="CU493" s="60"/>
      <c r="CV493" s="60"/>
      <c r="CW493" s="60"/>
      <c r="CX493" s="60"/>
      <c r="CY493" s="60"/>
      <c r="CZ493" s="60"/>
      <c r="DA493" s="60"/>
      <c r="DB493" s="60"/>
      <c r="DC493" s="60"/>
      <c r="DD493" s="60"/>
      <c r="DE493" s="60"/>
      <c r="DF493" s="60"/>
      <c r="DG493" s="60"/>
      <c r="DH493" s="60"/>
      <c r="DI493" s="60"/>
      <c r="DJ493" s="60"/>
      <c r="DK493" s="60"/>
      <c r="DL493" s="60"/>
      <c r="DM493" s="60"/>
      <c r="DN493" s="60"/>
      <c r="DO493" s="60"/>
      <c r="DP493" s="60"/>
      <c r="DQ493" s="60"/>
      <c r="DR493" s="60"/>
      <c r="DS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60"/>
      <c r="BJ494" s="60"/>
      <c r="BK494" s="60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  <c r="BX494" s="60"/>
      <c r="BY494" s="60"/>
      <c r="BZ494" s="60"/>
      <c r="CA494" s="60"/>
      <c r="CB494" s="60"/>
      <c r="CC494" s="60"/>
      <c r="CD494" s="60"/>
      <c r="CE494" s="60"/>
      <c r="CF494" s="60"/>
      <c r="CG494" s="60"/>
      <c r="CH494" s="60"/>
      <c r="CI494" s="60"/>
      <c r="CJ494" s="60"/>
      <c r="CK494" s="60"/>
      <c r="CL494" s="60"/>
      <c r="CM494" s="60"/>
      <c r="CN494" s="60"/>
      <c r="CO494" s="60"/>
      <c r="CP494" s="60"/>
      <c r="CQ494" s="60"/>
      <c r="CR494" s="60"/>
      <c r="CS494" s="60"/>
      <c r="CT494" s="60"/>
      <c r="CU494" s="60"/>
      <c r="CV494" s="60"/>
      <c r="CW494" s="60"/>
      <c r="CX494" s="60"/>
      <c r="CY494" s="60"/>
      <c r="CZ494" s="60"/>
      <c r="DA494" s="60"/>
      <c r="DB494" s="60"/>
      <c r="DC494" s="60"/>
      <c r="DD494" s="60"/>
      <c r="DE494" s="60"/>
      <c r="DF494" s="60"/>
      <c r="DG494" s="60"/>
      <c r="DH494" s="60"/>
      <c r="DI494" s="60"/>
      <c r="DJ494" s="60"/>
      <c r="DK494" s="60"/>
      <c r="DL494" s="60"/>
      <c r="DM494" s="60"/>
      <c r="DN494" s="60"/>
      <c r="DO494" s="60"/>
      <c r="DP494" s="60"/>
      <c r="DQ494" s="60"/>
      <c r="DR494" s="60"/>
      <c r="DS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  <c r="BY495" s="60"/>
      <c r="BZ495" s="60"/>
      <c r="CA495" s="60"/>
      <c r="CB495" s="60"/>
      <c r="CC495" s="60"/>
      <c r="CD495" s="60"/>
      <c r="CE495" s="60"/>
      <c r="CF495" s="60"/>
      <c r="CG495" s="60"/>
      <c r="CH495" s="60"/>
      <c r="CI495" s="60"/>
      <c r="CJ495" s="60"/>
      <c r="CK495" s="60"/>
      <c r="CL495" s="60"/>
      <c r="CM495" s="60"/>
      <c r="CN495" s="60"/>
      <c r="CO495" s="60"/>
      <c r="CP495" s="60"/>
      <c r="CQ495" s="60"/>
      <c r="CR495" s="60"/>
      <c r="CS495" s="60"/>
      <c r="CT495" s="60"/>
      <c r="CU495" s="60"/>
      <c r="CV495" s="60"/>
      <c r="CW495" s="60"/>
      <c r="CX495" s="60"/>
      <c r="CY495" s="60"/>
      <c r="CZ495" s="60"/>
      <c r="DA495" s="60"/>
      <c r="DB495" s="60"/>
      <c r="DC495" s="60"/>
      <c r="DD495" s="60"/>
      <c r="DE495" s="60"/>
      <c r="DF495" s="60"/>
      <c r="DG495" s="60"/>
      <c r="DH495" s="60"/>
      <c r="DI495" s="60"/>
      <c r="DJ495" s="60"/>
      <c r="DK495" s="60"/>
      <c r="DL495" s="60"/>
      <c r="DM495" s="60"/>
      <c r="DN495" s="60"/>
      <c r="DO495" s="60"/>
      <c r="DP495" s="60"/>
      <c r="DQ495" s="60"/>
      <c r="DR495" s="60"/>
      <c r="DS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60"/>
      <c r="BJ496" s="60"/>
      <c r="BK496" s="60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  <c r="BX496" s="60"/>
      <c r="BY496" s="60"/>
      <c r="BZ496" s="60"/>
      <c r="CA496" s="60"/>
      <c r="CB496" s="60"/>
      <c r="CC496" s="60"/>
      <c r="CD496" s="60"/>
      <c r="CE496" s="60"/>
      <c r="CF496" s="60"/>
      <c r="CG496" s="60"/>
      <c r="CH496" s="60"/>
      <c r="CI496" s="60"/>
      <c r="CJ496" s="60"/>
      <c r="CK496" s="60"/>
      <c r="CL496" s="60"/>
      <c r="CM496" s="60"/>
      <c r="CN496" s="60"/>
      <c r="CO496" s="60"/>
      <c r="CP496" s="60"/>
      <c r="CQ496" s="60"/>
      <c r="CR496" s="60"/>
      <c r="CS496" s="60"/>
      <c r="CT496" s="60"/>
      <c r="CU496" s="60"/>
      <c r="CV496" s="60"/>
      <c r="CW496" s="60"/>
      <c r="CX496" s="60"/>
      <c r="CY496" s="60"/>
      <c r="CZ496" s="60"/>
      <c r="DA496" s="60"/>
      <c r="DB496" s="60"/>
      <c r="DC496" s="60"/>
      <c r="DD496" s="60"/>
      <c r="DE496" s="60"/>
      <c r="DF496" s="60"/>
      <c r="DG496" s="60"/>
      <c r="DH496" s="60"/>
      <c r="DI496" s="60"/>
      <c r="DJ496" s="60"/>
      <c r="DK496" s="60"/>
      <c r="DL496" s="60"/>
      <c r="DM496" s="60"/>
      <c r="DN496" s="60"/>
      <c r="DO496" s="60"/>
      <c r="DP496" s="60"/>
      <c r="DQ496" s="60"/>
      <c r="DR496" s="60"/>
      <c r="DS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  <c r="BY497" s="60"/>
      <c r="BZ497" s="60"/>
      <c r="CA497" s="60"/>
      <c r="CB497" s="60"/>
      <c r="CC497" s="60"/>
      <c r="CD497" s="60"/>
      <c r="CE497" s="60"/>
      <c r="CF497" s="60"/>
      <c r="CG497" s="60"/>
      <c r="CH497" s="60"/>
      <c r="CI497" s="60"/>
      <c r="CJ497" s="60"/>
      <c r="CK497" s="60"/>
      <c r="CL497" s="60"/>
      <c r="CM497" s="60"/>
      <c r="CN497" s="60"/>
      <c r="CO497" s="60"/>
      <c r="CP497" s="60"/>
      <c r="CQ497" s="60"/>
      <c r="CR497" s="60"/>
      <c r="CS497" s="60"/>
      <c r="CT497" s="60"/>
      <c r="CU497" s="60"/>
      <c r="CV497" s="60"/>
      <c r="CW497" s="60"/>
      <c r="CX497" s="60"/>
      <c r="CY497" s="60"/>
      <c r="CZ497" s="60"/>
      <c r="DA497" s="60"/>
      <c r="DB497" s="60"/>
      <c r="DC497" s="60"/>
      <c r="DD497" s="60"/>
      <c r="DE497" s="60"/>
      <c r="DF497" s="60"/>
      <c r="DG497" s="60"/>
      <c r="DH497" s="60"/>
      <c r="DI497" s="60"/>
      <c r="DJ497" s="60"/>
      <c r="DK497" s="60"/>
      <c r="DL497" s="60"/>
      <c r="DM497" s="60"/>
      <c r="DN497" s="60"/>
      <c r="DO497" s="60"/>
      <c r="DP497" s="60"/>
      <c r="DQ497" s="60"/>
      <c r="DR497" s="60"/>
      <c r="DS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60"/>
      <c r="BJ498" s="60"/>
      <c r="BK498" s="60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  <c r="BX498" s="60"/>
      <c r="BY498" s="60"/>
      <c r="BZ498" s="60"/>
      <c r="CA498" s="60"/>
      <c r="CB498" s="60"/>
      <c r="CC498" s="60"/>
      <c r="CD498" s="60"/>
      <c r="CE498" s="60"/>
      <c r="CF498" s="60"/>
      <c r="CG498" s="60"/>
      <c r="CH498" s="60"/>
      <c r="CI498" s="60"/>
      <c r="CJ498" s="60"/>
      <c r="CK498" s="60"/>
      <c r="CL498" s="60"/>
      <c r="CM498" s="60"/>
      <c r="CN498" s="60"/>
      <c r="CO498" s="60"/>
      <c r="CP498" s="60"/>
      <c r="CQ498" s="60"/>
      <c r="CR498" s="60"/>
      <c r="CS498" s="60"/>
      <c r="CT498" s="60"/>
      <c r="CU498" s="60"/>
      <c r="CV498" s="60"/>
      <c r="CW498" s="60"/>
      <c r="CX498" s="60"/>
      <c r="CY498" s="60"/>
      <c r="CZ498" s="60"/>
      <c r="DA498" s="60"/>
      <c r="DB498" s="60"/>
      <c r="DC498" s="60"/>
      <c r="DD498" s="60"/>
      <c r="DE498" s="60"/>
      <c r="DF498" s="60"/>
      <c r="DG498" s="60"/>
      <c r="DH498" s="60"/>
      <c r="DI498" s="60"/>
      <c r="DJ498" s="60"/>
      <c r="DK498" s="60"/>
      <c r="DL498" s="60"/>
      <c r="DM498" s="60"/>
      <c r="DN498" s="60"/>
      <c r="DO498" s="60"/>
      <c r="DP498" s="60"/>
      <c r="DQ498" s="60"/>
      <c r="DR498" s="60"/>
      <c r="DS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  <c r="BY499" s="60"/>
      <c r="BZ499" s="60"/>
      <c r="CA499" s="60"/>
      <c r="CB499" s="60"/>
      <c r="CC499" s="60"/>
      <c r="CD499" s="60"/>
      <c r="CE499" s="60"/>
      <c r="CF499" s="60"/>
      <c r="CG499" s="60"/>
      <c r="CH499" s="60"/>
      <c r="CI499" s="60"/>
      <c r="CJ499" s="60"/>
      <c r="CK499" s="60"/>
      <c r="CL499" s="60"/>
      <c r="CM499" s="60"/>
      <c r="CN499" s="60"/>
      <c r="CO499" s="60"/>
      <c r="CP499" s="60"/>
      <c r="CQ499" s="60"/>
      <c r="CR499" s="60"/>
      <c r="CS499" s="60"/>
      <c r="CT499" s="60"/>
      <c r="CU499" s="60"/>
      <c r="CV499" s="60"/>
      <c r="CW499" s="60"/>
      <c r="CX499" s="60"/>
      <c r="CY499" s="60"/>
      <c r="CZ499" s="60"/>
      <c r="DA499" s="60"/>
      <c r="DB499" s="60"/>
      <c r="DC499" s="60"/>
      <c r="DD499" s="60"/>
      <c r="DE499" s="60"/>
      <c r="DF499" s="60"/>
      <c r="DG499" s="60"/>
      <c r="DH499" s="60"/>
      <c r="DI499" s="60"/>
      <c r="DJ499" s="60"/>
      <c r="DK499" s="60"/>
      <c r="DL499" s="60"/>
      <c r="DM499" s="60"/>
      <c r="DN499" s="60"/>
      <c r="DO499" s="60"/>
      <c r="DP499" s="60"/>
      <c r="DQ499" s="60"/>
      <c r="DR499" s="60"/>
      <c r="DS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60"/>
      <c r="BJ500" s="60"/>
      <c r="BK500" s="60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  <c r="BX500" s="60"/>
      <c r="BY500" s="60"/>
      <c r="BZ500" s="60"/>
      <c r="CA500" s="60"/>
      <c r="CB500" s="60"/>
      <c r="CC500" s="60"/>
      <c r="CD500" s="60"/>
      <c r="CE500" s="60"/>
      <c r="CF500" s="60"/>
      <c r="CG500" s="60"/>
      <c r="CH500" s="60"/>
      <c r="CI500" s="60"/>
      <c r="CJ500" s="60"/>
      <c r="CK500" s="60"/>
      <c r="CL500" s="60"/>
      <c r="CM500" s="60"/>
      <c r="CN500" s="60"/>
      <c r="CO500" s="60"/>
      <c r="CP500" s="60"/>
      <c r="CQ500" s="60"/>
      <c r="CR500" s="60"/>
      <c r="CS500" s="60"/>
      <c r="CT500" s="60"/>
      <c r="CU500" s="60"/>
      <c r="CV500" s="60"/>
      <c r="CW500" s="60"/>
      <c r="CX500" s="60"/>
      <c r="CY500" s="60"/>
      <c r="CZ500" s="60"/>
      <c r="DA500" s="60"/>
      <c r="DB500" s="60"/>
      <c r="DC500" s="60"/>
      <c r="DD500" s="60"/>
      <c r="DE500" s="60"/>
      <c r="DF500" s="60"/>
      <c r="DG500" s="60"/>
      <c r="DH500" s="60"/>
      <c r="DI500" s="60"/>
      <c r="DJ500" s="60"/>
      <c r="DK500" s="60"/>
      <c r="DL500" s="60"/>
      <c r="DM500" s="60"/>
      <c r="DN500" s="60"/>
      <c r="DO500" s="60"/>
      <c r="DP500" s="60"/>
      <c r="DQ500" s="60"/>
      <c r="DR500" s="60"/>
      <c r="DS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60"/>
      <c r="BJ501" s="60"/>
      <c r="BK501" s="60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  <c r="BX501" s="60"/>
      <c r="BY501" s="60"/>
      <c r="BZ501" s="60"/>
      <c r="CA501" s="60"/>
      <c r="CB501" s="60"/>
      <c r="CC501" s="60"/>
      <c r="CD501" s="60"/>
      <c r="CE501" s="60"/>
      <c r="CF501" s="60"/>
      <c r="CG501" s="60"/>
      <c r="CH501" s="60"/>
      <c r="CI501" s="60"/>
      <c r="CJ501" s="60"/>
      <c r="CK501" s="60"/>
      <c r="CL501" s="60"/>
      <c r="CM501" s="60"/>
      <c r="CN501" s="60"/>
      <c r="CO501" s="60"/>
      <c r="CP501" s="60"/>
      <c r="CQ501" s="60"/>
      <c r="CR501" s="60"/>
      <c r="CS501" s="60"/>
      <c r="CT501" s="60"/>
      <c r="CU501" s="60"/>
      <c r="CV501" s="60"/>
      <c r="CW501" s="60"/>
      <c r="CX501" s="60"/>
      <c r="CY501" s="60"/>
      <c r="CZ501" s="60"/>
      <c r="DA501" s="60"/>
      <c r="DB501" s="60"/>
      <c r="DC501" s="60"/>
      <c r="DD501" s="60"/>
      <c r="DE501" s="60"/>
      <c r="DF501" s="60"/>
      <c r="DG501" s="60"/>
      <c r="DH501" s="60"/>
      <c r="DI501" s="60"/>
      <c r="DJ501" s="60"/>
      <c r="DK501" s="60"/>
      <c r="DL501" s="60"/>
      <c r="DM501" s="60"/>
      <c r="DN501" s="60"/>
      <c r="DO501" s="60"/>
      <c r="DP501" s="60"/>
      <c r="DQ501" s="60"/>
      <c r="DR501" s="60"/>
      <c r="DS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  <c r="CD502" s="60"/>
      <c r="CE502" s="60"/>
      <c r="CF502" s="60"/>
      <c r="CG502" s="60"/>
      <c r="CH502" s="60"/>
      <c r="CI502" s="60"/>
      <c r="CJ502" s="60"/>
      <c r="CK502" s="60"/>
      <c r="CL502" s="60"/>
      <c r="CM502" s="60"/>
      <c r="CN502" s="60"/>
      <c r="CO502" s="60"/>
      <c r="CP502" s="60"/>
      <c r="CQ502" s="60"/>
      <c r="CR502" s="60"/>
      <c r="CS502" s="60"/>
      <c r="CT502" s="60"/>
      <c r="CU502" s="60"/>
      <c r="CV502" s="60"/>
      <c r="CW502" s="60"/>
      <c r="CX502" s="60"/>
      <c r="CY502" s="60"/>
      <c r="CZ502" s="60"/>
      <c r="DA502" s="60"/>
      <c r="DB502" s="60"/>
      <c r="DC502" s="60"/>
      <c r="DD502" s="60"/>
      <c r="DE502" s="60"/>
      <c r="DF502" s="60"/>
      <c r="DG502" s="60"/>
      <c r="DH502" s="60"/>
      <c r="DI502" s="60"/>
      <c r="DJ502" s="60"/>
      <c r="DK502" s="60"/>
      <c r="DL502" s="60"/>
      <c r="DM502" s="60"/>
      <c r="DN502" s="60"/>
      <c r="DO502" s="60"/>
      <c r="DP502" s="60"/>
      <c r="DQ502" s="60"/>
      <c r="DR502" s="60"/>
      <c r="DS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60"/>
      <c r="BJ503" s="60"/>
      <c r="BK503" s="60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  <c r="BX503" s="60"/>
      <c r="BY503" s="60"/>
      <c r="BZ503" s="60"/>
      <c r="CA503" s="60"/>
      <c r="CB503" s="60"/>
      <c r="CC503" s="60"/>
      <c r="CD503" s="60"/>
      <c r="CE503" s="60"/>
      <c r="CF503" s="60"/>
      <c r="CG503" s="60"/>
      <c r="CH503" s="60"/>
      <c r="CI503" s="60"/>
      <c r="CJ503" s="60"/>
      <c r="CK503" s="60"/>
      <c r="CL503" s="60"/>
      <c r="CM503" s="60"/>
      <c r="CN503" s="60"/>
      <c r="CO503" s="60"/>
      <c r="CP503" s="60"/>
      <c r="CQ503" s="60"/>
      <c r="CR503" s="60"/>
      <c r="CS503" s="60"/>
      <c r="CT503" s="60"/>
      <c r="CU503" s="60"/>
      <c r="CV503" s="60"/>
      <c r="CW503" s="60"/>
      <c r="CX503" s="60"/>
      <c r="CY503" s="60"/>
      <c r="CZ503" s="60"/>
      <c r="DA503" s="60"/>
      <c r="DB503" s="60"/>
      <c r="DC503" s="60"/>
      <c r="DD503" s="60"/>
      <c r="DE503" s="60"/>
      <c r="DF503" s="60"/>
      <c r="DG503" s="60"/>
      <c r="DH503" s="60"/>
      <c r="DI503" s="60"/>
      <c r="DJ503" s="60"/>
      <c r="DK503" s="60"/>
      <c r="DL503" s="60"/>
      <c r="DM503" s="60"/>
      <c r="DN503" s="60"/>
      <c r="DO503" s="60"/>
      <c r="DP503" s="60"/>
      <c r="DQ503" s="60"/>
      <c r="DR503" s="60"/>
      <c r="DS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60"/>
      <c r="BJ504" s="60"/>
      <c r="BK504" s="60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  <c r="BX504" s="60"/>
      <c r="BY504" s="60"/>
      <c r="BZ504" s="60"/>
      <c r="CA504" s="60"/>
      <c r="CB504" s="60"/>
      <c r="CC504" s="60"/>
      <c r="CD504" s="60"/>
      <c r="CE504" s="60"/>
      <c r="CF504" s="60"/>
      <c r="CG504" s="60"/>
      <c r="CH504" s="60"/>
      <c r="CI504" s="60"/>
      <c r="CJ504" s="60"/>
      <c r="CK504" s="60"/>
      <c r="CL504" s="60"/>
      <c r="CM504" s="60"/>
      <c r="CN504" s="60"/>
      <c r="CO504" s="60"/>
      <c r="CP504" s="60"/>
      <c r="CQ504" s="60"/>
      <c r="CR504" s="60"/>
      <c r="CS504" s="60"/>
      <c r="CT504" s="60"/>
      <c r="CU504" s="60"/>
      <c r="CV504" s="60"/>
      <c r="CW504" s="60"/>
      <c r="CX504" s="60"/>
      <c r="CY504" s="60"/>
      <c r="CZ504" s="60"/>
      <c r="DA504" s="60"/>
      <c r="DB504" s="60"/>
      <c r="DC504" s="60"/>
      <c r="DD504" s="60"/>
      <c r="DE504" s="60"/>
      <c r="DF504" s="60"/>
      <c r="DG504" s="60"/>
      <c r="DH504" s="60"/>
      <c r="DI504" s="60"/>
      <c r="DJ504" s="60"/>
      <c r="DK504" s="60"/>
      <c r="DL504" s="60"/>
      <c r="DM504" s="60"/>
      <c r="DN504" s="60"/>
      <c r="DO504" s="60"/>
      <c r="DP504" s="60"/>
      <c r="DQ504" s="60"/>
      <c r="DR504" s="60"/>
      <c r="DS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60"/>
      <c r="BJ505" s="60"/>
      <c r="BK505" s="60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  <c r="BX505" s="60"/>
      <c r="BY505" s="60"/>
      <c r="BZ505" s="60"/>
      <c r="CA505" s="60"/>
      <c r="CB505" s="60"/>
      <c r="CC505" s="60"/>
      <c r="CD505" s="60"/>
      <c r="CE505" s="60"/>
      <c r="CF505" s="60"/>
      <c r="CG505" s="60"/>
      <c r="CH505" s="60"/>
      <c r="CI505" s="60"/>
      <c r="CJ505" s="60"/>
      <c r="CK505" s="60"/>
      <c r="CL505" s="60"/>
      <c r="CM505" s="60"/>
      <c r="CN505" s="60"/>
      <c r="CO505" s="60"/>
      <c r="CP505" s="60"/>
      <c r="CQ505" s="60"/>
      <c r="CR505" s="60"/>
      <c r="CS505" s="60"/>
      <c r="CT505" s="60"/>
      <c r="CU505" s="60"/>
      <c r="CV505" s="60"/>
      <c r="CW505" s="60"/>
      <c r="CX505" s="60"/>
      <c r="CY505" s="60"/>
      <c r="CZ505" s="60"/>
      <c r="DA505" s="60"/>
      <c r="DB505" s="60"/>
      <c r="DC505" s="60"/>
      <c r="DD505" s="60"/>
      <c r="DE505" s="60"/>
      <c r="DF505" s="60"/>
      <c r="DG505" s="60"/>
      <c r="DH505" s="60"/>
      <c r="DI505" s="60"/>
      <c r="DJ505" s="60"/>
      <c r="DK505" s="60"/>
      <c r="DL505" s="60"/>
      <c r="DM505" s="60"/>
      <c r="DN505" s="60"/>
      <c r="DO505" s="60"/>
      <c r="DP505" s="60"/>
      <c r="DQ505" s="60"/>
      <c r="DR505" s="60"/>
      <c r="DS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60"/>
      <c r="BJ506" s="60"/>
      <c r="BK506" s="60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  <c r="BX506" s="60"/>
      <c r="BY506" s="60"/>
      <c r="BZ506" s="60"/>
      <c r="CA506" s="60"/>
      <c r="CB506" s="60"/>
      <c r="CC506" s="60"/>
      <c r="CD506" s="60"/>
      <c r="CE506" s="60"/>
      <c r="CF506" s="60"/>
      <c r="CG506" s="60"/>
      <c r="CH506" s="60"/>
      <c r="CI506" s="60"/>
      <c r="CJ506" s="60"/>
      <c r="CK506" s="60"/>
      <c r="CL506" s="60"/>
      <c r="CM506" s="60"/>
      <c r="CN506" s="60"/>
      <c r="CO506" s="60"/>
      <c r="CP506" s="60"/>
      <c r="CQ506" s="60"/>
      <c r="CR506" s="60"/>
      <c r="CS506" s="60"/>
      <c r="CT506" s="60"/>
      <c r="CU506" s="60"/>
      <c r="CV506" s="60"/>
      <c r="CW506" s="60"/>
      <c r="CX506" s="60"/>
      <c r="CY506" s="60"/>
      <c r="CZ506" s="60"/>
      <c r="DA506" s="60"/>
      <c r="DB506" s="60"/>
      <c r="DC506" s="60"/>
      <c r="DD506" s="60"/>
      <c r="DE506" s="60"/>
      <c r="DF506" s="60"/>
      <c r="DG506" s="60"/>
      <c r="DH506" s="60"/>
      <c r="DI506" s="60"/>
      <c r="DJ506" s="60"/>
      <c r="DK506" s="60"/>
      <c r="DL506" s="60"/>
      <c r="DM506" s="60"/>
      <c r="DN506" s="60"/>
      <c r="DO506" s="60"/>
      <c r="DP506" s="60"/>
      <c r="DQ506" s="60"/>
      <c r="DR506" s="60"/>
      <c r="DS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60"/>
      <c r="BJ507" s="60"/>
      <c r="BK507" s="60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  <c r="BX507" s="60"/>
      <c r="BY507" s="60"/>
      <c r="BZ507" s="60"/>
      <c r="CA507" s="60"/>
      <c r="CB507" s="60"/>
      <c r="CC507" s="60"/>
      <c r="CD507" s="60"/>
      <c r="CE507" s="60"/>
      <c r="CF507" s="60"/>
      <c r="CG507" s="60"/>
      <c r="CH507" s="60"/>
      <c r="CI507" s="60"/>
      <c r="CJ507" s="60"/>
      <c r="CK507" s="60"/>
      <c r="CL507" s="60"/>
      <c r="CM507" s="60"/>
      <c r="CN507" s="60"/>
      <c r="CO507" s="60"/>
      <c r="CP507" s="60"/>
      <c r="CQ507" s="60"/>
      <c r="CR507" s="60"/>
      <c r="CS507" s="60"/>
      <c r="CT507" s="60"/>
      <c r="CU507" s="60"/>
      <c r="CV507" s="60"/>
      <c r="CW507" s="60"/>
      <c r="CX507" s="60"/>
      <c r="CY507" s="60"/>
      <c r="CZ507" s="60"/>
      <c r="DA507" s="60"/>
      <c r="DB507" s="60"/>
      <c r="DC507" s="60"/>
      <c r="DD507" s="60"/>
      <c r="DE507" s="60"/>
      <c r="DF507" s="60"/>
      <c r="DG507" s="60"/>
      <c r="DH507" s="60"/>
      <c r="DI507" s="60"/>
      <c r="DJ507" s="60"/>
      <c r="DK507" s="60"/>
      <c r="DL507" s="60"/>
      <c r="DM507" s="60"/>
      <c r="DN507" s="60"/>
      <c r="DO507" s="60"/>
      <c r="DP507" s="60"/>
      <c r="DQ507" s="60"/>
      <c r="DR507" s="60"/>
      <c r="DS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60"/>
      <c r="BJ508" s="60"/>
      <c r="BK508" s="60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  <c r="BX508" s="60"/>
      <c r="BY508" s="60"/>
      <c r="BZ508" s="60"/>
      <c r="CA508" s="60"/>
      <c r="CB508" s="60"/>
      <c r="CC508" s="60"/>
      <c r="CD508" s="60"/>
      <c r="CE508" s="60"/>
      <c r="CF508" s="60"/>
      <c r="CG508" s="60"/>
      <c r="CH508" s="60"/>
      <c r="CI508" s="60"/>
      <c r="CJ508" s="60"/>
      <c r="CK508" s="60"/>
      <c r="CL508" s="60"/>
      <c r="CM508" s="60"/>
      <c r="CN508" s="60"/>
      <c r="CO508" s="60"/>
      <c r="CP508" s="60"/>
      <c r="CQ508" s="60"/>
      <c r="CR508" s="60"/>
      <c r="CS508" s="60"/>
      <c r="CT508" s="60"/>
      <c r="CU508" s="60"/>
      <c r="CV508" s="60"/>
      <c r="CW508" s="60"/>
      <c r="CX508" s="60"/>
      <c r="CY508" s="60"/>
      <c r="CZ508" s="60"/>
      <c r="DA508" s="60"/>
      <c r="DB508" s="60"/>
      <c r="DC508" s="60"/>
      <c r="DD508" s="60"/>
      <c r="DE508" s="60"/>
      <c r="DF508" s="60"/>
      <c r="DG508" s="60"/>
      <c r="DH508" s="60"/>
      <c r="DI508" s="60"/>
      <c r="DJ508" s="60"/>
      <c r="DK508" s="60"/>
      <c r="DL508" s="60"/>
      <c r="DM508" s="60"/>
      <c r="DN508" s="60"/>
      <c r="DO508" s="60"/>
      <c r="DP508" s="60"/>
      <c r="DQ508" s="60"/>
      <c r="DR508" s="60"/>
      <c r="DS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60"/>
      <c r="BJ509" s="60"/>
      <c r="BK509" s="60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  <c r="BX509" s="60"/>
      <c r="BY509" s="60"/>
      <c r="BZ509" s="60"/>
      <c r="CA509" s="60"/>
      <c r="CB509" s="60"/>
      <c r="CC509" s="60"/>
      <c r="CD509" s="60"/>
      <c r="CE509" s="60"/>
      <c r="CF509" s="60"/>
      <c r="CG509" s="60"/>
      <c r="CH509" s="60"/>
      <c r="CI509" s="60"/>
      <c r="CJ509" s="60"/>
      <c r="CK509" s="60"/>
      <c r="CL509" s="60"/>
      <c r="CM509" s="60"/>
      <c r="CN509" s="60"/>
      <c r="CO509" s="60"/>
      <c r="CP509" s="60"/>
      <c r="CQ509" s="60"/>
      <c r="CR509" s="60"/>
      <c r="CS509" s="60"/>
      <c r="CT509" s="60"/>
      <c r="CU509" s="60"/>
      <c r="CV509" s="60"/>
      <c r="CW509" s="60"/>
      <c r="CX509" s="60"/>
      <c r="CY509" s="60"/>
      <c r="CZ509" s="60"/>
      <c r="DA509" s="60"/>
      <c r="DB509" s="60"/>
      <c r="DC509" s="60"/>
      <c r="DD509" s="60"/>
      <c r="DE509" s="60"/>
      <c r="DF509" s="60"/>
      <c r="DG509" s="60"/>
      <c r="DH509" s="60"/>
      <c r="DI509" s="60"/>
      <c r="DJ509" s="60"/>
      <c r="DK509" s="60"/>
      <c r="DL509" s="60"/>
      <c r="DM509" s="60"/>
      <c r="DN509" s="60"/>
      <c r="DO509" s="60"/>
      <c r="DP509" s="60"/>
      <c r="DQ509" s="60"/>
      <c r="DR509" s="60"/>
      <c r="DS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60"/>
      <c r="BJ510" s="60"/>
      <c r="BK510" s="60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  <c r="BX510" s="60"/>
      <c r="BY510" s="60"/>
      <c r="BZ510" s="60"/>
      <c r="CA510" s="60"/>
      <c r="CB510" s="60"/>
      <c r="CC510" s="60"/>
      <c r="CD510" s="60"/>
      <c r="CE510" s="60"/>
      <c r="CF510" s="60"/>
      <c r="CG510" s="60"/>
      <c r="CH510" s="60"/>
      <c r="CI510" s="60"/>
      <c r="CJ510" s="60"/>
      <c r="CK510" s="60"/>
      <c r="CL510" s="60"/>
      <c r="CM510" s="60"/>
      <c r="CN510" s="60"/>
      <c r="CO510" s="60"/>
      <c r="CP510" s="60"/>
      <c r="CQ510" s="60"/>
      <c r="CR510" s="60"/>
      <c r="CS510" s="60"/>
      <c r="CT510" s="60"/>
      <c r="CU510" s="60"/>
      <c r="CV510" s="60"/>
      <c r="CW510" s="60"/>
      <c r="CX510" s="60"/>
      <c r="CY510" s="60"/>
      <c r="CZ510" s="60"/>
      <c r="DA510" s="60"/>
      <c r="DB510" s="60"/>
      <c r="DC510" s="60"/>
      <c r="DD510" s="60"/>
      <c r="DE510" s="60"/>
      <c r="DF510" s="60"/>
      <c r="DG510" s="60"/>
      <c r="DH510" s="60"/>
      <c r="DI510" s="60"/>
      <c r="DJ510" s="60"/>
      <c r="DK510" s="60"/>
      <c r="DL510" s="60"/>
      <c r="DM510" s="60"/>
      <c r="DN510" s="60"/>
      <c r="DO510" s="60"/>
      <c r="DP510" s="60"/>
      <c r="DQ510" s="60"/>
      <c r="DR510" s="60"/>
      <c r="DS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  <c r="BX511" s="60"/>
      <c r="BY511" s="60"/>
      <c r="BZ511" s="60"/>
      <c r="CA511" s="60"/>
      <c r="CB511" s="60"/>
      <c r="CC511" s="60"/>
      <c r="CD511" s="60"/>
      <c r="CE511" s="60"/>
      <c r="CF511" s="60"/>
      <c r="CG511" s="60"/>
      <c r="CH511" s="60"/>
      <c r="CI511" s="60"/>
      <c r="CJ511" s="60"/>
      <c r="CK511" s="60"/>
      <c r="CL511" s="60"/>
      <c r="CM511" s="60"/>
      <c r="CN511" s="60"/>
      <c r="CO511" s="60"/>
      <c r="CP511" s="60"/>
      <c r="CQ511" s="60"/>
      <c r="CR511" s="60"/>
      <c r="CS511" s="60"/>
      <c r="CT511" s="60"/>
      <c r="CU511" s="60"/>
      <c r="CV511" s="60"/>
      <c r="CW511" s="60"/>
      <c r="CX511" s="60"/>
      <c r="CY511" s="60"/>
      <c r="CZ511" s="60"/>
      <c r="DA511" s="60"/>
      <c r="DB511" s="60"/>
      <c r="DC511" s="60"/>
      <c r="DD511" s="60"/>
      <c r="DE511" s="60"/>
      <c r="DF511" s="60"/>
      <c r="DG511" s="60"/>
      <c r="DH511" s="60"/>
      <c r="DI511" s="60"/>
      <c r="DJ511" s="60"/>
      <c r="DK511" s="60"/>
      <c r="DL511" s="60"/>
      <c r="DM511" s="60"/>
      <c r="DN511" s="60"/>
      <c r="DO511" s="60"/>
      <c r="DP511" s="60"/>
      <c r="DQ511" s="60"/>
      <c r="DR511" s="60"/>
      <c r="DS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60"/>
      <c r="BJ512" s="60"/>
      <c r="BK512" s="60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  <c r="BX512" s="60"/>
      <c r="BY512" s="60"/>
      <c r="BZ512" s="60"/>
      <c r="CA512" s="60"/>
      <c r="CB512" s="60"/>
      <c r="CC512" s="60"/>
      <c r="CD512" s="60"/>
      <c r="CE512" s="60"/>
      <c r="CF512" s="60"/>
      <c r="CG512" s="60"/>
      <c r="CH512" s="60"/>
      <c r="CI512" s="60"/>
      <c r="CJ512" s="60"/>
      <c r="CK512" s="60"/>
      <c r="CL512" s="60"/>
      <c r="CM512" s="60"/>
      <c r="CN512" s="60"/>
      <c r="CO512" s="60"/>
      <c r="CP512" s="60"/>
      <c r="CQ512" s="60"/>
      <c r="CR512" s="60"/>
      <c r="CS512" s="60"/>
      <c r="CT512" s="60"/>
      <c r="CU512" s="60"/>
      <c r="CV512" s="60"/>
      <c r="CW512" s="60"/>
      <c r="CX512" s="60"/>
      <c r="CY512" s="60"/>
      <c r="CZ512" s="60"/>
      <c r="DA512" s="60"/>
      <c r="DB512" s="60"/>
      <c r="DC512" s="60"/>
      <c r="DD512" s="60"/>
      <c r="DE512" s="60"/>
      <c r="DF512" s="60"/>
      <c r="DG512" s="60"/>
      <c r="DH512" s="60"/>
      <c r="DI512" s="60"/>
      <c r="DJ512" s="60"/>
      <c r="DK512" s="60"/>
      <c r="DL512" s="60"/>
      <c r="DM512" s="60"/>
      <c r="DN512" s="60"/>
      <c r="DO512" s="60"/>
      <c r="DP512" s="60"/>
      <c r="DQ512" s="60"/>
      <c r="DR512" s="60"/>
      <c r="DS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60"/>
      <c r="BJ513" s="60"/>
      <c r="BK513" s="60"/>
      <c r="BL513" s="60"/>
      <c r="BM513" s="60"/>
      <c r="BN513" s="60"/>
      <c r="BO513" s="60"/>
      <c r="BP513" s="60"/>
      <c r="BQ513" s="60"/>
      <c r="BR513" s="60"/>
      <c r="BS513" s="60"/>
      <c r="BT513" s="60"/>
      <c r="BU513" s="60"/>
      <c r="BV513" s="60"/>
      <c r="BW513" s="60"/>
      <c r="BX513" s="60"/>
      <c r="BY513" s="60"/>
      <c r="BZ513" s="60"/>
      <c r="CA513" s="60"/>
      <c r="CB513" s="60"/>
      <c r="CC513" s="60"/>
      <c r="CD513" s="60"/>
      <c r="CE513" s="60"/>
      <c r="CF513" s="60"/>
      <c r="CG513" s="60"/>
      <c r="CH513" s="60"/>
      <c r="CI513" s="60"/>
      <c r="CJ513" s="60"/>
      <c r="CK513" s="60"/>
      <c r="CL513" s="60"/>
      <c r="CM513" s="60"/>
      <c r="CN513" s="60"/>
      <c r="CO513" s="60"/>
      <c r="CP513" s="60"/>
      <c r="CQ513" s="60"/>
      <c r="CR513" s="60"/>
      <c r="CS513" s="60"/>
      <c r="CT513" s="60"/>
      <c r="CU513" s="60"/>
      <c r="CV513" s="60"/>
      <c r="CW513" s="60"/>
      <c r="CX513" s="60"/>
      <c r="CY513" s="60"/>
      <c r="CZ513" s="60"/>
      <c r="DA513" s="60"/>
      <c r="DB513" s="60"/>
      <c r="DC513" s="60"/>
      <c r="DD513" s="60"/>
      <c r="DE513" s="60"/>
      <c r="DF513" s="60"/>
      <c r="DG513" s="60"/>
      <c r="DH513" s="60"/>
      <c r="DI513" s="60"/>
      <c r="DJ513" s="60"/>
      <c r="DK513" s="60"/>
      <c r="DL513" s="60"/>
      <c r="DM513" s="60"/>
      <c r="DN513" s="60"/>
      <c r="DO513" s="60"/>
      <c r="DP513" s="60"/>
      <c r="DQ513" s="60"/>
      <c r="DR513" s="60"/>
      <c r="DS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60"/>
      <c r="BJ514" s="60"/>
      <c r="BK514" s="60"/>
      <c r="BL514" s="60"/>
      <c r="BM514" s="60"/>
      <c r="BN514" s="60"/>
      <c r="BO514" s="60"/>
      <c r="BP514" s="60"/>
      <c r="BQ514" s="60"/>
      <c r="BR514" s="60"/>
      <c r="BS514" s="60"/>
      <c r="BT514" s="60"/>
      <c r="BU514" s="60"/>
      <c r="BV514" s="60"/>
      <c r="BW514" s="60"/>
      <c r="BX514" s="60"/>
      <c r="BY514" s="60"/>
      <c r="BZ514" s="60"/>
      <c r="CA514" s="60"/>
      <c r="CB514" s="60"/>
      <c r="CC514" s="60"/>
      <c r="CD514" s="60"/>
      <c r="CE514" s="60"/>
      <c r="CF514" s="60"/>
      <c r="CG514" s="60"/>
      <c r="CH514" s="60"/>
      <c r="CI514" s="60"/>
      <c r="CJ514" s="60"/>
      <c r="CK514" s="60"/>
      <c r="CL514" s="60"/>
      <c r="CM514" s="60"/>
      <c r="CN514" s="60"/>
      <c r="CO514" s="60"/>
      <c r="CP514" s="60"/>
      <c r="CQ514" s="60"/>
      <c r="CR514" s="60"/>
      <c r="CS514" s="60"/>
      <c r="CT514" s="60"/>
      <c r="CU514" s="60"/>
      <c r="CV514" s="60"/>
      <c r="CW514" s="60"/>
      <c r="CX514" s="60"/>
      <c r="CY514" s="60"/>
      <c r="CZ514" s="60"/>
      <c r="DA514" s="60"/>
      <c r="DB514" s="60"/>
      <c r="DC514" s="60"/>
      <c r="DD514" s="60"/>
      <c r="DE514" s="60"/>
      <c r="DF514" s="60"/>
      <c r="DG514" s="60"/>
      <c r="DH514" s="60"/>
      <c r="DI514" s="60"/>
      <c r="DJ514" s="60"/>
      <c r="DK514" s="60"/>
      <c r="DL514" s="60"/>
      <c r="DM514" s="60"/>
      <c r="DN514" s="60"/>
      <c r="DO514" s="60"/>
      <c r="DP514" s="60"/>
      <c r="DQ514" s="60"/>
      <c r="DR514" s="60"/>
      <c r="DS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60"/>
      <c r="BJ515" s="60"/>
      <c r="BK515" s="60"/>
      <c r="BL515" s="60"/>
      <c r="BM515" s="60"/>
      <c r="BN515" s="60"/>
      <c r="BO515" s="60"/>
      <c r="BP515" s="60"/>
      <c r="BQ515" s="60"/>
      <c r="BR515" s="60"/>
      <c r="BS515" s="60"/>
      <c r="BT515" s="60"/>
      <c r="BU515" s="60"/>
      <c r="BV515" s="60"/>
      <c r="BW515" s="60"/>
      <c r="BX515" s="60"/>
      <c r="BY515" s="60"/>
      <c r="BZ515" s="60"/>
      <c r="CA515" s="60"/>
      <c r="CB515" s="60"/>
      <c r="CC515" s="60"/>
      <c r="CD515" s="60"/>
      <c r="CE515" s="60"/>
      <c r="CF515" s="60"/>
      <c r="CG515" s="60"/>
      <c r="CH515" s="60"/>
      <c r="CI515" s="60"/>
      <c r="CJ515" s="60"/>
      <c r="CK515" s="60"/>
      <c r="CL515" s="60"/>
      <c r="CM515" s="60"/>
      <c r="CN515" s="60"/>
      <c r="CO515" s="60"/>
      <c r="CP515" s="60"/>
      <c r="CQ515" s="60"/>
      <c r="CR515" s="60"/>
      <c r="CS515" s="60"/>
      <c r="CT515" s="60"/>
      <c r="CU515" s="60"/>
      <c r="CV515" s="60"/>
      <c r="CW515" s="60"/>
      <c r="CX515" s="60"/>
      <c r="CY515" s="60"/>
      <c r="CZ515" s="60"/>
      <c r="DA515" s="60"/>
      <c r="DB515" s="60"/>
      <c r="DC515" s="60"/>
      <c r="DD515" s="60"/>
      <c r="DE515" s="60"/>
      <c r="DF515" s="60"/>
      <c r="DG515" s="60"/>
      <c r="DH515" s="60"/>
      <c r="DI515" s="60"/>
      <c r="DJ515" s="60"/>
      <c r="DK515" s="60"/>
      <c r="DL515" s="60"/>
      <c r="DM515" s="60"/>
      <c r="DN515" s="60"/>
      <c r="DO515" s="60"/>
      <c r="DP515" s="60"/>
      <c r="DQ515" s="60"/>
      <c r="DR515" s="60"/>
      <c r="DS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60"/>
      <c r="BJ516" s="60"/>
      <c r="BK516" s="60"/>
      <c r="BL516" s="60"/>
      <c r="BM516" s="60"/>
      <c r="BN516" s="60"/>
      <c r="BO516" s="60"/>
      <c r="BP516" s="60"/>
      <c r="BQ516" s="60"/>
      <c r="BR516" s="60"/>
      <c r="BS516" s="60"/>
      <c r="BT516" s="60"/>
      <c r="BU516" s="60"/>
      <c r="BV516" s="60"/>
      <c r="BW516" s="60"/>
      <c r="BX516" s="60"/>
      <c r="BY516" s="60"/>
      <c r="BZ516" s="60"/>
      <c r="CA516" s="60"/>
      <c r="CB516" s="60"/>
      <c r="CC516" s="60"/>
      <c r="CD516" s="60"/>
      <c r="CE516" s="60"/>
      <c r="CF516" s="60"/>
      <c r="CG516" s="60"/>
      <c r="CH516" s="60"/>
      <c r="CI516" s="60"/>
      <c r="CJ516" s="60"/>
      <c r="CK516" s="60"/>
      <c r="CL516" s="60"/>
      <c r="CM516" s="60"/>
      <c r="CN516" s="60"/>
      <c r="CO516" s="60"/>
      <c r="CP516" s="60"/>
      <c r="CQ516" s="60"/>
      <c r="CR516" s="60"/>
      <c r="CS516" s="60"/>
      <c r="CT516" s="60"/>
      <c r="CU516" s="60"/>
      <c r="CV516" s="60"/>
      <c r="CW516" s="60"/>
      <c r="CX516" s="60"/>
      <c r="CY516" s="60"/>
      <c r="CZ516" s="60"/>
      <c r="DA516" s="60"/>
      <c r="DB516" s="60"/>
      <c r="DC516" s="60"/>
      <c r="DD516" s="60"/>
      <c r="DE516" s="60"/>
      <c r="DF516" s="60"/>
      <c r="DG516" s="60"/>
      <c r="DH516" s="60"/>
      <c r="DI516" s="60"/>
      <c r="DJ516" s="60"/>
      <c r="DK516" s="60"/>
      <c r="DL516" s="60"/>
      <c r="DM516" s="60"/>
      <c r="DN516" s="60"/>
      <c r="DO516" s="60"/>
      <c r="DP516" s="60"/>
      <c r="DQ516" s="60"/>
      <c r="DR516" s="60"/>
      <c r="DS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60"/>
      <c r="BJ517" s="60"/>
      <c r="BK517" s="60"/>
      <c r="BL517" s="60"/>
      <c r="BM517" s="60"/>
      <c r="BN517" s="60"/>
      <c r="BO517" s="60"/>
      <c r="BP517" s="60"/>
      <c r="BQ517" s="60"/>
      <c r="BR517" s="60"/>
      <c r="BS517" s="60"/>
      <c r="BT517" s="60"/>
      <c r="BU517" s="60"/>
      <c r="BV517" s="60"/>
      <c r="BW517" s="60"/>
      <c r="BX517" s="60"/>
      <c r="BY517" s="60"/>
      <c r="BZ517" s="60"/>
      <c r="CA517" s="60"/>
      <c r="CB517" s="60"/>
      <c r="CC517" s="60"/>
      <c r="CD517" s="60"/>
      <c r="CE517" s="60"/>
      <c r="CF517" s="60"/>
      <c r="CG517" s="60"/>
      <c r="CH517" s="60"/>
      <c r="CI517" s="60"/>
      <c r="CJ517" s="60"/>
      <c r="CK517" s="60"/>
      <c r="CL517" s="60"/>
      <c r="CM517" s="60"/>
      <c r="CN517" s="60"/>
      <c r="CO517" s="60"/>
      <c r="CP517" s="60"/>
      <c r="CQ517" s="60"/>
      <c r="CR517" s="60"/>
      <c r="CS517" s="60"/>
      <c r="CT517" s="60"/>
      <c r="CU517" s="60"/>
      <c r="CV517" s="60"/>
      <c r="CW517" s="60"/>
      <c r="CX517" s="60"/>
      <c r="CY517" s="60"/>
      <c r="CZ517" s="60"/>
      <c r="DA517" s="60"/>
      <c r="DB517" s="60"/>
      <c r="DC517" s="60"/>
      <c r="DD517" s="60"/>
      <c r="DE517" s="60"/>
      <c r="DF517" s="60"/>
      <c r="DG517" s="60"/>
      <c r="DH517" s="60"/>
      <c r="DI517" s="60"/>
      <c r="DJ517" s="60"/>
      <c r="DK517" s="60"/>
      <c r="DL517" s="60"/>
      <c r="DM517" s="60"/>
      <c r="DN517" s="60"/>
      <c r="DO517" s="60"/>
      <c r="DP517" s="60"/>
      <c r="DQ517" s="60"/>
      <c r="DR517" s="60"/>
      <c r="DS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60"/>
      <c r="BJ518" s="60"/>
      <c r="BK518" s="60"/>
      <c r="BL518" s="60"/>
      <c r="BM518" s="60"/>
      <c r="BN518" s="60"/>
      <c r="BO518" s="60"/>
      <c r="BP518" s="60"/>
      <c r="BQ518" s="60"/>
      <c r="BR518" s="60"/>
      <c r="BS518" s="60"/>
      <c r="BT518" s="60"/>
      <c r="BU518" s="60"/>
      <c r="BV518" s="60"/>
      <c r="BW518" s="60"/>
      <c r="BX518" s="60"/>
      <c r="BY518" s="60"/>
      <c r="BZ518" s="60"/>
      <c r="CA518" s="60"/>
      <c r="CB518" s="60"/>
      <c r="CC518" s="60"/>
      <c r="CD518" s="60"/>
      <c r="CE518" s="60"/>
      <c r="CF518" s="60"/>
      <c r="CG518" s="60"/>
      <c r="CH518" s="60"/>
      <c r="CI518" s="60"/>
      <c r="CJ518" s="60"/>
      <c r="CK518" s="60"/>
      <c r="CL518" s="60"/>
      <c r="CM518" s="60"/>
      <c r="CN518" s="60"/>
      <c r="CO518" s="60"/>
      <c r="CP518" s="60"/>
      <c r="CQ518" s="60"/>
      <c r="CR518" s="60"/>
      <c r="CS518" s="60"/>
      <c r="CT518" s="60"/>
      <c r="CU518" s="60"/>
      <c r="CV518" s="60"/>
      <c r="CW518" s="60"/>
      <c r="CX518" s="60"/>
      <c r="CY518" s="60"/>
      <c r="CZ518" s="60"/>
      <c r="DA518" s="60"/>
      <c r="DB518" s="60"/>
      <c r="DC518" s="60"/>
      <c r="DD518" s="60"/>
      <c r="DE518" s="60"/>
      <c r="DF518" s="60"/>
      <c r="DG518" s="60"/>
      <c r="DH518" s="60"/>
      <c r="DI518" s="60"/>
      <c r="DJ518" s="60"/>
      <c r="DK518" s="60"/>
      <c r="DL518" s="60"/>
      <c r="DM518" s="60"/>
      <c r="DN518" s="60"/>
      <c r="DO518" s="60"/>
      <c r="DP518" s="60"/>
      <c r="DQ518" s="60"/>
      <c r="DR518" s="60"/>
      <c r="DS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60"/>
      <c r="BJ519" s="60"/>
      <c r="BK519" s="60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  <c r="BX519" s="60"/>
      <c r="BY519" s="60"/>
      <c r="BZ519" s="60"/>
      <c r="CA519" s="60"/>
      <c r="CB519" s="60"/>
      <c r="CC519" s="60"/>
      <c r="CD519" s="60"/>
      <c r="CE519" s="60"/>
      <c r="CF519" s="60"/>
      <c r="CG519" s="60"/>
      <c r="CH519" s="60"/>
      <c r="CI519" s="60"/>
      <c r="CJ519" s="60"/>
      <c r="CK519" s="60"/>
      <c r="CL519" s="60"/>
      <c r="CM519" s="60"/>
      <c r="CN519" s="60"/>
      <c r="CO519" s="60"/>
      <c r="CP519" s="60"/>
      <c r="CQ519" s="60"/>
      <c r="CR519" s="60"/>
      <c r="CS519" s="60"/>
      <c r="CT519" s="60"/>
      <c r="CU519" s="60"/>
      <c r="CV519" s="60"/>
      <c r="CW519" s="60"/>
      <c r="CX519" s="60"/>
      <c r="CY519" s="60"/>
      <c r="CZ519" s="60"/>
      <c r="DA519" s="60"/>
      <c r="DB519" s="60"/>
      <c r="DC519" s="60"/>
      <c r="DD519" s="60"/>
      <c r="DE519" s="60"/>
      <c r="DF519" s="60"/>
      <c r="DG519" s="60"/>
      <c r="DH519" s="60"/>
      <c r="DI519" s="60"/>
      <c r="DJ519" s="60"/>
      <c r="DK519" s="60"/>
      <c r="DL519" s="60"/>
      <c r="DM519" s="60"/>
      <c r="DN519" s="60"/>
      <c r="DO519" s="60"/>
      <c r="DP519" s="60"/>
      <c r="DQ519" s="60"/>
      <c r="DR519" s="60"/>
      <c r="DS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60"/>
      <c r="BJ520" s="60"/>
      <c r="BK520" s="60"/>
      <c r="BL520" s="60"/>
      <c r="BM520" s="60"/>
      <c r="BN520" s="60"/>
      <c r="BO520" s="60"/>
      <c r="BP520" s="60"/>
      <c r="BQ520" s="60"/>
      <c r="BR520" s="60"/>
      <c r="BS520" s="60"/>
      <c r="BT520" s="60"/>
      <c r="BU520" s="60"/>
      <c r="BV520" s="60"/>
      <c r="BW520" s="60"/>
      <c r="BX520" s="60"/>
      <c r="BY520" s="60"/>
      <c r="BZ520" s="60"/>
      <c r="CA520" s="60"/>
      <c r="CB520" s="60"/>
      <c r="CC520" s="60"/>
      <c r="CD520" s="60"/>
      <c r="CE520" s="60"/>
      <c r="CF520" s="60"/>
      <c r="CG520" s="60"/>
      <c r="CH520" s="60"/>
      <c r="CI520" s="60"/>
      <c r="CJ520" s="60"/>
      <c r="CK520" s="60"/>
      <c r="CL520" s="60"/>
      <c r="CM520" s="60"/>
      <c r="CN520" s="60"/>
      <c r="CO520" s="60"/>
      <c r="CP520" s="60"/>
      <c r="CQ520" s="60"/>
      <c r="CR520" s="60"/>
      <c r="CS520" s="60"/>
      <c r="CT520" s="60"/>
      <c r="CU520" s="60"/>
      <c r="CV520" s="60"/>
      <c r="CW520" s="60"/>
      <c r="CX520" s="60"/>
      <c r="CY520" s="60"/>
      <c r="CZ520" s="60"/>
      <c r="DA520" s="60"/>
      <c r="DB520" s="60"/>
      <c r="DC520" s="60"/>
      <c r="DD520" s="60"/>
      <c r="DE520" s="60"/>
      <c r="DF520" s="60"/>
      <c r="DG520" s="60"/>
      <c r="DH520" s="60"/>
      <c r="DI520" s="60"/>
      <c r="DJ520" s="60"/>
      <c r="DK520" s="60"/>
      <c r="DL520" s="60"/>
      <c r="DM520" s="60"/>
      <c r="DN520" s="60"/>
      <c r="DO520" s="60"/>
      <c r="DP520" s="60"/>
      <c r="DQ520" s="60"/>
      <c r="DR520" s="60"/>
      <c r="DS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60"/>
      <c r="BJ521" s="60"/>
      <c r="BK521" s="60"/>
      <c r="BL521" s="60"/>
      <c r="BM521" s="60"/>
      <c r="BN521" s="60"/>
      <c r="BO521" s="60"/>
      <c r="BP521" s="60"/>
      <c r="BQ521" s="60"/>
      <c r="BR521" s="60"/>
      <c r="BS521" s="60"/>
      <c r="BT521" s="60"/>
      <c r="BU521" s="60"/>
      <c r="BV521" s="60"/>
      <c r="BW521" s="60"/>
      <c r="BX521" s="60"/>
      <c r="BY521" s="60"/>
      <c r="BZ521" s="60"/>
      <c r="CA521" s="60"/>
      <c r="CB521" s="60"/>
      <c r="CC521" s="60"/>
      <c r="CD521" s="60"/>
      <c r="CE521" s="60"/>
      <c r="CF521" s="60"/>
      <c r="CG521" s="60"/>
      <c r="CH521" s="60"/>
      <c r="CI521" s="60"/>
      <c r="CJ521" s="60"/>
      <c r="CK521" s="60"/>
      <c r="CL521" s="60"/>
      <c r="CM521" s="60"/>
      <c r="CN521" s="60"/>
      <c r="CO521" s="60"/>
      <c r="CP521" s="60"/>
      <c r="CQ521" s="60"/>
      <c r="CR521" s="60"/>
      <c r="CS521" s="60"/>
      <c r="CT521" s="60"/>
      <c r="CU521" s="60"/>
      <c r="CV521" s="60"/>
      <c r="CW521" s="60"/>
      <c r="CX521" s="60"/>
      <c r="CY521" s="60"/>
      <c r="CZ521" s="60"/>
      <c r="DA521" s="60"/>
      <c r="DB521" s="60"/>
      <c r="DC521" s="60"/>
      <c r="DD521" s="60"/>
      <c r="DE521" s="60"/>
      <c r="DF521" s="60"/>
      <c r="DG521" s="60"/>
      <c r="DH521" s="60"/>
      <c r="DI521" s="60"/>
      <c r="DJ521" s="60"/>
      <c r="DK521" s="60"/>
      <c r="DL521" s="60"/>
      <c r="DM521" s="60"/>
      <c r="DN521" s="60"/>
      <c r="DO521" s="60"/>
      <c r="DP521" s="60"/>
      <c r="DQ521" s="60"/>
      <c r="DR521" s="60"/>
      <c r="DS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60"/>
      <c r="BJ522" s="60"/>
      <c r="BK522" s="60"/>
      <c r="BL522" s="60"/>
      <c r="BM522" s="60"/>
      <c r="BN522" s="60"/>
      <c r="BO522" s="60"/>
      <c r="BP522" s="60"/>
      <c r="BQ522" s="60"/>
      <c r="BR522" s="60"/>
      <c r="BS522" s="60"/>
      <c r="BT522" s="60"/>
      <c r="BU522" s="60"/>
      <c r="BV522" s="60"/>
      <c r="BW522" s="60"/>
      <c r="BX522" s="60"/>
      <c r="BY522" s="60"/>
      <c r="BZ522" s="60"/>
      <c r="CA522" s="60"/>
      <c r="CB522" s="60"/>
      <c r="CC522" s="60"/>
      <c r="CD522" s="60"/>
      <c r="CE522" s="60"/>
      <c r="CF522" s="60"/>
      <c r="CG522" s="60"/>
      <c r="CH522" s="60"/>
      <c r="CI522" s="60"/>
      <c r="CJ522" s="60"/>
      <c r="CK522" s="60"/>
      <c r="CL522" s="60"/>
      <c r="CM522" s="60"/>
      <c r="CN522" s="60"/>
      <c r="CO522" s="60"/>
      <c r="CP522" s="60"/>
      <c r="CQ522" s="60"/>
      <c r="CR522" s="60"/>
      <c r="CS522" s="60"/>
      <c r="CT522" s="60"/>
      <c r="CU522" s="60"/>
      <c r="CV522" s="60"/>
      <c r="CW522" s="60"/>
      <c r="CX522" s="60"/>
      <c r="CY522" s="60"/>
      <c r="CZ522" s="60"/>
      <c r="DA522" s="60"/>
      <c r="DB522" s="60"/>
      <c r="DC522" s="60"/>
      <c r="DD522" s="60"/>
      <c r="DE522" s="60"/>
      <c r="DF522" s="60"/>
      <c r="DG522" s="60"/>
      <c r="DH522" s="60"/>
      <c r="DI522" s="60"/>
      <c r="DJ522" s="60"/>
      <c r="DK522" s="60"/>
      <c r="DL522" s="60"/>
      <c r="DM522" s="60"/>
      <c r="DN522" s="60"/>
      <c r="DO522" s="60"/>
      <c r="DP522" s="60"/>
      <c r="DQ522" s="60"/>
      <c r="DR522" s="60"/>
      <c r="DS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60"/>
      <c r="BJ523" s="60"/>
      <c r="BK523" s="60"/>
      <c r="BL523" s="60"/>
      <c r="BM523" s="60"/>
      <c r="BN523" s="60"/>
      <c r="BO523" s="60"/>
      <c r="BP523" s="60"/>
      <c r="BQ523" s="60"/>
      <c r="BR523" s="60"/>
      <c r="BS523" s="60"/>
      <c r="BT523" s="60"/>
      <c r="BU523" s="60"/>
      <c r="BV523" s="60"/>
      <c r="BW523" s="60"/>
      <c r="BX523" s="60"/>
      <c r="BY523" s="60"/>
      <c r="BZ523" s="60"/>
      <c r="CA523" s="60"/>
      <c r="CB523" s="60"/>
      <c r="CC523" s="60"/>
      <c r="CD523" s="60"/>
      <c r="CE523" s="60"/>
      <c r="CF523" s="60"/>
      <c r="CG523" s="60"/>
      <c r="CH523" s="60"/>
      <c r="CI523" s="60"/>
      <c r="CJ523" s="60"/>
      <c r="CK523" s="60"/>
      <c r="CL523" s="60"/>
      <c r="CM523" s="60"/>
      <c r="CN523" s="60"/>
      <c r="CO523" s="60"/>
      <c r="CP523" s="60"/>
      <c r="CQ523" s="60"/>
      <c r="CR523" s="60"/>
      <c r="CS523" s="60"/>
      <c r="CT523" s="60"/>
      <c r="CU523" s="60"/>
      <c r="CV523" s="60"/>
      <c r="CW523" s="60"/>
      <c r="CX523" s="60"/>
      <c r="CY523" s="60"/>
      <c r="CZ523" s="60"/>
      <c r="DA523" s="60"/>
      <c r="DB523" s="60"/>
      <c r="DC523" s="60"/>
      <c r="DD523" s="60"/>
      <c r="DE523" s="60"/>
      <c r="DF523" s="60"/>
      <c r="DG523" s="60"/>
      <c r="DH523" s="60"/>
      <c r="DI523" s="60"/>
      <c r="DJ523" s="60"/>
      <c r="DK523" s="60"/>
      <c r="DL523" s="60"/>
      <c r="DM523" s="60"/>
      <c r="DN523" s="60"/>
      <c r="DO523" s="60"/>
      <c r="DP523" s="60"/>
      <c r="DQ523" s="60"/>
      <c r="DR523" s="60"/>
      <c r="DS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60"/>
      <c r="BJ524" s="60"/>
      <c r="BK524" s="60"/>
      <c r="BL524" s="60"/>
      <c r="BM524" s="60"/>
      <c r="BN524" s="60"/>
      <c r="BO524" s="60"/>
      <c r="BP524" s="60"/>
      <c r="BQ524" s="60"/>
      <c r="BR524" s="60"/>
      <c r="BS524" s="60"/>
      <c r="BT524" s="60"/>
      <c r="BU524" s="60"/>
      <c r="BV524" s="60"/>
      <c r="BW524" s="60"/>
      <c r="BX524" s="60"/>
      <c r="BY524" s="60"/>
      <c r="BZ524" s="60"/>
      <c r="CA524" s="60"/>
      <c r="CB524" s="60"/>
      <c r="CC524" s="60"/>
      <c r="CD524" s="60"/>
      <c r="CE524" s="60"/>
      <c r="CF524" s="60"/>
      <c r="CG524" s="60"/>
      <c r="CH524" s="60"/>
      <c r="CI524" s="60"/>
      <c r="CJ524" s="60"/>
      <c r="CK524" s="60"/>
      <c r="CL524" s="60"/>
      <c r="CM524" s="60"/>
      <c r="CN524" s="60"/>
      <c r="CO524" s="60"/>
      <c r="CP524" s="60"/>
      <c r="CQ524" s="60"/>
      <c r="CR524" s="60"/>
      <c r="CS524" s="60"/>
      <c r="CT524" s="60"/>
      <c r="CU524" s="60"/>
      <c r="CV524" s="60"/>
      <c r="CW524" s="60"/>
      <c r="CX524" s="60"/>
      <c r="CY524" s="60"/>
      <c r="CZ524" s="60"/>
      <c r="DA524" s="60"/>
      <c r="DB524" s="60"/>
      <c r="DC524" s="60"/>
      <c r="DD524" s="60"/>
      <c r="DE524" s="60"/>
      <c r="DF524" s="60"/>
      <c r="DG524" s="60"/>
      <c r="DH524" s="60"/>
      <c r="DI524" s="60"/>
      <c r="DJ524" s="60"/>
      <c r="DK524" s="60"/>
      <c r="DL524" s="60"/>
      <c r="DM524" s="60"/>
      <c r="DN524" s="60"/>
      <c r="DO524" s="60"/>
      <c r="DP524" s="60"/>
      <c r="DQ524" s="60"/>
      <c r="DR524" s="60"/>
      <c r="DS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60"/>
      <c r="BJ525" s="60"/>
      <c r="BK525" s="60"/>
      <c r="BL525" s="60"/>
      <c r="BM525" s="60"/>
      <c r="BN525" s="60"/>
      <c r="BO525" s="60"/>
      <c r="BP525" s="60"/>
      <c r="BQ525" s="60"/>
      <c r="BR525" s="60"/>
      <c r="BS525" s="60"/>
      <c r="BT525" s="60"/>
      <c r="BU525" s="60"/>
      <c r="BV525" s="60"/>
      <c r="BW525" s="60"/>
      <c r="BX525" s="60"/>
      <c r="BY525" s="60"/>
      <c r="BZ525" s="60"/>
      <c r="CA525" s="60"/>
      <c r="CB525" s="60"/>
      <c r="CC525" s="60"/>
      <c r="CD525" s="60"/>
      <c r="CE525" s="60"/>
      <c r="CF525" s="60"/>
      <c r="CG525" s="60"/>
      <c r="CH525" s="60"/>
      <c r="CI525" s="60"/>
      <c r="CJ525" s="60"/>
      <c r="CK525" s="60"/>
      <c r="CL525" s="60"/>
      <c r="CM525" s="60"/>
      <c r="CN525" s="60"/>
      <c r="CO525" s="60"/>
      <c r="CP525" s="60"/>
      <c r="CQ525" s="60"/>
      <c r="CR525" s="60"/>
      <c r="CS525" s="60"/>
      <c r="CT525" s="60"/>
      <c r="CU525" s="60"/>
      <c r="CV525" s="60"/>
      <c r="CW525" s="60"/>
      <c r="CX525" s="60"/>
      <c r="CY525" s="60"/>
      <c r="CZ525" s="60"/>
      <c r="DA525" s="60"/>
      <c r="DB525" s="60"/>
      <c r="DC525" s="60"/>
      <c r="DD525" s="60"/>
      <c r="DE525" s="60"/>
      <c r="DF525" s="60"/>
      <c r="DG525" s="60"/>
      <c r="DH525" s="60"/>
      <c r="DI525" s="60"/>
      <c r="DJ525" s="60"/>
      <c r="DK525" s="60"/>
      <c r="DL525" s="60"/>
      <c r="DM525" s="60"/>
      <c r="DN525" s="60"/>
      <c r="DO525" s="60"/>
      <c r="DP525" s="60"/>
      <c r="DQ525" s="60"/>
      <c r="DR525" s="60"/>
      <c r="DS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/>
      <c r="BJ526" s="60"/>
      <c r="BK526" s="60"/>
      <c r="BL526" s="60"/>
      <c r="BM526" s="60"/>
      <c r="BN526" s="60"/>
      <c r="BO526" s="60"/>
      <c r="BP526" s="60"/>
      <c r="BQ526" s="60"/>
      <c r="BR526" s="60"/>
      <c r="BS526" s="60"/>
      <c r="BT526" s="60"/>
      <c r="BU526" s="60"/>
      <c r="BV526" s="60"/>
      <c r="BW526" s="60"/>
      <c r="BX526" s="60"/>
      <c r="BY526" s="60"/>
      <c r="BZ526" s="60"/>
      <c r="CA526" s="60"/>
      <c r="CB526" s="60"/>
      <c r="CC526" s="60"/>
      <c r="CD526" s="60"/>
      <c r="CE526" s="60"/>
      <c r="CF526" s="60"/>
      <c r="CG526" s="60"/>
      <c r="CH526" s="60"/>
      <c r="CI526" s="60"/>
      <c r="CJ526" s="60"/>
      <c r="CK526" s="60"/>
      <c r="CL526" s="60"/>
      <c r="CM526" s="60"/>
      <c r="CN526" s="60"/>
      <c r="CO526" s="60"/>
      <c r="CP526" s="60"/>
      <c r="CQ526" s="60"/>
      <c r="CR526" s="60"/>
      <c r="CS526" s="60"/>
      <c r="CT526" s="60"/>
      <c r="CU526" s="60"/>
      <c r="CV526" s="60"/>
      <c r="CW526" s="60"/>
      <c r="CX526" s="60"/>
      <c r="CY526" s="60"/>
      <c r="CZ526" s="60"/>
      <c r="DA526" s="60"/>
      <c r="DB526" s="60"/>
      <c r="DC526" s="60"/>
      <c r="DD526" s="60"/>
      <c r="DE526" s="60"/>
      <c r="DF526" s="60"/>
      <c r="DG526" s="60"/>
      <c r="DH526" s="60"/>
      <c r="DI526" s="60"/>
      <c r="DJ526" s="60"/>
      <c r="DK526" s="60"/>
      <c r="DL526" s="60"/>
      <c r="DM526" s="60"/>
      <c r="DN526" s="60"/>
      <c r="DO526" s="60"/>
      <c r="DP526" s="60"/>
      <c r="DQ526" s="60"/>
      <c r="DR526" s="60"/>
      <c r="DS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60"/>
      <c r="BJ527" s="60"/>
      <c r="BK527" s="60"/>
      <c r="BL527" s="60"/>
      <c r="BM527" s="60"/>
      <c r="BN527" s="60"/>
      <c r="BO527" s="60"/>
      <c r="BP527" s="60"/>
      <c r="BQ527" s="60"/>
      <c r="BR527" s="60"/>
      <c r="BS527" s="60"/>
      <c r="BT527" s="60"/>
      <c r="BU527" s="60"/>
      <c r="BV527" s="60"/>
      <c r="BW527" s="60"/>
      <c r="BX527" s="60"/>
      <c r="BY527" s="60"/>
      <c r="BZ527" s="60"/>
      <c r="CA527" s="60"/>
      <c r="CB527" s="60"/>
      <c r="CC527" s="60"/>
      <c r="CD527" s="60"/>
      <c r="CE527" s="60"/>
      <c r="CF527" s="60"/>
      <c r="CG527" s="60"/>
      <c r="CH527" s="60"/>
      <c r="CI527" s="60"/>
      <c r="CJ527" s="60"/>
      <c r="CK527" s="60"/>
      <c r="CL527" s="60"/>
      <c r="CM527" s="60"/>
      <c r="CN527" s="60"/>
      <c r="CO527" s="60"/>
      <c r="CP527" s="60"/>
      <c r="CQ527" s="60"/>
      <c r="CR527" s="60"/>
      <c r="CS527" s="60"/>
      <c r="CT527" s="60"/>
      <c r="CU527" s="60"/>
      <c r="CV527" s="60"/>
      <c r="CW527" s="60"/>
      <c r="CX527" s="60"/>
      <c r="CY527" s="60"/>
      <c r="CZ527" s="60"/>
      <c r="DA527" s="60"/>
      <c r="DB527" s="60"/>
      <c r="DC527" s="60"/>
      <c r="DD527" s="60"/>
      <c r="DE527" s="60"/>
      <c r="DF527" s="60"/>
      <c r="DG527" s="60"/>
      <c r="DH527" s="60"/>
      <c r="DI527" s="60"/>
      <c r="DJ527" s="60"/>
      <c r="DK527" s="60"/>
      <c r="DL527" s="60"/>
      <c r="DM527" s="60"/>
      <c r="DN527" s="60"/>
      <c r="DO527" s="60"/>
      <c r="DP527" s="60"/>
      <c r="DQ527" s="60"/>
      <c r="DR527" s="60"/>
      <c r="DS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60"/>
      <c r="BJ528" s="60"/>
      <c r="BK528" s="60"/>
      <c r="BL528" s="60"/>
      <c r="BM528" s="60"/>
      <c r="BN528" s="60"/>
      <c r="BO528" s="60"/>
      <c r="BP528" s="60"/>
      <c r="BQ528" s="60"/>
      <c r="BR528" s="60"/>
      <c r="BS528" s="60"/>
      <c r="BT528" s="60"/>
      <c r="BU528" s="60"/>
      <c r="BV528" s="60"/>
      <c r="BW528" s="60"/>
      <c r="BX528" s="60"/>
      <c r="BY528" s="60"/>
      <c r="BZ528" s="60"/>
      <c r="CA528" s="60"/>
      <c r="CB528" s="60"/>
      <c r="CC528" s="60"/>
      <c r="CD528" s="60"/>
      <c r="CE528" s="60"/>
      <c r="CF528" s="60"/>
      <c r="CG528" s="60"/>
      <c r="CH528" s="60"/>
      <c r="CI528" s="60"/>
      <c r="CJ528" s="60"/>
      <c r="CK528" s="60"/>
      <c r="CL528" s="60"/>
      <c r="CM528" s="60"/>
      <c r="CN528" s="60"/>
      <c r="CO528" s="60"/>
      <c r="CP528" s="60"/>
      <c r="CQ528" s="60"/>
      <c r="CR528" s="60"/>
      <c r="CS528" s="60"/>
      <c r="CT528" s="60"/>
      <c r="CU528" s="60"/>
      <c r="CV528" s="60"/>
      <c r="CW528" s="60"/>
      <c r="CX528" s="60"/>
      <c r="CY528" s="60"/>
      <c r="CZ528" s="60"/>
      <c r="DA528" s="60"/>
      <c r="DB528" s="60"/>
      <c r="DC528" s="60"/>
      <c r="DD528" s="60"/>
      <c r="DE528" s="60"/>
      <c r="DF528" s="60"/>
      <c r="DG528" s="60"/>
      <c r="DH528" s="60"/>
      <c r="DI528" s="60"/>
      <c r="DJ528" s="60"/>
      <c r="DK528" s="60"/>
      <c r="DL528" s="60"/>
      <c r="DM528" s="60"/>
      <c r="DN528" s="60"/>
      <c r="DO528" s="60"/>
      <c r="DP528" s="60"/>
      <c r="DQ528" s="60"/>
      <c r="DR528" s="60"/>
      <c r="DS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60"/>
      <c r="BJ529" s="60"/>
      <c r="BK529" s="60"/>
      <c r="BL529" s="60"/>
      <c r="BM529" s="60"/>
      <c r="BN529" s="60"/>
      <c r="BO529" s="60"/>
      <c r="BP529" s="60"/>
      <c r="BQ529" s="60"/>
      <c r="BR529" s="60"/>
      <c r="BS529" s="60"/>
      <c r="BT529" s="60"/>
      <c r="BU529" s="60"/>
      <c r="BV529" s="60"/>
      <c r="BW529" s="60"/>
      <c r="BX529" s="60"/>
      <c r="BY529" s="60"/>
      <c r="BZ529" s="60"/>
      <c r="CA529" s="60"/>
      <c r="CB529" s="60"/>
      <c r="CC529" s="60"/>
      <c r="CD529" s="60"/>
      <c r="CE529" s="60"/>
      <c r="CF529" s="60"/>
      <c r="CG529" s="60"/>
      <c r="CH529" s="60"/>
      <c r="CI529" s="60"/>
      <c r="CJ529" s="60"/>
      <c r="CK529" s="60"/>
      <c r="CL529" s="60"/>
      <c r="CM529" s="60"/>
      <c r="CN529" s="60"/>
      <c r="CO529" s="60"/>
      <c r="CP529" s="60"/>
      <c r="CQ529" s="60"/>
      <c r="CR529" s="60"/>
      <c r="CS529" s="60"/>
      <c r="CT529" s="60"/>
      <c r="CU529" s="60"/>
      <c r="CV529" s="60"/>
      <c r="CW529" s="60"/>
      <c r="CX529" s="60"/>
      <c r="CY529" s="60"/>
      <c r="CZ529" s="60"/>
      <c r="DA529" s="60"/>
      <c r="DB529" s="60"/>
      <c r="DC529" s="60"/>
      <c r="DD529" s="60"/>
      <c r="DE529" s="60"/>
      <c r="DF529" s="60"/>
      <c r="DG529" s="60"/>
      <c r="DH529" s="60"/>
      <c r="DI529" s="60"/>
      <c r="DJ529" s="60"/>
      <c r="DK529" s="60"/>
      <c r="DL529" s="60"/>
      <c r="DM529" s="60"/>
      <c r="DN529" s="60"/>
      <c r="DO529" s="60"/>
      <c r="DP529" s="60"/>
      <c r="DQ529" s="60"/>
      <c r="DR529" s="60"/>
      <c r="DS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60"/>
      <c r="BJ530" s="60"/>
      <c r="BK530" s="60"/>
      <c r="BL530" s="60"/>
      <c r="BM530" s="60"/>
      <c r="BN530" s="60"/>
      <c r="BO530" s="60"/>
      <c r="BP530" s="60"/>
      <c r="BQ530" s="60"/>
      <c r="BR530" s="60"/>
      <c r="BS530" s="60"/>
      <c r="BT530" s="60"/>
      <c r="BU530" s="60"/>
      <c r="BV530" s="60"/>
      <c r="BW530" s="60"/>
      <c r="BX530" s="60"/>
      <c r="BY530" s="60"/>
      <c r="BZ530" s="60"/>
      <c r="CA530" s="60"/>
      <c r="CB530" s="60"/>
      <c r="CC530" s="60"/>
      <c r="CD530" s="60"/>
      <c r="CE530" s="60"/>
      <c r="CF530" s="60"/>
      <c r="CG530" s="60"/>
      <c r="CH530" s="60"/>
      <c r="CI530" s="60"/>
      <c r="CJ530" s="60"/>
      <c r="CK530" s="60"/>
      <c r="CL530" s="60"/>
      <c r="CM530" s="60"/>
      <c r="CN530" s="60"/>
      <c r="CO530" s="60"/>
      <c r="CP530" s="60"/>
      <c r="CQ530" s="60"/>
      <c r="CR530" s="60"/>
      <c r="CS530" s="60"/>
      <c r="CT530" s="60"/>
      <c r="CU530" s="60"/>
      <c r="CV530" s="60"/>
      <c r="CW530" s="60"/>
      <c r="CX530" s="60"/>
      <c r="CY530" s="60"/>
      <c r="CZ530" s="60"/>
      <c r="DA530" s="60"/>
      <c r="DB530" s="60"/>
      <c r="DC530" s="60"/>
      <c r="DD530" s="60"/>
      <c r="DE530" s="60"/>
      <c r="DF530" s="60"/>
      <c r="DG530" s="60"/>
      <c r="DH530" s="60"/>
      <c r="DI530" s="60"/>
      <c r="DJ530" s="60"/>
      <c r="DK530" s="60"/>
      <c r="DL530" s="60"/>
      <c r="DM530" s="60"/>
      <c r="DN530" s="60"/>
      <c r="DO530" s="60"/>
      <c r="DP530" s="60"/>
      <c r="DQ530" s="60"/>
      <c r="DR530" s="60"/>
      <c r="DS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60"/>
      <c r="BJ531" s="60"/>
      <c r="BK531" s="60"/>
      <c r="BL531" s="60"/>
      <c r="BM531" s="60"/>
      <c r="BN531" s="60"/>
      <c r="BO531" s="60"/>
      <c r="BP531" s="60"/>
      <c r="BQ531" s="60"/>
      <c r="BR531" s="60"/>
      <c r="BS531" s="60"/>
      <c r="BT531" s="60"/>
      <c r="BU531" s="60"/>
      <c r="BV531" s="60"/>
      <c r="BW531" s="60"/>
      <c r="BX531" s="60"/>
      <c r="BY531" s="60"/>
      <c r="BZ531" s="60"/>
      <c r="CA531" s="60"/>
      <c r="CB531" s="60"/>
      <c r="CC531" s="60"/>
      <c r="CD531" s="60"/>
      <c r="CE531" s="60"/>
      <c r="CF531" s="60"/>
      <c r="CG531" s="60"/>
      <c r="CH531" s="60"/>
      <c r="CI531" s="60"/>
      <c r="CJ531" s="60"/>
      <c r="CK531" s="60"/>
      <c r="CL531" s="60"/>
      <c r="CM531" s="60"/>
      <c r="CN531" s="60"/>
      <c r="CO531" s="60"/>
      <c r="CP531" s="60"/>
      <c r="CQ531" s="60"/>
      <c r="CR531" s="60"/>
      <c r="CS531" s="60"/>
      <c r="CT531" s="60"/>
      <c r="CU531" s="60"/>
      <c r="CV531" s="60"/>
      <c r="CW531" s="60"/>
      <c r="CX531" s="60"/>
      <c r="CY531" s="60"/>
      <c r="CZ531" s="60"/>
      <c r="DA531" s="60"/>
      <c r="DB531" s="60"/>
      <c r="DC531" s="60"/>
      <c r="DD531" s="60"/>
      <c r="DE531" s="60"/>
      <c r="DF531" s="60"/>
      <c r="DG531" s="60"/>
      <c r="DH531" s="60"/>
      <c r="DI531" s="60"/>
      <c r="DJ531" s="60"/>
      <c r="DK531" s="60"/>
      <c r="DL531" s="60"/>
      <c r="DM531" s="60"/>
      <c r="DN531" s="60"/>
      <c r="DO531" s="60"/>
      <c r="DP531" s="60"/>
      <c r="DQ531" s="60"/>
      <c r="DR531" s="60"/>
      <c r="DS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60"/>
      <c r="BJ532" s="60"/>
      <c r="BK532" s="60"/>
      <c r="BL532" s="60"/>
      <c r="BM532" s="60"/>
      <c r="BN532" s="60"/>
      <c r="BO532" s="60"/>
      <c r="BP532" s="60"/>
      <c r="BQ532" s="60"/>
      <c r="BR532" s="60"/>
      <c r="BS532" s="60"/>
      <c r="BT532" s="60"/>
      <c r="BU532" s="60"/>
      <c r="BV532" s="60"/>
      <c r="BW532" s="60"/>
      <c r="BX532" s="60"/>
      <c r="BY532" s="60"/>
      <c r="BZ532" s="60"/>
      <c r="CA532" s="60"/>
      <c r="CB532" s="60"/>
      <c r="CC532" s="60"/>
      <c r="CD532" s="60"/>
      <c r="CE532" s="60"/>
      <c r="CF532" s="60"/>
      <c r="CG532" s="60"/>
      <c r="CH532" s="60"/>
      <c r="CI532" s="60"/>
      <c r="CJ532" s="60"/>
      <c r="CK532" s="60"/>
      <c r="CL532" s="60"/>
      <c r="CM532" s="60"/>
      <c r="CN532" s="60"/>
      <c r="CO532" s="60"/>
      <c r="CP532" s="60"/>
      <c r="CQ532" s="60"/>
      <c r="CR532" s="60"/>
      <c r="CS532" s="60"/>
      <c r="CT532" s="60"/>
      <c r="CU532" s="60"/>
      <c r="CV532" s="60"/>
      <c r="CW532" s="60"/>
      <c r="CX532" s="60"/>
      <c r="CY532" s="60"/>
      <c r="CZ532" s="60"/>
      <c r="DA532" s="60"/>
      <c r="DB532" s="60"/>
      <c r="DC532" s="60"/>
      <c r="DD532" s="60"/>
      <c r="DE532" s="60"/>
      <c r="DF532" s="60"/>
      <c r="DG532" s="60"/>
      <c r="DH532" s="60"/>
      <c r="DI532" s="60"/>
      <c r="DJ532" s="60"/>
      <c r="DK532" s="60"/>
      <c r="DL532" s="60"/>
      <c r="DM532" s="60"/>
      <c r="DN532" s="60"/>
      <c r="DO532" s="60"/>
      <c r="DP532" s="60"/>
      <c r="DQ532" s="60"/>
      <c r="DR532" s="60"/>
      <c r="DS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60"/>
      <c r="BJ533" s="60"/>
      <c r="BK533" s="60"/>
      <c r="BL533" s="60"/>
      <c r="BM533" s="60"/>
      <c r="BN533" s="60"/>
      <c r="BO533" s="60"/>
      <c r="BP533" s="60"/>
      <c r="BQ533" s="60"/>
      <c r="BR533" s="60"/>
      <c r="BS533" s="60"/>
      <c r="BT533" s="60"/>
      <c r="BU533" s="60"/>
      <c r="BV533" s="60"/>
      <c r="BW533" s="60"/>
      <c r="BX533" s="60"/>
      <c r="BY533" s="60"/>
      <c r="BZ533" s="60"/>
      <c r="CA533" s="60"/>
      <c r="CB533" s="60"/>
      <c r="CC533" s="60"/>
      <c r="CD533" s="60"/>
      <c r="CE533" s="60"/>
      <c r="CF533" s="60"/>
      <c r="CG533" s="60"/>
      <c r="CH533" s="60"/>
      <c r="CI533" s="60"/>
      <c r="CJ533" s="60"/>
      <c r="CK533" s="60"/>
      <c r="CL533" s="60"/>
      <c r="CM533" s="60"/>
      <c r="CN533" s="60"/>
      <c r="CO533" s="60"/>
      <c r="CP533" s="60"/>
      <c r="CQ533" s="60"/>
      <c r="CR533" s="60"/>
      <c r="CS533" s="60"/>
      <c r="CT533" s="60"/>
      <c r="CU533" s="60"/>
      <c r="CV533" s="60"/>
      <c r="CW533" s="60"/>
      <c r="CX533" s="60"/>
      <c r="CY533" s="60"/>
      <c r="CZ533" s="60"/>
      <c r="DA533" s="60"/>
      <c r="DB533" s="60"/>
      <c r="DC533" s="60"/>
      <c r="DD533" s="60"/>
      <c r="DE533" s="60"/>
      <c r="DF533" s="60"/>
      <c r="DG533" s="60"/>
      <c r="DH533" s="60"/>
      <c r="DI533" s="60"/>
      <c r="DJ533" s="60"/>
      <c r="DK533" s="60"/>
      <c r="DL533" s="60"/>
      <c r="DM533" s="60"/>
      <c r="DN533" s="60"/>
      <c r="DO533" s="60"/>
      <c r="DP533" s="60"/>
      <c r="DQ533" s="60"/>
      <c r="DR533" s="60"/>
      <c r="DS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60"/>
      <c r="BJ534" s="60"/>
      <c r="BK534" s="60"/>
      <c r="BL534" s="60"/>
      <c r="BM534" s="60"/>
      <c r="BN534" s="60"/>
      <c r="BO534" s="60"/>
      <c r="BP534" s="60"/>
      <c r="BQ534" s="60"/>
      <c r="BR534" s="60"/>
      <c r="BS534" s="60"/>
      <c r="BT534" s="60"/>
      <c r="BU534" s="60"/>
      <c r="BV534" s="60"/>
      <c r="BW534" s="60"/>
      <c r="BX534" s="60"/>
      <c r="BY534" s="60"/>
      <c r="BZ534" s="60"/>
      <c r="CA534" s="60"/>
      <c r="CB534" s="60"/>
      <c r="CC534" s="60"/>
      <c r="CD534" s="60"/>
      <c r="CE534" s="60"/>
      <c r="CF534" s="60"/>
      <c r="CG534" s="60"/>
      <c r="CH534" s="60"/>
      <c r="CI534" s="60"/>
      <c r="CJ534" s="60"/>
      <c r="CK534" s="60"/>
      <c r="CL534" s="60"/>
      <c r="CM534" s="60"/>
      <c r="CN534" s="60"/>
      <c r="CO534" s="60"/>
      <c r="CP534" s="60"/>
      <c r="CQ534" s="60"/>
      <c r="CR534" s="60"/>
      <c r="CS534" s="60"/>
      <c r="CT534" s="60"/>
      <c r="CU534" s="60"/>
      <c r="CV534" s="60"/>
      <c r="CW534" s="60"/>
      <c r="CX534" s="60"/>
      <c r="CY534" s="60"/>
      <c r="CZ534" s="60"/>
      <c r="DA534" s="60"/>
      <c r="DB534" s="60"/>
      <c r="DC534" s="60"/>
      <c r="DD534" s="60"/>
      <c r="DE534" s="60"/>
      <c r="DF534" s="60"/>
      <c r="DG534" s="60"/>
      <c r="DH534" s="60"/>
      <c r="DI534" s="60"/>
      <c r="DJ534" s="60"/>
      <c r="DK534" s="60"/>
      <c r="DL534" s="60"/>
      <c r="DM534" s="60"/>
      <c r="DN534" s="60"/>
      <c r="DO534" s="60"/>
      <c r="DP534" s="60"/>
      <c r="DQ534" s="60"/>
      <c r="DR534" s="60"/>
      <c r="DS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60"/>
      <c r="BJ535" s="60"/>
      <c r="BK535" s="60"/>
      <c r="BL535" s="60"/>
      <c r="BM535" s="60"/>
      <c r="BN535" s="60"/>
      <c r="BO535" s="60"/>
      <c r="BP535" s="60"/>
      <c r="BQ535" s="60"/>
      <c r="BR535" s="60"/>
      <c r="BS535" s="60"/>
      <c r="BT535" s="60"/>
      <c r="BU535" s="60"/>
      <c r="BV535" s="60"/>
      <c r="BW535" s="60"/>
      <c r="BX535" s="60"/>
      <c r="BY535" s="60"/>
      <c r="BZ535" s="60"/>
      <c r="CA535" s="60"/>
      <c r="CB535" s="60"/>
      <c r="CC535" s="60"/>
      <c r="CD535" s="60"/>
      <c r="CE535" s="60"/>
      <c r="CF535" s="60"/>
      <c r="CG535" s="60"/>
      <c r="CH535" s="60"/>
      <c r="CI535" s="60"/>
      <c r="CJ535" s="60"/>
      <c r="CK535" s="60"/>
      <c r="CL535" s="60"/>
      <c r="CM535" s="60"/>
      <c r="CN535" s="60"/>
      <c r="CO535" s="60"/>
      <c r="CP535" s="60"/>
      <c r="CQ535" s="60"/>
      <c r="CR535" s="60"/>
      <c r="CS535" s="60"/>
      <c r="CT535" s="60"/>
      <c r="CU535" s="60"/>
      <c r="CV535" s="60"/>
      <c r="CW535" s="60"/>
      <c r="CX535" s="60"/>
      <c r="CY535" s="60"/>
      <c r="CZ535" s="60"/>
      <c r="DA535" s="60"/>
      <c r="DB535" s="60"/>
      <c r="DC535" s="60"/>
      <c r="DD535" s="60"/>
      <c r="DE535" s="60"/>
      <c r="DF535" s="60"/>
      <c r="DG535" s="60"/>
      <c r="DH535" s="60"/>
      <c r="DI535" s="60"/>
      <c r="DJ535" s="60"/>
      <c r="DK535" s="60"/>
      <c r="DL535" s="60"/>
      <c r="DM535" s="60"/>
      <c r="DN535" s="60"/>
      <c r="DO535" s="60"/>
      <c r="DP535" s="60"/>
      <c r="DQ535" s="60"/>
      <c r="DR535" s="60"/>
      <c r="DS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60"/>
      <c r="BJ536" s="60"/>
      <c r="BK536" s="60"/>
      <c r="BL536" s="60"/>
      <c r="BM536" s="60"/>
      <c r="BN536" s="60"/>
      <c r="BO536" s="60"/>
      <c r="BP536" s="60"/>
      <c r="BQ536" s="60"/>
      <c r="BR536" s="60"/>
      <c r="BS536" s="60"/>
      <c r="BT536" s="60"/>
      <c r="BU536" s="60"/>
      <c r="BV536" s="60"/>
      <c r="BW536" s="60"/>
      <c r="BX536" s="60"/>
      <c r="BY536" s="60"/>
      <c r="BZ536" s="60"/>
      <c r="CA536" s="60"/>
      <c r="CB536" s="60"/>
      <c r="CC536" s="60"/>
      <c r="CD536" s="60"/>
      <c r="CE536" s="60"/>
      <c r="CF536" s="60"/>
      <c r="CG536" s="60"/>
      <c r="CH536" s="60"/>
      <c r="CI536" s="60"/>
      <c r="CJ536" s="60"/>
      <c r="CK536" s="60"/>
      <c r="CL536" s="60"/>
      <c r="CM536" s="60"/>
      <c r="CN536" s="60"/>
      <c r="CO536" s="60"/>
      <c r="CP536" s="60"/>
      <c r="CQ536" s="60"/>
      <c r="CR536" s="60"/>
      <c r="CS536" s="60"/>
      <c r="CT536" s="60"/>
      <c r="CU536" s="60"/>
      <c r="CV536" s="60"/>
      <c r="CW536" s="60"/>
      <c r="CX536" s="60"/>
      <c r="CY536" s="60"/>
      <c r="CZ536" s="60"/>
      <c r="DA536" s="60"/>
      <c r="DB536" s="60"/>
      <c r="DC536" s="60"/>
      <c r="DD536" s="60"/>
      <c r="DE536" s="60"/>
      <c r="DF536" s="60"/>
      <c r="DG536" s="60"/>
      <c r="DH536" s="60"/>
      <c r="DI536" s="60"/>
      <c r="DJ536" s="60"/>
      <c r="DK536" s="60"/>
      <c r="DL536" s="60"/>
      <c r="DM536" s="60"/>
      <c r="DN536" s="60"/>
      <c r="DO536" s="60"/>
      <c r="DP536" s="60"/>
      <c r="DQ536" s="60"/>
      <c r="DR536" s="60"/>
      <c r="DS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60"/>
      <c r="BJ537" s="60"/>
      <c r="BK537" s="60"/>
      <c r="BL537" s="60"/>
      <c r="BM537" s="60"/>
      <c r="BN537" s="60"/>
      <c r="BO537" s="60"/>
      <c r="BP537" s="60"/>
      <c r="BQ537" s="60"/>
      <c r="BR537" s="60"/>
      <c r="BS537" s="60"/>
      <c r="BT537" s="60"/>
      <c r="BU537" s="60"/>
      <c r="BV537" s="60"/>
      <c r="BW537" s="60"/>
      <c r="BX537" s="60"/>
      <c r="BY537" s="60"/>
      <c r="BZ537" s="60"/>
      <c r="CA537" s="60"/>
      <c r="CB537" s="60"/>
      <c r="CC537" s="60"/>
      <c r="CD537" s="60"/>
      <c r="CE537" s="60"/>
      <c r="CF537" s="60"/>
      <c r="CG537" s="60"/>
      <c r="CH537" s="60"/>
      <c r="CI537" s="60"/>
      <c r="CJ537" s="60"/>
      <c r="CK537" s="60"/>
      <c r="CL537" s="60"/>
      <c r="CM537" s="60"/>
      <c r="CN537" s="60"/>
      <c r="CO537" s="60"/>
      <c r="CP537" s="60"/>
      <c r="CQ537" s="60"/>
      <c r="CR537" s="60"/>
      <c r="CS537" s="60"/>
      <c r="CT537" s="60"/>
      <c r="CU537" s="60"/>
      <c r="CV537" s="60"/>
      <c r="CW537" s="60"/>
      <c r="CX537" s="60"/>
      <c r="CY537" s="60"/>
      <c r="CZ537" s="60"/>
      <c r="DA537" s="60"/>
      <c r="DB537" s="60"/>
      <c r="DC537" s="60"/>
      <c r="DD537" s="60"/>
      <c r="DE537" s="60"/>
      <c r="DF537" s="60"/>
      <c r="DG537" s="60"/>
      <c r="DH537" s="60"/>
      <c r="DI537" s="60"/>
      <c r="DJ537" s="60"/>
      <c r="DK537" s="60"/>
      <c r="DL537" s="60"/>
      <c r="DM537" s="60"/>
      <c r="DN537" s="60"/>
      <c r="DO537" s="60"/>
      <c r="DP537" s="60"/>
      <c r="DQ537" s="60"/>
      <c r="DR537" s="60"/>
      <c r="DS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60"/>
      <c r="BJ538" s="60"/>
      <c r="BK538" s="60"/>
      <c r="BL538" s="60"/>
      <c r="BM538" s="60"/>
      <c r="BN538" s="60"/>
      <c r="BO538" s="60"/>
      <c r="BP538" s="60"/>
      <c r="BQ538" s="60"/>
      <c r="BR538" s="60"/>
      <c r="BS538" s="60"/>
      <c r="BT538" s="60"/>
      <c r="BU538" s="60"/>
      <c r="BV538" s="60"/>
      <c r="BW538" s="60"/>
      <c r="BX538" s="60"/>
      <c r="BY538" s="60"/>
      <c r="BZ538" s="60"/>
      <c r="CA538" s="60"/>
      <c r="CB538" s="60"/>
      <c r="CC538" s="60"/>
      <c r="CD538" s="60"/>
      <c r="CE538" s="60"/>
      <c r="CF538" s="60"/>
      <c r="CG538" s="60"/>
      <c r="CH538" s="60"/>
      <c r="CI538" s="60"/>
      <c r="CJ538" s="60"/>
      <c r="CK538" s="60"/>
      <c r="CL538" s="60"/>
      <c r="CM538" s="60"/>
      <c r="CN538" s="60"/>
      <c r="CO538" s="60"/>
      <c r="CP538" s="60"/>
      <c r="CQ538" s="60"/>
      <c r="CR538" s="60"/>
      <c r="CS538" s="60"/>
      <c r="CT538" s="60"/>
      <c r="CU538" s="60"/>
      <c r="CV538" s="60"/>
      <c r="CW538" s="60"/>
      <c r="CX538" s="60"/>
      <c r="CY538" s="60"/>
      <c r="CZ538" s="60"/>
      <c r="DA538" s="60"/>
      <c r="DB538" s="60"/>
      <c r="DC538" s="60"/>
      <c r="DD538" s="60"/>
      <c r="DE538" s="60"/>
      <c r="DF538" s="60"/>
      <c r="DG538" s="60"/>
      <c r="DH538" s="60"/>
      <c r="DI538" s="60"/>
      <c r="DJ538" s="60"/>
      <c r="DK538" s="60"/>
      <c r="DL538" s="60"/>
      <c r="DM538" s="60"/>
      <c r="DN538" s="60"/>
      <c r="DO538" s="60"/>
      <c r="DP538" s="60"/>
      <c r="DQ538" s="60"/>
      <c r="DR538" s="60"/>
      <c r="DS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60"/>
      <c r="BJ539" s="60"/>
      <c r="BK539" s="60"/>
      <c r="BL539" s="60"/>
      <c r="BM539" s="60"/>
      <c r="BN539" s="60"/>
      <c r="BO539" s="60"/>
      <c r="BP539" s="60"/>
      <c r="BQ539" s="60"/>
      <c r="BR539" s="60"/>
      <c r="BS539" s="60"/>
      <c r="BT539" s="60"/>
      <c r="BU539" s="60"/>
      <c r="BV539" s="60"/>
      <c r="BW539" s="60"/>
      <c r="BX539" s="60"/>
      <c r="BY539" s="60"/>
      <c r="BZ539" s="60"/>
      <c r="CA539" s="60"/>
      <c r="CB539" s="60"/>
      <c r="CC539" s="60"/>
      <c r="CD539" s="60"/>
      <c r="CE539" s="60"/>
      <c r="CF539" s="60"/>
      <c r="CG539" s="60"/>
      <c r="CH539" s="60"/>
      <c r="CI539" s="60"/>
      <c r="CJ539" s="60"/>
      <c r="CK539" s="60"/>
      <c r="CL539" s="60"/>
      <c r="CM539" s="60"/>
      <c r="CN539" s="60"/>
      <c r="CO539" s="60"/>
      <c r="CP539" s="60"/>
      <c r="CQ539" s="60"/>
      <c r="CR539" s="60"/>
      <c r="CS539" s="60"/>
      <c r="CT539" s="60"/>
      <c r="CU539" s="60"/>
      <c r="CV539" s="60"/>
      <c r="CW539" s="60"/>
      <c r="CX539" s="60"/>
      <c r="CY539" s="60"/>
      <c r="CZ539" s="60"/>
      <c r="DA539" s="60"/>
      <c r="DB539" s="60"/>
      <c r="DC539" s="60"/>
      <c r="DD539" s="60"/>
      <c r="DE539" s="60"/>
      <c r="DF539" s="60"/>
      <c r="DG539" s="60"/>
      <c r="DH539" s="60"/>
      <c r="DI539" s="60"/>
      <c r="DJ539" s="60"/>
      <c r="DK539" s="60"/>
      <c r="DL539" s="60"/>
      <c r="DM539" s="60"/>
      <c r="DN539" s="60"/>
      <c r="DO539" s="60"/>
      <c r="DP539" s="60"/>
      <c r="DQ539" s="60"/>
      <c r="DR539" s="60"/>
      <c r="DS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60"/>
      <c r="BJ540" s="60"/>
      <c r="BK540" s="60"/>
      <c r="BL540" s="60"/>
      <c r="BM540" s="60"/>
      <c r="BN540" s="60"/>
      <c r="BO540" s="60"/>
      <c r="BP540" s="60"/>
      <c r="BQ540" s="60"/>
      <c r="BR540" s="60"/>
      <c r="BS540" s="60"/>
      <c r="BT540" s="60"/>
      <c r="BU540" s="60"/>
      <c r="BV540" s="60"/>
      <c r="BW540" s="60"/>
      <c r="BX540" s="60"/>
      <c r="BY540" s="60"/>
      <c r="BZ540" s="60"/>
      <c r="CA540" s="60"/>
      <c r="CB540" s="60"/>
      <c r="CC540" s="60"/>
      <c r="CD540" s="60"/>
      <c r="CE540" s="60"/>
      <c r="CF540" s="60"/>
      <c r="CG540" s="60"/>
      <c r="CH540" s="60"/>
      <c r="CI540" s="60"/>
      <c r="CJ540" s="60"/>
      <c r="CK540" s="60"/>
      <c r="CL540" s="60"/>
      <c r="CM540" s="60"/>
      <c r="CN540" s="60"/>
      <c r="CO540" s="60"/>
      <c r="CP540" s="60"/>
      <c r="CQ540" s="60"/>
      <c r="CR540" s="60"/>
      <c r="CS540" s="60"/>
      <c r="CT540" s="60"/>
      <c r="CU540" s="60"/>
      <c r="CV540" s="60"/>
      <c r="CW540" s="60"/>
      <c r="CX540" s="60"/>
      <c r="CY540" s="60"/>
      <c r="CZ540" s="60"/>
      <c r="DA540" s="60"/>
      <c r="DB540" s="60"/>
      <c r="DC540" s="60"/>
      <c r="DD540" s="60"/>
      <c r="DE540" s="60"/>
      <c r="DF540" s="60"/>
      <c r="DG540" s="60"/>
      <c r="DH540" s="60"/>
      <c r="DI540" s="60"/>
      <c r="DJ540" s="60"/>
      <c r="DK540" s="60"/>
      <c r="DL540" s="60"/>
      <c r="DM540" s="60"/>
      <c r="DN540" s="60"/>
      <c r="DO540" s="60"/>
      <c r="DP540" s="60"/>
      <c r="DQ540" s="60"/>
      <c r="DR540" s="60"/>
      <c r="DS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60"/>
      <c r="BJ541" s="60"/>
      <c r="BK541" s="60"/>
      <c r="BL541" s="60"/>
      <c r="BM541" s="60"/>
      <c r="BN541" s="60"/>
      <c r="BO541" s="60"/>
      <c r="BP541" s="60"/>
      <c r="BQ541" s="60"/>
      <c r="BR541" s="60"/>
      <c r="BS541" s="60"/>
      <c r="BT541" s="60"/>
      <c r="BU541" s="60"/>
      <c r="BV541" s="60"/>
      <c r="BW541" s="60"/>
      <c r="BX541" s="60"/>
      <c r="BY541" s="60"/>
      <c r="BZ541" s="60"/>
      <c r="CA541" s="60"/>
      <c r="CB541" s="60"/>
      <c r="CC541" s="60"/>
      <c r="CD541" s="60"/>
      <c r="CE541" s="60"/>
      <c r="CF541" s="60"/>
      <c r="CG541" s="60"/>
      <c r="CH541" s="60"/>
      <c r="CI541" s="60"/>
      <c r="CJ541" s="60"/>
      <c r="CK541" s="60"/>
      <c r="CL541" s="60"/>
      <c r="CM541" s="60"/>
      <c r="CN541" s="60"/>
      <c r="CO541" s="60"/>
      <c r="CP541" s="60"/>
      <c r="CQ541" s="60"/>
      <c r="CR541" s="60"/>
      <c r="CS541" s="60"/>
      <c r="CT541" s="60"/>
      <c r="CU541" s="60"/>
      <c r="CV541" s="60"/>
      <c r="CW541" s="60"/>
      <c r="CX541" s="60"/>
      <c r="CY541" s="60"/>
      <c r="CZ541" s="60"/>
      <c r="DA541" s="60"/>
      <c r="DB541" s="60"/>
      <c r="DC541" s="60"/>
      <c r="DD541" s="60"/>
      <c r="DE541" s="60"/>
      <c r="DF541" s="60"/>
      <c r="DG541" s="60"/>
      <c r="DH541" s="60"/>
      <c r="DI541" s="60"/>
      <c r="DJ541" s="60"/>
      <c r="DK541" s="60"/>
      <c r="DL541" s="60"/>
      <c r="DM541" s="60"/>
      <c r="DN541" s="60"/>
      <c r="DO541" s="60"/>
      <c r="DP541" s="60"/>
      <c r="DQ541" s="60"/>
      <c r="DR541" s="60"/>
      <c r="DS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60"/>
      <c r="BJ542" s="60"/>
      <c r="BK542" s="60"/>
      <c r="BL542" s="60"/>
      <c r="BM542" s="60"/>
      <c r="BN542" s="60"/>
      <c r="BO542" s="60"/>
      <c r="BP542" s="60"/>
      <c r="BQ542" s="60"/>
      <c r="BR542" s="60"/>
      <c r="BS542" s="60"/>
      <c r="BT542" s="60"/>
      <c r="BU542" s="60"/>
      <c r="BV542" s="60"/>
      <c r="BW542" s="60"/>
      <c r="BX542" s="60"/>
      <c r="BY542" s="60"/>
      <c r="BZ542" s="60"/>
      <c r="CA542" s="60"/>
      <c r="CB542" s="60"/>
      <c r="CC542" s="60"/>
      <c r="CD542" s="60"/>
      <c r="CE542" s="60"/>
      <c r="CF542" s="60"/>
      <c r="CG542" s="60"/>
      <c r="CH542" s="60"/>
      <c r="CI542" s="60"/>
      <c r="CJ542" s="60"/>
      <c r="CK542" s="60"/>
      <c r="CL542" s="60"/>
      <c r="CM542" s="60"/>
      <c r="CN542" s="60"/>
      <c r="CO542" s="60"/>
      <c r="CP542" s="60"/>
      <c r="CQ542" s="60"/>
      <c r="CR542" s="60"/>
      <c r="CS542" s="60"/>
      <c r="CT542" s="60"/>
      <c r="CU542" s="60"/>
      <c r="CV542" s="60"/>
      <c r="CW542" s="60"/>
      <c r="CX542" s="60"/>
      <c r="CY542" s="60"/>
      <c r="CZ542" s="60"/>
      <c r="DA542" s="60"/>
      <c r="DB542" s="60"/>
      <c r="DC542" s="60"/>
      <c r="DD542" s="60"/>
      <c r="DE542" s="60"/>
      <c r="DF542" s="60"/>
      <c r="DG542" s="60"/>
      <c r="DH542" s="60"/>
      <c r="DI542" s="60"/>
      <c r="DJ542" s="60"/>
      <c r="DK542" s="60"/>
      <c r="DL542" s="60"/>
      <c r="DM542" s="60"/>
      <c r="DN542" s="60"/>
      <c r="DO542" s="60"/>
      <c r="DP542" s="60"/>
      <c r="DQ542" s="60"/>
      <c r="DR542" s="60"/>
      <c r="DS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60"/>
      <c r="BJ543" s="60"/>
      <c r="BK543" s="60"/>
      <c r="BL543" s="60"/>
      <c r="BM543" s="60"/>
      <c r="BN543" s="60"/>
      <c r="BO543" s="60"/>
      <c r="BP543" s="60"/>
      <c r="BQ543" s="60"/>
      <c r="BR543" s="60"/>
      <c r="BS543" s="60"/>
      <c r="BT543" s="60"/>
      <c r="BU543" s="60"/>
      <c r="BV543" s="60"/>
      <c r="BW543" s="60"/>
      <c r="BX543" s="60"/>
      <c r="BY543" s="60"/>
      <c r="BZ543" s="60"/>
      <c r="CA543" s="60"/>
      <c r="CB543" s="60"/>
      <c r="CC543" s="60"/>
      <c r="CD543" s="60"/>
      <c r="CE543" s="60"/>
      <c r="CF543" s="60"/>
      <c r="CG543" s="60"/>
      <c r="CH543" s="60"/>
      <c r="CI543" s="60"/>
      <c r="CJ543" s="60"/>
      <c r="CK543" s="60"/>
      <c r="CL543" s="60"/>
      <c r="CM543" s="60"/>
      <c r="CN543" s="60"/>
      <c r="CO543" s="60"/>
      <c r="CP543" s="60"/>
      <c r="CQ543" s="60"/>
      <c r="CR543" s="60"/>
      <c r="CS543" s="60"/>
      <c r="CT543" s="60"/>
      <c r="CU543" s="60"/>
      <c r="CV543" s="60"/>
      <c r="CW543" s="60"/>
      <c r="CX543" s="60"/>
      <c r="CY543" s="60"/>
      <c r="CZ543" s="60"/>
      <c r="DA543" s="60"/>
      <c r="DB543" s="60"/>
      <c r="DC543" s="60"/>
      <c r="DD543" s="60"/>
      <c r="DE543" s="60"/>
      <c r="DF543" s="60"/>
      <c r="DG543" s="60"/>
      <c r="DH543" s="60"/>
      <c r="DI543" s="60"/>
      <c r="DJ543" s="60"/>
      <c r="DK543" s="60"/>
      <c r="DL543" s="60"/>
      <c r="DM543" s="60"/>
      <c r="DN543" s="60"/>
      <c r="DO543" s="60"/>
      <c r="DP543" s="60"/>
      <c r="DQ543" s="60"/>
      <c r="DR543" s="60"/>
      <c r="DS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60"/>
      <c r="BJ544" s="60"/>
      <c r="BK544" s="60"/>
      <c r="BL544" s="60"/>
      <c r="BM544" s="60"/>
      <c r="BN544" s="60"/>
      <c r="BO544" s="60"/>
      <c r="BP544" s="60"/>
      <c r="BQ544" s="60"/>
      <c r="BR544" s="60"/>
      <c r="BS544" s="60"/>
      <c r="BT544" s="60"/>
      <c r="BU544" s="60"/>
      <c r="BV544" s="60"/>
      <c r="BW544" s="60"/>
      <c r="BX544" s="60"/>
      <c r="BY544" s="60"/>
      <c r="BZ544" s="60"/>
      <c r="CA544" s="60"/>
      <c r="CB544" s="60"/>
      <c r="CC544" s="60"/>
      <c r="CD544" s="60"/>
      <c r="CE544" s="60"/>
      <c r="CF544" s="60"/>
      <c r="CG544" s="60"/>
      <c r="CH544" s="60"/>
      <c r="CI544" s="60"/>
      <c r="CJ544" s="60"/>
      <c r="CK544" s="60"/>
      <c r="CL544" s="60"/>
      <c r="CM544" s="60"/>
      <c r="CN544" s="60"/>
      <c r="CO544" s="60"/>
      <c r="CP544" s="60"/>
      <c r="CQ544" s="60"/>
      <c r="CR544" s="60"/>
      <c r="CS544" s="60"/>
      <c r="CT544" s="60"/>
      <c r="CU544" s="60"/>
      <c r="CV544" s="60"/>
      <c r="CW544" s="60"/>
      <c r="CX544" s="60"/>
      <c r="CY544" s="60"/>
      <c r="CZ544" s="60"/>
      <c r="DA544" s="60"/>
      <c r="DB544" s="60"/>
      <c r="DC544" s="60"/>
      <c r="DD544" s="60"/>
      <c r="DE544" s="60"/>
      <c r="DF544" s="60"/>
      <c r="DG544" s="60"/>
      <c r="DH544" s="60"/>
      <c r="DI544" s="60"/>
      <c r="DJ544" s="60"/>
      <c r="DK544" s="60"/>
      <c r="DL544" s="60"/>
      <c r="DM544" s="60"/>
      <c r="DN544" s="60"/>
      <c r="DO544" s="60"/>
      <c r="DP544" s="60"/>
      <c r="DQ544" s="60"/>
      <c r="DR544" s="60"/>
      <c r="DS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60"/>
      <c r="BJ545" s="60"/>
      <c r="BK545" s="60"/>
      <c r="BL545" s="60"/>
      <c r="BM545" s="60"/>
      <c r="BN545" s="60"/>
      <c r="BO545" s="60"/>
      <c r="BP545" s="60"/>
      <c r="BQ545" s="60"/>
      <c r="BR545" s="60"/>
      <c r="BS545" s="60"/>
      <c r="BT545" s="60"/>
      <c r="BU545" s="60"/>
      <c r="BV545" s="60"/>
      <c r="BW545" s="60"/>
      <c r="BX545" s="60"/>
      <c r="BY545" s="60"/>
      <c r="BZ545" s="60"/>
      <c r="CA545" s="60"/>
      <c r="CB545" s="60"/>
      <c r="CC545" s="60"/>
      <c r="CD545" s="60"/>
      <c r="CE545" s="60"/>
      <c r="CF545" s="60"/>
      <c r="CG545" s="60"/>
      <c r="CH545" s="60"/>
      <c r="CI545" s="60"/>
      <c r="CJ545" s="60"/>
      <c r="CK545" s="60"/>
      <c r="CL545" s="60"/>
      <c r="CM545" s="60"/>
      <c r="CN545" s="60"/>
      <c r="CO545" s="60"/>
      <c r="CP545" s="60"/>
      <c r="CQ545" s="60"/>
      <c r="CR545" s="60"/>
      <c r="CS545" s="60"/>
      <c r="CT545" s="60"/>
      <c r="CU545" s="60"/>
      <c r="CV545" s="60"/>
      <c r="CW545" s="60"/>
      <c r="CX545" s="60"/>
      <c r="CY545" s="60"/>
      <c r="CZ545" s="60"/>
      <c r="DA545" s="60"/>
      <c r="DB545" s="60"/>
      <c r="DC545" s="60"/>
      <c r="DD545" s="60"/>
      <c r="DE545" s="60"/>
      <c r="DF545" s="60"/>
      <c r="DG545" s="60"/>
      <c r="DH545" s="60"/>
      <c r="DI545" s="60"/>
      <c r="DJ545" s="60"/>
      <c r="DK545" s="60"/>
      <c r="DL545" s="60"/>
      <c r="DM545" s="60"/>
      <c r="DN545" s="60"/>
      <c r="DO545" s="60"/>
      <c r="DP545" s="60"/>
      <c r="DQ545" s="60"/>
      <c r="DR545" s="60"/>
      <c r="DS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60"/>
      <c r="BJ546" s="60"/>
      <c r="BK546" s="60"/>
      <c r="BL546" s="60"/>
      <c r="BM546" s="60"/>
      <c r="BN546" s="60"/>
      <c r="BO546" s="60"/>
      <c r="BP546" s="60"/>
      <c r="BQ546" s="60"/>
      <c r="BR546" s="60"/>
      <c r="BS546" s="60"/>
      <c r="BT546" s="60"/>
      <c r="BU546" s="60"/>
      <c r="BV546" s="60"/>
      <c r="BW546" s="60"/>
      <c r="BX546" s="60"/>
      <c r="BY546" s="60"/>
      <c r="BZ546" s="60"/>
      <c r="CA546" s="60"/>
      <c r="CB546" s="60"/>
      <c r="CC546" s="60"/>
      <c r="CD546" s="60"/>
      <c r="CE546" s="60"/>
      <c r="CF546" s="60"/>
      <c r="CG546" s="60"/>
      <c r="CH546" s="60"/>
      <c r="CI546" s="60"/>
      <c r="CJ546" s="60"/>
      <c r="CK546" s="60"/>
      <c r="CL546" s="60"/>
      <c r="CM546" s="60"/>
      <c r="CN546" s="60"/>
      <c r="CO546" s="60"/>
      <c r="CP546" s="60"/>
      <c r="CQ546" s="60"/>
      <c r="CR546" s="60"/>
      <c r="CS546" s="60"/>
      <c r="CT546" s="60"/>
      <c r="CU546" s="60"/>
      <c r="CV546" s="60"/>
      <c r="CW546" s="60"/>
      <c r="CX546" s="60"/>
      <c r="CY546" s="60"/>
      <c r="CZ546" s="60"/>
      <c r="DA546" s="60"/>
      <c r="DB546" s="60"/>
      <c r="DC546" s="60"/>
      <c r="DD546" s="60"/>
      <c r="DE546" s="60"/>
      <c r="DF546" s="60"/>
      <c r="DG546" s="60"/>
      <c r="DH546" s="60"/>
      <c r="DI546" s="60"/>
      <c r="DJ546" s="60"/>
      <c r="DK546" s="60"/>
      <c r="DL546" s="60"/>
      <c r="DM546" s="60"/>
      <c r="DN546" s="60"/>
      <c r="DO546" s="60"/>
      <c r="DP546" s="60"/>
      <c r="DQ546" s="60"/>
      <c r="DR546" s="60"/>
      <c r="DS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60"/>
      <c r="BJ547" s="60"/>
      <c r="BK547" s="60"/>
      <c r="BL547" s="60"/>
      <c r="BM547" s="60"/>
      <c r="BN547" s="60"/>
      <c r="BO547" s="60"/>
      <c r="BP547" s="60"/>
      <c r="BQ547" s="60"/>
      <c r="BR547" s="60"/>
      <c r="BS547" s="60"/>
      <c r="BT547" s="60"/>
      <c r="BU547" s="60"/>
      <c r="BV547" s="60"/>
      <c r="BW547" s="60"/>
      <c r="BX547" s="60"/>
      <c r="BY547" s="60"/>
      <c r="BZ547" s="60"/>
      <c r="CA547" s="60"/>
      <c r="CB547" s="60"/>
      <c r="CC547" s="60"/>
      <c r="CD547" s="60"/>
      <c r="CE547" s="60"/>
      <c r="CF547" s="60"/>
      <c r="CG547" s="60"/>
      <c r="CH547" s="60"/>
      <c r="CI547" s="60"/>
      <c r="CJ547" s="60"/>
      <c r="CK547" s="60"/>
      <c r="CL547" s="60"/>
      <c r="CM547" s="60"/>
      <c r="CN547" s="60"/>
      <c r="CO547" s="60"/>
      <c r="CP547" s="60"/>
      <c r="CQ547" s="60"/>
      <c r="CR547" s="60"/>
      <c r="CS547" s="60"/>
      <c r="CT547" s="60"/>
      <c r="CU547" s="60"/>
      <c r="CV547" s="60"/>
      <c r="CW547" s="60"/>
      <c r="CX547" s="60"/>
      <c r="CY547" s="60"/>
      <c r="CZ547" s="60"/>
      <c r="DA547" s="60"/>
      <c r="DB547" s="60"/>
      <c r="DC547" s="60"/>
      <c r="DD547" s="60"/>
      <c r="DE547" s="60"/>
      <c r="DF547" s="60"/>
      <c r="DG547" s="60"/>
      <c r="DH547" s="60"/>
      <c r="DI547" s="60"/>
      <c r="DJ547" s="60"/>
      <c r="DK547" s="60"/>
      <c r="DL547" s="60"/>
      <c r="DM547" s="60"/>
      <c r="DN547" s="60"/>
      <c r="DO547" s="60"/>
      <c r="DP547" s="60"/>
      <c r="DQ547" s="60"/>
      <c r="DR547" s="60"/>
      <c r="DS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60"/>
      <c r="BJ548" s="60"/>
      <c r="BK548" s="60"/>
      <c r="BL548" s="60"/>
      <c r="BM548" s="60"/>
      <c r="BN548" s="60"/>
      <c r="BO548" s="60"/>
      <c r="BP548" s="60"/>
      <c r="BQ548" s="60"/>
      <c r="BR548" s="60"/>
      <c r="BS548" s="60"/>
      <c r="BT548" s="60"/>
      <c r="BU548" s="60"/>
      <c r="BV548" s="60"/>
      <c r="BW548" s="60"/>
      <c r="BX548" s="60"/>
      <c r="BY548" s="60"/>
      <c r="BZ548" s="60"/>
      <c r="CA548" s="60"/>
      <c r="CB548" s="60"/>
      <c r="CC548" s="60"/>
      <c r="CD548" s="60"/>
      <c r="CE548" s="60"/>
      <c r="CF548" s="60"/>
      <c r="CG548" s="60"/>
      <c r="CH548" s="60"/>
      <c r="CI548" s="60"/>
      <c r="CJ548" s="60"/>
      <c r="CK548" s="60"/>
      <c r="CL548" s="60"/>
      <c r="CM548" s="60"/>
      <c r="CN548" s="60"/>
      <c r="CO548" s="60"/>
      <c r="CP548" s="60"/>
      <c r="CQ548" s="60"/>
      <c r="CR548" s="60"/>
      <c r="CS548" s="60"/>
      <c r="CT548" s="60"/>
      <c r="CU548" s="60"/>
      <c r="CV548" s="60"/>
      <c r="CW548" s="60"/>
      <c r="CX548" s="60"/>
      <c r="CY548" s="60"/>
      <c r="CZ548" s="60"/>
      <c r="DA548" s="60"/>
      <c r="DB548" s="60"/>
      <c r="DC548" s="60"/>
      <c r="DD548" s="60"/>
      <c r="DE548" s="60"/>
      <c r="DF548" s="60"/>
      <c r="DG548" s="60"/>
      <c r="DH548" s="60"/>
      <c r="DI548" s="60"/>
      <c r="DJ548" s="60"/>
      <c r="DK548" s="60"/>
      <c r="DL548" s="60"/>
      <c r="DM548" s="60"/>
      <c r="DN548" s="60"/>
      <c r="DO548" s="60"/>
      <c r="DP548" s="60"/>
      <c r="DQ548" s="60"/>
      <c r="DR548" s="60"/>
      <c r="DS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/>
      <c r="BJ549" s="60"/>
      <c r="BK549" s="60"/>
      <c r="BL549" s="60"/>
      <c r="BM549" s="60"/>
      <c r="BN549" s="60"/>
      <c r="BO549" s="60"/>
      <c r="BP549" s="60"/>
      <c r="BQ549" s="60"/>
      <c r="BR549" s="60"/>
      <c r="BS549" s="60"/>
      <c r="BT549" s="60"/>
      <c r="BU549" s="60"/>
      <c r="BV549" s="60"/>
      <c r="BW549" s="60"/>
      <c r="BX549" s="60"/>
      <c r="BY549" s="60"/>
      <c r="BZ549" s="60"/>
      <c r="CA549" s="60"/>
      <c r="CB549" s="60"/>
      <c r="CC549" s="60"/>
      <c r="CD549" s="60"/>
      <c r="CE549" s="60"/>
      <c r="CF549" s="60"/>
      <c r="CG549" s="60"/>
      <c r="CH549" s="60"/>
      <c r="CI549" s="60"/>
      <c r="CJ549" s="60"/>
      <c r="CK549" s="60"/>
      <c r="CL549" s="60"/>
      <c r="CM549" s="60"/>
      <c r="CN549" s="60"/>
      <c r="CO549" s="60"/>
      <c r="CP549" s="60"/>
      <c r="CQ549" s="60"/>
      <c r="CR549" s="60"/>
      <c r="CS549" s="60"/>
      <c r="CT549" s="60"/>
      <c r="CU549" s="60"/>
      <c r="CV549" s="60"/>
      <c r="CW549" s="60"/>
      <c r="CX549" s="60"/>
      <c r="CY549" s="60"/>
      <c r="CZ549" s="60"/>
      <c r="DA549" s="60"/>
      <c r="DB549" s="60"/>
      <c r="DC549" s="60"/>
      <c r="DD549" s="60"/>
      <c r="DE549" s="60"/>
      <c r="DF549" s="60"/>
      <c r="DG549" s="60"/>
      <c r="DH549" s="60"/>
      <c r="DI549" s="60"/>
      <c r="DJ549" s="60"/>
      <c r="DK549" s="60"/>
      <c r="DL549" s="60"/>
      <c r="DM549" s="60"/>
      <c r="DN549" s="60"/>
      <c r="DO549" s="60"/>
      <c r="DP549" s="60"/>
      <c r="DQ549" s="60"/>
      <c r="DR549" s="60"/>
      <c r="DS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60"/>
      <c r="BJ550" s="60"/>
      <c r="BK550" s="60"/>
      <c r="BL550" s="60"/>
      <c r="BM550" s="60"/>
      <c r="BN550" s="60"/>
      <c r="BO550" s="60"/>
      <c r="BP550" s="60"/>
      <c r="BQ550" s="60"/>
      <c r="BR550" s="60"/>
      <c r="BS550" s="60"/>
      <c r="BT550" s="60"/>
      <c r="BU550" s="60"/>
      <c r="BV550" s="60"/>
      <c r="BW550" s="60"/>
      <c r="BX550" s="60"/>
      <c r="BY550" s="60"/>
      <c r="BZ550" s="60"/>
      <c r="CA550" s="60"/>
      <c r="CB550" s="60"/>
      <c r="CC550" s="60"/>
      <c r="CD550" s="60"/>
      <c r="CE550" s="60"/>
      <c r="CF550" s="60"/>
      <c r="CG550" s="60"/>
      <c r="CH550" s="60"/>
      <c r="CI550" s="60"/>
      <c r="CJ550" s="60"/>
      <c r="CK550" s="60"/>
      <c r="CL550" s="60"/>
      <c r="CM550" s="60"/>
      <c r="CN550" s="60"/>
      <c r="CO550" s="60"/>
      <c r="CP550" s="60"/>
      <c r="CQ550" s="60"/>
      <c r="CR550" s="60"/>
      <c r="CS550" s="60"/>
      <c r="CT550" s="60"/>
      <c r="CU550" s="60"/>
      <c r="CV550" s="60"/>
      <c r="CW550" s="60"/>
      <c r="CX550" s="60"/>
      <c r="CY550" s="60"/>
      <c r="CZ550" s="60"/>
      <c r="DA550" s="60"/>
      <c r="DB550" s="60"/>
      <c r="DC550" s="60"/>
      <c r="DD550" s="60"/>
      <c r="DE550" s="60"/>
      <c r="DF550" s="60"/>
      <c r="DG550" s="60"/>
      <c r="DH550" s="60"/>
      <c r="DI550" s="60"/>
      <c r="DJ550" s="60"/>
      <c r="DK550" s="60"/>
      <c r="DL550" s="60"/>
      <c r="DM550" s="60"/>
      <c r="DN550" s="60"/>
      <c r="DO550" s="60"/>
      <c r="DP550" s="60"/>
      <c r="DQ550" s="60"/>
      <c r="DR550" s="60"/>
      <c r="DS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/>
      <c r="BJ551" s="60"/>
      <c r="BK551" s="60"/>
      <c r="BL551" s="60"/>
      <c r="BM551" s="60"/>
      <c r="BN551" s="60"/>
      <c r="BO551" s="60"/>
      <c r="BP551" s="60"/>
      <c r="BQ551" s="60"/>
      <c r="BR551" s="60"/>
      <c r="BS551" s="60"/>
      <c r="BT551" s="60"/>
      <c r="BU551" s="60"/>
      <c r="BV551" s="60"/>
      <c r="BW551" s="60"/>
      <c r="BX551" s="60"/>
      <c r="BY551" s="60"/>
      <c r="BZ551" s="60"/>
      <c r="CA551" s="60"/>
      <c r="CB551" s="60"/>
      <c r="CC551" s="60"/>
      <c r="CD551" s="60"/>
      <c r="CE551" s="60"/>
      <c r="CF551" s="60"/>
      <c r="CG551" s="60"/>
      <c r="CH551" s="60"/>
      <c r="CI551" s="60"/>
      <c r="CJ551" s="60"/>
      <c r="CK551" s="60"/>
      <c r="CL551" s="60"/>
      <c r="CM551" s="60"/>
      <c r="CN551" s="60"/>
      <c r="CO551" s="60"/>
      <c r="CP551" s="60"/>
      <c r="CQ551" s="60"/>
      <c r="CR551" s="60"/>
      <c r="CS551" s="60"/>
      <c r="CT551" s="60"/>
      <c r="CU551" s="60"/>
      <c r="CV551" s="60"/>
      <c r="CW551" s="60"/>
      <c r="CX551" s="60"/>
      <c r="CY551" s="60"/>
      <c r="CZ551" s="60"/>
      <c r="DA551" s="60"/>
      <c r="DB551" s="60"/>
      <c r="DC551" s="60"/>
      <c r="DD551" s="60"/>
      <c r="DE551" s="60"/>
      <c r="DF551" s="60"/>
      <c r="DG551" s="60"/>
      <c r="DH551" s="60"/>
      <c r="DI551" s="60"/>
      <c r="DJ551" s="60"/>
      <c r="DK551" s="60"/>
      <c r="DL551" s="60"/>
      <c r="DM551" s="60"/>
      <c r="DN551" s="60"/>
      <c r="DO551" s="60"/>
      <c r="DP551" s="60"/>
      <c r="DQ551" s="60"/>
      <c r="DR551" s="60"/>
      <c r="DS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60"/>
      <c r="BJ552" s="60"/>
      <c r="BK552" s="60"/>
      <c r="BL552" s="60"/>
      <c r="BM552" s="60"/>
      <c r="BN552" s="60"/>
      <c r="BO552" s="60"/>
      <c r="BP552" s="60"/>
      <c r="BQ552" s="60"/>
      <c r="BR552" s="60"/>
      <c r="BS552" s="60"/>
      <c r="BT552" s="60"/>
      <c r="BU552" s="60"/>
      <c r="BV552" s="60"/>
      <c r="BW552" s="60"/>
      <c r="BX552" s="60"/>
      <c r="BY552" s="60"/>
      <c r="BZ552" s="60"/>
      <c r="CA552" s="60"/>
      <c r="CB552" s="60"/>
      <c r="CC552" s="60"/>
      <c r="CD552" s="60"/>
      <c r="CE552" s="60"/>
      <c r="CF552" s="60"/>
      <c r="CG552" s="60"/>
      <c r="CH552" s="60"/>
      <c r="CI552" s="60"/>
      <c r="CJ552" s="60"/>
      <c r="CK552" s="60"/>
      <c r="CL552" s="60"/>
      <c r="CM552" s="60"/>
      <c r="CN552" s="60"/>
      <c r="CO552" s="60"/>
      <c r="CP552" s="60"/>
      <c r="CQ552" s="60"/>
      <c r="CR552" s="60"/>
      <c r="CS552" s="60"/>
      <c r="CT552" s="60"/>
      <c r="CU552" s="60"/>
      <c r="CV552" s="60"/>
      <c r="CW552" s="60"/>
      <c r="CX552" s="60"/>
      <c r="CY552" s="60"/>
      <c r="CZ552" s="60"/>
      <c r="DA552" s="60"/>
      <c r="DB552" s="60"/>
      <c r="DC552" s="60"/>
      <c r="DD552" s="60"/>
      <c r="DE552" s="60"/>
      <c r="DF552" s="60"/>
      <c r="DG552" s="60"/>
      <c r="DH552" s="60"/>
      <c r="DI552" s="60"/>
      <c r="DJ552" s="60"/>
      <c r="DK552" s="60"/>
      <c r="DL552" s="60"/>
      <c r="DM552" s="60"/>
      <c r="DN552" s="60"/>
      <c r="DO552" s="60"/>
      <c r="DP552" s="60"/>
      <c r="DQ552" s="60"/>
      <c r="DR552" s="60"/>
      <c r="DS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60"/>
      <c r="BJ553" s="60"/>
      <c r="BK553" s="60"/>
      <c r="BL553" s="60"/>
      <c r="BM553" s="60"/>
      <c r="BN553" s="60"/>
      <c r="BO553" s="60"/>
      <c r="BP553" s="60"/>
      <c r="BQ553" s="60"/>
      <c r="BR553" s="60"/>
      <c r="BS553" s="60"/>
      <c r="BT553" s="60"/>
      <c r="BU553" s="60"/>
      <c r="BV553" s="60"/>
      <c r="BW553" s="60"/>
      <c r="BX553" s="60"/>
      <c r="BY553" s="60"/>
      <c r="BZ553" s="60"/>
      <c r="CA553" s="60"/>
      <c r="CB553" s="60"/>
      <c r="CC553" s="60"/>
      <c r="CD553" s="60"/>
      <c r="CE553" s="60"/>
      <c r="CF553" s="60"/>
      <c r="CG553" s="60"/>
      <c r="CH553" s="60"/>
      <c r="CI553" s="60"/>
      <c r="CJ553" s="60"/>
      <c r="CK553" s="60"/>
      <c r="CL553" s="60"/>
      <c r="CM553" s="60"/>
      <c r="CN553" s="60"/>
      <c r="CO553" s="60"/>
      <c r="CP553" s="60"/>
      <c r="CQ553" s="60"/>
      <c r="CR553" s="60"/>
      <c r="CS553" s="60"/>
      <c r="CT553" s="60"/>
      <c r="CU553" s="60"/>
      <c r="CV553" s="60"/>
      <c r="CW553" s="60"/>
      <c r="CX553" s="60"/>
      <c r="CY553" s="60"/>
      <c r="CZ553" s="60"/>
      <c r="DA553" s="60"/>
      <c r="DB553" s="60"/>
      <c r="DC553" s="60"/>
      <c r="DD553" s="60"/>
      <c r="DE553" s="60"/>
      <c r="DF553" s="60"/>
      <c r="DG553" s="60"/>
      <c r="DH553" s="60"/>
      <c r="DI553" s="60"/>
      <c r="DJ553" s="60"/>
      <c r="DK553" s="60"/>
      <c r="DL553" s="60"/>
      <c r="DM553" s="60"/>
      <c r="DN553" s="60"/>
      <c r="DO553" s="60"/>
      <c r="DP553" s="60"/>
      <c r="DQ553" s="60"/>
      <c r="DR553" s="60"/>
      <c r="DS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60"/>
      <c r="BJ554" s="60"/>
      <c r="BK554" s="60"/>
      <c r="BL554" s="60"/>
      <c r="BM554" s="60"/>
      <c r="BN554" s="60"/>
      <c r="BO554" s="60"/>
      <c r="BP554" s="60"/>
      <c r="BQ554" s="60"/>
      <c r="BR554" s="60"/>
      <c r="BS554" s="60"/>
      <c r="BT554" s="60"/>
      <c r="BU554" s="60"/>
      <c r="BV554" s="60"/>
      <c r="BW554" s="60"/>
      <c r="BX554" s="60"/>
      <c r="BY554" s="60"/>
      <c r="BZ554" s="60"/>
      <c r="CA554" s="60"/>
      <c r="CB554" s="60"/>
      <c r="CC554" s="60"/>
      <c r="CD554" s="60"/>
      <c r="CE554" s="60"/>
      <c r="CF554" s="60"/>
      <c r="CG554" s="60"/>
      <c r="CH554" s="60"/>
      <c r="CI554" s="60"/>
      <c r="CJ554" s="60"/>
      <c r="CK554" s="60"/>
      <c r="CL554" s="60"/>
      <c r="CM554" s="60"/>
      <c r="CN554" s="60"/>
      <c r="CO554" s="60"/>
      <c r="CP554" s="60"/>
      <c r="CQ554" s="60"/>
      <c r="CR554" s="60"/>
      <c r="CS554" s="60"/>
      <c r="CT554" s="60"/>
      <c r="CU554" s="60"/>
      <c r="CV554" s="60"/>
      <c r="CW554" s="60"/>
      <c r="CX554" s="60"/>
      <c r="CY554" s="60"/>
      <c r="CZ554" s="60"/>
      <c r="DA554" s="60"/>
      <c r="DB554" s="60"/>
      <c r="DC554" s="60"/>
      <c r="DD554" s="60"/>
      <c r="DE554" s="60"/>
      <c r="DF554" s="60"/>
      <c r="DG554" s="60"/>
      <c r="DH554" s="60"/>
      <c r="DI554" s="60"/>
      <c r="DJ554" s="60"/>
      <c r="DK554" s="60"/>
      <c r="DL554" s="60"/>
      <c r="DM554" s="60"/>
      <c r="DN554" s="60"/>
      <c r="DO554" s="60"/>
      <c r="DP554" s="60"/>
      <c r="DQ554" s="60"/>
      <c r="DR554" s="60"/>
      <c r="DS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60"/>
      <c r="BJ555" s="60"/>
      <c r="BK555" s="60"/>
      <c r="BL555" s="60"/>
      <c r="BM555" s="60"/>
      <c r="BN555" s="60"/>
      <c r="BO555" s="60"/>
      <c r="BP555" s="60"/>
      <c r="BQ555" s="60"/>
      <c r="BR555" s="60"/>
      <c r="BS555" s="60"/>
      <c r="BT555" s="60"/>
      <c r="BU555" s="60"/>
      <c r="BV555" s="60"/>
      <c r="BW555" s="60"/>
      <c r="BX555" s="60"/>
      <c r="BY555" s="60"/>
      <c r="BZ555" s="60"/>
      <c r="CA555" s="60"/>
      <c r="CB555" s="60"/>
      <c r="CC555" s="60"/>
      <c r="CD555" s="60"/>
      <c r="CE555" s="60"/>
      <c r="CF555" s="60"/>
      <c r="CG555" s="60"/>
      <c r="CH555" s="60"/>
      <c r="CI555" s="60"/>
      <c r="CJ555" s="60"/>
      <c r="CK555" s="60"/>
      <c r="CL555" s="60"/>
      <c r="CM555" s="60"/>
      <c r="CN555" s="60"/>
      <c r="CO555" s="60"/>
      <c r="CP555" s="60"/>
      <c r="CQ555" s="60"/>
      <c r="CR555" s="60"/>
      <c r="CS555" s="60"/>
      <c r="CT555" s="60"/>
      <c r="CU555" s="60"/>
      <c r="CV555" s="60"/>
      <c r="CW555" s="60"/>
      <c r="CX555" s="60"/>
      <c r="CY555" s="60"/>
      <c r="CZ555" s="60"/>
      <c r="DA555" s="60"/>
      <c r="DB555" s="60"/>
      <c r="DC555" s="60"/>
      <c r="DD555" s="60"/>
      <c r="DE555" s="60"/>
      <c r="DF555" s="60"/>
      <c r="DG555" s="60"/>
      <c r="DH555" s="60"/>
      <c r="DI555" s="60"/>
      <c r="DJ555" s="60"/>
      <c r="DK555" s="60"/>
      <c r="DL555" s="60"/>
      <c r="DM555" s="60"/>
      <c r="DN555" s="60"/>
      <c r="DO555" s="60"/>
      <c r="DP555" s="60"/>
      <c r="DQ555" s="60"/>
      <c r="DR555" s="60"/>
      <c r="DS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60"/>
      <c r="BJ556" s="60"/>
      <c r="BK556" s="60"/>
      <c r="BL556" s="60"/>
      <c r="BM556" s="60"/>
      <c r="BN556" s="60"/>
      <c r="BO556" s="60"/>
      <c r="BP556" s="60"/>
      <c r="BQ556" s="60"/>
      <c r="BR556" s="60"/>
      <c r="BS556" s="60"/>
      <c r="BT556" s="60"/>
      <c r="BU556" s="60"/>
      <c r="BV556" s="60"/>
      <c r="BW556" s="60"/>
      <c r="BX556" s="60"/>
      <c r="BY556" s="60"/>
      <c r="BZ556" s="60"/>
      <c r="CA556" s="60"/>
      <c r="CB556" s="60"/>
      <c r="CC556" s="60"/>
      <c r="CD556" s="60"/>
      <c r="CE556" s="60"/>
      <c r="CF556" s="60"/>
      <c r="CG556" s="60"/>
      <c r="CH556" s="60"/>
      <c r="CI556" s="60"/>
      <c r="CJ556" s="60"/>
      <c r="CK556" s="60"/>
      <c r="CL556" s="60"/>
      <c r="CM556" s="60"/>
      <c r="CN556" s="60"/>
      <c r="CO556" s="60"/>
      <c r="CP556" s="60"/>
      <c r="CQ556" s="60"/>
      <c r="CR556" s="60"/>
      <c r="CS556" s="60"/>
      <c r="CT556" s="60"/>
      <c r="CU556" s="60"/>
      <c r="CV556" s="60"/>
      <c r="CW556" s="60"/>
      <c r="CX556" s="60"/>
      <c r="CY556" s="60"/>
      <c r="CZ556" s="60"/>
      <c r="DA556" s="60"/>
      <c r="DB556" s="60"/>
      <c r="DC556" s="60"/>
      <c r="DD556" s="60"/>
      <c r="DE556" s="60"/>
      <c r="DF556" s="60"/>
      <c r="DG556" s="60"/>
      <c r="DH556" s="60"/>
      <c r="DI556" s="60"/>
      <c r="DJ556" s="60"/>
      <c r="DK556" s="60"/>
      <c r="DL556" s="60"/>
      <c r="DM556" s="60"/>
      <c r="DN556" s="60"/>
      <c r="DO556" s="60"/>
      <c r="DP556" s="60"/>
      <c r="DQ556" s="60"/>
      <c r="DR556" s="60"/>
      <c r="DS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60"/>
      <c r="BJ557" s="60"/>
      <c r="BK557" s="60"/>
      <c r="BL557" s="60"/>
      <c r="BM557" s="60"/>
      <c r="BN557" s="60"/>
      <c r="BO557" s="60"/>
      <c r="BP557" s="60"/>
      <c r="BQ557" s="60"/>
      <c r="BR557" s="60"/>
      <c r="BS557" s="60"/>
      <c r="BT557" s="60"/>
      <c r="BU557" s="60"/>
      <c r="BV557" s="60"/>
      <c r="BW557" s="60"/>
      <c r="BX557" s="60"/>
      <c r="BY557" s="60"/>
      <c r="BZ557" s="60"/>
      <c r="CA557" s="60"/>
      <c r="CB557" s="60"/>
      <c r="CC557" s="60"/>
      <c r="CD557" s="60"/>
      <c r="CE557" s="60"/>
      <c r="CF557" s="60"/>
      <c r="CG557" s="60"/>
      <c r="CH557" s="60"/>
      <c r="CI557" s="60"/>
      <c r="CJ557" s="60"/>
      <c r="CK557" s="60"/>
      <c r="CL557" s="60"/>
      <c r="CM557" s="60"/>
      <c r="CN557" s="60"/>
      <c r="CO557" s="60"/>
      <c r="CP557" s="60"/>
      <c r="CQ557" s="60"/>
      <c r="CR557" s="60"/>
      <c r="CS557" s="60"/>
      <c r="CT557" s="60"/>
      <c r="CU557" s="60"/>
      <c r="CV557" s="60"/>
      <c r="CW557" s="60"/>
      <c r="CX557" s="60"/>
      <c r="CY557" s="60"/>
      <c r="CZ557" s="60"/>
      <c r="DA557" s="60"/>
      <c r="DB557" s="60"/>
      <c r="DC557" s="60"/>
      <c r="DD557" s="60"/>
      <c r="DE557" s="60"/>
      <c r="DF557" s="60"/>
      <c r="DG557" s="60"/>
      <c r="DH557" s="60"/>
      <c r="DI557" s="60"/>
      <c r="DJ557" s="60"/>
      <c r="DK557" s="60"/>
      <c r="DL557" s="60"/>
      <c r="DM557" s="60"/>
      <c r="DN557" s="60"/>
      <c r="DO557" s="60"/>
      <c r="DP557" s="60"/>
      <c r="DQ557" s="60"/>
      <c r="DR557" s="60"/>
      <c r="DS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60"/>
      <c r="BJ558" s="60"/>
      <c r="BK558" s="60"/>
      <c r="BL558" s="60"/>
      <c r="BM558" s="60"/>
      <c r="BN558" s="60"/>
      <c r="BO558" s="60"/>
      <c r="BP558" s="60"/>
      <c r="BQ558" s="60"/>
      <c r="BR558" s="60"/>
      <c r="BS558" s="60"/>
      <c r="BT558" s="60"/>
      <c r="BU558" s="60"/>
      <c r="BV558" s="60"/>
      <c r="BW558" s="60"/>
      <c r="BX558" s="60"/>
      <c r="BY558" s="60"/>
      <c r="BZ558" s="60"/>
      <c r="CA558" s="60"/>
      <c r="CB558" s="60"/>
      <c r="CC558" s="60"/>
      <c r="CD558" s="60"/>
      <c r="CE558" s="60"/>
      <c r="CF558" s="60"/>
      <c r="CG558" s="60"/>
      <c r="CH558" s="60"/>
      <c r="CI558" s="60"/>
      <c r="CJ558" s="60"/>
      <c r="CK558" s="60"/>
      <c r="CL558" s="60"/>
      <c r="CM558" s="60"/>
      <c r="CN558" s="60"/>
      <c r="CO558" s="60"/>
      <c r="CP558" s="60"/>
      <c r="CQ558" s="60"/>
      <c r="CR558" s="60"/>
      <c r="CS558" s="60"/>
      <c r="CT558" s="60"/>
      <c r="CU558" s="60"/>
      <c r="CV558" s="60"/>
      <c r="CW558" s="60"/>
      <c r="CX558" s="60"/>
      <c r="CY558" s="60"/>
      <c r="CZ558" s="60"/>
      <c r="DA558" s="60"/>
      <c r="DB558" s="60"/>
      <c r="DC558" s="60"/>
      <c r="DD558" s="60"/>
      <c r="DE558" s="60"/>
      <c r="DF558" s="60"/>
      <c r="DG558" s="60"/>
      <c r="DH558" s="60"/>
      <c r="DI558" s="60"/>
      <c r="DJ558" s="60"/>
      <c r="DK558" s="60"/>
      <c r="DL558" s="60"/>
      <c r="DM558" s="60"/>
      <c r="DN558" s="60"/>
      <c r="DO558" s="60"/>
      <c r="DP558" s="60"/>
      <c r="DQ558" s="60"/>
      <c r="DR558" s="60"/>
      <c r="DS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60"/>
      <c r="BJ559" s="60"/>
      <c r="BK559" s="60"/>
      <c r="BL559" s="60"/>
      <c r="BM559" s="60"/>
      <c r="BN559" s="60"/>
      <c r="BO559" s="60"/>
      <c r="BP559" s="60"/>
      <c r="BQ559" s="60"/>
      <c r="BR559" s="60"/>
      <c r="BS559" s="60"/>
      <c r="BT559" s="60"/>
      <c r="BU559" s="60"/>
      <c r="BV559" s="60"/>
      <c r="BW559" s="60"/>
      <c r="BX559" s="60"/>
      <c r="BY559" s="60"/>
      <c r="BZ559" s="60"/>
      <c r="CA559" s="60"/>
      <c r="CB559" s="60"/>
      <c r="CC559" s="60"/>
      <c r="CD559" s="60"/>
      <c r="CE559" s="60"/>
      <c r="CF559" s="60"/>
      <c r="CG559" s="60"/>
      <c r="CH559" s="60"/>
      <c r="CI559" s="60"/>
      <c r="CJ559" s="60"/>
      <c r="CK559" s="60"/>
      <c r="CL559" s="60"/>
      <c r="CM559" s="60"/>
      <c r="CN559" s="60"/>
      <c r="CO559" s="60"/>
      <c r="CP559" s="60"/>
      <c r="CQ559" s="60"/>
      <c r="CR559" s="60"/>
      <c r="CS559" s="60"/>
      <c r="CT559" s="60"/>
      <c r="CU559" s="60"/>
      <c r="CV559" s="60"/>
      <c r="CW559" s="60"/>
      <c r="CX559" s="60"/>
      <c r="CY559" s="60"/>
      <c r="CZ559" s="60"/>
      <c r="DA559" s="60"/>
      <c r="DB559" s="60"/>
      <c r="DC559" s="60"/>
      <c r="DD559" s="60"/>
      <c r="DE559" s="60"/>
      <c r="DF559" s="60"/>
      <c r="DG559" s="60"/>
      <c r="DH559" s="60"/>
      <c r="DI559" s="60"/>
      <c r="DJ559" s="60"/>
      <c r="DK559" s="60"/>
      <c r="DL559" s="60"/>
      <c r="DM559" s="60"/>
      <c r="DN559" s="60"/>
      <c r="DO559" s="60"/>
      <c r="DP559" s="60"/>
      <c r="DQ559" s="60"/>
      <c r="DR559" s="60"/>
      <c r="DS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60"/>
      <c r="BJ560" s="60"/>
      <c r="BK560" s="60"/>
      <c r="BL560" s="60"/>
      <c r="BM560" s="60"/>
      <c r="BN560" s="60"/>
      <c r="BO560" s="60"/>
      <c r="BP560" s="60"/>
      <c r="BQ560" s="60"/>
      <c r="BR560" s="60"/>
      <c r="BS560" s="60"/>
      <c r="BT560" s="60"/>
      <c r="BU560" s="60"/>
      <c r="BV560" s="60"/>
      <c r="BW560" s="60"/>
      <c r="BX560" s="60"/>
      <c r="BY560" s="60"/>
      <c r="BZ560" s="60"/>
      <c r="CA560" s="60"/>
      <c r="CB560" s="60"/>
      <c r="CC560" s="60"/>
      <c r="CD560" s="60"/>
      <c r="CE560" s="60"/>
      <c r="CF560" s="60"/>
      <c r="CG560" s="60"/>
      <c r="CH560" s="60"/>
      <c r="CI560" s="60"/>
      <c r="CJ560" s="60"/>
      <c r="CK560" s="60"/>
      <c r="CL560" s="60"/>
      <c r="CM560" s="60"/>
      <c r="CN560" s="60"/>
      <c r="CO560" s="60"/>
      <c r="CP560" s="60"/>
      <c r="CQ560" s="60"/>
      <c r="CR560" s="60"/>
      <c r="CS560" s="60"/>
      <c r="CT560" s="60"/>
      <c r="CU560" s="60"/>
      <c r="CV560" s="60"/>
      <c r="CW560" s="60"/>
      <c r="CX560" s="60"/>
      <c r="CY560" s="60"/>
      <c r="CZ560" s="60"/>
      <c r="DA560" s="60"/>
      <c r="DB560" s="60"/>
      <c r="DC560" s="60"/>
      <c r="DD560" s="60"/>
      <c r="DE560" s="60"/>
      <c r="DF560" s="60"/>
      <c r="DG560" s="60"/>
      <c r="DH560" s="60"/>
      <c r="DI560" s="60"/>
      <c r="DJ560" s="60"/>
      <c r="DK560" s="60"/>
      <c r="DL560" s="60"/>
      <c r="DM560" s="60"/>
      <c r="DN560" s="60"/>
      <c r="DO560" s="60"/>
      <c r="DP560" s="60"/>
      <c r="DQ560" s="60"/>
      <c r="DR560" s="60"/>
      <c r="DS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60"/>
      <c r="BJ561" s="60"/>
      <c r="BK561" s="60"/>
      <c r="BL561" s="60"/>
      <c r="BM561" s="60"/>
      <c r="BN561" s="60"/>
      <c r="BO561" s="60"/>
      <c r="BP561" s="60"/>
      <c r="BQ561" s="60"/>
      <c r="BR561" s="60"/>
      <c r="BS561" s="60"/>
      <c r="BT561" s="60"/>
      <c r="BU561" s="60"/>
      <c r="BV561" s="60"/>
      <c r="BW561" s="60"/>
      <c r="BX561" s="60"/>
      <c r="BY561" s="60"/>
      <c r="BZ561" s="60"/>
      <c r="CA561" s="60"/>
      <c r="CB561" s="60"/>
      <c r="CC561" s="60"/>
      <c r="CD561" s="60"/>
      <c r="CE561" s="60"/>
      <c r="CF561" s="60"/>
      <c r="CG561" s="60"/>
      <c r="CH561" s="60"/>
      <c r="CI561" s="60"/>
      <c r="CJ561" s="60"/>
      <c r="CK561" s="60"/>
      <c r="CL561" s="60"/>
      <c r="CM561" s="60"/>
      <c r="CN561" s="60"/>
      <c r="CO561" s="60"/>
      <c r="CP561" s="60"/>
      <c r="CQ561" s="60"/>
      <c r="CR561" s="60"/>
      <c r="CS561" s="60"/>
      <c r="CT561" s="60"/>
      <c r="CU561" s="60"/>
      <c r="CV561" s="60"/>
      <c r="CW561" s="60"/>
      <c r="CX561" s="60"/>
      <c r="CY561" s="60"/>
      <c r="CZ561" s="60"/>
      <c r="DA561" s="60"/>
      <c r="DB561" s="60"/>
      <c r="DC561" s="60"/>
      <c r="DD561" s="60"/>
      <c r="DE561" s="60"/>
      <c r="DF561" s="60"/>
      <c r="DG561" s="60"/>
      <c r="DH561" s="60"/>
      <c r="DI561" s="60"/>
      <c r="DJ561" s="60"/>
      <c r="DK561" s="60"/>
      <c r="DL561" s="60"/>
      <c r="DM561" s="60"/>
      <c r="DN561" s="60"/>
      <c r="DO561" s="60"/>
      <c r="DP561" s="60"/>
      <c r="DQ561" s="60"/>
      <c r="DR561" s="60"/>
      <c r="DS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60"/>
      <c r="BJ562" s="60"/>
      <c r="BK562" s="60"/>
      <c r="BL562" s="60"/>
      <c r="BM562" s="60"/>
      <c r="BN562" s="60"/>
      <c r="BO562" s="60"/>
      <c r="BP562" s="60"/>
      <c r="BQ562" s="60"/>
      <c r="BR562" s="60"/>
      <c r="BS562" s="60"/>
      <c r="BT562" s="60"/>
      <c r="BU562" s="60"/>
      <c r="BV562" s="60"/>
      <c r="BW562" s="60"/>
      <c r="BX562" s="60"/>
      <c r="BY562" s="60"/>
      <c r="BZ562" s="60"/>
      <c r="CA562" s="60"/>
      <c r="CB562" s="60"/>
      <c r="CC562" s="60"/>
      <c r="CD562" s="60"/>
      <c r="CE562" s="60"/>
      <c r="CF562" s="60"/>
      <c r="CG562" s="60"/>
      <c r="CH562" s="60"/>
      <c r="CI562" s="60"/>
      <c r="CJ562" s="60"/>
      <c r="CK562" s="60"/>
      <c r="CL562" s="60"/>
      <c r="CM562" s="60"/>
      <c r="CN562" s="60"/>
      <c r="CO562" s="60"/>
      <c r="CP562" s="60"/>
      <c r="CQ562" s="60"/>
      <c r="CR562" s="60"/>
      <c r="CS562" s="60"/>
      <c r="CT562" s="60"/>
      <c r="CU562" s="60"/>
      <c r="CV562" s="60"/>
      <c r="CW562" s="60"/>
      <c r="CX562" s="60"/>
      <c r="CY562" s="60"/>
      <c r="CZ562" s="60"/>
      <c r="DA562" s="60"/>
      <c r="DB562" s="60"/>
      <c r="DC562" s="60"/>
      <c r="DD562" s="60"/>
      <c r="DE562" s="60"/>
      <c r="DF562" s="60"/>
      <c r="DG562" s="60"/>
      <c r="DH562" s="60"/>
      <c r="DI562" s="60"/>
      <c r="DJ562" s="60"/>
      <c r="DK562" s="60"/>
      <c r="DL562" s="60"/>
      <c r="DM562" s="60"/>
      <c r="DN562" s="60"/>
      <c r="DO562" s="60"/>
      <c r="DP562" s="60"/>
      <c r="DQ562" s="60"/>
      <c r="DR562" s="60"/>
      <c r="DS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60"/>
      <c r="BJ563" s="60"/>
      <c r="BK563" s="60"/>
      <c r="BL563" s="60"/>
      <c r="BM563" s="60"/>
      <c r="BN563" s="60"/>
      <c r="BO563" s="60"/>
      <c r="BP563" s="60"/>
      <c r="BQ563" s="60"/>
      <c r="BR563" s="60"/>
      <c r="BS563" s="60"/>
      <c r="BT563" s="60"/>
      <c r="BU563" s="60"/>
      <c r="BV563" s="60"/>
      <c r="BW563" s="60"/>
      <c r="BX563" s="60"/>
      <c r="BY563" s="60"/>
      <c r="BZ563" s="60"/>
      <c r="CA563" s="60"/>
      <c r="CB563" s="60"/>
      <c r="CC563" s="60"/>
      <c r="CD563" s="60"/>
      <c r="CE563" s="60"/>
      <c r="CF563" s="60"/>
      <c r="CG563" s="60"/>
      <c r="CH563" s="60"/>
      <c r="CI563" s="60"/>
      <c r="CJ563" s="60"/>
      <c r="CK563" s="60"/>
      <c r="CL563" s="60"/>
      <c r="CM563" s="60"/>
      <c r="CN563" s="60"/>
      <c r="CO563" s="60"/>
      <c r="CP563" s="60"/>
      <c r="CQ563" s="60"/>
      <c r="CR563" s="60"/>
      <c r="CS563" s="60"/>
      <c r="CT563" s="60"/>
      <c r="CU563" s="60"/>
      <c r="CV563" s="60"/>
      <c r="CW563" s="60"/>
      <c r="CX563" s="60"/>
      <c r="CY563" s="60"/>
      <c r="CZ563" s="60"/>
      <c r="DA563" s="60"/>
      <c r="DB563" s="60"/>
      <c r="DC563" s="60"/>
      <c r="DD563" s="60"/>
      <c r="DE563" s="60"/>
      <c r="DF563" s="60"/>
      <c r="DG563" s="60"/>
      <c r="DH563" s="60"/>
      <c r="DI563" s="60"/>
      <c r="DJ563" s="60"/>
      <c r="DK563" s="60"/>
      <c r="DL563" s="60"/>
      <c r="DM563" s="60"/>
      <c r="DN563" s="60"/>
      <c r="DO563" s="60"/>
      <c r="DP563" s="60"/>
      <c r="DQ563" s="60"/>
      <c r="DR563" s="60"/>
      <c r="DS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60"/>
      <c r="BJ564" s="60"/>
      <c r="BK564" s="60"/>
      <c r="BL564" s="60"/>
      <c r="BM564" s="60"/>
      <c r="BN564" s="60"/>
      <c r="BO564" s="60"/>
      <c r="BP564" s="60"/>
      <c r="BQ564" s="60"/>
      <c r="BR564" s="60"/>
      <c r="BS564" s="60"/>
      <c r="BT564" s="60"/>
      <c r="BU564" s="60"/>
      <c r="BV564" s="60"/>
      <c r="BW564" s="60"/>
      <c r="BX564" s="60"/>
      <c r="BY564" s="60"/>
      <c r="BZ564" s="60"/>
      <c r="CA564" s="60"/>
      <c r="CB564" s="60"/>
      <c r="CC564" s="60"/>
      <c r="CD564" s="60"/>
      <c r="CE564" s="60"/>
      <c r="CF564" s="60"/>
      <c r="CG564" s="60"/>
      <c r="CH564" s="60"/>
      <c r="CI564" s="60"/>
      <c r="CJ564" s="60"/>
      <c r="CK564" s="60"/>
      <c r="CL564" s="60"/>
      <c r="CM564" s="60"/>
      <c r="CN564" s="60"/>
      <c r="CO564" s="60"/>
      <c r="CP564" s="60"/>
      <c r="CQ564" s="60"/>
      <c r="CR564" s="60"/>
      <c r="CS564" s="60"/>
      <c r="CT564" s="60"/>
      <c r="CU564" s="60"/>
      <c r="CV564" s="60"/>
      <c r="CW564" s="60"/>
      <c r="CX564" s="60"/>
      <c r="CY564" s="60"/>
      <c r="CZ564" s="60"/>
      <c r="DA564" s="60"/>
      <c r="DB564" s="60"/>
      <c r="DC564" s="60"/>
      <c r="DD564" s="60"/>
      <c r="DE564" s="60"/>
      <c r="DF564" s="60"/>
      <c r="DG564" s="60"/>
      <c r="DH564" s="60"/>
      <c r="DI564" s="60"/>
      <c r="DJ564" s="60"/>
      <c r="DK564" s="60"/>
      <c r="DL564" s="60"/>
      <c r="DM564" s="60"/>
      <c r="DN564" s="60"/>
      <c r="DO564" s="60"/>
      <c r="DP564" s="60"/>
      <c r="DQ564" s="60"/>
      <c r="DR564" s="60"/>
      <c r="DS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60"/>
      <c r="BJ565" s="60"/>
      <c r="BK565" s="60"/>
      <c r="BL565" s="60"/>
      <c r="BM565" s="60"/>
      <c r="BN565" s="60"/>
      <c r="BO565" s="60"/>
      <c r="BP565" s="60"/>
      <c r="BQ565" s="60"/>
      <c r="BR565" s="60"/>
      <c r="BS565" s="60"/>
      <c r="BT565" s="60"/>
      <c r="BU565" s="60"/>
      <c r="BV565" s="60"/>
      <c r="BW565" s="60"/>
      <c r="BX565" s="60"/>
      <c r="BY565" s="60"/>
      <c r="BZ565" s="60"/>
      <c r="CA565" s="60"/>
      <c r="CB565" s="60"/>
      <c r="CC565" s="60"/>
      <c r="CD565" s="60"/>
      <c r="CE565" s="60"/>
      <c r="CF565" s="60"/>
      <c r="CG565" s="60"/>
      <c r="CH565" s="60"/>
      <c r="CI565" s="60"/>
      <c r="CJ565" s="60"/>
      <c r="CK565" s="60"/>
      <c r="CL565" s="60"/>
      <c r="CM565" s="60"/>
      <c r="CN565" s="60"/>
      <c r="CO565" s="60"/>
      <c r="CP565" s="60"/>
      <c r="CQ565" s="60"/>
      <c r="CR565" s="60"/>
      <c r="CS565" s="60"/>
      <c r="CT565" s="60"/>
      <c r="CU565" s="60"/>
      <c r="CV565" s="60"/>
      <c r="CW565" s="60"/>
      <c r="CX565" s="60"/>
      <c r="CY565" s="60"/>
      <c r="CZ565" s="60"/>
      <c r="DA565" s="60"/>
      <c r="DB565" s="60"/>
      <c r="DC565" s="60"/>
      <c r="DD565" s="60"/>
      <c r="DE565" s="60"/>
      <c r="DF565" s="60"/>
      <c r="DG565" s="60"/>
      <c r="DH565" s="60"/>
      <c r="DI565" s="60"/>
      <c r="DJ565" s="60"/>
      <c r="DK565" s="60"/>
      <c r="DL565" s="60"/>
      <c r="DM565" s="60"/>
      <c r="DN565" s="60"/>
      <c r="DO565" s="60"/>
      <c r="DP565" s="60"/>
      <c r="DQ565" s="60"/>
      <c r="DR565" s="60"/>
      <c r="DS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/>
      <c r="BJ566" s="60"/>
      <c r="BK566" s="60"/>
      <c r="BL566" s="60"/>
      <c r="BM566" s="60"/>
      <c r="BN566" s="60"/>
      <c r="BO566" s="60"/>
      <c r="BP566" s="60"/>
      <c r="BQ566" s="60"/>
      <c r="BR566" s="60"/>
      <c r="BS566" s="60"/>
      <c r="BT566" s="60"/>
      <c r="BU566" s="60"/>
      <c r="BV566" s="60"/>
      <c r="BW566" s="60"/>
      <c r="BX566" s="60"/>
      <c r="BY566" s="60"/>
      <c r="BZ566" s="60"/>
      <c r="CA566" s="60"/>
      <c r="CB566" s="60"/>
      <c r="CC566" s="60"/>
      <c r="CD566" s="60"/>
      <c r="CE566" s="60"/>
      <c r="CF566" s="60"/>
      <c r="CG566" s="60"/>
      <c r="CH566" s="60"/>
      <c r="CI566" s="60"/>
      <c r="CJ566" s="60"/>
      <c r="CK566" s="60"/>
      <c r="CL566" s="60"/>
      <c r="CM566" s="60"/>
      <c r="CN566" s="60"/>
      <c r="CO566" s="60"/>
      <c r="CP566" s="60"/>
      <c r="CQ566" s="60"/>
      <c r="CR566" s="60"/>
      <c r="CS566" s="60"/>
      <c r="CT566" s="60"/>
      <c r="CU566" s="60"/>
      <c r="CV566" s="60"/>
      <c r="CW566" s="60"/>
      <c r="CX566" s="60"/>
      <c r="CY566" s="60"/>
      <c r="CZ566" s="60"/>
      <c r="DA566" s="60"/>
      <c r="DB566" s="60"/>
      <c r="DC566" s="60"/>
      <c r="DD566" s="60"/>
      <c r="DE566" s="60"/>
      <c r="DF566" s="60"/>
      <c r="DG566" s="60"/>
      <c r="DH566" s="60"/>
      <c r="DI566" s="60"/>
      <c r="DJ566" s="60"/>
      <c r="DK566" s="60"/>
      <c r="DL566" s="60"/>
      <c r="DM566" s="60"/>
      <c r="DN566" s="60"/>
      <c r="DO566" s="60"/>
      <c r="DP566" s="60"/>
      <c r="DQ566" s="60"/>
      <c r="DR566" s="60"/>
      <c r="DS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60"/>
      <c r="BJ567" s="60"/>
      <c r="BK567" s="60"/>
      <c r="BL567" s="60"/>
      <c r="BM567" s="60"/>
      <c r="BN567" s="60"/>
      <c r="BO567" s="60"/>
      <c r="BP567" s="60"/>
      <c r="BQ567" s="60"/>
      <c r="BR567" s="60"/>
      <c r="BS567" s="60"/>
      <c r="BT567" s="60"/>
      <c r="BU567" s="60"/>
      <c r="BV567" s="60"/>
      <c r="BW567" s="60"/>
      <c r="BX567" s="60"/>
      <c r="BY567" s="60"/>
      <c r="BZ567" s="60"/>
      <c r="CA567" s="60"/>
      <c r="CB567" s="60"/>
      <c r="CC567" s="60"/>
      <c r="CD567" s="60"/>
      <c r="CE567" s="60"/>
      <c r="CF567" s="60"/>
      <c r="CG567" s="60"/>
      <c r="CH567" s="60"/>
      <c r="CI567" s="60"/>
      <c r="CJ567" s="60"/>
      <c r="CK567" s="60"/>
      <c r="CL567" s="60"/>
      <c r="CM567" s="60"/>
      <c r="CN567" s="60"/>
      <c r="CO567" s="60"/>
      <c r="CP567" s="60"/>
      <c r="CQ567" s="60"/>
      <c r="CR567" s="60"/>
      <c r="CS567" s="60"/>
      <c r="CT567" s="60"/>
      <c r="CU567" s="60"/>
      <c r="CV567" s="60"/>
      <c r="CW567" s="60"/>
      <c r="CX567" s="60"/>
      <c r="CY567" s="60"/>
      <c r="CZ567" s="60"/>
      <c r="DA567" s="60"/>
      <c r="DB567" s="60"/>
      <c r="DC567" s="60"/>
      <c r="DD567" s="60"/>
      <c r="DE567" s="60"/>
      <c r="DF567" s="60"/>
      <c r="DG567" s="60"/>
      <c r="DH567" s="60"/>
      <c r="DI567" s="60"/>
      <c r="DJ567" s="60"/>
      <c r="DK567" s="60"/>
      <c r="DL567" s="60"/>
      <c r="DM567" s="60"/>
      <c r="DN567" s="60"/>
      <c r="DO567" s="60"/>
      <c r="DP567" s="60"/>
      <c r="DQ567" s="60"/>
      <c r="DR567" s="60"/>
      <c r="DS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/>
      <c r="BJ568" s="60"/>
      <c r="BK568" s="60"/>
      <c r="BL568" s="60"/>
      <c r="BM568" s="60"/>
      <c r="BN568" s="60"/>
      <c r="BO568" s="60"/>
      <c r="BP568" s="60"/>
      <c r="BQ568" s="60"/>
      <c r="BR568" s="60"/>
      <c r="BS568" s="60"/>
      <c r="BT568" s="60"/>
      <c r="BU568" s="60"/>
      <c r="BV568" s="60"/>
      <c r="BW568" s="60"/>
      <c r="BX568" s="60"/>
      <c r="BY568" s="60"/>
      <c r="BZ568" s="60"/>
      <c r="CA568" s="60"/>
      <c r="CB568" s="60"/>
      <c r="CC568" s="60"/>
      <c r="CD568" s="60"/>
      <c r="CE568" s="60"/>
      <c r="CF568" s="60"/>
      <c r="CG568" s="60"/>
      <c r="CH568" s="60"/>
      <c r="CI568" s="60"/>
      <c r="CJ568" s="60"/>
      <c r="CK568" s="60"/>
      <c r="CL568" s="60"/>
      <c r="CM568" s="60"/>
      <c r="CN568" s="60"/>
      <c r="CO568" s="60"/>
      <c r="CP568" s="60"/>
      <c r="CQ568" s="60"/>
      <c r="CR568" s="60"/>
      <c r="CS568" s="60"/>
      <c r="CT568" s="60"/>
      <c r="CU568" s="60"/>
      <c r="CV568" s="60"/>
      <c r="CW568" s="60"/>
      <c r="CX568" s="60"/>
      <c r="CY568" s="60"/>
      <c r="CZ568" s="60"/>
      <c r="DA568" s="60"/>
      <c r="DB568" s="60"/>
      <c r="DC568" s="60"/>
      <c r="DD568" s="60"/>
      <c r="DE568" s="60"/>
      <c r="DF568" s="60"/>
      <c r="DG568" s="60"/>
      <c r="DH568" s="60"/>
      <c r="DI568" s="60"/>
      <c r="DJ568" s="60"/>
      <c r="DK568" s="60"/>
      <c r="DL568" s="60"/>
      <c r="DM568" s="60"/>
      <c r="DN568" s="60"/>
      <c r="DO568" s="60"/>
      <c r="DP568" s="60"/>
      <c r="DQ568" s="60"/>
      <c r="DR568" s="60"/>
      <c r="DS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60"/>
      <c r="BJ569" s="60"/>
      <c r="BK569" s="60"/>
      <c r="BL569" s="60"/>
      <c r="BM569" s="60"/>
      <c r="BN569" s="60"/>
      <c r="BO569" s="60"/>
      <c r="BP569" s="60"/>
      <c r="BQ569" s="60"/>
      <c r="BR569" s="60"/>
      <c r="BS569" s="60"/>
      <c r="BT569" s="60"/>
      <c r="BU569" s="60"/>
      <c r="BV569" s="60"/>
      <c r="BW569" s="60"/>
      <c r="BX569" s="60"/>
      <c r="BY569" s="60"/>
      <c r="BZ569" s="60"/>
      <c r="CA569" s="60"/>
      <c r="CB569" s="60"/>
      <c r="CC569" s="60"/>
      <c r="CD569" s="60"/>
      <c r="CE569" s="60"/>
      <c r="CF569" s="60"/>
      <c r="CG569" s="60"/>
      <c r="CH569" s="60"/>
      <c r="CI569" s="60"/>
      <c r="CJ569" s="60"/>
      <c r="CK569" s="60"/>
      <c r="CL569" s="60"/>
      <c r="CM569" s="60"/>
      <c r="CN569" s="60"/>
      <c r="CO569" s="60"/>
      <c r="CP569" s="60"/>
      <c r="CQ569" s="60"/>
      <c r="CR569" s="60"/>
      <c r="CS569" s="60"/>
      <c r="CT569" s="60"/>
      <c r="CU569" s="60"/>
      <c r="CV569" s="60"/>
      <c r="CW569" s="60"/>
      <c r="CX569" s="60"/>
      <c r="CY569" s="60"/>
      <c r="CZ569" s="60"/>
      <c r="DA569" s="60"/>
      <c r="DB569" s="60"/>
      <c r="DC569" s="60"/>
      <c r="DD569" s="60"/>
      <c r="DE569" s="60"/>
      <c r="DF569" s="60"/>
      <c r="DG569" s="60"/>
      <c r="DH569" s="60"/>
      <c r="DI569" s="60"/>
      <c r="DJ569" s="60"/>
      <c r="DK569" s="60"/>
      <c r="DL569" s="60"/>
      <c r="DM569" s="60"/>
      <c r="DN569" s="60"/>
      <c r="DO569" s="60"/>
      <c r="DP569" s="60"/>
      <c r="DQ569" s="60"/>
      <c r="DR569" s="60"/>
      <c r="DS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60"/>
      <c r="BJ570" s="60"/>
      <c r="BK570" s="60"/>
      <c r="BL570" s="60"/>
      <c r="BM570" s="60"/>
      <c r="BN570" s="60"/>
      <c r="BO570" s="60"/>
      <c r="BP570" s="60"/>
      <c r="BQ570" s="60"/>
      <c r="BR570" s="60"/>
      <c r="BS570" s="60"/>
      <c r="BT570" s="60"/>
      <c r="BU570" s="60"/>
      <c r="BV570" s="60"/>
      <c r="BW570" s="60"/>
      <c r="BX570" s="60"/>
      <c r="BY570" s="60"/>
      <c r="BZ570" s="60"/>
      <c r="CA570" s="60"/>
      <c r="CB570" s="60"/>
      <c r="CC570" s="60"/>
      <c r="CD570" s="60"/>
      <c r="CE570" s="60"/>
      <c r="CF570" s="60"/>
      <c r="CG570" s="60"/>
      <c r="CH570" s="60"/>
      <c r="CI570" s="60"/>
      <c r="CJ570" s="60"/>
      <c r="CK570" s="60"/>
      <c r="CL570" s="60"/>
      <c r="CM570" s="60"/>
      <c r="CN570" s="60"/>
      <c r="CO570" s="60"/>
      <c r="CP570" s="60"/>
      <c r="CQ570" s="60"/>
      <c r="CR570" s="60"/>
      <c r="CS570" s="60"/>
      <c r="CT570" s="60"/>
      <c r="CU570" s="60"/>
      <c r="CV570" s="60"/>
      <c r="CW570" s="60"/>
      <c r="CX570" s="60"/>
      <c r="CY570" s="60"/>
      <c r="CZ570" s="60"/>
      <c r="DA570" s="60"/>
      <c r="DB570" s="60"/>
      <c r="DC570" s="60"/>
      <c r="DD570" s="60"/>
      <c r="DE570" s="60"/>
      <c r="DF570" s="60"/>
      <c r="DG570" s="60"/>
      <c r="DH570" s="60"/>
      <c r="DI570" s="60"/>
      <c r="DJ570" s="60"/>
      <c r="DK570" s="60"/>
      <c r="DL570" s="60"/>
      <c r="DM570" s="60"/>
      <c r="DN570" s="60"/>
      <c r="DO570" s="60"/>
      <c r="DP570" s="60"/>
      <c r="DQ570" s="60"/>
      <c r="DR570" s="60"/>
      <c r="DS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60"/>
      <c r="BJ571" s="60"/>
      <c r="BK571" s="60"/>
      <c r="BL571" s="60"/>
      <c r="BM571" s="60"/>
      <c r="BN571" s="60"/>
      <c r="BO571" s="60"/>
      <c r="BP571" s="60"/>
      <c r="BQ571" s="60"/>
      <c r="BR571" s="60"/>
      <c r="BS571" s="60"/>
      <c r="BT571" s="60"/>
      <c r="BU571" s="60"/>
      <c r="BV571" s="60"/>
      <c r="BW571" s="60"/>
      <c r="BX571" s="60"/>
      <c r="BY571" s="60"/>
      <c r="BZ571" s="60"/>
      <c r="CA571" s="60"/>
      <c r="CB571" s="60"/>
      <c r="CC571" s="60"/>
      <c r="CD571" s="60"/>
      <c r="CE571" s="60"/>
      <c r="CF571" s="60"/>
      <c r="CG571" s="60"/>
      <c r="CH571" s="60"/>
      <c r="CI571" s="60"/>
      <c r="CJ571" s="60"/>
      <c r="CK571" s="60"/>
      <c r="CL571" s="60"/>
      <c r="CM571" s="60"/>
      <c r="CN571" s="60"/>
      <c r="CO571" s="60"/>
      <c r="CP571" s="60"/>
      <c r="CQ571" s="60"/>
      <c r="CR571" s="60"/>
      <c r="CS571" s="60"/>
      <c r="CT571" s="60"/>
      <c r="CU571" s="60"/>
      <c r="CV571" s="60"/>
      <c r="CW571" s="60"/>
      <c r="CX571" s="60"/>
      <c r="CY571" s="60"/>
      <c r="CZ571" s="60"/>
      <c r="DA571" s="60"/>
      <c r="DB571" s="60"/>
      <c r="DC571" s="60"/>
      <c r="DD571" s="60"/>
      <c r="DE571" s="60"/>
      <c r="DF571" s="60"/>
      <c r="DG571" s="60"/>
      <c r="DH571" s="60"/>
      <c r="DI571" s="60"/>
      <c r="DJ571" s="60"/>
      <c r="DK571" s="60"/>
      <c r="DL571" s="60"/>
      <c r="DM571" s="60"/>
      <c r="DN571" s="60"/>
      <c r="DO571" s="60"/>
      <c r="DP571" s="60"/>
      <c r="DQ571" s="60"/>
      <c r="DR571" s="60"/>
      <c r="DS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/>
      <c r="BJ572" s="60"/>
      <c r="BK572" s="60"/>
      <c r="BL572" s="60"/>
      <c r="BM572" s="60"/>
      <c r="BN572" s="60"/>
      <c r="BO572" s="60"/>
      <c r="BP572" s="60"/>
      <c r="BQ572" s="60"/>
      <c r="BR572" s="60"/>
      <c r="BS572" s="60"/>
      <c r="BT572" s="60"/>
      <c r="BU572" s="60"/>
      <c r="BV572" s="60"/>
      <c r="BW572" s="60"/>
      <c r="BX572" s="60"/>
      <c r="BY572" s="60"/>
      <c r="BZ572" s="60"/>
      <c r="CA572" s="60"/>
      <c r="CB572" s="60"/>
      <c r="CC572" s="60"/>
      <c r="CD572" s="60"/>
      <c r="CE572" s="60"/>
      <c r="CF572" s="60"/>
      <c r="CG572" s="60"/>
      <c r="CH572" s="60"/>
      <c r="CI572" s="60"/>
      <c r="CJ572" s="60"/>
      <c r="CK572" s="60"/>
      <c r="CL572" s="60"/>
      <c r="CM572" s="60"/>
      <c r="CN572" s="60"/>
      <c r="CO572" s="60"/>
      <c r="CP572" s="60"/>
      <c r="CQ572" s="60"/>
      <c r="CR572" s="60"/>
      <c r="CS572" s="60"/>
      <c r="CT572" s="60"/>
      <c r="CU572" s="60"/>
      <c r="CV572" s="60"/>
      <c r="CW572" s="60"/>
      <c r="CX572" s="60"/>
      <c r="CY572" s="60"/>
      <c r="CZ572" s="60"/>
      <c r="DA572" s="60"/>
      <c r="DB572" s="60"/>
      <c r="DC572" s="60"/>
      <c r="DD572" s="60"/>
      <c r="DE572" s="60"/>
      <c r="DF572" s="60"/>
      <c r="DG572" s="60"/>
      <c r="DH572" s="60"/>
      <c r="DI572" s="60"/>
      <c r="DJ572" s="60"/>
      <c r="DK572" s="60"/>
      <c r="DL572" s="60"/>
      <c r="DM572" s="60"/>
      <c r="DN572" s="60"/>
      <c r="DO572" s="60"/>
      <c r="DP572" s="60"/>
      <c r="DQ572" s="60"/>
      <c r="DR572" s="60"/>
      <c r="DS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60"/>
      <c r="BJ573" s="60"/>
      <c r="BK573" s="60"/>
      <c r="BL573" s="60"/>
      <c r="BM573" s="60"/>
      <c r="BN573" s="60"/>
      <c r="BO573" s="60"/>
      <c r="BP573" s="60"/>
      <c r="BQ573" s="60"/>
      <c r="BR573" s="60"/>
      <c r="BS573" s="60"/>
      <c r="BT573" s="60"/>
      <c r="BU573" s="60"/>
      <c r="BV573" s="60"/>
      <c r="BW573" s="60"/>
      <c r="BX573" s="60"/>
      <c r="BY573" s="60"/>
      <c r="BZ573" s="60"/>
      <c r="CA573" s="60"/>
      <c r="CB573" s="60"/>
      <c r="CC573" s="60"/>
      <c r="CD573" s="60"/>
      <c r="CE573" s="60"/>
      <c r="CF573" s="60"/>
      <c r="CG573" s="60"/>
      <c r="CH573" s="60"/>
      <c r="CI573" s="60"/>
      <c r="CJ573" s="60"/>
      <c r="CK573" s="60"/>
      <c r="CL573" s="60"/>
      <c r="CM573" s="60"/>
      <c r="CN573" s="60"/>
      <c r="CO573" s="60"/>
      <c r="CP573" s="60"/>
      <c r="CQ573" s="60"/>
      <c r="CR573" s="60"/>
      <c r="CS573" s="60"/>
      <c r="CT573" s="60"/>
      <c r="CU573" s="60"/>
      <c r="CV573" s="60"/>
      <c r="CW573" s="60"/>
      <c r="CX573" s="60"/>
      <c r="CY573" s="60"/>
      <c r="CZ573" s="60"/>
      <c r="DA573" s="60"/>
      <c r="DB573" s="60"/>
      <c r="DC573" s="60"/>
      <c r="DD573" s="60"/>
      <c r="DE573" s="60"/>
      <c r="DF573" s="60"/>
      <c r="DG573" s="60"/>
      <c r="DH573" s="60"/>
      <c r="DI573" s="60"/>
      <c r="DJ573" s="60"/>
      <c r="DK573" s="60"/>
      <c r="DL573" s="60"/>
      <c r="DM573" s="60"/>
      <c r="DN573" s="60"/>
      <c r="DO573" s="60"/>
      <c r="DP573" s="60"/>
      <c r="DQ573" s="60"/>
      <c r="DR573" s="60"/>
      <c r="DS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60"/>
      <c r="BJ574" s="60"/>
      <c r="BK574" s="60"/>
      <c r="BL574" s="60"/>
      <c r="BM574" s="60"/>
      <c r="BN574" s="60"/>
      <c r="BO574" s="60"/>
      <c r="BP574" s="60"/>
      <c r="BQ574" s="60"/>
      <c r="BR574" s="60"/>
      <c r="BS574" s="60"/>
      <c r="BT574" s="60"/>
      <c r="BU574" s="60"/>
      <c r="BV574" s="60"/>
      <c r="BW574" s="60"/>
      <c r="BX574" s="60"/>
      <c r="BY574" s="60"/>
      <c r="BZ574" s="60"/>
      <c r="CA574" s="60"/>
      <c r="CB574" s="60"/>
      <c r="CC574" s="60"/>
      <c r="CD574" s="60"/>
      <c r="CE574" s="60"/>
      <c r="CF574" s="60"/>
      <c r="CG574" s="60"/>
      <c r="CH574" s="60"/>
      <c r="CI574" s="60"/>
      <c r="CJ574" s="60"/>
      <c r="CK574" s="60"/>
      <c r="CL574" s="60"/>
      <c r="CM574" s="60"/>
      <c r="CN574" s="60"/>
      <c r="CO574" s="60"/>
      <c r="CP574" s="60"/>
      <c r="CQ574" s="60"/>
      <c r="CR574" s="60"/>
      <c r="CS574" s="60"/>
      <c r="CT574" s="60"/>
      <c r="CU574" s="60"/>
      <c r="CV574" s="60"/>
      <c r="CW574" s="60"/>
      <c r="CX574" s="60"/>
      <c r="CY574" s="60"/>
      <c r="CZ574" s="60"/>
      <c r="DA574" s="60"/>
      <c r="DB574" s="60"/>
      <c r="DC574" s="60"/>
      <c r="DD574" s="60"/>
      <c r="DE574" s="60"/>
      <c r="DF574" s="60"/>
      <c r="DG574" s="60"/>
      <c r="DH574" s="60"/>
      <c r="DI574" s="60"/>
      <c r="DJ574" s="60"/>
      <c r="DK574" s="60"/>
      <c r="DL574" s="60"/>
      <c r="DM574" s="60"/>
      <c r="DN574" s="60"/>
      <c r="DO574" s="60"/>
      <c r="DP574" s="60"/>
      <c r="DQ574" s="60"/>
      <c r="DR574" s="60"/>
      <c r="DS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  <c r="BK575" s="60"/>
      <c r="BL575" s="60"/>
      <c r="BM575" s="60"/>
      <c r="BN575" s="60"/>
      <c r="BO575" s="60"/>
      <c r="BP575" s="60"/>
      <c r="BQ575" s="60"/>
      <c r="BR575" s="60"/>
      <c r="BS575" s="60"/>
      <c r="BT575" s="60"/>
      <c r="BU575" s="60"/>
      <c r="BV575" s="60"/>
      <c r="BW575" s="60"/>
      <c r="BX575" s="60"/>
      <c r="BY575" s="60"/>
      <c r="BZ575" s="60"/>
      <c r="CA575" s="60"/>
      <c r="CB575" s="60"/>
      <c r="CC575" s="60"/>
      <c r="CD575" s="60"/>
      <c r="CE575" s="60"/>
      <c r="CF575" s="60"/>
      <c r="CG575" s="60"/>
      <c r="CH575" s="60"/>
      <c r="CI575" s="60"/>
      <c r="CJ575" s="60"/>
      <c r="CK575" s="60"/>
      <c r="CL575" s="60"/>
      <c r="CM575" s="60"/>
      <c r="CN575" s="60"/>
      <c r="CO575" s="60"/>
      <c r="CP575" s="60"/>
      <c r="CQ575" s="60"/>
      <c r="CR575" s="60"/>
      <c r="CS575" s="60"/>
      <c r="CT575" s="60"/>
      <c r="CU575" s="60"/>
      <c r="CV575" s="60"/>
      <c r="CW575" s="60"/>
      <c r="CX575" s="60"/>
      <c r="CY575" s="60"/>
      <c r="CZ575" s="60"/>
      <c r="DA575" s="60"/>
      <c r="DB575" s="60"/>
      <c r="DC575" s="60"/>
      <c r="DD575" s="60"/>
      <c r="DE575" s="60"/>
      <c r="DF575" s="60"/>
      <c r="DG575" s="60"/>
      <c r="DH575" s="60"/>
      <c r="DI575" s="60"/>
      <c r="DJ575" s="60"/>
      <c r="DK575" s="60"/>
      <c r="DL575" s="60"/>
      <c r="DM575" s="60"/>
      <c r="DN575" s="60"/>
      <c r="DO575" s="60"/>
      <c r="DP575" s="60"/>
      <c r="DQ575" s="60"/>
      <c r="DR575" s="60"/>
      <c r="DS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/>
      <c r="BJ576" s="60"/>
      <c r="BK576" s="60"/>
      <c r="BL576" s="60"/>
      <c r="BM576" s="60"/>
      <c r="BN576" s="60"/>
      <c r="BO576" s="60"/>
      <c r="BP576" s="60"/>
      <c r="BQ576" s="60"/>
      <c r="BR576" s="60"/>
      <c r="BS576" s="60"/>
      <c r="BT576" s="60"/>
      <c r="BU576" s="60"/>
      <c r="BV576" s="60"/>
      <c r="BW576" s="60"/>
      <c r="BX576" s="60"/>
      <c r="BY576" s="60"/>
      <c r="BZ576" s="60"/>
      <c r="CA576" s="60"/>
      <c r="CB576" s="60"/>
      <c r="CC576" s="60"/>
      <c r="CD576" s="60"/>
      <c r="CE576" s="60"/>
      <c r="CF576" s="60"/>
      <c r="CG576" s="60"/>
      <c r="CH576" s="60"/>
      <c r="CI576" s="60"/>
      <c r="CJ576" s="60"/>
      <c r="CK576" s="60"/>
      <c r="CL576" s="60"/>
      <c r="CM576" s="60"/>
      <c r="CN576" s="60"/>
      <c r="CO576" s="60"/>
      <c r="CP576" s="60"/>
      <c r="CQ576" s="60"/>
      <c r="CR576" s="60"/>
      <c r="CS576" s="60"/>
      <c r="CT576" s="60"/>
      <c r="CU576" s="60"/>
      <c r="CV576" s="60"/>
      <c r="CW576" s="60"/>
      <c r="CX576" s="60"/>
      <c r="CY576" s="60"/>
      <c r="CZ576" s="60"/>
      <c r="DA576" s="60"/>
      <c r="DB576" s="60"/>
      <c r="DC576" s="60"/>
      <c r="DD576" s="60"/>
      <c r="DE576" s="60"/>
      <c r="DF576" s="60"/>
      <c r="DG576" s="60"/>
      <c r="DH576" s="60"/>
      <c r="DI576" s="60"/>
      <c r="DJ576" s="60"/>
      <c r="DK576" s="60"/>
      <c r="DL576" s="60"/>
      <c r="DM576" s="60"/>
      <c r="DN576" s="60"/>
      <c r="DO576" s="60"/>
      <c r="DP576" s="60"/>
      <c r="DQ576" s="60"/>
      <c r="DR576" s="60"/>
      <c r="DS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60"/>
      <c r="BJ577" s="60"/>
      <c r="BK577" s="60"/>
      <c r="BL577" s="60"/>
      <c r="BM577" s="60"/>
      <c r="BN577" s="60"/>
      <c r="BO577" s="60"/>
      <c r="BP577" s="60"/>
      <c r="BQ577" s="60"/>
      <c r="BR577" s="60"/>
      <c r="BS577" s="60"/>
      <c r="BT577" s="60"/>
      <c r="BU577" s="60"/>
      <c r="BV577" s="60"/>
      <c r="BW577" s="60"/>
      <c r="BX577" s="60"/>
      <c r="BY577" s="60"/>
      <c r="BZ577" s="60"/>
      <c r="CA577" s="60"/>
      <c r="CB577" s="60"/>
      <c r="CC577" s="60"/>
      <c r="CD577" s="60"/>
      <c r="CE577" s="60"/>
      <c r="CF577" s="60"/>
      <c r="CG577" s="60"/>
      <c r="CH577" s="60"/>
      <c r="CI577" s="60"/>
      <c r="CJ577" s="60"/>
      <c r="CK577" s="60"/>
      <c r="CL577" s="60"/>
      <c r="CM577" s="60"/>
      <c r="CN577" s="60"/>
      <c r="CO577" s="60"/>
      <c r="CP577" s="60"/>
      <c r="CQ577" s="60"/>
      <c r="CR577" s="60"/>
      <c r="CS577" s="60"/>
      <c r="CT577" s="60"/>
      <c r="CU577" s="60"/>
      <c r="CV577" s="60"/>
      <c r="CW577" s="60"/>
      <c r="CX577" s="60"/>
      <c r="CY577" s="60"/>
      <c r="CZ577" s="60"/>
      <c r="DA577" s="60"/>
      <c r="DB577" s="60"/>
      <c r="DC577" s="60"/>
      <c r="DD577" s="60"/>
      <c r="DE577" s="60"/>
      <c r="DF577" s="60"/>
      <c r="DG577" s="60"/>
      <c r="DH577" s="60"/>
      <c r="DI577" s="60"/>
      <c r="DJ577" s="60"/>
      <c r="DK577" s="60"/>
      <c r="DL577" s="60"/>
      <c r="DM577" s="60"/>
      <c r="DN577" s="60"/>
      <c r="DO577" s="60"/>
      <c r="DP577" s="60"/>
      <c r="DQ577" s="60"/>
      <c r="DR577" s="60"/>
      <c r="DS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/>
      <c r="BJ578" s="60"/>
      <c r="BK578" s="60"/>
      <c r="BL578" s="60"/>
      <c r="BM578" s="60"/>
      <c r="BN578" s="60"/>
      <c r="BO578" s="60"/>
      <c r="BP578" s="60"/>
      <c r="BQ578" s="60"/>
      <c r="BR578" s="60"/>
      <c r="BS578" s="60"/>
      <c r="BT578" s="60"/>
      <c r="BU578" s="60"/>
      <c r="BV578" s="60"/>
      <c r="BW578" s="60"/>
      <c r="BX578" s="60"/>
      <c r="BY578" s="60"/>
      <c r="BZ578" s="60"/>
      <c r="CA578" s="60"/>
      <c r="CB578" s="60"/>
      <c r="CC578" s="60"/>
      <c r="CD578" s="60"/>
      <c r="CE578" s="60"/>
      <c r="CF578" s="60"/>
      <c r="CG578" s="60"/>
      <c r="CH578" s="60"/>
      <c r="CI578" s="60"/>
      <c r="CJ578" s="60"/>
      <c r="CK578" s="60"/>
      <c r="CL578" s="60"/>
      <c r="CM578" s="60"/>
      <c r="CN578" s="60"/>
      <c r="CO578" s="60"/>
      <c r="CP578" s="60"/>
      <c r="CQ578" s="60"/>
      <c r="CR578" s="60"/>
      <c r="CS578" s="60"/>
      <c r="CT578" s="60"/>
      <c r="CU578" s="60"/>
      <c r="CV578" s="60"/>
      <c r="CW578" s="60"/>
      <c r="CX578" s="60"/>
      <c r="CY578" s="60"/>
      <c r="CZ578" s="60"/>
      <c r="DA578" s="60"/>
      <c r="DB578" s="60"/>
      <c r="DC578" s="60"/>
      <c r="DD578" s="60"/>
      <c r="DE578" s="60"/>
      <c r="DF578" s="60"/>
      <c r="DG578" s="60"/>
      <c r="DH578" s="60"/>
      <c r="DI578" s="60"/>
      <c r="DJ578" s="60"/>
      <c r="DK578" s="60"/>
      <c r="DL578" s="60"/>
      <c r="DM578" s="60"/>
      <c r="DN578" s="60"/>
      <c r="DO578" s="60"/>
      <c r="DP578" s="60"/>
      <c r="DQ578" s="60"/>
      <c r="DR578" s="60"/>
      <c r="DS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  <c r="BK579" s="60"/>
      <c r="BL579" s="60"/>
      <c r="BM579" s="60"/>
      <c r="BN579" s="60"/>
      <c r="BO579" s="60"/>
      <c r="BP579" s="60"/>
      <c r="BQ579" s="60"/>
      <c r="BR579" s="60"/>
      <c r="BS579" s="60"/>
      <c r="BT579" s="60"/>
      <c r="BU579" s="60"/>
      <c r="BV579" s="60"/>
      <c r="BW579" s="60"/>
      <c r="BX579" s="60"/>
      <c r="BY579" s="60"/>
      <c r="BZ579" s="60"/>
      <c r="CA579" s="60"/>
      <c r="CB579" s="60"/>
      <c r="CC579" s="60"/>
      <c r="CD579" s="60"/>
      <c r="CE579" s="60"/>
      <c r="CF579" s="60"/>
      <c r="CG579" s="60"/>
      <c r="CH579" s="60"/>
      <c r="CI579" s="60"/>
      <c r="CJ579" s="60"/>
      <c r="CK579" s="60"/>
      <c r="CL579" s="60"/>
      <c r="CM579" s="60"/>
      <c r="CN579" s="60"/>
      <c r="CO579" s="60"/>
      <c r="CP579" s="60"/>
      <c r="CQ579" s="60"/>
      <c r="CR579" s="60"/>
      <c r="CS579" s="60"/>
      <c r="CT579" s="60"/>
      <c r="CU579" s="60"/>
      <c r="CV579" s="60"/>
      <c r="CW579" s="60"/>
      <c r="CX579" s="60"/>
      <c r="CY579" s="60"/>
      <c r="CZ579" s="60"/>
      <c r="DA579" s="60"/>
      <c r="DB579" s="60"/>
      <c r="DC579" s="60"/>
      <c r="DD579" s="60"/>
      <c r="DE579" s="60"/>
      <c r="DF579" s="60"/>
      <c r="DG579" s="60"/>
      <c r="DH579" s="60"/>
      <c r="DI579" s="60"/>
      <c r="DJ579" s="60"/>
      <c r="DK579" s="60"/>
      <c r="DL579" s="60"/>
      <c r="DM579" s="60"/>
      <c r="DN579" s="60"/>
      <c r="DO579" s="60"/>
      <c r="DP579" s="60"/>
      <c r="DQ579" s="60"/>
      <c r="DR579" s="60"/>
      <c r="DS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/>
      <c r="BJ580" s="60"/>
      <c r="BK580" s="60"/>
      <c r="BL580" s="60"/>
      <c r="BM580" s="60"/>
      <c r="BN580" s="60"/>
      <c r="BO580" s="60"/>
      <c r="BP580" s="60"/>
      <c r="BQ580" s="60"/>
      <c r="BR580" s="60"/>
      <c r="BS580" s="60"/>
      <c r="BT580" s="60"/>
      <c r="BU580" s="60"/>
      <c r="BV580" s="60"/>
      <c r="BW580" s="60"/>
      <c r="BX580" s="60"/>
      <c r="BY580" s="60"/>
      <c r="BZ580" s="60"/>
      <c r="CA580" s="60"/>
      <c r="CB580" s="60"/>
      <c r="CC580" s="60"/>
      <c r="CD580" s="60"/>
      <c r="CE580" s="60"/>
      <c r="CF580" s="60"/>
      <c r="CG580" s="60"/>
      <c r="CH580" s="60"/>
      <c r="CI580" s="60"/>
      <c r="CJ580" s="60"/>
      <c r="CK580" s="60"/>
      <c r="CL580" s="60"/>
      <c r="CM580" s="60"/>
      <c r="CN580" s="60"/>
      <c r="CO580" s="60"/>
      <c r="CP580" s="60"/>
      <c r="CQ580" s="60"/>
      <c r="CR580" s="60"/>
      <c r="CS580" s="60"/>
      <c r="CT580" s="60"/>
      <c r="CU580" s="60"/>
      <c r="CV580" s="60"/>
      <c r="CW580" s="60"/>
      <c r="CX580" s="60"/>
      <c r="CY580" s="60"/>
      <c r="CZ580" s="60"/>
      <c r="DA580" s="60"/>
      <c r="DB580" s="60"/>
      <c r="DC580" s="60"/>
      <c r="DD580" s="60"/>
      <c r="DE580" s="60"/>
      <c r="DF580" s="60"/>
      <c r="DG580" s="60"/>
      <c r="DH580" s="60"/>
      <c r="DI580" s="60"/>
      <c r="DJ580" s="60"/>
      <c r="DK580" s="60"/>
      <c r="DL580" s="60"/>
      <c r="DM580" s="60"/>
      <c r="DN580" s="60"/>
      <c r="DO580" s="60"/>
      <c r="DP580" s="60"/>
      <c r="DQ580" s="60"/>
      <c r="DR580" s="60"/>
      <c r="DS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60"/>
      <c r="BJ581" s="60"/>
      <c r="BK581" s="60"/>
      <c r="BL581" s="60"/>
      <c r="BM581" s="60"/>
      <c r="BN581" s="60"/>
      <c r="BO581" s="60"/>
      <c r="BP581" s="60"/>
      <c r="BQ581" s="60"/>
      <c r="BR581" s="60"/>
      <c r="BS581" s="60"/>
      <c r="BT581" s="60"/>
      <c r="BU581" s="60"/>
      <c r="BV581" s="60"/>
      <c r="BW581" s="60"/>
      <c r="BX581" s="60"/>
      <c r="BY581" s="60"/>
      <c r="BZ581" s="60"/>
      <c r="CA581" s="60"/>
      <c r="CB581" s="60"/>
      <c r="CC581" s="60"/>
      <c r="CD581" s="60"/>
      <c r="CE581" s="60"/>
      <c r="CF581" s="60"/>
      <c r="CG581" s="60"/>
      <c r="CH581" s="60"/>
      <c r="CI581" s="60"/>
      <c r="CJ581" s="60"/>
      <c r="CK581" s="60"/>
      <c r="CL581" s="60"/>
      <c r="CM581" s="60"/>
      <c r="CN581" s="60"/>
      <c r="CO581" s="60"/>
      <c r="CP581" s="60"/>
      <c r="CQ581" s="60"/>
      <c r="CR581" s="60"/>
      <c r="CS581" s="60"/>
      <c r="CT581" s="60"/>
      <c r="CU581" s="60"/>
      <c r="CV581" s="60"/>
      <c r="CW581" s="60"/>
      <c r="CX581" s="60"/>
      <c r="CY581" s="60"/>
      <c r="CZ581" s="60"/>
      <c r="DA581" s="60"/>
      <c r="DB581" s="60"/>
      <c r="DC581" s="60"/>
      <c r="DD581" s="60"/>
      <c r="DE581" s="60"/>
      <c r="DF581" s="60"/>
      <c r="DG581" s="60"/>
      <c r="DH581" s="60"/>
      <c r="DI581" s="60"/>
      <c r="DJ581" s="60"/>
      <c r="DK581" s="60"/>
      <c r="DL581" s="60"/>
      <c r="DM581" s="60"/>
      <c r="DN581" s="60"/>
      <c r="DO581" s="60"/>
      <c r="DP581" s="60"/>
      <c r="DQ581" s="60"/>
      <c r="DR581" s="60"/>
      <c r="DS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60"/>
      <c r="BJ582" s="60"/>
      <c r="BK582" s="60"/>
      <c r="BL582" s="60"/>
      <c r="BM582" s="60"/>
      <c r="BN582" s="60"/>
      <c r="BO582" s="60"/>
      <c r="BP582" s="60"/>
      <c r="BQ582" s="60"/>
      <c r="BR582" s="60"/>
      <c r="BS582" s="60"/>
      <c r="BT582" s="60"/>
      <c r="BU582" s="60"/>
      <c r="BV582" s="60"/>
      <c r="BW582" s="60"/>
      <c r="BX582" s="60"/>
      <c r="BY582" s="60"/>
      <c r="BZ582" s="60"/>
      <c r="CA582" s="60"/>
      <c r="CB582" s="60"/>
      <c r="CC582" s="60"/>
      <c r="CD582" s="60"/>
      <c r="CE582" s="60"/>
      <c r="CF582" s="60"/>
      <c r="CG582" s="60"/>
      <c r="CH582" s="60"/>
      <c r="CI582" s="60"/>
      <c r="CJ582" s="60"/>
      <c r="CK582" s="60"/>
      <c r="CL582" s="60"/>
      <c r="CM582" s="60"/>
      <c r="CN582" s="60"/>
      <c r="CO582" s="60"/>
      <c r="CP582" s="60"/>
      <c r="CQ582" s="60"/>
      <c r="CR582" s="60"/>
      <c r="CS582" s="60"/>
      <c r="CT582" s="60"/>
      <c r="CU582" s="60"/>
      <c r="CV582" s="60"/>
      <c r="CW582" s="60"/>
      <c r="CX582" s="60"/>
      <c r="CY582" s="60"/>
      <c r="CZ582" s="60"/>
      <c r="DA582" s="60"/>
      <c r="DB582" s="60"/>
      <c r="DC582" s="60"/>
      <c r="DD582" s="60"/>
      <c r="DE582" s="60"/>
      <c r="DF582" s="60"/>
      <c r="DG582" s="60"/>
      <c r="DH582" s="60"/>
      <c r="DI582" s="60"/>
      <c r="DJ582" s="60"/>
      <c r="DK582" s="60"/>
      <c r="DL582" s="60"/>
      <c r="DM582" s="60"/>
      <c r="DN582" s="60"/>
      <c r="DO582" s="60"/>
      <c r="DP582" s="60"/>
      <c r="DQ582" s="60"/>
      <c r="DR582" s="60"/>
      <c r="DS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60"/>
      <c r="BJ583" s="60"/>
      <c r="BK583" s="60"/>
      <c r="BL583" s="60"/>
      <c r="BM583" s="60"/>
      <c r="BN583" s="60"/>
      <c r="BO583" s="60"/>
      <c r="BP583" s="60"/>
      <c r="BQ583" s="60"/>
      <c r="BR583" s="60"/>
      <c r="BS583" s="60"/>
      <c r="BT583" s="60"/>
      <c r="BU583" s="60"/>
      <c r="BV583" s="60"/>
      <c r="BW583" s="60"/>
      <c r="BX583" s="60"/>
      <c r="BY583" s="60"/>
      <c r="BZ583" s="60"/>
      <c r="CA583" s="60"/>
      <c r="CB583" s="60"/>
      <c r="CC583" s="60"/>
      <c r="CD583" s="60"/>
      <c r="CE583" s="60"/>
      <c r="CF583" s="60"/>
      <c r="CG583" s="60"/>
      <c r="CH583" s="60"/>
      <c r="CI583" s="60"/>
      <c r="CJ583" s="60"/>
      <c r="CK583" s="60"/>
      <c r="CL583" s="60"/>
      <c r="CM583" s="60"/>
      <c r="CN583" s="60"/>
      <c r="CO583" s="60"/>
      <c r="CP583" s="60"/>
      <c r="CQ583" s="60"/>
      <c r="CR583" s="60"/>
      <c r="CS583" s="60"/>
      <c r="CT583" s="60"/>
      <c r="CU583" s="60"/>
      <c r="CV583" s="60"/>
      <c r="CW583" s="60"/>
      <c r="CX583" s="60"/>
      <c r="CY583" s="60"/>
      <c r="CZ583" s="60"/>
      <c r="DA583" s="60"/>
      <c r="DB583" s="60"/>
      <c r="DC583" s="60"/>
      <c r="DD583" s="60"/>
      <c r="DE583" s="60"/>
      <c r="DF583" s="60"/>
      <c r="DG583" s="60"/>
      <c r="DH583" s="60"/>
      <c r="DI583" s="60"/>
      <c r="DJ583" s="60"/>
      <c r="DK583" s="60"/>
      <c r="DL583" s="60"/>
      <c r="DM583" s="60"/>
      <c r="DN583" s="60"/>
      <c r="DO583" s="60"/>
      <c r="DP583" s="60"/>
      <c r="DQ583" s="60"/>
      <c r="DR583" s="60"/>
      <c r="DS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60"/>
      <c r="BJ584" s="60"/>
      <c r="BK584" s="60"/>
      <c r="BL584" s="60"/>
      <c r="BM584" s="60"/>
      <c r="BN584" s="60"/>
      <c r="BO584" s="60"/>
      <c r="BP584" s="60"/>
      <c r="BQ584" s="60"/>
      <c r="BR584" s="60"/>
      <c r="BS584" s="60"/>
      <c r="BT584" s="60"/>
      <c r="BU584" s="60"/>
      <c r="BV584" s="60"/>
      <c r="BW584" s="60"/>
      <c r="BX584" s="60"/>
      <c r="BY584" s="60"/>
      <c r="BZ584" s="60"/>
      <c r="CA584" s="60"/>
      <c r="CB584" s="60"/>
      <c r="CC584" s="60"/>
      <c r="CD584" s="60"/>
      <c r="CE584" s="60"/>
      <c r="CF584" s="60"/>
      <c r="CG584" s="60"/>
      <c r="CH584" s="60"/>
      <c r="CI584" s="60"/>
      <c r="CJ584" s="60"/>
      <c r="CK584" s="60"/>
      <c r="CL584" s="60"/>
      <c r="CM584" s="60"/>
      <c r="CN584" s="60"/>
      <c r="CO584" s="60"/>
      <c r="CP584" s="60"/>
      <c r="CQ584" s="60"/>
      <c r="CR584" s="60"/>
      <c r="CS584" s="60"/>
      <c r="CT584" s="60"/>
      <c r="CU584" s="60"/>
      <c r="CV584" s="60"/>
      <c r="CW584" s="60"/>
      <c r="CX584" s="60"/>
      <c r="CY584" s="60"/>
      <c r="CZ584" s="60"/>
      <c r="DA584" s="60"/>
      <c r="DB584" s="60"/>
      <c r="DC584" s="60"/>
      <c r="DD584" s="60"/>
      <c r="DE584" s="60"/>
      <c r="DF584" s="60"/>
      <c r="DG584" s="60"/>
      <c r="DH584" s="60"/>
      <c r="DI584" s="60"/>
      <c r="DJ584" s="60"/>
      <c r="DK584" s="60"/>
      <c r="DL584" s="60"/>
      <c r="DM584" s="60"/>
      <c r="DN584" s="60"/>
      <c r="DO584" s="60"/>
      <c r="DP584" s="60"/>
      <c r="DQ584" s="60"/>
      <c r="DR584" s="60"/>
      <c r="DS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60"/>
      <c r="BJ585" s="60"/>
      <c r="BK585" s="60"/>
      <c r="BL585" s="60"/>
      <c r="BM585" s="60"/>
      <c r="BN585" s="60"/>
      <c r="BO585" s="60"/>
      <c r="BP585" s="60"/>
      <c r="BQ585" s="60"/>
      <c r="BR585" s="60"/>
      <c r="BS585" s="60"/>
      <c r="BT585" s="60"/>
      <c r="BU585" s="60"/>
      <c r="BV585" s="60"/>
      <c r="BW585" s="60"/>
      <c r="BX585" s="60"/>
      <c r="BY585" s="60"/>
      <c r="BZ585" s="60"/>
      <c r="CA585" s="60"/>
      <c r="CB585" s="60"/>
      <c r="CC585" s="60"/>
      <c r="CD585" s="60"/>
      <c r="CE585" s="60"/>
      <c r="CF585" s="60"/>
      <c r="CG585" s="60"/>
      <c r="CH585" s="60"/>
      <c r="CI585" s="60"/>
      <c r="CJ585" s="60"/>
      <c r="CK585" s="60"/>
      <c r="CL585" s="60"/>
      <c r="CM585" s="60"/>
      <c r="CN585" s="60"/>
      <c r="CO585" s="60"/>
      <c r="CP585" s="60"/>
      <c r="CQ585" s="60"/>
      <c r="CR585" s="60"/>
      <c r="CS585" s="60"/>
      <c r="CT585" s="60"/>
      <c r="CU585" s="60"/>
      <c r="CV585" s="60"/>
      <c r="CW585" s="60"/>
      <c r="CX585" s="60"/>
      <c r="CY585" s="60"/>
      <c r="CZ585" s="60"/>
      <c r="DA585" s="60"/>
      <c r="DB585" s="60"/>
      <c r="DC585" s="60"/>
      <c r="DD585" s="60"/>
      <c r="DE585" s="60"/>
      <c r="DF585" s="60"/>
      <c r="DG585" s="60"/>
      <c r="DH585" s="60"/>
      <c r="DI585" s="60"/>
      <c r="DJ585" s="60"/>
      <c r="DK585" s="60"/>
      <c r="DL585" s="60"/>
      <c r="DM585" s="60"/>
      <c r="DN585" s="60"/>
      <c r="DO585" s="60"/>
      <c r="DP585" s="60"/>
      <c r="DQ585" s="60"/>
      <c r="DR585" s="60"/>
      <c r="DS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60"/>
      <c r="BJ586" s="60"/>
      <c r="BK586" s="60"/>
      <c r="BL586" s="60"/>
      <c r="BM586" s="60"/>
      <c r="BN586" s="60"/>
      <c r="BO586" s="60"/>
      <c r="BP586" s="60"/>
      <c r="BQ586" s="60"/>
      <c r="BR586" s="60"/>
      <c r="BS586" s="60"/>
      <c r="BT586" s="60"/>
      <c r="BU586" s="60"/>
      <c r="BV586" s="60"/>
      <c r="BW586" s="60"/>
      <c r="BX586" s="60"/>
      <c r="BY586" s="60"/>
      <c r="BZ586" s="60"/>
      <c r="CA586" s="60"/>
      <c r="CB586" s="60"/>
      <c r="CC586" s="60"/>
      <c r="CD586" s="60"/>
      <c r="CE586" s="60"/>
      <c r="CF586" s="60"/>
      <c r="CG586" s="60"/>
      <c r="CH586" s="60"/>
      <c r="CI586" s="60"/>
      <c r="CJ586" s="60"/>
      <c r="CK586" s="60"/>
      <c r="CL586" s="60"/>
      <c r="CM586" s="60"/>
      <c r="CN586" s="60"/>
      <c r="CO586" s="60"/>
      <c r="CP586" s="60"/>
      <c r="CQ586" s="60"/>
      <c r="CR586" s="60"/>
      <c r="CS586" s="60"/>
      <c r="CT586" s="60"/>
      <c r="CU586" s="60"/>
      <c r="CV586" s="60"/>
      <c r="CW586" s="60"/>
      <c r="CX586" s="60"/>
      <c r="CY586" s="60"/>
      <c r="CZ586" s="60"/>
      <c r="DA586" s="60"/>
      <c r="DB586" s="60"/>
      <c r="DC586" s="60"/>
      <c r="DD586" s="60"/>
      <c r="DE586" s="60"/>
      <c r="DF586" s="60"/>
      <c r="DG586" s="60"/>
      <c r="DH586" s="60"/>
      <c r="DI586" s="60"/>
      <c r="DJ586" s="60"/>
      <c r="DK586" s="60"/>
      <c r="DL586" s="60"/>
      <c r="DM586" s="60"/>
      <c r="DN586" s="60"/>
      <c r="DO586" s="60"/>
      <c r="DP586" s="60"/>
      <c r="DQ586" s="60"/>
      <c r="DR586" s="60"/>
      <c r="DS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60"/>
      <c r="BJ587" s="60"/>
      <c r="BK587" s="60"/>
      <c r="BL587" s="60"/>
      <c r="BM587" s="60"/>
      <c r="BN587" s="60"/>
      <c r="BO587" s="60"/>
      <c r="BP587" s="60"/>
      <c r="BQ587" s="60"/>
      <c r="BR587" s="60"/>
      <c r="BS587" s="60"/>
      <c r="BT587" s="60"/>
      <c r="BU587" s="60"/>
      <c r="BV587" s="60"/>
      <c r="BW587" s="60"/>
      <c r="BX587" s="60"/>
      <c r="BY587" s="60"/>
      <c r="BZ587" s="60"/>
      <c r="CA587" s="60"/>
      <c r="CB587" s="60"/>
      <c r="CC587" s="60"/>
      <c r="CD587" s="60"/>
      <c r="CE587" s="60"/>
      <c r="CF587" s="60"/>
      <c r="CG587" s="60"/>
      <c r="CH587" s="60"/>
      <c r="CI587" s="60"/>
      <c r="CJ587" s="60"/>
      <c r="CK587" s="60"/>
      <c r="CL587" s="60"/>
      <c r="CM587" s="60"/>
      <c r="CN587" s="60"/>
      <c r="CO587" s="60"/>
      <c r="CP587" s="60"/>
      <c r="CQ587" s="60"/>
      <c r="CR587" s="60"/>
      <c r="CS587" s="60"/>
      <c r="CT587" s="60"/>
      <c r="CU587" s="60"/>
      <c r="CV587" s="60"/>
      <c r="CW587" s="60"/>
      <c r="CX587" s="60"/>
      <c r="CY587" s="60"/>
      <c r="CZ587" s="60"/>
      <c r="DA587" s="60"/>
      <c r="DB587" s="60"/>
      <c r="DC587" s="60"/>
      <c r="DD587" s="60"/>
      <c r="DE587" s="60"/>
      <c r="DF587" s="60"/>
      <c r="DG587" s="60"/>
      <c r="DH587" s="60"/>
      <c r="DI587" s="60"/>
      <c r="DJ587" s="60"/>
      <c r="DK587" s="60"/>
      <c r="DL587" s="60"/>
      <c r="DM587" s="60"/>
      <c r="DN587" s="60"/>
      <c r="DO587" s="60"/>
      <c r="DP587" s="60"/>
      <c r="DQ587" s="60"/>
      <c r="DR587" s="60"/>
      <c r="DS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60"/>
      <c r="BJ588" s="60"/>
      <c r="BK588" s="60"/>
      <c r="BL588" s="60"/>
      <c r="BM588" s="60"/>
      <c r="BN588" s="60"/>
      <c r="BO588" s="60"/>
      <c r="BP588" s="60"/>
      <c r="BQ588" s="60"/>
      <c r="BR588" s="60"/>
      <c r="BS588" s="60"/>
      <c r="BT588" s="60"/>
      <c r="BU588" s="60"/>
      <c r="BV588" s="60"/>
      <c r="BW588" s="60"/>
      <c r="BX588" s="60"/>
      <c r="BY588" s="60"/>
      <c r="BZ588" s="60"/>
      <c r="CA588" s="60"/>
      <c r="CB588" s="60"/>
      <c r="CC588" s="60"/>
      <c r="CD588" s="60"/>
      <c r="CE588" s="60"/>
      <c r="CF588" s="60"/>
      <c r="CG588" s="60"/>
      <c r="CH588" s="60"/>
      <c r="CI588" s="60"/>
      <c r="CJ588" s="60"/>
      <c r="CK588" s="60"/>
      <c r="CL588" s="60"/>
      <c r="CM588" s="60"/>
      <c r="CN588" s="60"/>
      <c r="CO588" s="60"/>
      <c r="CP588" s="60"/>
      <c r="CQ588" s="60"/>
      <c r="CR588" s="60"/>
      <c r="CS588" s="60"/>
      <c r="CT588" s="60"/>
      <c r="CU588" s="60"/>
      <c r="CV588" s="60"/>
      <c r="CW588" s="60"/>
      <c r="CX588" s="60"/>
      <c r="CY588" s="60"/>
      <c r="CZ588" s="60"/>
      <c r="DA588" s="60"/>
      <c r="DB588" s="60"/>
      <c r="DC588" s="60"/>
      <c r="DD588" s="60"/>
      <c r="DE588" s="60"/>
      <c r="DF588" s="60"/>
      <c r="DG588" s="60"/>
      <c r="DH588" s="60"/>
      <c r="DI588" s="60"/>
      <c r="DJ588" s="60"/>
      <c r="DK588" s="60"/>
      <c r="DL588" s="60"/>
      <c r="DM588" s="60"/>
      <c r="DN588" s="60"/>
      <c r="DO588" s="60"/>
      <c r="DP588" s="60"/>
      <c r="DQ588" s="60"/>
      <c r="DR588" s="60"/>
      <c r="DS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60"/>
      <c r="BP589" s="60"/>
      <c r="BQ589" s="60"/>
      <c r="BR589" s="60"/>
      <c r="BS589" s="60"/>
      <c r="BT589" s="60"/>
      <c r="BU589" s="60"/>
      <c r="BV589" s="60"/>
      <c r="BW589" s="60"/>
      <c r="BX589" s="60"/>
      <c r="BY589" s="60"/>
      <c r="BZ589" s="60"/>
      <c r="CA589" s="60"/>
      <c r="CB589" s="60"/>
      <c r="CC589" s="60"/>
      <c r="CD589" s="60"/>
      <c r="CE589" s="60"/>
      <c r="CF589" s="60"/>
      <c r="CG589" s="60"/>
      <c r="CH589" s="60"/>
      <c r="CI589" s="60"/>
      <c r="CJ589" s="60"/>
      <c r="CK589" s="60"/>
      <c r="CL589" s="60"/>
      <c r="CM589" s="60"/>
      <c r="CN589" s="60"/>
      <c r="CO589" s="60"/>
      <c r="CP589" s="60"/>
      <c r="CQ589" s="60"/>
      <c r="CR589" s="60"/>
      <c r="CS589" s="60"/>
      <c r="CT589" s="60"/>
      <c r="CU589" s="60"/>
      <c r="CV589" s="60"/>
      <c r="CW589" s="60"/>
      <c r="CX589" s="60"/>
      <c r="CY589" s="60"/>
      <c r="CZ589" s="60"/>
      <c r="DA589" s="60"/>
      <c r="DB589" s="60"/>
      <c r="DC589" s="60"/>
      <c r="DD589" s="60"/>
      <c r="DE589" s="60"/>
      <c r="DF589" s="60"/>
      <c r="DG589" s="60"/>
      <c r="DH589" s="60"/>
      <c r="DI589" s="60"/>
      <c r="DJ589" s="60"/>
      <c r="DK589" s="60"/>
      <c r="DL589" s="60"/>
      <c r="DM589" s="60"/>
      <c r="DN589" s="60"/>
      <c r="DO589" s="60"/>
      <c r="DP589" s="60"/>
      <c r="DQ589" s="60"/>
      <c r="DR589" s="60"/>
      <c r="DS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60"/>
      <c r="BJ590" s="60"/>
      <c r="BK590" s="60"/>
      <c r="BL590" s="60"/>
      <c r="BM590" s="60"/>
      <c r="BN590" s="60"/>
      <c r="BO590" s="60"/>
      <c r="BP590" s="60"/>
      <c r="BQ590" s="60"/>
      <c r="BR590" s="60"/>
      <c r="BS590" s="60"/>
      <c r="BT590" s="60"/>
      <c r="BU590" s="60"/>
      <c r="BV590" s="60"/>
      <c r="BW590" s="60"/>
      <c r="BX590" s="60"/>
      <c r="BY590" s="60"/>
      <c r="BZ590" s="60"/>
      <c r="CA590" s="60"/>
      <c r="CB590" s="60"/>
      <c r="CC590" s="60"/>
      <c r="CD590" s="60"/>
      <c r="CE590" s="60"/>
      <c r="CF590" s="60"/>
      <c r="CG590" s="60"/>
      <c r="CH590" s="60"/>
      <c r="CI590" s="60"/>
      <c r="CJ590" s="60"/>
      <c r="CK590" s="60"/>
      <c r="CL590" s="60"/>
      <c r="CM590" s="60"/>
      <c r="CN590" s="60"/>
      <c r="CO590" s="60"/>
      <c r="CP590" s="60"/>
      <c r="CQ590" s="60"/>
      <c r="CR590" s="60"/>
      <c r="CS590" s="60"/>
      <c r="CT590" s="60"/>
      <c r="CU590" s="60"/>
      <c r="CV590" s="60"/>
      <c r="CW590" s="60"/>
      <c r="CX590" s="60"/>
      <c r="CY590" s="60"/>
      <c r="CZ590" s="60"/>
      <c r="DA590" s="60"/>
      <c r="DB590" s="60"/>
      <c r="DC590" s="60"/>
      <c r="DD590" s="60"/>
      <c r="DE590" s="60"/>
      <c r="DF590" s="60"/>
      <c r="DG590" s="60"/>
      <c r="DH590" s="60"/>
      <c r="DI590" s="60"/>
      <c r="DJ590" s="60"/>
      <c r="DK590" s="60"/>
      <c r="DL590" s="60"/>
      <c r="DM590" s="60"/>
      <c r="DN590" s="60"/>
      <c r="DO590" s="60"/>
      <c r="DP590" s="60"/>
      <c r="DQ590" s="60"/>
      <c r="DR590" s="60"/>
      <c r="DS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60"/>
      <c r="BJ591" s="60"/>
      <c r="BK591" s="60"/>
      <c r="BL591" s="60"/>
      <c r="BM591" s="60"/>
      <c r="BN591" s="60"/>
      <c r="BO591" s="60"/>
      <c r="BP591" s="60"/>
      <c r="BQ591" s="60"/>
      <c r="BR591" s="60"/>
      <c r="BS591" s="60"/>
      <c r="BT591" s="60"/>
      <c r="BU591" s="60"/>
      <c r="BV591" s="60"/>
      <c r="BW591" s="60"/>
      <c r="BX591" s="60"/>
      <c r="BY591" s="60"/>
      <c r="BZ591" s="60"/>
      <c r="CA591" s="60"/>
      <c r="CB591" s="60"/>
      <c r="CC591" s="60"/>
      <c r="CD591" s="60"/>
      <c r="CE591" s="60"/>
      <c r="CF591" s="60"/>
      <c r="CG591" s="60"/>
      <c r="CH591" s="60"/>
      <c r="CI591" s="60"/>
      <c r="CJ591" s="60"/>
      <c r="CK591" s="60"/>
      <c r="CL591" s="60"/>
      <c r="CM591" s="60"/>
      <c r="CN591" s="60"/>
      <c r="CO591" s="60"/>
      <c r="CP591" s="60"/>
      <c r="CQ591" s="60"/>
      <c r="CR591" s="60"/>
      <c r="CS591" s="60"/>
      <c r="CT591" s="60"/>
      <c r="CU591" s="60"/>
      <c r="CV591" s="60"/>
      <c r="CW591" s="60"/>
      <c r="CX591" s="60"/>
      <c r="CY591" s="60"/>
      <c r="CZ591" s="60"/>
      <c r="DA591" s="60"/>
      <c r="DB591" s="60"/>
      <c r="DC591" s="60"/>
      <c r="DD591" s="60"/>
      <c r="DE591" s="60"/>
      <c r="DF591" s="60"/>
      <c r="DG591" s="60"/>
      <c r="DH591" s="60"/>
      <c r="DI591" s="60"/>
      <c r="DJ591" s="60"/>
      <c r="DK591" s="60"/>
      <c r="DL591" s="60"/>
      <c r="DM591" s="60"/>
      <c r="DN591" s="60"/>
      <c r="DO591" s="60"/>
      <c r="DP591" s="60"/>
      <c r="DQ591" s="60"/>
      <c r="DR591" s="60"/>
      <c r="DS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/>
      <c r="BJ592" s="60"/>
      <c r="BK592" s="60"/>
      <c r="BL592" s="60"/>
      <c r="BM592" s="60"/>
      <c r="BN592" s="60"/>
      <c r="BO592" s="60"/>
      <c r="BP592" s="60"/>
      <c r="BQ592" s="60"/>
      <c r="BR592" s="60"/>
      <c r="BS592" s="60"/>
      <c r="BT592" s="60"/>
      <c r="BU592" s="60"/>
      <c r="BV592" s="60"/>
      <c r="BW592" s="60"/>
      <c r="BX592" s="60"/>
      <c r="BY592" s="60"/>
      <c r="BZ592" s="60"/>
      <c r="CA592" s="60"/>
      <c r="CB592" s="60"/>
      <c r="CC592" s="60"/>
      <c r="CD592" s="60"/>
      <c r="CE592" s="60"/>
      <c r="CF592" s="60"/>
      <c r="CG592" s="60"/>
      <c r="CH592" s="60"/>
      <c r="CI592" s="60"/>
      <c r="CJ592" s="60"/>
      <c r="CK592" s="60"/>
      <c r="CL592" s="60"/>
      <c r="CM592" s="60"/>
      <c r="CN592" s="60"/>
      <c r="CO592" s="60"/>
      <c r="CP592" s="60"/>
      <c r="CQ592" s="60"/>
      <c r="CR592" s="60"/>
      <c r="CS592" s="60"/>
      <c r="CT592" s="60"/>
      <c r="CU592" s="60"/>
      <c r="CV592" s="60"/>
      <c r="CW592" s="60"/>
      <c r="CX592" s="60"/>
      <c r="CY592" s="60"/>
      <c r="CZ592" s="60"/>
      <c r="DA592" s="60"/>
      <c r="DB592" s="60"/>
      <c r="DC592" s="60"/>
      <c r="DD592" s="60"/>
      <c r="DE592" s="60"/>
      <c r="DF592" s="60"/>
      <c r="DG592" s="60"/>
      <c r="DH592" s="60"/>
      <c r="DI592" s="60"/>
      <c r="DJ592" s="60"/>
      <c r="DK592" s="60"/>
      <c r="DL592" s="60"/>
      <c r="DM592" s="60"/>
      <c r="DN592" s="60"/>
      <c r="DO592" s="60"/>
      <c r="DP592" s="60"/>
      <c r="DQ592" s="60"/>
      <c r="DR592" s="60"/>
      <c r="DS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60"/>
      <c r="BJ593" s="60"/>
      <c r="BK593" s="60"/>
      <c r="BL593" s="60"/>
      <c r="BM593" s="60"/>
      <c r="BN593" s="60"/>
      <c r="BO593" s="60"/>
      <c r="BP593" s="60"/>
      <c r="BQ593" s="60"/>
      <c r="BR593" s="60"/>
      <c r="BS593" s="60"/>
      <c r="BT593" s="60"/>
      <c r="BU593" s="60"/>
      <c r="BV593" s="60"/>
      <c r="BW593" s="60"/>
      <c r="BX593" s="60"/>
      <c r="BY593" s="60"/>
      <c r="BZ593" s="60"/>
      <c r="CA593" s="60"/>
      <c r="CB593" s="60"/>
      <c r="CC593" s="60"/>
      <c r="CD593" s="60"/>
      <c r="CE593" s="60"/>
      <c r="CF593" s="60"/>
      <c r="CG593" s="60"/>
      <c r="CH593" s="60"/>
      <c r="CI593" s="60"/>
      <c r="CJ593" s="60"/>
      <c r="CK593" s="60"/>
      <c r="CL593" s="60"/>
      <c r="CM593" s="60"/>
      <c r="CN593" s="60"/>
      <c r="CO593" s="60"/>
      <c r="CP593" s="60"/>
      <c r="CQ593" s="60"/>
      <c r="CR593" s="60"/>
      <c r="CS593" s="60"/>
      <c r="CT593" s="60"/>
      <c r="CU593" s="60"/>
      <c r="CV593" s="60"/>
      <c r="CW593" s="60"/>
      <c r="CX593" s="60"/>
      <c r="CY593" s="60"/>
      <c r="CZ593" s="60"/>
      <c r="DA593" s="60"/>
      <c r="DB593" s="60"/>
      <c r="DC593" s="60"/>
      <c r="DD593" s="60"/>
      <c r="DE593" s="60"/>
      <c r="DF593" s="60"/>
      <c r="DG593" s="60"/>
      <c r="DH593" s="60"/>
      <c r="DI593" s="60"/>
      <c r="DJ593" s="60"/>
      <c r="DK593" s="60"/>
      <c r="DL593" s="60"/>
      <c r="DM593" s="60"/>
      <c r="DN593" s="60"/>
      <c r="DO593" s="60"/>
      <c r="DP593" s="60"/>
      <c r="DQ593" s="60"/>
      <c r="DR593" s="60"/>
      <c r="DS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60"/>
      <c r="BJ594" s="60"/>
      <c r="BK594" s="60"/>
      <c r="BL594" s="60"/>
      <c r="BM594" s="60"/>
      <c r="BN594" s="60"/>
      <c r="BO594" s="60"/>
      <c r="BP594" s="60"/>
      <c r="BQ594" s="60"/>
      <c r="BR594" s="60"/>
      <c r="BS594" s="60"/>
      <c r="BT594" s="60"/>
      <c r="BU594" s="60"/>
      <c r="BV594" s="60"/>
      <c r="BW594" s="60"/>
      <c r="BX594" s="60"/>
      <c r="BY594" s="60"/>
      <c r="BZ594" s="60"/>
      <c r="CA594" s="60"/>
      <c r="CB594" s="60"/>
      <c r="CC594" s="60"/>
      <c r="CD594" s="60"/>
      <c r="CE594" s="60"/>
      <c r="CF594" s="60"/>
      <c r="CG594" s="60"/>
      <c r="CH594" s="60"/>
      <c r="CI594" s="60"/>
      <c r="CJ594" s="60"/>
      <c r="CK594" s="60"/>
      <c r="CL594" s="60"/>
      <c r="CM594" s="60"/>
      <c r="CN594" s="60"/>
      <c r="CO594" s="60"/>
      <c r="CP594" s="60"/>
      <c r="CQ594" s="60"/>
      <c r="CR594" s="60"/>
      <c r="CS594" s="60"/>
      <c r="CT594" s="60"/>
      <c r="CU594" s="60"/>
      <c r="CV594" s="60"/>
      <c r="CW594" s="60"/>
      <c r="CX594" s="60"/>
      <c r="CY594" s="60"/>
      <c r="CZ594" s="60"/>
      <c r="DA594" s="60"/>
      <c r="DB594" s="60"/>
      <c r="DC594" s="60"/>
      <c r="DD594" s="60"/>
      <c r="DE594" s="60"/>
      <c r="DF594" s="60"/>
      <c r="DG594" s="60"/>
      <c r="DH594" s="60"/>
      <c r="DI594" s="60"/>
      <c r="DJ594" s="60"/>
      <c r="DK594" s="60"/>
      <c r="DL594" s="60"/>
      <c r="DM594" s="60"/>
      <c r="DN594" s="60"/>
      <c r="DO594" s="60"/>
      <c r="DP594" s="60"/>
      <c r="DQ594" s="60"/>
      <c r="DR594" s="60"/>
      <c r="DS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/>
      <c r="BJ595" s="60"/>
      <c r="BK595" s="60"/>
      <c r="BL595" s="60"/>
      <c r="BM595" s="60"/>
      <c r="BN595" s="60"/>
      <c r="BO595" s="60"/>
      <c r="BP595" s="60"/>
      <c r="BQ595" s="60"/>
      <c r="BR595" s="60"/>
      <c r="BS595" s="60"/>
      <c r="BT595" s="60"/>
      <c r="BU595" s="60"/>
      <c r="BV595" s="60"/>
      <c r="BW595" s="60"/>
      <c r="BX595" s="60"/>
      <c r="BY595" s="60"/>
      <c r="BZ595" s="60"/>
      <c r="CA595" s="60"/>
      <c r="CB595" s="60"/>
      <c r="CC595" s="60"/>
      <c r="CD595" s="60"/>
      <c r="CE595" s="60"/>
      <c r="CF595" s="60"/>
      <c r="CG595" s="60"/>
      <c r="CH595" s="60"/>
      <c r="CI595" s="60"/>
      <c r="CJ595" s="60"/>
      <c r="CK595" s="60"/>
      <c r="CL595" s="60"/>
      <c r="CM595" s="60"/>
      <c r="CN595" s="60"/>
      <c r="CO595" s="60"/>
      <c r="CP595" s="60"/>
      <c r="CQ595" s="60"/>
      <c r="CR595" s="60"/>
      <c r="CS595" s="60"/>
      <c r="CT595" s="60"/>
      <c r="CU595" s="60"/>
      <c r="CV595" s="60"/>
      <c r="CW595" s="60"/>
      <c r="CX595" s="60"/>
      <c r="CY595" s="60"/>
      <c r="CZ595" s="60"/>
      <c r="DA595" s="60"/>
      <c r="DB595" s="60"/>
      <c r="DC595" s="60"/>
      <c r="DD595" s="60"/>
      <c r="DE595" s="60"/>
      <c r="DF595" s="60"/>
      <c r="DG595" s="60"/>
      <c r="DH595" s="60"/>
      <c r="DI595" s="60"/>
      <c r="DJ595" s="60"/>
      <c r="DK595" s="60"/>
      <c r="DL595" s="60"/>
      <c r="DM595" s="60"/>
      <c r="DN595" s="60"/>
      <c r="DO595" s="60"/>
      <c r="DP595" s="60"/>
      <c r="DQ595" s="60"/>
      <c r="DR595" s="60"/>
      <c r="DS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60"/>
      <c r="BJ596" s="60"/>
      <c r="BK596" s="60"/>
      <c r="BL596" s="60"/>
      <c r="BM596" s="60"/>
      <c r="BN596" s="60"/>
      <c r="BO596" s="60"/>
      <c r="BP596" s="60"/>
      <c r="BQ596" s="60"/>
      <c r="BR596" s="60"/>
      <c r="BS596" s="60"/>
      <c r="BT596" s="60"/>
      <c r="BU596" s="60"/>
      <c r="BV596" s="60"/>
      <c r="BW596" s="60"/>
      <c r="BX596" s="60"/>
      <c r="BY596" s="60"/>
      <c r="BZ596" s="60"/>
      <c r="CA596" s="60"/>
      <c r="CB596" s="60"/>
      <c r="CC596" s="60"/>
      <c r="CD596" s="60"/>
      <c r="CE596" s="60"/>
      <c r="CF596" s="60"/>
      <c r="CG596" s="60"/>
      <c r="CH596" s="60"/>
      <c r="CI596" s="60"/>
      <c r="CJ596" s="60"/>
      <c r="CK596" s="60"/>
      <c r="CL596" s="60"/>
      <c r="CM596" s="60"/>
      <c r="CN596" s="60"/>
      <c r="CO596" s="60"/>
      <c r="CP596" s="60"/>
      <c r="CQ596" s="60"/>
      <c r="CR596" s="60"/>
      <c r="CS596" s="60"/>
      <c r="CT596" s="60"/>
      <c r="CU596" s="60"/>
      <c r="CV596" s="60"/>
      <c r="CW596" s="60"/>
      <c r="CX596" s="60"/>
      <c r="CY596" s="60"/>
      <c r="CZ596" s="60"/>
      <c r="DA596" s="60"/>
      <c r="DB596" s="60"/>
      <c r="DC596" s="60"/>
      <c r="DD596" s="60"/>
      <c r="DE596" s="60"/>
      <c r="DF596" s="60"/>
      <c r="DG596" s="60"/>
      <c r="DH596" s="60"/>
      <c r="DI596" s="60"/>
      <c r="DJ596" s="60"/>
      <c r="DK596" s="60"/>
      <c r="DL596" s="60"/>
      <c r="DM596" s="60"/>
      <c r="DN596" s="60"/>
      <c r="DO596" s="60"/>
      <c r="DP596" s="60"/>
      <c r="DQ596" s="60"/>
      <c r="DR596" s="60"/>
      <c r="DS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60"/>
      <c r="BJ597" s="60"/>
      <c r="BK597" s="60"/>
      <c r="BL597" s="60"/>
      <c r="BM597" s="60"/>
      <c r="BN597" s="60"/>
      <c r="BO597" s="60"/>
      <c r="BP597" s="60"/>
      <c r="BQ597" s="60"/>
      <c r="BR597" s="60"/>
      <c r="BS597" s="60"/>
      <c r="BT597" s="60"/>
      <c r="BU597" s="60"/>
      <c r="BV597" s="60"/>
      <c r="BW597" s="60"/>
      <c r="BX597" s="60"/>
      <c r="BY597" s="60"/>
      <c r="BZ597" s="60"/>
      <c r="CA597" s="60"/>
      <c r="CB597" s="60"/>
      <c r="CC597" s="60"/>
      <c r="CD597" s="60"/>
      <c r="CE597" s="60"/>
      <c r="CF597" s="60"/>
      <c r="CG597" s="60"/>
      <c r="CH597" s="60"/>
      <c r="CI597" s="60"/>
      <c r="CJ597" s="60"/>
      <c r="CK597" s="60"/>
      <c r="CL597" s="60"/>
      <c r="CM597" s="60"/>
      <c r="CN597" s="60"/>
      <c r="CO597" s="60"/>
      <c r="CP597" s="60"/>
      <c r="CQ597" s="60"/>
      <c r="CR597" s="60"/>
      <c r="CS597" s="60"/>
      <c r="CT597" s="60"/>
      <c r="CU597" s="60"/>
      <c r="CV597" s="60"/>
      <c r="CW597" s="60"/>
      <c r="CX597" s="60"/>
      <c r="CY597" s="60"/>
      <c r="CZ597" s="60"/>
      <c r="DA597" s="60"/>
      <c r="DB597" s="60"/>
      <c r="DC597" s="60"/>
      <c r="DD597" s="60"/>
      <c r="DE597" s="60"/>
      <c r="DF597" s="60"/>
      <c r="DG597" s="60"/>
      <c r="DH597" s="60"/>
      <c r="DI597" s="60"/>
      <c r="DJ597" s="60"/>
      <c r="DK597" s="60"/>
      <c r="DL597" s="60"/>
      <c r="DM597" s="60"/>
      <c r="DN597" s="60"/>
      <c r="DO597" s="60"/>
      <c r="DP597" s="60"/>
      <c r="DQ597" s="60"/>
      <c r="DR597" s="60"/>
      <c r="DS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/>
      <c r="BJ598" s="60"/>
      <c r="BK598" s="60"/>
      <c r="BL598" s="60"/>
      <c r="BM598" s="60"/>
      <c r="BN598" s="60"/>
      <c r="BO598" s="60"/>
      <c r="BP598" s="60"/>
      <c r="BQ598" s="60"/>
      <c r="BR598" s="60"/>
      <c r="BS598" s="60"/>
      <c r="BT598" s="60"/>
      <c r="BU598" s="60"/>
      <c r="BV598" s="60"/>
      <c r="BW598" s="60"/>
      <c r="BX598" s="60"/>
      <c r="BY598" s="60"/>
      <c r="BZ598" s="60"/>
      <c r="CA598" s="60"/>
      <c r="CB598" s="60"/>
      <c r="CC598" s="60"/>
      <c r="CD598" s="60"/>
      <c r="CE598" s="60"/>
      <c r="CF598" s="60"/>
      <c r="CG598" s="60"/>
      <c r="CH598" s="60"/>
      <c r="CI598" s="60"/>
      <c r="CJ598" s="60"/>
      <c r="CK598" s="60"/>
      <c r="CL598" s="60"/>
      <c r="CM598" s="60"/>
      <c r="CN598" s="60"/>
      <c r="CO598" s="60"/>
      <c r="CP598" s="60"/>
      <c r="CQ598" s="60"/>
      <c r="CR598" s="60"/>
      <c r="CS598" s="60"/>
      <c r="CT598" s="60"/>
      <c r="CU598" s="60"/>
      <c r="CV598" s="60"/>
      <c r="CW598" s="60"/>
      <c r="CX598" s="60"/>
      <c r="CY598" s="60"/>
      <c r="CZ598" s="60"/>
      <c r="DA598" s="60"/>
      <c r="DB598" s="60"/>
      <c r="DC598" s="60"/>
      <c r="DD598" s="60"/>
      <c r="DE598" s="60"/>
      <c r="DF598" s="60"/>
      <c r="DG598" s="60"/>
      <c r="DH598" s="60"/>
      <c r="DI598" s="60"/>
      <c r="DJ598" s="60"/>
      <c r="DK598" s="60"/>
      <c r="DL598" s="60"/>
      <c r="DM598" s="60"/>
      <c r="DN598" s="60"/>
      <c r="DO598" s="60"/>
      <c r="DP598" s="60"/>
      <c r="DQ598" s="60"/>
      <c r="DR598" s="60"/>
      <c r="DS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60"/>
      <c r="BJ599" s="60"/>
      <c r="BK599" s="60"/>
      <c r="BL599" s="60"/>
      <c r="BM599" s="60"/>
      <c r="BN599" s="60"/>
      <c r="BO599" s="60"/>
      <c r="BP599" s="60"/>
      <c r="BQ599" s="60"/>
      <c r="BR599" s="60"/>
      <c r="BS599" s="60"/>
      <c r="BT599" s="60"/>
      <c r="BU599" s="60"/>
      <c r="BV599" s="60"/>
      <c r="BW599" s="60"/>
      <c r="BX599" s="60"/>
      <c r="BY599" s="60"/>
      <c r="BZ599" s="60"/>
      <c r="CA599" s="60"/>
      <c r="CB599" s="60"/>
      <c r="CC599" s="60"/>
      <c r="CD599" s="60"/>
      <c r="CE599" s="60"/>
      <c r="CF599" s="60"/>
      <c r="CG599" s="60"/>
      <c r="CH599" s="60"/>
      <c r="CI599" s="60"/>
      <c r="CJ599" s="60"/>
      <c r="CK599" s="60"/>
      <c r="CL599" s="60"/>
      <c r="CM599" s="60"/>
      <c r="CN599" s="60"/>
      <c r="CO599" s="60"/>
      <c r="CP599" s="60"/>
      <c r="CQ599" s="60"/>
      <c r="CR599" s="60"/>
      <c r="CS599" s="60"/>
      <c r="CT599" s="60"/>
      <c r="CU599" s="60"/>
      <c r="CV599" s="60"/>
      <c r="CW599" s="60"/>
      <c r="CX599" s="60"/>
      <c r="CY599" s="60"/>
      <c r="CZ599" s="60"/>
      <c r="DA599" s="60"/>
      <c r="DB599" s="60"/>
      <c r="DC599" s="60"/>
      <c r="DD599" s="60"/>
      <c r="DE599" s="60"/>
      <c r="DF599" s="60"/>
      <c r="DG599" s="60"/>
      <c r="DH599" s="60"/>
      <c r="DI599" s="60"/>
      <c r="DJ599" s="60"/>
      <c r="DK599" s="60"/>
      <c r="DL599" s="60"/>
      <c r="DM599" s="60"/>
      <c r="DN599" s="60"/>
      <c r="DO599" s="60"/>
      <c r="DP599" s="60"/>
      <c r="DQ599" s="60"/>
      <c r="DR599" s="60"/>
      <c r="DS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60"/>
      <c r="BJ600" s="60"/>
      <c r="BK600" s="60"/>
      <c r="BL600" s="60"/>
      <c r="BM600" s="60"/>
      <c r="BN600" s="60"/>
      <c r="BO600" s="60"/>
      <c r="BP600" s="60"/>
      <c r="BQ600" s="60"/>
      <c r="BR600" s="60"/>
      <c r="BS600" s="60"/>
      <c r="BT600" s="60"/>
      <c r="BU600" s="60"/>
      <c r="BV600" s="60"/>
      <c r="BW600" s="60"/>
      <c r="BX600" s="60"/>
      <c r="BY600" s="60"/>
      <c r="BZ600" s="60"/>
      <c r="CA600" s="60"/>
      <c r="CB600" s="60"/>
      <c r="CC600" s="60"/>
      <c r="CD600" s="60"/>
      <c r="CE600" s="60"/>
      <c r="CF600" s="60"/>
      <c r="CG600" s="60"/>
      <c r="CH600" s="60"/>
      <c r="CI600" s="60"/>
      <c r="CJ600" s="60"/>
      <c r="CK600" s="60"/>
      <c r="CL600" s="60"/>
      <c r="CM600" s="60"/>
      <c r="CN600" s="60"/>
      <c r="CO600" s="60"/>
      <c r="CP600" s="60"/>
      <c r="CQ600" s="60"/>
      <c r="CR600" s="60"/>
      <c r="CS600" s="60"/>
      <c r="CT600" s="60"/>
      <c r="CU600" s="60"/>
      <c r="CV600" s="60"/>
      <c r="CW600" s="60"/>
      <c r="CX600" s="60"/>
      <c r="CY600" s="60"/>
      <c r="CZ600" s="60"/>
      <c r="DA600" s="60"/>
      <c r="DB600" s="60"/>
      <c r="DC600" s="60"/>
      <c r="DD600" s="60"/>
      <c r="DE600" s="60"/>
      <c r="DF600" s="60"/>
      <c r="DG600" s="60"/>
      <c r="DH600" s="60"/>
      <c r="DI600" s="60"/>
      <c r="DJ600" s="60"/>
      <c r="DK600" s="60"/>
      <c r="DL600" s="60"/>
      <c r="DM600" s="60"/>
      <c r="DN600" s="60"/>
      <c r="DO600" s="60"/>
      <c r="DP600" s="60"/>
      <c r="DQ600" s="60"/>
      <c r="DR600" s="60"/>
      <c r="DS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/>
      <c r="BJ601" s="60"/>
      <c r="BK601" s="60"/>
      <c r="BL601" s="60"/>
      <c r="BM601" s="60"/>
      <c r="BN601" s="60"/>
      <c r="BO601" s="60"/>
      <c r="BP601" s="60"/>
      <c r="BQ601" s="60"/>
      <c r="BR601" s="60"/>
      <c r="BS601" s="60"/>
      <c r="BT601" s="60"/>
      <c r="BU601" s="60"/>
      <c r="BV601" s="60"/>
      <c r="BW601" s="60"/>
      <c r="BX601" s="60"/>
      <c r="BY601" s="60"/>
      <c r="BZ601" s="60"/>
      <c r="CA601" s="60"/>
      <c r="CB601" s="60"/>
      <c r="CC601" s="60"/>
      <c r="CD601" s="60"/>
      <c r="CE601" s="60"/>
      <c r="CF601" s="60"/>
      <c r="CG601" s="60"/>
      <c r="CH601" s="60"/>
      <c r="CI601" s="60"/>
      <c r="CJ601" s="60"/>
      <c r="CK601" s="60"/>
      <c r="CL601" s="60"/>
      <c r="CM601" s="60"/>
      <c r="CN601" s="60"/>
      <c r="CO601" s="60"/>
      <c r="CP601" s="60"/>
      <c r="CQ601" s="60"/>
      <c r="CR601" s="60"/>
      <c r="CS601" s="60"/>
      <c r="CT601" s="60"/>
      <c r="CU601" s="60"/>
      <c r="CV601" s="60"/>
      <c r="CW601" s="60"/>
      <c r="CX601" s="60"/>
      <c r="CY601" s="60"/>
      <c r="CZ601" s="60"/>
      <c r="DA601" s="60"/>
      <c r="DB601" s="60"/>
      <c r="DC601" s="60"/>
      <c r="DD601" s="60"/>
      <c r="DE601" s="60"/>
      <c r="DF601" s="60"/>
      <c r="DG601" s="60"/>
      <c r="DH601" s="60"/>
      <c r="DI601" s="60"/>
      <c r="DJ601" s="60"/>
      <c r="DK601" s="60"/>
      <c r="DL601" s="60"/>
      <c r="DM601" s="60"/>
      <c r="DN601" s="60"/>
      <c r="DO601" s="60"/>
      <c r="DP601" s="60"/>
      <c r="DQ601" s="60"/>
      <c r="DR601" s="60"/>
      <c r="DS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60"/>
      <c r="BJ602" s="60"/>
      <c r="BK602" s="60"/>
      <c r="BL602" s="60"/>
      <c r="BM602" s="60"/>
      <c r="BN602" s="60"/>
      <c r="BO602" s="60"/>
      <c r="BP602" s="60"/>
      <c r="BQ602" s="60"/>
      <c r="BR602" s="60"/>
      <c r="BS602" s="60"/>
      <c r="BT602" s="60"/>
      <c r="BU602" s="60"/>
      <c r="BV602" s="60"/>
      <c r="BW602" s="60"/>
      <c r="BX602" s="60"/>
      <c r="BY602" s="60"/>
      <c r="BZ602" s="60"/>
      <c r="CA602" s="60"/>
      <c r="CB602" s="60"/>
      <c r="CC602" s="60"/>
      <c r="CD602" s="60"/>
      <c r="CE602" s="60"/>
      <c r="CF602" s="60"/>
      <c r="CG602" s="60"/>
      <c r="CH602" s="60"/>
      <c r="CI602" s="60"/>
      <c r="CJ602" s="60"/>
      <c r="CK602" s="60"/>
      <c r="CL602" s="60"/>
      <c r="CM602" s="60"/>
      <c r="CN602" s="60"/>
      <c r="CO602" s="60"/>
      <c r="CP602" s="60"/>
      <c r="CQ602" s="60"/>
      <c r="CR602" s="60"/>
      <c r="CS602" s="60"/>
      <c r="CT602" s="60"/>
      <c r="CU602" s="60"/>
      <c r="CV602" s="60"/>
      <c r="CW602" s="60"/>
      <c r="CX602" s="60"/>
      <c r="CY602" s="60"/>
      <c r="CZ602" s="60"/>
      <c r="DA602" s="60"/>
      <c r="DB602" s="60"/>
      <c r="DC602" s="60"/>
      <c r="DD602" s="60"/>
      <c r="DE602" s="60"/>
      <c r="DF602" s="60"/>
      <c r="DG602" s="60"/>
      <c r="DH602" s="60"/>
      <c r="DI602" s="60"/>
      <c r="DJ602" s="60"/>
      <c r="DK602" s="60"/>
      <c r="DL602" s="60"/>
      <c r="DM602" s="60"/>
      <c r="DN602" s="60"/>
      <c r="DO602" s="60"/>
      <c r="DP602" s="60"/>
      <c r="DQ602" s="60"/>
      <c r="DR602" s="60"/>
      <c r="DS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60"/>
      <c r="BJ603" s="60"/>
      <c r="BK603" s="60"/>
      <c r="BL603" s="60"/>
      <c r="BM603" s="60"/>
      <c r="BN603" s="60"/>
      <c r="BO603" s="60"/>
      <c r="BP603" s="60"/>
      <c r="BQ603" s="60"/>
      <c r="BR603" s="60"/>
      <c r="BS603" s="60"/>
      <c r="BT603" s="60"/>
      <c r="BU603" s="60"/>
      <c r="BV603" s="60"/>
      <c r="BW603" s="60"/>
      <c r="BX603" s="60"/>
      <c r="BY603" s="60"/>
      <c r="BZ603" s="60"/>
      <c r="CA603" s="60"/>
      <c r="CB603" s="60"/>
      <c r="CC603" s="60"/>
      <c r="CD603" s="60"/>
      <c r="CE603" s="60"/>
      <c r="CF603" s="60"/>
      <c r="CG603" s="60"/>
      <c r="CH603" s="60"/>
      <c r="CI603" s="60"/>
      <c r="CJ603" s="60"/>
      <c r="CK603" s="60"/>
      <c r="CL603" s="60"/>
      <c r="CM603" s="60"/>
      <c r="CN603" s="60"/>
      <c r="CO603" s="60"/>
      <c r="CP603" s="60"/>
      <c r="CQ603" s="60"/>
      <c r="CR603" s="60"/>
      <c r="CS603" s="60"/>
      <c r="CT603" s="60"/>
      <c r="CU603" s="60"/>
      <c r="CV603" s="60"/>
      <c r="CW603" s="60"/>
      <c r="CX603" s="60"/>
      <c r="CY603" s="60"/>
      <c r="CZ603" s="60"/>
      <c r="DA603" s="60"/>
      <c r="DB603" s="60"/>
      <c r="DC603" s="60"/>
      <c r="DD603" s="60"/>
      <c r="DE603" s="60"/>
      <c r="DF603" s="60"/>
      <c r="DG603" s="60"/>
      <c r="DH603" s="60"/>
      <c r="DI603" s="60"/>
      <c r="DJ603" s="60"/>
      <c r="DK603" s="60"/>
      <c r="DL603" s="60"/>
      <c r="DM603" s="60"/>
      <c r="DN603" s="60"/>
      <c r="DO603" s="60"/>
      <c r="DP603" s="60"/>
      <c r="DQ603" s="60"/>
      <c r="DR603" s="60"/>
      <c r="DS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60"/>
      <c r="BJ604" s="60"/>
      <c r="BK604" s="60"/>
      <c r="BL604" s="60"/>
      <c r="BM604" s="60"/>
      <c r="BN604" s="60"/>
      <c r="BO604" s="60"/>
      <c r="BP604" s="60"/>
      <c r="BQ604" s="60"/>
      <c r="BR604" s="60"/>
      <c r="BS604" s="60"/>
      <c r="BT604" s="60"/>
      <c r="BU604" s="60"/>
      <c r="BV604" s="60"/>
      <c r="BW604" s="60"/>
      <c r="BX604" s="60"/>
      <c r="BY604" s="60"/>
      <c r="BZ604" s="60"/>
      <c r="CA604" s="60"/>
      <c r="CB604" s="60"/>
      <c r="CC604" s="60"/>
      <c r="CD604" s="60"/>
      <c r="CE604" s="60"/>
      <c r="CF604" s="60"/>
      <c r="CG604" s="60"/>
      <c r="CH604" s="60"/>
      <c r="CI604" s="60"/>
      <c r="CJ604" s="60"/>
      <c r="CK604" s="60"/>
      <c r="CL604" s="60"/>
      <c r="CM604" s="60"/>
      <c r="CN604" s="60"/>
      <c r="CO604" s="60"/>
      <c r="CP604" s="60"/>
      <c r="CQ604" s="60"/>
      <c r="CR604" s="60"/>
      <c r="CS604" s="60"/>
      <c r="CT604" s="60"/>
      <c r="CU604" s="60"/>
      <c r="CV604" s="60"/>
      <c r="CW604" s="60"/>
      <c r="CX604" s="60"/>
      <c r="CY604" s="60"/>
      <c r="CZ604" s="60"/>
      <c r="DA604" s="60"/>
      <c r="DB604" s="60"/>
      <c r="DC604" s="60"/>
      <c r="DD604" s="60"/>
      <c r="DE604" s="60"/>
      <c r="DF604" s="60"/>
      <c r="DG604" s="60"/>
      <c r="DH604" s="60"/>
      <c r="DI604" s="60"/>
      <c r="DJ604" s="60"/>
      <c r="DK604" s="60"/>
      <c r="DL604" s="60"/>
      <c r="DM604" s="60"/>
      <c r="DN604" s="60"/>
      <c r="DO604" s="60"/>
      <c r="DP604" s="60"/>
      <c r="DQ604" s="60"/>
      <c r="DR604" s="60"/>
      <c r="DS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60"/>
      <c r="BJ605" s="60"/>
      <c r="BK605" s="60"/>
      <c r="BL605" s="60"/>
      <c r="BM605" s="60"/>
      <c r="BN605" s="60"/>
      <c r="BO605" s="60"/>
      <c r="BP605" s="60"/>
      <c r="BQ605" s="60"/>
      <c r="BR605" s="60"/>
      <c r="BS605" s="60"/>
      <c r="BT605" s="60"/>
      <c r="BU605" s="60"/>
      <c r="BV605" s="60"/>
      <c r="BW605" s="60"/>
      <c r="BX605" s="60"/>
      <c r="BY605" s="60"/>
      <c r="BZ605" s="60"/>
      <c r="CA605" s="60"/>
      <c r="CB605" s="60"/>
      <c r="CC605" s="60"/>
      <c r="CD605" s="60"/>
      <c r="CE605" s="60"/>
      <c r="CF605" s="60"/>
      <c r="CG605" s="60"/>
      <c r="CH605" s="60"/>
      <c r="CI605" s="60"/>
      <c r="CJ605" s="60"/>
      <c r="CK605" s="60"/>
      <c r="CL605" s="60"/>
      <c r="CM605" s="60"/>
      <c r="CN605" s="60"/>
      <c r="CO605" s="60"/>
      <c r="CP605" s="60"/>
      <c r="CQ605" s="60"/>
      <c r="CR605" s="60"/>
      <c r="CS605" s="60"/>
      <c r="CT605" s="60"/>
      <c r="CU605" s="60"/>
      <c r="CV605" s="60"/>
      <c r="CW605" s="60"/>
      <c r="CX605" s="60"/>
      <c r="CY605" s="60"/>
      <c r="CZ605" s="60"/>
      <c r="DA605" s="60"/>
      <c r="DB605" s="60"/>
      <c r="DC605" s="60"/>
      <c r="DD605" s="60"/>
      <c r="DE605" s="60"/>
      <c r="DF605" s="60"/>
      <c r="DG605" s="60"/>
      <c r="DH605" s="60"/>
      <c r="DI605" s="60"/>
      <c r="DJ605" s="60"/>
      <c r="DK605" s="60"/>
      <c r="DL605" s="60"/>
      <c r="DM605" s="60"/>
      <c r="DN605" s="60"/>
      <c r="DO605" s="60"/>
      <c r="DP605" s="60"/>
      <c r="DQ605" s="60"/>
      <c r="DR605" s="60"/>
      <c r="DS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60"/>
      <c r="BJ606" s="60"/>
      <c r="BK606" s="60"/>
      <c r="BL606" s="60"/>
      <c r="BM606" s="60"/>
      <c r="BN606" s="60"/>
      <c r="BO606" s="60"/>
      <c r="BP606" s="60"/>
      <c r="BQ606" s="60"/>
      <c r="BR606" s="60"/>
      <c r="BS606" s="60"/>
      <c r="BT606" s="60"/>
      <c r="BU606" s="60"/>
      <c r="BV606" s="60"/>
      <c r="BW606" s="60"/>
      <c r="BX606" s="60"/>
      <c r="BY606" s="60"/>
      <c r="BZ606" s="60"/>
      <c r="CA606" s="60"/>
      <c r="CB606" s="60"/>
      <c r="CC606" s="60"/>
      <c r="CD606" s="60"/>
      <c r="CE606" s="60"/>
      <c r="CF606" s="60"/>
      <c r="CG606" s="60"/>
      <c r="CH606" s="60"/>
      <c r="CI606" s="60"/>
      <c r="CJ606" s="60"/>
      <c r="CK606" s="60"/>
      <c r="CL606" s="60"/>
      <c r="CM606" s="60"/>
      <c r="CN606" s="60"/>
      <c r="CO606" s="60"/>
      <c r="CP606" s="60"/>
      <c r="CQ606" s="60"/>
      <c r="CR606" s="60"/>
      <c r="CS606" s="60"/>
      <c r="CT606" s="60"/>
      <c r="CU606" s="60"/>
      <c r="CV606" s="60"/>
      <c r="CW606" s="60"/>
      <c r="CX606" s="60"/>
      <c r="CY606" s="60"/>
      <c r="CZ606" s="60"/>
      <c r="DA606" s="60"/>
      <c r="DB606" s="60"/>
      <c r="DC606" s="60"/>
      <c r="DD606" s="60"/>
      <c r="DE606" s="60"/>
      <c r="DF606" s="60"/>
      <c r="DG606" s="60"/>
      <c r="DH606" s="60"/>
      <c r="DI606" s="60"/>
      <c r="DJ606" s="60"/>
      <c r="DK606" s="60"/>
      <c r="DL606" s="60"/>
      <c r="DM606" s="60"/>
      <c r="DN606" s="60"/>
      <c r="DO606" s="60"/>
      <c r="DP606" s="60"/>
      <c r="DQ606" s="60"/>
      <c r="DR606" s="60"/>
      <c r="DS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60"/>
      <c r="BJ607" s="60"/>
      <c r="BK607" s="60"/>
      <c r="BL607" s="60"/>
      <c r="BM607" s="60"/>
      <c r="BN607" s="60"/>
      <c r="BO607" s="60"/>
      <c r="BP607" s="60"/>
      <c r="BQ607" s="60"/>
      <c r="BR607" s="60"/>
      <c r="BS607" s="60"/>
      <c r="BT607" s="60"/>
      <c r="BU607" s="60"/>
      <c r="BV607" s="60"/>
      <c r="BW607" s="60"/>
      <c r="BX607" s="60"/>
      <c r="BY607" s="60"/>
      <c r="BZ607" s="60"/>
      <c r="CA607" s="60"/>
      <c r="CB607" s="60"/>
      <c r="CC607" s="60"/>
      <c r="CD607" s="60"/>
      <c r="CE607" s="60"/>
      <c r="CF607" s="60"/>
      <c r="CG607" s="60"/>
      <c r="CH607" s="60"/>
      <c r="CI607" s="60"/>
      <c r="CJ607" s="60"/>
      <c r="CK607" s="60"/>
      <c r="CL607" s="60"/>
      <c r="CM607" s="60"/>
      <c r="CN607" s="60"/>
      <c r="CO607" s="60"/>
      <c r="CP607" s="60"/>
      <c r="CQ607" s="60"/>
      <c r="CR607" s="60"/>
      <c r="CS607" s="60"/>
      <c r="CT607" s="60"/>
      <c r="CU607" s="60"/>
      <c r="CV607" s="60"/>
      <c r="CW607" s="60"/>
      <c r="CX607" s="60"/>
      <c r="CY607" s="60"/>
      <c r="CZ607" s="60"/>
      <c r="DA607" s="60"/>
      <c r="DB607" s="60"/>
      <c r="DC607" s="60"/>
      <c r="DD607" s="60"/>
      <c r="DE607" s="60"/>
      <c r="DF607" s="60"/>
      <c r="DG607" s="60"/>
      <c r="DH607" s="60"/>
      <c r="DI607" s="60"/>
      <c r="DJ607" s="60"/>
      <c r="DK607" s="60"/>
      <c r="DL607" s="60"/>
      <c r="DM607" s="60"/>
      <c r="DN607" s="60"/>
      <c r="DO607" s="60"/>
      <c r="DP607" s="60"/>
      <c r="DQ607" s="60"/>
      <c r="DR607" s="60"/>
      <c r="DS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60"/>
      <c r="BJ608" s="60"/>
      <c r="BK608" s="60"/>
      <c r="BL608" s="60"/>
      <c r="BM608" s="60"/>
      <c r="BN608" s="60"/>
      <c r="BO608" s="60"/>
      <c r="BP608" s="60"/>
      <c r="BQ608" s="60"/>
      <c r="BR608" s="60"/>
      <c r="BS608" s="60"/>
      <c r="BT608" s="60"/>
      <c r="BU608" s="60"/>
      <c r="BV608" s="60"/>
      <c r="BW608" s="60"/>
      <c r="BX608" s="60"/>
      <c r="BY608" s="60"/>
      <c r="BZ608" s="60"/>
      <c r="CA608" s="60"/>
      <c r="CB608" s="60"/>
      <c r="CC608" s="60"/>
      <c r="CD608" s="60"/>
      <c r="CE608" s="60"/>
      <c r="CF608" s="60"/>
      <c r="CG608" s="60"/>
      <c r="CH608" s="60"/>
      <c r="CI608" s="60"/>
      <c r="CJ608" s="60"/>
      <c r="CK608" s="60"/>
      <c r="CL608" s="60"/>
      <c r="CM608" s="60"/>
      <c r="CN608" s="60"/>
      <c r="CO608" s="60"/>
      <c r="CP608" s="60"/>
      <c r="CQ608" s="60"/>
      <c r="CR608" s="60"/>
      <c r="CS608" s="60"/>
      <c r="CT608" s="60"/>
      <c r="CU608" s="60"/>
      <c r="CV608" s="60"/>
      <c r="CW608" s="60"/>
      <c r="CX608" s="60"/>
      <c r="CY608" s="60"/>
      <c r="CZ608" s="60"/>
      <c r="DA608" s="60"/>
      <c r="DB608" s="60"/>
      <c r="DC608" s="60"/>
      <c r="DD608" s="60"/>
      <c r="DE608" s="60"/>
      <c r="DF608" s="60"/>
      <c r="DG608" s="60"/>
      <c r="DH608" s="60"/>
      <c r="DI608" s="60"/>
      <c r="DJ608" s="60"/>
      <c r="DK608" s="60"/>
      <c r="DL608" s="60"/>
      <c r="DM608" s="60"/>
      <c r="DN608" s="60"/>
      <c r="DO608" s="60"/>
      <c r="DP608" s="60"/>
      <c r="DQ608" s="60"/>
      <c r="DR608" s="60"/>
      <c r="DS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60"/>
      <c r="BJ609" s="60"/>
      <c r="BK609" s="60"/>
      <c r="BL609" s="60"/>
      <c r="BM609" s="60"/>
      <c r="BN609" s="60"/>
      <c r="BO609" s="60"/>
      <c r="BP609" s="60"/>
      <c r="BQ609" s="60"/>
      <c r="BR609" s="60"/>
      <c r="BS609" s="60"/>
      <c r="BT609" s="60"/>
      <c r="BU609" s="60"/>
      <c r="BV609" s="60"/>
      <c r="BW609" s="60"/>
      <c r="BX609" s="60"/>
      <c r="BY609" s="60"/>
      <c r="BZ609" s="60"/>
      <c r="CA609" s="60"/>
      <c r="CB609" s="60"/>
      <c r="CC609" s="60"/>
      <c r="CD609" s="60"/>
      <c r="CE609" s="60"/>
      <c r="CF609" s="60"/>
      <c r="CG609" s="60"/>
      <c r="CH609" s="60"/>
      <c r="CI609" s="60"/>
      <c r="CJ609" s="60"/>
      <c r="CK609" s="60"/>
      <c r="CL609" s="60"/>
      <c r="CM609" s="60"/>
      <c r="CN609" s="60"/>
      <c r="CO609" s="60"/>
      <c r="CP609" s="60"/>
      <c r="CQ609" s="60"/>
      <c r="CR609" s="60"/>
      <c r="CS609" s="60"/>
      <c r="CT609" s="60"/>
      <c r="CU609" s="60"/>
      <c r="CV609" s="60"/>
      <c r="CW609" s="60"/>
      <c r="CX609" s="60"/>
      <c r="CY609" s="60"/>
      <c r="CZ609" s="60"/>
      <c r="DA609" s="60"/>
      <c r="DB609" s="60"/>
      <c r="DC609" s="60"/>
      <c r="DD609" s="60"/>
      <c r="DE609" s="60"/>
      <c r="DF609" s="60"/>
      <c r="DG609" s="60"/>
      <c r="DH609" s="60"/>
      <c r="DI609" s="60"/>
      <c r="DJ609" s="60"/>
      <c r="DK609" s="60"/>
      <c r="DL609" s="60"/>
      <c r="DM609" s="60"/>
      <c r="DN609" s="60"/>
      <c r="DO609" s="60"/>
      <c r="DP609" s="60"/>
      <c r="DQ609" s="60"/>
      <c r="DR609" s="60"/>
      <c r="DS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60"/>
      <c r="BJ610" s="60"/>
      <c r="BK610" s="60"/>
      <c r="BL610" s="60"/>
      <c r="BM610" s="60"/>
      <c r="BN610" s="60"/>
      <c r="BO610" s="60"/>
      <c r="BP610" s="60"/>
      <c r="BQ610" s="60"/>
      <c r="BR610" s="60"/>
      <c r="BS610" s="60"/>
      <c r="BT610" s="60"/>
      <c r="BU610" s="60"/>
      <c r="BV610" s="60"/>
      <c r="BW610" s="60"/>
      <c r="BX610" s="60"/>
      <c r="BY610" s="60"/>
      <c r="BZ610" s="60"/>
      <c r="CA610" s="60"/>
      <c r="CB610" s="60"/>
      <c r="CC610" s="60"/>
      <c r="CD610" s="60"/>
      <c r="CE610" s="60"/>
      <c r="CF610" s="60"/>
      <c r="CG610" s="60"/>
      <c r="CH610" s="60"/>
      <c r="CI610" s="60"/>
      <c r="CJ610" s="60"/>
      <c r="CK610" s="60"/>
      <c r="CL610" s="60"/>
      <c r="CM610" s="60"/>
      <c r="CN610" s="60"/>
      <c r="CO610" s="60"/>
      <c r="CP610" s="60"/>
      <c r="CQ610" s="60"/>
      <c r="CR610" s="60"/>
      <c r="CS610" s="60"/>
      <c r="CT610" s="60"/>
      <c r="CU610" s="60"/>
      <c r="CV610" s="60"/>
      <c r="CW610" s="60"/>
      <c r="CX610" s="60"/>
      <c r="CY610" s="60"/>
      <c r="CZ610" s="60"/>
      <c r="DA610" s="60"/>
      <c r="DB610" s="60"/>
      <c r="DC610" s="60"/>
      <c r="DD610" s="60"/>
      <c r="DE610" s="60"/>
      <c r="DF610" s="60"/>
      <c r="DG610" s="60"/>
      <c r="DH610" s="60"/>
      <c r="DI610" s="60"/>
      <c r="DJ610" s="60"/>
      <c r="DK610" s="60"/>
      <c r="DL610" s="60"/>
      <c r="DM610" s="60"/>
      <c r="DN610" s="60"/>
      <c r="DO610" s="60"/>
      <c r="DP610" s="60"/>
      <c r="DQ610" s="60"/>
      <c r="DR610" s="60"/>
      <c r="DS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/>
      <c r="BJ611" s="60"/>
      <c r="BK611" s="60"/>
      <c r="BL611" s="60"/>
      <c r="BM611" s="60"/>
      <c r="BN611" s="60"/>
      <c r="BO611" s="60"/>
      <c r="BP611" s="60"/>
      <c r="BQ611" s="60"/>
      <c r="BR611" s="60"/>
      <c r="BS611" s="60"/>
      <c r="BT611" s="60"/>
      <c r="BU611" s="60"/>
      <c r="BV611" s="60"/>
      <c r="BW611" s="60"/>
      <c r="BX611" s="60"/>
      <c r="BY611" s="60"/>
      <c r="BZ611" s="60"/>
      <c r="CA611" s="60"/>
      <c r="CB611" s="60"/>
      <c r="CC611" s="60"/>
      <c r="CD611" s="60"/>
      <c r="CE611" s="60"/>
      <c r="CF611" s="60"/>
      <c r="CG611" s="60"/>
      <c r="CH611" s="60"/>
      <c r="CI611" s="60"/>
      <c r="CJ611" s="60"/>
      <c r="CK611" s="60"/>
      <c r="CL611" s="60"/>
      <c r="CM611" s="60"/>
      <c r="CN611" s="60"/>
      <c r="CO611" s="60"/>
      <c r="CP611" s="60"/>
      <c r="CQ611" s="60"/>
      <c r="CR611" s="60"/>
      <c r="CS611" s="60"/>
      <c r="CT611" s="60"/>
      <c r="CU611" s="60"/>
      <c r="CV611" s="60"/>
      <c r="CW611" s="60"/>
      <c r="CX611" s="60"/>
      <c r="CY611" s="60"/>
      <c r="CZ611" s="60"/>
      <c r="DA611" s="60"/>
      <c r="DB611" s="60"/>
      <c r="DC611" s="60"/>
      <c r="DD611" s="60"/>
      <c r="DE611" s="60"/>
      <c r="DF611" s="60"/>
      <c r="DG611" s="60"/>
      <c r="DH611" s="60"/>
      <c r="DI611" s="60"/>
      <c r="DJ611" s="60"/>
      <c r="DK611" s="60"/>
      <c r="DL611" s="60"/>
      <c r="DM611" s="60"/>
      <c r="DN611" s="60"/>
      <c r="DO611" s="60"/>
      <c r="DP611" s="60"/>
      <c r="DQ611" s="60"/>
      <c r="DR611" s="60"/>
      <c r="DS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60"/>
      <c r="BJ612" s="60"/>
      <c r="BK612" s="60"/>
      <c r="BL612" s="60"/>
      <c r="BM612" s="60"/>
      <c r="BN612" s="60"/>
      <c r="BO612" s="60"/>
      <c r="BP612" s="60"/>
      <c r="BQ612" s="60"/>
      <c r="BR612" s="60"/>
      <c r="BS612" s="60"/>
      <c r="BT612" s="60"/>
      <c r="BU612" s="60"/>
      <c r="BV612" s="60"/>
      <c r="BW612" s="60"/>
      <c r="BX612" s="60"/>
      <c r="BY612" s="60"/>
      <c r="BZ612" s="60"/>
      <c r="CA612" s="60"/>
      <c r="CB612" s="60"/>
      <c r="CC612" s="60"/>
      <c r="CD612" s="60"/>
      <c r="CE612" s="60"/>
      <c r="CF612" s="60"/>
      <c r="CG612" s="60"/>
      <c r="CH612" s="60"/>
      <c r="CI612" s="60"/>
      <c r="CJ612" s="60"/>
      <c r="CK612" s="60"/>
      <c r="CL612" s="60"/>
      <c r="CM612" s="60"/>
      <c r="CN612" s="60"/>
      <c r="CO612" s="60"/>
      <c r="CP612" s="60"/>
      <c r="CQ612" s="60"/>
      <c r="CR612" s="60"/>
      <c r="CS612" s="60"/>
      <c r="CT612" s="60"/>
      <c r="CU612" s="60"/>
      <c r="CV612" s="60"/>
      <c r="CW612" s="60"/>
      <c r="CX612" s="60"/>
      <c r="CY612" s="60"/>
      <c r="CZ612" s="60"/>
      <c r="DA612" s="60"/>
      <c r="DB612" s="60"/>
      <c r="DC612" s="60"/>
      <c r="DD612" s="60"/>
      <c r="DE612" s="60"/>
      <c r="DF612" s="60"/>
      <c r="DG612" s="60"/>
      <c r="DH612" s="60"/>
      <c r="DI612" s="60"/>
      <c r="DJ612" s="60"/>
      <c r="DK612" s="60"/>
      <c r="DL612" s="60"/>
      <c r="DM612" s="60"/>
      <c r="DN612" s="60"/>
      <c r="DO612" s="60"/>
      <c r="DP612" s="60"/>
      <c r="DQ612" s="60"/>
      <c r="DR612" s="60"/>
      <c r="DS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/>
      <c r="BJ613" s="60"/>
      <c r="BK613" s="60"/>
      <c r="BL613" s="60"/>
      <c r="BM613" s="60"/>
      <c r="BN613" s="60"/>
      <c r="BO613" s="60"/>
      <c r="BP613" s="60"/>
      <c r="BQ613" s="60"/>
      <c r="BR613" s="60"/>
      <c r="BS613" s="60"/>
      <c r="BT613" s="60"/>
      <c r="BU613" s="60"/>
      <c r="BV613" s="60"/>
      <c r="BW613" s="60"/>
      <c r="BX613" s="60"/>
      <c r="BY613" s="60"/>
      <c r="BZ613" s="60"/>
      <c r="CA613" s="60"/>
      <c r="CB613" s="60"/>
      <c r="CC613" s="60"/>
      <c r="CD613" s="60"/>
      <c r="CE613" s="60"/>
      <c r="CF613" s="60"/>
      <c r="CG613" s="60"/>
      <c r="CH613" s="60"/>
      <c r="CI613" s="60"/>
      <c r="CJ613" s="60"/>
      <c r="CK613" s="60"/>
      <c r="CL613" s="60"/>
      <c r="CM613" s="60"/>
      <c r="CN613" s="60"/>
      <c r="CO613" s="60"/>
      <c r="CP613" s="60"/>
      <c r="CQ613" s="60"/>
      <c r="CR613" s="60"/>
      <c r="CS613" s="60"/>
      <c r="CT613" s="60"/>
      <c r="CU613" s="60"/>
      <c r="CV613" s="60"/>
      <c r="CW613" s="60"/>
      <c r="CX613" s="60"/>
      <c r="CY613" s="60"/>
      <c r="CZ613" s="60"/>
      <c r="DA613" s="60"/>
      <c r="DB613" s="60"/>
      <c r="DC613" s="60"/>
      <c r="DD613" s="60"/>
      <c r="DE613" s="60"/>
      <c r="DF613" s="60"/>
      <c r="DG613" s="60"/>
      <c r="DH613" s="60"/>
      <c r="DI613" s="60"/>
      <c r="DJ613" s="60"/>
      <c r="DK613" s="60"/>
      <c r="DL613" s="60"/>
      <c r="DM613" s="60"/>
      <c r="DN613" s="60"/>
      <c r="DO613" s="60"/>
      <c r="DP613" s="60"/>
      <c r="DQ613" s="60"/>
      <c r="DR613" s="60"/>
      <c r="DS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60"/>
      <c r="BJ614" s="60"/>
      <c r="BK614" s="60"/>
      <c r="BL614" s="60"/>
      <c r="BM614" s="60"/>
      <c r="BN614" s="60"/>
      <c r="BO614" s="60"/>
      <c r="BP614" s="60"/>
      <c r="BQ614" s="60"/>
      <c r="BR614" s="60"/>
      <c r="BS614" s="60"/>
      <c r="BT614" s="60"/>
      <c r="BU614" s="60"/>
      <c r="BV614" s="60"/>
      <c r="BW614" s="60"/>
      <c r="BX614" s="60"/>
      <c r="BY614" s="60"/>
      <c r="BZ614" s="60"/>
      <c r="CA614" s="60"/>
      <c r="CB614" s="60"/>
      <c r="CC614" s="60"/>
      <c r="CD614" s="60"/>
      <c r="CE614" s="60"/>
      <c r="CF614" s="60"/>
      <c r="CG614" s="60"/>
      <c r="CH614" s="60"/>
      <c r="CI614" s="60"/>
      <c r="CJ614" s="60"/>
      <c r="CK614" s="60"/>
      <c r="CL614" s="60"/>
      <c r="CM614" s="60"/>
      <c r="CN614" s="60"/>
      <c r="CO614" s="60"/>
      <c r="CP614" s="60"/>
      <c r="CQ614" s="60"/>
      <c r="CR614" s="60"/>
      <c r="CS614" s="60"/>
      <c r="CT614" s="60"/>
      <c r="CU614" s="60"/>
      <c r="CV614" s="60"/>
      <c r="CW614" s="60"/>
      <c r="CX614" s="60"/>
      <c r="CY614" s="60"/>
      <c r="CZ614" s="60"/>
      <c r="DA614" s="60"/>
      <c r="DB614" s="60"/>
      <c r="DC614" s="60"/>
      <c r="DD614" s="60"/>
      <c r="DE614" s="60"/>
      <c r="DF614" s="60"/>
      <c r="DG614" s="60"/>
      <c r="DH614" s="60"/>
      <c r="DI614" s="60"/>
      <c r="DJ614" s="60"/>
      <c r="DK614" s="60"/>
      <c r="DL614" s="60"/>
      <c r="DM614" s="60"/>
      <c r="DN614" s="60"/>
      <c r="DO614" s="60"/>
      <c r="DP614" s="60"/>
      <c r="DQ614" s="60"/>
      <c r="DR614" s="60"/>
      <c r="DS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60"/>
      <c r="BJ615" s="60"/>
      <c r="BK615" s="60"/>
      <c r="BL615" s="60"/>
      <c r="BM615" s="60"/>
      <c r="BN615" s="60"/>
      <c r="BO615" s="60"/>
      <c r="BP615" s="60"/>
      <c r="BQ615" s="60"/>
      <c r="BR615" s="60"/>
      <c r="BS615" s="60"/>
      <c r="BT615" s="60"/>
      <c r="BU615" s="60"/>
      <c r="BV615" s="60"/>
      <c r="BW615" s="60"/>
      <c r="BX615" s="60"/>
      <c r="BY615" s="60"/>
      <c r="BZ615" s="60"/>
      <c r="CA615" s="60"/>
      <c r="CB615" s="60"/>
      <c r="CC615" s="60"/>
      <c r="CD615" s="60"/>
      <c r="CE615" s="60"/>
      <c r="CF615" s="60"/>
      <c r="CG615" s="60"/>
      <c r="CH615" s="60"/>
      <c r="CI615" s="60"/>
      <c r="CJ615" s="60"/>
      <c r="CK615" s="60"/>
      <c r="CL615" s="60"/>
      <c r="CM615" s="60"/>
      <c r="CN615" s="60"/>
      <c r="CO615" s="60"/>
      <c r="CP615" s="60"/>
      <c r="CQ615" s="60"/>
      <c r="CR615" s="60"/>
      <c r="CS615" s="60"/>
      <c r="CT615" s="60"/>
      <c r="CU615" s="60"/>
      <c r="CV615" s="60"/>
      <c r="CW615" s="60"/>
      <c r="CX615" s="60"/>
      <c r="CY615" s="60"/>
      <c r="CZ615" s="60"/>
      <c r="DA615" s="60"/>
      <c r="DB615" s="60"/>
      <c r="DC615" s="60"/>
      <c r="DD615" s="60"/>
      <c r="DE615" s="60"/>
      <c r="DF615" s="60"/>
      <c r="DG615" s="60"/>
      <c r="DH615" s="60"/>
      <c r="DI615" s="60"/>
      <c r="DJ615" s="60"/>
      <c r="DK615" s="60"/>
      <c r="DL615" s="60"/>
      <c r="DM615" s="60"/>
      <c r="DN615" s="60"/>
      <c r="DO615" s="60"/>
      <c r="DP615" s="60"/>
      <c r="DQ615" s="60"/>
      <c r="DR615" s="60"/>
      <c r="DS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60"/>
      <c r="BJ616" s="60"/>
      <c r="BK616" s="60"/>
      <c r="BL616" s="60"/>
      <c r="BM616" s="60"/>
      <c r="BN616" s="60"/>
      <c r="BO616" s="60"/>
      <c r="BP616" s="60"/>
      <c r="BQ616" s="60"/>
      <c r="BR616" s="60"/>
      <c r="BS616" s="60"/>
      <c r="BT616" s="60"/>
      <c r="BU616" s="60"/>
      <c r="BV616" s="60"/>
      <c r="BW616" s="60"/>
      <c r="BX616" s="60"/>
      <c r="BY616" s="60"/>
      <c r="BZ616" s="60"/>
      <c r="CA616" s="60"/>
      <c r="CB616" s="60"/>
      <c r="CC616" s="60"/>
      <c r="CD616" s="60"/>
      <c r="CE616" s="60"/>
      <c r="CF616" s="60"/>
      <c r="CG616" s="60"/>
      <c r="CH616" s="60"/>
      <c r="CI616" s="60"/>
      <c r="CJ616" s="60"/>
      <c r="CK616" s="60"/>
      <c r="CL616" s="60"/>
      <c r="CM616" s="60"/>
      <c r="CN616" s="60"/>
      <c r="CO616" s="60"/>
      <c r="CP616" s="60"/>
      <c r="CQ616" s="60"/>
      <c r="CR616" s="60"/>
      <c r="CS616" s="60"/>
      <c r="CT616" s="60"/>
      <c r="CU616" s="60"/>
      <c r="CV616" s="60"/>
      <c r="CW616" s="60"/>
      <c r="CX616" s="60"/>
      <c r="CY616" s="60"/>
      <c r="CZ616" s="60"/>
      <c r="DA616" s="60"/>
      <c r="DB616" s="60"/>
      <c r="DC616" s="60"/>
      <c r="DD616" s="60"/>
      <c r="DE616" s="60"/>
      <c r="DF616" s="60"/>
      <c r="DG616" s="60"/>
      <c r="DH616" s="60"/>
      <c r="DI616" s="60"/>
      <c r="DJ616" s="60"/>
      <c r="DK616" s="60"/>
      <c r="DL616" s="60"/>
      <c r="DM616" s="60"/>
      <c r="DN616" s="60"/>
      <c r="DO616" s="60"/>
      <c r="DP616" s="60"/>
      <c r="DQ616" s="60"/>
      <c r="DR616" s="60"/>
      <c r="DS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/>
      <c r="BJ617" s="60"/>
      <c r="BK617" s="60"/>
      <c r="BL617" s="60"/>
      <c r="BM617" s="60"/>
      <c r="BN617" s="60"/>
      <c r="BO617" s="60"/>
      <c r="BP617" s="60"/>
      <c r="BQ617" s="60"/>
      <c r="BR617" s="60"/>
      <c r="BS617" s="60"/>
      <c r="BT617" s="60"/>
      <c r="BU617" s="60"/>
      <c r="BV617" s="60"/>
      <c r="BW617" s="60"/>
      <c r="BX617" s="60"/>
      <c r="BY617" s="60"/>
      <c r="BZ617" s="60"/>
      <c r="CA617" s="60"/>
      <c r="CB617" s="60"/>
      <c r="CC617" s="60"/>
      <c r="CD617" s="60"/>
      <c r="CE617" s="60"/>
      <c r="CF617" s="60"/>
      <c r="CG617" s="60"/>
      <c r="CH617" s="60"/>
      <c r="CI617" s="60"/>
      <c r="CJ617" s="60"/>
      <c r="CK617" s="60"/>
      <c r="CL617" s="60"/>
      <c r="CM617" s="60"/>
      <c r="CN617" s="60"/>
      <c r="CO617" s="60"/>
      <c r="CP617" s="60"/>
      <c r="CQ617" s="60"/>
      <c r="CR617" s="60"/>
      <c r="CS617" s="60"/>
      <c r="CT617" s="60"/>
      <c r="CU617" s="60"/>
      <c r="CV617" s="60"/>
      <c r="CW617" s="60"/>
      <c r="CX617" s="60"/>
      <c r="CY617" s="60"/>
      <c r="CZ617" s="60"/>
      <c r="DA617" s="60"/>
      <c r="DB617" s="60"/>
      <c r="DC617" s="60"/>
      <c r="DD617" s="60"/>
      <c r="DE617" s="60"/>
      <c r="DF617" s="60"/>
      <c r="DG617" s="60"/>
      <c r="DH617" s="60"/>
      <c r="DI617" s="60"/>
      <c r="DJ617" s="60"/>
      <c r="DK617" s="60"/>
      <c r="DL617" s="60"/>
      <c r="DM617" s="60"/>
      <c r="DN617" s="60"/>
      <c r="DO617" s="60"/>
      <c r="DP617" s="60"/>
      <c r="DQ617" s="60"/>
      <c r="DR617" s="60"/>
      <c r="DS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60"/>
      <c r="BJ618" s="60"/>
      <c r="BK618" s="60"/>
      <c r="BL618" s="60"/>
      <c r="BM618" s="60"/>
      <c r="BN618" s="60"/>
      <c r="BO618" s="60"/>
      <c r="BP618" s="60"/>
      <c r="BQ618" s="60"/>
      <c r="BR618" s="60"/>
      <c r="BS618" s="60"/>
      <c r="BT618" s="60"/>
      <c r="BU618" s="60"/>
      <c r="BV618" s="60"/>
      <c r="BW618" s="60"/>
      <c r="BX618" s="60"/>
      <c r="BY618" s="60"/>
      <c r="BZ618" s="60"/>
      <c r="CA618" s="60"/>
      <c r="CB618" s="60"/>
      <c r="CC618" s="60"/>
      <c r="CD618" s="60"/>
      <c r="CE618" s="60"/>
      <c r="CF618" s="60"/>
      <c r="CG618" s="60"/>
      <c r="CH618" s="60"/>
      <c r="CI618" s="60"/>
      <c r="CJ618" s="60"/>
      <c r="CK618" s="60"/>
      <c r="CL618" s="60"/>
      <c r="CM618" s="60"/>
      <c r="CN618" s="60"/>
      <c r="CO618" s="60"/>
      <c r="CP618" s="60"/>
      <c r="CQ618" s="60"/>
      <c r="CR618" s="60"/>
      <c r="CS618" s="60"/>
      <c r="CT618" s="60"/>
      <c r="CU618" s="60"/>
      <c r="CV618" s="60"/>
      <c r="CW618" s="60"/>
      <c r="CX618" s="60"/>
      <c r="CY618" s="60"/>
      <c r="CZ618" s="60"/>
      <c r="DA618" s="60"/>
      <c r="DB618" s="60"/>
      <c r="DC618" s="60"/>
      <c r="DD618" s="60"/>
      <c r="DE618" s="60"/>
      <c r="DF618" s="60"/>
      <c r="DG618" s="60"/>
      <c r="DH618" s="60"/>
      <c r="DI618" s="60"/>
      <c r="DJ618" s="60"/>
      <c r="DK618" s="60"/>
      <c r="DL618" s="60"/>
      <c r="DM618" s="60"/>
      <c r="DN618" s="60"/>
      <c r="DO618" s="60"/>
      <c r="DP618" s="60"/>
      <c r="DQ618" s="60"/>
      <c r="DR618" s="60"/>
      <c r="DS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60"/>
      <c r="BJ619" s="60"/>
      <c r="BK619" s="60"/>
      <c r="BL619" s="60"/>
      <c r="BM619" s="60"/>
      <c r="BN619" s="60"/>
      <c r="BO619" s="60"/>
      <c r="BP619" s="60"/>
      <c r="BQ619" s="60"/>
      <c r="BR619" s="60"/>
      <c r="BS619" s="60"/>
      <c r="BT619" s="60"/>
      <c r="BU619" s="60"/>
      <c r="BV619" s="60"/>
      <c r="BW619" s="60"/>
      <c r="BX619" s="60"/>
      <c r="BY619" s="60"/>
      <c r="BZ619" s="60"/>
      <c r="CA619" s="60"/>
      <c r="CB619" s="60"/>
      <c r="CC619" s="60"/>
      <c r="CD619" s="60"/>
      <c r="CE619" s="60"/>
      <c r="CF619" s="60"/>
      <c r="CG619" s="60"/>
      <c r="CH619" s="60"/>
      <c r="CI619" s="60"/>
      <c r="CJ619" s="60"/>
      <c r="CK619" s="60"/>
      <c r="CL619" s="60"/>
      <c r="CM619" s="60"/>
      <c r="CN619" s="60"/>
      <c r="CO619" s="60"/>
      <c r="CP619" s="60"/>
      <c r="CQ619" s="60"/>
      <c r="CR619" s="60"/>
      <c r="CS619" s="60"/>
      <c r="CT619" s="60"/>
      <c r="CU619" s="60"/>
      <c r="CV619" s="60"/>
      <c r="CW619" s="60"/>
      <c r="CX619" s="60"/>
      <c r="CY619" s="60"/>
      <c r="CZ619" s="60"/>
      <c r="DA619" s="60"/>
      <c r="DB619" s="60"/>
      <c r="DC619" s="60"/>
      <c r="DD619" s="60"/>
      <c r="DE619" s="60"/>
      <c r="DF619" s="60"/>
      <c r="DG619" s="60"/>
      <c r="DH619" s="60"/>
      <c r="DI619" s="60"/>
      <c r="DJ619" s="60"/>
      <c r="DK619" s="60"/>
      <c r="DL619" s="60"/>
      <c r="DM619" s="60"/>
      <c r="DN619" s="60"/>
      <c r="DO619" s="60"/>
      <c r="DP619" s="60"/>
      <c r="DQ619" s="60"/>
      <c r="DR619" s="60"/>
      <c r="DS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60"/>
      <c r="BJ620" s="60"/>
      <c r="BK620" s="60"/>
      <c r="BL620" s="60"/>
      <c r="BM620" s="60"/>
      <c r="BN620" s="60"/>
      <c r="BO620" s="60"/>
      <c r="BP620" s="60"/>
      <c r="BQ620" s="60"/>
      <c r="BR620" s="60"/>
      <c r="BS620" s="60"/>
      <c r="BT620" s="60"/>
      <c r="BU620" s="60"/>
      <c r="BV620" s="60"/>
      <c r="BW620" s="60"/>
      <c r="BX620" s="60"/>
      <c r="BY620" s="60"/>
      <c r="BZ620" s="60"/>
      <c r="CA620" s="60"/>
      <c r="CB620" s="60"/>
      <c r="CC620" s="60"/>
      <c r="CD620" s="60"/>
      <c r="CE620" s="60"/>
      <c r="CF620" s="60"/>
      <c r="CG620" s="60"/>
      <c r="CH620" s="60"/>
      <c r="CI620" s="60"/>
      <c r="CJ620" s="60"/>
      <c r="CK620" s="60"/>
      <c r="CL620" s="60"/>
      <c r="CM620" s="60"/>
      <c r="CN620" s="60"/>
      <c r="CO620" s="60"/>
      <c r="CP620" s="60"/>
      <c r="CQ620" s="60"/>
      <c r="CR620" s="60"/>
      <c r="CS620" s="60"/>
      <c r="CT620" s="60"/>
      <c r="CU620" s="60"/>
      <c r="CV620" s="60"/>
      <c r="CW620" s="60"/>
      <c r="CX620" s="60"/>
      <c r="CY620" s="60"/>
      <c r="CZ620" s="60"/>
      <c r="DA620" s="60"/>
      <c r="DB620" s="60"/>
      <c r="DC620" s="60"/>
      <c r="DD620" s="60"/>
      <c r="DE620" s="60"/>
      <c r="DF620" s="60"/>
      <c r="DG620" s="60"/>
      <c r="DH620" s="60"/>
      <c r="DI620" s="60"/>
      <c r="DJ620" s="60"/>
      <c r="DK620" s="60"/>
      <c r="DL620" s="60"/>
      <c r="DM620" s="60"/>
      <c r="DN620" s="60"/>
      <c r="DO620" s="60"/>
      <c r="DP620" s="60"/>
      <c r="DQ620" s="60"/>
      <c r="DR620" s="60"/>
      <c r="DS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/>
      <c r="BJ621" s="60"/>
      <c r="BK621" s="60"/>
      <c r="BL621" s="60"/>
      <c r="BM621" s="60"/>
      <c r="BN621" s="60"/>
      <c r="BO621" s="60"/>
      <c r="BP621" s="60"/>
      <c r="BQ621" s="60"/>
      <c r="BR621" s="60"/>
      <c r="BS621" s="60"/>
      <c r="BT621" s="60"/>
      <c r="BU621" s="60"/>
      <c r="BV621" s="60"/>
      <c r="BW621" s="60"/>
      <c r="BX621" s="60"/>
      <c r="BY621" s="60"/>
      <c r="BZ621" s="60"/>
      <c r="CA621" s="60"/>
      <c r="CB621" s="60"/>
      <c r="CC621" s="60"/>
      <c r="CD621" s="60"/>
      <c r="CE621" s="60"/>
      <c r="CF621" s="60"/>
      <c r="CG621" s="60"/>
      <c r="CH621" s="60"/>
      <c r="CI621" s="60"/>
      <c r="CJ621" s="60"/>
      <c r="CK621" s="60"/>
      <c r="CL621" s="60"/>
      <c r="CM621" s="60"/>
      <c r="CN621" s="60"/>
      <c r="CO621" s="60"/>
      <c r="CP621" s="60"/>
      <c r="CQ621" s="60"/>
      <c r="CR621" s="60"/>
      <c r="CS621" s="60"/>
      <c r="CT621" s="60"/>
      <c r="CU621" s="60"/>
      <c r="CV621" s="60"/>
      <c r="CW621" s="60"/>
      <c r="CX621" s="60"/>
      <c r="CY621" s="60"/>
      <c r="CZ621" s="60"/>
      <c r="DA621" s="60"/>
      <c r="DB621" s="60"/>
      <c r="DC621" s="60"/>
      <c r="DD621" s="60"/>
      <c r="DE621" s="60"/>
      <c r="DF621" s="60"/>
      <c r="DG621" s="60"/>
      <c r="DH621" s="60"/>
      <c r="DI621" s="60"/>
      <c r="DJ621" s="60"/>
      <c r="DK621" s="60"/>
      <c r="DL621" s="60"/>
      <c r="DM621" s="60"/>
      <c r="DN621" s="60"/>
      <c r="DO621" s="60"/>
      <c r="DP621" s="60"/>
      <c r="DQ621" s="60"/>
      <c r="DR621" s="60"/>
      <c r="DS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60"/>
      <c r="BJ622" s="60"/>
      <c r="BK622" s="60"/>
      <c r="BL622" s="60"/>
      <c r="BM622" s="60"/>
      <c r="BN622" s="60"/>
      <c r="BO622" s="60"/>
      <c r="BP622" s="60"/>
      <c r="BQ622" s="60"/>
      <c r="BR622" s="60"/>
      <c r="BS622" s="60"/>
      <c r="BT622" s="60"/>
      <c r="BU622" s="60"/>
      <c r="BV622" s="60"/>
      <c r="BW622" s="60"/>
      <c r="BX622" s="60"/>
      <c r="BY622" s="60"/>
      <c r="BZ622" s="60"/>
      <c r="CA622" s="60"/>
      <c r="CB622" s="60"/>
      <c r="CC622" s="60"/>
      <c r="CD622" s="60"/>
      <c r="CE622" s="60"/>
      <c r="CF622" s="60"/>
      <c r="CG622" s="60"/>
      <c r="CH622" s="60"/>
      <c r="CI622" s="60"/>
      <c r="CJ622" s="60"/>
      <c r="CK622" s="60"/>
      <c r="CL622" s="60"/>
      <c r="CM622" s="60"/>
      <c r="CN622" s="60"/>
      <c r="CO622" s="60"/>
      <c r="CP622" s="60"/>
      <c r="CQ622" s="60"/>
      <c r="CR622" s="60"/>
      <c r="CS622" s="60"/>
      <c r="CT622" s="60"/>
      <c r="CU622" s="60"/>
      <c r="CV622" s="60"/>
      <c r="CW622" s="60"/>
      <c r="CX622" s="60"/>
      <c r="CY622" s="60"/>
      <c r="CZ622" s="60"/>
      <c r="DA622" s="60"/>
      <c r="DB622" s="60"/>
      <c r="DC622" s="60"/>
      <c r="DD622" s="60"/>
      <c r="DE622" s="60"/>
      <c r="DF622" s="60"/>
      <c r="DG622" s="60"/>
      <c r="DH622" s="60"/>
      <c r="DI622" s="60"/>
      <c r="DJ622" s="60"/>
      <c r="DK622" s="60"/>
      <c r="DL622" s="60"/>
      <c r="DM622" s="60"/>
      <c r="DN622" s="60"/>
      <c r="DO622" s="60"/>
      <c r="DP622" s="60"/>
      <c r="DQ622" s="60"/>
      <c r="DR622" s="60"/>
      <c r="DS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60"/>
      <c r="BJ623" s="60"/>
      <c r="BK623" s="60"/>
      <c r="BL623" s="60"/>
      <c r="BM623" s="60"/>
      <c r="BN623" s="60"/>
      <c r="BO623" s="60"/>
      <c r="BP623" s="60"/>
      <c r="BQ623" s="60"/>
      <c r="BR623" s="60"/>
      <c r="BS623" s="60"/>
      <c r="BT623" s="60"/>
      <c r="BU623" s="60"/>
      <c r="BV623" s="60"/>
      <c r="BW623" s="60"/>
      <c r="BX623" s="60"/>
      <c r="BY623" s="60"/>
      <c r="BZ623" s="60"/>
      <c r="CA623" s="60"/>
      <c r="CB623" s="60"/>
      <c r="CC623" s="60"/>
      <c r="CD623" s="60"/>
      <c r="CE623" s="60"/>
      <c r="CF623" s="60"/>
      <c r="CG623" s="60"/>
      <c r="CH623" s="60"/>
      <c r="CI623" s="60"/>
      <c r="CJ623" s="60"/>
      <c r="CK623" s="60"/>
      <c r="CL623" s="60"/>
      <c r="CM623" s="60"/>
      <c r="CN623" s="60"/>
      <c r="CO623" s="60"/>
      <c r="CP623" s="60"/>
      <c r="CQ623" s="60"/>
      <c r="CR623" s="60"/>
      <c r="CS623" s="60"/>
      <c r="CT623" s="60"/>
      <c r="CU623" s="60"/>
      <c r="CV623" s="60"/>
      <c r="CW623" s="60"/>
      <c r="CX623" s="60"/>
      <c r="CY623" s="60"/>
      <c r="CZ623" s="60"/>
      <c r="DA623" s="60"/>
      <c r="DB623" s="60"/>
      <c r="DC623" s="60"/>
      <c r="DD623" s="60"/>
      <c r="DE623" s="60"/>
      <c r="DF623" s="60"/>
      <c r="DG623" s="60"/>
      <c r="DH623" s="60"/>
      <c r="DI623" s="60"/>
      <c r="DJ623" s="60"/>
      <c r="DK623" s="60"/>
      <c r="DL623" s="60"/>
      <c r="DM623" s="60"/>
      <c r="DN623" s="60"/>
      <c r="DO623" s="60"/>
      <c r="DP623" s="60"/>
      <c r="DQ623" s="60"/>
      <c r="DR623" s="60"/>
      <c r="DS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60"/>
      <c r="BJ624" s="60"/>
      <c r="BK624" s="60"/>
      <c r="BL624" s="60"/>
      <c r="BM624" s="60"/>
      <c r="BN624" s="60"/>
      <c r="BO624" s="60"/>
      <c r="BP624" s="60"/>
      <c r="BQ624" s="60"/>
      <c r="BR624" s="60"/>
      <c r="BS624" s="60"/>
      <c r="BT624" s="60"/>
      <c r="BU624" s="60"/>
      <c r="BV624" s="60"/>
      <c r="BW624" s="60"/>
      <c r="BX624" s="60"/>
      <c r="BY624" s="60"/>
      <c r="BZ624" s="60"/>
      <c r="CA624" s="60"/>
      <c r="CB624" s="60"/>
      <c r="CC624" s="60"/>
      <c r="CD624" s="60"/>
      <c r="CE624" s="60"/>
      <c r="CF624" s="60"/>
      <c r="CG624" s="60"/>
      <c r="CH624" s="60"/>
      <c r="CI624" s="60"/>
      <c r="CJ624" s="60"/>
      <c r="CK624" s="60"/>
      <c r="CL624" s="60"/>
      <c r="CM624" s="60"/>
      <c r="CN624" s="60"/>
      <c r="CO624" s="60"/>
      <c r="CP624" s="60"/>
      <c r="CQ624" s="60"/>
      <c r="CR624" s="60"/>
      <c r="CS624" s="60"/>
      <c r="CT624" s="60"/>
      <c r="CU624" s="60"/>
      <c r="CV624" s="60"/>
      <c r="CW624" s="60"/>
      <c r="CX624" s="60"/>
      <c r="CY624" s="60"/>
      <c r="CZ624" s="60"/>
      <c r="DA624" s="60"/>
      <c r="DB624" s="60"/>
      <c r="DC624" s="60"/>
      <c r="DD624" s="60"/>
      <c r="DE624" s="60"/>
      <c r="DF624" s="60"/>
      <c r="DG624" s="60"/>
      <c r="DH624" s="60"/>
      <c r="DI624" s="60"/>
      <c r="DJ624" s="60"/>
      <c r="DK624" s="60"/>
      <c r="DL624" s="60"/>
      <c r="DM624" s="60"/>
      <c r="DN624" s="60"/>
      <c r="DO624" s="60"/>
      <c r="DP624" s="60"/>
      <c r="DQ624" s="60"/>
      <c r="DR624" s="60"/>
      <c r="DS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60"/>
      <c r="BJ625" s="60"/>
      <c r="BK625" s="60"/>
      <c r="BL625" s="60"/>
      <c r="BM625" s="60"/>
      <c r="BN625" s="60"/>
      <c r="BO625" s="60"/>
      <c r="BP625" s="60"/>
      <c r="BQ625" s="60"/>
      <c r="BR625" s="60"/>
      <c r="BS625" s="60"/>
      <c r="BT625" s="60"/>
      <c r="BU625" s="60"/>
      <c r="BV625" s="60"/>
      <c r="BW625" s="60"/>
      <c r="BX625" s="60"/>
      <c r="BY625" s="60"/>
      <c r="BZ625" s="60"/>
      <c r="CA625" s="60"/>
      <c r="CB625" s="60"/>
      <c r="CC625" s="60"/>
      <c r="CD625" s="60"/>
      <c r="CE625" s="60"/>
      <c r="CF625" s="60"/>
      <c r="CG625" s="60"/>
      <c r="CH625" s="60"/>
      <c r="CI625" s="60"/>
      <c r="CJ625" s="60"/>
      <c r="CK625" s="60"/>
      <c r="CL625" s="60"/>
      <c r="CM625" s="60"/>
      <c r="CN625" s="60"/>
      <c r="CO625" s="60"/>
      <c r="CP625" s="60"/>
      <c r="CQ625" s="60"/>
      <c r="CR625" s="60"/>
      <c r="CS625" s="60"/>
      <c r="CT625" s="60"/>
      <c r="CU625" s="60"/>
      <c r="CV625" s="60"/>
      <c r="CW625" s="60"/>
      <c r="CX625" s="60"/>
      <c r="CY625" s="60"/>
      <c r="CZ625" s="60"/>
      <c r="DA625" s="60"/>
      <c r="DB625" s="60"/>
      <c r="DC625" s="60"/>
      <c r="DD625" s="60"/>
      <c r="DE625" s="60"/>
      <c r="DF625" s="60"/>
      <c r="DG625" s="60"/>
      <c r="DH625" s="60"/>
      <c r="DI625" s="60"/>
      <c r="DJ625" s="60"/>
      <c r="DK625" s="60"/>
      <c r="DL625" s="60"/>
      <c r="DM625" s="60"/>
      <c r="DN625" s="60"/>
      <c r="DO625" s="60"/>
      <c r="DP625" s="60"/>
      <c r="DQ625" s="60"/>
      <c r="DR625" s="60"/>
      <c r="DS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/>
      <c r="BJ626" s="60"/>
      <c r="BK626" s="60"/>
      <c r="BL626" s="60"/>
      <c r="BM626" s="60"/>
      <c r="BN626" s="60"/>
      <c r="BO626" s="60"/>
      <c r="BP626" s="60"/>
      <c r="BQ626" s="60"/>
      <c r="BR626" s="60"/>
      <c r="BS626" s="60"/>
      <c r="BT626" s="60"/>
      <c r="BU626" s="60"/>
      <c r="BV626" s="60"/>
      <c r="BW626" s="60"/>
      <c r="BX626" s="60"/>
      <c r="BY626" s="60"/>
      <c r="BZ626" s="60"/>
      <c r="CA626" s="60"/>
      <c r="CB626" s="60"/>
      <c r="CC626" s="60"/>
      <c r="CD626" s="60"/>
      <c r="CE626" s="60"/>
      <c r="CF626" s="60"/>
      <c r="CG626" s="60"/>
      <c r="CH626" s="60"/>
      <c r="CI626" s="60"/>
      <c r="CJ626" s="60"/>
      <c r="CK626" s="60"/>
      <c r="CL626" s="60"/>
      <c r="CM626" s="60"/>
      <c r="CN626" s="60"/>
      <c r="CO626" s="60"/>
      <c r="CP626" s="60"/>
      <c r="CQ626" s="60"/>
      <c r="CR626" s="60"/>
      <c r="CS626" s="60"/>
      <c r="CT626" s="60"/>
      <c r="CU626" s="60"/>
      <c r="CV626" s="60"/>
      <c r="CW626" s="60"/>
      <c r="CX626" s="60"/>
      <c r="CY626" s="60"/>
      <c r="CZ626" s="60"/>
      <c r="DA626" s="60"/>
      <c r="DB626" s="60"/>
      <c r="DC626" s="60"/>
      <c r="DD626" s="60"/>
      <c r="DE626" s="60"/>
      <c r="DF626" s="60"/>
      <c r="DG626" s="60"/>
      <c r="DH626" s="60"/>
      <c r="DI626" s="60"/>
      <c r="DJ626" s="60"/>
      <c r="DK626" s="60"/>
      <c r="DL626" s="60"/>
      <c r="DM626" s="60"/>
      <c r="DN626" s="60"/>
      <c r="DO626" s="60"/>
      <c r="DP626" s="60"/>
      <c r="DQ626" s="60"/>
      <c r="DR626" s="60"/>
      <c r="DS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60"/>
      <c r="BJ627" s="60"/>
      <c r="BK627" s="60"/>
      <c r="BL627" s="60"/>
      <c r="BM627" s="60"/>
      <c r="BN627" s="60"/>
      <c r="BO627" s="60"/>
      <c r="BP627" s="60"/>
      <c r="BQ627" s="60"/>
      <c r="BR627" s="60"/>
      <c r="BS627" s="60"/>
      <c r="BT627" s="60"/>
      <c r="BU627" s="60"/>
      <c r="BV627" s="60"/>
      <c r="BW627" s="60"/>
      <c r="BX627" s="60"/>
      <c r="BY627" s="60"/>
      <c r="BZ627" s="60"/>
      <c r="CA627" s="60"/>
      <c r="CB627" s="60"/>
      <c r="CC627" s="60"/>
      <c r="CD627" s="60"/>
      <c r="CE627" s="60"/>
      <c r="CF627" s="60"/>
      <c r="CG627" s="60"/>
      <c r="CH627" s="60"/>
      <c r="CI627" s="60"/>
      <c r="CJ627" s="60"/>
      <c r="CK627" s="60"/>
      <c r="CL627" s="60"/>
      <c r="CM627" s="60"/>
      <c r="CN627" s="60"/>
      <c r="CO627" s="60"/>
      <c r="CP627" s="60"/>
      <c r="CQ627" s="60"/>
      <c r="CR627" s="60"/>
      <c r="CS627" s="60"/>
      <c r="CT627" s="60"/>
      <c r="CU627" s="60"/>
      <c r="CV627" s="60"/>
      <c r="CW627" s="60"/>
      <c r="CX627" s="60"/>
      <c r="CY627" s="60"/>
      <c r="CZ627" s="60"/>
      <c r="DA627" s="60"/>
      <c r="DB627" s="60"/>
      <c r="DC627" s="60"/>
      <c r="DD627" s="60"/>
      <c r="DE627" s="60"/>
      <c r="DF627" s="60"/>
      <c r="DG627" s="60"/>
      <c r="DH627" s="60"/>
      <c r="DI627" s="60"/>
      <c r="DJ627" s="60"/>
      <c r="DK627" s="60"/>
      <c r="DL627" s="60"/>
      <c r="DM627" s="60"/>
      <c r="DN627" s="60"/>
      <c r="DO627" s="60"/>
      <c r="DP627" s="60"/>
      <c r="DQ627" s="60"/>
      <c r="DR627" s="60"/>
      <c r="DS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60"/>
      <c r="BJ628" s="60"/>
      <c r="BK628" s="60"/>
      <c r="BL628" s="60"/>
      <c r="BM628" s="60"/>
      <c r="BN628" s="60"/>
      <c r="BO628" s="60"/>
      <c r="BP628" s="60"/>
      <c r="BQ628" s="60"/>
      <c r="BR628" s="60"/>
      <c r="BS628" s="60"/>
      <c r="BT628" s="60"/>
      <c r="BU628" s="60"/>
      <c r="BV628" s="60"/>
      <c r="BW628" s="60"/>
      <c r="BX628" s="60"/>
      <c r="BY628" s="60"/>
      <c r="BZ628" s="60"/>
      <c r="CA628" s="60"/>
      <c r="CB628" s="60"/>
      <c r="CC628" s="60"/>
      <c r="CD628" s="60"/>
      <c r="CE628" s="60"/>
      <c r="CF628" s="60"/>
      <c r="CG628" s="60"/>
      <c r="CH628" s="60"/>
      <c r="CI628" s="60"/>
      <c r="CJ628" s="60"/>
      <c r="CK628" s="60"/>
      <c r="CL628" s="60"/>
      <c r="CM628" s="60"/>
      <c r="CN628" s="60"/>
      <c r="CO628" s="60"/>
      <c r="CP628" s="60"/>
      <c r="CQ628" s="60"/>
      <c r="CR628" s="60"/>
      <c r="CS628" s="60"/>
      <c r="CT628" s="60"/>
      <c r="CU628" s="60"/>
      <c r="CV628" s="60"/>
      <c r="CW628" s="60"/>
      <c r="CX628" s="60"/>
      <c r="CY628" s="60"/>
      <c r="CZ628" s="60"/>
      <c r="DA628" s="60"/>
      <c r="DB628" s="60"/>
      <c r="DC628" s="60"/>
      <c r="DD628" s="60"/>
      <c r="DE628" s="60"/>
      <c r="DF628" s="60"/>
      <c r="DG628" s="60"/>
      <c r="DH628" s="60"/>
      <c r="DI628" s="60"/>
      <c r="DJ628" s="60"/>
      <c r="DK628" s="60"/>
      <c r="DL628" s="60"/>
      <c r="DM628" s="60"/>
      <c r="DN628" s="60"/>
      <c r="DO628" s="60"/>
      <c r="DP628" s="60"/>
      <c r="DQ628" s="60"/>
      <c r="DR628" s="60"/>
      <c r="DS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60"/>
      <c r="BJ629" s="60"/>
      <c r="BK629" s="60"/>
      <c r="BL629" s="60"/>
      <c r="BM629" s="60"/>
      <c r="BN629" s="60"/>
      <c r="BO629" s="60"/>
      <c r="BP629" s="60"/>
      <c r="BQ629" s="60"/>
      <c r="BR629" s="60"/>
      <c r="BS629" s="60"/>
      <c r="BT629" s="60"/>
      <c r="BU629" s="60"/>
      <c r="BV629" s="60"/>
      <c r="BW629" s="60"/>
      <c r="BX629" s="60"/>
      <c r="BY629" s="60"/>
      <c r="BZ629" s="60"/>
      <c r="CA629" s="60"/>
      <c r="CB629" s="60"/>
      <c r="CC629" s="60"/>
      <c r="CD629" s="60"/>
      <c r="CE629" s="60"/>
      <c r="CF629" s="60"/>
      <c r="CG629" s="60"/>
      <c r="CH629" s="60"/>
      <c r="CI629" s="60"/>
      <c r="CJ629" s="60"/>
      <c r="CK629" s="60"/>
      <c r="CL629" s="60"/>
      <c r="CM629" s="60"/>
      <c r="CN629" s="60"/>
      <c r="CO629" s="60"/>
      <c r="CP629" s="60"/>
      <c r="CQ629" s="60"/>
      <c r="CR629" s="60"/>
      <c r="CS629" s="60"/>
      <c r="CT629" s="60"/>
      <c r="CU629" s="60"/>
      <c r="CV629" s="60"/>
      <c r="CW629" s="60"/>
      <c r="CX629" s="60"/>
      <c r="CY629" s="60"/>
      <c r="CZ629" s="60"/>
      <c r="DA629" s="60"/>
      <c r="DB629" s="60"/>
      <c r="DC629" s="60"/>
      <c r="DD629" s="60"/>
      <c r="DE629" s="60"/>
      <c r="DF629" s="60"/>
      <c r="DG629" s="60"/>
      <c r="DH629" s="60"/>
      <c r="DI629" s="60"/>
      <c r="DJ629" s="60"/>
      <c r="DK629" s="60"/>
      <c r="DL629" s="60"/>
      <c r="DM629" s="60"/>
      <c r="DN629" s="60"/>
      <c r="DO629" s="60"/>
      <c r="DP629" s="60"/>
      <c r="DQ629" s="60"/>
      <c r="DR629" s="60"/>
      <c r="DS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/>
      <c r="BJ630" s="60"/>
      <c r="BK630" s="60"/>
      <c r="BL630" s="60"/>
      <c r="BM630" s="60"/>
      <c r="BN630" s="60"/>
      <c r="BO630" s="60"/>
      <c r="BP630" s="60"/>
      <c r="BQ630" s="60"/>
      <c r="BR630" s="60"/>
      <c r="BS630" s="60"/>
      <c r="BT630" s="60"/>
      <c r="BU630" s="60"/>
      <c r="BV630" s="60"/>
      <c r="BW630" s="60"/>
      <c r="BX630" s="60"/>
      <c r="BY630" s="60"/>
      <c r="BZ630" s="60"/>
      <c r="CA630" s="60"/>
      <c r="CB630" s="60"/>
      <c r="CC630" s="60"/>
      <c r="CD630" s="60"/>
      <c r="CE630" s="60"/>
      <c r="CF630" s="60"/>
      <c r="CG630" s="60"/>
      <c r="CH630" s="60"/>
      <c r="CI630" s="60"/>
      <c r="CJ630" s="60"/>
      <c r="CK630" s="60"/>
      <c r="CL630" s="60"/>
      <c r="CM630" s="60"/>
      <c r="CN630" s="60"/>
      <c r="CO630" s="60"/>
      <c r="CP630" s="60"/>
      <c r="CQ630" s="60"/>
      <c r="CR630" s="60"/>
      <c r="CS630" s="60"/>
      <c r="CT630" s="60"/>
      <c r="CU630" s="60"/>
      <c r="CV630" s="60"/>
      <c r="CW630" s="60"/>
      <c r="CX630" s="60"/>
      <c r="CY630" s="60"/>
      <c r="CZ630" s="60"/>
      <c r="DA630" s="60"/>
      <c r="DB630" s="60"/>
      <c r="DC630" s="60"/>
      <c r="DD630" s="60"/>
      <c r="DE630" s="60"/>
      <c r="DF630" s="60"/>
      <c r="DG630" s="60"/>
      <c r="DH630" s="60"/>
      <c r="DI630" s="60"/>
      <c r="DJ630" s="60"/>
      <c r="DK630" s="60"/>
      <c r="DL630" s="60"/>
      <c r="DM630" s="60"/>
      <c r="DN630" s="60"/>
      <c r="DO630" s="60"/>
      <c r="DP630" s="60"/>
      <c r="DQ630" s="60"/>
      <c r="DR630" s="60"/>
      <c r="DS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60"/>
      <c r="BJ631" s="60"/>
      <c r="BK631" s="60"/>
      <c r="BL631" s="60"/>
      <c r="BM631" s="60"/>
      <c r="BN631" s="60"/>
      <c r="BO631" s="60"/>
      <c r="BP631" s="60"/>
      <c r="BQ631" s="60"/>
      <c r="BR631" s="60"/>
      <c r="BS631" s="60"/>
      <c r="BT631" s="60"/>
      <c r="BU631" s="60"/>
      <c r="BV631" s="60"/>
      <c r="BW631" s="60"/>
      <c r="BX631" s="60"/>
      <c r="BY631" s="60"/>
      <c r="BZ631" s="60"/>
      <c r="CA631" s="60"/>
      <c r="CB631" s="60"/>
      <c r="CC631" s="60"/>
      <c r="CD631" s="60"/>
      <c r="CE631" s="60"/>
      <c r="CF631" s="60"/>
      <c r="CG631" s="60"/>
      <c r="CH631" s="60"/>
      <c r="CI631" s="60"/>
      <c r="CJ631" s="60"/>
      <c r="CK631" s="60"/>
      <c r="CL631" s="60"/>
      <c r="CM631" s="60"/>
      <c r="CN631" s="60"/>
      <c r="CO631" s="60"/>
      <c r="CP631" s="60"/>
      <c r="CQ631" s="60"/>
      <c r="CR631" s="60"/>
      <c r="CS631" s="60"/>
      <c r="CT631" s="60"/>
      <c r="CU631" s="60"/>
      <c r="CV631" s="60"/>
      <c r="CW631" s="60"/>
      <c r="CX631" s="60"/>
      <c r="CY631" s="60"/>
      <c r="CZ631" s="60"/>
      <c r="DA631" s="60"/>
      <c r="DB631" s="60"/>
      <c r="DC631" s="60"/>
      <c r="DD631" s="60"/>
      <c r="DE631" s="60"/>
      <c r="DF631" s="60"/>
      <c r="DG631" s="60"/>
      <c r="DH631" s="60"/>
      <c r="DI631" s="60"/>
      <c r="DJ631" s="60"/>
      <c r="DK631" s="60"/>
      <c r="DL631" s="60"/>
      <c r="DM631" s="60"/>
      <c r="DN631" s="60"/>
      <c r="DO631" s="60"/>
      <c r="DP631" s="60"/>
      <c r="DQ631" s="60"/>
      <c r="DR631" s="60"/>
      <c r="DS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60"/>
      <c r="BJ632" s="60"/>
      <c r="BK632" s="60"/>
      <c r="BL632" s="60"/>
      <c r="BM632" s="60"/>
      <c r="BN632" s="60"/>
      <c r="BO632" s="60"/>
      <c r="BP632" s="60"/>
      <c r="BQ632" s="60"/>
      <c r="BR632" s="60"/>
      <c r="BS632" s="60"/>
      <c r="BT632" s="60"/>
      <c r="BU632" s="60"/>
      <c r="BV632" s="60"/>
      <c r="BW632" s="60"/>
      <c r="BX632" s="60"/>
      <c r="BY632" s="60"/>
      <c r="BZ632" s="60"/>
      <c r="CA632" s="60"/>
      <c r="CB632" s="60"/>
      <c r="CC632" s="60"/>
      <c r="CD632" s="60"/>
      <c r="CE632" s="60"/>
      <c r="CF632" s="60"/>
      <c r="CG632" s="60"/>
      <c r="CH632" s="60"/>
      <c r="CI632" s="60"/>
      <c r="CJ632" s="60"/>
      <c r="CK632" s="60"/>
      <c r="CL632" s="60"/>
      <c r="CM632" s="60"/>
      <c r="CN632" s="60"/>
      <c r="CO632" s="60"/>
      <c r="CP632" s="60"/>
      <c r="CQ632" s="60"/>
      <c r="CR632" s="60"/>
      <c r="CS632" s="60"/>
      <c r="CT632" s="60"/>
      <c r="CU632" s="60"/>
      <c r="CV632" s="60"/>
      <c r="CW632" s="60"/>
      <c r="CX632" s="60"/>
      <c r="CY632" s="60"/>
      <c r="CZ632" s="60"/>
      <c r="DA632" s="60"/>
      <c r="DB632" s="60"/>
      <c r="DC632" s="60"/>
      <c r="DD632" s="60"/>
      <c r="DE632" s="60"/>
      <c r="DF632" s="60"/>
      <c r="DG632" s="60"/>
      <c r="DH632" s="60"/>
      <c r="DI632" s="60"/>
      <c r="DJ632" s="60"/>
      <c r="DK632" s="60"/>
      <c r="DL632" s="60"/>
      <c r="DM632" s="60"/>
      <c r="DN632" s="60"/>
      <c r="DO632" s="60"/>
      <c r="DP632" s="60"/>
      <c r="DQ632" s="60"/>
      <c r="DR632" s="60"/>
      <c r="DS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/>
      <c r="BJ633" s="60"/>
      <c r="BK633" s="60"/>
      <c r="BL633" s="60"/>
      <c r="BM633" s="60"/>
      <c r="BN633" s="60"/>
      <c r="BO633" s="60"/>
      <c r="BP633" s="60"/>
      <c r="BQ633" s="60"/>
      <c r="BR633" s="60"/>
      <c r="BS633" s="60"/>
      <c r="BT633" s="60"/>
      <c r="BU633" s="60"/>
      <c r="BV633" s="60"/>
      <c r="BW633" s="60"/>
      <c r="BX633" s="60"/>
      <c r="BY633" s="60"/>
      <c r="BZ633" s="60"/>
      <c r="CA633" s="60"/>
      <c r="CB633" s="60"/>
      <c r="CC633" s="60"/>
      <c r="CD633" s="60"/>
      <c r="CE633" s="60"/>
      <c r="CF633" s="60"/>
      <c r="CG633" s="60"/>
      <c r="CH633" s="60"/>
      <c r="CI633" s="60"/>
      <c r="CJ633" s="60"/>
      <c r="CK633" s="60"/>
      <c r="CL633" s="60"/>
      <c r="CM633" s="60"/>
      <c r="CN633" s="60"/>
      <c r="CO633" s="60"/>
      <c r="CP633" s="60"/>
      <c r="CQ633" s="60"/>
      <c r="CR633" s="60"/>
      <c r="CS633" s="60"/>
      <c r="CT633" s="60"/>
      <c r="CU633" s="60"/>
      <c r="CV633" s="60"/>
      <c r="CW633" s="60"/>
      <c r="CX633" s="60"/>
      <c r="CY633" s="60"/>
      <c r="CZ633" s="60"/>
      <c r="DA633" s="60"/>
      <c r="DB633" s="60"/>
      <c r="DC633" s="60"/>
      <c r="DD633" s="60"/>
      <c r="DE633" s="60"/>
      <c r="DF633" s="60"/>
      <c r="DG633" s="60"/>
      <c r="DH633" s="60"/>
      <c r="DI633" s="60"/>
      <c r="DJ633" s="60"/>
      <c r="DK633" s="60"/>
      <c r="DL633" s="60"/>
      <c r="DM633" s="60"/>
      <c r="DN633" s="60"/>
      <c r="DO633" s="60"/>
      <c r="DP633" s="60"/>
      <c r="DQ633" s="60"/>
      <c r="DR633" s="60"/>
      <c r="DS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60"/>
      <c r="BJ634" s="60"/>
      <c r="BK634" s="60"/>
      <c r="BL634" s="60"/>
      <c r="BM634" s="60"/>
      <c r="BN634" s="60"/>
      <c r="BO634" s="60"/>
      <c r="BP634" s="60"/>
      <c r="BQ634" s="60"/>
      <c r="BR634" s="60"/>
      <c r="BS634" s="60"/>
      <c r="BT634" s="60"/>
      <c r="BU634" s="60"/>
      <c r="BV634" s="60"/>
      <c r="BW634" s="60"/>
      <c r="BX634" s="60"/>
      <c r="BY634" s="60"/>
      <c r="BZ634" s="60"/>
      <c r="CA634" s="60"/>
      <c r="CB634" s="60"/>
      <c r="CC634" s="60"/>
      <c r="CD634" s="60"/>
      <c r="CE634" s="60"/>
      <c r="CF634" s="60"/>
      <c r="CG634" s="60"/>
      <c r="CH634" s="60"/>
      <c r="CI634" s="60"/>
      <c r="CJ634" s="60"/>
      <c r="CK634" s="60"/>
      <c r="CL634" s="60"/>
      <c r="CM634" s="60"/>
      <c r="CN634" s="60"/>
      <c r="CO634" s="60"/>
      <c r="CP634" s="60"/>
      <c r="CQ634" s="60"/>
      <c r="CR634" s="60"/>
      <c r="CS634" s="60"/>
      <c r="CT634" s="60"/>
      <c r="CU634" s="60"/>
      <c r="CV634" s="60"/>
      <c r="CW634" s="60"/>
      <c r="CX634" s="60"/>
      <c r="CY634" s="60"/>
      <c r="CZ634" s="60"/>
      <c r="DA634" s="60"/>
      <c r="DB634" s="60"/>
      <c r="DC634" s="60"/>
      <c r="DD634" s="60"/>
      <c r="DE634" s="60"/>
      <c r="DF634" s="60"/>
      <c r="DG634" s="60"/>
      <c r="DH634" s="60"/>
      <c r="DI634" s="60"/>
      <c r="DJ634" s="60"/>
      <c r="DK634" s="60"/>
      <c r="DL634" s="60"/>
      <c r="DM634" s="60"/>
      <c r="DN634" s="60"/>
      <c r="DO634" s="60"/>
      <c r="DP634" s="60"/>
      <c r="DQ634" s="60"/>
      <c r="DR634" s="60"/>
      <c r="DS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60"/>
      <c r="BJ635" s="60"/>
      <c r="BK635" s="60"/>
      <c r="BL635" s="60"/>
      <c r="BM635" s="60"/>
      <c r="BN635" s="60"/>
      <c r="BO635" s="60"/>
      <c r="BP635" s="60"/>
      <c r="BQ635" s="60"/>
      <c r="BR635" s="60"/>
      <c r="BS635" s="60"/>
      <c r="BT635" s="60"/>
      <c r="BU635" s="60"/>
      <c r="BV635" s="60"/>
      <c r="BW635" s="60"/>
      <c r="BX635" s="60"/>
      <c r="BY635" s="60"/>
      <c r="BZ635" s="60"/>
      <c r="CA635" s="60"/>
      <c r="CB635" s="60"/>
      <c r="CC635" s="60"/>
      <c r="CD635" s="60"/>
      <c r="CE635" s="60"/>
      <c r="CF635" s="60"/>
      <c r="CG635" s="60"/>
      <c r="CH635" s="60"/>
      <c r="CI635" s="60"/>
      <c r="CJ635" s="60"/>
      <c r="CK635" s="60"/>
      <c r="CL635" s="60"/>
      <c r="CM635" s="60"/>
      <c r="CN635" s="60"/>
      <c r="CO635" s="60"/>
      <c r="CP635" s="60"/>
      <c r="CQ635" s="60"/>
      <c r="CR635" s="60"/>
      <c r="CS635" s="60"/>
      <c r="CT635" s="60"/>
      <c r="CU635" s="60"/>
      <c r="CV635" s="60"/>
      <c r="CW635" s="60"/>
      <c r="CX635" s="60"/>
      <c r="CY635" s="60"/>
      <c r="CZ635" s="60"/>
      <c r="DA635" s="60"/>
      <c r="DB635" s="60"/>
      <c r="DC635" s="60"/>
      <c r="DD635" s="60"/>
      <c r="DE635" s="60"/>
      <c r="DF635" s="60"/>
      <c r="DG635" s="60"/>
      <c r="DH635" s="60"/>
      <c r="DI635" s="60"/>
      <c r="DJ635" s="60"/>
      <c r="DK635" s="60"/>
      <c r="DL635" s="60"/>
      <c r="DM635" s="60"/>
      <c r="DN635" s="60"/>
      <c r="DO635" s="60"/>
      <c r="DP635" s="60"/>
      <c r="DQ635" s="60"/>
      <c r="DR635" s="60"/>
      <c r="DS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/>
      <c r="BJ636" s="60"/>
      <c r="BK636" s="60"/>
      <c r="BL636" s="60"/>
      <c r="BM636" s="60"/>
      <c r="BN636" s="60"/>
      <c r="BO636" s="60"/>
      <c r="BP636" s="60"/>
      <c r="BQ636" s="60"/>
      <c r="BR636" s="60"/>
      <c r="BS636" s="60"/>
      <c r="BT636" s="60"/>
      <c r="BU636" s="60"/>
      <c r="BV636" s="60"/>
      <c r="BW636" s="60"/>
      <c r="BX636" s="60"/>
      <c r="BY636" s="60"/>
      <c r="BZ636" s="60"/>
      <c r="CA636" s="60"/>
      <c r="CB636" s="60"/>
      <c r="CC636" s="60"/>
      <c r="CD636" s="60"/>
      <c r="CE636" s="60"/>
      <c r="CF636" s="60"/>
      <c r="CG636" s="60"/>
      <c r="CH636" s="60"/>
      <c r="CI636" s="60"/>
      <c r="CJ636" s="60"/>
      <c r="CK636" s="60"/>
      <c r="CL636" s="60"/>
      <c r="CM636" s="60"/>
      <c r="CN636" s="60"/>
      <c r="CO636" s="60"/>
      <c r="CP636" s="60"/>
      <c r="CQ636" s="60"/>
      <c r="CR636" s="60"/>
      <c r="CS636" s="60"/>
      <c r="CT636" s="60"/>
      <c r="CU636" s="60"/>
      <c r="CV636" s="60"/>
      <c r="CW636" s="60"/>
      <c r="CX636" s="60"/>
      <c r="CY636" s="60"/>
      <c r="CZ636" s="60"/>
      <c r="DA636" s="60"/>
      <c r="DB636" s="60"/>
      <c r="DC636" s="60"/>
      <c r="DD636" s="60"/>
      <c r="DE636" s="60"/>
      <c r="DF636" s="60"/>
      <c r="DG636" s="60"/>
      <c r="DH636" s="60"/>
      <c r="DI636" s="60"/>
      <c r="DJ636" s="60"/>
      <c r="DK636" s="60"/>
      <c r="DL636" s="60"/>
      <c r="DM636" s="60"/>
      <c r="DN636" s="60"/>
      <c r="DO636" s="60"/>
      <c r="DP636" s="60"/>
      <c r="DQ636" s="60"/>
      <c r="DR636" s="60"/>
      <c r="DS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60"/>
      <c r="BJ637" s="60"/>
      <c r="BK637" s="60"/>
      <c r="BL637" s="60"/>
      <c r="BM637" s="60"/>
      <c r="BN637" s="60"/>
      <c r="BO637" s="60"/>
      <c r="BP637" s="60"/>
      <c r="BQ637" s="60"/>
      <c r="BR637" s="60"/>
      <c r="BS637" s="60"/>
      <c r="BT637" s="60"/>
      <c r="BU637" s="60"/>
      <c r="BV637" s="60"/>
      <c r="BW637" s="60"/>
      <c r="BX637" s="60"/>
      <c r="BY637" s="60"/>
      <c r="BZ637" s="60"/>
      <c r="CA637" s="60"/>
      <c r="CB637" s="60"/>
      <c r="CC637" s="60"/>
      <c r="CD637" s="60"/>
      <c r="CE637" s="60"/>
      <c r="CF637" s="60"/>
      <c r="CG637" s="60"/>
      <c r="CH637" s="60"/>
      <c r="CI637" s="60"/>
      <c r="CJ637" s="60"/>
      <c r="CK637" s="60"/>
      <c r="CL637" s="60"/>
      <c r="CM637" s="60"/>
      <c r="CN637" s="60"/>
      <c r="CO637" s="60"/>
      <c r="CP637" s="60"/>
      <c r="CQ637" s="60"/>
      <c r="CR637" s="60"/>
      <c r="CS637" s="60"/>
      <c r="CT637" s="60"/>
      <c r="CU637" s="60"/>
      <c r="CV637" s="60"/>
      <c r="CW637" s="60"/>
      <c r="CX637" s="60"/>
      <c r="CY637" s="60"/>
      <c r="CZ637" s="60"/>
      <c r="DA637" s="60"/>
      <c r="DB637" s="60"/>
      <c r="DC637" s="60"/>
      <c r="DD637" s="60"/>
      <c r="DE637" s="60"/>
      <c r="DF637" s="60"/>
      <c r="DG637" s="60"/>
      <c r="DH637" s="60"/>
      <c r="DI637" s="60"/>
      <c r="DJ637" s="60"/>
      <c r="DK637" s="60"/>
      <c r="DL637" s="60"/>
      <c r="DM637" s="60"/>
      <c r="DN637" s="60"/>
      <c r="DO637" s="60"/>
      <c r="DP637" s="60"/>
      <c r="DQ637" s="60"/>
      <c r="DR637" s="60"/>
      <c r="DS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/>
      <c r="BJ638" s="60"/>
      <c r="BK638" s="60"/>
      <c r="BL638" s="60"/>
      <c r="BM638" s="60"/>
      <c r="BN638" s="60"/>
      <c r="BO638" s="60"/>
      <c r="BP638" s="60"/>
      <c r="BQ638" s="60"/>
      <c r="BR638" s="60"/>
      <c r="BS638" s="60"/>
      <c r="BT638" s="60"/>
      <c r="BU638" s="60"/>
      <c r="BV638" s="60"/>
      <c r="BW638" s="60"/>
      <c r="BX638" s="60"/>
      <c r="BY638" s="60"/>
      <c r="BZ638" s="60"/>
      <c r="CA638" s="60"/>
      <c r="CB638" s="60"/>
      <c r="CC638" s="60"/>
      <c r="CD638" s="60"/>
      <c r="CE638" s="60"/>
      <c r="CF638" s="60"/>
      <c r="CG638" s="60"/>
      <c r="CH638" s="60"/>
      <c r="CI638" s="60"/>
      <c r="CJ638" s="60"/>
      <c r="CK638" s="60"/>
      <c r="CL638" s="60"/>
      <c r="CM638" s="60"/>
      <c r="CN638" s="60"/>
      <c r="CO638" s="60"/>
      <c r="CP638" s="60"/>
      <c r="CQ638" s="60"/>
      <c r="CR638" s="60"/>
      <c r="CS638" s="60"/>
      <c r="CT638" s="60"/>
      <c r="CU638" s="60"/>
      <c r="CV638" s="60"/>
      <c r="CW638" s="60"/>
      <c r="CX638" s="60"/>
      <c r="CY638" s="60"/>
      <c r="CZ638" s="60"/>
      <c r="DA638" s="60"/>
      <c r="DB638" s="60"/>
      <c r="DC638" s="60"/>
      <c r="DD638" s="60"/>
      <c r="DE638" s="60"/>
      <c r="DF638" s="60"/>
      <c r="DG638" s="60"/>
      <c r="DH638" s="60"/>
      <c r="DI638" s="60"/>
      <c r="DJ638" s="60"/>
      <c r="DK638" s="60"/>
      <c r="DL638" s="60"/>
      <c r="DM638" s="60"/>
      <c r="DN638" s="60"/>
      <c r="DO638" s="60"/>
      <c r="DP638" s="60"/>
      <c r="DQ638" s="60"/>
      <c r="DR638" s="60"/>
      <c r="DS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60"/>
      <c r="BJ639" s="60"/>
      <c r="BK639" s="60"/>
      <c r="BL639" s="60"/>
      <c r="BM639" s="60"/>
      <c r="BN639" s="60"/>
      <c r="BO639" s="60"/>
      <c r="BP639" s="60"/>
      <c r="BQ639" s="60"/>
      <c r="BR639" s="60"/>
      <c r="BS639" s="60"/>
      <c r="BT639" s="60"/>
      <c r="BU639" s="60"/>
      <c r="BV639" s="60"/>
      <c r="BW639" s="60"/>
      <c r="BX639" s="60"/>
      <c r="BY639" s="60"/>
      <c r="BZ639" s="60"/>
      <c r="CA639" s="60"/>
      <c r="CB639" s="60"/>
      <c r="CC639" s="60"/>
      <c r="CD639" s="60"/>
      <c r="CE639" s="60"/>
      <c r="CF639" s="60"/>
      <c r="CG639" s="60"/>
      <c r="CH639" s="60"/>
      <c r="CI639" s="60"/>
      <c r="CJ639" s="60"/>
      <c r="CK639" s="60"/>
      <c r="CL639" s="60"/>
      <c r="CM639" s="60"/>
      <c r="CN639" s="60"/>
      <c r="CO639" s="60"/>
      <c r="CP639" s="60"/>
      <c r="CQ639" s="60"/>
      <c r="CR639" s="60"/>
      <c r="CS639" s="60"/>
      <c r="CT639" s="60"/>
      <c r="CU639" s="60"/>
      <c r="CV639" s="60"/>
      <c r="CW639" s="60"/>
      <c r="CX639" s="60"/>
      <c r="CY639" s="60"/>
      <c r="CZ639" s="60"/>
      <c r="DA639" s="60"/>
      <c r="DB639" s="60"/>
      <c r="DC639" s="60"/>
      <c r="DD639" s="60"/>
      <c r="DE639" s="60"/>
      <c r="DF639" s="60"/>
      <c r="DG639" s="60"/>
      <c r="DH639" s="60"/>
      <c r="DI639" s="60"/>
      <c r="DJ639" s="60"/>
      <c r="DK639" s="60"/>
      <c r="DL639" s="60"/>
      <c r="DM639" s="60"/>
      <c r="DN639" s="60"/>
      <c r="DO639" s="60"/>
      <c r="DP639" s="60"/>
      <c r="DQ639" s="60"/>
      <c r="DR639" s="60"/>
      <c r="DS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60"/>
      <c r="BJ640" s="60"/>
      <c r="BK640" s="60"/>
      <c r="BL640" s="60"/>
      <c r="BM640" s="60"/>
      <c r="BN640" s="60"/>
      <c r="BO640" s="60"/>
      <c r="BP640" s="60"/>
      <c r="BQ640" s="60"/>
      <c r="BR640" s="60"/>
      <c r="BS640" s="60"/>
      <c r="BT640" s="60"/>
      <c r="BU640" s="60"/>
      <c r="BV640" s="60"/>
      <c r="BW640" s="60"/>
      <c r="BX640" s="60"/>
      <c r="BY640" s="60"/>
      <c r="BZ640" s="60"/>
      <c r="CA640" s="60"/>
      <c r="CB640" s="60"/>
      <c r="CC640" s="60"/>
      <c r="CD640" s="60"/>
      <c r="CE640" s="60"/>
      <c r="CF640" s="60"/>
      <c r="CG640" s="60"/>
      <c r="CH640" s="60"/>
      <c r="CI640" s="60"/>
      <c r="CJ640" s="60"/>
      <c r="CK640" s="60"/>
      <c r="CL640" s="60"/>
      <c r="CM640" s="60"/>
      <c r="CN640" s="60"/>
      <c r="CO640" s="60"/>
      <c r="CP640" s="60"/>
      <c r="CQ640" s="60"/>
      <c r="CR640" s="60"/>
      <c r="CS640" s="60"/>
      <c r="CT640" s="60"/>
      <c r="CU640" s="60"/>
      <c r="CV640" s="60"/>
      <c r="CW640" s="60"/>
      <c r="CX640" s="60"/>
      <c r="CY640" s="60"/>
      <c r="CZ640" s="60"/>
      <c r="DA640" s="60"/>
      <c r="DB640" s="60"/>
      <c r="DC640" s="60"/>
      <c r="DD640" s="60"/>
      <c r="DE640" s="60"/>
      <c r="DF640" s="60"/>
      <c r="DG640" s="60"/>
      <c r="DH640" s="60"/>
      <c r="DI640" s="60"/>
      <c r="DJ640" s="60"/>
      <c r="DK640" s="60"/>
      <c r="DL640" s="60"/>
      <c r="DM640" s="60"/>
      <c r="DN640" s="60"/>
      <c r="DO640" s="60"/>
      <c r="DP640" s="60"/>
      <c r="DQ640" s="60"/>
      <c r="DR640" s="60"/>
      <c r="DS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/>
      <c r="BJ641" s="60"/>
      <c r="BK641" s="60"/>
      <c r="BL641" s="60"/>
      <c r="BM641" s="60"/>
      <c r="BN641" s="60"/>
      <c r="BO641" s="60"/>
      <c r="BP641" s="60"/>
      <c r="BQ641" s="60"/>
      <c r="BR641" s="60"/>
      <c r="BS641" s="60"/>
      <c r="BT641" s="60"/>
      <c r="BU641" s="60"/>
      <c r="BV641" s="60"/>
      <c r="BW641" s="60"/>
      <c r="BX641" s="60"/>
      <c r="BY641" s="60"/>
      <c r="BZ641" s="60"/>
      <c r="CA641" s="60"/>
      <c r="CB641" s="60"/>
      <c r="CC641" s="60"/>
      <c r="CD641" s="60"/>
      <c r="CE641" s="60"/>
      <c r="CF641" s="60"/>
      <c r="CG641" s="60"/>
      <c r="CH641" s="60"/>
      <c r="CI641" s="60"/>
      <c r="CJ641" s="60"/>
      <c r="CK641" s="60"/>
      <c r="CL641" s="60"/>
      <c r="CM641" s="60"/>
      <c r="CN641" s="60"/>
      <c r="CO641" s="60"/>
      <c r="CP641" s="60"/>
      <c r="CQ641" s="60"/>
      <c r="CR641" s="60"/>
      <c r="CS641" s="60"/>
      <c r="CT641" s="60"/>
      <c r="CU641" s="60"/>
      <c r="CV641" s="60"/>
      <c r="CW641" s="60"/>
      <c r="CX641" s="60"/>
      <c r="CY641" s="60"/>
      <c r="CZ641" s="60"/>
      <c r="DA641" s="60"/>
      <c r="DB641" s="60"/>
      <c r="DC641" s="60"/>
      <c r="DD641" s="60"/>
      <c r="DE641" s="60"/>
      <c r="DF641" s="60"/>
      <c r="DG641" s="60"/>
      <c r="DH641" s="60"/>
      <c r="DI641" s="60"/>
      <c r="DJ641" s="60"/>
      <c r="DK641" s="60"/>
      <c r="DL641" s="60"/>
      <c r="DM641" s="60"/>
      <c r="DN641" s="60"/>
      <c r="DO641" s="60"/>
      <c r="DP641" s="60"/>
      <c r="DQ641" s="60"/>
      <c r="DR641" s="60"/>
      <c r="DS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60"/>
      <c r="BJ642" s="60"/>
      <c r="BK642" s="60"/>
      <c r="BL642" s="60"/>
      <c r="BM642" s="60"/>
      <c r="BN642" s="60"/>
      <c r="BO642" s="60"/>
      <c r="BP642" s="60"/>
      <c r="BQ642" s="60"/>
      <c r="BR642" s="60"/>
      <c r="BS642" s="60"/>
      <c r="BT642" s="60"/>
      <c r="BU642" s="60"/>
      <c r="BV642" s="60"/>
      <c r="BW642" s="60"/>
      <c r="BX642" s="60"/>
      <c r="BY642" s="60"/>
      <c r="BZ642" s="60"/>
      <c r="CA642" s="60"/>
      <c r="CB642" s="60"/>
      <c r="CC642" s="60"/>
      <c r="CD642" s="60"/>
      <c r="CE642" s="60"/>
      <c r="CF642" s="60"/>
      <c r="CG642" s="60"/>
      <c r="CH642" s="60"/>
      <c r="CI642" s="60"/>
      <c r="CJ642" s="60"/>
      <c r="CK642" s="60"/>
      <c r="CL642" s="60"/>
      <c r="CM642" s="60"/>
      <c r="CN642" s="60"/>
      <c r="CO642" s="60"/>
      <c r="CP642" s="60"/>
      <c r="CQ642" s="60"/>
      <c r="CR642" s="60"/>
      <c r="CS642" s="60"/>
      <c r="CT642" s="60"/>
      <c r="CU642" s="60"/>
      <c r="CV642" s="60"/>
      <c r="CW642" s="60"/>
      <c r="CX642" s="60"/>
      <c r="CY642" s="60"/>
      <c r="CZ642" s="60"/>
      <c r="DA642" s="60"/>
      <c r="DB642" s="60"/>
      <c r="DC642" s="60"/>
      <c r="DD642" s="60"/>
      <c r="DE642" s="60"/>
      <c r="DF642" s="60"/>
      <c r="DG642" s="60"/>
      <c r="DH642" s="60"/>
      <c r="DI642" s="60"/>
      <c r="DJ642" s="60"/>
      <c r="DK642" s="60"/>
      <c r="DL642" s="60"/>
      <c r="DM642" s="60"/>
      <c r="DN642" s="60"/>
      <c r="DO642" s="60"/>
      <c r="DP642" s="60"/>
      <c r="DQ642" s="60"/>
      <c r="DR642" s="60"/>
      <c r="DS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/>
      <c r="BJ643" s="60"/>
      <c r="BK643" s="60"/>
      <c r="BL643" s="60"/>
      <c r="BM643" s="60"/>
      <c r="BN643" s="60"/>
      <c r="BO643" s="60"/>
      <c r="BP643" s="60"/>
      <c r="BQ643" s="60"/>
      <c r="BR643" s="60"/>
      <c r="BS643" s="60"/>
      <c r="BT643" s="60"/>
      <c r="BU643" s="60"/>
      <c r="BV643" s="60"/>
      <c r="BW643" s="60"/>
      <c r="BX643" s="60"/>
      <c r="BY643" s="60"/>
      <c r="BZ643" s="60"/>
      <c r="CA643" s="60"/>
      <c r="CB643" s="60"/>
      <c r="CC643" s="60"/>
      <c r="CD643" s="60"/>
      <c r="CE643" s="60"/>
      <c r="CF643" s="60"/>
      <c r="CG643" s="60"/>
      <c r="CH643" s="60"/>
      <c r="CI643" s="60"/>
      <c r="CJ643" s="60"/>
      <c r="CK643" s="60"/>
      <c r="CL643" s="60"/>
      <c r="CM643" s="60"/>
      <c r="CN643" s="60"/>
      <c r="CO643" s="60"/>
      <c r="CP643" s="60"/>
      <c r="CQ643" s="60"/>
      <c r="CR643" s="60"/>
      <c r="CS643" s="60"/>
      <c r="CT643" s="60"/>
      <c r="CU643" s="60"/>
      <c r="CV643" s="60"/>
      <c r="CW643" s="60"/>
      <c r="CX643" s="60"/>
      <c r="CY643" s="60"/>
      <c r="CZ643" s="60"/>
      <c r="DA643" s="60"/>
      <c r="DB643" s="60"/>
      <c r="DC643" s="60"/>
      <c r="DD643" s="60"/>
      <c r="DE643" s="60"/>
      <c r="DF643" s="60"/>
      <c r="DG643" s="60"/>
      <c r="DH643" s="60"/>
      <c r="DI643" s="60"/>
      <c r="DJ643" s="60"/>
      <c r="DK643" s="60"/>
      <c r="DL643" s="60"/>
      <c r="DM643" s="60"/>
      <c r="DN643" s="60"/>
      <c r="DO643" s="60"/>
      <c r="DP643" s="60"/>
      <c r="DQ643" s="60"/>
      <c r="DR643" s="60"/>
      <c r="DS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60"/>
      <c r="BJ644" s="60"/>
      <c r="BK644" s="60"/>
      <c r="BL644" s="60"/>
      <c r="BM644" s="60"/>
      <c r="BN644" s="60"/>
      <c r="BO644" s="60"/>
      <c r="BP644" s="60"/>
      <c r="BQ644" s="60"/>
      <c r="BR644" s="60"/>
      <c r="BS644" s="60"/>
      <c r="BT644" s="60"/>
      <c r="BU644" s="60"/>
      <c r="BV644" s="60"/>
      <c r="BW644" s="60"/>
      <c r="BX644" s="60"/>
      <c r="BY644" s="60"/>
      <c r="BZ644" s="60"/>
      <c r="CA644" s="60"/>
      <c r="CB644" s="60"/>
      <c r="CC644" s="60"/>
      <c r="CD644" s="60"/>
      <c r="CE644" s="60"/>
      <c r="CF644" s="60"/>
      <c r="CG644" s="60"/>
      <c r="CH644" s="60"/>
      <c r="CI644" s="60"/>
      <c r="CJ644" s="60"/>
      <c r="CK644" s="60"/>
      <c r="CL644" s="60"/>
      <c r="CM644" s="60"/>
      <c r="CN644" s="60"/>
      <c r="CO644" s="60"/>
      <c r="CP644" s="60"/>
      <c r="CQ644" s="60"/>
      <c r="CR644" s="60"/>
      <c r="CS644" s="60"/>
      <c r="CT644" s="60"/>
      <c r="CU644" s="60"/>
      <c r="CV644" s="60"/>
      <c r="CW644" s="60"/>
      <c r="CX644" s="60"/>
      <c r="CY644" s="60"/>
      <c r="CZ644" s="60"/>
      <c r="DA644" s="60"/>
      <c r="DB644" s="60"/>
      <c r="DC644" s="60"/>
      <c r="DD644" s="60"/>
      <c r="DE644" s="60"/>
      <c r="DF644" s="60"/>
      <c r="DG644" s="60"/>
      <c r="DH644" s="60"/>
      <c r="DI644" s="60"/>
      <c r="DJ644" s="60"/>
      <c r="DK644" s="60"/>
      <c r="DL644" s="60"/>
      <c r="DM644" s="60"/>
      <c r="DN644" s="60"/>
      <c r="DO644" s="60"/>
      <c r="DP644" s="60"/>
      <c r="DQ644" s="60"/>
      <c r="DR644" s="60"/>
      <c r="DS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/>
      <c r="BJ645" s="60"/>
      <c r="BK645" s="60"/>
      <c r="BL645" s="60"/>
      <c r="BM645" s="60"/>
      <c r="BN645" s="60"/>
      <c r="BO645" s="60"/>
      <c r="BP645" s="60"/>
      <c r="BQ645" s="60"/>
      <c r="BR645" s="60"/>
      <c r="BS645" s="60"/>
      <c r="BT645" s="60"/>
      <c r="BU645" s="60"/>
      <c r="BV645" s="60"/>
      <c r="BW645" s="60"/>
      <c r="BX645" s="60"/>
      <c r="BY645" s="60"/>
      <c r="BZ645" s="60"/>
      <c r="CA645" s="60"/>
      <c r="CB645" s="60"/>
      <c r="CC645" s="60"/>
      <c r="CD645" s="60"/>
      <c r="CE645" s="60"/>
      <c r="CF645" s="60"/>
      <c r="CG645" s="60"/>
      <c r="CH645" s="60"/>
      <c r="CI645" s="60"/>
      <c r="CJ645" s="60"/>
      <c r="CK645" s="60"/>
      <c r="CL645" s="60"/>
      <c r="CM645" s="60"/>
      <c r="CN645" s="60"/>
      <c r="CO645" s="60"/>
      <c r="CP645" s="60"/>
      <c r="CQ645" s="60"/>
      <c r="CR645" s="60"/>
      <c r="CS645" s="60"/>
      <c r="CT645" s="60"/>
      <c r="CU645" s="60"/>
      <c r="CV645" s="60"/>
      <c r="CW645" s="60"/>
      <c r="CX645" s="60"/>
      <c r="CY645" s="60"/>
      <c r="CZ645" s="60"/>
      <c r="DA645" s="60"/>
      <c r="DB645" s="60"/>
      <c r="DC645" s="60"/>
      <c r="DD645" s="60"/>
      <c r="DE645" s="60"/>
      <c r="DF645" s="60"/>
      <c r="DG645" s="60"/>
      <c r="DH645" s="60"/>
      <c r="DI645" s="60"/>
      <c r="DJ645" s="60"/>
      <c r="DK645" s="60"/>
      <c r="DL645" s="60"/>
      <c r="DM645" s="60"/>
      <c r="DN645" s="60"/>
      <c r="DO645" s="60"/>
      <c r="DP645" s="60"/>
      <c r="DQ645" s="60"/>
      <c r="DR645" s="60"/>
      <c r="DS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60"/>
      <c r="BJ646" s="60"/>
      <c r="BK646" s="60"/>
      <c r="BL646" s="60"/>
      <c r="BM646" s="60"/>
      <c r="BN646" s="60"/>
      <c r="BO646" s="60"/>
      <c r="BP646" s="60"/>
      <c r="BQ646" s="60"/>
      <c r="BR646" s="60"/>
      <c r="BS646" s="60"/>
      <c r="BT646" s="60"/>
      <c r="BU646" s="60"/>
      <c r="BV646" s="60"/>
      <c r="BW646" s="60"/>
      <c r="BX646" s="60"/>
      <c r="BY646" s="60"/>
      <c r="BZ646" s="60"/>
      <c r="CA646" s="60"/>
      <c r="CB646" s="60"/>
      <c r="CC646" s="60"/>
      <c r="CD646" s="60"/>
      <c r="CE646" s="60"/>
      <c r="CF646" s="60"/>
      <c r="CG646" s="60"/>
      <c r="CH646" s="60"/>
      <c r="CI646" s="60"/>
      <c r="CJ646" s="60"/>
      <c r="CK646" s="60"/>
      <c r="CL646" s="60"/>
      <c r="CM646" s="60"/>
      <c r="CN646" s="60"/>
      <c r="CO646" s="60"/>
      <c r="CP646" s="60"/>
      <c r="CQ646" s="60"/>
      <c r="CR646" s="60"/>
      <c r="CS646" s="60"/>
      <c r="CT646" s="60"/>
      <c r="CU646" s="60"/>
      <c r="CV646" s="60"/>
      <c r="CW646" s="60"/>
      <c r="CX646" s="60"/>
      <c r="CY646" s="60"/>
      <c r="CZ646" s="60"/>
      <c r="DA646" s="60"/>
      <c r="DB646" s="60"/>
      <c r="DC646" s="60"/>
      <c r="DD646" s="60"/>
      <c r="DE646" s="60"/>
      <c r="DF646" s="60"/>
      <c r="DG646" s="60"/>
      <c r="DH646" s="60"/>
      <c r="DI646" s="60"/>
      <c r="DJ646" s="60"/>
      <c r="DK646" s="60"/>
      <c r="DL646" s="60"/>
      <c r="DM646" s="60"/>
      <c r="DN646" s="60"/>
      <c r="DO646" s="60"/>
      <c r="DP646" s="60"/>
      <c r="DQ646" s="60"/>
      <c r="DR646" s="60"/>
      <c r="DS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60"/>
      <c r="BJ647" s="60"/>
      <c r="BK647" s="60"/>
      <c r="BL647" s="60"/>
      <c r="BM647" s="60"/>
      <c r="BN647" s="60"/>
      <c r="BO647" s="60"/>
      <c r="BP647" s="60"/>
      <c r="BQ647" s="60"/>
      <c r="BR647" s="60"/>
      <c r="BS647" s="60"/>
      <c r="BT647" s="60"/>
      <c r="BU647" s="60"/>
      <c r="BV647" s="60"/>
      <c r="BW647" s="60"/>
      <c r="BX647" s="60"/>
      <c r="BY647" s="60"/>
      <c r="BZ647" s="60"/>
      <c r="CA647" s="60"/>
      <c r="CB647" s="60"/>
      <c r="CC647" s="60"/>
      <c r="CD647" s="60"/>
      <c r="CE647" s="60"/>
      <c r="CF647" s="60"/>
      <c r="CG647" s="60"/>
      <c r="CH647" s="60"/>
      <c r="CI647" s="60"/>
      <c r="CJ647" s="60"/>
      <c r="CK647" s="60"/>
      <c r="CL647" s="60"/>
      <c r="CM647" s="60"/>
      <c r="CN647" s="60"/>
      <c r="CO647" s="60"/>
      <c r="CP647" s="60"/>
      <c r="CQ647" s="60"/>
      <c r="CR647" s="60"/>
      <c r="CS647" s="60"/>
      <c r="CT647" s="60"/>
      <c r="CU647" s="60"/>
      <c r="CV647" s="60"/>
      <c r="CW647" s="60"/>
      <c r="CX647" s="60"/>
      <c r="CY647" s="60"/>
      <c r="CZ647" s="60"/>
      <c r="DA647" s="60"/>
      <c r="DB647" s="60"/>
      <c r="DC647" s="60"/>
      <c r="DD647" s="60"/>
      <c r="DE647" s="60"/>
      <c r="DF647" s="60"/>
      <c r="DG647" s="60"/>
      <c r="DH647" s="60"/>
      <c r="DI647" s="60"/>
      <c r="DJ647" s="60"/>
      <c r="DK647" s="60"/>
      <c r="DL647" s="60"/>
      <c r="DM647" s="60"/>
      <c r="DN647" s="60"/>
      <c r="DO647" s="60"/>
      <c r="DP647" s="60"/>
      <c r="DQ647" s="60"/>
      <c r="DR647" s="60"/>
      <c r="DS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/>
      <c r="BJ648" s="60"/>
      <c r="BK648" s="60"/>
      <c r="BL648" s="60"/>
      <c r="BM648" s="60"/>
      <c r="BN648" s="60"/>
      <c r="BO648" s="60"/>
      <c r="BP648" s="60"/>
      <c r="BQ648" s="60"/>
      <c r="BR648" s="60"/>
      <c r="BS648" s="60"/>
      <c r="BT648" s="60"/>
      <c r="BU648" s="60"/>
      <c r="BV648" s="60"/>
      <c r="BW648" s="60"/>
      <c r="BX648" s="60"/>
      <c r="BY648" s="60"/>
      <c r="BZ648" s="60"/>
      <c r="CA648" s="60"/>
      <c r="CB648" s="60"/>
      <c r="CC648" s="60"/>
      <c r="CD648" s="60"/>
      <c r="CE648" s="60"/>
      <c r="CF648" s="60"/>
      <c r="CG648" s="60"/>
      <c r="CH648" s="60"/>
      <c r="CI648" s="60"/>
      <c r="CJ648" s="60"/>
      <c r="CK648" s="60"/>
      <c r="CL648" s="60"/>
      <c r="CM648" s="60"/>
      <c r="CN648" s="60"/>
      <c r="CO648" s="60"/>
      <c r="CP648" s="60"/>
      <c r="CQ648" s="60"/>
      <c r="CR648" s="60"/>
      <c r="CS648" s="60"/>
      <c r="CT648" s="60"/>
      <c r="CU648" s="60"/>
      <c r="CV648" s="60"/>
      <c r="CW648" s="60"/>
      <c r="CX648" s="60"/>
      <c r="CY648" s="60"/>
      <c r="CZ648" s="60"/>
      <c r="DA648" s="60"/>
      <c r="DB648" s="60"/>
      <c r="DC648" s="60"/>
      <c r="DD648" s="60"/>
      <c r="DE648" s="60"/>
      <c r="DF648" s="60"/>
      <c r="DG648" s="60"/>
      <c r="DH648" s="60"/>
      <c r="DI648" s="60"/>
      <c r="DJ648" s="60"/>
      <c r="DK648" s="60"/>
      <c r="DL648" s="60"/>
      <c r="DM648" s="60"/>
      <c r="DN648" s="60"/>
      <c r="DO648" s="60"/>
      <c r="DP648" s="60"/>
      <c r="DQ648" s="60"/>
      <c r="DR648" s="60"/>
      <c r="DS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60"/>
      <c r="BJ649" s="60"/>
      <c r="BK649" s="60"/>
      <c r="BL649" s="60"/>
      <c r="BM649" s="60"/>
      <c r="BN649" s="60"/>
      <c r="BO649" s="60"/>
      <c r="BP649" s="60"/>
      <c r="BQ649" s="60"/>
      <c r="BR649" s="60"/>
      <c r="BS649" s="60"/>
      <c r="BT649" s="60"/>
      <c r="BU649" s="60"/>
      <c r="BV649" s="60"/>
      <c r="BW649" s="60"/>
      <c r="BX649" s="60"/>
      <c r="BY649" s="60"/>
      <c r="BZ649" s="60"/>
      <c r="CA649" s="60"/>
      <c r="CB649" s="60"/>
      <c r="CC649" s="60"/>
      <c r="CD649" s="60"/>
      <c r="CE649" s="60"/>
      <c r="CF649" s="60"/>
      <c r="CG649" s="60"/>
      <c r="CH649" s="60"/>
      <c r="CI649" s="60"/>
      <c r="CJ649" s="60"/>
      <c r="CK649" s="60"/>
      <c r="CL649" s="60"/>
      <c r="CM649" s="60"/>
      <c r="CN649" s="60"/>
      <c r="CO649" s="60"/>
      <c r="CP649" s="60"/>
      <c r="CQ649" s="60"/>
      <c r="CR649" s="60"/>
      <c r="CS649" s="60"/>
      <c r="CT649" s="60"/>
      <c r="CU649" s="60"/>
      <c r="CV649" s="60"/>
      <c r="CW649" s="60"/>
      <c r="CX649" s="60"/>
      <c r="CY649" s="60"/>
      <c r="CZ649" s="60"/>
      <c r="DA649" s="60"/>
      <c r="DB649" s="60"/>
      <c r="DC649" s="60"/>
      <c r="DD649" s="60"/>
      <c r="DE649" s="60"/>
      <c r="DF649" s="60"/>
      <c r="DG649" s="60"/>
      <c r="DH649" s="60"/>
      <c r="DI649" s="60"/>
      <c r="DJ649" s="60"/>
      <c r="DK649" s="60"/>
      <c r="DL649" s="60"/>
      <c r="DM649" s="60"/>
      <c r="DN649" s="60"/>
      <c r="DO649" s="60"/>
      <c r="DP649" s="60"/>
      <c r="DQ649" s="60"/>
      <c r="DR649" s="60"/>
      <c r="DS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60"/>
      <c r="BJ650" s="60"/>
      <c r="BK650" s="60"/>
      <c r="BL650" s="60"/>
      <c r="BM650" s="60"/>
      <c r="BN650" s="60"/>
      <c r="BO650" s="60"/>
      <c r="BP650" s="60"/>
      <c r="BQ650" s="60"/>
      <c r="BR650" s="60"/>
      <c r="BS650" s="60"/>
      <c r="BT650" s="60"/>
      <c r="BU650" s="60"/>
      <c r="BV650" s="60"/>
      <c r="BW650" s="60"/>
      <c r="BX650" s="60"/>
      <c r="BY650" s="60"/>
      <c r="BZ650" s="60"/>
      <c r="CA650" s="60"/>
      <c r="CB650" s="60"/>
      <c r="CC650" s="60"/>
      <c r="CD650" s="60"/>
      <c r="CE650" s="60"/>
      <c r="CF650" s="60"/>
      <c r="CG650" s="60"/>
      <c r="CH650" s="60"/>
      <c r="CI650" s="60"/>
      <c r="CJ650" s="60"/>
      <c r="CK650" s="60"/>
      <c r="CL650" s="60"/>
      <c r="CM650" s="60"/>
      <c r="CN650" s="60"/>
      <c r="CO650" s="60"/>
      <c r="CP650" s="60"/>
      <c r="CQ650" s="60"/>
      <c r="CR650" s="60"/>
      <c r="CS650" s="60"/>
      <c r="CT650" s="60"/>
      <c r="CU650" s="60"/>
      <c r="CV650" s="60"/>
      <c r="CW650" s="60"/>
      <c r="CX650" s="60"/>
      <c r="CY650" s="60"/>
      <c r="CZ650" s="60"/>
      <c r="DA650" s="60"/>
      <c r="DB650" s="60"/>
      <c r="DC650" s="60"/>
      <c r="DD650" s="60"/>
      <c r="DE650" s="60"/>
      <c r="DF650" s="60"/>
      <c r="DG650" s="60"/>
      <c r="DH650" s="60"/>
      <c r="DI650" s="60"/>
      <c r="DJ650" s="60"/>
      <c r="DK650" s="60"/>
      <c r="DL650" s="60"/>
      <c r="DM650" s="60"/>
      <c r="DN650" s="60"/>
      <c r="DO650" s="60"/>
      <c r="DP650" s="60"/>
      <c r="DQ650" s="60"/>
      <c r="DR650" s="60"/>
      <c r="DS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60"/>
      <c r="BJ651" s="60"/>
      <c r="BK651" s="60"/>
      <c r="BL651" s="60"/>
      <c r="BM651" s="60"/>
      <c r="BN651" s="60"/>
      <c r="BO651" s="60"/>
      <c r="BP651" s="60"/>
      <c r="BQ651" s="60"/>
      <c r="BR651" s="60"/>
      <c r="BS651" s="60"/>
      <c r="BT651" s="60"/>
      <c r="BU651" s="60"/>
      <c r="BV651" s="60"/>
      <c r="BW651" s="60"/>
      <c r="BX651" s="60"/>
      <c r="BY651" s="60"/>
      <c r="BZ651" s="60"/>
      <c r="CA651" s="60"/>
      <c r="CB651" s="60"/>
      <c r="CC651" s="60"/>
      <c r="CD651" s="60"/>
      <c r="CE651" s="60"/>
      <c r="CF651" s="60"/>
      <c r="CG651" s="60"/>
      <c r="CH651" s="60"/>
      <c r="CI651" s="60"/>
      <c r="CJ651" s="60"/>
      <c r="CK651" s="60"/>
      <c r="CL651" s="60"/>
      <c r="CM651" s="60"/>
      <c r="CN651" s="60"/>
      <c r="CO651" s="60"/>
      <c r="CP651" s="60"/>
      <c r="CQ651" s="60"/>
      <c r="CR651" s="60"/>
      <c r="CS651" s="60"/>
      <c r="CT651" s="60"/>
      <c r="CU651" s="60"/>
      <c r="CV651" s="60"/>
      <c r="CW651" s="60"/>
      <c r="CX651" s="60"/>
      <c r="CY651" s="60"/>
      <c r="CZ651" s="60"/>
      <c r="DA651" s="60"/>
      <c r="DB651" s="60"/>
      <c r="DC651" s="60"/>
      <c r="DD651" s="60"/>
      <c r="DE651" s="60"/>
      <c r="DF651" s="60"/>
      <c r="DG651" s="60"/>
      <c r="DH651" s="60"/>
      <c r="DI651" s="60"/>
      <c r="DJ651" s="60"/>
      <c r="DK651" s="60"/>
      <c r="DL651" s="60"/>
      <c r="DM651" s="60"/>
      <c r="DN651" s="60"/>
      <c r="DO651" s="60"/>
      <c r="DP651" s="60"/>
      <c r="DQ651" s="60"/>
      <c r="DR651" s="60"/>
      <c r="DS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60"/>
      <c r="BJ652" s="60"/>
      <c r="BK652" s="60"/>
      <c r="BL652" s="60"/>
      <c r="BM652" s="60"/>
      <c r="BN652" s="60"/>
      <c r="BO652" s="60"/>
      <c r="BP652" s="60"/>
      <c r="BQ652" s="60"/>
      <c r="BR652" s="60"/>
      <c r="BS652" s="60"/>
      <c r="BT652" s="60"/>
      <c r="BU652" s="60"/>
      <c r="BV652" s="60"/>
      <c r="BW652" s="60"/>
      <c r="BX652" s="60"/>
      <c r="BY652" s="60"/>
      <c r="BZ652" s="60"/>
      <c r="CA652" s="60"/>
      <c r="CB652" s="60"/>
      <c r="CC652" s="60"/>
      <c r="CD652" s="60"/>
      <c r="CE652" s="60"/>
      <c r="CF652" s="60"/>
      <c r="CG652" s="60"/>
      <c r="CH652" s="60"/>
      <c r="CI652" s="60"/>
      <c r="CJ652" s="60"/>
      <c r="CK652" s="60"/>
      <c r="CL652" s="60"/>
      <c r="CM652" s="60"/>
      <c r="CN652" s="60"/>
      <c r="CO652" s="60"/>
      <c r="CP652" s="60"/>
      <c r="CQ652" s="60"/>
      <c r="CR652" s="60"/>
      <c r="CS652" s="60"/>
      <c r="CT652" s="60"/>
      <c r="CU652" s="60"/>
      <c r="CV652" s="60"/>
      <c r="CW652" s="60"/>
      <c r="CX652" s="60"/>
      <c r="CY652" s="60"/>
      <c r="CZ652" s="60"/>
      <c r="DA652" s="60"/>
      <c r="DB652" s="60"/>
      <c r="DC652" s="60"/>
      <c r="DD652" s="60"/>
      <c r="DE652" s="60"/>
      <c r="DF652" s="60"/>
      <c r="DG652" s="60"/>
      <c r="DH652" s="60"/>
      <c r="DI652" s="60"/>
      <c r="DJ652" s="60"/>
      <c r="DK652" s="60"/>
      <c r="DL652" s="60"/>
      <c r="DM652" s="60"/>
      <c r="DN652" s="60"/>
      <c r="DO652" s="60"/>
      <c r="DP652" s="60"/>
      <c r="DQ652" s="60"/>
      <c r="DR652" s="60"/>
      <c r="DS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60"/>
      <c r="BJ653" s="60"/>
      <c r="BK653" s="60"/>
      <c r="BL653" s="60"/>
      <c r="BM653" s="60"/>
      <c r="BN653" s="60"/>
      <c r="BO653" s="60"/>
      <c r="BP653" s="60"/>
      <c r="BQ653" s="60"/>
      <c r="BR653" s="60"/>
      <c r="BS653" s="60"/>
      <c r="BT653" s="60"/>
      <c r="BU653" s="60"/>
      <c r="BV653" s="60"/>
      <c r="BW653" s="60"/>
      <c r="BX653" s="60"/>
      <c r="BY653" s="60"/>
      <c r="BZ653" s="60"/>
      <c r="CA653" s="60"/>
      <c r="CB653" s="60"/>
      <c r="CC653" s="60"/>
      <c r="CD653" s="60"/>
      <c r="CE653" s="60"/>
      <c r="CF653" s="60"/>
      <c r="CG653" s="60"/>
      <c r="CH653" s="60"/>
      <c r="CI653" s="60"/>
      <c r="CJ653" s="60"/>
      <c r="CK653" s="60"/>
      <c r="CL653" s="60"/>
      <c r="CM653" s="60"/>
      <c r="CN653" s="60"/>
      <c r="CO653" s="60"/>
      <c r="CP653" s="60"/>
      <c r="CQ653" s="60"/>
      <c r="CR653" s="60"/>
      <c r="CS653" s="60"/>
      <c r="CT653" s="60"/>
      <c r="CU653" s="60"/>
      <c r="CV653" s="60"/>
      <c r="CW653" s="60"/>
      <c r="CX653" s="60"/>
      <c r="CY653" s="60"/>
      <c r="CZ653" s="60"/>
      <c r="DA653" s="60"/>
      <c r="DB653" s="60"/>
      <c r="DC653" s="60"/>
      <c r="DD653" s="60"/>
      <c r="DE653" s="60"/>
      <c r="DF653" s="60"/>
      <c r="DG653" s="60"/>
      <c r="DH653" s="60"/>
      <c r="DI653" s="60"/>
      <c r="DJ653" s="60"/>
      <c r="DK653" s="60"/>
      <c r="DL653" s="60"/>
      <c r="DM653" s="60"/>
      <c r="DN653" s="60"/>
      <c r="DO653" s="60"/>
      <c r="DP653" s="60"/>
      <c r="DQ653" s="60"/>
      <c r="DR653" s="60"/>
      <c r="DS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60"/>
      <c r="BJ654" s="60"/>
      <c r="BK654" s="60"/>
      <c r="BL654" s="60"/>
      <c r="BM654" s="60"/>
      <c r="BN654" s="60"/>
      <c r="BO654" s="60"/>
      <c r="BP654" s="60"/>
      <c r="BQ654" s="60"/>
      <c r="BR654" s="60"/>
      <c r="BS654" s="60"/>
      <c r="BT654" s="60"/>
      <c r="BU654" s="60"/>
      <c r="BV654" s="60"/>
      <c r="BW654" s="60"/>
      <c r="BX654" s="60"/>
      <c r="BY654" s="60"/>
      <c r="BZ654" s="60"/>
      <c r="CA654" s="60"/>
      <c r="CB654" s="60"/>
      <c r="CC654" s="60"/>
      <c r="CD654" s="60"/>
      <c r="CE654" s="60"/>
      <c r="CF654" s="60"/>
      <c r="CG654" s="60"/>
      <c r="CH654" s="60"/>
      <c r="CI654" s="60"/>
      <c r="CJ654" s="60"/>
      <c r="CK654" s="60"/>
      <c r="CL654" s="60"/>
      <c r="CM654" s="60"/>
      <c r="CN654" s="60"/>
      <c r="CO654" s="60"/>
      <c r="CP654" s="60"/>
      <c r="CQ654" s="60"/>
      <c r="CR654" s="60"/>
      <c r="CS654" s="60"/>
      <c r="CT654" s="60"/>
      <c r="CU654" s="60"/>
      <c r="CV654" s="60"/>
      <c r="CW654" s="60"/>
      <c r="CX654" s="60"/>
      <c r="CY654" s="60"/>
      <c r="CZ654" s="60"/>
      <c r="DA654" s="60"/>
      <c r="DB654" s="60"/>
      <c r="DC654" s="60"/>
      <c r="DD654" s="60"/>
      <c r="DE654" s="60"/>
      <c r="DF654" s="60"/>
      <c r="DG654" s="60"/>
      <c r="DH654" s="60"/>
      <c r="DI654" s="60"/>
      <c r="DJ654" s="60"/>
      <c r="DK654" s="60"/>
      <c r="DL654" s="60"/>
      <c r="DM654" s="60"/>
      <c r="DN654" s="60"/>
      <c r="DO654" s="60"/>
      <c r="DP654" s="60"/>
      <c r="DQ654" s="60"/>
      <c r="DR654" s="60"/>
      <c r="DS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/>
      <c r="BJ655" s="60"/>
      <c r="BK655" s="60"/>
      <c r="BL655" s="60"/>
      <c r="BM655" s="60"/>
      <c r="BN655" s="60"/>
      <c r="BO655" s="60"/>
      <c r="BP655" s="60"/>
      <c r="BQ655" s="60"/>
      <c r="BR655" s="60"/>
      <c r="BS655" s="60"/>
      <c r="BT655" s="60"/>
      <c r="BU655" s="60"/>
      <c r="BV655" s="60"/>
      <c r="BW655" s="60"/>
      <c r="BX655" s="60"/>
      <c r="BY655" s="60"/>
      <c r="BZ655" s="60"/>
      <c r="CA655" s="60"/>
      <c r="CB655" s="60"/>
      <c r="CC655" s="60"/>
      <c r="CD655" s="60"/>
      <c r="CE655" s="60"/>
      <c r="CF655" s="60"/>
      <c r="CG655" s="60"/>
      <c r="CH655" s="60"/>
      <c r="CI655" s="60"/>
      <c r="CJ655" s="60"/>
      <c r="CK655" s="60"/>
      <c r="CL655" s="60"/>
      <c r="CM655" s="60"/>
      <c r="CN655" s="60"/>
      <c r="CO655" s="60"/>
      <c r="CP655" s="60"/>
      <c r="CQ655" s="60"/>
      <c r="CR655" s="60"/>
      <c r="CS655" s="60"/>
      <c r="CT655" s="60"/>
      <c r="CU655" s="60"/>
      <c r="CV655" s="60"/>
      <c r="CW655" s="60"/>
      <c r="CX655" s="60"/>
      <c r="CY655" s="60"/>
      <c r="CZ655" s="60"/>
      <c r="DA655" s="60"/>
      <c r="DB655" s="60"/>
      <c r="DC655" s="60"/>
      <c r="DD655" s="60"/>
      <c r="DE655" s="60"/>
      <c r="DF655" s="60"/>
      <c r="DG655" s="60"/>
      <c r="DH655" s="60"/>
      <c r="DI655" s="60"/>
      <c r="DJ655" s="60"/>
      <c r="DK655" s="60"/>
      <c r="DL655" s="60"/>
      <c r="DM655" s="60"/>
      <c r="DN655" s="60"/>
      <c r="DO655" s="60"/>
      <c r="DP655" s="60"/>
      <c r="DQ655" s="60"/>
      <c r="DR655" s="60"/>
      <c r="DS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60"/>
      <c r="BJ656" s="60"/>
      <c r="BK656" s="60"/>
      <c r="BL656" s="60"/>
      <c r="BM656" s="60"/>
      <c r="BN656" s="60"/>
      <c r="BO656" s="60"/>
      <c r="BP656" s="60"/>
      <c r="BQ656" s="60"/>
      <c r="BR656" s="60"/>
      <c r="BS656" s="60"/>
      <c r="BT656" s="60"/>
      <c r="BU656" s="60"/>
      <c r="BV656" s="60"/>
      <c r="BW656" s="60"/>
      <c r="BX656" s="60"/>
      <c r="BY656" s="60"/>
      <c r="BZ656" s="60"/>
      <c r="CA656" s="60"/>
      <c r="CB656" s="60"/>
      <c r="CC656" s="60"/>
      <c r="CD656" s="60"/>
      <c r="CE656" s="60"/>
      <c r="CF656" s="60"/>
      <c r="CG656" s="60"/>
      <c r="CH656" s="60"/>
      <c r="CI656" s="60"/>
      <c r="CJ656" s="60"/>
      <c r="CK656" s="60"/>
      <c r="CL656" s="60"/>
      <c r="CM656" s="60"/>
      <c r="CN656" s="60"/>
      <c r="CO656" s="60"/>
      <c r="CP656" s="60"/>
      <c r="CQ656" s="60"/>
      <c r="CR656" s="60"/>
      <c r="CS656" s="60"/>
      <c r="CT656" s="60"/>
      <c r="CU656" s="60"/>
      <c r="CV656" s="60"/>
      <c r="CW656" s="60"/>
      <c r="CX656" s="60"/>
      <c r="CY656" s="60"/>
      <c r="CZ656" s="60"/>
      <c r="DA656" s="60"/>
      <c r="DB656" s="60"/>
      <c r="DC656" s="60"/>
      <c r="DD656" s="60"/>
      <c r="DE656" s="60"/>
      <c r="DF656" s="60"/>
      <c r="DG656" s="60"/>
      <c r="DH656" s="60"/>
      <c r="DI656" s="60"/>
      <c r="DJ656" s="60"/>
      <c r="DK656" s="60"/>
      <c r="DL656" s="60"/>
      <c r="DM656" s="60"/>
      <c r="DN656" s="60"/>
      <c r="DO656" s="60"/>
      <c r="DP656" s="60"/>
      <c r="DQ656" s="60"/>
      <c r="DR656" s="60"/>
      <c r="DS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60"/>
      <c r="BJ657" s="60"/>
      <c r="BK657" s="60"/>
      <c r="BL657" s="60"/>
      <c r="BM657" s="60"/>
      <c r="BN657" s="60"/>
      <c r="BO657" s="60"/>
      <c r="BP657" s="60"/>
      <c r="BQ657" s="60"/>
      <c r="BR657" s="60"/>
      <c r="BS657" s="60"/>
      <c r="BT657" s="60"/>
      <c r="BU657" s="60"/>
      <c r="BV657" s="60"/>
      <c r="BW657" s="60"/>
      <c r="BX657" s="60"/>
      <c r="BY657" s="60"/>
      <c r="BZ657" s="60"/>
      <c r="CA657" s="60"/>
      <c r="CB657" s="60"/>
      <c r="CC657" s="60"/>
      <c r="CD657" s="60"/>
      <c r="CE657" s="60"/>
      <c r="CF657" s="60"/>
      <c r="CG657" s="60"/>
      <c r="CH657" s="60"/>
      <c r="CI657" s="60"/>
      <c r="CJ657" s="60"/>
      <c r="CK657" s="60"/>
      <c r="CL657" s="60"/>
      <c r="CM657" s="60"/>
      <c r="CN657" s="60"/>
      <c r="CO657" s="60"/>
      <c r="CP657" s="60"/>
      <c r="CQ657" s="60"/>
      <c r="CR657" s="60"/>
      <c r="CS657" s="60"/>
      <c r="CT657" s="60"/>
      <c r="CU657" s="60"/>
      <c r="CV657" s="60"/>
      <c r="CW657" s="60"/>
      <c r="CX657" s="60"/>
      <c r="CY657" s="60"/>
      <c r="CZ657" s="60"/>
      <c r="DA657" s="60"/>
      <c r="DB657" s="60"/>
      <c r="DC657" s="60"/>
      <c r="DD657" s="60"/>
      <c r="DE657" s="60"/>
      <c r="DF657" s="60"/>
      <c r="DG657" s="60"/>
      <c r="DH657" s="60"/>
      <c r="DI657" s="60"/>
      <c r="DJ657" s="60"/>
      <c r="DK657" s="60"/>
      <c r="DL657" s="60"/>
      <c r="DM657" s="60"/>
      <c r="DN657" s="60"/>
      <c r="DO657" s="60"/>
      <c r="DP657" s="60"/>
      <c r="DQ657" s="60"/>
      <c r="DR657" s="60"/>
      <c r="DS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60"/>
      <c r="BJ658" s="60"/>
      <c r="BK658" s="60"/>
      <c r="BL658" s="60"/>
      <c r="BM658" s="60"/>
      <c r="BN658" s="60"/>
      <c r="BO658" s="60"/>
      <c r="BP658" s="60"/>
      <c r="BQ658" s="60"/>
      <c r="BR658" s="60"/>
      <c r="BS658" s="60"/>
      <c r="BT658" s="60"/>
      <c r="BU658" s="60"/>
      <c r="BV658" s="60"/>
      <c r="BW658" s="60"/>
      <c r="BX658" s="60"/>
      <c r="BY658" s="60"/>
      <c r="BZ658" s="60"/>
      <c r="CA658" s="60"/>
      <c r="CB658" s="60"/>
      <c r="CC658" s="60"/>
      <c r="CD658" s="60"/>
      <c r="CE658" s="60"/>
      <c r="CF658" s="60"/>
      <c r="CG658" s="60"/>
      <c r="CH658" s="60"/>
      <c r="CI658" s="60"/>
      <c r="CJ658" s="60"/>
      <c r="CK658" s="60"/>
      <c r="CL658" s="60"/>
      <c r="CM658" s="60"/>
      <c r="CN658" s="60"/>
      <c r="CO658" s="60"/>
      <c r="CP658" s="60"/>
      <c r="CQ658" s="60"/>
      <c r="CR658" s="60"/>
      <c r="CS658" s="60"/>
      <c r="CT658" s="60"/>
      <c r="CU658" s="60"/>
      <c r="CV658" s="60"/>
      <c r="CW658" s="60"/>
      <c r="CX658" s="60"/>
      <c r="CY658" s="60"/>
      <c r="CZ658" s="60"/>
      <c r="DA658" s="60"/>
      <c r="DB658" s="60"/>
      <c r="DC658" s="60"/>
      <c r="DD658" s="60"/>
      <c r="DE658" s="60"/>
      <c r="DF658" s="60"/>
      <c r="DG658" s="60"/>
      <c r="DH658" s="60"/>
      <c r="DI658" s="60"/>
      <c r="DJ658" s="60"/>
      <c r="DK658" s="60"/>
      <c r="DL658" s="60"/>
      <c r="DM658" s="60"/>
      <c r="DN658" s="60"/>
      <c r="DO658" s="60"/>
      <c r="DP658" s="60"/>
      <c r="DQ658" s="60"/>
      <c r="DR658" s="60"/>
      <c r="DS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60"/>
      <c r="BJ659" s="60"/>
      <c r="BK659" s="60"/>
      <c r="BL659" s="60"/>
      <c r="BM659" s="60"/>
      <c r="BN659" s="60"/>
      <c r="BO659" s="60"/>
      <c r="BP659" s="60"/>
      <c r="BQ659" s="60"/>
      <c r="BR659" s="60"/>
      <c r="BS659" s="60"/>
      <c r="BT659" s="60"/>
      <c r="BU659" s="60"/>
      <c r="BV659" s="60"/>
      <c r="BW659" s="60"/>
      <c r="BX659" s="60"/>
      <c r="BY659" s="60"/>
      <c r="BZ659" s="60"/>
      <c r="CA659" s="60"/>
      <c r="CB659" s="60"/>
      <c r="CC659" s="60"/>
      <c r="CD659" s="60"/>
      <c r="CE659" s="60"/>
      <c r="CF659" s="60"/>
      <c r="CG659" s="60"/>
      <c r="CH659" s="60"/>
      <c r="CI659" s="60"/>
      <c r="CJ659" s="60"/>
      <c r="CK659" s="60"/>
      <c r="CL659" s="60"/>
      <c r="CM659" s="60"/>
      <c r="CN659" s="60"/>
      <c r="CO659" s="60"/>
      <c r="CP659" s="60"/>
      <c r="CQ659" s="60"/>
      <c r="CR659" s="60"/>
      <c r="CS659" s="60"/>
      <c r="CT659" s="60"/>
      <c r="CU659" s="60"/>
      <c r="CV659" s="60"/>
      <c r="CW659" s="60"/>
      <c r="CX659" s="60"/>
      <c r="CY659" s="60"/>
      <c r="CZ659" s="60"/>
      <c r="DA659" s="60"/>
      <c r="DB659" s="60"/>
      <c r="DC659" s="60"/>
      <c r="DD659" s="60"/>
      <c r="DE659" s="60"/>
      <c r="DF659" s="60"/>
      <c r="DG659" s="60"/>
      <c r="DH659" s="60"/>
      <c r="DI659" s="60"/>
      <c r="DJ659" s="60"/>
      <c r="DK659" s="60"/>
      <c r="DL659" s="60"/>
      <c r="DM659" s="60"/>
      <c r="DN659" s="60"/>
      <c r="DO659" s="60"/>
      <c r="DP659" s="60"/>
      <c r="DQ659" s="60"/>
      <c r="DR659" s="60"/>
      <c r="DS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/>
      <c r="BJ660" s="60"/>
      <c r="BK660" s="60"/>
      <c r="BL660" s="60"/>
      <c r="BM660" s="60"/>
      <c r="BN660" s="60"/>
      <c r="BO660" s="60"/>
      <c r="BP660" s="60"/>
      <c r="BQ660" s="60"/>
      <c r="BR660" s="60"/>
      <c r="BS660" s="60"/>
      <c r="BT660" s="60"/>
      <c r="BU660" s="60"/>
      <c r="BV660" s="60"/>
      <c r="BW660" s="60"/>
      <c r="BX660" s="60"/>
      <c r="BY660" s="60"/>
      <c r="BZ660" s="60"/>
      <c r="CA660" s="60"/>
      <c r="CB660" s="60"/>
      <c r="CC660" s="60"/>
      <c r="CD660" s="60"/>
      <c r="CE660" s="60"/>
      <c r="CF660" s="60"/>
      <c r="CG660" s="60"/>
      <c r="CH660" s="60"/>
      <c r="CI660" s="60"/>
      <c r="CJ660" s="60"/>
      <c r="CK660" s="60"/>
      <c r="CL660" s="60"/>
      <c r="CM660" s="60"/>
      <c r="CN660" s="60"/>
      <c r="CO660" s="60"/>
      <c r="CP660" s="60"/>
      <c r="CQ660" s="60"/>
      <c r="CR660" s="60"/>
      <c r="CS660" s="60"/>
      <c r="CT660" s="60"/>
      <c r="CU660" s="60"/>
      <c r="CV660" s="60"/>
      <c r="CW660" s="60"/>
      <c r="CX660" s="60"/>
      <c r="CY660" s="60"/>
      <c r="CZ660" s="60"/>
      <c r="DA660" s="60"/>
      <c r="DB660" s="60"/>
      <c r="DC660" s="60"/>
      <c r="DD660" s="60"/>
      <c r="DE660" s="60"/>
      <c r="DF660" s="60"/>
      <c r="DG660" s="60"/>
      <c r="DH660" s="60"/>
      <c r="DI660" s="60"/>
      <c r="DJ660" s="60"/>
      <c r="DK660" s="60"/>
      <c r="DL660" s="60"/>
      <c r="DM660" s="60"/>
      <c r="DN660" s="60"/>
      <c r="DO660" s="60"/>
      <c r="DP660" s="60"/>
      <c r="DQ660" s="60"/>
      <c r="DR660" s="60"/>
      <c r="DS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60"/>
      <c r="BJ661" s="60"/>
      <c r="BK661" s="60"/>
      <c r="BL661" s="60"/>
      <c r="BM661" s="60"/>
      <c r="BN661" s="60"/>
      <c r="BO661" s="60"/>
      <c r="BP661" s="60"/>
      <c r="BQ661" s="60"/>
      <c r="BR661" s="60"/>
      <c r="BS661" s="60"/>
      <c r="BT661" s="60"/>
      <c r="BU661" s="60"/>
      <c r="BV661" s="60"/>
      <c r="BW661" s="60"/>
      <c r="BX661" s="60"/>
      <c r="BY661" s="60"/>
      <c r="BZ661" s="60"/>
      <c r="CA661" s="60"/>
      <c r="CB661" s="60"/>
      <c r="CC661" s="60"/>
      <c r="CD661" s="60"/>
      <c r="CE661" s="60"/>
      <c r="CF661" s="60"/>
      <c r="CG661" s="60"/>
      <c r="CH661" s="60"/>
      <c r="CI661" s="60"/>
      <c r="CJ661" s="60"/>
      <c r="CK661" s="60"/>
      <c r="CL661" s="60"/>
      <c r="CM661" s="60"/>
      <c r="CN661" s="60"/>
      <c r="CO661" s="60"/>
      <c r="CP661" s="60"/>
      <c r="CQ661" s="60"/>
      <c r="CR661" s="60"/>
      <c r="CS661" s="60"/>
      <c r="CT661" s="60"/>
      <c r="CU661" s="60"/>
      <c r="CV661" s="60"/>
      <c r="CW661" s="60"/>
      <c r="CX661" s="60"/>
      <c r="CY661" s="60"/>
      <c r="CZ661" s="60"/>
      <c r="DA661" s="60"/>
      <c r="DB661" s="60"/>
      <c r="DC661" s="60"/>
      <c r="DD661" s="60"/>
      <c r="DE661" s="60"/>
      <c r="DF661" s="60"/>
      <c r="DG661" s="60"/>
      <c r="DH661" s="60"/>
      <c r="DI661" s="60"/>
      <c r="DJ661" s="60"/>
      <c r="DK661" s="60"/>
      <c r="DL661" s="60"/>
      <c r="DM661" s="60"/>
      <c r="DN661" s="60"/>
      <c r="DO661" s="60"/>
      <c r="DP661" s="60"/>
      <c r="DQ661" s="60"/>
      <c r="DR661" s="60"/>
      <c r="DS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60"/>
      <c r="BJ662" s="60"/>
      <c r="BK662" s="60"/>
      <c r="BL662" s="60"/>
      <c r="BM662" s="60"/>
      <c r="BN662" s="60"/>
      <c r="BO662" s="60"/>
      <c r="BP662" s="60"/>
      <c r="BQ662" s="60"/>
      <c r="BR662" s="60"/>
      <c r="BS662" s="60"/>
      <c r="BT662" s="60"/>
      <c r="BU662" s="60"/>
      <c r="BV662" s="60"/>
      <c r="BW662" s="60"/>
      <c r="BX662" s="60"/>
      <c r="BY662" s="60"/>
      <c r="BZ662" s="60"/>
      <c r="CA662" s="60"/>
      <c r="CB662" s="60"/>
      <c r="CC662" s="60"/>
      <c r="CD662" s="60"/>
      <c r="CE662" s="60"/>
      <c r="CF662" s="60"/>
      <c r="CG662" s="60"/>
      <c r="CH662" s="60"/>
      <c r="CI662" s="60"/>
      <c r="CJ662" s="60"/>
      <c r="CK662" s="60"/>
      <c r="CL662" s="60"/>
      <c r="CM662" s="60"/>
      <c r="CN662" s="60"/>
      <c r="CO662" s="60"/>
      <c r="CP662" s="60"/>
      <c r="CQ662" s="60"/>
      <c r="CR662" s="60"/>
      <c r="CS662" s="60"/>
      <c r="CT662" s="60"/>
      <c r="CU662" s="60"/>
      <c r="CV662" s="60"/>
      <c r="CW662" s="60"/>
      <c r="CX662" s="60"/>
      <c r="CY662" s="60"/>
      <c r="CZ662" s="60"/>
      <c r="DA662" s="60"/>
      <c r="DB662" s="60"/>
      <c r="DC662" s="60"/>
      <c r="DD662" s="60"/>
      <c r="DE662" s="60"/>
      <c r="DF662" s="60"/>
      <c r="DG662" s="60"/>
      <c r="DH662" s="60"/>
      <c r="DI662" s="60"/>
      <c r="DJ662" s="60"/>
      <c r="DK662" s="60"/>
      <c r="DL662" s="60"/>
      <c r="DM662" s="60"/>
      <c r="DN662" s="60"/>
      <c r="DO662" s="60"/>
      <c r="DP662" s="60"/>
      <c r="DQ662" s="60"/>
      <c r="DR662" s="60"/>
      <c r="DS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60"/>
      <c r="BJ663" s="60"/>
      <c r="BK663" s="60"/>
      <c r="BL663" s="60"/>
      <c r="BM663" s="60"/>
      <c r="BN663" s="60"/>
      <c r="BO663" s="60"/>
      <c r="BP663" s="60"/>
      <c r="BQ663" s="60"/>
      <c r="BR663" s="60"/>
      <c r="BS663" s="60"/>
      <c r="BT663" s="60"/>
      <c r="BU663" s="60"/>
      <c r="BV663" s="60"/>
      <c r="BW663" s="60"/>
      <c r="BX663" s="60"/>
      <c r="BY663" s="60"/>
      <c r="BZ663" s="60"/>
      <c r="CA663" s="60"/>
      <c r="CB663" s="60"/>
      <c r="CC663" s="60"/>
      <c r="CD663" s="60"/>
      <c r="CE663" s="60"/>
      <c r="CF663" s="60"/>
      <c r="CG663" s="60"/>
      <c r="CH663" s="60"/>
      <c r="CI663" s="60"/>
      <c r="CJ663" s="60"/>
      <c r="CK663" s="60"/>
      <c r="CL663" s="60"/>
      <c r="CM663" s="60"/>
      <c r="CN663" s="60"/>
      <c r="CO663" s="60"/>
      <c r="CP663" s="60"/>
      <c r="CQ663" s="60"/>
      <c r="CR663" s="60"/>
      <c r="CS663" s="60"/>
      <c r="CT663" s="60"/>
      <c r="CU663" s="60"/>
      <c r="CV663" s="60"/>
      <c r="CW663" s="60"/>
      <c r="CX663" s="60"/>
      <c r="CY663" s="60"/>
      <c r="CZ663" s="60"/>
      <c r="DA663" s="60"/>
      <c r="DB663" s="60"/>
      <c r="DC663" s="60"/>
      <c r="DD663" s="60"/>
      <c r="DE663" s="60"/>
      <c r="DF663" s="60"/>
      <c r="DG663" s="60"/>
      <c r="DH663" s="60"/>
      <c r="DI663" s="60"/>
      <c r="DJ663" s="60"/>
      <c r="DK663" s="60"/>
      <c r="DL663" s="60"/>
      <c r="DM663" s="60"/>
      <c r="DN663" s="60"/>
      <c r="DO663" s="60"/>
      <c r="DP663" s="60"/>
      <c r="DQ663" s="60"/>
      <c r="DR663" s="60"/>
      <c r="DS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/>
      <c r="BJ664" s="60"/>
      <c r="BK664" s="60"/>
      <c r="BL664" s="60"/>
      <c r="BM664" s="60"/>
      <c r="BN664" s="60"/>
      <c r="BO664" s="60"/>
      <c r="BP664" s="60"/>
      <c r="BQ664" s="60"/>
      <c r="BR664" s="60"/>
      <c r="BS664" s="60"/>
      <c r="BT664" s="60"/>
      <c r="BU664" s="60"/>
      <c r="BV664" s="60"/>
      <c r="BW664" s="60"/>
      <c r="BX664" s="60"/>
      <c r="BY664" s="60"/>
      <c r="BZ664" s="60"/>
      <c r="CA664" s="60"/>
      <c r="CB664" s="60"/>
      <c r="CC664" s="60"/>
      <c r="CD664" s="60"/>
      <c r="CE664" s="60"/>
      <c r="CF664" s="60"/>
      <c r="CG664" s="60"/>
      <c r="CH664" s="60"/>
      <c r="CI664" s="60"/>
      <c r="CJ664" s="60"/>
      <c r="CK664" s="60"/>
      <c r="CL664" s="60"/>
      <c r="CM664" s="60"/>
      <c r="CN664" s="60"/>
      <c r="CO664" s="60"/>
      <c r="CP664" s="60"/>
      <c r="CQ664" s="60"/>
      <c r="CR664" s="60"/>
      <c r="CS664" s="60"/>
      <c r="CT664" s="60"/>
      <c r="CU664" s="60"/>
      <c r="CV664" s="60"/>
      <c r="CW664" s="60"/>
      <c r="CX664" s="60"/>
      <c r="CY664" s="60"/>
      <c r="CZ664" s="60"/>
      <c r="DA664" s="60"/>
      <c r="DB664" s="60"/>
      <c r="DC664" s="60"/>
      <c r="DD664" s="60"/>
      <c r="DE664" s="60"/>
      <c r="DF664" s="60"/>
      <c r="DG664" s="60"/>
      <c r="DH664" s="60"/>
      <c r="DI664" s="60"/>
      <c r="DJ664" s="60"/>
      <c r="DK664" s="60"/>
      <c r="DL664" s="60"/>
      <c r="DM664" s="60"/>
      <c r="DN664" s="60"/>
      <c r="DO664" s="60"/>
      <c r="DP664" s="60"/>
      <c r="DQ664" s="60"/>
      <c r="DR664" s="60"/>
      <c r="DS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60"/>
      <c r="BJ665" s="60"/>
      <c r="BK665" s="60"/>
      <c r="BL665" s="60"/>
      <c r="BM665" s="60"/>
      <c r="BN665" s="60"/>
      <c r="BO665" s="60"/>
      <c r="BP665" s="60"/>
      <c r="BQ665" s="60"/>
      <c r="BR665" s="60"/>
      <c r="BS665" s="60"/>
      <c r="BT665" s="60"/>
      <c r="BU665" s="60"/>
      <c r="BV665" s="60"/>
      <c r="BW665" s="60"/>
      <c r="BX665" s="60"/>
      <c r="BY665" s="60"/>
      <c r="BZ665" s="60"/>
      <c r="CA665" s="60"/>
      <c r="CB665" s="60"/>
      <c r="CC665" s="60"/>
      <c r="CD665" s="60"/>
      <c r="CE665" s="60"/>
      <c r="CF665" s="60"/>
      <c r="CG665" s="60"/>
      <c r="CH665" s="60"/>
      <c r="CI665" s="60"/>
      <c r="CJ665" s="60"/>
      <c r="CK665" s="60"/>
      <c r="CL665" s="60"/>
      <c r="CM665" s="60"/>
      <c r="CN665" s="60"/>
      <c r="CO665" s="60"/>
      <c r="CP665" s="60"/>
      <c r="CQ665" s="60"/>
      <c r="CR665" s="60"/>
      <c r="CS665" s="60"/>
      <c r="CT665" s="60"/>
      <c r="CU665" s="60"/>
      <c r="CV665" s="60"/>
      <c r="CW665" s="60"/>
      <c r="CX665" s="60"/>
      <c r="CY665" s="60"/>
      <c r="CZ665" s="60"/>
      <c r="DA665" s="60"/>
      <c r="DB665" s="60"/>
      <c r="DC665" s="60"/>
      <c r="DD665" s="60"/>
      <c r="DE665" s="60"/>
      <c r="DF665" s="60"/>
      <c r="DG665" s="60"/>
      <c r="DH665" s="60"/>
      <c r="DI665" s="60"/>
      <c r="DJ665" s="60"/>
      <c r="DK665" s="60"/>
      <c r="DL665" s="60"/>
      <c r="DM665" s="60"/>
      <c r="DN665" s="60"/>
      <c r="DO665" s="60"/>
      <c r="DP665" s="60"/>
      <c r="DQ665" s="60"/>
      <c r="DR665" s="60"/>
      <c r="DS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60"/>
      <c r="BJ666" s="60"/>
      <c r="BK666" s="60"/>
      <c r="BL666" s="60"/>
      <c r="BM666" s="60"/>
      <c r="BN666" s="60"/>
      <c r="BO666" s="60"/>
      <c r="BP666" s="60"/>
      <c r="BQ666" s="60"/>
      <c r="BR666" s="60"/>
      <c r="BS666" s="60"/>
      <c r="BT666" s="60"/>
      <c r="BU666" s="60"/>
      <c r="BV666" s="60"/>
      <c r="BW666" s="60"/>
      <c r="BX666" s="60"/>
      <c r="BY666" s="60"/>
      <c r="BZ666" s="60"/>
      <c r="CA666" s="60"/>
      <c r="CB666" s="60"/>
      <c r="CC666" s="60"/>
      <c r="CD666" s="60"/>
      <c r="CE666" s="60"/>
      <c r="CF666" s="60"/>
      <c r="CG666" s="60"/>
      <c r="CH666" s="60"/>
      <c r="CI666" s="60"/>
      <c r="CJ666" s="60"/>
      <c r="CK666" s="60"/>
      <c r="CL666" s="60"/>
      <c r="CM666" s="60"/>
      <c r="CN666" s="60"/>
      <c r="CO666" s="60"/>
      <c r="CP666" s="60"/>
      <c r="CQ666" s="60"/>
      <c r="CR666" s="60"/>
      <c r="CS666" s="60"/>
      <c r="CT666" s="60"/>
      <c r="CU666" s="60"/>
      <c r="CV666" s="60"/>
      <c r="CW666" s="60"/>
      <c r="CX666" s="60"/>
      <c r="CY666" s="60"/>
      <c r="CZ666" s="60"/>
      <c r="DA666" s="60"/>
      <c r="DB666" s="60"/>
      <c r="DC666" s="60"/>
      <c r="DD666" s="60"/>
      <c r="DE666" s="60"/>
      <c r="DF666" s="60"/>
      <c r="DG666" s="60"/>
      <c r="DH666" s="60"/>
      <c r="DI666" s="60"/>
      <c r="DJ666" s="60"/>
      <c r="DK666" s="60"/>
      <c r="DL666" s="60"/>
      <c r="DM666" s="60"/>
      <c r="DN666" s="60"/>
      <c r="DO666" s="60"/>
      <c r="DP666" s="60"/>
      <c r="DQ666" s="60"/>
      <c r="DR666" s="60"/>
      <c r="DS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60"/>
      <c r="BJ667" s="60"/>
      <c r="BK667" s="60"/>
      <c r="BL667" s="60"/>
      <c r="BM667" s="60"/>
      <c r="BN667" s="60"/>
      <c r="BO667" s="60"/>
      <c r="BP667" s="60"/>
      <c r="BQ667" s="60"/>
      <c r="BR667" s="60"/>
      <c r="BS667" s="60"/>
      <c r="BT667" s="60"/>
      <c r="BU667" s="60"/>
      <c r="BV667" s="60"/>
      <c r="BW667" s="60"/>
      <c r="BX667" s="60"/>
      <c r="BY667" s="60"/>
      <c r="BZ667" s="60"/>
      <c r="CA667" s="60"/>
      <c r="CB667" s="60"/>
      <c r="CC667" s="60"/>
      <c r="CD667" s="60"/>
      <c r="CE667" s="60"/>
      <c r="CF667" s="60"/>
      <c r="CG667" s="60"/>
      <c r="CH667" s="60"/>
      <c r="CI667" s="60"/>
      <c r="CJ667" s="60"/>
      <c r="CK667" s="60"/>
      <c r="CL667" s="60"/>
      <c r="CM667" s="60"/>
      <c r="CN667" s="60"/>
      <c r="CO667" s="60"/>
      <c r="CP667" s="60"/>
      <c r="CQ667" s="60"/>
      <c r="CR667" s="60"/>
      <c r="CS667" s="60"/>
      <c r="CT667" s="60"/>
      <c r="CU667" s="60"/>
      <c r="CV667" s="60"/>
      <c r="CW667" s="60"/>
      <c r="CX667" s="60"/>
      <c r="CY667" s="60"/>
      <c r="CZ667" s="60"/>
      <c r="DA667" s="60"/>
      <c r="DB667" s="60"/>
      <c r="DC667" s="60"/>
      <c r="DD667" s="60"/>
      <c r="DE667" s="60"/>
      <c r="DF667" s="60"/>
      <c r="DG667" s="60"/>
      <c r="DH667" s="60"/>
      <c r="DI667" s="60"/>
      <c r="DJ667" s="60"/>
      <c r="DK667" s="60"/>
      <c r="DL667" s="60"/>
      <c r="DM667" s="60"/>
      <c r="DN667" s="60"/>
      <c r="DO667" s="60"/>
      <c r="DP667" s="60"/>
      <c r="DQ667" s="60"/>
      <c r="DR667" s="60"/>
      <c r="DS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60"/>
      <c r="BJ668" s="60"/>
      <c r="BK668" s="60"/>
      <c r="BL668" s="60"/>
      <c r="BM668" s="60"/>
      <c r="BN668" s="60"/>
      <c r="BO668" s="60"/>
      <c r="BP668" s="60"/>
      <c r="BQ668" s="60"/>
      <c r="BR668" s="60"/>
      <c r="BS668" s="60"/>
      <c r="BT668" s="60"/>
      <c r="BU668" s="60"/>
      <c r="BV668" s="60"/>
      <c r="BW668" s="60"/>
      <c r="BX668" s="60"/>
      <c r="BY668" s="60"/>
      <c r="BZ668" s="60"/>
      <c r="CA668" s="60"/>
      <c r="CB668" s="60"/>
      <c r="CC668" s="60"/>
      <c r="CD668" s="60"/>
      <c r="CE668" s="60"/>
      <c r="CF668" s="60"/>
      <c r="CG668" s="60"/>
      <c r="CH668" s="60"/>
      <c r="CI668" s="60"/>
      <c r="CJ668" s="60"/>
      <c r="CK668" s="60"/>
      <c r="CL668" s="60"/>
      <c r="CM668" s="60"/>
      <c r="CN668" s="60"/>
      <c r="CO668" s="60"/>
      <c r="CP668" s="60"/>
      <c r="CQ668" s="60"/>
      <c r="CR668" s="60"/>
      <c r="CS668" s="60"/>
      <c r="CT668" s="60"/>
      <c r="CU668" s="60"/>
      <c r="CV668" s="60"/>
      <c r="CW668" s="60"/>
      <c r="CX668" s="60"/>
      <c r="CY668" s="60"/>
      <c r="CZ668" s="60"/>
      <c r="DA668" s="60"/>
      <c r="DB668" s="60"/>
      <c r="DC668" s="60"/>
      <c r="DD668" s="60"/>
      <c r="DE668" s="60"/>
      <c r="DF668" s="60"/>
      <c r="DG668" s="60"/>
      <c r="DH668" s="60"/>
      <c r="DI668" s="60"/>
      <c r="DJ668" s="60"/>
      <c r="DK668" s="60"/>
      <c r="DL668" s="60"/>
      <c r="DM668" s="60"/>
      <c r="DN668" s="60"/>
      <c r="DO668" s="60"/>
      <c r="DP668" s="60"/>
      <c r="DQ668" s="60"/>
      <c r="DR668" s="60"/>
      <c r="DS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60"/>
      <c r="BJ669" s="60"/>
      <c r="BK669" s="60"/>
      <c r="BL669" s="60"/>
      <c r="BM669" s="60"/>
      <c r="BN669" s="60"/>
      <c r="BO669" s="60"/>
      <c r="BP669" s="60"/>
      <c r="BQ669" s="60"/>
      <c r="BR669" s="60"/>
      <c r="BS669" s="60"/>
      <c r="BT669" s="60"/>
      <c r="BU669" s="60"/>
      <c r="BV669" s="60"/>
      <c r="BW669" s="60"/>
      <c r="BX669" s="60"/>
      <c r="BY669" s="60"/>
      <c r="BZ669" s="60"/>
      <c r="CA669" s="60"/>
      <c r="CB669" s="60"/>
      <c r="CC669" s="60"/>
      <c r="CD669" s="60"/>
      <c r="CE669" s="60"/>
      <c r="CF669" s="60"/>
      <c r="CG669" s="60"/>
      <c r="CH669" s="60"/>
      <c r="CI669" s="60"/>
      <c r="CJ669" s="60"/>
      <c r="CK669" s="60"/>
      <c r="CL669" s="60"/>
      <c r="CM669" s="60"/>
      <c r="CN669" s="60"/>
      <c r="CO669" s="60"/>
      <c r="CP669" s="60"/>
      <c r="CQ669" s="60"/>
      <c r="CR669" s="60"/>
      <c r="CS669" s="60"/>
      <c r="CT669" s="60"/>
      <c r="CU669" s="60"/>
      <c r="CV669" s="60"/>
      <c r="CW669" s="60"/>
      <c r="CX669" s="60"/>
      <c r="CY669" s="60"/>
      <c r="CZ669" s="60"/>
      <c r="DA669" s="60"/>
      <c r="DB669" s="60"/>
      <c r="DC669" s="60"/>
      <c r="DD669" s="60"/>
      <c r="DE669" s="60"/>
      <c r="DF669" s="60"/>
      <c r="DG669" s="60"/>
      <c r="DH669" s="60"/>
      <c r="DI669" s="60"/>
      <c r="DJ669" s="60"/>
      <c r="DK669" s="60"/>
      <c r="DL669" s="60"/>
      <c r="DM669" s="60"/>
      <c r="DN669" s="60"/>
      <c r="DO669" s="60"/>
      <c r="DP669" s="60"/>
      <c r="DQ669" s="60"/>
      <c r="DR669" s="60"/>
      <c r="DS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/>
      <c r="BJ670" s="60"/>
      <c r="BK670" s="60"/>
      <c r="BL670" s="60"/>
      <c r="BM670" s="60"/>
      <c r="BN670" s="60"/>
      <c r="BO670" s="60"/>
      <c r="BP670" s="60"/>
      <c r="BQ670" s="60"/>
      <c r="BR670" s="60"/>
      <c r="BS670" s="60"/>
      <c r="BT670" s="60"/>
      <c r="BU670" s="60"/>
      <c r="BV670" s="60"/>
      <c r="BW670" s="60"/>
      <c r="BX670" s="60"/>
      <c r="BY670" s="60"/>
      <c r="BZ670" s="60"/>
      <c r="CA670" s="60"/>
      <c r="CB670" s="60"/>
      <c r="CC670" s="60"/>
      <c r="CD670" s="60"/>
      <c r="CE670" s="60"/>
      <c r="CF670" s="60"/>
      <c r="CG670" s="60"/>
      <c r="CH670" s="60"/>
      <c r="CI670" s="60"/>
      <c r="CJ670" s="60"/>
      <c r="CK670" s="60"/>
      <c r="CL670" s="60"/>
      <c r="CM670" s="60"/>
      <c r="CN670" s="60"/>
      <c r="CO670" s="60"/>
      <c r="CP670" s="60"/>
      <c r="CQ670" s="60"/>
      <c r="CR670" s="60"/>
      <c r="CS670" s="60"/>
      <c r="CT670" s="60"/>
      <c r="CU670" s="60"/>
      <c r="CV670" s="60"/>
      <c r="CW670" s="60"/>
      <c r="CX670" s="60"/>
      <c r="CY670" s="60"/>
      <c r="CZ670" s="60"/>
      <c r="DA670" s="60"/>
      <c r="DB670" s="60"/>
      <c r="DC670" s="60"/>
      <c r="DD670" s="60"/>
      <c r="DE670" s="60"/>
      <c r="DF670" s="60"/>
      <c r="DG670" s="60"/>
      <c r="DH670" s="60"/>
      <c r="DI670" s="60"/>
      <c r="DJ670" s="60"/>
      <c r="DK670" s="60"/>
      <c r="DL670" s="60"/>
      <c r="DM670" s="60"/>
      <c r="DN670" s="60"/>
      <c r="DO670" s="60"/>
      <c r="DP670" s="60"/>
      <c r="DQ670" s="60"/>
      <c r="DR670" s="60"/>
      <c r="DS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60"/>
      <c r="BJ671" s="60"/>
      <c r="BK671" s="60"/>
      <c r="BL671" s="60"/>
      <c r="BM671" s="60"/>
      <c r="BN671" s="60"/>
      <c r="BO671" s="60"/>
      <c r="BP671" s="60"/>
      <c r="BQ671" s="60"/>
      <c r="BR671" s="60"/>
      <c r="BS671" s="60"/>
      <c r="BT671" s="60"/>
      <c r="BU671" s="60"/>
      <c r="BV671" s="60"/>
      <c r="BW671" s="60"/>
      <c r="BX671" s="60"/>
      <c r="BY671" s="60"/>
      <c r="BZ671" s="60"/>
      <c r="CA671" s="60"/>
      <c r="CB671" s="60"/>
      <c r="CC671" s="60"/>
      <c r="CD671" s="60"/>
      <c r="CE671" s="60"/>
      <c r="CF671" s="60"/>
      <c r="CG671" s="60"/>
      <c r="CH671" s="60"/>
      <c r="CI671" s="60"/>
      <c r="CJ671" s="60"/>
      <c r="CK671" s="60"/>
      <c r="CL671" s="60"/>
      <c r="CM671" s="60"/>
      <c r="CN671" s="60"/>
      <c r="CO671" s="60"/>
      <c r="CP671" s="60"/>
      <c r="CQ671" s="60"/>
      <c r="CR671" s="60"/>
      <c r="CS671" s="60"/>
      <c r="CT671" s="60"/>
      <c r="CU671" s="60"/>
      <c r="CV671" s="60"/>
      <c r="CW671" s="60"/>
      <c r="CX671" s="60"/>
      <c r="CY671" s="60"/>
      <c r="CZ671" s="60"/>
      <c r="DA671" s="60"/>
      <c r="DB671" s="60"/>
      <c r="DC671" s="60"/>
      <c r="DD671" s="60"/>
      <c r="DE671" s="60"/>
      <c r="DF671" s="60"/>
      <c r="DG671" s="60"/>
      <c r="DH671" s="60"/>
      <c r="DI671" s="60"/>
      <c r="DJ671" s="60"/>
      <c r="DK671" s="60"/>
      <c r="DL671" s="60"/>
      <c r="DM671" s="60"/>
      <c r="DN671" s="60"/>
      <c r="DO671" s="60"/>
      <c r="DP671" s="60"/>
      <c r="DQ671" s="60"/>
      <c r="DR671" s="60"/>
      <c r="DS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/>
      <c r="BJ672" s="60"/>
      <c r="BK672" s="60"/>
      <c r="BL672" s="60"/>
      <c r="BM672" s="60"/>
      <c r="BN672" s="60"/>
      <c r="BO672" s="60"/>
      <c r="BP672" s="60"/>
      <c r="BQ672" s="60"/>
      <c r="BR672" s="60"/>
      <c r="BS672" s="60"/>
      <c r="BT672" s="60"/>
      <c r="BU672" s="60"/>
      <c r="BV672" s="60"/>
      <c r="BW672" s="60"/>
      <c r="BX672" s="60"/>
      <c r="BY672" s="60"/>
      <c r="BZ672" s="60"/>
      <c r="CA672" s="60"/>
      <c r="CB672" s="60"/>
      <c r="CC672" s="60"/>
      <c r="CD672" s="60"/>
      <c r="CE672" s="60"/>
      <c r="CF672" s="60"/>
      <c r="CG672" s="60"/>
      <c r="CH672" s="60"/>
      <c r="CI672" s="60"/>
      <c r="CJ672" s="60"/>
      <c r="CK672" s="60"/>
      <c r="CL672" s="60"/>
      <c r="CM672" s="60"/>
      <c r="CN672" s="60"/>
      <c r="CO672" s="60"/>
      <c r="CP672" s="60"/>
      <c r="CQ672" s="60"/>
      <c r="CR672" s="60"/>
      <c r="CS672" s="60"/>
      <c r="CT672" s="60"/>
      <c r="CU672" s="60"/>
      <c r="CV672" s="60"/>
      <c r="CW672" s="60"/>
      <c r="CX672" s="60"/>
      <c r="CY672" s="60"/>
      <c r="CZ672" s="60"/>
      <c r="DA672" s="60"/>
      <c r="DB672" s="60"/>
      <c r="DC672" s="60"/>
      <c r="DD672" s="60"/>
      <c r="DE672" s="60"/>
      <c r="DF672" s="60"/>
      <c r="DG672" s="60"/>
      <c r="DH672" s="60"/>
      <c r="DI672" s="60"/>
      <c r="DJ672" s="60"/>
      <c r="DK672" s="60"/>
      <c r="DL672" s="60"/>
      <c r="DM672" s="60"/>
      <c r="DN672" s="60"/>
      <c r="DO672" s="60"/>
      <c r="DP672" s="60"/>
      <c r="DQ672" s="60"/>
      <c r="DR672" s="60"/>
      <c r="DS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60"/>
      <c r="BJ673" s="60"/>
      <c r="BK673" s="60"/>
      <c r="BL673" s="60"/>
      <c r="BM673" s="60"/>
      <c r="BN673" s="60"/>
      <c r="BO673" s="60"/>
      <c r="BP673" s="60"/>
      <c r="BQ673" s="60"/>
      <c r="BR673" s="60"/>
      <c r="BS673" s="60"/>
      <c r="BT673" s="60"/>
      <c r="BU673" s="60"/>
      <c r="BV673" s="60"/>
      <c r="BW673" s="60"/>
      <c r="BX673" s="60"/>
      <c r="BY673" s="60"/>
      <c r="BZ673" s="60"/>
      <c r="CA673" s="60"/>
      <c r="CB673" s="60"/>
      <c r="CC673" s="60"/>
      <c r="CD673" s="60"/>
      <c r="CE673" s="60"/>
      <c r="CF673" s="60"/>
      <c r="CG673" s="60"/>
      <c r="CH673" s="60"/>
      <c r="CI673" s="60"/>
      <c r="CJ673" s="60"/>
      <c r="CK673" s="60"/>
      <c r="CL673" s="60"/>
      <c r="CM673" s="60"/>
      <c r="CN673" s="60"/>
      <c r="CO673" s="60"/>
      <c r="CP673" s="60"/>
      <c r="CQ673" s="60"/>
      <c r="CR673" s="60"/>
      <c r="CS673" s="60"/>
      <c r="CT673" s="60"/>
      <c r="CU673" s="60"/>
      <c r="CV673" s="60"/>
      <c r="CW673" s="60"/>
      <c r="CX673" s="60"/>
      <c r="CY673" s="60"/>
      <c r="CZ673" s="60"/>
      <c r="DA673" s="60"/>
      <c r="DB673" s="60"/>
      <c r="DC673" s="60"/>
      <c r="DD673" s="60"/>
      <c r="DE673" s="60"/>
      <c r="DF673" s="60"/>
      <c r="DG673" s="60"/>
      <c r="DH673" s="60"/>
      <c r="DI673" s="60"/>
      <c r="DJ673" s="60"/>
      <c r="DK673" s="60"/>
      <c r="DL673" s="60"/>
      <c r="DM673" s="60"/>
      <c r="DN673" s="60"/>
      <c r="DO673" s="60"/>
      <c r="DP673" s="60"/>
      <c r="DQ673" s="60"/>
      <c r="DR673" s="60"/>
      <c r="DS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/>
      <c r="BJ674" s="60"/>
      <c r="BK674" s="60"/>
      <c r="BL674" s="60"/>
      <c r="BM674" s="60"/>
      <c r="BN674" s="60"/>
      <c r="BO674" s="60"/>
      <c r="BP674" s="60"/>
      <c r="BQ674" s="60"/>
      <c r="BR674" s="60"/>
      <c r="BS674" s="60"/>
      <c r="BT674" s="60"/>
      <c r="BU674" s="60"/>
      <c r="BV674" s="60"/>
      <c r="BW674" s="60"/>
      <c r="BX674" s="60"/>
      <c r="BY674" s="60"/>
      <c r="BZ674" s="60"/>
      <c r="CA674" s="60"/>
      <c r="CB674" s="60"/>
      <c r="CC674" s="60"/>
      <c r="CD674" s="60"/>
      <c r="CE674" s="60"/>
      <c r="CF674" s="60"/>
      <c r="CG674" s="60"/>
      <c r="CH674" s="60"/>
      <c r="CI674" s="60"/>
      <c r="CJ674" s="60"/>
      <c r="CK674" s="60"/>
      <c r="CL674" s="60"/>
      <c r="CM674" s="60"/>
      <c r="CN674" s="60"/>
      <c r="CO674" s="60"/>
      <c r="CP674" s="60"/>
      <c r="CQ674" s="60"/>
      <c r="CR674" s="60"/>
      <c r="CS674" s="60"/>
      <c r="CT674" s="60"/>
      <c r="CU674" s="60"/>
      <c r="CV674" s="60"/>
      <c r="CW674" s="60"/>
      <c r="CX674" s="60"/>
      <c r="CY674" s="60"/>
      <c r="CZ674" s="60"/>
      <c r="DA674" s="60"/>
      <c r="DB674" s="60"/>
      <c r="DC674" s="60"/>
      <c r="DD674" s="60"/>
      <c r="DE674" s="60"/>
      <c r="DF674" s="60"/>
      <c r="DG674" s="60"/>
      <c r="DH674" s="60"/>
      <c r="DI674" s="60"/>
      <c r="DJ674" s="60"/>
      <c r="DK674" s="60"/>
      <c r="DL674" s="60"/>
      <c r="DM674" s="60"/>
      <c r="DN674" s="60"/>
      <c r="DO674" s="60"/>
      <c r="DP674" s="60"/>
      <c r="DQ674" s="60"/>
      <c r="DR674" s="60"/>
      <c r="DS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60"/>
      <c r="BJ675" s="60"/>
      <c r="BK675" s="60"/>
      <c r="BL675" s="60"/>
      <c r="BM675" s="60"/>
      <c r="BN675" s="60"/>
      <c r="BO675" s="60"/>
      <c r="BP675" s="60"/>
      <c r="BQ675" s="60"/>
      <c r="BR675" s="60"/>
      <c r="BS675" s="60"/>
      <c r="BT675" s="60"/>
      <c r="BU675" s="60"/>
      <c r="BV675" s="60"/>
      <c r="BW675" s="60"/>
      <c r="BX675" s="60"/>
      <c r="BY675" s="60"/>
      <c r="BZ675" s="60"/>
      <c r="CA675" s="60"/>
      <c r="CB675" s="60"/>
      <c r="CC675" s="60"/>
      <c r="CD675" s="60"/>
      <c r="CE675" s="60"/>
      <c r="CF675" s="60"/>
      <c r="CG675" s="60"/>
      <c r="CH675" s="60"/>
      <c r="CI675" s="60"/>
      <c r="CJ675" s="60"/>
      <c r="CK675" s="60"/>
      <c r="CL675" s="60"/>
      <c r="CM675" s="60"/>
      <c r="CN675" s="60"/>
      <c r="CO675" s="60"/>
      <c r="CP675" s="60"/>
      <c r="CQ675" s="60"/>
      <c r="CR675" s="60"/>
      <c r="CS675" s="60"/>
      <c r="CT675" s="60"/>
      <c r="CU675" s="60"/>
      <c r="CV675" s="60"/>
      <c r="CW675" s="60"/>
      <c r="CX675" s="60"/>
      <c r="CY675" s="60"/>
      <c r="CZ675" s="60"/>
      <c r="DA675" s="60"/>
      <c r="DB675" s="60"/>
      <c r="DC675" s="60"/>
      <c r="DD675" s="60"/>
      <c r="DE675" s="60"/>
      <c r="DF675" s="60"/>
      <c r="DG675" s="60"/>
      <c r="DH675" s="60"/>
      <c r="DI675" s="60"/>
      <c r="DJ675" s="60"/>
      <c r="DK675" s="60"/>
      <c r="DL675" s="60"/>
      <c r="DM675" s="60"/>
      <c r="DN675" s="60"/>
      <c r="DO675" s="60"/>
      <c r="DP675" s="60"/>
      <c r="DQ675" s="60"/>
      <c r="DR675" s="60"/>
      <c r="DS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60"/>
      <c r="BJ676" s="60"/>
      <c r="BK676" s="60"/>
      <c r="BL676" s="60"/>
      <c r="BM676" s="60"/>
      <c r="BN676" s="60"/>
      <c r="BO676" s="60"/>
      <c r="BP676" s="60"/>
      <c r="BQ676" s="60"/>
      <c r="BR676" s="60"/>
      <c r="BS676" s="60"/>
      <c r="BT676" s="60"/>
      <c r="BU676" s="60"/>
      <c r="BV676" s="60"/>
      <c r="BW676" s="60"/>
      <c r="BX676" s="60"/>
      <c r="BY676" s="60"/>
      <c r="BZ676" s="60"/>
      <c r="CA676" s="60"/>
      <c r="CB676" s="60"/>
      <c r="CC676" s="60"/>
      <c r="CD676" s="60"/>
      <c r="CE676" s="60"/>
      <c r="CF676" s="60"/>
      <c r="CG676" s="60"/>
      <c r="CH676" s="60"/>
      <c r="CI676" s="60"/>
      <c r="CJ676" s="60"/>
      <c r="CK676" s="60"/>
      <c r="CL676" s="60"/>
      <c r="CM676" s="60"/>
      <c r="CN676" s="60"/>
      <c r="CO676" s="60"/>
      <c r="CP676" s="60"/>
      <c r="CQ676" s="60"/>
      <c r="CR676" s="60"/>
      <c r="CS676" s="60"/>
      <c r="CT676" s="60"/>
      <c r="CU676" s="60"/>
      <c r="CV676" s="60"/>
      <c r="CW676" s="60"/>
      <c r="CX676" s="60"/>
      <c r="CY676" s="60"/>
      <c r="CZ676" s="60"/>
      <c r="DA676" s="60"/>
      <c r="DB676" s="60"/>
      <c r="DC676" s="60"/>
      <c r="DD676" s="60"/>
      <c r="DE676" s="60"/>
      <c r="DF676" s="60"/>
      <c r="DG676" s="60"/>
      <c r="DH676" s="60"/>
      <c r="DI676" s="60"/>
      <c r="DJ676" s="60"/>
      <c r="DK676" s="60"/>
      <c r="DL676" s="60"/>
      <c r="DM676" s="60"/>
      <c r="DN676" s="60"/>
      <c r="DO676" s="60"/>
      <c r="DP676" s="60"/>
      <c r="DQ676" s="60"/>
      <c r="DR676" s="60"/>
      <c r="DS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60"/>
      <c r="BJ677" s="60"/>
      <c r="BK677" s="60"/>
      <c r="BL677" s="60"/>
      <c r="BM677" s="60"/>
      <c r="BN677" s="60"/>
      <c r="BO677" s="60"/>
      <c r="BP677" s="60"/>
      <c r="BQ677" s="60"/>
      <c r="BR677" s="60"/>
      <c r="BS677" s="60"/>
      <c r="BT677" s="60"/>
      <c r="BU677" s="60"/>
      <c r="BV677" s="60"/>
      <c r="BW677" s="60"/>
      <c r="BX677" s="60"/>
      <c r="BY677" s="60"/>
      <c r="BZ677" s="60"/>
      <c r="CA677" s="60"/>
      <c r="CB677" s="60"/>
      <c r="CC677" s="60"/>
      <c r="CD677" s="60"/>
      <c r="CE677" s="60"/>
      <c r="CF677" s="60"/>
      <c r="CG677" s="60"/>
      <c r="CH677" s="60"/>
      <c r="CI677" s="60"/>
      <c r="CJ677" s="60"/>
      <c r="CK677" s="60"/>
      <c r="CL677" s="60"/>
      <c r="CM677" s="60"/>
      <c r="CN677" s="60"/>
      <c r="CO677" s="60"/>
      <c r="CP677" s="60"/>
      <c r="CQ677" s="60"/>
      <c r="CR677" s="60"/>
      <c r="CS677" s="60"/>
      <c r="CT677" s="60"/>
      <c r="CU677" s="60"/>
      <c r="CV677" s="60"/>
      <c r="CW677" s="60"/>
      <c r="CX677" s="60"/>
      <c r="CY677" s="60"/>
      <c r="CZ677" s="60"/>
      <c r="DA677" s="60"/>
      <c r="DB677" s="60"/>
      <c r="DC677" s="60"/>
      <c r="DD677" s="60"/>
      <c r="DE677" s="60"/>
      <c r="DF677" s="60"/>
      <c r="DG677" s="60"/>
      <c r="DH677" s="60"/>
      <c r="DI677" s="60"/>
      <c r="DJ677" s="60"/>
      <c r="DK677" s="60"/>
      <c r="DL677" s="60"/>
      <c r="DM677" s="60"/>
      <c r="DN677" s="60"/>
      <c r="DO677" s="60"/>
      <c r="DP677" s="60"/>
      <c r="DQ677" s="60"/>
      <c r="DR677" s="60"/>
      <c r="DS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60"/>
      <c r="BJ678" s="60"/>
      <c r="BK678" s="60"/>
      <c r="BL678" s="60"/>
      <c r="BM678" s="60"/>
      <c r="BN678" s="60"/>
      <c r="BO678" s="60"/>
      <c r="BP678" s="60"/>
      <c r="BQ678" s="60"/>
      <c r="BR678" s="60"/>
      <c r="BS678" s="60"/>
      <c r="BT678" s="60"/>
      <c r="BU678" s="60"/>
      <c r="BV678" s="60"/>
      <c r="BW678" s="60"/>
      <c r="BX678" s="60"/>
      <c r="BY678" s="60"/>
      <c r="BZ678" s="60"/>
      <c r="CA678" s="60"/>
      <c r="CB678" s="60"/>
      <c r="CC678" s="60"/>
      <c r="CD678" s="60"/>
      <c r="CE678" s="60"/>
      <c r="CF678" s="60"/>
      <c r="CG678" s="60"/>
      <c r="CH678" s="60"/>
      <c r="CI678" s="60"/>
      <c r="CJ678" s="60"/>
      <c r="CK678" s="60"/>
      <c r="CL678" s="60"/>
      <c r="CM678" s="60"/>
      <c r="CN678" s="60"/>
      <c r="CO678" s="60"/>
      <c r="CP678" s="60"/>
      <c r="CQ678" s="60"/>
      <c r="CR678" s="60"/>
      <c r="CS678" s="60"/>
      <c r="CT678" s="60"/>
      <c r="CU678" s="60"/>
      <c r="CV678" s="60"/>
      <c r="CW678" s="60"/>
      <c r="CX678" s="60"/>
      <c r="CY678" s="60"/>
      <c r="CZ678" s="60"/>
      <c r="DA678" s="60"/>
      <c r="DB678" s="60"/>
      <c r="DC678" s="60"/>
      <c r="DD678" s="60"/>
      <c r="DE678" s="60"/>
      <c r="DF678" s="60"/>
      <c r="DG678" s="60"/>
      <c r="DH678" s="60"/>
      <c r="DI678" s="60"/>
      <c r="DJ678" s="60"/>
      <c r="DK678" s="60"/>
      <c r="DL678" s="60"/>
      <c r="DM678" s="60"/>
      <c r="DN678" s="60"/>
      <c r="DO678" s="60"/>
      <c r="DP678" s="60"/>
      <c r="DQ678" s="60"/>
      <c r="DR678" s="60"/>
      <c r="DS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/>
      <c r="BJ679" s="60"/>
      <c r="BK679" s="60"/>
      <c r="BL679" s="60"/>
      <c r="BM679" s="60"/>
      <c r="BN679" s="60"/>
      <c r="BO679" s="60"/>
      <c r="BP679" s="60"/>
      <c r="BQ679" s="60"/>
      <c r="BR679" s="60"/>
      <c r="BS679" s="60"/>
      <c r="BT679" s="60"/>
      <c r="BU679" s="60"/>
      <c r="BV679" s="60"/>
      <c r="BW679" s="60"/>
      <c r="BX679" s="60"/>
      <c r="BY679" s="60"/>
      <c r="BZ679" s="60"/>
      <c r="CA679" s="60"/>
      <c r="CB679" s="60"/>
      <c r="CC679" s="60"/>
      <c r="CD679" s="60"/>
      <c r="CE679" s="60"/>
      <c r="CF679" s="60"/>
      <c r="CG679" s="60"/>
      <c r="CH679" s="60"/>
      <c r="CI679" s="60"/>
      <c r="CJ679" s="60"/>
      <c r="CK679" s="60"/>
      <c r="CL679" s="60"/>
      <c r="CM679" s="60"/>
      <c r="CN679" s="60"/>
      <c r="CO679" s="60"/>
      <c r="CP679" s="60"/>
      <c r="CQ679" s="60"/>
      <c r="CR679" s="60"/>
      <c r="CS679" s="60"/>
      <c r="CT679" s="60"/>
      <c r="CU679" s="60"/>
      <c r="CV679" s="60"/>
      <c r="CW679" s="60"/>
      <c r="CX679" s="60"/>
      <c r="CY679" s="60"/>
      <c r="CZ679" s="60"/>
      <c r="DA679" s="60"/>
      <c r="DB679" s="60"/>
      <c r="DC679" s="60"/>
      <c r="DD679" s="60"/>
      <c r="DE679" s="60"/>
      <c r="DF679" s="60"/>
      <c r="DG679" s="60"/>
      <c r="DH679" s="60"/>
      <c r="DI679" s="60"/>
      <c r="DJ679" s="60"/>
      <c r="DK679" s="60"/>
      <c r="DL679" s="60"/>
      <c r="DM679" s="60"/>
      <c r="DN679" s="60"/>
      <c r="DO679" s="60"/>
      <c r="DP679" s="60"/>
      <c r="DQ679" s="60"/>
      <c r="DR679" s="60"/>
      <c r="DS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60"/>
      <c r="BJ680" s="60"/>
      <c r="BK680" s="60"/>
      <c r="BL680" s="60"/>
      <c r="BM680" s="60"/>
      <c r="BN680" s="60"/>
      <c r="BO680" s="60"/>
      <c r="BP680" s="60"/>
      <c r="BQ680" s="60"/>
      <c r="BR680" s="60"/>
      <c r="BS680" s="60"/>
      <c r="BT680" s="60"/>
      <c r="BU680" s="60"/>
      <c r="BV680" s="60"/>
      <c r="BW680" s="60"/>
      <c r="BX680" s="60"/>
      <c r="BY680" s="60"/>
      <c r="BZ680" s="60"/>
      <c r="CA680" s="60"/>
      <c r="CB680" s="60"/>
      <c r="CC680" s="60"/>
      <c r="CD680" s="60"/>
      <c r="CE680" s="60"/>
      <c r="CF680" s="60"/>
      <c r="CG680" s="60"/>
      <c r="CH680" s="60"/>
      <c r="CI680" s="60"/>
      <c r="CJ680" s="60"/>
      <c r="CK680" s="60"/>
      <c r="CL680" s="60"/>
      <c r="CM680" s="60"/>
      <c r="CN680" s="60"/>
      <c r="CO680" s="60"/>
      <c r="CP680" s="60"/>
      <c r="CQ680" s="60"/>
      <c r="CR680" s="60"/>
      <c r="CS680" s="60"/>
      <c r="CT680" s="60"/>
      <c r="CU680" s="60"/>
      <c r="CV680" s="60"/>
      <c r="CW680" s="60"/>
      <c r="CX680" s="60"/>
      <c r="CY680" s="60"/>
      <c r="CZ680" s="60"/>
      <c r="DA680" s="60"/>
      <c r="DB680" s="60"/>
      <c r="DC680" s="60"/>
      <c r="DD680" s="60"/>
      <c r="DE680" s="60"/>
      <c r="DF680" s="60"/>
      <c r="DG680" s="60"/>
      <c r="DH680" s="60"/>
      <c r="DI680" s="60"/>
      <c r="DJ680" s="60"/>
      <c r="DK680" s="60"/>
      <c r="DL680" s="60"/>
      <c r="DM680" s="60"/>
      <c r="DN680" s="60"/>
      <c r="DO680" s="60"/>
      <c r="DP680" s="60"/>
      <c r="DQ680" s="60"/>
      <c r="DR680" s="60"/>
      <c r="DS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60"/>
      <c r="BJ681" s="60"/>
      <c r="BK681" s="60"/>
      <c r="BL681" s="60"/>
      <c r="BM681" s="60"/>
      <c r="BN681" s="60"/>
      <c r="BO681" s="60"/>
      <c r="BP681" s="60"/>
      <c r="BQ681" s="60"/>
      <c r="BR681" s="60"/>
      <c r="BS681" s="60"/>
      <c r="BT681" s="60"/>
      <c r="BU681" s="60"/>
      <c r="BV681" s="60"/>
      <c r="BW681" s="60"/>
      <c r="BX681" s="60"/>
      <c r="BY681" s="60"/>
      <c r="BZ681" s="60"/>
      <c r="CA681" s="60"/>
      <c r="CB681" s="60"/>
      <c r="CC681" s="60"/>
      <c r="CD681" s="60"/>
      <c r="CE681" s="60"/>
      <c r="CF681" s="60"/>
      <c r="CG681" s="60"/>
      <c r="CH681" s="60"/>
      <c r="CI681" s="60"/>
      <c r="CJ681" s="60"/>
      <c r="CK681" s="60"/>
      <c r="CL681" s="60"/>
      <c r="CM681" s="60"/>
      <c r="CN681" s="60"/>
      <c r="CO681" s="60"/>
      <c r="CP681" s="60"/>
      <c r="CQ681" s="60"/>
      <c r="CR681" s="60"/>
      <c r="CS681" s="60"/>
      <c r="CT681" s="60"/>
      <c r="CU681" s="60"/>
      <c r="CV681" s="60"/>
      <c r="CW681" s="60"/>
      <c r="CX681" s="60"/>
      <c r="CY681" s="60"/>
      <c r="CZ681" s="60"/>
      <c r="DA681" s="60"/>
      <c r="DB681" s="60"/>
      <c r="DC681" s="60"/>
      <c r="DD681" s="60"/>
      <c r="DE681" s="60"/>
      <c r="DF681" s="60"/>
      <c r="DG681" s="60"/>
      <c r="DH681" s="60"/>
      <c r="DI681" s="60"/>
      <c r="DJ681" s="60"/>
      <c r="DK681" s="60"/>
      <c r="DL681" s="60"/>
      <c r="DM681" s="60"/>
      <c r="DN681" s="60"/>
      <c r="DO681" s="60"/>
      <c r="DP681" s="60"/>
      <c r="DQ681" s="60"/>
      <c r="DR681" s="60"/>
      <c r="DS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60"/>
      <c r="BJ682" s="60"/>
      <c r="BK682" s="60"/>
      <c r="BL682" s="60"/>
      <c r="BM682" s="60"/>
      <c r="BN682" s="60"/>
      <c r="BO682" s="60"/>
      <c r="BP682" s="60"/>
      <c r="BQ682" s="60"/>
      <c r="BR682" s="60"/>
      <c r="BS682" s="60"/>
      <c r="BT682" s="60"/>
      <c r="BU682" s="60"/>
      <c r="BV682" s="60"/>
      <c r="BW682" s="60"/>
      <c r="BX682" s="60"/>
      <c r="BY682" s="60"/>
      <c r="BZ682" s="60"/>
      <c r="CA682" s="60"/>
      <c r="CB682" s="60"/>
      <c r="CC682" s="60"/>
      <c r="CD682" s="60"/>
      <c r="CE682" s="60"/>
      <c r="CF682" s="60"/>
      <c r="CG682" s="60"/>
      <c r="CH682" s="60"/>
      <c r="CI682" s="60"/>
      <c r="CJ682" s="60"/>
      <c r="CK682" s="60"/>
      <c r="CL682" s="60"/>
      <c r="CM682" s="60"/>
      <c r="CN682" s="60"/>
      <c r="CO682" s="60"/>
      <c r="CP682" s="60"/>
      <c r="CQ682" s="60"/>
      <c r="CR682" s="60"/>
      <c r="CS682" s="60"/>
      <c r="CT682" s="60"/>
      <c r="CU682" s="60"/>
      <c r="CV682" s="60"/>
      <c r="CW682" s="60"/>
      <c r="CX682" s="60"/>
      <c r="CY682" s="60"/>
      <c r="CZ682" s="60"/>
      <c r="DA682" s="60"/>
      <c r="DB682" s="60"/>
      <c r="DC682" s="60"/>
      <c r="DD682" s="60"/>
      <c r="DE682" s="60"/>
      <c r="DF682" s="60"/>
      <c r="DG682" s="60"/>
      <c r="DH682" s="60"/>
      <c r="DI682" s="60"/>
      <c r="DJ682" s="60"/>
      <c r="DK682" s="60"/>
      <c r="DL682" s="60"/>
      <c r="DM682" s="60"/>
      <c r="DN682" s="60"/>
      <c r="DO682" s="60"/>
      <c r="DP682" s="60"/>
      <c r="DQ682" s="60"/>
      <c r="DR682" s="60"/>
      <c r="DS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60"/>
      <c r="BJ683" s="60"/>
      <c r="BK683" s="60"/>
      <c r="BL683" s="60"/>
      <c r="BM683" s="60"/>
      <c r="BN683" s="60"/>
      <c r="BO683" s="60"/>
      <c r="BP683" s="60"/>
      <c r="BQ683" s="60"/>
      <c r="BR683" s="60"/>
      <c r="BS683" s="60"/>
      <c r="BT683" s="60"/>
      <c r="BU683" s="60"/>
      <c r="BV683" s="60"/>
      <c r="BW683" s="60"/>
      <c r="BX683" s="60"/>
      <c r="BY683" s="60"/>
      <c r="BZ683" s="60"/>
      <c r="CA683" s="60"/>
      <c r="CB683" s="60"/>
      <c r="CC683" s="60"/>
      <c r="CD683" s="60"/>
      <c r="CE683" s="60"/>
      <c r="CF683" s="60"/>
      <c r="CG683" s="60"/>
      <c r="CH683" s="60"/>
      <c r="CI683" s="60"/>
      <c r="CJ683" s="60"/>
      <c r="CK683" s="60"/>
      <c r="CL683" s="60"/>
      <c r="CM683" s="60"/>
      <c r="CN683" s="60"/>
      <c r="CO683" s="60"/>
      <c r="CP683" s="60"/>
      <c r="CQ683" s="60"/>
      <c r="CR683" s="60"/>
      <c r="CS683" s="60"/>
      <c r="CT683" s="60"/>
      <c r="CU683" s="60"/>
      <c r="CV683" s="60"/>
      <c r="CW683" s="60"/>
      <c r="CX683" s="60"/>
      <c r="CY683" s="60"/>
      <c r="CZ683" s="60"/>
      <c r="DA683" s="60"/>
      <c r="DB683" s="60"/>
      <c r="DC683" s="60"/>
      <c r="DD683" s="60"/>
      <c r="DE683" s="60"/>
      <c r="DF683" s="60"/>
      <c r="DG683" s="60"/>
      <c r="DH683" s="60"/>
      <c r="DI683" s="60"/>
      <c r="DJ683" s="60"/>
      <c r="DK683" s="60"/>
      <c r="DL683" s="60"/>
      <c r="DM683" s="60"/>
      <c r="DN683" s="60"/>
      <c r="DO683" s="60"/>
      <c r="DP683" s="60"/>
      <c r="DQ683" s="60"/>
      <c r="DR683" s="60"/>
      <c r="DS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/>
      <c r="BJ684" s="60"/>
      <c r="BK684" s="60"/>
      <c r="BL684" s="60"/>
      <c r="BM684" s="60"/>
      <c r="BN684" s="60"/>
      <c r="BO684" s="60"/>
      <c r="BP684" s="60"/>
      <c r="BQ684" s="60"/>
      <c r="BR684" s="60"/>
      <c r="BS684" s="60"/>
      <c r="BT684" s="60"/>
      <c r="BU684" s="60"/>
      <c r="BV684" s="60"/>
      <c r="BW684" s="60"/>
      <c r="BX684" s="60"/>
      <c r="BY684" s="60"/>
      <c r="BZ684" s="60"/>
      <c r="CA684" s="60"/>
      <c r="CB684" s="60"/>
      <c r="CC684" s="60"/>
      <c r="CD684" s="60"/>
      <c r="CE684" s="60"/>
      <c r="CF684" s="60"/>
      <c r="CG684" s="60"/>
      <c r="CH684" s="60"/>
      <c r="CI684" s="60"/>
      <c r="CJ684" s="60"/>
      <c r="CK684" s="60"/>
      <c r="CL684" s="60"/>
      <c r="CM684" s="60"/>
      <c r="CN684" s="60"/>
      <c r="CO684" s="60"/>
      <c r="CP684" s="60"/>
      <c r="CQ684" s="60"/>
      <c r="CR684" s="60"/>
      <c r="CS684" s="60"/>
      <c r="CT684" s="60"/>
      <c r="CU684" s="60"/>
      <c r="CV684" s="60"/>
      <c r="CW684" s="60"/>
      <c r="CX684" s="60"/>
      <c r="CY684" s="60"/>
      <c r="CZ684" s="60"/>
      <c r="DA684" s="60"/>
      <c r="DB684" s="60"/>
      <c r="DC684" s="60"/>
      <c r="DD684" s="60"/>
      <c r="DE684" s="60"/>
      <c r="DF684" s="60"/>
      <c r="DG684" s="60"/>
      <c r="DH684" s="60"/>
      <c r="DI684" s="60"/>
      <c r="DJ684" s="60"/>
      <c r="DK684" s="60"/>
      <c r="DL684" s="60"/>
      <c r="DM684" s="60"/>
      <c r="DN684" s="60"/>
      <c r="DO684" s="60"/>
      <c r="DP684" s="60"/>
      <c r="DQ684" s="60"/>
      <c r="DR684" s="60"/>
      <c r="DS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60"/>
      <c r="BJ685" s="60"/>
      <c r="BK685" s="60"/>
      <c r="BL685" s="60"/>
      <c r="BM685" s="60"/>
      <c r="BN685" s="60"/>
      <c r="BO685" s="60"/>
      <c r="BP685" s="60"/>
      <c r="BQ685" s="60"/>
      <c r="BR685" s="60"/>
      <c r="BS685" s="60"/>
      <c r="BT685" s="60"/>
      <c r="BU685" s="60"/>
      <c r="BV685" s="60"/>
      <c r="BW685" s="60"/>
      <c r="BX685" s="60"/>
      <c r="BY685" s="60"/>
      <c r="BZ685" s="60"/>
      <c r="CA685" s="60"/>
      <c r="CB685" s="60"/>
      <c r="CC685" s="60"/>
      <c r="CD685" s="60"/>
      <c r="CE685" s="60"/>
      <c r="CF685" s="60"/>
      <c r="CG685" s="60"/>
      <c r="CH685" s="60"/>
      <c r="CI685" s="60"/>
      <c r="CJ685" s="60"/>
      <c r="CK685" s="60"/>
      <c r="CL685" s="60"/>
      <c r="CM685" s="60"/>
      <c r="CN685" s="60"/>
      <c r="CO685" s="60"/>
      <c r="CP685" s="60"/>
      <c r="CQ685" s="60"/>
      <c r="CR685" s="60"/>
      <c r="CS685" s="60"/>
      <c r="CT685" s="60"/>
      <c r="CU685" s="60"/>
      <c r="CV685" s="60"/>
      <c r="CW685" s="60"/>
      <c r="CX685" s="60"/>
      <c r="CY685" s="60"/>
      <c r="CZ685" s="60"/>
      <c r="DA685" s="60"/>
      <c r="DB685" s="60"/>
      <c r="DC685" s="60"/>
      <c r="DD685" s="60"/>
      <c r="DE685" s="60"/>
      <c r="DF685" s="60"/>
      <c r="DG685" s="60"/>
      <c r="DH685" s="60"/>
      <c r="DI685" s="60"/>
      <c r="DJ685" s="60"/>
      <c r="DK685" s="60"/>
      <c r="DL685" s="60"/>
      <c r="DM685" s="60"/>
      <c r="DN685" s="60"/>
      <c r="DO685" s="60"/>
      <c r="DP685" s="60"/>
      <c r="DQ685" s="60"/>
      <c r="DR685" s="60"/>
      <c r="DS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60"/>
      <c r="BJ686" s="60"/>
      <c r="BK686" s="60"/>
      <c r="BL686" s="60"/>
      <c r="BM686" s="60"/>
      <c r="BN686" s="60"/>
      <c r="BO686" s="60"/>
      <c r="BP686" s="60"/>
      <c r="BQ686" s="60"/>
      <c r="BR686" s="60"/>
      <c r="BS686" s="60"/>
      <c r="BT686" s="60"/>
      <c r="BU686" s="60"/>
      <c r="BV686" s="60"/>
      <c r="BW686" s="60"/>
      <c r="BX686" s="60"/>
      <c r="BY686" s="60"/>
      <c r="BZ686" s="60"/>
      <c r="CA686" s="60"/>
      <c r="CB686" s="60"/>
      <c r="CC686" s="60"/>
      <c r="CD686" s="60"/>
      <c r="CE686" s="60"/>
      <c r="CF686" s="60"/>
      <c r="CG686" s="60"/>
      <c r="CH686" s="60"/>
      <c r="CI686" s="60"/>
      <c r="CJ686" s="60"/>
      <c r="CK686" s="60"/>
      <c r="CL686" s="60"/>
      <c r="CM686" s="60"/>
      <c r="CN686" s="60"/>
      <c r="CO686" s="60"/>
      <c r="CP686" s="60"/>
      <c r="CQ686" s="60"/>
      <c r="CR686" s="60"/>
      <c r="CS686" s="60"/>
      <c r="CT686" s="60"/>
      <c r="CU686" s="60"/>
      <c r="CV686" s="60"/>
      <c r="CW686" s="60"/>
      <c r="CX686" s="60"/>
      <c r="CY686" s="60"/>
      <c r="CZ686" s="60"/>
      <c r="DA686" s="60"/>
      <c r="DB686" s="60"/>
      <c r="DC686" s="60"/>
      <c r="DD686" s="60"/>
      <c r="DE686" s="60"/>
      <c r="DF686" s="60"/>
      <c r="DG686" s="60"/>
      <c r="DH686" s="60"/>
      <c r="DI686" s="60"/>
      <c r="DJ686" s="60"/>
      <c r="DK686" s="60"/>
      <c r="DL686" s="60"/>
      <c r="DM686" s="60"/>
      <c r="DN686" s="60"/>
      <c r="DO686" s="60"/>
      <c r="DP686" s="60"/>
      <c r="DQ686" s="60"/>
      <c r="DR686" s="60"/>
      <c r="DS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/>
      <c r="BJ687" s="60"/>
      <c r="BK687" s="60"/>
      <c r="BL687" s="60"/>
      <c r="BM687" s="60"/>
      <c r="BN687" s="60"/>
      <c r="BO687" s="60"/>
      <c r="BP687" s="60"/>
      <c r="BQ687" s="60"/>
      <c r="BR687" s="60"/>
      <c r="BS687" s="60"/>
      <c r="BT687" s="60"/>
      <c r="BU687" s="60"/>
      <c r="BV687" s="60"/>
      <c r="BW687" s="60"/>
      <c r="BX687" s="60"/>
      <c r="BY687" s="60"/>
      <c r="BZ687" s="60"/>
      <c r="CA687" s="60"/>
      <c r="CB687" s="60"/>
      <c r="CC687" s="60"/>
      <c r="CD687" s="60"/>
      <c r="CE687" s="60"/>
      <c r="CF687" s="60"/>
      <c r="CG687" s="60"/>
      <c r="CH687" s="60"/>
      <c r="CI687" s="60"/>
      <c r="CJ687" s="60"/>
      <c r="CK687" s="60"/>
      <c r="CL687" s="60"/>
      <c r="CM687" s="60"/>
      <c r="CN687" s="60"/>
      <c r="CO687" s="60"/>
      <c r="CP687" s="60"/>
      <c r="CQ687" s="60"/>
      <c r="CR687" s="60"/>
      <c r="CS687" s="60"/>
      <c r="CT687" s="60"/>
      <c r="CU687" s="60"/>
      <c r="CV687" s="60"/>
      <c r="CW687" s="60"/>
      <c r="CX687" s="60"/>
      <c r="CY687" s="60"/>
      <c r="CZ687" s="60"/>
      <c r="DA687" s="60"/>
      <c r="DB687" s="60"/>
      <c r="DC687" s="60"/>
      <c r="DD687" s="60"/>
      <c r="DE687" s="60"/>
      <c r="DF687" s="60"/>
      <c r="DG687" s="60"/>
      <c r="DH687" s="60"/>
      <c r="DI687" s="60"/>
      <c r="DJ687" s="60"/>
      <c r="DK687" s="60"/>
      <c r="DL687" s="60"/>
      <c r="DM687" s="60"/>
      <c r="DN687" s="60"/>
      <c r="DO687" s="60"/>
      <c r="DP687" s="60"/>
      <c r="DQ687" s="60"/>
      <c r="DR687" s="60"/>
      <c r="DS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60"/>
      <c r="BJ688" s="60"/>
      <c r="BK688" s="60"/>
      <c r="BL688" s="60"/>
      <c r="BM688" s="60"/>
      <c r="BN688" s="60"/>
      <c r="BO688" s="60"/>
      <c r="BP688" s="60"/>
      <c r="BQ688" s="60"/>
      <c r="BR688" s="60"/>
      <c r="BS688" s="60"/>
      <c r="BT688" s="60"/>
      <c r="BU688" s="60"/>
      <c r="BV688" s="60"/>
      <c r="BW688" s="60"/>
      <c r="BX688" s="60"/>
      <c r="BY688" s="60"/>
      <c r="BZ688" s="60"/>
      <c r="CA688" s="60"/>
      <c r="CB688" s="60"/>
      <c r="CC688" s="60"/>
      <c r="CD688" s="60"/>
      <c r="CE688" s="60"/>
      <c r="CF688" s="60"/>
      <c r="CG688" s="60"/>
      <c r="CH688" s="60"/>
      <c r="CI688" s="60"/>
      <c r="CJ688" s="60"/>
      <c r="CK688" s="60"/>
      <c r="CL688" s="60"/>
      <c r="CM688" s="60"/>
      <c r="CN688" s="60"/>
      <c r="CO688" s="60"/>
      <c r="CP688" s="60"/>
      <c r="CQ688" s="60"/>
      <c r="CR688" s="60"/>
      <c r="CS688" s="60"/>
      <c r="CT688" s="60"/>
      <c r="CU688" s="60"/>
      <c r="CV688" s="60"/>
      <c r="CW688" s="60"/>
      <c r="CX688" s="60"/>
      <c r="CY688" s="60"/>
      <c r="CZ688" s="60"/>
      <c r="DA688" s="60"/>
      <c r="DB688" s="60"/>
      <c r="DC688" s="60"/>
      <c r="DD688" s="60"/>
      <c r="DE688" s="60"/>
      <c r="DF688" s="60"/>
      <c r="DG688" s="60"/>
      <c r="DH688" s="60"/>
      <c r="DI688" s="60"/>
      <c r="DJ688" s="60"/>
      <c r="DK688" s="60"/>
      <c r="DL688" s="60"/>
      <c r="DM688" s="60"/>
      <c r="DN688" s="60"/>
      <c r="DO688" s="60"/>
      <c r="DP688" s="60"/>
      <c r="DQ688" s="60"/>
      <c r="DR688" s="60"/>
      <c r="DS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60"/>
      <c r="BJ689" s="60"/>
      <c r="BK689" s="60"/>
      <c r="BL689" s="60"/>
      <c r="BM689" s="60"/>
      <c r="BN689" s="60"/>
      <c r="BO689" s="60"/>
      <c r="BP689" s="60"/>
      <c r="BQ689" s="60"/>
      <c r="BR689" s="60"/>
      <c r="BS689" s="60"/>
      <c r="BT689" s="60"/>
      <c r="BU689" s="60"/>
      <c r="BV689" s="60"/>
      <c r="BW689" s="60"/>
      <c r="BX689" s="60"/>
      <c r="BY689" s="60"/>
      <c r="BZ689" s="60"/>
      <c r="CA689" s="60"/>
      <c r="CB689" s="60"/>
      <c r="CC689" s="60"/>
      <c r="CD689" s="60"/>
      <c r="CE689" s="60"/>
      <c r="CF689" s="60"/>
      <c r="CG689" s="60"/>
      <c r="CH689" s="60"/>
      <c r="CI689" s="60"/>
      <c r="CJ689" s="60"/>
      <c r="CK689" s="60"/>
      <c r="CL689" s="60"/>
      <c r="CM689" s="60"/>
      <c r="CN689" s="60"/>
      <c r="CO689" s="60"/>
      <c r="CP689" s="60"/>
      <c r="CQ689" s="60"/>
      <c r="CR689" s="60"/>
      <c r="CS689" s="60"/>
      <c r="CT689" s="60"/>
      <c r="CU689" s="60"/>
      <c r="CV689" s="60"/>
      <c r="CW689" s="60"/>
      <c r="CX689" s="60"/>
      <c r="CY689" s="60"/>
      <c r="CZ689" s="60"/>
      <c r="DA689" s="60"/>
      <c r="DB689" s="60"/>
      <c r="DC689" s="60"/>
      <c r="DD689" s="60"/>
      <c r="DE689" s="60"/>
      <c r="DF689" s="60"/>
      <c r="DG689" s="60"/>
      <c r="DH689" s="60"/>
      <c r="DI689" s="60"/>
      <c r="DJ689" s="60"/>
      <c r="DK689" s="60"/>
      <c r="DL689" s="60"/>
      <c r="DM689" s="60"/>
      <c r="DN689" s="60"/>
      <c r="DO689" s="60"/>
      <c r="DP689" s="60"/>
      <c r="DQ689" s="60"/>
      <c r="DR689" s="60"/>
      <c r="DS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60"/>
      <c r="BJ690" s="60"/>
      <c r="BK690" s="60"/>
      <c r="BL690" s="60"/>
      <c r="BM690" s="60"/>
      <c r="BN690" s="60"/>
      <c r="BO690" s="60"/>
      <c r="BP690" s="60"/>
      <c r="BQ690" s="60"/>
      <c r="BR690" s="60"/>
      <c r="BS690" s="60"/>
      <c r="BT690" s="60"/>
      <c r="BU690" s="60"/>
      <c r="BV690" s="60"/>
      <c r="BW690" s="60"/>
      <c r="BX690" s="60"/>
      <c r="BY690" s="60"/>
      <c r="BZ690" s="60"/>
      <c r="CA690" s="60"/>
      <c r="CB690" s="60"/>
      <c r="CC690" s="60"/>
      <c r="CD690" s="60"/>
      <c r="CE690" s="60"/>
      <c r="CF690" s="60"/>
      <c r="CG690" s="60"/>
      <c r="CH690" s="60"/>
      <c r="CI690" s="60"/>
      <c r="CJ690" s="60"/>
      <c r="CK690" s="60"/>
      <c r="CL690" s="60"/>
      <c r="CM690" s="60"/>
      <c r="CN690" s="60"/>
      <c r="CO690" s="60"/>
      <c r="CP690" s="60"/>
      <c r="CQ690" s="60"/>
      <c r="CR690" s="60"/>
      <c r="CS690" s="60"/>
      <c r="CT690" s="60"/>
      <c r="CU690" s="60"/>
      <c r="CV690" s="60"/>
      <c r="CW690" s="60"/>
      <c r="CX690" s="60"/>
      <c r="CY690" s="60"/>
      <c r="CZ690" s="60"/>
      <c r="DA690" s="60"/>
      <c r="DB690" s="60"/>
      <c r="DC690" s="60"/>
      <c r="DD690" s="60"/>
      <c r="DE690" s="60"/>
      <c r="DF690" s="60"/>
      <c r="DG690" s="60"/>
      <c r="DH690" s="60"/>
      <c r="DI690" s="60"/>
      <c r="DJ690" s="60"/>
      <c r="DK690" s="60"/>
      <c r="DL690" s="60"/>
      <c r="DM690" s="60"/>
      <c r="DN690" s="60"/>
      <c r="DO690" s="60"/>
      <c r="DP690" s="60"/>
      <c r="DQ690" s="60"/>
      <c r="DR690" s="60"/>
      <c r="DS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60"/>
      <c r="BJ691" s="60"/>
      <c r="BK691" s="60"/>
      <c r="BL691" s="60"/>
      <c r="BM691" s="60"/>
      <c r="BN691" s="60"/>
      <c r="BO691" s="60"/>
      <c r="BP691" s="60"/>
      <c r="BQ691" s="60"/>
      <c r="BR691" s="60"/>
      <c r="BS691" s="60"/>
      <c r="BT691" s="60"/>
      <c r="BU691" s="60"/>
      <c r="BV691" s="60"/>
      <c r="BW691" s="60"/>
      <c r="BX691" s="60"/>
      <c r="BY691" s="60"/>
      <c r="BZ691" s="60"/>
      <c r="CA691" s="60"/>
      <c r="CB691" s="60"/>
      <c r="CC691" s="60"/>
      <c r="CD691" s="60"/>
      <c r="CE691" s="60"/>
      <c r="CF691" s="60"/>
      <c r="CG691" s="60"/>
      <c r="CH691" s="60"/>
      <c r="CI691" s="60"/>
      <c r="CJ691" s="60"/>
      <c r="CK691" s="60"/>
      <c r="CL691" s="60"/>
      <c r="CM691" s="60"/>
      <c r="CN691" s="60"/>
      <c r="CO691" s="60"/>
      <c r="CP691" s="60"/>
      <c r="CQ691" s="60"/>
      <c r="CR691" s="60"/>
      <c r="CS691" s="60"/>
      <c r="CT691" s="60"/>
      <c r="CU691" s="60"/>
      <c r="CV691" s="60"/>
      <c r="CW691" s="60"/>
      <c r="CX691" s="60"/>
      <c r="CY691" s="60"/>
      <c r="CZ691" s="60"/>
      <c r="DA691" s="60"/>
      <c r="DB691" s="60"/>
      <c r="DC691" s="60"/>
      <c r="DD691" s="60"/>
      <c r="DE691" s="60"/>
      <c r="DF691" s="60"/>
      <c r="DG691" s="60"/>
      <c r="DH691" s="60"/>
      <c r="DI691" s="60"/>
      <c r="DJ691" s="60"/>
      <c r="DK691" s="60"/>
      <c r="DL691" s="60"/>
      <c r="DM691" s="60"/>
      <c r="DN691" s="60"/>
      <c r="DO691" s="60"/>
      <c r="DP691" s="60"/>
      <c r="DQ691" s="60"/>
      <c r="DR691" s="60"/>
      <c r="DS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60"/>
      <c r="BJ692" s="60"/>
      <c r="BK692" s="60"/>
      <c r="BL692" s="60"/>
      <c r="BM692" s="60"/>
      <c r="BN692" s="60"/>
      <c r="BO692" s="60"/>
      <c r="BP692" s="60"/>
      <c r="BQ692" s="60"/>
      <c r="BR692" s="60"/>
      <c r="BS692" s="60"/>
      <c r="BT692" s="60"/>
      <c r="BU692" s="60"/>
      <c r="BV692" s="60"/>
      <c r="BW692" s="60"/>
      <c r="BX692" s="60"/>
      <c r="BY692" s="60"/>
      <c r="BZ692" s="60"/>
      <c r="CA692" s="60"/>
      <c r="CB692" s="60"/>
      <c r="CC692" s="60"/>
      <c r="CD692" s="60"/>
      <c r="CE692" s="60"/>
      <c r="CF692" s="60"/>
      <c r="CG692" s="60"/>
      <c r="CH692" s="60"/>
      <c r="CI692" s="60"/>
      <c r="CJ692" s="60"/>
      <c r="CK692" s="60"/>
      <c r="CL692" s="60"/>
      <c r="CM692" s="60"/>
      <c r="CN692" s="60"/>
      <c r="CO692" s="60"/>
      <c r="CP692" s="60"/>
      <c r="CQ692" s="60"/>
      <c r="CR692" s="60"/>
      <c r="CS692" s="60"/>
      <c r="CT692" s="60"/>
      <c r="CU692" s="60"/>
      <c r="CV692" s="60"/>
      <c r="CW692" s="60"/>
      <c r="CX692" s="60"/>
      <c r="CY692" s="60"/>
      <c r="CZ692" s="60"/>
      <c r="DA692" s="60"/>
      <c r="DB692" s="60"/>
      <c r="DC692" s="60"/>
      <c r="DD692" s="60"/>
      <c r="DE692" s="60"/>
      <c r="DF692" s="60"/>
      <c r="DG692" s="60"/>
      <c r="DH692" s="60"/>
      <c r="DI692" s="60"/>
      <c r="DJ692" s="60"/>
      <c r="DK692" s="60"/>
      <c r="DL692" s="60"/>
      <c r="DM692" s="60"/>
      <c r="DN692" s="60"/>
      <c r="DO692" s="60"/>
      <c r="DP692" s="60"/>
      <c r="DQ692" s="60"/>
      <c r="DR692" s="60"/>
      <c r="DS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/>
      <c r="BJ693" s="60"/>
      <c r="BK693" s="60"/>
      <c r="BL693" s="60"/>
      <c r="BM693" s="60"/>
      <c r="BN693" s="60"/>
      <c r="BO693" s="60"/>
      <c r="BP693" s="60"/>
      <c r="BQ693" s="60"/>
      <c r="BR693" s="60"/>
      <c r="BS693" s="60"/>
      <c r="BT693" s="60"/>
      <c r="BU693" s="60"/>
      <c r="BV693" s="60"/>
      <c r="BW693" s="60"/>
      <c r="BX693" s="60"/>
      <c r="BY693" s="60"/>
      <c r="BZ693" s="60"/>
      <c r="CA693" s="60"/>
      <c r="CB693" s="60"/>
      <c r="CC693" s="60"/>
      <c r="CD693" s="60"/>
      <c r="CE693" s="60"/>
      <c r="CF693" s="60"/>
      <c r="CG693" s="60"/>
      <c r="CH693" s="60"/>
      <c r="CI693" s="60"/>
      <c r="CJ693" s="60"/>
      <c r="CK693" s="60"/>
      <c r="CL693" s="60"/>
      <c r="CM693" s="60"/>
      <c r="CN693" s="60"/>
      <c r="CO693" s="60"/>
      <c r="CP693" s="60"/>
      <c r="CQ693" s="60"/>
      <c r="CR693" s="60"/>
      <c r="CS693" s="60"/>
      <c r="CT693" s="60"/>
      <c r="CU693" s="60"/>
      <c r="CV693" s="60"/>
      <c r="CW693" s="60"/>
      <c r="CX693" s="60"/>
      <c r="CY693" s="60"/>
      <c r="CZ693" s="60"/>
      <c r="DA693" s="60"/>
      <c r="DB693" s="60"/>
      <c r="DC693" s="60"/>
      <c r="DD693" s="60"/>
      <c r="DE693" s="60"/>
      <c r="DF693" s="60"/>
      <c r="DG693" s="60"/>
      <c r="DH693" s="60"/>
      <c r="DI693" s="60"/>
      <c r="DJ693" s="60"/>
      <c r="DK693" s="60"/>
      <c r="DL693" s="60"/>
      <c r="DM693" s="60"/>
      <c r="DN693" s="60"/>
      <c r="DO693" s="60"/>
      <c r="DP693" s="60"/>
      <c r="DQ693" s="60"/>
      <c r="DR693" s="60"/>
      <c r="DS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60"/>
      <c r="BJ694" s="60"/>
      <c r="BK694" s="60"/>
      <c r="BL694" s="60"/>
      <c r="BM694" s="60"/>
      <c r="BN694" s="60"/>
      <c r="BO694" s="60"/>
      <c r="BP694" s="60"/>
      <c r="BQ694" s="60"/>
      <c r="BR694" s="60"/>
      <c r="BS694" s="60"/>
      <c r="BT694" s="60"/>
      <c r="BU694" s="60"/>
      <c r="BV694" s="60"/>
      <c r="BW694" s="60"/>
      <c r="BX694" s="60"/>
      <c r="BY694" s="60"/>
      <c r="BZ694" s="60"/>
      <c r="CA694" s="60"/>
      <c r="CB694" s="60"/>
      <c r="CC694" s="60"/>
      <c r="CD694" s="60"/>
      <c r="CE694" s="60"/>
      <c r="CF694" s="60"/>
      <c r="CG694" s="60"/>
      <c r="CH694" s="60"/>
      <c r="CI694" s="60"/>
      <c r="CJ694" s="60"/>
      <c r="CK694" s="60"/>
      <c r="CL694" s="60"/>
      <c r="CM694" s="60"/>
      <c r="CN694" s="60"/>
      <c r="CO694" s="60"/>
      <c r="CP694" s="60"/>
      <c r="CQ694" s="60"/>
      <c r="CR694" s="60"/>
      <c r="CS694" s="60"/>
      <c r="CT694" s="60"/>
      <c r="CU694" s="60"/>
      <c r="CV694" s="60"/>
      <c r="CW694" s="60"/>
      <c r="CX694" s="60"/>
      <c r="CY694" s="60"/>
      <c r="CZ694" s="60"/>
      <c r="DA694" s="60"/>
      <c r="DB694" s="60"/>
      <c r="DC694" s="60"/>
      <c r="DD694" s="60"/>
      <c r="DE694" s="60"/>
      <c r="DF694" s="60"/>
      <c r="DG694" s="60"/>
      <c r="DH694" s="60"/>
      <c r="DI694" s="60"/>
      <c r="DJ694" s="60"/>
      <c r="DK694" s="60"/>
      <c r="DL694" s="60"/>
      <c r="DM694" s="60"/>
      <c r="DN694" s="60"/>
      <c r="DO694" s="60"/>
      <c r="DP694" s="60"/>
      <c r="DQ694" s="60"/>
      <c r="DR694" s="60"/>
      <c r="DS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60"/>
      <c r="BJ695" s="60"/>
      <c r="BK695" s="60"/>
      <c r="BL695" s="60"/>
      <c r="BM695" s="60"/>
      <c r="BN695" s="60"/>
      <c r="BO695" s="60"/>
      <c r="BP695" s="60"/>
      <c r="BQ695" s="60"/>
      <c r="BR695" s="60"/>
      <c r="BS695" s="60"/>
      <c r="BT695" s="60"/>
      <c r="BU695" s="60"/>
      <c r="BV695" s="60"/>
      <c r="BW695" s="60"/>
      <c r="BX695" s="60"/>
      <c r="BY695" s="60"/>
      <c r="BZ695" s="60"/>
      <c r="CA695" s="60"/>
      <c r="CB695" s="60"/>
      <c r="CC695" s="60"/>
      <c r="CD695" s="60"/>
      <c r="CE695" s="60"/>
      <c r="CF695" s="60"/>
      <c r="CG695" s="60"/>
      <c r="CH695" s="60"/>
      <c r="CI695" s="60"/>
      <c r="CJ695" s="60"/>
      <c r="CK695" s="60"/>
      <c r="CL695" s="60"/>
      <c r="CM695" s="60"/>
      <c r="CN695" s="60"/>
      <c r="CO695" s="60"/>
      <c r="CP695" s="60"/>
      <c r="CQ695" s="60"/>
      <c r="CR695" s="60"/>
      <c r="CS695" s="60"/>
      <c r="CT695" s="60"/>
      <c r="CU695" s="60"/>
      <c r="CV695" s="60"/>
      <c r="CW695" s="60"/>
      <c r="CX695" s="60"/>
      <c r="CY695" s="60"/>
      <c r="CZ695" s="60"/>
      <c r="DA695" s="60"/>
      <c r="DB695" s="60"/>
      <c r="DC695" s="60"/>
      <c r="DD695" s="60"/>
      <c r="DE695" s="60"/>
      <c r="DF695" s="60"/>
      <c r="DG695" s="60"/>
      <c r="DH695" s="60"/>
      <c r="DI695" s="60"/>
      <c r="DJ695" s="60"/>
      <c r="DK695" s="60"/>
      <c r="DL695" s="60"/>
      <c r="DM695" s="60"/>
      <c r="DN695" s="60"/>
      <c r="DO695" s="60"/>
      <c r="DP695" s="60"/>
      <c r="DQ695" s="60"/>
      <c r="DR695" s="60"/>
      <c r="DS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/>
      <c r="BJ696" s="60"/>
      <c r="BK696" s="60"/>
      <c r="BL696" s="60"/>
      <c r="BM696" s="60"/>
      <c r="BN696" s="60"/>
      <c r="BO696" s="60"/>
      <c r="BP696" s="60"/>
      <c r="BQ696" s="60"/>
      <c r="BR696" s="60"/>
      <c r="BS696" s="60"/>
      <c r="BT696" s="60"/>
      <c r="BU696" s="60"/>
      <c r="BV696" s="60"/>
      <c r="BW696" s="60"/>
      <c r="BX696" s="60"/>
      <c r="BY696" s="60"/>
      <c r="BZ696" s="60"/>
      <c r="CA696" s="60"/>
      <c r="CB696" s="60"/>
      <c r="CC696" s="60"/>
      <c r="CD696" s="60"/>
      <c r="CE696" s="60"/>
      <c r="CF696" s="60"/>
      <c r="CG696" s="60"/>
      <c r="CH696" s="60"/>
      <c r="CI696" s="60"/>
      <c r="CJ696" s="60"/>
      <c r="CK696" s="60"/>
      <c r="CL696" s="60"/>
      <c r="CM696" s="60"/>
      <c r="CN696" s="60"/>
      <c r="CO696" s="60"/>
      <c r="CP696" s="60"/>
      <c r="CQ696" s="60"/>
      <c r="CR696" s="60"/>
      <c r="CS696" s="60"/>
      <c r="CT696" s="60"/>
      <c r="CU696" s="60"/>
      <c r="CV696" s="60"/>
      <c r="CW696" s="60"/>
      <c r="CX696" s="60"/>
      <c r="CY696" s="60"/>
      <c r="CZ696" s="60"/>
      <c r="DA696" s="60"/>
      <c r="DB696" s="60"/>
      <c r="DC696" s="60"/>
      <c r="DD696" s="60"/>
      <c r="DE696" s="60"/>
      <c r="DF696" s="60"/>
      <c r="DG696" s="60"/>
      <c r="DH696" s="60"/>
      <c r="DI696" s="60"/>
      <c r="DJ696" s="60"/>
      <c r="DK696" s="60"/>
      <c r="DL696" s="60"/>
      <c r="DM696" s="60"/>
      <c r="DN696" s="60"/>
      <c r="DO696" s="60"/>
      <c r="DP696" s="60"/>
      <c r="DQ696" s="60"/>
      <c r="DR696" s="60"/>
      <c r="DS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60"/>
      <c r="BJ697" s="60"/>
      <c r="BK697" s="60"/>
      <c r="BL697" s="60"/>
      <c r="BM697" s="60"/>
      <c r="BN697" s="60"/>
      <c r="BO697" s="60"/>
      <c r="BP697" s="60"/>
      <c r="BQ697" s="60"/>
      <c r="BR697" s="60"/>
      <c r="BS697" s="60"/>
      <c r="BT697" s="60"/>
      <c r="BU697" s="60"/>
      <c r="BV697" s="60"/>
      <c r="BW697" s="60"/>
      <c r="BX697" s="60"/>
      <c r="BY697" s="60"/>
      <c r="BZ697" s="60"/>
      <c r="CA697" s="60"/>
      <c r="CB697" s="60"/>
      <c r="CC697" s="60"/>
      <c r="CD697" s="60"/>
      <c r="CE697" s="60"/>
      <c r="CF697" s="60"/>
      <c r="CG697" s="60"/>
      <c r="CH697" s="60"/>
      <c r="CI697" s="60"/>
      <c r="CJ697" s="60"/>
      <c r="CK697" s="60"/>
      <c r="CL697" s="60"/>
      <c r="CM697" s="60"/>
      <c r="CN697" s="60"/>
      <c r="CO697" s="60"/>
      <c r="CP697" s="60"/>
      <c r="CQ697" s="60"/>
      <c r="CR697" s="60"/>
      <c r="CS697" s="60"/>
      <c r="CT697" s="60"/>
      <c r="CU697" s="60"/>
      <c r="CV697" s="60"/>
      <c r="CW697" s="60"/>
      <c r="CX697" s="60"/>
      <c r="CY697" s="60"/>
      <c r="CZ697" s="60"/>
      <c r="DA697" s="60"/>
      <c r="DB697" s="60"/>
      <c r="DC697" s="60"/>
      <c r="DD697" s="60"/>
      <c r="DE697" s="60"/>
      <c r="DF697" s="60"/>
      <c r="DG697" s="60"/>
      <c r="DH697" s="60"/>
      <c r="DI697" s="60"/>
      <c r="DJ697" s="60"/>
      <c r="DK697" s="60"/>
      <c r="DL697" s="60"/>
      <c r="DM697" s="60"/>
      <c r="DN697" s="60"/>
      <c r="DO697" s="60"/>
      <c r="DP697" s="60"/>
      <c r="DQ697" s="60"/>
      <c r="DR697" s="60"/>
      <c r="DS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/>
      <c r="BJ698" s="60"/>
      <c r="BK698" s="60"/>
      <c r="BL698" s="60"/>
      <c r="BM698" s="60"/>
      <c r="BN698" s="60"/>
      <c r="BO698" s="60"/>
      <c r="BP698" s="60"/>
      <c r="BQ698" s="60"/>
      <c r="BR698" s="60"/>
      <c r="BS698" s="60"/>
      <c r="BT698" s="60"/>
      <c r="BU698" s="60"/>
      <c r="BV698" s="60"/>
      <c r="BW698" s="60"/>
      <c r="BX698" s="60"/>
      <c r="BY698" s="60"/>
      <c r="BZ698" s="60"/>
      <c r="CA698" s="60"/>
      <c r="CB698" s="60"/>
      <c r="CC698" s="60"/>
      <c r="CD698" s="60"/>
      <c r="CE698" s="60"/>
      <c r="CF698" s="60"/>
      <c r="CG698" s="60"/>
      <c r="CH698" s="60"/>
      <c r="CI698" s="60"/>
      <c r="CJ698" s="60"/>
      <c r="CK698" s="60"/>
      <c r="CL698" s="60"/>
      <c r="CM698" s="60"/>
      <c r="CN698" s="60"/>
      <c r="CO698" s="60"/>
      <c r="CP698" s="60"/>
      <c r="CQ698" s="60"/>
      <c r="CR698" s="60"/>
      <c r="CS698" s="60"/>
      <c r="CT698" s="60"/>
      <c r="CU698" s="60"/>
      <c r="CV698" s="60"/>
      <c r="CW698" s="60"/>
      <c r="CX698" s="60"/>
      <c r="CY698" s="60"/>
      <c r="CZ698" s="60"/>
      <c r="DA698" s="60"/>
      <c r="DB698" s="60"/>
      <c r="DC698" s="60"/>
      <c r="DD698" s="60"/>
      <c r="DE698" s="60"/>
      <c r="DF698" s="60"/>
      <c r="DG698" s="60"/>
      <c r="DH698" s="60"/>
      <c r="DI698" s="60"/>
      <c r="DJ698" s="60"/>
      <c r="DK698" s="60"/>
      <c r="DL698" s="60"/>
      <c r="DM698" s="60"/>
      <c r="DN698" s="60"/>
      <c r="DO698" s="60"/>
      <c r="DP698" s="60"/>
      <c r="DQ698" s="60"/>
      <c r="DR698" s="60"/>
      <c r="DS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60"/>
      <c r="BJ699" s="60"/>
      <c r="BK699" s="60"/>
      <c r="BL699" s="60"/>
      <c r="BM699" s="60"/>
      <c r="BN699" s="60"/>
      <c r="BO699" s="60"/>
      <c r="BP699" s="60"/>
      <c r="BQ699" s="60"/>
      <c r="BR699" s="60"/>
      <c r="BS699" s="60"/>
      <c r="BT699" s="60"/>
      <c r="BU699" s="60"/>
      <c r="BV699" s="60"/>
      <c r="BW699" s="60"/>
      <c r="BX699" s="60"/>
      <c r="BY699" s="60"/>
      <c r="BZ699" s="60"/>
      <c r="CA699" s="60"/>
      <c r="CB699" s="60"/>
      <c r="CC699" s="60"/>
      <c r="CD699" s="60"/>
      <c r="CE699" s="60"/>
      <c r="CF699" s="60"/>
      <c r="CG699" s="60"/>
      <c r="CH699" s="60"/>
      <c r="CI699" s="60"/>
      <c r="CJ699" s="60"/>
      <c r="CK699" s="60"/>
      <c r="CL699" s="60"/>
      <c r="CM699" s="60"/>
      <c r="CN699" s="60"/>
      <c r="CO699" s="60"/>
      <c r="CP699" s="60"/>
      <c r="CQ699" s="60"/>
      <c r="CR699" s="60"/>
      <c r="CS699" s="60"/>
      <c r="CT699" s="60"/>
      <c r="CU699" s="60"/>
      <c r="CV699" s="60"/>
      <c r="CW699" s="60"/>
      <c r="CX699" s="60"/>
      <c r="CY699" s="60"/>
      <c r="CZ699" s="60"/>
      <c r="DA699" s="60"/>
      <c r="DB699" s="60"/>
      <c r="DC699" s="60"/>
      <c r="DD699" s="60"/>
      <c r="DE699" s="60"/>
      <c r="DF699" s="60"/>
      <c r="DG699" s="60"/>
      <c r="DH699" s="60"/>
      <c r="DI699" s="60"/>
      <c r="DJ699" s="60"/>
      <c r="DK699" s="60"/>
      <c r="DL699" s="60"/>
      <c r="DM699" s="60"/>
      <c r="DN699" s="60"/>
      <c r="DO699" s="60"/>
      <c r="DP699" s="60"/>
      <c r="DQ699" s="60"/>
      <c r="DR699" s="60"/>
      <c r="DS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60"/>
      <c r="BJ700" s="60"/>
      <c r="BK700" s="60"/>
      <c r="BL700" s="60"/>
      <c r="BM700" s="60"/>
      <c r="BN700" s="60"/>
      <c r="BO700" s="60"/>
      <c r="BP700" s="60"/>
      <c r="BQ700" s="60"/>
      <c r="BR700" s="60"/>
      <c r="BS700" s="60"/>
      <c r="BT700" s="60"/>
      <c r="BU700" s="60"/>
      <c r="BV700" s="60"/>
      <c r="BW700" s="60"/>
      <c r="BX700" s="60"/>
      <c r="BY700" s="60"/>
      <c r="BZ700" s="60"/>
      <c r="CA700" s="60"/>
      <c r="CB700" s="60"/>
      <c r="CC700" s="60"/>
      <c r="CD700" s="60"/>
      <c r="CE700" s="60"/>
      <c r="CF700" s="60"/>
      <c r="CG700" s="60"/>
      <c r="CH700" s="60"/>
      <c r="CI700" s="60"/>
      <c r="CJ700" s="60"/>
      <c r="CK700" s="60"/>
      <c r="CL700" s="60"/>
      <c r="CM700" s="60"/>
      <c r="CN700" s="60"/>
      <c r="CO700" s="60"/>
      <c r="CP700" s="60"/>
      <c r="CQ700" s="60"/>
      <c r="CR700" s="60"/>
      <c r="CS700" s="60"/>
      <c r="CT700" s="60"/>
      <c r="CU700" s="60"/>
      <c r="CV700" s="60"/>
      <c r="CW700" s="60"/>
      <c r="CX700" s="60"/>
      <c r="CY700" s="60"/>
      <c r="CZ700" s="60"/>
      <c r="DA700" s="60"/>
      <c r="DB700" s="60"/>
      <c r="DC700" s="60"/>
      <c r="DD700" s="60"/>
      <c r="DE700" s="60"/>
      <c r="DF700" s="60"/>
      <c r="DG700" s="60"/>
      <c r="DH700" s="60"/>
      <c r="DI700" s="60"/>
      <c r="DJ700" s="60"/>
      <c r="DK700" s="60"/>
      <c r="DL700" s="60"/>
      <c r="DM700" s="60"/>
      <c r="DN700" s="60"/>
      <c r="DO700" s="60"/>
      <c r="DP700" s="60"/>
      <c r="DQ700" s="60"/>
      <c r="DR700" s="60"/>
      <c r="DS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/>
      <c r="BJ701" s="60"/>
      <c r="BK701" s="60"/>
      <c r="BL701" s="60"/>
      <c r="BM701" s="60"/>
      <c r="BN701" s="60"/>
      <c r="BO701" s="60"/>
      <c r="BP701" s="60"/>
      <c r="BQ701" s="60"/>
      <c r="BR701" s="60"/>
      <c r="BS701" s="60"/>
      <c r="BT701" s="60"/>
      <c r="BU701" s="60"/>
      <c r="BV701" s="60"/>
      <c r="BW701" s="60"/>
      <c r="BX701" s="60"/>
      <c r="BY701" s="60"/>
      <c r="BZ701" s="60"/>
      <c r="CA701" s="60"/>
      <c r="CB701" s="60"/>
      <c r="CC701" s="60"/>
      <c r="CD701" s="60"/>
      <c r="CE701" s="60"/>
      <c r="CF701" s="60"/>
      <c r="CG701" s="60"/>
      <c r="CH701" s="60"/>
      <c r="CI701" s="60"/>
      <c r="CJ701" s="60"/>
      <c r="CK701" s="60"/>
      <c r="CL701" s="60"/>
      <c r="CM701" s="60"/>
      <c r="CN701" s="60"/>
      <c r="CO701" s="60"/>
      <c r="CP701" s="60"/>
      <c r="CQ701" s="60"/>
      <c r="CR701" s="60"/>
      <c r="CS701" s="60"/>
      <c r="CT701" s="60"/>
      <c r="CU701" s="60"/>
      <c r="CV701" s="60"/>
      <c r="CW701" s="60"/>
      <c r="CX701" s="60"/>
      <c r="CY701" s="60"/>
      <c r="CZ701" s="60"/>
      <c r="DA701" s="60"/>
      <c r="DB701" s="60"/>
      <c r="DC701" s="60"/>
      <c r="DD701" s="60"/>
      <c r="DE701" s="60"/>
      <c r="DF701" s="60"/>
      <c r="DG701" s="60"/>
      <c r="DH701" s="60"/>
      <c r="DI701" s="60"/>
      <c r="DJ701" s="60"/>
      <c r="DK701" s="60"/>
      <c r="DL701" s="60"/>
      <c r="DM701" s="60"/>
      <c r="DN701" s="60"/>
      <c r="DO701" s="60"/>
      <c r="DP701" s="60"/>
      <c r="DQ701" s="60"/>
      <c r="DR701" s="60"/>
      <c r="DS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60"/>
      <c r="BJ702" s="60"/>
      <c r="BK702" s="60"/>
      <c r="BL702" s="60"/>
      <c r="BM702" s="60"/>
      <c r="BN702" s="60"/>
      <c r="BO702" s="60"/>
      <c r="BP702" s="60"/>
      <c r="BQ702" s="60"/>
      <c r="BR702" s="60"/>
      <c r="BS702" s="60"/>
      <c r="BT702" s="60"/>
      <c r="BU702" s="60"/>
      <c r="BV702" s="60"/>
      <c r="BW702" s="60"/>
      <c r="BX702" s="60"/>
      <c r="BY702" s="60"/>
      <c r="BZ702" s="60"/>
      <c r="CA702" s="60"/>
      <c r="CB702" s="60"/>
      <c r="CC702" s="60"/>
      <c r="CD702" s="60"/>
      <c r="CE702" s="60"/>
      <c r="CF702" s="60"/>
      <c r="CG702" s="60"/>
      <c r="CH702" s="60"/>
      <c r="CI702" s="60"/>
      <c r="CJ702" s="60"/>
      <c r="CK702" s="60"/>
      <c r="CL702" s="60"/>
      <c r="CM702" s="60"/>
      <c r="CN702" s="60"/>
      <c r="CO702" s="60"/>
      <c r="CP702" s="60"/>
      <c r="CQ702" s="60"/>
      <c r="CR702" s="60"/>
      <c r="CS702" s="60"/>
      <c r="CT702" s="60"/>
      <c r="CU702" s="60"/>
      <c r="CV702" s="60"/>
      <c r="CW702" s="60"/>
      <c r="CX702" s="60"/>
      <c r="CY702" s="60"/>
      <c r="CZ702" s="60"/>
      <c r="DA702" s="60"/>
      <c r="DB702" s="60"/>
      <c r="DC702" s="60"/>
      <c r="DD702" s="60"/>
      <c r="DE702" s="60"/>
      <c r="DF702" s="60"/>
      <c r="DG702" s="60"/>
      <c r="DH702" s="60"/>
      <c r="DI702" s="60"/>
      <c r="DJ702" s="60"/>
      <c r="DK702" s="60"/>
      <c r="DL702" s="60"/>
      <c r="DM702" s="60"/>
      <c r="DN702" s="60"/>
      <c r="DO702" s="60"/>
      <c r="DP702" s="60"/>
      <c r="DQ702" s="60"/>
      <c r="DR702" s="60"/>
      <c r="DS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60"/>
      <c r="BJ703" s="60"/>
      <c r="BK703" s="60"/>
      <c r="BL703" s="60"/>
      <c r="BM703" s="60"/>
      <c r="BN703" s="60"/>
      <c r="BO703" s="60"/>
      <c r="BP703" s="60"/>
      <c r="BQ703" s="60"/>
      <c r="BR703" s="60"/>
      <c r="BS703" s="60"/>
      <c r="BT703" s="60"/>
      <c r="BU703" s="60"/>
      <c r="BV703" s="60"/>
      <c r="BW703" s="60"/>
      <c r="BX703" s="60"/>
      <c r="BY703" s="60"/>
      <c r="BZ703" s="60"/>
      <c r="CA703" s="60"/>
      <c r="CB703" s="60"/>
      <c r="CC703" s="60"/>
      <c r="CD703" s="60"/>
      <c r="CE703" s="60"/>
      <c r="CF703" s="60"/>
      <c r="CG703" s="60"/>
      <c r="CH703" s="60"/>
      <c r="CI703" s="60"/>
      <c r="CJ703" s="60"/>
      <c r="CK703" s="60"/>
      <c r="CL703" s="60"/>
      <c r="CM703" s="60"/>
      <c r="CN703" s="60"/>
      <c r="CO703" s="60"/>
      <c r="CP703" s="60"/>
      <c r="CQ703" s="60"/>
      <c r="CR703" s="60"/>
      <c r="CS703" s="60"/>
      <c r="CT703" s="60"/>
      <c r="CU703" s="60"/>
      <c r="CV703" s="60"/>
      <c r="CW703" s="60"/>
      <c r="CX703" s="60"/>
      <c r="CY703" s="60"/>
      <c r="CZ703" s="60"/>
      <c r="DA703" s="60"/>
      <c r="DB703" s="60"/>
      <c r="DC703" s="60"/>
      <c r="DD703" s="60"/>
      <c r="DE703" s="60"/>
      <c r="DF703" s="60"/>
      <c r="DG703" s="60"/>
      <c r="DH703" s="60"/>
      <c r="DI703" s="60"/>
      <c r="DJ703" s="60"/>
      <c r="DK703" s="60"/>
      <c r="DL703" s="60"/>
      <c r="DM703" s="60"/>
      <c r="DN703" s="60"/>
      <c r="DO703" s="60"/>
      <c r="DP703" s="60"/>
      <c r="DQ703" s="60"/>
      <c r="DR703" s="60"/>
      <c r="DS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/>
      <c r="BJ704" s="60"/>
      <c r="BK704" s="60"/>
      <c r="BL704" s="60"/>
      <c r="BM704" s="60"/>
      <c r="BN704" s="60"/>
      <c r="BO704" s="60"/>
      <c r="BP704" s="60"/>
      <c r="BQ704" s="60"/>
      <c r="BR704" s="60"/>
      <c r="BS704" s="60"/>
      <c r="BT704" s="60"/>
      <c r="BU704" s="60"/>
      <c r="BV704" s="60"/>
      <c r="BW704" s="60"/>
      <c r="BX704" s="60"/>
      <c r="BY704" s="60"/>
      <c r="BZ704" s="60"/>
      <c r="CA704" s="60"/>
      <c r="CB704" s="60"/>
      <c r="CC704" s="60"/>
      <c r="CD704" s="60"/>
      <c r="CE704" s="60"/>
      <c r="CF704" s="60"/>
      <c r="CG704" s="60"/>
      <c r="CH704" s="60"/>
      <c r="CI704" s="60"/>
      <c r="CJ704" s="60"/>
      <c r="CK704" s="60"/>
      <c r="CL704" s="60"/>
      <c r="CM704" s="60"/>
      <c r="CN704" s="60"/>
      <c r="CO704" s="60"/>
      <c r="CP704" s="60"/>
      <c r="CQ704" s="60"/>
      <c r="CR704" s="60"/>
      <c r="CS704" s="60"/>
      <c r="CT704" s="60"/>
      <c r="CU704" s="60"/>
      <c r="CV704" s="60"/>
      <c r="CW704" s="60"/>
      <c r="CX704" s="60"/>
      <c r="CY704" s="60"/>
      <c r="CZ704" s="60"/>
      <c r="DA704" s="60"/>
      <c r="DB704" s="60"/>
      <c r="DC704" s="60"/>
      <c r="DD704" s="60"/>
      <c r="DE704" s="60"/>
      <c r="DF704" s="60"/>
      <c r="DG704" s="60"/>
      <c r="DH704" s="60"/>
      <c r="DI704" s="60"/>
      <c r="DJ704" s="60"/>
      <c r="DK704" s="60"/>
      <c r="DL704" s="60"/>
      <c r="DM704" s="60"/>
      <c r="DN704" s="60"/>
      <c r="DO704" s="60"/>
      <c r="DP704" s="60"/>
      <c r="DQ704" s="60"/>
      <c r="DR704" s="60"/>
      <c r="DS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60"/>
      <c r="BJ705" s="60"/>
      <c r="BK705" s="60"/>
      <c r="BL705" s="60"/>
      <c r="BM705" s="60"/>
      <c r="BN705" s="60"/>
      <c r="BO705" s="60"/>
      <c r="BP705" s="60"/>
      <c r="BQ705" s="60"/>
      <c r="BR705" s="60"/>
      <c r="BS705" s="60"/>
      <c r="BT705" s="60"/>
      <c r="BU705" s="60"/>
      <c r="BV705" s="60"/>
      <c r="BW705" s="60"/>
      <c r="BX705" s="60"/>
      <c r="BY705" s="60"/>
      <c r="BZ705" s="60"/>
      <c r="CA705" s="60"/>
      <c r="CB705" s="60"/>
      <c r="CC705" s="60"/>
      <c r="CD705" s="60"/>
      <c r="CE705" s="60"/>
      <c r="CF705" s="60"/>
      <c r="CG705" s="60"/>
      <c r="CH705" s="60"/>
      <c r="CI705" s="60"/>
      <c r="CJ705" s="60"/>
      <c r="CK705" s="60"/>
      <c r="CL705" s="60"/>
      <c r="CM705" s="60"/>
      <c r="CN705" s="60"/>
      <c r="CO705" s="60"/>
      <c r="CP705" s="60"/>
      <c r="CQ705" s="60"/>
      <c r="CR705" s="60"/>
      <c r="CS705" s="60"/>
      <c r="CT705" s="60"/>
      <c r="CU705" s="60"/>
      <c r="CV705" s="60"/>
      <c r="CW705" s="60"/>
      <c r="CX705" s="60"/>
      <c r="CY705" s="60"/>
      <c r="CZ705" s="60"/>
      <c r="DA705" s="60"/>
      <c r="DB705" s="60"/>
      <c r="DC705" s="60"/>
      <c r="DD705" s="60"/>
      <c r="DE705" s="60"/>
      <c r="DF705" s="60"/>
      <c r="DG705" s="60"/>
      <c r="DH705" s="60"/>
      <c r="DI705" s="60"/>
      <c r="DJ705" s="60"/>
      <c r="DK705" s="60"/>
      <c r="DL705" s="60"/>
      <c r="DM705" s="60"/>
      <c r="DN705" s="60"/>
      <c r="DO705" s="60"/>
      <c r="DP705" s="60"/>
      <c r="DQ705" s="60"/>
      <c r="DR705" s="60"/>
      <c r="DS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60"/>
      <c r="BJ706" s="60"/>
      <c r="BK706" s="60"/>
      <c r="BL706" s="60"/>
      <c r="BM706" s="60"/>
      <c r="BN706" s="60"/>
      <c r="BO706" s="60"/>
      <c r="BP706" s="60"/>
      <c r="BQ706" s="60"/>
      <c r="BR706" s="60"/>
      <c r="BS706" s="60"/>
      <c r="BT706" s="60"/>
      <c r="BU706" s="60"/>
      <c r="BV706" s="60"/>
      <c r="BW706" s="60"/>
      <c r="BX706" s="60"/>
      <c r="BY706" s="60"/>
      <c r="BZ706" s="60"/>
      <c r="CA706" s="60"/>
      <c r="CB706" s="60"/>
      <c r="CC706" s="60"/>
      <c r="CD706" s="60"/>
      <c r="CE706" s="60"/>
      <c r="CF706" s="60"/>
      <c r="CG706" s="60"/>
      <c r="CH706" s="60"/>
      <c r="CI706" s="60"/>
      <c r="CJ706" s="60"/>
      <c r="CK706" s="60"/>
      <c r="CL706" s="60"/>
      <c r="CM706" s="60"/>
      <c r="CN706" s="60"/>
      <c r="CO706" s="60"/>
      <c r="CP706" s="60"/>
      <c r="CQ706" s="60"/>
      <c r="CR706" s="60"/>
      <c r="CS706" s="60"/>
      <c r="CT706" s="60"/>
      <c r="CU706" s="60"/>
      <c r="CV706" s="60"/>
      <c r="CW706" s="60"/>
      <c r="CX706" s="60"/>
      <c r="CY706" s="60"/>
      <c r="CZ706" s="60"/>
      <c r="DA706" s="60"/>
      <c r="DB706" s="60"/>
      <c r="DC706" s="60"/>
      <c r="DD706" s="60"/>
      <c r="DE706" s="60"/>
      <c r="DF706" s="60"/>
      <c r="DG706" s="60"/>
      <c r="DH706" s="60"/>
      <c r="DI706" s="60"/>
      <c r="DJ706" s="60"/>
      <c r="DK706" s="60"/>
      <c r="DL706" s="60"/>
      <c r="DM706" s="60"/>
      <c r="DN706" s="60"/>
      <c r="DO706" s="60"/>
      <c r="DP706" s="60"/>
      <c r="DQ706" s="60"/>
      <c r="DR706" s="60"/>
      <c r="DS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/>
      <c r="BJ707" s="60"/>
      <c r="BK707" s="60"/>
      <c r="BL707" s="60"/>
      <c r="BM707" s="60"/>
      <c r="BN707" s="60"/>
      <c r="BO707" s="60"/>
      <c r="BP707" s="60"/>
      <c r="BQ707" s="60"/>
      <c r="BR707" s="60"/>
      <c r="BS707" s="60"/>
      <c r="BT707" s="60"/>
      <c r="BU707" s="60"/>
      <c r="BV707" s="60"/>
      <c r="BW707" s="60"/>
      <c r="BX707" s="60"/>
      <c r="BY707" s="60"/>
      <c r="BZ707" s="60"/>
      <c r="CA707" s="60"/>
      <c r="CB707" s="60"/>
      <c r="CC707" s="60"/>
      <c r="CD707" s="60"/>
      <c r="CE707" s="60"/>
      <c r="CF707" s="60"/>
      <c r="CG707" s="60"/>
      <c r="CH707" s="60"/>
      <c r="CI707" s="60"/>
      <c r="CJ707" s="60"/>
      <c r="CK707" s="60"/>
      <c r="CL707" s="60"/>
      <c r="CM707" s="60"/>
      <c r="CN707" s="60"/>
      <c r="CO707" s="60"/>
      <c r="CP707" s="60"/>
      <c r="CQ707" s="60"/>
      <c r="CR707" s="60"/>
      <c r="CS707" s="60"/>
      <c r="CT707" s="60"/>
      <c r="CU707" s="60"/>
      <c r="CV707" s="60"/>
      <c r="CW707" s="60"/>
      <c r="CX707" s="60"/>
      <c r="CY707" s="60"/>
      <c r="CZ707" s="60"/>
      <c r="DA707" s="60"/>
      <c r="DB707" s="60"/>
      <c r="DC707" s="60"/>
      <c r="DD707" s="60"/>
      <c r="DE707" s="60"/>
      <c r="DF707" s="60"/>
      <c r="DG707" s="60"/>
      <c r="DH707" s="60"/>
      <c r="DI707" s="60"/>
      <c r="DJ707" s="60"/>
      <c r="DK707" s="60"/>
      <c r="DL707" s="60"/>
      <c r="DM707" s="60"/>
      <c r="DN707" s="60"/>
      <c r="DO707" s="60"/>
      <c r="DP707" s="60"/>
      <c r="DQ707" s="60"/>
      <c r="DR707" s="60"/>
      <c r="DS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60"/>
      <c r="BJ708" s="60"/>
      <c r="BK708" s="60"/>
      <c r="BL708" s="60"/>
      <c r="BM708" s="60"/>
      <c r="BN708" s="60"/>
      <c r="BO708" s="60"/>
      <c r="BP708" s="60"/>
      <c r="BQ708" s="60"/>
      <c r="BR708" s="60"/>
      <c r="BS708" s="60"/>
      <c r="BT708" s="60"/>
      <c r="BU708" s="60"/>
      <c r="BV708" s="60"/>
      <c r="BW708" s="60"/>
      <c r="BX708" s="60"/>
      <c r="BY708" s="60"/>
      <c r="BZ708" s="60"/>
      <c r="CA708" s="60"/>
      <c r="CB708" s="60"/>
      <c r="CC708" s="60"/>
      <c r="CD708" s="60"/>
      <c r="CE708" s="60"/>
      <c r="CF708" s="60"/>
      <c r="CG708" s="60"/>
      <c r="CH708" s="60"/>
      <c r="CI708" s="60"/>
      <c r="CJ708" s="60"/>
      <c r="CK708" s="60"/>
      <c r="CL708" s="60"/>
      <c r="CM708" s="60"/>
      <c r="CN708" s="60"/>
      <c r="CO708" s="60"/>
      <c r="CP708" s="60"/>
      <c r="CQ708" s="60"/>
      <c r="CR708" s="60"/>
      <c r="CS708" s="60"/>
      <c r="CT708" s="60"/>
      <c r="CU708" s="60"/>
      <c r="CV708" s="60"/>
      <c r="CW708" s="60"/>
      <c r="CX708" s="60"/>
      <c r="CY708" s="60"/>
      <c r="CZ708" s="60"/>
      <c r="DA708" s="60"/>
      <c r="DB708" s="60"/>
      <c r="DC708" s="60"/>
      <c r="DD708" s="60"/>
      <c r="DE708" s="60"/>
      <c r="DF708" s="60"/>
      <c r="DG708" s="60"/>
      <c r="DH708" s="60"/>
      <c r="DI708" s="60"/>
      <c r="DJ708" s="60"/>
      <c r="DK708" s="60"/>
      <c r="DL708" s="60"/>
      <c r="DM708" s="60"/>
      <c r="DN708" s="60"/>
      <c r="DO708" s="60"/>
      <c r="DP708" s="60"/>
      <c r="DQ708" s="60"/>
      <c r="DR708" s="60"/>
      <c r="DS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/>
      <c r="BJ709" s="60"/>
      <c r="BK709" s="60"/>
      <c r="BL709" s="60"/>
      <c r="BM709" s="60"/>
      <c r="BN709" s="60"/>
      <c r="BO709" s="60"/>
      <c r="BP709" s="60"/>
      <c r="BQ709" s="60"/>
      <c r="BR709" s="60"/>
      <c r="BS709" s="60"/>
      <c r="BT709" s="60"/>
      <c r="BU709" s="60"/>
      <c r="BV709" s="60"/>
      <c r="BW709" s="60"/>
      <c r="BX709" s="60"/>
      <c r="BY709" s="60"/>
      <c r="BZ709" s="60"/>
      <c r="CA709" s="60"/>
      <c r="CB709" s="60"/>
      <c r="CC709" s="60"/>
      <c r="CD709" s="60"/>
      <c r="CE709" s="60"/>
      <c r="CF709" s="60"/>
      <c r="CG709" s="60"/>
      <c r="CH709" s="60"/>
      <c r="CI709" s="60"/>
      <c r="CJ709" s="60"/>
      <c r="CK709" s="60"/>
      <c r="CL709" s="60"/>
      <c r="CM709" s="60"/>
      <c r="CN709" s="60"/>
      <c r="CO709" s="60"/>
      <c r="CP709" s="60"/>
      <c r="CQ709" s="60"/>
      <c r="CR709" s="60"/>
      <c r="CS709" s="60"/>
      <c r="CT709" s="60"/>
      <c r="CU709" s="60"/>
      <c r="CV709" s="60"/>
      <c r="CW709" s="60"/>
      <c r="CX709" s="60"/>
      <c r="CY709" s="60"/>
      <c r="CZ709" s="60"/>
      <c r="DA709" s="60"/>
      <c r="DB709" s="60"/>
      <c r="DC709" s="60"/>
      <c r="DD709" s="60"/>
      <c r="DE709" s="60"/>
      <c r="DF709" s="60"/>
      <c r="DG709" s="60"/>
      <c r="DH709" s="60"/>
      <c r="DI709" s="60"/>
      <c r="DJ709" s="60"/>
      <c r="DK709" s="60"/>
      <c r="DL709" s="60"/>
      <c r="DM709" s="60"/>
      <c r="DN709" s="60"/>
      <c r="DO709" s="60"/>
      <c r="DP709" s="60"/>
      <c r="DQ709" s="60"/>
      <c r="DR709" s="60"/>
      <c r="DS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  <c r="BK710" s="60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  <c r="BX710" s="60"/>
      <c r="BY710" s="60"/>
      <c r="BZ710" s="60"/>
      <c r="CA710" s="60"/>
      <c r="CB710" s="60"/>
      <c r="CC710" s="60"/>
      <c r="CD710" s="60"/>
      <c r="CE710" s="60"/>
      <c r="CF710" s="60"/>
      <c r="CG710" s="60"/>
      <c r="CH710" s="60"/>
      <c r="CI710" s="60"/>
      <c r="CJ710" s="60"/>
      <c r="CK710" s="60"/>
      <c r="CL710" s="60"/>
      <c r="CM710" s="60"/>
      <c r="CN710" s="60"/>
      <c r="CO710" s="60"/>
      <c r="CP710" s="60"/>
      <c r="CQ710" s="60"/>
      <c r="CR710" s="60"/>
      <c r="CS710" s="60"/>
      <c r="CT710" s="60"/>
      <c r="CU710" s="60"/>
      <c r="CV710" s="60"/>
      <c r="CW710" s="60"/>
      <c r="CX710" s="60"/>
      <c r="CY710" s="60"/>
      <c r="CZ710" s="60"/>
      <c r="DA710" s="60"/>
      <c r="DB710" s="60"/>
      <c r="DC710" s="60"/>
      <c r="DD710" s="60"/>
      <c r="DE710" s="60"/>
      <c r="DF710" s="60"/>
      <c r="DG710" s="60"/>
      <c r="DH710" s="60"/>
      <c r="DI710" s="60"/>
      <c r="DJ710" s="60"/>
      <c r="DK710" s="60"/>
      <c r="DL710" s="60"/>
      <c r="DM710" s="60"/>
      <c r="DN710" s="60"/>
      <c r="DO710" s="60"/>
      <c r="DP710" s="60"/>
      <c r="DQ710" s="60"/>
      <c r="DR710" s="60"/>
      <c r="DS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  <c r="BK711" s="60"/>
      <c r="BL711" s="60"/>
      <c r="BM711" s="60"/>
      <c r="BN711" s="60"/>
      <c r="BO711" s="60"/>
      <c r="BP711" s="60"/>
      <c r="BQ711" s="60"/>
      <c r="BR711" s="60"/>
      <c r="BS711" s="60"/>
      <c r="BT711" s="60"/>
      <c r="BU711" s="60"/>
      <c r="BV711" s="60"/>
      <c r="BW711" s="60"/>
      <c r="BX711" s="60"/>
      <c r="BY711" s="60"/>
      <c r="BZ711" s="60"/>
      <c r="CA711" s="60"/>
      <c r="CB711" s="60"/>
      <c r="CC711" s="60"/>
      <c r="CD711" s="60"/>
      <c r="CE711" s="60"/>
      <c r="CF711" s="60"/>
      <c r="CG711" s="60"/>
      <c r="CH711" s="60"/>
      <c r="CI711" s="60"/>
      <c r="CJ711" s="60"/>
      <c r="CK711" s="60"/>
      <c r="CL711" s="60"/>
      <c r="CM711" s="60"/>
      <c r="CN711" s="60"/>
      <c r="CO711" s="60"/>
      <c r="CP711" s="60"/>
      <c r="CQ711" s="60"/>
      <c r="CR711" s="60"/>
      <c r="CS711" s="60"/>
      <c r="CT711" s="60"/>
      <c r="CU711" s="60"/>
      <c r="CV711" s="60"/>
      <c r="CW711" s="60"/>
      <c r="CX711" s="60"/>
      <c r="CY711" s="60"/>
      <c r="CZ711" s="60"/>
      <c r="DA711" s="60"/>
      <c r="DB711" s="60"/>
      <c r="DC711" s="60"/>
      <c r="DD711" s="60"/>
      <c r="DE711" s="60"/>
      <c r="DF711" s="60"/>
      <c r="DG711" s="60"/>
      <c r="DH711" s="60"/>
      <c r="DI711" s="60"/>
      <c r="DJ711" s="60"/>
      <c r="DK711" s="60"/>
      <c r="DL711" s="60"/>
      <c r="DM711" s="60"/>
      <c r="DN711" s="60"/>
      <c r="DO711" s="60"/>
      <c r="DP711" s="60"/>
      <c r="DQ711" s="60"/>
      <c r="DR711" s="60"/>
      <c r="DS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60"/>
      <c r="BJ712" s="60"/>
      <c r="BK712" s="60"/>
      <c r="BL712" s="60"/>
      <c r="BM712" s="60"/>
      <c r="BN712" s="60"/>
      <c r="BO712" s="60"/>
      <c r="BP712" s="60"/>
      <c r="BQ712" s="60"/>
      <c r="BR712" s="60"/>
      <c r="BS712" s="60"/>
      <c r="BT712" s="60"/>
      <c r="BU712" s="60"/>
      <c r="BV712" s="60"/>
      <c r="BW712" s="60"/>
      <c r="BX712" s="60"/>
      <c r="BY712" s="60"/>
      <c r="BZ712" s="60"/>
      <c r="CA712" s="60"/>
      <c r="CB712" s="60"/>
      <c r="CC712" s="60"/>
      <c r="CD712" s="60"/>
      <c r="CE712" s="60"/>
      <c r="CF712" s="60"/>
      <c r="CG712" s="60"/>
      <c r="CH712" s="60"/>
      <c r="CI712" s="60"/>
      <c r="CJ712" s="60"/>
      <c r="CK712" s="60"/>
      <c r="CL712" s="60"/>
      <c r="CM712" s="60"/>
      <c r="CN712" s="60"/>
      <c r="CO712" s="60"/>
      <c r="CP712" s="60"/>
      <c r="CQ712" s="60"/>
      <c r="CR712" s="60"/>
      <c r="CS712" s="60"/>
      <c r="CT712" s="60"/>
      <c r="CU712" s="60"/>
      <c r="CV712" s="60"/>
      <c r="CW712" s="60"/>
      <c r="CX712" s="60"/>
      <c r="CY712" s="60"/>
      <c r="CZ712" s="60"/>
      <c r="DA712" s="60"/>
      <c r="DB712" s="60"/>
      <c r="DC712" s="60"/>
      <c r="DD712" s="60"/>
      <c r="DE712" s="60"/>
      <c r="DF712" s="60"/>
      <c r="DG712" s="60"/>
      <c r="DH712" s="60"/>
      <c r="DI712" s="60"/>
      <c r="DJ712" s="60"/>
      <c r="DK712" s="60"/>
      <c r="DL712" s="60"/>
      <c r="DM712" s="60"/>
      <c r="DN712" s="60"/>
      <c r="DO712" s="60"/>
      <c r="DP712" s="60"/>
      <c r="DQ712" s="60"/>
      <c r="DR712" s="60"/>
      <c r="DS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/>
      <c r="BJ713" s="60"/>
      <c r="BK713" s="60"/>
      <c r="BL713" s="60"/>
      <c r="BM713" s="60"/>
      <c r="BN713" s="60"/>
      <c r="BO713" s="60"/>
      <c r="BP713" s="60"/>
      <c r="BQ713" s="60"/>
      <c r="BR713" s="60"/>
      <c r="BS713" s="60"/>
      <c r="BT713" s="60"/>
      <c r="BU713" s="60"/>
      <c r="BV713" s="60"/>
      <c r="BW713" s="60"/>
      <c r="BX713" s="60"/>
      <c r="BY713" s="60"/>
      <c r="BZ713" s="60"/>
      <c r="CA713" s="60"/>
      <c r="CB713" s="60"/>
      <c r="CC713" s="60"/>
      <c r="CD713" s="60"/>
      <c r="CE713" s="60"/>
      <c r="CF713" s="60"/>
      <c r="CG713" s="60"/>
      <c r="CH713" s="60"/>
      <c r="CI713" s="60"/>
      <c r="CJ713" s="60"/>
      <c r="CK713" s="60"/>
      <c r="CL713" s="60"/>
      <c r="CM713" s="60"/>
      <c r="CN713" s="60"/>
      <c r="CO713" s="60"/>
      <c r="CP713" s="60"/>
      <c r="CQ713" s="60"/>
      <c r="CR713" s="60"/>
      <c r="CS713" s="60"/>
      <c r="CT713" s="60"/>
      <c r="CU713" s="60"/>
      <c r="CV713" s="60"/>
      <c r="CW713" s="60"/>
      <c r="CX713" s="60"/>
      <c r="CY713" s="60"/>
      <c r="CZ713" s="60"/>
      <c r="DA713" s="60"/>
      <c r="DB713" s="60"/>
      <c r="DC713" s="60"/>
      <c r="DD713" s="60"/>
      <c r="DE713" s="60"/>
      <c r="DF713" s="60"/>
      <c r="DG713" s="60"/>
      <c r="DH713" s="60"/>
      <c r="DI713" s="60"/>
      <c r="DJ713" s="60"/>
      <c r="DK713" s="60"/>
      <c r="DL713" s="60"/>
      <c r="DM713" s="60"/>
      <c r="DN713" s="60"/>
      <c r="DO713" s="60"/>
      <c r="DP713" s="60"/>
      <c r="DQ713" s="60"/>
      <c r="DR713" s="60"/>
      <c r="DS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60"/>
      <c r="BJ714" s="60"/>
      <c r="BK714" s="60"/>
      <c r="BL714" s="60"/>
      <c r="BM714" s="60"/>
      <c r="BN714" s="60"/>
      <c r="BO714" s="60"/>
      <c r="BP714" s="60"/>
      <c r="BQ714" s="60"/>
      <c r="BR714" s="60"/>
      <c r="BS714" s="60"/>
      <c r="BT714" s="60"/>
      <c r="BU714" s="60"/>
      <c r="BV714" s="60"/>
      <c r="BW714" s="60"/>
      <c r="BX714" s="60"/>
      <c r="BY714" s="60"/>
      <c r="BZ714" s="60"/>
      <c r="CA714" s="60"/>
      <c r="CB714" s="60"/>
      <c r="CC714" s="60"/>
      <c r="CD714" s="60"/>
      <c r="CE714" s="60"/>
      <c r="CF714" s="60"/>
      <c r="CG714" s="60"/>
      <c r="CH714" s="60"/>
      <c r="CI714" s="60"/>
      <c r="CJ714" s="60"/>
      <c r="CK714" s="60"/>
      <c r="CL714" s="60"/>
      <c r="CM714" s="60"/>
      <c r="CN714" s="60"/>
      <c r="CO714" s="60"/>
      <c r="CP714" s="60"/>
      <c r="CQ714" s="60"/>
      <c r="CR714" s="60"/>
      <c r="CS714" s="60"/>
      <c r="CT714" s="60"/>
      <c r="CU714" s="60"/>
      <c r="CV714" s="60"/>
      <c r="CW714" s="60"/>
      <c r="CX714" s="60"/>
      <c r="CY714" s="60"/>
      <c r="CZ714" s="60"/>
      <c r="DA714" s="60"/>
      <c r="DB714" s="60"/>
      <c r="DC714" s="60"/>
      <c r="DD714" s="60"/>
      <c r="DE714" s="60"/>
      <c r="DF714" s="60"/>
      <c r="DG714" s="60"/>
      <c r="DH714" s="60"/>
      <c r="DI714" s="60"/>
      <c r="DJ714" s="60"/>
      <c r="DK714" s="60"/>
      <c r="DL714" s="60"/>
      <c r="DM714" s="60"/>
      <c r="DN714" s="60"/>
      <c r="DO714" s="60"/>
      <c r="DP714" s="60"/>
      <c r="DQ714" s="60"/>
      <c r="DR714" s="60"/>
      <c r="DS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60"/>
      <c r="BJ715" s="60"/>
      <c r="BK715" s="60"/>
      <c r="BL715" s="60"/>
      <c r="BM715" s="60"/>
      <c r="BN715" s="60"/>
      <c r="BO715" s="60"/>
      <c r="BP715" s="60"/>
      <c r="BQ715" s="60"/>
      <c r="BR715" s="60"/>
      <c r="BS715" s="60"/>
      <c r="BT715" s="60"/>
      <c r="BU715" s="60"/>
      <c r="BV715" s="60"/>
      <c r="BW715" s="60"/>
      <c r="BX715" s="60"/>
      <c r="BY715" s="60"/>
      <c r="BZ715" s="60"/>
      <c r="CA715" s="60"/>
      <c r="CB715" s="60"/>
      <c r="CC715" s="60"/>
      <c r="CD715" s="60"/>
      <c r="CE715" s="60"/>
      <c r="CF715" s="60"/>
      <c r="CG715" s="60"/>
      <c r="CH715" s="60"/>
      <c r="CI715" s="60"/>
      <c r="CJ715" s="60"/>
      <c r="CK715" s="60"/>
      <c r="CL715" s="60"/>
      <c r="CM715" s="60"/>
      <c r="CN715" s="60"/>
      <c r="CO715" s="60"/>
      <c r="CP715" s="60"/>
      <c r="CQ715" s="60"/>
      <c r="CR715" s="60"/>
      <c r="CS715" s="60"/>
      <c r="CT715" s="60"/>
      <c r="CU715" s="60"/>
      <c r="CV715" s="60"/>
      <c r="CW715" s="60"/>
      <c r="CX715" s="60"/>
      <c r="CY715" s="60"/>
      <c r="CZ715" s="60"/>
      <c r="DA715" s="60"/>
      <c r="DB715" s="60"/>
      <c r="DC715" s="60"/>
      <c r="DD715" s="60"/>
      <c r="DE715" s="60"/>
      <c r="DF715" s="60"/>
      <c r="DG715" s="60"/>
      <c r="DH715" s="60"/>
      <c r="DI715" s="60"/>
      <c r="DJ715" s="60"/>
      <c r="DK715" s="60"/>
      <c r="DL715" s="60"/>
      <c r="DM715" s="60"/>
      <c r="DN715" s="60"/>
      <c r="DO715" s="60"/>
      <c r="DP715" s="60"/>
      <c r="DQ715" s="60"/>
      <c r="DR715" s="60"/>
      <c r="DS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60"/>
      <c r="BJ716" s="60"/>
      <c r="BK716" s="60"/>
      <c r="BL716" s="60"/>
      <c r="BM716" s="60"/>
      <c r="BN716" s="60"/>
      <c r="BO716" s="60"/>
      <c r="BP716" s="60"/>
      <c r="BQ716" s="60"/>
      <c r="BR716" s="60"/>
      <c r="BS716" s="60"/>
      <c r="BT716" s="60"/>
      <c r="BU716" s="60"/>
      <c r="BV716" s="60"/>
      <c r="BW716" s="60"/>
      <c r="BX716" s="60"/>
      <c r="BY716" s="60"/>
      <c r="BZ716" s="60"/>
      <c r="CA716" s="60"/>
      <c r="CB716" s="60"/>
      <c r="CC716" s="60"/>
      <c r="CD716" s="60"/>
      <c r="CE716" s="60"/>
      <c r="CF716" s="60"/>
      <c r="CG716" s="60"/>
      <c r="CH716" s="60"/>
      <c r="CI716" s="60"/>
      <c r="CJ716" s="60"/>
      <c r="CK716" s="60"/>
      <c r="CL716" s="60"/>
      <c r="CM716" s="60"/>
      <c r="CN716" s="60"/>
      <c r="CO716" s="60"/>
      <c r="CP716" s="60"/>
      <c r="CQ716" s="60"/>
      <c r="CR716" s="60"/>
      <c r="CS716" s="60"/>
      <c r="CT716" s="60"/>
      <c r="CU716" s="60"/>
      <c r="CV716" s="60"/>
      <c r="CW716" s="60"/>
      <c r="CX716" s="60"/>
      <c r="CY716" s="60"/>
      <c r="CZ716" s="60"/>
      <c r="DA716" s="60"/>
      <c r="DB716" s="60"/>
      <c r="DC716" s="60"/>
      <c r="DD716" s="60"/>
      <c r="DE716" s="60"/>
      <c r="DF716" s="60"/>
      <c r="DG716" s="60"/>
      <c r="DH716" s="60"/>
      <c r="DI716" s="60"/>
      <c r="DJ716" s="60"/>
      <c r="DK716" s="60"/>
      <c r="DL716" s="60"/>
      <c r="DM716" s="60"/>
      <c r="DN716" s="60"/>
      <c r="DO716" s="60"/>
      <c r="DP716" s="60"/>
      <c r="DQ716" s="60"/>
      <c r="DR716" s="60"/>
      <c r="DS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60"/>
      <c r="BJ717" s="60"/>
      <c r="BK717" s="60"/>
      <c r="BL717" s="60"/>
      <c r="BM717" s="60"/>
      <c r="BN717" s="60"/>
      <c r="BO717" s="60"/>
      <c r="BP717" s="60"/>
      <c r="BQ717" s="60"/>
      <c r="BR717" s="60"/>
      <c r="BS717" s="60"/>
      <c r="BT717" s="60"/>
      <c r="BU717" s="60"/>
      <c r="BV717" s="60"/>
      <c r="BW717" s="60"/>
      <c r="BX717" s="60"/>
      <c r="BY717" s="60"/>
      <c r="BZ717" s="60"/>
      <c r="CA717" s="60"/>
      <c r="CB717" s="60"/>
      <c r="CC717" s="60"/>
      <c r="CD717" s="60"/>
      <c r="CE717" s="60"/>
      <c r="CF717" s="60"/>
      <c r="CG717" s="60"/>
      <c r="CH717" s="60"/>
      <c r="CI717" s="60"/>
      <c r="CJ717" s="60"/>
      <c r="CK717" s="60"/>
      <c r="CL717" s="60"/>
      <c r="CM717" s="60"/>
      <c r="CN717" s="60"/>
      <c r="CO717" s="60"/>
      <c r="CP717" s="60"/>
      <c r="CQ717" s="60"/>
      <c r="CR717" s="60"/>
      <c r="CS717" s="60"/>
      <c r="CT717" s="60"/>
      <c r="CU717" s="60"/>
      <c r="CV717" s="60"/>
      <c r="CW717" s="60"/>
      <c r="CX717" s="60"/>
      <c r="CY717" s="60"/>
      <c r="CZ717" s="60"/>
      <c r="DA717" s="60"/>
      <c r="DB717" s="60"/>
      <c r="DC717" s="60"/>
      <c r="DD717" s="60"/>
      <c r="DE717" s="60"/>
      <c r="DF717" s="60"/>
      <c r="DG717" s="60"/>
      <c r="DH717" s="60"/>
      <c r="DI717" s="60"/>
      <c r="DJ717" s="60"/>
      <c r="DK717" s="60"/>
      <c r="DL717" s="60"/>
      <c r="DM717" s="60"/>
      <c r="DN717" s="60"/>
      <c r="DO717" s="60"/>
      <c r="DP717" s="60"/>
      <c r="DQ717" s="60"/>
      <c r="DR717" s="60"/>
      <c r="DS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60"/>
      <c r="BJ718" s="60"/>
      <c r="BK718" s="60"/>
      <c r="BL718" s="60"/>
      <c r="BM718" s="60"/>
      <c r="BN718" s="60"/>
      <c r="BO718" s="60"/>
      <c r="BP718" s="60"/>
      <c r="BQ718" s="60"/>
      <c r="BR718" s="60"/>
      <c r="BS718" s="60"/>
      <c r="BT718" s="60"/>
      <c r="BU718" s="60"/>
      <c r="BV718" s="60"/>
      <c r="BW718" s="60"/>
      <c r="BX718" s="60"/>
      <c r="BY718" s="60"/>
      <c r="BZ718" s="60"/>
      <c r="CA718" s="60"/>
      <c r="CB718" s="60"/>
      <c r="CC718" s="60"/>
      <c r="CD718" s="60"/>
      <c r="CE718" s="60"/>
      <c r="CF718" s="60"/>
      <c r="CG718" s="60"/>
      <c r="CH718" s="60"/>
      <c r="CI718" s="60"/>
      <c r="CJ718" s="60"/>
      <c r="CK718" s="60"/>
      <c r="CL718" s="60"/>
      <c r="CM718" s="60"/>
      <c r="CN718" s="60"/>
      <c r="CO718" s="60"/>
      <c r="CP718" s="60"/>
      <c r="CQ718" s="60"/>
      <c r="CR718" s="60"/>
      <c r="CS718" s="60"/>
      <c r="CT718" s="60"/>
      <c r="CU718" s="60"/>
      <c r="CV718" s="60"/>
      <c r="CW718" s="60"/>
      <c r="CX718" s="60"/>
      <c r="CY718" s="60"/>
      <c r="CZ718" s="60"/>
      <c r="DA718" s="60"/>
      <c r="DB718" s="60"/>
      <c r="DC718" s="60"/>
      <c r="DD718" s="60"/>
      <c r="DE718" s="60"/>
      <c r="DF718" s="60"/>
      <c r="DG718" s="60"/>
      <c r="DH718" s="60"/>
      <c r="DI718" s="60"/>
      <c r="DJ718" s="60"/>
      <c r="DK718" s="60"/>
      <c r="DL718" s="60"/>
      <c r="DM718" s="60"/>
      <c r="DN718" s="60"/>
      <c r="DO718" s="60"/>
      <c r="DP718" s="60"/>
      <c r="DQ718" s="60"/>
      <c r="DR718" s="60"/>
      <c r="DS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60"/>
      <c r="BJ719" s="60"/>
      <c r="BK719" s="60"/>
      <c r="BL719" s="60"/>
      <c r="BM719" s="60"/>
      <c r="BN719" s="60"/>
      <c r="BO719" s="60"/>
      <c r="BP719" s="60"/>
      <c r="BQ719" s="60"/>
      <c r="BR719" s="60"/>
      <c r="BS719" s="60"/>
      <c r="BT719" s="60"/>
      <c r="BU719" s="60"/>
      <c r="BV719" s="60"/>
      <c r="BW719" s="60"/>
      <c r="BX719" s="60"/>
      <c r="BY719" s="60"/>
      <c r="BZ719" s="60"/>
      <c r="CA719" s="60"/>
      <c r="CB719" s="60"/>
      <c r="CC719" s="60"/>
      <c r="CD719" s="60"/>
      <c r="CE719" s="60"/>
      <c r="CF719" s="60"/>
      <c r="CG719" s="60"/>
      <c r="CH719" s="60"/>
      <c r="CI719" s="60"/>
      <c r="CJ719" s="60"/>
      <c r="CK719" s="60"/>
      <c r="CL719" s="60"/>
      <c r="CM719" s="60"/>
      <c r="CN719" s="60"/>
      <c r="CO719" s="60"/>
      <c r="CP719" s="60"/>
      <c r="CQ719" s="60"/>
      <c r="CR719" s="60"/>
      <c r="CS719" s="60"/>
      <c r="CT719" s="60"/>
      <c r="CU719" s="60"/>
      <c r="CV719" s="60"/>
      <c r="CW719" s="60"/>
      <c r="CX719" s="60"/>
      <c r="CY719" s="60"/>
      <c r="CZ719" s="60"/>
      <c r="DA719" s="60"/>
      <c r="DB719" s="60"/>
      <c r="DC719" s="60"/>
      <c r="DD719" s="60"/>
      <c r="DE719" s="60"/>
      <c r="DF719" s="60"/>
      <c r="DG719" s="60"/>
      <c r="DH719" s="60"/>
      <c r="DI719" s="60"/>
      <c r="DJ719" s="60"/>
      <c r="DK719" s="60"/>
      <c r="DL719" s="60"/>
      <c r="DM719" s="60"/>
      <c r="DN719" s="60"/>
      <c r="DO719" s="60"/>
      <c r="DP719" s="60"/>
      <c r="DQ719" s="60"/>
      <c r="DR719" s="60"/>
      <c r="DS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60"/>
      <c r="BJ720" s="60"/>
      <c r="BK720" s="60"/>
      <c r="BL720" s="60"/>
      <c r="BM720" s="60"/>
      <c r="BN720" s="60"/>
      <c r="BO720" s="60"/>
      <c r="BP720" s="60"/>
      <c r="BQ720" s="60"/>
      <c r="BR720" s="60"/>
      <c r="BS720" s="60"/>
      <c r="BT720" s="60"/>
      <c r="BU720" s="60"/>
      <c r="BV720" s="60"/>
      <c r="BW720" s="60"/>
      <c r="BX720" s="60"/>
      <c r="BY720" s="60"/>
      <c r="BZ720" s="60"/>
      <c r="CA720" s="60"/>
      <c r="CB720" s="60"/>
      <c r="CC720" s="60"/>
      <c r="CD720" s="60"/>
      <c r="CE720" s="60"/>
      <c r="CF720" s="60"/>
      <c r="CG720" s="60"/>
      <c r="CH720" s="60"/>
      <c r="CI720" s="60"/>
      <c r="CJ720" s="60"/>
      <c r="CK720" s="60"/>
      <c r="CL720" s="60"/>
      <c r="CM720" s="60"/>
      <c r="CN720" s="60"/>
      <c r="CO720" s="60"/>
      <c r="CP720" s="60"/>
      <c r="CQ720" s="60"/>
      <c r="CR720" s="60"/>
      <c r="CS720" s="60"/>
      <c r="CT720" s="60"/>
      <c r="CU720" s="60"/>
      <c r="CV720" s="60"/>
      <c r="CW720" s="60"/>
      <c r="CX720" s="60"/>
      <c r="CY720" s="60"/>
      <c r="CZ720" s="60"/>
      <c r="DA720" s="60"/>
      <c r="DB720" s="60"/>
      <c r="DC720" s="60"/>
      <c r="DD720" s="60"/>
      <c r="DE720" s="60"/>
      <c r="DF720" s="60"/>
      <c r="DG720" s="60"/>
      <c r="DH720" s="60"/>
      <c r="DI720" s="60"/>
      <c r="DJ720" s="60"/>
      <c r="DK720" s="60"/>
      <c r="DL720" s="60"/>
      <c r="DM720" s="60"/>
      <c r="DN720" s="60"/>
      <c r="DO720" s="60"/>
      <c r="DP720" s="60"/>
      <c r="DQ720" s="60"/>
      <c r="DR720" s="60"/>
      <c r="DS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/>
      <c r="BJ721" s="60"/>
      <c r="BK721" s="60"/>
      <c r="BL721" s="60"/>
      <c r="BM721" s="60"/>
      <c r="BN721" s="60"/>
      <c r="BO721" s="60"/>
      <c r="BP721" s="60"/>
      <c r="BQ721" s="60"/>
      <c r="BR721" s="60"/>
      <c r="BS721" s="60"/>
      <c r="BT721" s="60"/>
      <c r="BU721" s="60"/>
      <c r="BV721" s="60"/>
      <c r="BW721" s="60"/>
      <c r="BX721" s="60"/>
      <c r="BY721" s="60"/>
      <c r="BZ721" s="60"/>
      <c r="CA721" s="60"/>
      <c r="CB721" s="60"/>
      <c r="CC721" s="60"/>
      <c r="CD721" s="60"/>
      <c r="CE721" s="60"/>
      <c r="CF721" s="60"/>
      <c r="CG721" s="60"/>
      <c r="CH721" s="60"/>
      <c r="CI721" s="60"/>
      <c r="CJ721" s="60"/>
      <c r="CK721" s="60"/>
      <c r="CL721" s="60"/>
      <c r="CM721" s="60"/>
      <c r="CN721" s="60"/>
      <c r="CO721" s="60"/>
      <c r="CP721" s="60"/>
      <c r="CQ721" s="60"/>
      <c r="CR721" s="60"/>
      <c r="CS721" s="60"/>
      <c r="CT721" s="60"/>
      <c r="CU721" s="60"/>
      <c r="CV721" s="60"/>
      <c r="CW721" s="60"/>
      <c r="CX721" s="60"/>
      <c r="CY721" s="60"/>
      <c r="CZ721" s="60"/>
      <c r="DA721" s="60"/>
      <c r="DB721" s="60"/>
      <c r="DC721" s="60"/>
      <c r="DD721" s="60"/>
      <c r="DE721" s="60"/>
      <c r="DF721" s="60"/>
      <c r="DG721" s="60"/>
      <c r="DH721" s="60"/>
      <c r="DI721" s="60"/>
      <c r="DJ721" s="60"/>
      <c r="DK721" s="60"/>
      <c r="DL721" s="60"/>
      <c r="DM721" s="60"/>
      <c r="DN721" s="60"/>
      <c r="DO721" s="60"/>
      <c r="DP721" s="60"/>
      <c r="DQ721" s="60"/>
      <c r="DR721" s="60"/>
      <c r="DS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60"/>
      <c r="BJ722" s="60"/>
      <c r="BK722" s="60"/>
      <c r="BL722" s="60"/>
      <c r="BM722" s="60"/>
      <c r="BN722" s="60"/>
      <c r="BO722" s="60"/>
      <c r="BP722" s="60"/>
      <c r="BQ722" s="60"/>
      <c r="BR722" s="60"/>
      <c r="BS722" s="60"/>
      <c r="BT722" s="60"/>
      <c r="BU722" s="60"/>
      <c r="BV722" s="60"/>
      <c r="BW722" s="60"/>
      <c r="BX722" s="60"/>
      <c r="BY722" s="60"/>
      <c r="BZ722" s="60"/>
      <c r="CA722" s="60"/>
      <c r="CB722" s="60"/>
      <c r="CC722" s="60"/>
      <c r="CD722" s="60"/>
      <c r="CE722" s="60"/>
      <c r="CF722" s="60"/>
      <c r="CG722" s="60"/>
      <c r="CH722" s="60"/>
      <c r="CI722" s="60"/>
      <c r="CJ722" s="60"/>
      <c r="CK722" s="60"/>
      <c r="CL722" s="60"/>
      <c r="CM722" s="60"/>
      <c r="CN722" s="60"/>
      <c r="CO722" s="60"/>
      <c r="CP722" s="60"/>
      <c r="CQ722" s="60"/>
      <c r="CR722" s="60"/>
      <c r="CS722" s="60"/>
      <c r="CT722" s="60"/>
      <c r="CU722" s="60"/>
      <c r="CV722" s="60"/>
      <c r="CW722" s="60"/>
      <c r="CX722" s="60"/>
      <c r="CY722" s="60"/>
      <c r="CZ722" s="60"/>
      <c r="DA722" s="60"/>
      <c r="DB722" s="60"/>
      <c r="DC722" s="60"/>
      <c r="DD722" s="60"/>
      <c r="DE722" s="60"/>
      <c r="DF722" s="60"/>
      <c r="DG722" s="60"/>
      <c r="DH722" s="60"/>
      <c r="DI722" s="60"/>
      <c r="DJ722" s="60"/>
      <c r="DK722" s="60"/>
      <c r="DL722" s="60"/>
      <c r="DM722" s="60"/>
      <c r="DN722" s="60"/>
      <c r="DO722" s="60"/>
      <c r="DP722" s="60"/>
      <c r="DQ722" s="60"/>
      <c r="DR722" s="60"/>
      <c r="DS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/>
      <c r="BJ723" s="60"/>
      <c r="BK723" s="60"/>
      <c r="BL723" s="60"/>
      <c r="BM723" s="60"/>
      <c r="BN723" s="60"/>
      <c r="BO723" s="60"/>
      <c r="BP723" s="60"/>
      <c r="BQ723" s="60"/>
      <c r="BR723" s="60"/>
      <c r="BS723" s="60"/>
      <c r="BT723" s="60"/>
      <c r="BU723" s="60"/>
      <c r="BV723" s="60"/>
      <c r="BW723" s="60"/>
      <c r="BX723" s="60"/>
      <c r="BY723" s="60"/>
      <c r="BZ723" s="60"/>
      <c r="CA723" s="60"/>
      <c r="CB723" s="60"/>
      <c r="CC723" s="60"/>
      <c r="CD723" s="60"/>
      <c r="CE723" s="60"/>
      <c r="CF723" s="60"/>
      <c r="CG723" s="60"/>
      <c r="CH723" s="60"/>
      <c r="CI723" s="60"/>
      <c r="CJ723" s="60"/>
      <c r="CK723" s="60"/>
      <c r="CL723" s="60"/>
      <c r="CM723" s="60"/>
      <c r="CN723" s="60"/>
      <c r="CO723" s="60"/>
      <c r="CP723" s="60"/>
      <c r="CQ723" s="60"/>
      <c r="CR723" s="60"/>
      <c r="CS723" s="60"/>
      <c r="CT723" s="60"/>
      <c r="CU723" s="60"/>
      <c r="CV723" s="60"/>
      <c r="CW723" s="60"/>
      <c r="CX723" s="60"/>
      <c r="CY723" s="60"/>
      <c r="CZ723" s="60"/>
      <c r="DA723" s="60"/>
      <c r="DB723" s="60"/>
      <c r="DC723" s="60"/>
      <c r="DD723" s="60"/>
      <c r="DE723" s="60"/>
      <c r="DF723" s="60"/>
      <c r="DG723" s="60"/>
      <c r="DH723" s="60"/>
      <c r="DI723" s="60"/>
      <c r="DJ723" s="60"/>
      <c r="DK723" s="60"/>
      <c r="DL723" s="60"/>
      <c r="DM723" s="60"/>
      <c r="DN723" s="60"/>
      <c r="DO723" s="60"/>
      <c r="DP723" s="60"/>
      <c r="DQ723" s="60"/>
      <c r="DR723" s="60"/>
      <c r="DS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60"/>
      <c r="BJ724" s="60"/>
      <c r="BK724" s="60"/>
      <c r="BL724" s="60"/>
      <c r="BM724" s="60"/>
      <c r="BN724" s="60"/>
      <c r="BO724" s="60"/>
      <c r="BP724" s="60"/>
      <c r="BQ724" s="60"/>
      <c r="BR724" s="60"/>
      <c r="BS724" s="60"/>
      <c r="BT724" s="60"/>
      <c r="BU724" s="60"/>
      <c r="BV724" s="60"/>
      <c r="BW724" s="60"/>
      <c r="BX724" s="60"/>
      <c r="BY724" s="60"/>
      <c r="BZ724" s="60"/>
      <c r="CA724" s="60"/>
      <c r="CB724" s="60"/>
      <c r="CC724" s="60"/>
      <c r="CD724" s="60"/>
      <c r="CE724" s="60"/>
      <c r="CF724" s="60"/>
      <c r="CG724" s="60"/>
      <c r="CH724" s="60"/>
      <c r="CI724" s="60"/>
      <c r="CJ724" s="60"/>
      <c r="CK724" s="60"/>
      <c r="CL724" s="60"/>
      <c r="CM724" s="60"/>
      <c r="CN724" s="60"/>
      <c r="CO724" s="60"/>
      <c r="CP724" s="60"/>
      <c r="CQ724" s="60"/>
      <c r="CR724" s="60"/>
      <c r="CS724" s="60"/>
      <c r="CT724" s="60"/>
      <c r="CU724" s="60"/>
      <c r="CV724" s="60"/>
      <c r="CW724" s="60"/>
      <c r="CX724" s="60"/>
      <c r="CY724" s="60"/>
      <c r="CZ724" s="60"/>
      <c r="DA724" s="60"/>
      <c r="DB724" s="60"/>
      <c r="DC724" s="60"/>
      <c r="DD724" s="60"/>
      <c r="DE724" s="60"/>
      <c r="DF724" s="60"/>
      <c r="DG724" s="60"/>
      <c r="DH724" s="60"/>
      <c r="DI724" s="60"/>
      <c r="DJ724" s="60"/>
      <c r="DK724" s="60"/>
      <c r="DL724" s="60"/>
      <c r="DM724" s="60"/>
      <c r="DN724" s="60"/>
      <c r="DO724" s="60"/>
      <c r="DP724" s="60"/>
      <c r="DQ724" s="60"/>
      <c r="DR724" s="60"/>
      <c r="DS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60"/>
      <c r="BJ725" s="60"/>
      <c r="BK725" s="60"/>
      <c r="BL725" s="60"/>
      <c r="BM725" s="60"/>
      <c r="BN725" s="60"/>
      <c r="BO725" s="60"/>
      <c r="BP725" s="60"/>
      <c r="BQ725" s="60"/>
      <c r="BR725" s="60"/>
      <c r="BS725" s="60"/>
      <c r="BT725" s="60"/>
      <c r="BU725" s="60"/>
      <c r="BV725" s="60"/>
      <c r="BW725" s="60"/>
      <c r="BX725" s="60"/>
      <c r="BY725" s="60"/>
      <c r="BZ725" s="60"/>
      <c r="CA725" s="60"/>
      <c r="CB725" s="60"/>
      <c r="CC725" s="60"/>
      <c r="CD725" s="60"/>
      <c r="CE725" s="60"/>
      <c r="CF725" s="60"/>
      <c r="CG725" s="60"/>
      <c r="CH725" s="60"/>
      <c r="CI725" s="60"/>
      <c r="CJ725" s="60"/>
      <c r="CK725" s="60"/>
      <c r="CL725" s="60"/>
      <c r="CM725" s="60"/>
      <c r="CN725" s="60"/>
      <c r="CO725" s="60"/>
      <c r="CP725" s="60"/>
      <c r="CQ725" s="60"/>
      <c r="CR725" s="60"/>
      <c r="CS725" s="60"/>
      <c r="CT725" s="60"/>
      <c r="CU725" s="60"/>
      <c r="CV725" s="60"/>
      <c r="CW725" s="60"/>
      <c r="CX725" s="60"/>
      <c r="CY725" s="60"/>
      <c r="CZ725" s="60"/>
      <c r="DA725" s="60"/>
      <c r="DB725" s="60"/>
      <c r="DC725" s="60"/>
      <c r="DD725" s="60"/>
      <c r="DE725" s="60"/>
      <c r="DF725" s="60"/>
      <c r="DG725" s="60"/>
      <c r="DH725" s="60"/>
      <c r="DI725" s="60"/>
      <c r="DJ725" s="60"/>
      <c r="DK725" s="60"/>
      <c r="DL725" s="60"/>
      <c r="DM725" s="60"/>
      <c r="DN725" s="60"/>
      <c r="DO725" s="60"/>
      <c r="DP725" s="60"/>
      <c r="DQ725" s="60"/>
      <c r="DR725" s="60"/>
      <c r="DS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60"/>
      <c r="BJ726" s="60"/>
      <c r="BK726" s="60"/>
      <c r="BL726" s="60"/>
      <c r="BM726" s="60"/>
      <c r="BN726" s="60"/>
      <c r="BO726" s="60"/>
      <c r="BP726" s="60"/>
      <c r="BQ726" s="60"/>
      <c r="BR726" s="60"/>
      <c r="BS726" s="60"/>
      <c r="BT726" s="60"/>
      <c r="BU726" s="60"/>
      <c r="BV726" s="60"/>
      <c r="BW726" s="60"/>
      <c r="BX726" s="60"/>
      <c r="BY726" s="60"/>
      <c r="BZ726" s="60"/>
      <c r="CA726" s="60"/>
      <c r="CB726" s="60"/>
      <c r="CC726" s="60"/>
      <c r="CD726" s="60"/>
      <c r="CE726" s="60"/>
      <c r="CF726" s="60"/>
      <c r="CG726" s="60"/>
      <c r="CH726" s="60"/>
      <c r="CI726" s="60"/>
      <c r="CJ726" s="60"/>
      <c r="CK726" s="60"/>
      <c r="CL726" s="60"/>
      <c r="CM726" s="60"/>
      <c r="CN726" s="60"/>
      <c r="CO726" s="60"/>
      <c r="CP726" s="60"/>
      <c r="CQ726" s="60"/>
      <c r="CR726" s="60"/>
      <c r="CS726" s="60"/>
      <c r="CT726" s="60"/>
      <c r="CU726" s="60"/>
      <c r="CV726" s="60"/>
      <c r="CW726" s="60"/>
      <c r="CX726" s="60"/>
      <c r="CY726" s="60"/>
      <c r="CZ726" s="60"/>
      <c r="DA726" s="60"/>
      <c r="DB726" s="60"/>
      <c r="DC726" s="60"/>
      <c r="DD726" s="60"/>
      <c r="DE726" s="60"/>
      <c r="DF726" s="60"/>
      <c r="DG726" s="60"/>
      <c r="DH726" s="60"/>
      <c r="DI726" s="60"/>
      <c r="DJ726" s="60"/>
      <c r="DK726" s="60"/>
      <c r="DL726" s="60"/>
      <c r="DM726" s="60"/>
      <c r="DN726" s="60"/>
      <c r="DO726" s="60"/>
      <c r="DP726" s="60"/>
      <c r="DQ726" s="60"/>
      <c r="DR726" s="60"/>
      <c r="DS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/>
      <c r="BJ727" s="60"/>
      <c r="BK727" s="60"/>
      <c r="BL727" s="60"/>
      <c r="BM727" s="60"/>
      <c r="BN727" s="60"/>
      <c r="BO727" s="60"/>
      <c r="BP727" s="60"/>
      <c r="BQ727" s="60"/>
      <c r="BR727" s="60"/>
      <c r="BS727" s="60"/>
      <c r="BT727" s="60"/>
      <c r="BU727" s="60"/>
      <c r="BV727" s="60"/>
      <c r="BW727" s="60"/>
      <c r="BX727" s="60"/>
      <c r="BY727" s="60"/>
      <c r="BZ727" s="60"/>
      <c r="CA727" s="60"/>
      <c r="CB727" s="60"/>
      <c r="CC727" s="60"/>
      <c r="CD727" s="60"/>
      <c r="CE727" s="60"/>
      <c r="CF727" s="60"/>
      <c r="CG727" s="60"/>
      <c r="CH727" s="60"/>
      <c r="CI727" s="60"/>
      <c r="CJ727" s="60"/>
      <c r="CK727" s="60"/>
      <c r="CL727" s="60"/>
      <c r="CM727" s="60"/>
      <c r="CN727" s="60"/>
      <c r="CO727" s="60"/>
      <c r="CP727" s="60"/>
      <c r="CQ727" s="60"/>
      <c r="CR727" s="60"/>
      <c r="CS727" s="60"/>
      <c r="CT727" s="60"/>
      <c r="CU727" s="60"/>
      <c r="CV727" s="60"/>
      <c r="CW727" s="60"/>
      <c r="CX727" s="60"/>
      <c r="CY727" s="60"/>
      <c r="CZ727" s="60"/>
      <c r="DA727" s="60"/>
      <c r="DB727" s="60"/>
      <c r="DC727" s="60"/>
      <c r="DD727" s="60"/>
      <c r="DE727" s="60"/>
      <c r="DF727" s="60"/>
      <c r="DG727" s="60"/>
      <c r="DH727" s="60"/>
      <c r="DI727" s="60"/>
      <c r="DJ727" s="60"/>
      <c r="DK727" s="60"/>
      <c r="DL727" s="60"/>
      <c r="DM727" s="60"/>
      <c r="DN727" s="60"/>
      <c r="DO727" s="60"/>
      <c r="DP727" s="60"/>
      <c r="DQ727" s="60"/>
      <c r="DR727" s="60"/>
      <c r="DS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60"/>
      <c r="BJ728" s="60"/>
      <c r="BK728" s="60"/>
      <c r="BL728" s="60"/>
      <c r="BM728" s="60"/>
      <c r="BN728" s="60"/>
      <c r="BO728" s="60"/>
      <c r="BP728" s="60"/>
      <c r="BQ728" s="60"/>
      <c r="BR728" s="60"/>
      <c r="BS728" s="60"/>
      <c r="BT728" s="60"/>
      <c r="BU728" s="60"/>
      <c r="BV728" s="60"/>
      <c r="BW728" s="60"/>
      <c r="BX728" s="60"/>
      <c r="BY728" s="60"/>
      <c r="BZ728" s="60"/>
      <c r="CA728" s="60"/>
      <c r="CB728" s="60"/>
      <c r="CC728" s="60"/>
      <c r="CD728" s="60"/>
      <c r="CE728" s="60"/>
      <c r="CF728" s="60"/>
      <c r="CG728" s="60"/>
      <c r="CH728" s="60"/>
      <c r="CI728" s="60"/>
      <c r="CJ728" s="60"/>
      <c r="CK728" s="60"/>
      <c r="CL728" s="60"/>
      <c r="CM728" s="60"/>
      <c r="CN728" s="60"/>
      <c r="CO728" s="60"/>
      <c r="CP728" s="60"/>
      <c r="CQ728" s="60"/>
      <c r="CR728" s="60"/>
      <c r="CS728" s="60"/>
      <c r="CT728" s="60"/>
      <c r="CU728" s="60"/>
      <c r="CV728" s="60"/>
      <c r="CW728" s="60"/>
      <c r="CX728" s="60"/>
      <c r="CY728" s="60"/>
      <c r="CZ728" s="60"/>
      <c r="DA728" s="60"/>
      <c r="DB728" s="60"/>
      <c r="DC728" s="60"/>
      <c r="DD728" s="60"/>
      <c r="DE728" s="60"/>
      <c r="DF728" s="60"/>
      <c r="DG728" s="60"/>
      <c r="DH728" s="60"/>
      <c r="DI728" s="60"/>
      <c r="DJ728" s="60"/>
      <c r="DK728" s="60"/>
      <c r="DL728" s="60"/>
      <c r="DM728" s="60"/>
      <c r="DN728" s="60"/>
      <c r="DO728" s="60"/>
      <c r="DP728" s="60"/>
      <c r="DQ728" s="60"/>
      <c r="DR728" s="60"/>
      <c r="DS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60"/>
      <c r="BJ729" s="60"/>
      <c r="BK729" s="60"/>
      <c r="BL729" s="60"/>
      <c r="BM729" s="60"/>
      <c r="BN729" s="60"/>
      <c r="BO729" s="60"/>
      <c r="BP729" s="60"/>
      <c r="BQ729" s="60"/>
      <c r="BR729" s="60"/>
      <c r="BS729" s="60"/>
      <c r="BT729" s="60"/>
      <c r="BU729" s="60"/>
      <c r="BV729" s="60"/>
      <c r="BW729" s="60"/>
      <c r="BX729" s="60"/>
      <c r="BY729" s="60"/>
      <c r="BZ729" s="60"/>
      <c r="CA729" s="60"/>
      <c r="CB729" s="60"/>
      <c r="CC729" s="60"/>
      <c r="CD729" s="60"/>
      <c r="CE729" s="60"/>
      <c r="CF729" s="60"/>
      <c r="CG729" s="60"/>
      <c r="CH729" s="60"/>
      <c r="CI729" s="60"/>
      <c r="CJ729" s="60"/>
      <c r="CK729" s="60"/>
      <c r="CL729" s="60"/>
      <c r="CM729" s="60"/>
      <c r="CN729" s="60"/>
      <c r="CO729" s="60"/>
      <c r="CP729" s="60"/>
      <c r="CQ729" s="60"/>
      <c r="CR729" s="60"/>
      <c r="CS729" s="60"/>
      <c r="CT729" s="60"/>
      <c r="CU729" s="60"/>
      <c r="CV729" s="60"/>
      <c r="CW729" s="60"/>
      <c r="CX729" s="60"/>
      <c r="CY729" s="60"/>
      <c r="CZ729" s="60"/>
      <c r="DA729" s="60"/>
      <c r="DB729" s="60"/>
      <c r="DC729" s="60"/>
      <c r="DD729" s="60"/>
      <c r="DE729" s="60"/>
      <c r="DF729" s="60"/>
      <c r="DG729" s="60"/>
      <c r="DH729" s="60"/>
      <c r="DI729" s="60"/>
      <c r="DJ729" s="60"/>
      <c r="DK729" s="60"/>
      <c r="DL729" s="60"/>
      <c r="DM729" s="60"/>
      <c r="DN729" s="60"/>
      <c r="DO729" s="60"/>
      <c r="DP729" s="60"/>
      <c r="DQ729" s="60"/>
      <c r="DR729" s="60"/>
      <c r="DS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60"/>
      <c r="BJ730" s="60"/>
      <c r="BK730" s="60"/>
      <c r="BL730" s="60"/>
      <c r="BM730" s="60"/>
      <c r="BN730" s="60"/>
      <c r="BO730" s="60"/>
      <c r="BP730" s="60"/>
      <c r="BQ730" s="60"/>
      <c r="BR730" s="60"/>
      <c r="BS730" s="60"/>
      <c r="BT730" s="60"/>
      <c r="BU730" s="60"/>
      <c r="BV730" s="60"/>
      <c r="BW730" s="60"/>
      <c r="BX730" s="60"/>
      <c r="BY730" s="60"/>
      <c r="BZ730" s="60"/>
      <c r="CA730" s="60"/>
      <c r="CB730" s="60"/>
      <c r="CC730" s="60"/>
      <c r="CD730" s="60"/>
      <c r="CE730" s="60"/>
      <c r="CF730" s="60"/>
      <c r="CG730" s="60"/>
      <c r="CH730" s="60"/>
      <c r="CI730" s="60"/>
      <c r="CJ730" s="60"/>
      <c r="CK730" s="60"/>
      <c r="CL730" s="60"/>
      <c r="CM730" s="60"/>
      <c r="CN730" s="60"/>
      <c r="CO730" s="60"/>
      <c r="CP730" s="60"/>
      <c r="CQ730" s="60"/>
      <c r="CR730" s="60"/>
      <c r="CS730" s="60"/>
      <c r="CT730" s="60"/>
      <c r="CU730" s="60"/>
      <c r="CV730" s="60"/>
      <c r="CW730" s="60"/>
      <c r="CX730" s="60"/>
      <c r="CY730" s="60"/>
      <c r="CZ730" s="60"/>
      <c r="DA730" s="60"/>
      <c r="DB730" s="60"/>
      <c r="DC730" s="60"/>
      <c r="DD730" s="60"/>
      <c r="DE730" s="60"/>
      <c r="DF730" s="60"/>
      <c r="DG730" s="60"/>
      <c r="DH730" s="60"/>
      <c r="DI730" s="60"/>
      <c r="DJ730" s="60"/>
      <c r="DK730" s="60"/>
      <c r="DL730" s="60"/>
      <c r="DM730" s="60"/>
      <c r="DN730" s="60"/>
      <c r="DO730" s="60"/>
      <c r="DP730" s="60"/>
      <c r="DQ730" s="60"/>
      <c r="DR730" s="60"/>
      <c r="DS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60"/>
      <c r="BJ731" s="60"/>
      <c r="BK731" s="60"/>
      <c r="BL731" s="60"/>
      <c r="BM731" s="60"/>
      <c r="BN731" s="60"/>
      <c r="BO731" s="60"/>
      <c r="BP731" s="60"/>
      <c r="BQ731" s="60"/>
      <c r="BR731" s="60"/>
      <c r="BS731" s="60"/>
      <c r="BT731" s="60"/>
      <c r="BU731" s="60"/>
      <c r="BV731" s="60"/>
      <c r="BW731" s="60"/>
      <c r="BX731" s="60"/>
      <c r="BY731" s="60"/>
      <c r="BZ731" s="60"/>
      <c r="CA731" s="60"/>
      <c r="CB731" s="60"/>
      <c r="CC731" s="60"/>
      <c r="CD731" s="60"/>
      <c r="CE731" s="60"/>
      <c r="CF731" s="60"/>
      <c r="CG731" s="60"/>
      <c r="CH731" s="60"/>
      <c r="CI731" s="60"/>
      <c r="CJ731" s="60"/>
      <c r="CK731" s="60"/>
      <c r="CL731" s="60"/>
      <c r="CM731" s="60"/>
      <c r="CN731" s="60"/>
      <c r="CO731" s="60"/>
      <c r="CP731" s="60"/>
      <c r="CQ731" s="60"/>
      <c r="CR731" s="60"/>
      <c r="CS731" s="60"/>
      <c r="CT731" s="60"/>
      <c r="CU731" s="60"/>
      <c r="CV731" s="60"/>
      <c r="CW731" s="60"/>
      <c r="CX731" s="60"/>
      <c r="CY731" s="60"/>
      <c r="CZ731" s="60"/>
      <c r="DA731" s="60"/>
      <c r="DB731" s="60"/>
      <c r="DC731" s="60"/>
      <c r="DD731" s="60"/>
      <c r="DE731" s="60"/>
      <c r="DF731" s="60"/>
      <c r="DG731" s="60"/>
      <c r="DH731" s="60"/>
      <c r="DI731" s="60"/>
      <c r="DJ731" s="60"/>
      <c r="DK731" s="60"/>
      <c r="DL731" s="60"/>
      <c r="DM731" s="60"/>
      <c r="DN731" s="60"/>
      <c r="DO731" s="60"/>
      <c r="DP731" s="60"/>
      <c r="DQ731" s="60"/>
      <c r="DR731" s="60"/>
      <c r="DS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60"/>
      <c r="BJ732" s="60"/>
      <c r="BK732" s="60"/>
      <c r="BL732" s="60"/>
      <c r="BM732" s="60"/>
      <c r="BN732" s="60"/>
      <c r="BO732" s="60"/>
      <c r="BP732" s="60"/>
      <c r="BQ732" s="60"/>
      <c r="BR732" s="60"/>
      <c r="BS732" s="60"/>
      <c r="BT732" s="60"/>
      <c r="BU732" s="60"/>
      <c r="BV732" s="60"/>
      <c r="BW732" s="60"/>
      <c r="BX732" s="60"/>
      <c r="BY732" s="60"/>
      <c r="BZ732" s="60"/>
      <c r="CA732" s="60"/>
      <c r="CB732" s="60"/>
      <c r="CC732" s="60"/>
      <c r="CD732" s="60"/>
      <c r="CE732" s="60"/>
      <c r="CF732" s="60"/>
      <c r="CG732" s="60"/>
      <c r="CH732" s="60"/>
      <c r="CI732" s="60"/>
      <c r="CJ732" s="60"/>
      <c r="CK732" s="60"/>
      <c r="CL732" s="60"/>
      <c r="CM732" s="60"/>
      <c r="CN732" s="60"/>
      <c r="CO732" s="60"/>
      <c r="CP732" s="60"/>
      <c r="CQ732" s="60"/>
      <c r="CR732" s="60"/>
      <c r="CS732" s="60"/>
      <c r="CT732" s="60"/>
      <c r="CU732" s="60"/>
      <c r="CV732" s="60"/>
      <c r="CW732" s="60"/>
      <c r="CX732" s="60"/>
      <c r="CY732" s="60"/>
      <c r="CZ732" s="60"/>
      <c r="DA732" s="60"/>
      <c r="DB732" s="60"/>
      <c r="DC732" s="60"/>
      <c r="DD732" s="60"/>
      <c r="DE732" s="60"/>
      <c r="DF732" s="60"/>
      <c r="DG732" s="60"/>
      <c r="DH732" s="60"/>
      <c r="DI732" s="60"/>
      <c r="DJ732" s="60"/>
      <c r="DK732" s="60"/>
      <c r="DL732" s="60"/>
      <c r="DM732" s="60"/>
      <c r="DN732" s="60"/>
      <c r="DO732" s="60"/>
      <c r="DP732" s="60"/>
      <c r="DQ732" s="60"/>
      <c r="DR732" s="60"/>
      <c r="DS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60"/>
      <c r="BJ733" s="60"/>
      <c r="BK733" s="60"/>
      <c r="BL733" s="60"/>
      <c r="BM733" s="60"/>
      <c r="BN733" s="60"/>
      <c r="BO733" s="60"/>
      <c r="BP733" s="60"/>
      <c r="BQ733" s="60"/>
      <c r="BR733" s="60"/>
      <c r="BS733" s="60"/>
      <c r="BT733" s="60"/>
      <c r="BU733" s="60"/>
      <c r="BV733" s="60"/>
      <c r="BW733" s="60"/>
      <c r="BX733" s="60"/>
      <c r="BY733" s="60"/>
      <c r="BZ733" s="60"/>
      <c r="CA733" s="60"/>
      <c r="CB733" s="60"/>
      <c r="CC733" s="60"/>
      <c r="CD733" s="60"/>
      <c r="CE733" s="60"/>
      <c r="CF733" s="60"/>
      <c r="CG733" s="60"/>
      <c r="CH733" s="60"/>
      <c r="CI733" s="60"/>
      <c r="CJ733" s="60"/>
      <c r="CK733" s="60"/>
      <c r="CL733" s="60"/>
      <c r="CM733" s="60"/>
      <c r="CN733" s="60"/>
      <c r="CO733" s="60"/>
      <c r="CP733" s="60"/>
      <c r="CQ733" s="60"/>
      <c r="CR733" s="60"/>
      <c r="CS733" s="60"/>
      <c r="CT733" s="60"/>
      <c r="CU733" s="60"/>
      <c r="CV733" s="60"/>
      <c r="CW733" s="60"/>
      <c r="CX733" s="60"/>
      <c r="CY733" s="60"/>
      <c r="CZ733" s="60"/>
      <c r="DA733" s="60"/>
      <c r="DB733" s="60"/>
      <c r="DC733" s="60"/>
      <c r="DD733" s="60"/>
      <c r="DE733" s="60"/>
      <c r="DF733" s="60"/>
      <c r="DG733" s="60"/>
      <c r="DH733" s="60"/>
      <c r="DI733" s="60"/>
      <c r="DJ733" s="60"/>
      <c r="DK733" s="60"/>
      <c r="DL733" s="60"/>
      <c r="DM733" s="60"/>
      <c r="DN733" s="60"/>
      <c r="DO733" s="60"/>
      <c r="DP733" s="60"/>
      <c r="DQ733" s="60"/>
      <c r="DR733" s="60"/>
      <c r="DS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60"/>
      <c r="BJ734" s="60"/>
      <c r="BK734" s="60"/>
      <c r="BL734" s="60"/>
      <c r="BM734" s="60"/>
      <c r="BN734" s="60"/>
      <c r="BO734" s="60"/>
      <c r="BP734" s="60"/>
      <c r="BQ734" s="60"/>
      <c r="BR734" s="60"/>
      <c r="BS734" s="60"/>
      <c r="BT734" s="60"/>
      <c r="BU734" s="60"/>
      <c r="BV734" s="60"/>
      <c r="BW734" s="60"/>
      <c r="BX734" s="60"/>
      <c r="BY734" s="60"/>
      <c r="BZ734" s="60"/>
      <c r="CA734" s="60"/>
      <c r="CB734" s="60"/>
      <c r="CC734" s="60"/>
      <c r="CD734" s="60"/>
      <c r="CE734" s="60"/>
      <c r="CF734" s="60"/>
      <c r="CG734" s="60"/>
      <c r="CH734" s="60"/>
      <c r="CI734" s="60"/>
      <c r="CJ734" s="60"/>
      <c r="CK734" s="60"/>
      <c r="CL734" s="60"/>
      <c r="CM734" s="60"/>
      <c r="CN734" s="60"/>
      <c r="CO734" s="60"/>
      <c r="CP734" s="60"/>
      <c r="CQ734" s="60"/>
      <c r="CR734" s="60"/>
      <c r="CS734" s="60"/>
      <c r="CT734" s="60"/>
      <c r="CU734" s="60"/>
      <c r="CV734" s="60"/>
      <c r="CW734" s="60"/>
      <c r="CX734" s="60"/>
      <c r="CY734" s="60"/>
      <c r="CZ734" s="60"/>
      <c r="DA734" s="60"/>
      <c r="DB734" s="60"/>
      <c r="DC734" s="60"/>
      <c r="DD734" s="60"/>
      <c r="DE734" s="60"/>
      <c r="DF734" s="60"/>
      <c r="DG734" s="60"/>
      <c r="DH734" s="60"/>
      <c r="DI734" s="60"/>
      <c r="DJ734" s="60"/>
      <c r="DK734" s="60"/>
      <c r="DL734" s="60"/>
      <c r="DM734" s="60"/>
      <c r="DN734" s="60"/>
      <c r="DO734" s="60"/>
      <c r="DP734" s="60"/>
      <c r="DQ734" s="60"/>
      <c r="DR734" s="60"/>
      <c r="DS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60"/>
      <c r="BJ735" s="60"/>
      <c r="BK735" s="60"/>
      <c r="BL735" s="60"/>
      <c r="BM735" s="60"/>
      <c r="BN735" s="60"/>
      <c r="BO735" s="60"/>
      <c r="BP735" s="60"/>
      <c r="BQ735" s="60"/>
      <c r="BR735" s="60"/>
      <c r="BS735" s="60"/>
      <c r="BT735" s="60"/>
      <c r="BU735" s="60"/>
      <c r="BV735" s="60"/>
      <c r="BW735" s="60"/>
      <c r="BX735" s="60"/>
      <c r="BY735" s="60"/>
      <c r="BZ735" s="60"/>
      <c r="CA735" s="60"/>
      <c r="CB735" s="60"/>
      <c r="CC735" s="60"/>
      <c r="CD735" s="60"/>
      <c r="CE735" s="60"/>
      <c r="CF735" s="60"/>
      <c r="CG735" s="60"/>
      <c r="CH735" s="60"/>
      <c r="CI735" s="60"/>
      <c r="CJ735" s="60"/>
      <c r="CK735" s="60"/>
      <c r="CL735" s="60"/>
      <c r="CM735" s="60"/>
      <c r="CN735" s="60"/>
      <c r="CO735" s="60"/>
      <c r="CP735" s="60"/>
      <c r="CQ735" s="60"/>
      <c r="CR735" s="60"/>
      <c r="CS735" s="60"/>
      <c r="CT735" s="60"/>
      <c r="CU735" s="60"/>
      <c r="CV735" s="60"/>
      <c r="CW735" s="60"/>
      <c r="CX735" s="60"/>
      <c r="CY735" s="60"/>
      <c r="CZ735" s="60"/>
      <c r="DA735" s="60"/>
      <c r="DB735" s="60"/>
      <c r="DC735" s="60"/>
      <c r="DD735" s="60"/>
      <c r="DE735" s="60"/>
      <c r="DF735" s="60"/>
      <c r="DG735" s="60"/>
      <c r="DH735" s="60"/>
      <c r="DI735" s="60"/>
      <c r="DJ735" s="60"/>
      <c r="DK735" s="60"/>
      <c r="DL735" s="60"/>
      <c r="DM735" s="60"/>
      <c r="DN735" s="60"/>
      <c r="DO735" s="60"/>
      <c r="DP735" s="60"/>
      <c r="DQ735" s="60"/>
      <c r="DR735" s="60"/>
      <c r="DS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60"/>
      <c r="BJ736" s="60"/>
      <c r="BK736" s="60"/>
      <c r="BL736" s="60"/>
      <c r="BM736" s="60"/>
      <c r="BN736" s="60"/>
      <c r="BO736" s="60"/>
      <c r="BP736" s="60"/>
      <c r="BQ736" s="60"/>
      <c r="BR736" s="60"/>
      <c r="BS736" s="60"/>
      <c r="BT736" s="60"/>
      <c r="BU736" s="60"/>
      <c r="BV736" s="60"/>
      <c r="BW736" s="60"/>
      <c r="BX736" s="60"/>
      <c r="BY736" s="60"/>
      <c r="BZ736" s="60"/>
      <c r="CA736" s="60"/>
      <c r="CB736" s="60"/>
      <c r="CC736" s="60"/>
      <c r="CD736" s="60"/>
      <c r="CE736" s="60"/>
      <c r="CF736" s="60"/>
      <c r="CG736" s="60"/>
      <c r="CH736" s="60"/>
      <c r="CI736" s="60"/>
      <c r="CJ736" s="60"/>
      <c r="CK736" s="60"/>
      <c r="CL736" s="60"/>
      <c r="CM736" s="60"/>
      <c r="CN736" s="60"/>
      <c r="CO736" s="60"/>
      <c r="CP736" s="60"/>
      <c r="CQ736" s="60"/>
      <c r="CR736" s="60"/>
      <c r="CS736" s="60"/>
      <c r="CT736" s="60"/>
      <c r="CU736" s="60"/>
      <c r="CV736" s="60"/>
      <c r="CW736" s="60"/>
      <c r="CX736" s="60"/>
      <c r="CY736" s="60"/>
      <c r="CZ736" s="60"/>
      <c r="DA736" s="60"/>
      <c r="DB736" s="60"/>
      <c r="DC736" s="60"/>
      <c r="DD736" s="60"/>
      <c r="DE736" s="60"/>
      <c r="DF736" s="60"/>
      <c r="DG736" s="60"/>
      <c r="DH736" s="60"/>
      <c r="DI736" s="60"/>
      <c r="DJ736" s="60"/>
      <c r="DK736" s="60"/>
      <c r="DL736" s="60"/>
      <c r="DM736" s="60"/>
      <c r="DN736" s="60"/>
      <c r="DO736" s="60"/>
      <c r="DP736" s="60"/>
      <c r="DQ736" s="60"/>
      <c r="DR736" s="60"/>
      <c r="DS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60"/>
      <c r="BJ737" s="60"/>
      <c r="BK737" s="60"/>
      <c r="BL737" s="60"/>
      <c r="BM737" s="60"/>
      <c r="BN737" s="60"/>
      <c r="BO737" s="60"/>
      <c r="BP737" s="60"/>
      <c r="BQ737" s="60"/>
      <c r="BR737" s="60"/>
      <c r="BS737" s="60"/>
      <c r="BT737" s="60"/>
      <c r="BU737" s="60"/>
      <c r="BV737" s="60"/>
      <c r="BW737" s="60"/>
      <c r="BX737" s="60"/>
      <c r="BY737" s="60"/>
      <c r="BZ737" s="60"/>
      <c r="CA737" s="60"/>
      <c r="CB737" s="60"/>
      <c r="CC737" s="60"/>
      <c r="CD737" s="60"/>
      <c r="CE737" s="60"/>
      <c r="CF737" s="60"/>
      <c r="CG737" s="60"/>
      <c r="CH737" s="60"/>
      <c r="CI737" s="60"/>
      <c r="CJ737" s="60"/>
      <c r="CK737" s="60"/>
      <c r="CL737" s="60"/>
      <c r="CM737" s="60"/>
      <c r="CN737" s="60"/>
      <c r="CO737" s="60"/>
      <c r="CP737" s="60"/>
      <c r="CQ737" s="60"/>
      <c r="CR737" s="60"/>
      <c r="CS737" s="60"/>
      <c r="CT737" s="60"/>
      <c r="CU737" s="60"/>
      <c r="CV737" s="60"/>
      <c r="CW737" s="60"/>
      <c r="CX737" s="60"/>
      <c r="CY737" s="60"/>
      <c r="CZ737" s="60"/>
      <c r="DA737" s="60"/>
      <c r="DB737" s="60"/>
      <c r="DC737" s="60"/>
      <c r="DD737" s="60"/>
      <c r="DE737" s="60"/>
      <c r="DF737" s="60"/>
      <c r="DG737" s="60"/>
      <c r="DH737" s="60"/>
      <c r="DI737" s="60"/>
      <c r="DJ737" s="60"/>
      <c r="DK737" s="60"/>
      <c r="DL737" s="60"/>
      <c r="DM737" s="60"/>
      <c r="DN737" s="60"/>
      <c r="DO737" s="60"/>
      <c r="DP737" s="60"/>
      <c r="DQ737" s="60"/>
      <c r="DR737" s="60"/>
      <c r="DS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60"/>
      <c r="BJ738" s="60"/>
      <c r="BK738" s="60"/>
      <c r="BL738" s="60"/>
      <c r="BM738" s="60"/>
      <c r="BN738" s="60"/>
      <c r="BO738" s="60"/>
      <c r="BP738" s="60"/>
      <c r="BQ738" s="60"/>
      <c r="BR738" s="60"/>
      <c r="BS738" s="60"/>
      <c r="BT738" s="60"/>
      <c r="BU738" s="60"/>
      <c r="BV738" s="60"/>
      <c r="BW738" s="60"/>
      <c r="BX738" s="60"/>
      <c r="BY738" s="60"/>
      <c r="BZ738" s="60"/>
      <c r="CA738" s="60"/>
      <c r="CB738" s="60"/>
      <c r="CC738" s="60"/>
      <c r="CD738" s="60"/>
      <c r="CE738" s="60"/>
      <c r="CF738" s="60"/>
      <c r="CG738" s="60"/>
      <c r="CH738" s="60"/>
      <c r="CI738" s="60"/>
      <c r="CJ738" s="60"/>
      <c r="CK738" s="60"/>
      <c r="CL738" s="60"/>
      <c r="CM738" s="60"/>
      <c r="CN738" s="60"/>
      <c r="CO738" s="60"/>
      <c r="CP738" s="60"/>
      <c r="CQ738" s="60"/>
      <c r="CR738" s="60"/>
      <c r="CS738" s="60"/>
      <c r="CT738" s="60"/>
      <c r="CU738" s="60"/>
      <c r="CV738" s="60"/>
      <c r="CW738" s="60"/>
      <c r="CX738" s="60"/>
      <c r="CY738" s="60"/>
      <c r="CZ738" s="60"/>
      <c r="DA738" s="60"/>
      <c r="DB738" s="60"/>
      <c r="DC738" s="60"/>
      <c r="DD738" s="60"/>
      <c r="DE738" s="60"/>
      <c r="DF738" s="60"/>
      <c r="DG738" s="60"/>
      <c r="DH738" s="60"/>
      <c r="DI738" s="60"/>
      <c r="DJ738" s="60"/>
      <c r="DK738" s="60"/>
      <c r="DL738" s="60"/>
      <c r="DM738" s="60"/>
      <c r="DN738" s="60"/>
      <c r="DO738" s="60"/>
      <c r="DP738" s="60"/>
      <c r="DQ738" s="60"/>
      <c r="DR738" s="60"/>
      <c r="DS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60"/>
      <c r="BJ739" s="60"/>
      <c r="BK739" s="60"/>
      <c r="BL739" s="60"/>
      <c r="BM739" s="60"/>
      <c r="BN739" s="60"/>
      <c r="BO739" s="60"/>
      <c r="BP739" s="60"/>
      <c r="BQ739" s="60"/>
      <c r="BR739" s="60"/>
      <c r="BS739" s="60"/>
      <c r="BT739" s="60"/>
      <c r="BU739" s="60"/>
      <c r="BV739" s="60"/>
      <c r="BW739" s="60"/>
      <c r="BX739" s="60"/>
      <c r="BY739" s="60"/>
      <c r="BZ739" s="60"/>
      <c r="CA739" s="60"/>
      <c r="CB739" s="60"/>
      <c r="CC739" s="60"/>
      <c r="CD739" s="60"/>
      <c r="CE739" s="60"/>
      <c r="CF739" s="60"/>
      <c r="CG739" s="60"/>
      <c r="CH739" s="60"/>
      <c r="CI739" s="60"/>
      <c r="CJ739" s="60"/>
      <c r="CK739" s="60"/>
      <c r="CL739" s="60"/>
      <c r="CM739" s="60"/>
      <c r="CN739" s="60"/>
      <c r="CO739" s="60"/>
      <c r="CP739" s="60"/>
      <c r="CQ739" s="60"/>
      <c r="CR739" s="60"/>
      <c r="CS739" s="60"/>
      <c r="CT739" s="60"/>
      <c r="CU739" s="60"/>
      <c r="CV739" s="60"/>
      <c r="CW739" s="60"/>
      <c r="CX739" s="60"/>
      <c r="CY739" s="60"/>
      <c r="CZ739" s="60"/>
      <c r="DA739" s="60"/>
      <c r="DB739" s="60"/>
      <c r="DC739" s="60"/>
      <c r="DD739" s="60"/>
      <c r="DE739" s="60"/>
      <c r="DF739" s="60"/>
      <c r="DG739" s="60"/>
      <c r="DH739" s="60"/>
      <c r="DI739" s="60"/>
      <c r="DJ739" s="60"/>
      <c r="DK739" s="60"/>
      <c r="DL739" s="60"/>
      <c r="DM739" s="60"/>
      <c r="DN739" s="60"/>
      <c r="DO739" s="60"/>
      <c r="DP739" s="60"/>
      <c r="DQ739" s="60"/>
      <c r="DR739" s="60"/>
      <c r="DS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60"/>
      <c r="BJ740" s="60"/>
      <c r="BK740" s="60"/>
      <c r="BL740" s="60"/>
      <c r="BM740" s="60"/>
      <c r="BN740" s="60"/>
      <c r="BO740" s="60"/>
      <c r="BP740" s="60"/>
      <c r="BQ740" s="60"/>
      <c r="BR740" s="60"/>
      <c r="BS740" s="60"/>
      <c r="BT740" s="60"/>
      <c r="BU740" s="60"/>
      <c r="BV740" s="60"/>
      <c r="BW740" s="60"/>
      <c r="BX740" s="60"/>
      <c r="BY740" s="60"/>
      <c r="BZ740" s="60"/>
      <c r="CA740" s="60"/>
      <c r="CB740" s="60"/>
      <c r="CC740" s="60"/>
      <c r="CD740" s="60"/>
      <c r="CE740" s="60"/>
      <c r="CF740" s="60"/>
      <c r="CG740" s="60"/>
      <c r="CH740" s="60"/>
      <c r="CI740" s="60"/>
      <c r="CJ740" s="60"/>
      <c r="CK740" s="60"/>
      <c r="CL740" s="60"/>
      <c r="CM740" s="60"/>
      <c r="CN740" s="60"/>
      <c r="CO740" s="60"/>
      <c r="CP740" s="60"/>
      <c r="CQ740" s="60"/>
      <c r="CR740" s="60"/>
      <c r="CS740" s="60"/>
      <c r="CT740" s="60"/>
      <c r="CU740" s="60"/>
      <c r="CV740" s="60"/>
      <c r="CW740" s="60"/>
      <c r="CX740" s="60"/>
      <c r="CY740" s="60"/>
      <c r="CZ740" s="60"/>
      <c r="DA740" s="60"/>
      <c r="DB740" s="60"/>
      <c r="DC740" s="60"/>
      <c r="DD740" s="60"/>
      <c r="DE740" s="60"/>
      <c r="DF740" s="60"/>
      <c r="DG740" s="60"/>
      <c r="DH740" s="60"/>
      <c r="DI740" s="60"/>
      <c r="DJ740" s="60"/>
      <c r="DK740" s="60"/>
      <c r="DL740" s="60"/>
      <c r="DM740" s="60"/>
      <c r="DN740" s="60"/>
      <c r="DO740" s="60"/>
      <c r="DP740" s="60"/>
      <c r="DQ740" s="60"/>
      <c r="DR740" s="60"/>
      <c r="DS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60"/>
      <c r="BJ741" s="60"/>
      <c r="BK741" s="60"/>
      <c r="BL741" s="60"/>
      <c r="BM741" s="60"/>
      <c r="BN741" s="60"/>
      <c r="BO741" s="60"/>
      <c r="BP741" s="60"/>
      <c r="BQ741" s="60"/>
      <c r="BR741" s="60"/>
      <c r="BS741" s="60"/>
      <c r="BT741" s="60"/>
      <c r="BU741" s="60"/>
      <c r="BV741" s="60"/>
      <c r="BW741" s="60"/>
      <c r="BX741" s="60"/>
      <c r="BY741" s="60"/>
      <c r="BZ741" s="60"/>
      <c r="CA741" s="60"/>
      <c r="CB741" s="60"/>
      <c r="CC741" s="60"/>
      <c r="CD741" s="60"/>
      <c r="CE741" s="60"/>
      <c r="CF741" s="60"/>
      <c r="CG741" s="60"/>
      <c r="CH741" s="60"/>
      <c r="CI741" s="60"/>
      <c r="CJ741" s="60"/>
      <c r="CK741" s="60"/>
      <c r="CL741" s="60"/>
      <c r="CM741" s="60"/>
      <c r="CN741" s="60"/>
      <c r="CO741" s="60"/>
      <c r="CP741" s="60"/>
      <c r="CQ741" s="60"/>
      <c r="CR741" s="60"/>
      <c r="CS741" s="60"/>
      <c r="CT741" s="60"/>
      <c r="CU741" s="60"/>
      <c r="CV741" s="60"/>
      <c r="CW741" s="60"/>
      <c r="CX741" s="60"/>
      <c r="CY741" s="60"/>
      <c r="CZ741" s="60"/>
      <c r="DA741" s="60"/>
      <c r="DB741" s="60"/>
      <c r="DC741" s="60"/>
      <c r="DD741" s="60"/>
      <c r="DE741" s="60"/>
      <c r="DF741" s="60"/>
      <c r="DG741" s="60"/>
      <c r="DH741" s="60"/>
      <c r="DI741" s="60"/>
      <c r="DJ741" s="60"/>
      <c r="DK741" s="60"/>
      <c r="DL741" s="60"/>
      <c r="DM741" s="60"/>
      <c r="DN741" s="60"/>
      <c r="DO741" s="60"/>
      <c r="DP741" s="60"/>
      <c r="DQ741" s="60"/>
      <c r="DR741" s="60"/>
      <c r="DS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  <c r="BG742" s="60"/>
      <c r="BH742" s="60"/>
      <c r="BI742" s="60"/>
      <c r="BJ742" s="60"/>
      <c r="BK742" s="60"/>
      <c r="BL742" s="60"/>
      <c r="BM742" s="60"/>
      <c r="BN742" s="60"/>
      <c r="BO742" s="60"/>
      <c r="BP742" s="60"/>
      <c r="BQ742" s="60"/>
      <c r="BR742" s="60"/>
      <c r="BS742" s="60"/>
      <c r="BT742" s="60"/>
      <c r="BU742" s="60"/>
      <c r="BV742" s="60"/>
      <c r="BW742" s="60"/>
      <c r="BX742" s="60"/>
      <c r="BY742" s="60"/>
      <c r="BZ742" s="60"/>
      <c r="CA742" s="60"/>
      <c r="CB742" s="60"/>
      <c r="CC742" s="60"/>
      <c r="CD742" s="60"/>
      <c r="CE742" s="60"/>
      <c r="CF742" s="60"/>
      <c r="CG742" s="60"/>
      <c r="CH742" s="60"/>
      <c r="CI742" s="60"/>
      <c r="CJ742" s="60"/>
      <c r="CK742" s="60"/>
      <c r="CL742" s="60"/>
      <c r="CM742" s="60"/>
      <c r="CN742" s="60"/>
      <c r="CO742" s="60"/>
      <c r="CP742" s="60"/>
      <c r="CQ742" s="60"/>
      <c r="CR742" s="60"/>
      <c r="CS742" s="60"/>
      <c r="CT742" s="60"/>
      <c r="CU742" s="60"/>
      <c r="CV742" s="60"/>
      <c r="CW742" s="60"/>
      <c r="CX742" s="60"/>
      <c r="CY742" s="60"/>
      <c r="CZ742" s="60"/>
      <c r="DA742" s="60"/>
      <c r="DB742" s="60"/>
      <c r="DC742" s="60"/>
      <c r="DD742" s="60"/>
      <c r="DE742" s="60"/>
      <c r="DF742" s="60"/>
      <c r="DG742" s="60"/>
      <c r="DH742" s="60"/>
      <c r="DI742" s="60"/>
      <c r="DJ742" s="60"/>
      <c r="DK742" s="60"/>
      <c r="DL742" s="60"/>
      <c r="DM742" s="60"/>
      <c r="DN742" s="60"/>
      <c r="DO742" s="60"/>
      <c r="DP742" s="60"/>
      <c r="DQ742" s="60"/>
      <c r="DR742" s="60"/>
      <c r="DS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  <c r="BG743" s="60"/>
      <c r="BH743" s="60"/>
      <c r="BI743" s="60"/>
      <c r="BJ743" s="60"/>
      <c r="BK743" s="60"/>
      <c r="BL743" s="60"/>
      <c r="BM743" s="60"/>
      <c r="BN743" s="60"/>
      <c r="BO743" s="60"/>
      <c r="BP743" s="60"/>
      <c r="BQ743" s="60"/>
      <c r="BR743" s="60"/>
      <c r="BS743" s="60"/>
      <c r="BT743" s="60"/>
      <c r="BU743" s="60"/>
      <c r="BV743" s="60"/>
      <c r="BW743" s="60"/>
      <c r="BX743" s="60"/>
      <c r="BY743" s="60"/>
      <c r="BZ743" s="60"/>
      <c r="CA743" s="60"/>
      <c r="CB743" s="60"/>
      <c r="CC743" s="60"/>
      <c r="CD743" s="60"/>
      <c r="CE743" s="60"/>
      <c r="CF743" s="60"/>
      <c r="CG743" s="60"/>
      <c r="CH743" s="60"/>
      <c r="CI743" s="60"/>
      <c r="CJ743" s="60"/>
      <c r="CK743" s="60"/>
      <c r="CL743" s="60"/>
      <c r="CM743" s="60"/>
      <c r="CN743" s="60"/>
      <c r="CO743" s="60"/>
      <c r="CP743" s="60"/>
      <c r="CQ743" s="60"/>
      <c r="CR743" s="60"/>
      <c r="CS743" s="60"/>
      <c r="CT743" s="60"/>
      <c r="CU743" s="60"/>
      <c r="CV743" s="60"/>
      <c r="CW743" s="60"/>
      <c r="CX743" s="60"/>
      <c r="CY743" s="60"/>
      <c r="CZ743" s="60"/>
      <c r="DA743" s="60"/>
      <c r="DB743" s="60"/>
      <c r="DC743" s="60"/>
      <c r="DD743" s="60"/>
      <c r="DE743" s="60"/>
      <c r="DF743" s="60"/>
      <c r="DG743" s="60"/>
      <c r="DH743" s="60"/>
      <c r="DI743" s="60"/>
      <c r="DJ743" s="60"/>
      <c r="DK743" s="60"/>
      <c r="DL743" s="60"/>
      <c r="DM743" s="60"/>
      <c r="DN743" s="60"/>
      <c r="DO743" s="60"/>
      <c r="DP743" s="60"/>
      <c r="DQ743" s="60"/>
      <c r="DR743" s="60"/>
      <c r="DS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  <c r="BG744" s="60"/>
      <c r="BH744" s="60"/>
      <c r="BI744" s="60"/>
      <c r="BJ744" s="60"/>
      <c r="BK744" s="60"/>
      <c r="BL744" s="60"/>
      <c r="BM744" s="60"/>
      <c r="BN744" s="60"/>
      <c r="BO744" s="60"/>
      <c r="BP744" s="60"/>
      <c r="BQ744" s="60"/>
      <c r="BR744" s="60"/>
      <c r="BS744" s="60"/>
      <c r="BT744" s="60"/>
      <c r="BU744" s="60"/>
      <c r="BV744" s="60"/>
      <c r="BW744" s="60"/>
      <c r="BX744" s="60"/>
      <c r="BY744" s="60"/>
      <c r="BZ744" s="60"/>
      <c r="CA744" s="60"/>
      <c r="CB744" s="60"/>
      <c r="CC744" s="60"/>
      <c r="CD744" s="60"/>
      <c r="CE744" s="60"/>
      <c r="CF744" s="60"/>
      <c r="CG744" s="60"/>
      <c r="CH744" s="60"/>
      <c r="CI744" s="60"/>
      <c r="CJ744" s="60"/>
      <c r="CK744" s="60"/>
      <c r="CL744" s="60"/>
      <c r="CM744" s="60"/>
      <c r="CN744" s="60"/>
      <c r="CO744" s="60"/>
      <c r="CP744" s="60"/>
      <c r="CQ744" s="60"/>
      <c r="CR744" s="60"/>
      <c r="CS744" s="60"/>
      <c r="CT744" s="60"/>
      <c r="CU744" s="60"/>
      <c r="CV744" s="60"/>
      <c r="CW744" s="60"/>
      <c r="CX744" s="60"/>
      <c r="CY744" s="60"/>
      <c r="CZ744" s="60"/>
      <c r="DA744" s="60"/>
      <c r="DB744" s="60"/>
      <c r="DC744" s="60"/>
      <c r="DD744" s="60"/>
      <c r="DE744" s="60"/>
      <c r="DF744" s="60"/>
      <c r="DG744" s="60"/>
      <c r="DH744" s="60"/>
      <c r="DI744" s="60"/>
      <c r="DJ744" s="60"/>
      <c r="DK744" s="60"/>
      <c r="DL744" s="60"/>
      <c r="DM744" s="60"/>
      <c r="DN744" s="60"/>
      <c r="DO744" s="60"/>
      <c r="DP744" s="60"/>
      <c r="DQ744" s="60"/>
      <c r="DR744" s="60"/>
      <c r="DS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60"/>
      <c r="BH745" s="60"/>
      <c r="BI745" s="60"/>
      <c r="BJ745" s="60"/>
      <c r="BK745" s="60"/>
      <c r="BL745" s="60"/>
      <c r="BM745" s="60"/>
      <c r="BN745" s="60"/>
      <c r="BO745" s="60"/>
      <c r="BP745" s="60"/>
      <c r="BQ745" s="60"/>
      <c r="BR745" s="60"/>
      <c r="BS745" s="60"/>
      <c r="BT745" s="60"/>
      <c r="BU745" s="60"/>
      <c r="BV745" s="60"/>
      <c r="BW745" s="60"/>
      <c r="BX745" s="60"/>
      <c r="BY745" s="60"/>
      <c r="BZ745" s="60"/>
      <c r="CA745" s="60"/>
      <c r="CB745" s="60"/>
      <c r="CC745" s="60"/>
      <c r="CD745" s="60"/>
      <c r="CE745" s="60"/>
      <c r="CF745" s="60"/>
      <c r="CG745" s="60"/>
      <c r="CH745" s="60"/>
      <c r="CI745" s="60"/>
      <c r="CJ745" s="60"/>
      <c r="CK745" s="60"/>
      <c r="CL745" s="60"/>
      <c r="CM745" s="60"/>
      <c r="CN745" s="60"/>
      <c r="CO745" s="60"/>
      <c r="CP745" s="60"/>
      <c r="CQ745" s="60"/>
      <c r="CR745" s="60"/>
      <c r="CS745" s="60"/>
      <c r="CT745" s="60"/>
      <c r="CU745" s="60"/>
      <c r="CV745" s="60"/>
      <c r="CW745" s="60"/>
      <c r="CX745" s="60"/>
      <c r="CY745" s="60"/>
      <c r="CZ745" s="60"/>
      <c r="DA745" s="60"/>
      <c r="DB745" s="60"/>
      <c r="DC745" s="60"/>
      <c r="DD745" s="60"/>
      <c r="DE745" s="60"/>
      <c r="DF745" s="60"/>
      <c r="DG745" s="60"/>
      <c r="DH745" s="60"/>
      <c r="DI745" s="60"/>
      <c r="DJ745" s="60"/>
      <c r="DK745" s="60"/>
      <c r="DL745" s="60"/>
      <c r="DM745" s="60"/>
      <c r="DN745" s="60"/>
      <c r="DO745" s="60"/>
      <c r="DP745" s="60"/>
      <c r="DQ745" s="60"/>
      <c r="DR745" s="60"/>
      <c r="DS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  <c r="BG746" s="60"/>
      <c r="BH746" s="60"/>
      <c r="BI746" s="60"/>
      <c r="BJ746" s="60"/>
      <c r="BK746" s="60"/>
      <c r="BL746" s="60"/>
      <c r="BM746" s="60"/>
      <c r="BN746" s="60"/>
      <c r="BO746" s="60"/>
      <c r="BP746" s="60"/>
      <c r="BQ746" s="60"/>
      <c r="BR746" s="60"/>
      <c r="BS746" s="60"/>
      <c r="BT746" s="60"/>
      <c r="BU746" s="60"/>
      <c r="BV746" s="60"/>
      <c r="BW746" s="60"/>
      <c r="BX746" s="60"/>
      <c r="BY746" s="60"/>
      <c r="BZ746" s="60"/>
      <c r="CA746" s="60"/>
      <c r="CB746" s="60"/>
      <c r="CC746" s="60"/>
      <c r="CD746" s="60"/>
      <c r="CE746" s="60"/>
      <c r="CF746" s="60"/>
      <c r="CG746" s="60"/>
      <c r="CH746" s="60"/>
      <c r="CI746" s="60"/>
      <c r="CJ746" s="60"/>
      <c r="CK746" s="60"/>
      <c r="CL746" s="60"/>
      <c r="CM746" s="60"/>
      <c r="CN746" s="60"/>
      <c r="CO746" s="60"/>
      <c r="CP746" s="60"/>
      <c r="CQ746" s="60"/>
      <c r="CR746" s="60"/>
      <c r="CS746" s="60"/>
      <c r="CT746" s="60"/>
      <c r="CU746" s="60"/>
      <c r="CV746" s="60"/>
      <c r="CW746" s="60"/>
      <c r="CX746" s="60"/>
      <c r="CY746" s="60"/>
      <c r="CZ746" s="60"/>
      <c r="DA746" s="60"/>
      <c r="DB746" s="60"/>
      <c r="DC746" s="60"/>
      <c r="DD746" s="60"/>
      <c r="DE746" s="60"/>
      <c r="DF746" s="60"/>
      <c r="DG746" s="60"/>
      <c r="DH746" s="60"/>
      <c r="DI746" s="60"/>
      <c r="DJ746" s="60"/>
      <c r="DK746" s="60"/>
      <c r="DL746" s="60"/>
      <c r="DM746" s="60"/>
      <c r="DN746" s="60"/>
      <c r="DO746" s="60"/>
      <c r="DP746" s="60"/>
      <c r="DQ746" s="60"/>
      <c r="DR746" s="60"/>
      <c r="DS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  <c r="BG747" s="60"/>
      <c r="BH747" s="60"/>
      <c r="BI747" s="60"/>
      <c r="BJ747" s="60"/>
      <c r="BK747" s="60"/>
      <c r="BL747" s="60"/>
      <c r="BM747" s="60"/>
      <c r="BN747" s="60"/>
      <c r="BO747" s="60"/>
      <c r="BP747" s="60"/>
      <c r="BQ747" s="60"/>
      <c r="BR747" s="60"/>
      <c r="BS747" s="60"/>
      <c r="BT747" s="60"/>
      <c r="BU747" s="60"/>
      <c r="BV747" s="60"/>
      <c r="BW747" s="60"/>
      <c r="BX747" s="60"/>
      <c r="BY747" s="60"/>
      <c r="BZ747" s="60"/>
      <c r="CA747" s="60"/>
      <c r="CB747" s="60"/>
      <c r="CC747" s="60"/>
      <c r="CD747" s="60"/>
      <c r="CE747" s="60"/>
      <c r="CF747" s="60"/>
      <c r="CG747" s="60"/>
      <c r="CH747" s="60"/>
      <c r="CI747" s="60"/>
      <c r="CJ747" s="60"/>
      <c r="CK747" s="60"/>
      <c r="CL747" s="60"/>
      <c r="CM747" s="60"/>
      <c r="CN747" s="60"/>
      <c r="CO747" s="60"/>
      <c r="CP747" s="60"/>
      <c r="CQ747" s="60"/>
      <c r="CR747" s="60"/>
      <c r="CS747" s="60"/>
      <c r="CT747" s="60"/>
      <c r="CU747" s="60"/>
      <c r="CV747" s="60"/>
      <c r="CW747" s="60"/>
      <c r="CX747" s="60"/>
      <c r="CY747" s="60"/>
      <c r="CZ747" s="60"/>
      <c r="DA747" s="60"/>
      <c r="DB747" s="60"/>
      <c r="DC747" s="60"/>
      <c r="DD747" s="60"/>
      <c r="DE747" s="60"/>
      <c r="DF747" s="60"/>
      <c r="DG747" s="60"/>
      <c r="DH747" s="60"/>
      <c r="DI747" s="60"/>
      <c r="DJ747" s="60"/>
      <c r="DK747" s="60"/>
      <c r="DL747" s="60"/>
      <c r="DM747" s="60"/>
      <c r="DN747" s="60"/>
      <c r="DO747" s="60"/>
      <c r="DP747" s="60"/>
      <c r="DQ747" s="60"/>
      <c r="DR747" s="60"/>
      <c r="DS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60"/>
      <c r="BH748" s="60"/>
      <c r="BI748" s="60"/>
      <c r="BJ748" s="60"/>
      <c r="BK748" s="60"/>
      <c r="BL748" s="60"/>
      <c r="BM748" s="60"/>
      <c r="BN748" s="60"/>
      <c r="BO748" s="60"/>
      <c r="BP748" s="60"/>
      <c r="BQ748" s="60"/>
      <c r="BR748" s="60"/>
      <c r="BS748" s="60"/>
      <c r="BT748" s="60"/>
      <c r="BU748" s="60"/>
      <c r="BV748" s="60"/>
      <c r="BW748" s="60"/>
      <c r="BX748" s="60"/>
      <c r="BY748" s="60"/>
      <c r="BZ748" s="60"/>
      <c r="CA748" s="60"/>
      <c r="CB748" s="60"/>
      <c r="CC748" s="60"/>
      <c r="CD748" s="60"/>
      <c r="CE748" s="60"/>
      <c r="CF748" s="60"/>
      <c r="CG748" s="60"/>
      <c r="CH748" s="60"/>
      <c r="CI748" s="60"/>
      <c r="CJ748" s="60"/>
      <c r="CK748" s="60"/>
      <c r="CL748" s="60"/>
      <c r="CM748" s="60"/>
      <c r="CN748" s="60"/>
      <c r="CO748" s="60"/>
      <c r="CP748" s="60"/>
      <c r="CQ748" s="60"/>
      <c r="CR748" s="60"/>
      <c r="CS748" s="60"/>
      <c r="CT748" s="60"/>
      <c r="CU748" s="60"/>
      <c r="CV748" s="60"/>
      <c r="CW748" s="60"/>
      <c r="CX748" s="60"/>
      <c r="CY748" s="60"/>
      <c r="CZ748" s="60"/>
      <c r="DA748" s="60"/>
      <c r="DB748" s="60"/>
      <c r="DC748" s="60"/>
      <c r="DD748" s="60"/>
      <c r="DE748" s="60"/>
      <c r="DF748" s="60"/>
      <c r="DG748" s="60"/>
      <c r="DH748" s="60"/>
      <c r="DI748" s="60"/>
      <c r="DJ748" s="60"/>
      <c r="DK748" s="60"/>
      <c r="DL748" s="60"/>
      <c r="DM748" s="60"/>
      <c r="DN748" s="60"/>
      <c r="DO748" s="60"/>
      <c r="DP748" s="60"/>
      <c r="DQ748" s="60"/>
      <c r="DR748" s="60"/>
      <c r="DS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60"/>
      <c r="BH749" s="60"/>
      <c r="BI749" s="60"/>
      <c r="BJ749" s="60"/>
      <c r="BK749" s="60"/>
      <c r="BL749" s="60"/>
      <c r="BM749" s="60"/>
      <c r="BN749" s="60"/>
      <c r="BO749" s="60"/>
      <c r="BP749" s="60"/>
      <c r="BQ749" s="60"/>
      <c r="BR749" s="60"/>
      <c r="BS749" s="60"/>
      <c r="BT749" s="60"/>
      <c r="BU749" s="60"/>
      <c r="BV749" s="60"/>
      <c r="BW749" s="60"/>
      <c r="BX749" s="60"/>
      <c r="BY749" s="60"/>
      <c r="BZ749" s="60"/>
      <c r="CA749" s="60"/>
      <c r="CB749" s="60"/>
      <c r="CC749" s="60"/>
      <c r="CD749" s="60"/>
      <c r="CE749" s="60"/>
      <c r="CF749" s="60"/>
      <c r="CG749" s="60"/>
      <c r="CH749" s="60"/>
      <c r="CI749" s="60"/>
      <c r="CJ749" s="60"/>
      <c r="CK749" s="60"/>
      <c r="CL749" s="60"/>
      <c r="CM749" s="60"/>
      <c r="CN749" s="60"/>
      <c r="CO749" s="60"/>
      <c r="CP749" s="60"/>
      <c r="CQ749" s="60"/>
      <c r="CR749" s="60"/>
      <c r="CS749" s="60"/>
      <c r="CT749" s="60"/>
      <c r="CU749" s="60"/>
      <c r="CV749" s="60"/>
      <c r="CW749" s="60"/>
      <c r="CX749" s="60"/>
      <c r="CY749" s="60"/>
      <c r="CZ749" s="60"/>
      <c r="DA749" s="60"/>
      <c r="DB749" s="60"/>
      <c r="DC749" s="60"/>
      <c r="DD749" s="60"/>
      <c r="DE749" s="60"/>
      <c r="DF749" s="60"/>
      <c r="DG749" s="60"/>
      <c r="DH749" s="60"/>
      <c r="DI749" s="60"/>
      <c r="DJ749" s="60"/>
      <c r="DK749" s="60"/>
      <c r="DL749" s="60"/>
      <c r="DM749" s="60"/>
      <c r="DN749" s="60"/>
      <c r="DO749" s="60"/>
      <c r="DP749" s="60"/>
      <c r="DQ749" s="60"/>
      <c r="DR749" s="60"/>
      <c r="DS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  <c r="BG750" s="60"/>
      <c r="BH750" s="60"/>
      <c r="BI750" s="60"/>
      <c r="BJ750" s="60"/>
      <c r="BK750" s="60"/>
      <c r="BL750" s="60"/>
      <c r="BM750" s="60"/>
      <c r="BN750" s="60"/>
      <c r="BO750" s="60"/>
      <c r="BP750" s="60"/>
      <c r="BQ750" s="60"/>
      <c r="BR750" s="60"/>
      <c r="BS750" s="60"/>
      <c r="BT750" s="60"/>
      <c r="BU750" s="60"/>
      <c r="BV750" s="60"/>
      <c r="BW750" s="60"/>
      <c r="BX750" s="60"/>
      <c r="BY750" s="60"/>
      <c r="BZ750" s="60"/>
      <c r="CA750" s="60"/>
      <c r="CB750" s="60"/>
      <c r="CC750" s="60"/>
      <c r="CD750" s="60"/>
      <c r="CE750" s="60"/>
      <c r="CF750" s="60"/>
      <c r="CG750" s="60"/>
      <c r="CH750" s="60"/>
      <c r="CI750" s="60"/>
      <c r="CJ750" s="60"/>
      <c r="CK750" s="60"/>
      <c r="CL750" s="60"/>
      <c r="CM750" s="60"/>
      <c r="CN750" s="60"/>
      <c r="CO750" s="60"/>
      <c r="CP750" s="60"/>
      <c r="CQ750" s="60"/>
      <c r="CR750" s="60"/>
      <c r="CS750" s="60"/>
      <c r="CT750" s="60"/>
      <c r="CU750" s="60"/>
      <c r="CV750" s="60"/>
      <c r="CW750" s="60"/>
      <c r="CX750" s="60"/>
      <c r="CY750" s="60"/>
      <c r="CZ750" s="60"/>
      <c r="DA750" s="60"/>
      <c r="DB750" s="60"/>
      <c r="DC750" s="60"/>
      <c r="DD750" s="60"/>
      <c r="DE750" s="60"/>
      <c r="DF750" s="60"/>
      <c r="DG750" s="60"/>
      <c r="DH750" s="60"/>
      <c r="DI750" s="60"/>
      <c r="DJ750" s="60"/>
      <c r="DK750" s="60"/>
      <c r="DL750" s="60"/>
      <c r="DM750" s="60"/>
      <c r="DN750" s="60"/>
      <c r="DO750" s="60"/>
      <c r="DP750" s="60"/>
      <c r="DQ750" s="60"/>
      <c r="DR750" s="60"/>
      <c r="DS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60"/>
      <c r="BH751" s="60"/>
      <c r="BI751" s="60"/>
      <c r="BJ751" s="60"/>
      <c r="BK751" s="60"/>
      <c r="BL751" s="60"/>
      <c r="BM751" s="60"/>
      <c r="BN751" s="60"/>
      <c r="BO751" s="60"/>
      <c r="BP751" s="60"/>
      <c r="BQ751" s="60"/>
      <c r="BR751" s="60"/>
      <c r="BS751" s="60"/>
      <c r="BT751" s="60"/>
      <c r="BU751" s="60"/>
      <c r="BV751" s="60"/>
      <c r="BW751" s="60"/>
      <c r="BX751" s="60"/>
      <c r="BY751" s="60"/>
      <c r="BZ751" s="60"/>
      <c r="CA751" s="60"/>
      <c r="CB751" s="60"/>
      <c r="CC751" s="60"/>
      <c r="CD751" s="60"/>
      <c r="CE751" s="60"/>
      <c r="CF751" s="60"/>
      <c r="CG751" s="60"/>
      <c r="CH751" s="60"/>
      <c r="CI751" s="60"/>
      <c r="CJ751" s="60"/>
      <c r="CK751" s="60"/>
      <c r="CL751" s="60"/>
      <c r="CM751" s="60"/>
      <c r="CN751" s="60"/>
      <c r="CO751" s="60"/>
      <c r="CP751" s="60"/>
      <c r="CQ751" s="60"/>
      <c r="CR751" s="60"/>
      <c r="CS751" s="60"/>
      <c r="CT751" s="60"/>
      <c r="CU751" s="60"/>
      <c r="CV751" s="60"/>
      <c r="CW751" s="60"/>
      <c r="CX751" s="60"/>
      <c r="CY751" s="60"/>
      <c r="CZ751" s="60"/>
      <c r="DA751" s="60"/>
      <c r="DB751" s="60"/>
      <c r="DC751" s="60"/>
      <c r="DD751" s="60"/>
      <c r="DE751" s="60"/>
      <c r="DF751" s="60"/>
      <c r="DG751" s="60"/>
      <c r="DH751" s="60"/>
      <c r="DI751" s="60"/>
      <c r="DJ751" s="60"/>
      <c r="DK751" s="60"/>
      <c r="DL751" s="60"/>
      <c r="DM751" s="60"/>
      <c r="DN751" s="60"/>
      <c r="DO751" s="60"/>
      <c r="DP751" s="60"/>
      <c r="DQ751" s="60"/>
      <c r="DR751" s="60"/>
      <c r="DS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0"/>
      <c r="BR752" s="60"/>
      <c r="BS752" s="60"/>
      <c r="BT752" s="60"/>
      <c r="BU752" s="60"/>
      <c r="BV752" s="60"/>
      <c r="BW752" s="60"/>
      <c r="BX752" s="60"/>
      <c r="BY752" s="60"/>
      <c r="BZ752" s="60"/>
      <c r="CA752" s="60"/>
      <c r="CB752" s="60"/>
      <c r="CC752" s="60"/>
      <c r="CD752" s="60"/>
      <c r="CE752" s="60"/>
      <c r="CF752" s="60"/>
      <c r="CG752" s="60"/>
      <c r="CH752" s="60"/>
      <c r="CI752" s="60"/>
      <c r="CJ752" s="60"/>
      <c r="CK752" s="60"/>
      <c r="CL752" s="60"/>
      <c r="CM752" s="60"/>
      <c r="CN752" s="60"/>
      <c r="CO752" s="60"/>
      <c r="CP752" s="60"/>
      <c r="CQ752" s="60"/>
      <c r="CR752" s="60"/>
      <c r="CS752" s="60"/>
      <c r="CT752" s="60"/>
      <c r="CU752" s="60"/>
      <c r="CV752" s="60"/>
      <c r="CW752" s="60"/>
      <c r="CX752" s="60"/>
      <c r="CY752" s="60"/>
      <c r="CZ752" s="60"/>
      <c r="DA752" s="60"/>
      <c r="DB752" s="60"/>
      <c r="DC752" s="60"/>
      <c r="DD752" s="60"/>
      <c r="DE752" s="60"/>
      <c r="DF752" s="60"/>
      <c r="DG752" s="60"/>
      <c r="DH752" s="60"/>
      <c r="DI752" s="60"/>
      <c r="DJ752" s="60"/>
      <c r="DK752" s="60"/>
      <c r="DL752" s="60"/>
      <c r="DM752" s="60"/>
      <c r="DN752" s="60"/>
      <c r="DO752" s="60"/>
      <c r="DP752" s="60"/>
      <c r="DQ752" s="60"/>
      <c r="DR752" s="60"/>
      <c r="DS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60"/>
      <c r="BH753" s="60"/>
      <c r="BI753" s="60"/>
      <c r="BJ753" s="60"/>
      <c r="BK753" s="60"/>
      <c r="BL753" s="60"/>
      <c r="BM753" s="60"/>
      <c r="BN753" s="60"/>
      <c r="BO753" s="60"/>
      <c r="BP753" s="60"/>
      <c r="BQ753" s="60"/>
      <c r="BR753" s="60"/>
      <c r="BS753" s="60"/>
      <c r="BT753" s="60"/>
      <c r="BU753" s="60"/>
      <c r="BV753" s="60"/>
      <c r="BW753" s="60"/>
      <c r="BX753" s="60"/>
      <c r="BY753" s="60"/>
      <c r="BZ753" s="60"/>
      <c r="CA753" s="60"/>
      <c r="CB753" s="60"/>
      <c r="CC753" s="60"/>
      <c r="CD753" s="60"/>
      <c r="CE753" s="60"/>
      <c r="CF753" s="60"/>
      <c r="CG753" s="60"/>
      <c r="CH753" s="60"/>
      <c r="CI753" s="60"/>
      <c r="CJ753" s="60"/>
      <c r="CK753" s="60"/>
      <c r="CL753" s="60"/>
      <c r="CM753" s="60"/>
      <c r="CN753" s="60"/>
      <c r="CO753" s="60"/>
      <c r="CP753" s="60"/>
      <c r="CQ753" s="60"/>
      <c r="CR753" s="60"/>
      <c r="CS753" s="60"/>
      <c r="CT753" s="60"/>
      <c r="CU753" s="60"/>
      <c r="CV753" s="60"/>
      <c r="CW753" s="60"/>
      <c r="CX753" s="60"/>
      <c r="CY753" s="60"/>
      <c r="CZ753" s="60"/>
      <c r="DA753" s="60"/>
      <c r="DB753" s="60"/>
      <c r="DC753" s="60"/>
      <c r="DD753" s="60"/>
      <c r="DE753" s="60"/>
      <c r="DF753" s="60"/>
      <c r="DG753" s="60"/>
      <c r="DH753" s="60"/>
      <c r="DI753" s="60"/>
      <c r="DJ753" s="60"/>
      <c r="DK753" s="60"/>
      <c r="DL753" s="60"/>
      <c r="DM753" s="60"/>
      <c r="DN753" s="60"/>
      <c r="DO753" s="60"/>
      <c r="DP753" s="60"/>
      <c r="DQ753" s="60"/>
      <c r="DR753" s="60"/>
      <c r="DS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  <c r="BG754" s="60"/>
      <c r="BH754" s="60"/>
      <c r="BI754" s="60"/>
      <c r="BJ754" s="60"/>
      <c r="BK754" s="60"/>
      <c r="BL754" s="60"/>
      <c r="BM754" s="60"/>
      <c r="BN754" s="60"/>
      <c r="BO754" s="60"/>
      <c r="BP754" s="60"/>
      <c r="BQ754" s="60"/>
      <c r="BR754" s="60"/>
      <c r="BS754" s="60"/>
      <c r="BT754" s="60"/>
      <c r="BU754" s="60"/>
      <c r="BV754" s="60"/>
      <c r="BW754" s="60"/>
      <c r="BX754" s="60"/>
      <c r="BY754" s="60"/>
      <c r="BZ754" s="60"/>
      <c r="CA754" s="60"/>
      <c r="CB754" s="60"/>
      <c r="CC754" s="60"/>
      <c r="CD754" s="60"/>
      <c r="CE754" s="60"/>
      <c r="CF754" s="60"/>
      <c r="CG754" s="60"/>
      <c r="CH754" s="60"/>
      <c r="CI754" s="60"/>
      <c r="CJ754" s="60"/>
      <c r="CK754" s="60"/>
      <c r="CL754" s="60"/>
      <c r="CM754" s="60"/>
      <c r="CN754" s="60"/>
      <c r="CO754" s="60"/>
      <c r="CP754" s="60"/>
      <c r="CQ754" s="60"/>
      <c r="CR754" s="60"/>
      <c r="CS754" s="60"/>
      <c r="CT754" s="60"/>
      <c r="CU754" s="60"/>
      <c r="CV754" s="60"/>
      <c r="CW754" s="60"/>
      <c r="CX754" s="60"/>
      <c r="CY754" s="60"/>
      <c r="CZ754" s="60"/>
      <c r="DA754" s="60"/>
      <c r="DB754" s="60"/>
      <c r="DC754" s="60"/>
      <c r="DD754" s="60"/>
      <c r="DE754" s="60"/>
      <c r="DF754" s="60"/>
      <c r="DG754" s="60"/>
      <c r="DH754" s="60"/>
      <c r="DI754" s="60"/>
      <c r="DJ754" s="60"/>
      <c r="DK754" s="60"/>
      <c r="DL754" s="60"/>
      <c r="DM754" s="60"/>
      <c r="DN754" s="60"/>
      <c r="DO754" s="60"/>
      <c r="DP754" s="60"/>
      <c r="DQ754" s="60"/>
      <c r="DR754" s="60"/>
      <c r="DS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  <c r="BG755" s="60"/>
      <c r="BH755" s="60"/>
      <c r="BI755" s="60"/>
      <c r="BJ755" s="60"/>
      <c r="BK755" s="60"/>
      <c r="BL755" s="60"/>
      <c r="BM755" s="60"/>
      <c r="BN755" s="60"/>
      <c r="BO755" s="60"/>
      <c r="BP755" s="60"/>
      <c r="BQ755" s="60"/>
      <c r="BR755" s="60"/>
      <c r="BS755" s="60"/>
      <c r="BT755" s="60"/>
      <c r="BU755" s="60"/>
      <c r="BV755" s="60"/>
      <c r="BW755" s="60"/>
      <c r="BX755" s="60"/>
      <c r="BY755" s="60"/>
      <c r="BZ755" s="60"/>
      <c r="CA755" s="60"/>
      <c r="CB755" s="60"/>
      <c r="CC755" s="60"/>
      <c r="CD755" s="60"/>
      <c r="CE755" s="60"/>
      <c r="CF755" s="60"/>
      <c r="CG755" s="60"/>
      <c r="CH755" s="60"/>
      <c r="CI755" s="60"/>
      <c r="CJ755" s="60"/>
      <c r="CK755" s="60"/>
      <c r="CL755" s="60"/>
      <c r="CM755" s="60"/>
      <c r="CN755" s="60"/>
      <c r="CO755" s="60"/>
      <c r="CP755" s="60"/>
      <c r="CQ755" s="60"/>
      <c r="CR755" s="60"/>
      <c r="CS755" s="60"/>
      <c r="CT755" s="60"/>
      <c r="CU755" s="60"/>
      <c r="CV755" s="60"/>
      <c r="CW755" s="60"/>
      <c r="CX755" s="60"/>
      <c r="CY755" s="60"/>
      <c r="CZ755" s="60"/>
      <c r="DA755" s="60"/>
      <c r="DB755" s="60"/>
      <c r="DC755" s="60"/>
      <c r="DD755" s="60"/>
      <c r="DE755" s="60"/>
      <c r="DF755" s="60"/>
      <c r="DG755" s="60"/>
      <c r="DH755" s="60"/>
      <c r="DI755" s="60"/>
      <c r="DJ755" s="60"/>
      <c r="DK755" s="60"/>
      <c r="DL755" s="60"/>
      <c r="DM755" s="60"/>
      <c r="DN755" s="60"/>
      <c r="DO755" s="60"/>
      <c r="DP755" s="60"/>
      <c r="DQ755" s="60"/>
      <c r="DR755" s="60"/>
      <c r="DS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  <c r="BG756" s="60"/>
      <c r="BH756" s="60"/>
      <c r="BI756" s="60"/>
      <c r="BJ756" s="60"/>
      <c r="BK756" s="60"/>
      <c r="BL756" s="60"/>
      <c r="BM756" s="60"/>
      <c r="BN756" s="60"/>
      <c r="BO756" s="60"/>
      <c r="BP756" s="60"/>
      <c r="BQ756" s="60"/>
      <c r="BR756" s="60"/>
      <c r="BS756" s="60"/>
      <c r="BT756" s="60"/>
      <c r="BU756" s="60"/>
      <c r="BV756" s="60"/>
      <c r="BW756" s="60"/>
      <c r="BX756" s="60"/>
      <c r="BY756" s="60"/>
      <c r="BZ756" s="60"/>
      <c r="CA756" s="60"/>
      <c r="CB756" s="60"/>
      <c r="CC756" s="60"/>
      <c r="CD756" s="60"/>
      <c r="CE756" s="60"/>
      <c r="CF756" s="60"/>
      <c r="CG756" s="60"/>
      <c r="CH756" s="60"/>
      <c r="CI756" s="60"/>
      <c r="CJ756" s="60"/>
      <c r="CK756" s="60"/>
      <c r="CL756" s="60"/>
      <c r="CM756" s="60"/>
      <c r="CN756" s="60"/>
      <c r="CO756" s="60"/>
      <c r="CP756" s="60"/>
      <c r="CQ756" s="60"/>
      <c r="CR756" s="60"/>
      <c r="CS756" s="60"/>
      <c r="CT756" s="60"/>
      <c r="CU756" s="60"/>
      <c r="CV756" s="60"/>
      <c r="CW756" s="60"/>
      <c r="CX756" s="60"/>
      <c r="CY756" s="60"/>
      <c r="CZ756" s="60"/>
      <c r="DA756" s="60"/>
      <c r="DB756" s="60"/>
      <c r="DC756" s="60"/>
      <c r="DD756" s="60"/>
      <c r="DE756" s="60"/>
      <c r="DF756" s="60"/>
      <c r="DG756" s="60"/>
      <c r="DH756" s="60"/>
      <c r="DI756" s="60"/>
      <c r="DJ756" s="60"/>
      <c r="DK756" s="60"/>
      <c r="DL756" s="60"/>
      <c r="DM756" s="60"/>
      <c r="DN756" s="60"/>
      <c r="DO756" s="60"/>
      <c r="DP756" s="60"/>
      <c r="DQ756" s="60"/>
      <c r="DR756" s="60"/>
      <c r="DS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0"/>
      <c r="BH757" s="60"/>
      <c r="BI757" s="60"/>
      <c r="BJ757" s="60"/>
      <c r="BK757" s="60"/>
      <c r="BL757" s="60"/>
      <c r="BM757" s="60"/>
      <c r="BN757" s="60"/>
      <c r="BO757" s="60"/>
      <c r="BP757" s="60"/>
      <c r="BQ757" s="60"/>
      <c r="BR757" s="60"/>
      <c r="BS757" s="60"/>
      <c r="BT757" s="60"/>
      <c r="BU757" s="60"/>
      <c r="BV757" s="60"/>
      <c r="BW757" s="60"/>
      <c r="BX757" s="60"/>
      <c r="BY757" s="60"/>
      <c r="BZ757" s="60"/>
      <c r="CA757" s="60"/>
      <c r="CB757" s="60"/>
      <c r="CC757" s="60"/>
      <c r="CD757" s="60"/>
      <c r="CE757" s="60"/>
      <c r="CF757" s="60"/>
      <c r="CG757" s="60"/>
      <c r="CH757" s="60"/>
      <c r="CI757" s="60"/>
      <c r="CJ757" s="60"/>
      <c r="CK757" s="60"/>
      <c r="CL757" s="60"/>
      <c r="CM757" s="60"/>
      <c r="CN757" s="60"/>
      <c r="CO757" s="60"/>
      <c r="CP757" s="60"/>
      <c r="CQ757" s="60"/>
      <c r="CR757" s="60"/>
      <c r="CS757" s="60"/>
      <c r="CT757" s="60"/>
      <c r="CU757" s="60"/>
      <c r="CV757" s="60"/>
      <c r="CW757" s="60"/>
      <c r="CX757" s="60"/>
      <c r="CY757" s="60"/>
      <c r="CZ757" s="60"/>
      <c r="DA757" s="60"/>
      <c r="DB757" s="60"/>
      <c r="DC757" s="60"/>
      <c r="DD757" s="60"/>
      <c r="DE757" s="60"/>
      <c r="DF757" s="60"/>
      <c r="DG757" s="60"/>
      <c r="DH757" s="60"/>
      <c r="DI757" s="60"/>
      <c r="DJ757" s="60"/>
      <c r="DK757" s="60"/>
      <c r="DL757" s="60"/>
      <c r="DM757" s="60"/>
      <c r="DN757" s="60"/>
      <c r="DO757" s="60"/>
      <c r="DP757" s="60"/>
      <c r="DQ757" s="60"/>
      <c r="DR757" s="60"/>
      <c r="DS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  <c r="BG758" s="60"/>
      <c r="BH758" s="60"/>
      <c r="BI758" s="60"/>
      <c r="BJ758" s="60"/>
      <c r="BK758" s="60"/>
      <c r="BL758" s="60"/>
      <c r="BM758" s="60"/>
      <c r="BN758" s="60"/>
      <c r="BO758" s="60"/>
      <c r="BP758" s="60"/>
      <c r="BQ758" s="60"/>
      <c r="BR758" s="60"/>
      <c r="BS758" s="60"/>
      <c r="BT758" s="60"/>
      <c r="BU758" s="60"/>
      <c r="BV758" s="60"/>
      <c r="BW758" s="60"/>
      <c r="BX758" s="60"/>
      <c r="BY758" s="60"/>
      <c r="BZ758" s="60"/>
      <c r="CA758" s="60"/>
      <c r="CB758" s="60"/>
      <c r="CC758" s="60"/>
      <c r="CD758" s="60"/>
      <c r="CE758" s="60"/>
      <c r="CF758" s="60"/>
      <c r="CG758" s="60"/>
      <c r="CH758" s="60"/>
      <c r="CI758" s="60"/>
      <c r="CJ758" s="60"/>
      <c r="CK758" s="60"/>
      <c r="CL758" s="60"/>
      <c r="CM758" s="60"/>
      <c r="CN758" s="60"/>
      <c r="CO758" s="60"/>
      <c r="CP758" s="60"/>
      <c r="CQ758" s="60"/>
      <c r="CR758" s="60"/>
      <c r="CS758" s="60"/>
      <c r="CT758" s="60"/>
      <c r="CU758" s="60"/>
      <c r="CV758" s="60"/>
      <c r="CW758" s="60"/>
      <c r="CX758" s="60"/>
      <c r="CY758" s="60"/>
      <c r="CZ758" s="60"/>
      <c r="DA758" s="60"/>
      <c r="DB758" s="60"/>
      <c r="DC758" s="60"/>
      <c r="DD758" s="60"/>
      <c r="DE758" s="60"/>
      <c r="DF758" s="60"/>
      <c r="DG758" s="60"/>
      <c r="DH758" s="60"/>
      <c r="DI758" s="60"/>
      <c r="DJ758" s="60"/>
      <c r="DK758" s="60"/>
      <c r="DL758" s="60"/>
      <c r="DM758" s="60"/>
      <c r="DN758" s="60"/>
      <c r="DO758" s="60"/>
      <c r="DP758" s="60"/>
      <c r="DQ758" s="60"/>
      <c r="DR758" s="60"/>
      <c r="DS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  <c r="BG759" s="60"/>
      <c r="BH759" s="60"/>
      <c r="BI759" s="60"/>
      <c r="BJ759" s="60"/>
      <c r="BK759" s="60"/>
      <c r="BL759" s="60"/>
      <c r="BM759" s="60"/>
      <c r="BN759" s="60"/>
      <c r="BO759" s="60"/>
      <c r="BP759" s="60"/>
      <c r="BQ759" s="60"/>
      <c r="BR759" s="60"/>
      <c r="BS759" s="60"/>
      <c r="BT759" s="60"/>
      <c r="BU759" s="60"/>
      <c r="BV759" s="60"/>
      <c r="BW759" s="60"/>
      <c r="BX759" s="60"/>
      <c r="BY759" s="60"/>
      <c r="BZ759" s="60"/>
      <c r="CA759" s="60"/>
      <c r="CB759" s="60"/>
      <c r="CC759" s="60"/>
      <c r="CD759" s="60"/>
      <c r="CE759" s="60"/>
      <c r="CF759" s="60"/>
      <c r="CG759" s="60"/>
      <c r="CH759" s="60"/>
      <c r="CI759" s="60"/>
      <c r="CJ759" s="60"/>
      <c r="CK759" s="60"/>
      <c r="CL759" s="60"/>
      <c r="CM759" s="60"/>
      <c r="CN759" s="60"/>
      <c r="CO759" s="60"/>
      <c r="CP759" s="60"/>
      <c r="CQ759" s="60"/>
      <c r="CR759" s="60"/>
      <c r="CS759" s="60"/>
      <c r="CT759" s="60"/>
      <c r="CU759" s="60"/>
      <c r="CV759" s="60"/>
      <c r="CW759" s="60"/>
      <c r="CX759" s="60"/>
      <c r="CY759" s="60"/>
      <c r="CZ759" s="60"/>
      <c r="DA759" s="60"/>
      <c r="DB759" s="60"/>
      <c r="DC759" s="60"/>
      <c r="DD759" s="60"/>
      <c r="DE759" s="60"/>
      <c r="DF759" s="60"/>
      <c r="DG759" s="60"/>
      <c r="DH759" s="60"/>
      <c r="DI759" s="60"/>
      <c r="DJ759" s="60"/>
      <c r="DK759" s="60"/>
      <c r="DL759" s="60"/>
      <c r="DM759" s="60"/>
      <c r="DN759" s="60"/>
      <c r="DO759" s="60"/>
      <c r="DP759" s="60"/>
      <c r="DQ759" s="60"/>
      <c r="DR759" s="60"/>
      <c r="DS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  <c r="BG760" s="60"/>
      <c r="BH760" s="60"/>
      <c r="BI760" s="60"/>
      <c r="BJ760" s="60"/>
      <c r="BK760" s="60"/>
      <c r="BL760" s="60"/>
      <c r="BM760" s="60"/>
      <c r="BN760" s="60"/>
      <c r="BO760" s="60"/>
      <c r="BP760" s="60"/>
      <c r="BQ760" s="60"/>
      <c r="BR760" s="60"/>
      <c r="BS760" s="60"/>
      <c r="BT760" s="60"/>
      <c r="BU760" s="60"/>
      <c r="BV760" s="60"/>
      <c r="BW760" s="60"/>
      <c r="BX760" s="60"/>
      <c r="BY760" s="60"/>
      <c r="BZ760" s="60"/>
      <c r="CA760" s="60"/>
      <c r="CB760" s="60"/>
      <c r="CC760" s="60"/>
      <c r="CD760" s="60"/>
      <c r="CE760" s="60"/>
      <c r="CF760" s="60"/>
      <c r="CG760" s="60"/>
      <c r="CH760" s="60"/>
      <c r="CI760" s="60"/>
      <c r="CJ760" s="60"/>
      <c r="CK760" s="60"/>
      <c r="CL760" s="60"/>
      <c r="CM760" s="60"/>
      <c r="CN760" s="60"/>
      <c r="CO760" s="60"/>
      <c r="CP760" s="60"/>
      <c r="CQ760" s="60"/>
      <c r="CR760" s="60"/>
      <c r="CS760" s="60"/>
      <c r="CT760" s="60"/>
      <c r="CU760" s="60"/>
      <c r="CV760" s="60"/>
      <c r="CW760" s="60"/>
      <c r="CX760" s="60"/>
      <c r="CY760" s="60"/>
      <c r="CZ760" s="60"/>
      <c r="DA760" s="60"/>
      <c r="DB760" s="60"/>
      <c r="DC760" s="60"/>
      <c r="DD760" s="60"/>
      <c r="DE760" s="60"/>
      <c r="DF760" s="60"/>
      <c r="DG760" s="60"/>
      <c r="DH760" s="60"/>
      <c r="DI760" s="60"/>
      <c r="DJ760" s="60"/>
      <c r="DK760" s="60"/>
      <c r="DL760" s="60"/>
      <c r="DM760" s="60"/>
      <c r="DN760" s="60"/>
      <c r="DO760" s="60"/>
      <c r="DP760" s="60"/>
      <c r="DQ760" s="60"/>
      <c r="DR760" s="60"/>
      <c r="DS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  <c r="BG761" s="60"/>
      <c r="BH761" s="60"/>
      <c r="BI761" s="60"/>
      <c r="BJ761" s="60"/>
      <c r="BK761" s="60"/>
      <c r="BL761" s="60"/>
      <c r="BM761" s="60"/>
      <c r="BN761" s="60"/>
      <c r="BO761" s="60"/>
      <c r="BP761" s="60"/>
      <c r="BQ761" s="60"/>
      <c r="BR761" s="60"/>
      <c r="BS761" s="60"/>
      <c r="BT761" s="60"/>
      <c r="BU761" s="60"/>
      <c r="BV761" s="60"/>
      <c r="BW761" s="60"/>
      <c r="BX761" s="60"/>
      <c r="BY761" s="60"/>
      <c r="BZ761" s="60"/>
      <c r="CA761" s="60"/>
      <c r="CB761" s="60"/>
      <c r="CC761" s="60"/>
      <c r="CD761" s="60"/>
      <c r="CE761" s="60"/>
      <c r="CF761" s="60"/>
      <c r="CG761" s="60"/>
      <c r="CH761" s="60"/>
      <c r="CI761" s="60"/>
      <c r="CJ761" s="60"/>
      <c r="CK761" s="60"/>
      <c r="CL761" s="60"/>
      <c r="CM761" s="60"/>
      <c r="CN761" s="60"/>
      <c r="CO761" s="60"/>
      <c r="CP761" s="60"/>
      <c r="CQ761" s="60"/>
      <c r="CR761" s="60"/>
      <c r="CS761" s="60"/>
      <c r="CT761" s="60"/>
      <c r="CU761" s="60"/>
      <c r="CV761" s="60"/>
      <c r="CW761" s="60"/>
      <c r="CX761" s="60"/>
      <c r="CY761" s="60"/>
      <c r="CZ761" s="60"/>
      <c r="DA761" s="60"/>
      <c r="DB761" s="60"/>
      <c r="DC761" s="60"/>
      <c r="DD761" s="60"/>
      <c r="DE761" s="60"/>
      <c r="DF761" s="60"/>
      <c r="DG761" s="60"/>
      <c r="DH761" s="60"/>
      <c r="DI761" s="60"/>
      <c r="DJ761" s="60"/>
      <c r="DK761" s="60"/>
      <c r="DL761" s="60"/>
      <c r="DM761" s="60"/>
      <c r="DN761" s="60"/>
      <c r="DO761" s="60"/>
      <c r="DP761" s="60"/>
      <c r="DQ761" s="60"/>
      <c r="DR761" s="60"/>
      <c r="DS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  <c r="BG762" s="60"/>
      <c r="BH762" s="60"/>
      <c r="BI762" s="60"/>
      <c r="BJ762" s="60"/>
      <c r="BK762" s="60"/>
      <c r="BL762" s="60"/>
      <c r="BM762" s="60"/>
      <c r="BN762" s="60"/>
      <c r="BO762" s="60"/>
      <c r="BP762" s="60"/>
      <c r="BQ762" s="60"/>
      <c r="BR762" s="60"/>
      <c r="BS762" s="60"/>
      <c r="BT762" s="60"/>
      <c r="BU762" s="60"/>
      <c r="BV762" s="60"/>
      <c r="BW762" s="60"/>
      <c r="BX762" s="60"/>
      <c r="BY762" s="60"/>
      <c r="BZ762" s="60"/>
      <c r="CA762" s="60"/>
      <c r="CB762" s="60"/>
      <c r="CC762" s="60"/>
      <c r="CD762" s="60"/>
      <c r="CE762" s="60"/>
      <c r="CF762" s="60"/>
      <c r="CG762" s="60"/>
      <c r="CH762" s="60"/>
      <c r="CI762" s="60"/>
      <c r="CJ762" s="60"/>
      <c r="CK762" s="60"/>
      <c r="CL762" s="60"/>
      <c r="CM762" s="60"/>
      <c r="CN762" s="60"/>
      <c r="CO762" s="60"/>
      <c r="CP762" s="60"/>
      <c r="CQ762" s="60"/>
      <c r="CR762" s="60"/>
      <c r="CS762" s="60"/>
      <c r="CT762" s="60"/>
      <c r="CU762" s="60"/>
      <c r="CV762" s="60"/>
      <c r="CW762" s="60"/>
      <c r="CX762" s="60"/>
      <c r="CY762" s="60"/>
      <c r="CZ762" s="60"/>
      <c r="DA762" s="60"/>
      <c r="DB762" s="60"/>
      <c r="DC762" s="60"/>
      <c r="DD762" s="60"/>
      <c r="DE762" s="60"/>
      <c r="DF762" s="60"/>
      <c r="DG762" s="60"/>
      <c r="DH762" s="60"/>
      <c r="DI762" s="60"/>
      <c r="DJ762" s="60"/>
      <c r="DK762" s="60"/>
      <c r="DL762" s="60"/>
      <c r="DM762" s="60"/>
      <c r="DN762" s="60"/>
      <c r="DO762" s="60"/>
      <c r="DP762" s="60"/>
      <c r="DQ762" s="60"/>
      <c r="DR762" s="60"/>
      <c r="DS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60"/>
      <c r="BH763" s="60"/>
      <c r="BI763" s="60"/>
      <c r="BJ763" s="60"/>
      <c r="BK763" s="60"/>
      <c r="BL763" s="60"/>
      <c r="BM763" s="60"/>
      <c r="BN763" s="60"/>
      <c r="BO763" s="60"/>
      <c r="BP763" s="60"/>
      <c r="BQ763" s="60"/>
      <c r="BR763" s="60"/>
      <c r="BS763" s="60"/>
      <c r="BT763" s="60"/>
      <c r="BU763" s="60"/>
      <c r="BV763" s="60"/>
      <c r="BW763" s="60"/>
      <c r="BX763" s="60"/>
      <c r="BY763" s="60"/>
      <c r="BZ763" s="60"/>
      <c r="CA763" s="60"/>
      <c r="CB763" s="60"/>
      <c r="CC763" s="60"/>
      <c r="CD763" s="60"/>
      <c r="CE763" s="60"/>
      <c r="CF763" s="60"/>
      <c r="CG763" s="60"/>
      <c r="CH763" s="60"/>
      <c r="CI763" s="60"/>
      <c r="CJ763" s="60"/>
      <c r="CK763" s="60"/>
      <c r="CL763" s="60"/>
      <c r="CM763" s="60"/>
      <c r="CN763" s="60"/>
      <c r="CO763" s="60"/>
      <c r="CP763" s="60"/>
      <c r="CQ763" s="60"/>
      <c r="CR763" s="60"/>
      <c r="CS763" s="60"/>
      <c r="CT763" s="60"/>
      <c r="CU763" s="60"/>
      <c r="CV763" s="60"/>
      <c r="CW763" s="60"/>
      <c r="CX763" s="60"/>
      <c r="CY763" s="60"/>
      <c r="CZ763" s="60"/>
      <c r="DA763" s="60"/>
      <c r="DB763" s="60"/>
      <c r="DC763" s="60"/>
      <c r="DD763" s="60"/>
      <c r="DE763" s="60"/>
      <c r="DF763" s="60"/>
      <c r="DG763" s="60"/>
      <c r="DH763" s="60"/>
      <c r="DI763" s="60"/>
      <c r="DJ763" s="60"/>
      <c r="DK763" s="60"/>
      <c r="DL763" s="60"/>
      <c r="DM763" s="60"/>
      <c r="DN763" s="60"/>
      <c r="DO763" s="60"/>
      <c r="DP763" s="60"/>
      <c r="DQ763" s="60"/>
      <c r="DR763" s="60"/>
      <c r="DS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  <c r="BG764" s="60"/>
      <c r="BH764" s="60"/>
      <c r="BI764" s="60"/>
      <c r="BJ764" s="60"/>
      <c r="BK764" s="60"/>
      <c r="BL764" s="60"/>
      <c r="BM764" s="60"/>
      <c r="BN764" s="60"/>
      <c r="BO764" s="60"/>
      <c r="BP764" s="60"/>
      <c r="BQ764" s="60"/>
      <c r="BR764" s="60"/>
      <c r="BS764" s="60"/>
      <c r="BT764" s="60"/>
      <c r="BU764" s="60"/>
      <c r="BV764" s="60"/>
      <c r="BW764" s="60"/>
      <c r="BX764" s="60"/>
      <c r="BY764" s="60"/>
      <c r="BZ764" s="60"/>
      <c r="CA764" s="60"/>
      <c r="CB764" s="60"/>
      <c r="CC764" s="60"/>
      <c r="CD764" s="60"/>
      <c r="CE764" s="60"/>
      <c r="CF764" s="60"/>
      <c r="CG764" s="60"/>
      <c r="CH764" s="60"/>
      <c r="CI764" s="60"/>
      <c r="CJ764" s="60"/>
      <c r="CK764" s="60"/>
      <c r="CL764" s="60"/>
      <c r="CM764" s="60"/>
      <c r="CN764" s="60"/>
      <c r="CO764" s="60"/>
      <c r="CP764" s="60"/>
      <c r="CQ764" s="60"/>
      <c r="CR764" s="60"/>
      <c r="CS764" s="60"/>
      <c r="CT764" s="60"/>
      <c r="CU764" s="60"/>
      <c r="CV764" s="60"/>
      <c r="CW764" s="60"/>
      <c r="CX764" s="60"/>
      <c r="CY764" s="60"/>
      <c r="CZ764" s="60"/>
      <c r="DA764" s="60"/>
      <c r="DB764" s="60"/>
      <c r="DC764" s="60"/>
      <c r="DD764" s="60"/>
      <c r="DE764" s="60"/>
      <c r="DF764" s="60"/>
      <c r="DG764" s="60"/>
      <c r="DH764" s="60"/>
      <c r="DI764" s="60"/>
      <c r="DJ764" s="60"/>
      <c r="DK764" s="60"/>
      <c r="DL764" s="60"/>
      <c r="DM764" s="60"/>
      <c r="DN764" s="60"/>
      <c r="DO764" s="60"/>
      <c r="DP764" s="60"/>
      <c r="DQ764" s="60"/>
      <c r="DR764" s="60"/>
      <c r="DS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60"/>
      <c r="BH765" s="60"/>
      <c r="BI765" s="60"/>
      <c r="BJ765" s="60"/>
      <c r="BK765" s="60"/>
      <c r="BL765" s="60"/>
      <c r="BM765" s="60"/>
      <c r="BN765" s="60"/>
      <c r="BO765" s="60"/>
      <c r="BP765" s="60"/>
      <c r="BQ765" s="60"/>
      <c r="BR765" s="60"/>
      <c r="BS765" s="60"/>
      <c r="BT765" s="60"/>
      <c r="BU765" s="60"/>
      <c r="BV765" s="60"/>
      <c r="BW765" s="60"/>
      <c r="BX765" s="60"/>
      <c r="BY765" s="60"/>
      <c r="BZ765" s="60"/>
      <c r="CA765" s="60"/>
      <c r="CB765" s="60"/>
      <c r="CC765" s="60"/>
      <c r="CD765" s="60"/>
      <c r="CE765" s="60"/>
      <c r="CF765" s="60"/>
      <c r="CG765" s="60"/>
      <c r="CH765" s="60"/>
      <c r="CI765" s="60"/>
      <c r="CJ765" s="60"/>
      <c r="CK765" s="60"/>
      <c r="CL765" s="60"/>
      <c r="CM765" s="60"/>
      <c r="CN765" s="60"/>
      <c r="CO765" s="60"/>
      <c r="CP765" s="60"/>
      <c r="CQ765" s="60"/>
      <c r="CR765" s="60"/>
      <c r="CS765" s="60"/>
      <c r="CT765" s="60"/>
      <c r="CU765" s="60"/>
      <c r="CV765" s="60"/>
      <c r="CW765" s="60"/>
      <c r="CX765" s="60"/>
      <c r="CY765" s="60"/>
      <c r="CZ765" s="60"/>
      <c r="DA765" s="60"/>
      <c r="DB765" s="60"/>
      <c r="DC765" s="60"/>
      <c r="DD765" s="60"/>
      <c r="DE765" s="60"/>
      <c r="DF765" s="60"/>
      <c r="DG765" s="60"/>
      <c r="DH765" s="60"/>
      <c r="DI765" s="60"/>
      <c r="DJ765" s="60"/>
      <c r="DK765" s="60"/>
      <c r="DL765" s="60"/>
      <c r="DM765" s="60"/>
      <c r="DN765" s="60"/>
      <c r="DO765" s="60"/>
      <c r="DP765" s="60"/>
      <c r="DQ765" s="60"/>
      <c r="DR765" s="60"/>
      <c r="DS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  <c r="BG766" s="60"/>
      <c r="BH766" s="60"/>
      <c r="BI766" s="60"/>
      <c r="BJ766" s="60"/>
      <c r="BK766" s="60"/>
      <c r="BL766" s="60"/>
      <c r="BM766" s="60"/>
      <c r="BN766" s="60"/>
      <c r="BO766" s="60"/>
      <c r="BP766" s="60"/>
      <c r="BQ766" s="60"/>
      <c r="BR766" s="60"/>
      <c r="BS766" s="60"/>
      <c r="BT766" s="60"/>
      <c r="BU766" s="60"/>
      <c r="BV766" s="60"/>
      <c r="BW766" s="60"/>
      <c r="BX766" s="60"/>
      <c r="BY766" s="60"/>
      <c r="BZ766" s="60"/>
      <c r="CA766" s="60"/>
      <c r="CB766" s="60"/>
      <c r="CC766" s="60"/>
      <c r="CD766" s="60"/>
      <c r="CE766" s="60"/>
      <c r="CF766" s="60"/>
      <c r="CG766" s="60"/>
      <c r="CH766" s="60"/>
      <c r="CI766" s="60"/>
      <c r="CJ766" s="60"/>
      <c r="CK766" s="60"/>
      <c r="CL766" s="60"/>
      <c r="CM766" s="60"/>
      <c r="CN766" s="60"/>
      <c r="CO766" s="60"/>
      <c r="CP766" s="60"/>
      <c r="CQ766" s="60"/>
      <c r="CR766" s="60"/>
      <c r="CS766" s="60"/>
      <c r="CT766" s="60"/>
      <c r="CU766" s="60"/>
      <c r="CV766" s="60"/>
      <c r="CW766" s="60"/>
      <c r="CX766" s="60"/>
      <c r="CY766" s="60"/>
      <c r="CZ766" s="60"/>
      <c r="DA766" s="60"/>
      <c r="DB766" s="60"/>
      <c r="DC766" s="60"/>
      <c r="DD766" s="60"/>
      <c r="DE766" s="60"/>
      <c r="DF766" s="60"/>
      <c r="DG766" s="60"/>
      <c r="DH766" s="60"/>
      <c r="DI766" s="60"/>
      <c r="DJ766" s="60"/>
      <c r="DK766" s="60"/>
      <c r="DL766" s="60"/>
      <c r="DM766" s="60"/>
      <c r="DN766" s="60"/>
      <c r="DO766" s="60"/>
      <c r="DP766" s="60"/>
      <c r="DQ766" s="60"/>
      <c r="DR766" s="60"/>
      <c r="DS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60"/>
      <c r="BH767" s="60"/>
      <c r="BI767" s="60"/>
      <c r="BJ767" s="60"/>
      <c r="BK767" s="60"/>
      <c r="BL767" s="60"/>
      <c r="BM767" s="60"/>
      <c r="BN767" s="60"/>
      <c r="BO767" s="60"/>
      <c r="BP767" s="60"/>
      <c r="BQ767" s="60"/>
      <c r="BR767" s="60"/>
      <c r="BS767" s="60"/>
      <c r="BT767" s="60"/>
      <c r="BU767" s="60"/>
      <c r="BV767" s="60"/>
      <c r="BW767" s="60"/>
      <c r="BX767" s="60"/>
      <c r="BY767" s="60"/>
      <c r="BZ767" s="60"/>
      <c r="CA767" s="60"/>
      <c r="CB767" s="60"/>
      <c r="CC767" s="60"/>
      <c r="CD767" s="60"/>
      <c r="CE767" s="60"/>
      <c r="CF767" s="60"/>
      <c r="CG767" s="60"/>
      <c r="CH767" s="60"/>
      <c r="CI767" s="60"/>
      <c r="CJ767" s="60"/>
      <c r="CK767" s="60"/>
      <c r="CL767" s="60"/>
      <c r="CM767" s="60"/>
      <c r="CN767" s="60"/>
      <c r="CO767" s="60"/>
      <c r="CP767" s="60"/>
      <c r="CQ767" s="60"/>
      <c r="CR767" s="60"/>
      <c r="CS767" s="60"/>
      <c r="CT767" s="60"/>
      <c r="CU767" s="60"/>
      <c r="CV767" s="60"/>
      <c r="CW767" s="60"/>
      <c r="CX767" s="60"/>
      <c r="CY767" s="60"/>
      <c r="CZ767" s="60"/>
      <c r="DA767" s="60"/>
      <c r="DB767" s="60"/>
      <c r="DC767" s="60"/>
      <c r="DD767" s="60"/>
      <c r="DE767" s="60"/>
      <c r="DF767" s="60"/>
      <c r="DG767" s="60"/>
      <c r="DH767" s="60"/>
      <c r="DI767" s="60"/>
      <c r="DJ767" s="60"/>
      <c r="DK767" s="60"/>
      <c r="DL767" s="60"/>
      <c r="DM767" s="60"/>
      <c r="DN767" s="60"/>
      <c r="DO767" s="60"/>
      <c r="DP767" s="60"/>
      <c r="DQ767" s="60"/>
      <c r="DR767" s="60"/>
      <c r="DS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  <c r="BG768" s="60"/>
      <c r="BH768" s="60"/>
      <c r="BI768" s="60"/>
      <c r="BJ768" s="60"/>
      <c r="BK768" s="60"/>
      <c r="BL768" s="60"/>
      <c r="BM768" s="60"/>
      <c r="BN768" s="60"/>
      <c r="BO768" s="60"/>
      <c r="BP768" s="60"/>
      <c r="BQ768" s="60"/>
      <c r="BR768" s="60"/>
      <c r="BS768" s="60"/>
      <c r="BT768" s="60"/>
      <c r="BU768" s="60"/>
      <c r="BV768" s="60"/>
      <c r="BW768" s="60"/>
      <c r="BX768" s="60"/>
      <c r="BY768" s="60"/>
      <c r="BZ768" s="60"/>
      <c r="CA768" s="60"/>
      <c r="CB768" s="60"/>
      <c r="CC768" s="60"/>
      <c r="CD768" s="60"/>
      <c r="CE768" s="60"/>
      <c r="CF768" s="60"/>
      <c r="CG768" s="60"/>
      <c r="CH768" s="60"/>
      <c r="CI768" s="60"/>
      <c r="CJ768" s="60"/>
      <c r="CK768" s="60"/>
      <c r="CL768" s="60"/>
      <c r="CM768" s="60"/>
      <c r="CN768" s="60"/>
      <c r="CO768" s="60"/>
      <c r="CP768" s="60"/>
      <c r="CQ768" s="60"/>
      <c r="CR768" s="60"/>
      <c r="CS768" s="60"/>
      <c r="CT768" s="60"/>
      <c r="CU768" s="60"/>
      <c r="CV768" s="60"/>
      <c r="CW768" s="60"/>
      <c r="CX768" s="60"/>
      <c r="CY768" s="60"/>
      <c r="CZ768" s="60"/>
      <c r="DA768" s="60"/>
      <c r="DB768" s="60"/>
      <c r="DC768" s="60"/>
      <c r="DD768" s="60"/>
      <c r="DE768" s="60"/>
      <c r="DF768" s="60"/>
      <c r="DG768" s="60"/>
      <c r="DH768" s="60"/>
      <c r="DI768" s="60"/>
      <c r="DJ768" s="60"/>
      <c r="DK768" s="60"/>
      <c r="DL768" s="60"/>
      <c r="DM768" s="60"/>
      <c r="DN768" s="60"/>
      <c r="DO768" s="60"/>
      <c r="DP768" s="60"/>
      <c r="DQ768" s="60"/>
      <c r="DR768" s="60"/>
      <c r="DS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  <c r="BG769" s="60"/>
      <c r="BH769" s="60"/>
      <c r="BI769" s="60"/>
      <c r="BJ769" s="60"/>
      <c r="BK769" s="60"/>
      <c r="BL769" s="60"/>
      <c r="BM769" s="60"/>
      <c r="BN769" s="60"/>
      <c r="BO769" s="60"/>
      <c r="BP769" s="60"/>
      <c r="BQ769" s="60"/>
      <c r="BR769" s="60"/>
      <c r="BS769" s="60"/>
      <c r="BT769" s="60"/>
      <c r="BU769" s="60"/>
      <c r="BV769" s="60"/>
      <c r="BW769" s="60"/>
      <c r="BX769" s="60"/>
      <c r="BY769" s="60"/>
      <c r="BZ769" s="60"/>
      <c r="CA769" s="60"/>
      <c r="CB769" s="60"/>
      <c r="CC769" s="60"/>
      <c r="CD769" s="60"/>
      <c r="CE769" s="60"/>
      <c r="CF769" s="60"/>
      <c r="CG769" s="60"/>
      <c r="CH769" s="60"/>
      <c r="CI769" s="60"/>
      <c r="CJ769" s="60"/>
      <c r="CK769" s="60"/>
      <c r="CL769" s="60"/>
      <c r="CM769" s="60"/>
      <c r="CN769" s="60"/>
      <c r="CO769" s="60"/>
      <c r="CP769" s="60"/>
      <c r="CQ769" s="60"/>
      <c r="CR769" s="60"/>
      <c r="CS769" s="60"/>
      <c r="CT769" s="60"/>
      <c r="CU769" s="60"/>
      <c r="CV769" s="60"/>
      <c r="CW769" s="60"/>
      <c r="CX769" s="60"/>
      <c r="CY769" s="60"/>
      <c r="CZ769" s="60"/>
      <c r="DA769" s="60"/>
      <c r="DB769" s="60"/>
      <c r="DC769" s="60"/>
      <c r="DD769" s="60"/>
      <c r="DE769" s="60"/>
      <c r="DF769" s="60"/>
      <c r="DG769" s="60"/>
      <c r="DH769" s="60"/>
      <c r="DI769" s="60"/>
      <c r="DJ769" s="60"/>
      <c r="DK769" s="60"/>
      <c r="DL769" s="60"/>
      <c r="DM769" s="60"/>
      <c r="DN769" s="60"/>
      <c r="DO769" s="60"/>
      <c r="DP769" s="60"/>
      <c r="DQ769" s="60"/>
      <c r="DR769" s="60"/>
      <c r="DS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  <c r="BG770" s="60"/>
      <c r="BH770" s="60"/>
      <c r="BI770" s="60"/>
      <c r="BJ770" s="60"/>
      <c r="BK770" s="60"/>
      <c r="BL770" s="60"/>
      <c r="BM770" s="60"/>
      <c r="BN770" s="60"/>
      <c r="BO770" s="60"/>
      <c r="BP770" s="60"/>
      <c r="BQ770" s="60"/>
      <c r="BR770" s="60"/>
      <c r="BS770" s="60"/>
      <c r="BT770" s="60"/>
      <c r="BU770" s="60"/>
      <c r="BV770" s="60"/>
      <c r="BW770" s="60"/>
      <c r="BX770" s="60"/>
      <c r="BY770" s="60"/>
      <c r="BZ770" s="60"/>
      <c r="CA770" s="60"/>
      <c r="CB770" s="60"/>
      <c r="CC770" s="60"/>
      <c r="CD770" s="60"/>
      <c r="CE770" s="60"/>
      <c r="CF770" s="60"/>
      <c r="CG770" s="60"/>
      <c r="CH770" s="60"/>
      <c r="CI770" s="60"/>
      <c r="CJ770" s="60"/>
      <c r="CK770" s="60"/>
      <c r="CL770" s="60"/>
      <c r="CM770" s="60"/>
      <c r="CN770" s="60"/>
      <c r="CO770" s="60"/>
      <c r="CP770" s="60"/>
      <c r="CQ770" s="60"/>
      <c r="CR770" s="60"/>
      <c r="CS770" s="60"/>
      <c r="CT770" s="60"/>
      <c r="CU770" s="60"/>
      <c r="CV770" s="60"/>
      <c r="CW770" s="60"/>
      <c r="CX770" s="60"/>
      <c r="CY770" s="60"/>
      <c r="CZ770" s="60"/>
      <c r="DA770" s="60"/>
      <c r="DB770" s="60"/>
      <c r="DC770" s="60"/>
      <c r="DD770" s="60"/>
      <c r="DE770" s="60"/>
      <c r="DF770" s="60"/>
      <c r="DG770" s="60"/>
      <c r="DH770" s="60"/>
      <c r="DI770" s="60"/>
      <c r="DJ770" s="60"/>
      <c r="DK770" s="60"/>
      <c r="DL770" s="60"/>
      <c r="DM770" s="60"/>
      <c r="DN770" s="60"/>
      <c r="DO770" s="60"/>
      <c r="DP770" s="60"/>
      <c r="DQ770" s="60"/>
      <c r="DR770" s="60"/>
      <c r="DS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  <c r="BG771" s="60"/>
      <c r="BH771" s="60"/>
      <c r="BI771" s="60"/>
      <c r="BJ771" s="60"/>
      <c r="BK771" s="60"/>
      <c r="BL771" s="60"/>
      <c r="BM771" s="60"/>
      <c r="BN771" s="60"/>
      <c r="BO771" s="60"/>
      <c r="BP771" s="60"/>
      <c r="BQ771" s="60"/>
      <c r="BR771" s="60"/>
      <c r="BS771" s="60"/>
      <c r="BT771" s="60"/>
      <c r="BU771" s="60"/>
      <c r="BV771" s="60"/>
      <c r="BW771" s="60"/>
      <c r="BX771" s="60"/>
      <c r="BY771" s="60"/>
      <c r="BZ771" s="60"/>
      <c r="CA771" s="60"/>
      <c r="CB771" s="60"/>
      <c r="CC771" s="60"/>
      <c r="CD771" s="60"/>
      <c r="CE771" s="60"/>
      <c r="CF771" s="60"/>
      <c r="CG771" s="60"/>
      <c r="CH771" s="60"/>
      <c r="CI771" s="60"/>
      <c r="CJ771" s="60"/>
      <c r="CK771" s="60"/>
      <c r="CL771" s="60"/>
      <c r="CM771" s="60"/>
      <c r="CN771" s="60"/>
      <c r="CO771" s="60"/>
      <c r="CP771" s="60"/>
      <c r="CQ771" s="60"/>
      <c r="CR771" s="60"/>
      <c r="CS771" s="60"/>
      <c r="CT771" s="60"/>
      <c r="CU771" s="60"/>
      <c r="CV771" s="60"/>
      <c r="CW771" s="60"/>
      <c r="CX771" s="60"/>
      <c r="CY771" s="60"/>
      <c r="CZ771" s="60"/>
      <c r="DA771" s="60"/>
      <c r="DB771" s="60"/>
      <c r="DC771" s="60"/>
      <c r="DD771" s="60"/>
      <c r="DE771" s="60"/>
      <c r="DF771" s="60"/>
      <c r="DG771" s="60"/>
      <c r="DH771" s="60"/>
      <c r="DI771" s="60"/>
      <c r="DJ771" s="60"/>
      <c r="DK771" s="60"/>
      <c r="DL771" s="60"/>
      <c r="DM771" s="60"/>
      <c r="DN771" s="60"/>
      <c r="DO771" s="60"/>
      <c r="DP771" s="60"/>
      <c r="DQ771" s="60"/>
      <c r="DR771" s="60"/>
      <c r="DS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  <c r="BO772" s="60"/>
      <c r="BP772" s="60"/>
      <c r="BQ772" s="60"/>
      <c r="BR772" s="60"/>
      <c r="BS772" s="60"/>
      <c r="BT772" s="60"/>
      <c r="BU772" s="60"/>
      <c r="BV772" s="60"/>
      <c r="BW772" s="60"/>
      <c r="BX772" s="60"/>
      <c r="BY772" s="60"/>
      <c r="BZ772" s="60"/>
      <c r="CA772" s="60"/>
      <c r="CB772" s="60"/>
      <c r="CC772" s="60"/>
      <c r="CD772" s="60"/>
      <c r="CE772" s="60"/>
      <c r="CF772" s="60"/>
      <c r="CG772" s="60"/>
      <c r="CH772" s="60"/>
      <c r="CI772" s="60"/>
      <c r="CJ772" s="60"/>
      <c r="CK772" s="60"/>
      <c r="CL772" s="60"/>
      <c r="CM772" s="60"/>
      <c r="CN772" s="60"/>
      <c r="CO772" s="60"/>
      <c r="CP772" s="60"/>
      <c r="CQ772" s="60"/>
      <c r="CR772" s="60"/>
      <c r="CS772" s="60"/>
      <c r="CT772" s="60"/>
      <c r="CU772" s="60"/>
      <c r="CV772" s="60"/>
      <c r="CW772" s="60"/>
      <c r="CX772" s="60"/>
      <c r="CY772" s="60"/>
      <c r="CZ772" s="60"/>
      <c r="DA772" s="60"/>
      <c r="DB772" s="60"/>
      <c r="DC772" s="60"/>
      <c r="DD772" s="60"/>
      <c r="DE772" s="60"/>
      <c r="DF772" s="60"/>
      <c r="DG772" s="60"/>
      <c r="DH772" s="60"/>
      <c r="DI772" s="60"/>
      <c r="DJ772" s="60"/>
      <c r="DK772" s="60"/>
      <c r="DL772" s="60"/>
      <c r="DM772" s="60"/>
      <c r="DN772" s="60"/>
      <c r="DO772" s="60"/>
      <c r="DP772" s="60"/>
      <c r="DQ772" s="60"/>
      <c r="DR772" s="60"/>
      <c r="DS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60"/>
      <c r="BH773" s="60"/>
      <c r="BI773" s="60"/>
      <c r="BJ773" s="60"/>
      <c r="BK773" s="60"/>
      <c r="BL773" s="60"/>
      <c r="BM773" s="60"/>
      <c r="BN773" s="60"/>
      <c r="BO773" s="60"/>
      <c r="BP773" s="60"/>
      <c r="BQ773" s="60"/>
      <c r="BR773" s="60"/>
      <c r="BS773" s="60"/>
      <c r="BT773" s="60"/>
      <c r="BU773" s="60"/>
      <c r="BV773" s="60"/>
      <c r="BW773" s="60"/>
      <c r="BX773" s="60"/>
      <c r="BY773" s="60"/>
      <c r="BZ773" s="60"/>
      <c r="CA773" s="60"/>
      <c r="CB773" s="60"/>
      <c r="CC773" s="60"/>
      <c r="CD773" s="60"/>
      <c r="CE773" s="60"/>
      <c r="CF773" s="60"/>
      <c r="CG773" s="60"/>
      <c r="CH773" s="60"/>
      <c r="CI773" s="60"/>
      <c r="CJ773" s="60"/>
      <c r="CK773" s="60"/>
      <c r="CL773" s="60"/>
      <c r="CM773" s="60"/>
      <c r="CN773" s="60"/>
      <c r="CO773" s="60"/>
      <c r="CP773" s="60"/>
      <c r="CQ773" s="60"/>
      <c r="CR773" s="60"/>
      <c r="CS773" s="60"/>
      <c r="CT773" s="60"/>
      <c r="CU773" s="60"/>
      <c r="CV773" s="60"/>
      <c r="CW773" s="60"/>
      <c r="CX773" s="60"/>
      <c r="CY773" s="60"/>
      <c r="CZ773" s="60"/>
      <c r="DA773" s="60"/>
      <c r="DB773" s="60"/>
      <c r="DC773" s="60"/>
      <c r="DD773" s="60"/>
      <c r="DE773" s="60"/>
      <c r="DF773" s="60"/>
      <c r="DG773" s="60"/>
      <c r="DH773" s="60"/>
      <c r="DI773" s="60"/>
      <c r="DJ773" s="60"/>
      <c r="DK773" s="60"/>
      <c r="DL773" s="60"/>
      <c r="DM773" s="60"/>
      <c r="DN773" s="60"/>
      <c r="DO773" s="60"/>
      <c r="DP773" s="60"/>
      <c r="DQ773" s="60"/>
      <c r="DR773" s="60"/>
      <c r="DS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  <c r="BG774" s="60"/>
      <c r="BH774" s="60"/>
      <c r="BI774" s="60"/>
      <c r="BJ774" s="60"/>
      <c r="BK774" s="60"/>
      <c r="BL774" s="60"/>
      <c r="BM774" s="60"/>
      <c r="BN774" s="60"/>
      <c r="BO774" s="60"/>
      <c r="BP774" s="60"/>
      <c r="BQ774" s="60"/>
      <c r="BR774" s="60"/>
      <c r="BS774" s="60"/>
      <c r="BT774" s="60"/>
      <c r="BU774" s="60"/>
      <c r="BV774" s="60"/>
      <c r="BW774" s="60"/>
      <c r="BX774" s="60"/>
      <c r="BY774" s="60"/>
      <c r="BZ774" s="60"/>
      <c r="CA774" s="60"/>
      <c r="CB774" s="60"/>
      <c r="CC774" s="60"/>
      <c r="CD774" s="60"/>
      <c r="CE774" s="60"/>
      <c r="CF774" s="60"/>
      <c r="CG774" s="60"/>
      <c r="CH774" s="60"/>
      <c r="CI774" s="60"/>
      <c r="CJ774" s="60"/>
      <c r="CK774" s="60"/>
      <c r="CL774" s="60"/>
      <c r="CM774" s="60"/>
      <c r="CN774" s="60"/>
      <c r="CO774" s="60"/>
      <c r="CP774" s="60"/>
      <c r="CQ774" s="60"/>
      <c r="CR774" s="60"/>
      <c r="CS774" s="60"/>
      <c r="CT774" s="60"/>
      <c r="CU774" s="60"/>
      <c r="CV774" s="60"/>
      <c r="CW774" s="60"/>
      <c r="CX774" s="60"/>
      <c r="CY774" s="60"/>
      <c r="CZ774" s="60"/>
      <c r="DA774" s="60"/>
      <c r="DB774" s="60"/>
      <c r="DC774" s="60"/>
      <c r="DD774" s="60"/>
      <c r="DE774" s="60"/>
      <c r="DF774" s="60"/>
      <c r="DG774" s="60"/>
      <c r="DH774" s="60"/>
      <c r="DI774" s="60"/>
      <c r="DJ774" s="60"/>
      <c r="DK774" s="60"/>
      <c r="DL774" s="60"/>
      <c r="DM774" s="60"/>
      <c r="DN774" s="60"/>
      <c r="DO774" s="60"/>
      <c r="DP774" s="60"/>
      <c r="DQ774" s="60"/>
      <c r="DR774" s="60"/>
      <c r="DS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60"/>
      <c r="BH775" s="60"/>
      <c r="BI775" s="60"/>
      <c r="BJ775" s="60"/>
      <c r="BK775" s="60"/>
      <c r="BL775" s="60"/>
      <c r="BM775" s="60"/>
      <c r="BN775" s="60"/>
      <c r="BO775" s="60"/>
      <c r="BP775" s="60"/>
      <c r="BQ775" s="60"/>
      <c r="BR775" s="60"/>
      <c r="BS775" s="60"/>
      <c r="BT775" s="60"/>
      <c r="BU775" s="60"/>
      <c r="BV775" s="60"/>
      <c r="BW775" s="60"/>
      <c r="BX775" s="60"/>
      <c r="BY775" s="60"/>
      <c r="BZ775" s="60"/>
      <c r="CA775" s="60"/>
      <c r="CB775" s="60"/>
      <c r="CC775" s="60"/>
      <c r="CD775" s="60"/>
      <c r="CE775" s="60"/>
      <c r="CF775" s="60"/>
      <c r="CG775" s="60"/>
      <c r="CH775" s="60"/>
      <c r="CI775" s="60"/>
      <c r="CJ775" s="60"/>
      <c r="CK775" s="60"/>
      <c r="CL775" s="60"/>
      <c r="CM775" s="60"/>
      <c r="CN775" s="60"/>
      <c r="CO775" s="60"/>
      <c r="CP775" s="60"/>
      <c r="CQ775" s="60"/>
      <c r="CR775" s="60"/>
      <c r="CS775" s="60"/>
      <c r="CT775" s="60"/>
      <c r="CU775" s="60"/>
      <c r="CV775" s="60"/>
      <c r="CW775" s="60"/>
      <c r="CX775" s="60"/>
      <c r="CY775" s="60"/>
      <c r="CZ775" s="60"/>
      <c r="DA775" s="60"/>
      <c r="DB775" s="60"/>
      <c r="DC775" s="60"/>
      <c r="DD775" s="60"/>
      <c r="DE775" s="60"/>
      <c r="DF775" s="60"/>
      <c r="DG775" s="60"/>
      <c r="DH775" s="60"/>
      <c r="DI775" s="60"/>
      <c r="DJ775" s="60"/>
      <c r="DK775" s="60"/>
      <c r="DL775" s="60"/>
      <c r="DM775" s="60"/>
      <c r="DN775" s="60"/>
      <c r="DO775" s="60"/>
      <c r="DP775" s="60"/>
      <c r="DQ775" s="60"/>
      <c r="DR775" s="60"/>
      <c r="DS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  <c r="BG776" s="60"/>
      <c r="BH776" s="60"/>
      <c r="BI776" s="60"/>
      <c r="BJ776" s="60"/>
      <c r="BK776" s="60"/>
      <c r="BL776" s="60"/>
      <c r="BM776" s="60"/>
      <c r="BN776" s="60"/>
      <c r="BO776" s="60"/>
      <c r="BP776" s="60"/>
      <c r="BQ776" s="60"/>
      <c r="BR776" s="60"/>
      <c r="BS776" s="60"/>
      <c r="BT776" s="60"/>
      <c r="BU776" s="60"/>
      <c r="BV776" s="60"/>
      <c r="BW776" s="60"/>
      <c r="BX776" s="60"/>
      <c r="BY776" s="60"/>
      <c r="BZ776" s="60"/>
      <c r="CA776" s="60"/>
      <c r="CB776" s="60"/>
      <c r="CC776" s="60"/>
      <c r="CD776" s="60"/>
      <c r="CE776" s="60"/>
      <c r="CF776" s="60"/>
      <c r="CG776" s="60"/>
      <c r="CH776" s="60"/>
      <c r="CI776" s="60"/>
      <c r="CJ776" s="60"/>
      <c r="CK776" s="60"/>
      <c r="CL776" s="60"/>
      <c r="CM776" s="60"/>
      <c r="CN776" s="60"/>
      <c r="CO776" s="60"/>
      <c r="CP776" s="60"/>
      <c r="CQ776" s="60"/>
      <c r="CR776" s="60"/>
      <c r="CS776" s="60"/>
      <c r="CT776" s="60"/>
      <c r="CU776" s="60"/>
      <c r="CV776" s="60"/>
      <c r="CW776" s="60"/>
      <c r="CX776" s="60"/>
      <c r="CY776" s="60"/>
      <c r="CZ776" s="60"/>
      <c r="DA776" s="60"/>
      <c r="DB776" s="60"/>
      <c r="DC776" s="60"/>
      <c r="DD776" s="60"/>
      <c r="DE776" s="60"/>
      <c r="DF776" s="60"/>
      <c r="DG776" s="60"/>
      <c r="DH776" s="60"/>
      <c r="DI776" s="60"/>
      <c r="DJ776" s="60"/>
      <c r="DK776" s="60"/>
      <c r="DL776" s="60"/>
      <c r="DM776" s="60"/>
      <c r="DN776" s="60"/>
      <c r="DO776" s="60"/>
      <c r="DP776" s="60"/>
      <c r="DQ776" s="60"/>
      <c r="DR776" s="60"/>
      <c r="DS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  <c r="BG777" s="60"/>
      <c r="BH777" s="60"/>
      <c r="BI777" s="60"/>
      <c r="BJ777" s="60"/>
      <c r="BK777" s="60"/>
      <c r="BL777" s="60"/>
      <c r="BM777" s="60"/>
      <c r="BN777" s="60"/>
      <c r="BO777" s="60"/>
      <c r="BP777" s="60"/>
      <c r="BQ777" s="60"/>
      <c r="BR777" s="60"/>
      <c r="BS777" s="60"/>
      <c r="BT777" s="60"/>
      <c r="BU777" s="60"/>
      <c r="BV777" s="60"/>
      <c r="BW777" s="60"/>
      <c r="BX777" s="60"/>
      <c r="BY777" s="60"/>
      <c r="BZ777" s="60"/>
      <c r="CA777" s="60"/>
      <c r="CB777" s="60"/>
      <c r="CC777" s="60"/>
      <c r="CD777" s="60"/>
      <c r="CE777" s="60"/>
      <c r="CF777" s="60"/>
      <c r="CG777" s="60"/>
      <c r="CH777" s="60"/>
      <c r="CI777" s="60"/>
      <c r="CJ777" s="60"/>
      <c r="CK777" s="60"/>
      <c r="CL777" s="60"/>
      <c r="CM777" s="60"/>
      <c r="CN777" s="60"/>
      <c r="CO777" s="60"/>
      <c r="CP777" s="60"/>
      <c r="CQ777" s="60"/>
      <c r="CR777" s="60"/>
      <c r="CS777" s="60"/>
      <c r="CT777" s="60"/>
      <c r="CU777" s="60"/>
      <c r="CV777" s="60"/>
      <c r="CW777" s="60"/>
      <c r="CX777" s="60"/>
      <c r="CY777" s="60"/>
      <c r="CZ777" s="60"/>
      <c r="DA777" s="60"/>
      <c r="DB777" s="60"/>
      <c r="DC777" s="60"/>
      <c r="DD777" s="60"/>
      <c r="DE777" s="60"/>
      <c r="DF777" s="60"/>
      <c r="DG777" s="60"/>
      <c r="DH777" s="60"/>
      <c r="DI777" s="60"/>
      <c r="DJ777" s="60"/>
      <c r="DK777" s="60"/>
      <c r="DL777" s="60"/>
      <c r="DM777" s="60"/>
      <c r="DN777" s="60"/>
      <c r="DO777" s="60"/>
      <c r="DP777" s="60"/>
      <c r="DQ777" s="60"/>
      <c r="DR777" s="60"/>
      <c r="DS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  <c r="BG778" s="60"/>
      <c r="BH778" s="60"/>
      <c r="BI778" s="60"/>
      <c r="BJ778" s="60"/>
      <c r="BK778" s="60"/>
      <c r="BL778" s="60"/>
      <c r="BM778" s="60"/>
      <c r="BN778" s="60"/>
      <c r="BO778" s="60"/>
      <c r="BP778" s="60"/>
      <c r="BQ778" s="60"/>
      <c r="BR778" s="60"/>
      <c r="BS778" s="60"/>
      <c r="BT778" s="60"/>
      <c r="BU778" s="60"/>
      <c r="BV778" s="60"/>
      <c r="BW778" s="60"/>
      <c r="BX778" s="60"/>
      <c r="BY778" s="60"/>
      <c r="BZ778" s="60"/>
      <c r="CA778" s="60"/>
      <c r="CB778" s="60"/>
      <c r="CC778" s="60"/>
      <c r="CD778" s="60"/>
      <c r="CE778" s="60"/>
      <c r="CF778" s="60"/>
      <c r="CG778" s="60"/>
      <c r="CH778" s="60"/>
      <c r="CI778" s="60"/>
      <c r="CJ778" s="60"/>
      <c r="CK778" s="60"/>
      <c r="CL778" s="60"/>
      <c r="CM778" s="60"/>
      <c r="CN778" s="60"/>
      <c r="CO778" s="60"/>
      <c r="CP778" s="60"/>
      <c r="CQ778" s="60"/>
      <c r="CR778" s="60"/>
      <c r="CS778" s="60"/>
      <c r="CT778" s="60"/>
      <c r="CU778" s="60"/>
      <c r="CV778" s="60"/>
      <c r="CW778" s="60"/>
      <c r="CX778" s="60"/>
      <c r="CY778" s="60"/>
      <c r="CZ778" s="60"/>
      <c r="DA778" s="60"/>
      <c r="DB778" s="60"/>
      <c r="DC778" s="60"/>
      <c r="DD778" s="60"/>
      <c r="DE778" s="60"/>
      <c r="DF778" s="60"/>
      <c r="DG778" s="60"/>
      <c r="DH778" s="60"/>
      <c r="DI778" s="60"/>
      <c r="DJ778" s="60"/>
      <c r="DK778" s="60"/>
      <c r="DL778" s="60"/>
      <c r="DM778" s="60"/>
      <c r="DN778" s="60"/>
      <c r="DO778" s="60"/>
      <c r="DP778" s="60"/>
      <c r="DQ778" s="60"/>
      <c r="DR778" s="60"/>
      <c r="DS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60"/>
      <c r="BH779" s="60"/>
      <c r="BI779" s="60"/>
      <c r="BJ779" s="60"/>
      <c r="BK779" s="60"/>
      <c r="BL779" s="60"/>
      <c r="BM779" s="60"/>
      <c r="BN779" s="60"/>
      <c r="BO779" s="60"/>
      <c r="BP779" s="60"/>
      <c r="BQ779" s="60"/>
      <c r="BR779" s="60"/>
      <c r="BS779" s="60"/>
      <c r="BT779" s="60"/>
      <c r="BU779" s="60"/>
      <c r="BV779" s="60"/>
      <c r="BW779" s="60"/>
      <c r="BX779" s="60"/>
      <c r="BY779" s="60"/>
      <c r="BZ779" s="60"/>
      <c r="CA779" s="60"/>
      <c r="CB779" s="60"/>
      <c r="CC779" s="60"/>
      <c r="CD779" s="60"/>
      <c r="CE779" s="60"/>
      <c r="CF779" s="60"/>
      <c r="CG779" s="60"/>
      <c r="CH779" s="60"/>
      <c r="CI779" s="60"/>
      <c r="CJ779" s="60"/>
      <c r="CK779" s="60"/>
      <c r="CL779" s="60"/>
      <c r="CM779" s="60"/>
      <c r="CN779" s="60"/>
      <c r="CO779" s="60"/>
      <c r="CP779" s="60"/>
      <c r="CQ779" s="60"/>
      <c r="CR779" s="60"/>
      <c r="CS779" s="60"/>
      <c r="CT779" s="60"/>
      <c r="CU779" s="60"/>
      <c r="CV779" s="60"/>
      <c r="CW779" s="60"/>
      <c r="CX779" s="60"/>
      <c r="CY779" s="60"/>
      <c r="CZ779" s="60"/>
      <c r="DA779" s="60"/>
      <c r="DB779" s="60"/>
      <c r="DC779" s="60"/>
      <c r="DD779" s="60"/>
      <c r="DE779" s="60"/>
      <c r="DF779" s="60"/>
      <c r="DG779" s="60"/>
      <c r="DH779" s="60"/>
      <c r="DI779" s="60"/>
      <c r="DJ779" s="60"/>
      <c r="DK779" s="60"/>
      <c r="DL779" s="60"/>
      <c r="DM779" s="60"/>
      <c r="DN779" s="60"/>
      <c r="DO779" s="60"/>
      <c r="DP779" s="60"/>
      <c r="DQ779" s="60"/>
      <c r="DR779" s="60"/>
      <c r="DS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  <c r="BG780" s="60"/>
      <c r="BH780" s="60"/>
      <c r="BI780" s="60"/>
      <c r="BJ780" s="60"/>
      <c r="BK780" s="60"/>
      <c r="BL780" s="60"/>
      <c r="BM780" s="60"/>
      <c r="BN780" s="60"/>
      <c r="BO780" s="60"/>
      <c r="BP780" s="60"/>
      <c r="BQ780" s="60"/>
      <c r="BR780" s="60"/>
      <c r="BS780" s="60"/>
      <c r="BT780" s="60"/>
      <c r="BU780" s="60"/>
      <c r="BV780" s="60"/>
      <c r="BW780" s="60"/>
      <c r="BX780" s="60"/>
      <c r="BY780" s="60"/>
      <c r="BZ780" s="60"/>
      <c r="CA780" s="60"/>
      <c r="CB780" s="60"/>
      <c r="CC780" s="60"/>
      <c r="CD780" s="60"/>
      <c r="CE780" s="60"/>
      <c r="CF780" s="60"/>
      <c r="CG780" s="60"/>
      <c r="CH780" s="60"/>
      <c r="CI780" s="60"/>
      <c r="CJ780" s="60"/>
      <c r="CK780" s="60"/>
      <c r="CL780" s="60"/>
      <c r="CM780" s="60"/>
      <c r="CN780" s="60"/>
      <c r="CO780" s="60"/>
      <c r="CP780" s="60"/>
      <c r="CQ780" s="60"/>
      <c r="CR780" s="60"/>
      <c r="CS780" s="60"/>
      <c r="CT780" s="60"/>
      <c r="CU780" s="60"/>
      <c r="CV780" s="60"/>
      <c r="CW780" s="60"/>
      <c r="CX780" s="60"/>
      <c r="CY780" s="60"/>
      <c r="CZ780" s="60"/>
      <c r="DA780" s="60"/>
      <c r="DB780" s="60"/>
      <c r="DC780" s="60"/>
      <c r="DD780" s="60"/>
      <c r="DE780" s="60"/>
      <c r="DF780" s="60"/>
      <c r="DG780" s="60"/>
      <c r="DH780" s="60"/>
      <c r="DI780" s="60"/>
      <c r="DJ780" s="60"/>
      <c r="DK780" s="60"/>
      <c r="DL780" s="60"/>
      <c r="DM780" s="60"/>
      <c r="DN780" s="60"/>
      <c r="DO780" s="60"/>
      <c r="DP780" s="60"/>
      <c r="DQ780" s="60"/>
      <c r="DR780" s="60"/>
      <c r="DS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60"/>
      <c r="BH781" s="60"/>
      <c r="BI781" s="60"/>
      <c r="BJ781" s="60"/>
      <c r="BK781" s="60"/>
      <c r="BL781" s="60"/>
      <c r="BM781" s="60"/>
      <c r="BN781" s="60"/>
      <c r="BO781" s="60"/>
      <c r="BP781" s="60"/>
      <c r="BQ781" s="60"/>
      <c r="BR781" s="60"/>
      <c r="BS781" s="60"/>
      <c r="BT781" s="60"/>
      <c r="BU781" s="60"/>
      <c r="BV781" s="60"/>
      <c r="BW781" s="60"/>
      <c r="BX781" s="60"/>
      <c r="BY781" s="60"/>
      <c r="BZ781" s="60"/>
      <c r="CA781" s="60"/>
      <c r="CB781" s="60"/>
      <c r="CC781" s="60"/>
      <c r="CD781" s="60"/>
      <c r="CE781" s="60"/>
      <c r="CF781" s="60"/>
      <c r="CG781" s="60"/>
      <c r="CH781" s="60"/>
      <c r="CI781" s="60"/>
      <c r="CJ781" s="60"/>
      <c r="CK781" s="60"/>
      <c r="CL781" s="60"/>
      <c r="CM781" s="60"/>
      <c r="CN781" s="60"/>
      <c r="CO781" s="60"/>
      <c r="CP781" s="60"/>
      <c r="CQ781" s="60"/>
      <c r="CR781" s="60"/>
      <c r="CS781" s="60"/>
      <c r="CT781" s="60"/>
      <c r="CU781" s="60"/>
      <c r="CV781" s="60"/>
      <c r="CW781" s="60"/>
      <c r="CX781" s="60"/>
      <c r="CY781" s="60"/>
      <c r="CZ781" s="60"/>
      <c r="DA781" s="60"/>
      <c r="DB781" s="60"/>
      <c r="DC781" s="60"/>
      <c r="DD781" s="60"/>
      <c r="DE781" s="60"/>
      <c r="DF781" s="60"/>
      <c r="DG781" s="60"/>
      <c r="DH781" s="60"/>
      <c r="DI781" s="60"/>
      <c r="DJ781" s="60"/>
      <c r="DK781" s="60"/>
      <c r="DL781" s="60"/>
      <c r="DM781" s="60"/>
      <c r="DN781" s="60"/>
      <c r="DO781" s="60"/>
      <c r="DP781" s="60"/>
      <c r="DQ781" s="60"/>
      <c r="DR781" s="60"/>
      <c r="DS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60"/>
      <c r="BH782" s="60"/>
      <c r="BI782" s="60"/>
      <c r="BJ782" s="60"/>
      <c r="BK782" s="60"/>
      <c r="BL782" s="60"/>
      <c r="BM782" s="60"/>
      <c r="BN782" s="60"/>
      <c r="BO782" s="60"/>
      <c r="BP782" s="60"/>
      <c r="BQ782" s="60"/>
      <c r="BR782" s="60"/>
      <c r="BS782" s="60"/>
      <c r="BT782" s="60"/>
      <c r="BU782" s="60"/>
      <c r="BV782" s="60"/>
      <c r="BW782" s="60"/>
      <c r="BX782" s="60"/>
      <c r="BY782" s="60"/>
      <c r="BZ782" s="60"/>
      <c r="CA782" s="60"/>
      <c r="CB782" s="60"/>
      <c r="CC782" s="60"/>
      <c r="CD782" s="60"/>
      <c r="CE782" s="60"/>
      <c r="CF782" s="60"/>
      <c r="CG782" s="60"/>
      <c r="CH782" s="60"/>
      <c r="CI782" s="60"/>
      <c r="CJ782" s="60"/>
      <c r="CK782" s="60"/>
      <c r="CL782" s="60"/>
      <c r="CM782" s="60"/>
      <c r="CN782" s="60"/>
      <c r="CO782" s="60"/>
      <c r="CP782" s="60"/>
      <c r="CQ782" s="60"/>
      <c r="CR782" s="60"/>
      <c r="CS782" s="60"/>
      <c r="CT782" s="60"/>
      <c r="CU782" s="60"/>
      <c r="CV782" s="60"/>
      <c r="CW782" s="60"/>
      <c r="CX782" s="60"/>
      <c r="CY782" s="60"/>
      <c r="CZ782" s="60"/>
      <c r="DA782" s="60"/>
      <c r="DB782" s="60"/>
      <c r="DC782" s="60"/>
      <c r="DD782" s="60"/>
      <c r="DE782" s="60"/>
      <c r="DF782" s="60"/>
      <c r="DG782" s="60"/>
      <c r="DH782" s="60"/>
      <c r="DI782" s="60"/>
      <c r="DJ782" s="60"/>
      <c r="DK782" s="60"/>
      <c r="DL782" s="60"/>
      <c r="DM782" s="60"/>
      <c r="DN782" s="60"/>
      <c r="DO782" s="60"/>
      <c r="DP782" s="60"/>
      <c r="DQ782" s="60"/>
      <c r="DR782" s="60"/>
      <c r="DS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  <c r="BG783" s="60"/>
      <c r="BH783" s="60"/>
      <c r="BI783" s="60"/>
      <c r="BJ783" s="60"/>
      <c r="BK783" s="60"/>
      <c r="BL783" s="60"/>
      <c r="BM783" s="60"/>
      <c r="BN783" s="60"/>
      <c r="BO783" s="60"/>
      <c r="BP783" s="60"/>
      <c r="BQ783" s="60"/>
      <c r="BR783" s="60"/>
      <c r="BS783" s="60"/>
      <c r="BT783" s="60"/>
      <c r="BU783" s="60"/>
      <c r="BV783" s="60"/>
      <c r="BW783" s="60"/>
      <c r="BX783" s="60"/>
      <c r="BY783" s="60"/>
      <c r="BZ783" s="60"/>
      <c r="CA783" s="60"/>
      <c r="CB783" s="60"/>
      <c r="CC783" s="60"/>
      <c r="CD783" s="60"/>
      <c r="CE783" s="60"/>
      <c r="CF783" s="60"/>
      <c r="CG783" s="60"/>
      <c r="CH783" s="60"/>
      <c r="CI783" s="60"/>
      <c r="CJ783" s="60"/>
      <c r="CK783" s="60"/>
      <c r="CL783" s="60"/>
      <c r="CM783" s="60"/>
      <c r="CN783" s="60"/>
      <c r="CO783" s="60"/>
      <c r="CP783" s="60"/>
      <c r="CQ783" s="60"/>
      <c r="CR783" s="60"/>
      <c r="CS783" s="60"/>
      <c r="CT783" s="60"/>
      <c r="CU783" s="60"/>
      <c r="CV783" s="60"/>
      <c r="CW783" s="60"/>
      <c r="CX783" s="60"/>
      <c r="CY783" s="60"/>
      <c r="CZ783" s="60"/>
      <c r="DA783" s="60"/>
      <c r="DB783" s="60"/>
      <c r="DC783" s="60"/>
      <c r="DD783" s="60"/>
      <c r="DE783" s="60"/>
      <c r="DF783" s="60"/>
      <c r="DG783" s="60"/>
      <c r="DH783" s="60"/>
      <c r="DI783" s="60"/>
      <c r="DJ783" s="60"/>
      <c r="DK783" s="60"/>
      <c r="DL783" s="60"/>
      <c r="DM783" s="60"/>
      <c r="DN783" s="60"/>
      <c r="DO783" s="60"/>
      <c r="DP783" s="60"/>
      <c r="DQ783" s="60"/>
      <c r="DR783" s="60"/>
      <c r="DS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  <c r="BG784" s="60"/>
      <c r="BH784" s="60"/>
      <c r="BI784" s="60"/>
      <c r="BJ784" s="60"/>
      <c r="BK784" s="60"/>
      <c r="BL784" s="60"/>
      <c r="BM784" s="60"/>
      <c r="BN784" s="60"/>
      <c r="BO784" s="60"/>
      <c r="BP784" s="60"/>
      <c r="BQ784" s="60"/>
      <c r="BR784" s="60"/>
      <c r="BS784" s="60"/>
      <c r="BT784" s="60"/>
      <c r="BU784" s="60"/>
      <c r="BV784" s="60"/>
      <c r="BW784" s="60"/>
      <c r="BX784" s="60"/>
      <c r="BY784" s="60"/>
      <c r="BZ784" s="60"/>
      <c r="CA784" s="60"/>
      <c r="CB784" s="60"/>
      <c r="CC784" s="60"/>
      <c r="CD784" s="60"/>
      <c r="CE784" s="60"/>
      <c r="CF784" s="60"/>
      <c r="CG784" s="60"/>
      <c r="CH784" s="60"/>
      <c r="CI784" s="60"/>
      <c r="CJ784" s="60"/>
      <c r="CK784" s="60"/>
      <c r="CL784" s="60"/>
      <c r="CM784" s="60"/>
      <c r="CN784" s="60"/>
      <c r="CO784" s="60"/>
      <c r="CP784" s="60"/>
      <c r="CQ784" s="60"/>
      <c r="CR784" s="60"/>
      <c r="CS784" s="60"/>
      <c r="CT784" s="60"/>
      <c r="CU784" s="60"/>
      <c r="CV784" s="60"/>
      <c r="CW784" s="60"/>
      <c r="CX784" s="60"/>
      <c r="CY784" s="60"/>
      <c r="CZ784" s="60"/>
      <c r="DA784" s="60"/>
      <c r="DB784" s="60"/>
      <c r="DC784" s="60"/>
      <c r="DD784" s="60"/>
      <c r="DE784" s="60"/>
      <c r="DF784" s="60"/>
      <c r="DG784" s="60"/>
      <c r="DH784" s="60"/>
      <c r="DI784" s="60"/>
      <c r="DJ784" s="60"/>
      <c r="DK784" s="60"/>
      <c r="DL784" s="60"/>
      <c r="DM784" s="60"/>
      <c r="DN784" s="60"/>
      <c r="DO784" s="60"/>
      <c r="DP784" s="60"/>
      <c r="DQ784" s="60"/>
      <c r="DR784" s="60"/>
      <c r="DS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60"/>
      <c r="BH785" s="60"/>
      <c r="BI785" s="60"/>
      <c r="BJ785" s="60"/>
      <c r="BK785" s="60"/>
      <c r="BL785" s="60"/>
      <c r="BM785" s="60"/>
      <c r="BN785" s="60"/>
      <c r="BO785" s="60"/>
      <c r="BP785" s="60"/>
      <c r="BQ785" s="60"/>
      <c r="BR785" s="60"/>
      <c r="BS785" s="60"/>
      <c r="BT785" s="60"/>
      <c r="BU785" s="60"/>
      <c r="BV785" s="60"/>
      <c r="BW785" s="60"/>
      <c r="BX785" s="60"/>
      <c r="BY785" s="60"/>
      <c r="BZ785" s="60"/>
      <c r="CA785" s="60"/>
      <c r="CB785" s="60"/>
      <c r="CC785" s="60"/>
      <c r="CD785" s="60"/>
      <c r="CE785" s="60"/>
      <c r="CF785" s="60"/>
      <c r="CG785" s="60"/>
      <c r="CH785" s="60"/>
      <c r="CI785" s="60"/>
      <c r="CJ785" s="60"/>
      <c r="CK785" s="60"/>
      <c r="CL785" s="60"/>
      <c r="CM785" s="60"/>
      <c r="CN785" s="60"/>
      <c r="CO785" s="60"/>
      <c r="CP785" s="60"/>
      <c r="CQ785" s="60"/>
      <c r="CR785" s="60"/>
      <c r="CS785" s="60"/>
      <c r="CT785" s="60"/>
      <c r="CU785" s="60"/>
      <c r="CV785" s="60"/>
      <c r="CW785" s="60"/>
      <c r="CX785" s="60"/>
      <c r="CY785" s="60"/>
      <c r="CZ785" s="60"/>
      <c r="DA785" s="60"/>
      <c r="DB785" s="60"/>
      <c r="DC785" s="60"/>
      <c r="DD785" s="60"/>
      <c r="DE785" s="60"/>
      <c r="DF785" s="60"/>
      <c r="DG785" s="60"/>
      <c r="DH785" s="60"/>
      <c r="DI785" s="60"/>
      <c r="DJ785" s="60"/>
      <c r="DK785" s="60"/>
      <c r="DL785" s="60"/>
      <c r="DM785" s="60"/>
      <c r="DN785" s="60"/>
      <c r="DO785" s="60"/>
      <c r="DP785" s="60"/>
      <c r="DQ785" s="60"/>
      <c r="DR785" s="60"/>
      <c r="DS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  <c r="BG786" s="60"/>
      <c r="BH786" s="60"/>
      <c r="BI786" s="60"/>
      <c r="BJ786" s="60"/>
      <c r="BK786" s="60"/>
      <c r="BL786" s="60"/>
      <c r="BM786" s="60"/>
      <c r="BN786" s="60"/>
      <c r="BO786" s="60"/>
      <c r="BP786" s="60"/>
      <c r="BQ786" s="60"/>
      <c r="BR786" s="60"/>
      <c r="BS786" s="60"/>
      <c r="BT786" s="60"/>
      <c r="BU786" s="60"/>
      <c r="BV786" s="60"/>
      <c r="BW786" s="60"/>
      <c r="BX786" s="60"/>
      <c r="BY786" s="60"/>
      <c r="BZ786" s="60"/>
      <c r="CA786" s="60"/>
      <c r="CB786" s="60"/>
      <c r="CC786" s="60"/>
      <c r="CD786" s="60"/>
      <c r="CE786" s="60"/>
      <c r="CF786" s="60"/>
      <c r="CG786" s="60"/>
      <c r="CH786" s="60"/>
      <c r="CI786" s="60"/>
      <c r="CJ786" s="60"/>
      <c r="CK786" s="60"/>
      <c r="CL786" s="60"/>
      <c r="CM786" s="60"/>
      <c r="CN786" s="60"/>
      <c r="CO786" s="60"/>
      <c r="CP786" s="60"/>
      <c r="CQ786" s="60"/>
      <c r="CR786" s="60"/>
      <c r="CS786" s="60"/>
      <c r="CT786" s="60"/>
      <c r="CU786" s="60"/>
      <c r="CV786" s="60"/>
      <c r="CW786" s="60"/>
      <c r="CX786" s="60"/>
      <c r="CY786" s="60"/>
      <c r="CZ786" s="60"/>
      <c r="DA786" s="60"/>
      <c r="DB786" s="60"/>
      <c r="DC786" s="60"/>
      <c r="DD786" s="60"/>
      <c r="DE786" s="60"/>
      <c r="DF786" s="60"/>
      <c r="DG786" s="60"/>
      <c r="DH786" s="60"/>
      <c r="DI786" s="60"/>
      <c r="DJ786" s="60"/>
      <c r="DK786" s="60"/>
      <c r="DL786" s="60"/>
      <c r="DM786" s="60"/>
      <c r="DN786" s="60"/>
      <c r="DO786" s="60"/>
      <c r="DP786" s="60"/>
      <c r="DQ786" s="60"/>
      <c r="DR786" s="60"/>
      <c r="DS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60"/>
      <c r="BH787" s="60"/>
      <c r="BI787" s="60"/>
      <c r="BJ787" s="60"/>
      <c r="BK787" s="60"/>
      <c r="BL787" s="60"/>
      <c r="BM787" s="60"/>
      <c r="BN787" s="60"/>
      <c r="BO787" s="60"/>
      <c r="BP787" s="60"/>
      <c r="BQ787" s="60"/>
      <c r="BR787" s="60"/>
      <c r="BS787" s="60"/>
      <c r="BT787" s="60"/>
      <c r="BU787" s="60"/>
      <c r="BV787" s="60"/>
      <c r="BW787" s="60"/>
      <c r="BX787" s="60"/>
      <c r="BY787" s="60"/>
      <c r="BZ787" s="60"/>
      <c r="CA787" s="60"/>
      <c r="CB787" s="60"/>
      <c r="CC787" s="60"/>
      <c r="CD787" s="60"/>
      <c r="CE787" s="60"/>
      <c r="CF787" s="60"/>
      <c r="CG787" s="60"/>
      <c r="CH787" s="60"/>
      <c r="CI787" s="60"/>
      <c r="CJ787" s="60"/>
      <c r="CK787" s="60"/>
      <c r="CL787" s="60"/>
      <c r="CM787" s="60"/>
      <c r="CN787" s="60"/>
      <c r="CO787" s="60"/>
      <c r="CP787" s="60"/>
      <c r="CQ787" s="60"/>
      <c r="CR787" s="60"/>
      <c r="CS787" s="60"/>
      <c r="CT787" s="60"/>
      <c r="CU787" s="60"/>
      <c r="CV787" s="60"/>
      <c r="CW787" s="60"/>
      <c r="CX787" s="60"/>
      <c r="CY787" s="60"/>
      <c r="CZ787" s="60"/>
      <c r="DA787" s="60"/>
      <c r="DB787" s="60"/>
      <c r="DC787" s="60"/>
      <c r="DD787" s="60"/>
      <c r="DE787" s="60"/>
      <c r="DF787" s="60"/>
      <c r="DG787" s="60"/>
      <c r="DH787" s="60"/>
      <c r="DI787" s="60"/>
      <c r="DJ787" s="60"/>
      <c r="DK787" s="60"/>
      <c r="DL787" s="60"/>
      <c r="DM787" s="60"/>
      <c r="DN787" s="60"/>
      <c r="DO787" s="60"/>
      <c r="DP787" s="60"/>
      <c r="DQ787" s="60"/>
      <c r="DR787" s="60"/>
      <c r="DS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  <c r="BG788" s="60"/>
      <c r="BH788" s="60"/>
      <c r="BI788" s="60"/>
      <c r="BJ788" s="60"/>
      <c r="BK788" s="60"/>
      <c r="BL788" s="60"/>
      <c r="BM788" s="60"/>
      <c r="BN788" s="60"/>
      <c r="BO788" s="60"/>
      <c r="BP788" s="60"/>
      <c r="BQ788" s="60"/>
      <c r="BR788" s="60"/>
      <c r="BS788" s="60"/>
      <c r="BT788" s="60"/>
      <c r="BU788" s="60"/>
      <c r="BV788" s="60"/>
      <c r="BW788" s="60"/>
      <c r="BX788" s="60"/>
      <c r="BY788" s="60"/>
      <c r="BZ788" s="60"/>
      <c r="CA788" s="60"/>
      <c r="CB788" s="60"/>
      <c r="CC788" s="60"/>
      <c r="CD788" s="60"/>
      <c r="CE788" s="60"/>
      <c r="CF788" s="60"/>
      <c r="CG788" s="60"/>
      <c r="CH788" s="60"/>
      <c r="CI788" s="60"/>
      <c r="CJ788" s="60"/>
      <c r="CK788" s="60"/>
      <c r="CL788" s="60"/>
      <c r="CM788" s="60"/>
      <c r="CN788" s="60"/>
      <c r="CO788" s="60"/>
      <c r="CP788" s="60"/>
      <c r="CQ788" s="60"/>
      <c r="CR788" s="60"/>
      <c r="CS788" s="60"/>
      <c r="CT788" s="60"/>
      <c r="CU788" s="60"/>
      <c r="CV788" s="60"/>
      <c r="CW788" s="60"/>
      <c r="CX788" s="60"/>
      <c r="CY788" s="60"/>
      <c r="CZ788" s="60"/>
      <c r="DA788" s="60"/>
      <c r="DB788" s="60"/>
      <c r="DC788" s="60"/>
      <c r="DD788" s="60"/>
      <c r="DE788" s="60"/>
      <c r="DF788" s="60"/>
      <c r="DG788" s="60"/>
      <c r="DH788" s="60"/>
      <c r="DI788" s="60"/>
      <c r="DJ788" s="60"/>
      <c r="DK788" s="60"/>
      <c r="DL788" s="60"/>
      <c r="DM788" s="60"/>
      <c r="DN788" s="60"/>
      <c r="DO788" s="60"/>
      <c r="DP788" s="60"/>
      <c r="DQ788" s="60"/>
      <c r="DR788" s="60"/>
      <c r="DS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/>
      <c r="BJ789" s="60"/>
      <c r="BK789" s="60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  <c r="BX789" s="60"/>
      <c r="BY789" s="60"/>
      <c r="BZ789" s="60"/>
      <c r="CA789" s="60"/>
      <c r="CB789" s="60"/>
      <c r="CC789" s="60"/>
      <c r="CD789" s="60"/>
      <c r="CE789" s="60"/>
      <c r="CF789" s="60"/>
      <c r="CG789" s="60"/>
      <c r="CH789" s="60"/>
      <c r="CI789" s="60"/>
      <c r="CJ789" s="60"/>
      <c r="CK789" s="60"/>
      <c r="CL789" s="60"/>
      <c r="CM789" s="60"/>
      <c r="CN789" s="60"/>
      <c r="CO789" s="60"/>
      <c r="CP789" s="60"/>
      <c r="CQ789" s="60"/>
      <c r="CR789" s="60"/>
      <c r="CS789" s="60"/>
      <c r="CT789" s="60"/>
      <c r="CU789" s="60"/>
      <c r="CV789" s="60"/>
      <c r="CW789" s="60"/>
      <c r="CX789" s="60"/>
      <c r="CY789" s="60"/>
      <c r="CZ789" s="60"/>
      <c r="DA789" s="60"/>
      <c r="DB789" s="60"/>
      <c r="DC789" s="60"/>
      <c r="DD789" s="60"/>
      <c r="DE789" s="60"/>
      <c r="DF789" s="60"/>
      <c r="DG789" s="60"/>
      <c r="DH789" s="60"/>
      <c r="DI789" s="60"/>
      <c r="DJ789" s="60"/>
      <c r="DK789" s="60"/>
      <c r="DL789" s="60"/>
      <c r="DM789" s="60"/>
      <c r="DN789" s="60"/>
      <c r="DO789" s="60"/>
      <c r="DP789" s="60"/>
      <c r="DQ789" s="60"/>
      <c r="DR789" s="60"/>
      <c r="DS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  <c r="BG790" s="60"/>
      <c r="BH790" s="60"/>
      <c r="BI790" s="60"/>
      <c r="BJ790" s="60"/>
      <c r="BK790" s="60"/>
      <c r="BL790" s="60"/>
      <c r="BM790" s="60"/>
      <c r="BN790" s="60"/>
      <c r="BO790" s="60"/>
      <c r="BP790" s="60"/>
      <c r="BQ790" s="60"/>
      <c r="BR790" s="60"/>
      <c r="BS790" s="60"/>
      <c r="BT790" s="60"/>
      <c r="BU790" s="60"/>
      <c r="BV790" s="60"/>
      <c r="BW790" s="60"/>
      <c r="BX790" s="60"/>
      <c r="BY790" s="60"/>
      <c r="BZ790" s="60"/>
      <c r="CA790" s="60"/>
      <c r="CB790" s="60"/>
      <c r="CC790" s="60"/>
      <c r="CD790" s="60"/>
      <c r="CE790" s="60"/>
      <c r="CF790" s="60"/>
      <c r="CG790" s="60"/>
      <c r="CH790" s="60"/>
      <c r="CI790" s="60"/>
      <c r="CJ790" s="60"/>
      <c r="CK790" s="60"/>
      <c r="CL790" s="60"/>
      <c r="CM790" s="60"/>
      <c r="CN790" s="60"/>
      <c r="CO790" s="60"/>
      <c r="CP790" s="60"/>
      <c r="CQ790" s="60"/>
      <c r="CR790" s="60"/>
      <c r="CS790" s="60"/>
      <c r="CT790" s="60"/>
      <c r="CU790" s="60"/>
      <c r="CV790" s="60"/>
      <c r="CW790" s="60"/>
      <c r="CX790" s="60"/>
      <c r="CY790" s="60"/>
      <c r="CZ790" s="60"/>
      <c r="DA790" s="60"/>
      <c r="DB790" s="60"/>
      <c r="DC790" s="60"/>
      <c r="DD790" s="60"/>
      <c r="DE790" s="60"/>
      <c r="DF790" s="60"/>
      <c r="DG790" s="60"/>
      <c r="DH790" s="60"/>
      <c r="DI790" s="60"/>
      <c r="DJ790" s="60"/>
      <c r="DK790" s="60"/>
      <c r="DL790" s="60"/>
      <c r="DM790" s="60"/>
      <c r="DN790" s="60"/>
      <c r="DO790" s="60"/>
      <c r="DP790" s="60"/>
      <c r="DQ790" s="60"/>
      <c r="DR790" s="60"/>
      <c r="DS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60"/>
      <c r="BH791" s="60"/>
      <c r="BI791" s="60"/>
      <c r="BJ791" s="60"/>
      <c r="BK791" s="60"/>
      <c r="BL791" s="60"/>
      <c r="BM791" s="60"/>
      <c r="BN791" s="60"/>
      <c r="BO791" s="60"/>
      <c r="BP791" s="60"/>
      <c r="BQ791" s="60"/>
      <c r="BR791" s="60"/>
      <c r="BS791" s="60"/>
      <c r="BT791" s="60"/>
      <c r="BU791" s="60"/>
      <c r="BV791" s="60"/>
      <c r="BW791" s="60"/>
      <c r="BX791" s="60"/>
      <c r="BY791" s="60"/>
      <c r="BZ791" s="60"/>
      <c r="CA791" s="60"/>
      <c r="CB791" s="60"/>
      <c r="CC791" s="60"/>
      <c r="CD791" s="60"/>
      <c r="CE791" s="60"/>
      <c r="CF791" s="60"/>
      <c r="CG791" s="60"/>
      <c r="CH791" s="60"/>
      <c r="CI791" s="60"/>
      <c r="CJ791" s="60"/>
      <c r="CK791" s="60"/>
      <c r="CL791" s="60"/>
      <c r="CM791" s="60"/>
      <c r="CN791" s="60"/>
      <c r="CO791" s="60"/>
      <c r="CP791" s="60"/>
      <c r="CQ791" s="60"/>
      <c r="CR791" s="60"/>
      <c r="CS791" s="60"/>
      <c r="CT791" s="60"/>
      <c r="CU791" s="60"/>
      <c r="CV791" s="60"/>
      <c r="CW791" s="60"/>
      <c r="CX791" s="60"/>
      <c r="CY791" s="60"/>
      <c r="CZ791" s="60"/>
      <c r="DA791" s="60"/>
      <c r="DB791" s="60"/>
      <c r="DC791" s="60"/>
      <c r="DD791" s="60"/>
      <c r="DE791" s="60"/>
      <c r="DF791" s="60"/>
      <c r="DG791" s="60"/>
      <c r="DH791" s="60"/>
      <c r="DI791" s="60"/>
      <c r="DJ791" s="60"/>
      <c r="DK791" s="60"/>
      <c r="DL791" s="60"/>
      <c r="DM791" s="60"/>
      <c r="DN791" s="60"/>
      <c r="DO791" s="60"/>
      <c r="DP791" s="60"/>
      <c r="DQ791" s="60"/>
      <c r="DR791" s="60"/>
      <c r="DS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  <c r="BG792" s="60"/>
      <c r="BH792" s="60"/>
      <c r="BI792" s="60"/>
      <c r="BJ792" s="60"/>
      <c r="BK792" s="60"/>
      <c r="BL792" s="60"/>
      <c r="BM792" s="60"/>
      <c r="BN792" s="60"/>
      <c r="BO792" s="60"/>
      <c r="BP792" s="60"/>
      <c r="BQ792" s="60"/>
      <c r="BR792" s="60"/>
      <c r="BS792" s="60"/>
      <c r="BT792" s="60"/>
      <c r="BU792" s="60"/>
      <c r="BV792" s="60"/>
      <c r="BW792" s="60"/>
      <c r="BX792" s="60"/>
      <c r="BY792" s="60"/>
      <c r="BZ792" s="60"/>
      <c r="CA792" s="60"/>
      <c r="CB792" s="60"/>
      <c r="CC792" s="60"/>
      <c r="CD792" s="60"/>
      <c r="CE792" s="60"/>
      <c r="CF792" s="60"/>
      <c r="CG792" s="60"/>
      <c r="CH792" s="60"/>
      <c r="CI792" s="60"/>
      <c r="CJ792" s="60"/>
      <c r="CK792" s="60"/>
      <c r="CL792" s="60"/>
      <c r="CM792" s="60"/>
      <c r="CN792" s="60"/>
      <c r="CO792" s="60"/>
      <c r="CP792" s="60"/>
      <c r="CQ792" s="60"/>
      <c r="CR792" s="60"/>
      <c r="CS792" s="60"/>
      <c r="CT792" s="60"/>
      <c r="CU792" s="60"/>
      <c r="CV792" s="60"/>
      <c r="CW792" s="60"/>
      <c r="CX792" s="60"/>
      <c r="CY792" s="60"/>
      <c r="CZ792" s="60"/>
      <c r="DA792" s="60"/>
      <c r="DB792" s="60"/>
      <c r="DC792" s="60"/>
      <c r="DD792" s="60"/>
      <c r="DE792" s="60"/>
      <c r="DF792" s="60"/>
      <c r="DG792" s="60"/>
      <c r="DH792" s="60"/>
      <c r="DI792" s="60"/>
      <c r="DJ792" s="60"/>
      <c r="DK792" s="60"/>
      <c r="DL792" s="60"/>
      <c r="DM792" s="60"/>
      <c r="DN792" s="60"/>
      <c r="DO792" s="60"/>
      <c r="DP792" s="60"/>
      <c r="DQ792" s="60"/>
      <c r="DR792" s="60"/>
      <c r="DS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60"/>
      <c r="BH793" s="60"/>
      <c r="BI793" s="60"/>
      <c r="BJ793" s="60"/>
      <c r="BK793" s="60"/>
      <c r="BL793" s="60"/>
      <c r="BM793" s="60"/>
      <c r="BN793" s="60"/>
      <c r="BO793" s="60"/>
      <c r="BP793" s="60"/>
      <c r="BQ793" s="60"/>
      <c r="BR793" s="60"/>
      <c r="BS793" s="60"/>
      <c r="BT793" s="60"/>
      <c r="BU793" s="60"/>
      <c r="BV793" s="60"/>
      <c r="BW793" s="60"/>
      <c r="BX793" s="60"/>
      <c r="BY793" s="60"/>
      <c r="BZ793" s="60"/>
      <c r="CA793" s="60"/>
      <c r="CB793" s="60"/>
      <c r="CC793" s="60"/>
      <c r="CD793" s="60"/>
      <c r="CE793" s="60"/>
      <c r="CF793" s="60"/>
      <c r="CG793" s="60"/>
      <c r="CH793" s="60"/>
      <c r="CI793" s="60"/>
      <c r="CJ793" s="60"/>
      <c r="CK793" s="60"/>
      <c r="CL793" s="60"/>
      <c r="CM793" s="60"/>
      <c r="CN793" s="60"/>
      <c r="CO793" s="60"/>
      <c r="CP793" s="60"/>
      <c r="CQ793" s="60"/>
      <c r="CR793" s="60"/>
      <c r="CS793" s="60"/>
      <c r="CT793" s="60"/>
      <c r="CU793" s="60"/>
      <c r="CV793" s="60"/>
      <c r="CW793" s="60"/>
      <c r="CX793" s="60"/>
      <c r="CY793" s="60"/>
      <c r="CZ793" s="60"/>
      <c r="DA793" s="60"/>
      <c r="DB793" s="60"/>
      <c r="DC793" s="60"/>
      <c r="DD793" s="60"/>
      <c r="DE793" s="60"/>
      <c r="DF793" s="60"/>
      <c r="DG793" s="60"/>
      <c r="DH793" s="60"/>
      <c r="DI793" s="60"/>
      <c r="DJ793" s="60"/>
      <c r="DK793" s="60"/>
      <c r="DL793" s="60"/>
      <c r="DM793" s="60"/>
      <c r="DN793" s="60"/>
      <c r="DO793" s="60"/>
      <c r="DP793" s="60"/>
      <c r="DQ793" s="60"/>
      <c r="DR793" s="60"/>
      <c r="DS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  <c r="BG794" s="60"/>
      <c r="BH794" s="60"/>
      <c r="BI794" s="60"/>
      <c r="BJ794" s="60"/>
      <c r="BK794" s="60"/>
      <c r="BL794" s="60"/>
      <c r="BM794" s="60"/>
      <c r="BN794" s="60"/>
      <c r="BO794" s="60"/>
      <c r="BP794" s="60"/>
      <c r="BQ794" s="60"/>
      <c r="BR794" s="60"/>
      <c r="BS794" s="60"/>
      <c r="BT794" s="60"/>
      <c r="BU794" s="60"/>
      <c r="BV794" s="60"/>
      <c r="BW794" s="60"/>
      <c r="BX794" s="60"/>
      <c r="BY794" s="60"/>
      <c r="BZ794" s="60"/>
      <c r="CA794" s="60"/>
      <c r="CB794" s="60"/>
      <c r="CC794" s="60"/>
      <c r="CD794" s="60"/>
      <c r="CE794" s="60"/>
      <c r="CF794" s="60"/>
      <c r="CG794" s="60"/>
      <c r="CH794" s="60"/>
      <c r="CI794" s="60"/>
      <c r="CJ794" s="60"/>
      <c r="CK794" s="60"/>
      <c r="CL794" s="60"/>
      <c r="CM794" s="60"/>
      <c r="CN794" s="60"/>
      <c r="CO794" s="60"/>
      <c r="CP794" s="60"/>
      <c r="CQ794" s="60"/>
      <c r="CR794" s="60"/>
      <c r="CS794" s="60"/>
      <c r="CT794" s="60"/>
      <c r="CU794" s="60"/>
      <c r="CV794" s="60"/>
      <c r="CW794" s="60"/>
      <c r="CX794" s="60"/>
      <c r="CY794" s="60"/>
      <c r="CZ794" s="60"/>
      <c r="DA794" s="60"/>
      <c r="DB794" s="60"/>
      <c r="DC794" s="60"/>
      <c r="DD794" s="60"/>
      <c r="DE794" s="60"/>
      <c r="DF794" s="60"/>
      <c r="DG794" s="60"/>
      <c r="DH794" s="60"/>
      <c r="DI794" s="60"/>
      <c r="DJ794" s="60"/>
      <c r="DK794" s="60"/>
      <c r="DL794" s="60"/>
      <c r="DM794" s="60"/>
      <c r="DN794" s="60"/>
      <c r="DO794" s="60"/>
      <c r="DP794" s="60"/>
      <c r="DQ794" s="60"/>
      <c r="DR794" s="60"/>
      <c r="DS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  <c r="BG795" s="60"/>
      <c r="BH795" s="60"/>
      <c r="BI795" s="60"/>
      <c r="BJ795" s="60"/>
      <c r="BK795" s="60"/>
      <c r="BL795" s="60"/>
      <c r="BM795" s="60"/>
      <c r="BN795" s="60"/>
      <c r="BO795" s="60"/>
      <c r="BP795" s="60"/>
      <c r="BQ795" s="60"/>
      <c r="BR795" s="60"/>
      <c r="BS795" s="60"/>
      <c r="BT795" s="60"/>
      <c r="BU795" s="60"/>
      <c r="BV795" s="60"/>
      <c r="BW795" s="60"/>
      <c r="BX795" s="60"/>
      <c r="BY795" s="60"/>
      <c r="BZ795" s="60"/>
      <c r="CA795" s="60"/>
      <c r="CB795" s="60"/>
      <c r="CC795" s="60"/>
      <c r="CD795" s="60"/>
      <c r="CE795" s="60"/>
      <c r="CF795" s="60"/>
      <c r="CG795" s="60"/>
      <c r="CH795" s="60"/>
      <c r="CI795" s="60"/>
      <c r="CJ795" s="60"/>
      <c r="CK795" s="60"/>
      <c r="CL795" s="60"/>
      <c r="CM795" s="60"/>
      <c r="CN795" s="60"/>
      <c r="CO795" s="60"/>
      <c r="CP795" s="60"/>
      <c r="CQ795" s="60"/>
      <c r="CR795" s="60"/>
      <c r="CS795" s="60"/>
      <c r="CT795" s="60"/>
      <c r="CU795" s="60"/>
      <c r="CV795" s="60"/>
      <c r="CW795" s="60"/>
      <c r="CX795" s="60"/>
      <c r="CY795" s="60"/>
      <c r="CZ795" s="60"/>
      <c r="DA795" s="60"/>
      <c r="DB795" s="60"/>
      <c r="DC795" s="60"/>
      <c r="DD795" s="60"/>
      <c r="DE795" s="60"/>
      <c r="DF795" s="60"/>
      <c r="DG795" s="60"/>
      <c r="DH795" s="60"/>
      <c r="DI795" s="60"/>
      <c r="DJ795" s="60"/>
      <c r="DK795" s="60"/>
      <c r="DL795" s="60"/>
      <c r="DM795" s="60"/>
      <c r="DN795" s="60"/>
      <c r="DO795" s="60"/>
      <c r="DP795" s="60"/>
      <c r="DQ795" s="60"/>
      <c r="DR795" s="60"/>
      <c r="DS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60"/>
      <c r="BH796" s="60"/>
      <c r="BI796" s="60"/>
      <c r="BJ796" s="60"/>
      <c r="BK796" s="60"/>
      <c r="BL796" s="60"/>
      <c r="BM796" s="60"/>
      <c r="BN796" s="60"/>
      <c r="BO796" s="60"/>
      <c r="BP796" s="60"/>
      <c r="BQ796" s="60"/>
      <c r="BR796" s="60"/>
      <c r="BS796" s="60"/>
      <c r="BT796" s="60"/>
      <c r="BU796" s="60"/>
      <c r="BV796" s="60"/>
      <c r="BW796" s="60"/>
      <c r="BX796" s="60"/>
      <c r="BY796" s="60"/>
      <c r="BZ796" s="60"/>
      <c r="CA796" s="60"/>
      <c r="CB796" s="60"/>
      <c r="CC796" s="60"/>
      <c r="CD796" s="60"/>
      <c r="CE796" s="60"/>
      <c r="CF796" s="60"/>
      <c r="CG796" s="60"/>
      <c r="CH796" s="60"/>
      <c r="CI796" s="60"/>
      <c r="CJ796" s="60"/>
      <c r="CK796" s="60"/>
      <c r="CL796" s="60"/>
      <c r="CM796" s="60"/>
      <c r="CN796" s="60"/>
      <c r="CO796" s="60"/>
      <c r="CP796" s="60"/>
      <c r="CQ796" s="60"/>
      <c r="CR796" s="60"/>
      <c r="CS796" s="60"/>
      <c r="CT796" s="60"/>
      <c r="CU796" s="60"/>
      <c r="CV796" s="60"/>
      <c r="CW796" s="60"/>
      <c r="CX796" s="60"/>
      <c r="CY796" s="60"/>
      <c r="CZ796" s="60"/>
      <c r="DA796" s="60"/>
      <c r="DB796" s="60"/>
      <c r="DC796" s="60"/>
      <c r="DD796" s="60"/>
      <c r="DE796" s="60"/>
      <c r="DF796" s="60"/>
      <c r="DG796" s="60"/>
      <c r="DH796" s="60"/>
      <c r="DI796" s="60"/>
      <c r="DJ796" s="60"/>
      <c r="DK796" s="60"/>
      <c r="DL796" s="60"/>
      <c r="DM796" s="60"/>
      <c r="DN796" s="60"/>
      <c r="DO796" s="60"/>
      <c r="DP796" s="60"/>
      <c r="DQ796" s="60"/>
      <c r="DR796" s="60"/>
      <c r="DS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  <c r="BG797" s="60"/>
      <c r="BH797" s="60"/>
      <c r="BI797" s="60"/>
      <c r="BJ797" s="60"/>
      <c r="BK797" s="60"/>
      <c r="BL797" s="60"/>
      <c r="BM797" s="60"/>
      <c r="BN797" s="60"/>
      <c r="BO797" s="60"/>
      <c r="BP797" s="60"/>
      <c r="BQ797" s="60"/>
      <c r="BR797" s="60"/>
      <c r="BS797" s="60"/>
      <c r="BT797" s="60"/>
      <c r="BU797" s="60"/>
      <c r="BV797" s="60"/>
      <c r="BW797" s="60"/>
      <c r="BX797" s="60"/>
      <c r="BY797" s="60"/>
      <c r="BZ797" s="60"/>
      <c r="CA797" s="60"/>
      <c r="CB797" s="60"/>
      <c r="CC797" s="60"/>
      <c r="CD797" s="60"/>
      <c r="CE797" s="60"/>
      <c r="CF797" s="60"/>
      <c r="CG797" s="60"/>
      <c r="CH797" s="60"/>
      <c r="CI797" s="60"/>
      <c r="CJ797" s="60"/>
      <c r="CK797" s="60"/>
      <c r="CL797" s="60"/>
      <c r="CM797" s="60"/>
      <c r="CN797" s="60"/>
      <c r="CO797" s="60"/>
      <c r="CP797" s="60"/>
      <c r="CQ797" s="60"/>
      <c r="CR797" s="60"/>
      <c r="CS797" s="60"/>
      <c r="CT797" s="60"/>
      <c r="CU797" s="60"/>
      <c r="CV797" s="60"/>
      <c r="CW797" s="60"/>
      <c r="CX797" s="60"/>
      <c r="CY797" s="60"/>
      <c r="CZ797" s="60"/>
      <c r="DA797" s="60"/>
      <c r="DB797" s="60"/>
      <c r="DC797" s="60"/>
      <c r="DD797" s="60"/>
      <c r="DE797" s="60"/>
      <c r="DF797" s="60"/>
      <c r="DG797" s="60"/>
      <c r="DH797" s="60"/>
      <c r="DI797" s="60"/>
      <c r="DJ797" s="60"/>
      <c r="DK797" s="60"/>
      <c r="DL797" s="60"/>
      <c r="DM797" s="60"/>
      <c r="DN797" s="60"/>
      <c r="DO797" s="60"/>
      <c r="DP797" s="60"/>
      <c r="DQ797" s="60"/>
      <c r="DR797" s="60"/>
      <c r="DS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60"/>
      <c r="BH798" s="60"/>
      <c r="BI798" s="60"/>
      <c r="BJ798" s="60"/>
      <c r="BK798" s="60"/>
      <c r="BL798" s="60"/>
      <c r="BM798" s="60"/>
      <c r="BN798" s="60"/>
      <c r="BO798" s="60"/>
      <c r="BP798" s="60"/>
      <c r="BQ798" s="60"/>
      <c r="BR798" s="60"/>
      <c r="BS798" s="60"/>
      <c r="BT798" s="60"/>
      <c r="BU798" s="60"/>
      <c r="BV798" s="60"/>
      <c r="BW798" s="60"/>
      <c r="BX798" s="60"/>
      <c r="BY798" s="60"/>
      <c r="BZ798" s="60"/>
      <c r="CA798" s="60"/>
      <c r="CB798" s="60"/>
      <c r="CC798" s="60"/>
      <c r="CD798" s="60"/>
      <c r="CE798" s="60"/>
      <c r="CF798" s="60"/>
      <c r="CG798" s="60"/>
      <c r="CH798" s="60"/>
      <c r="CI798" s="60"/>
      <c r="CJ798" s="60"/>
      <c r="CK798" s="60"/>
      <c r="CL798" s="60"/>
      <c r="CM798" s="60"/>
      <c r="CN798" s="60"/>
      <c r="CO798" s="60"/>
      <c r="CP798" s="60"/>
      <c r="CQ798" s="60"/>
      <c r="CR798" s="60"/>
      <c r="CS798" s="60"/>
      <c r="CT798" s="60"/>
      <c r="CU798" s="60"/>
      <c r="CV798" s="60"/>
      <c r="CW798" s="60"/>
      <c r="CX798" s="60"/>
      <c r="CY798" s="60"/>
      <c r="CZ798" s="60"/>
      <c r="DA798" s="60"/>
      <c r="DB798" s="60"/>
      <c r="DC798" s="60"/>
      <c r="DD798" s="60"/>
      <c r="DE798" s="60"/>
      <c r="DF798" s="60"/>
      <c r="DG798" s="60"/>
      <c r="DH798" s="60"/>
      <c r="DI798" s="60"/>
      <c r="DJ798" s="60"/>
      <c r="DK798" s="60"/>
      <c r="DL798" s="60"/>
      <c r="DM798" s="60"/>
      <c r="DN798" s="60"/>
      <c r="DO798" s="60"/>
      <c r="DP798" s="60"/>
      <c r="DQ798" s="60"/>
      <c r="DR798" s="60"/>
      <c r="DS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  <c r="BG799" s="60"/>
      <c r="BH799" s="60"/>
      <c r="BI799" s="60"/>
      <c r="BJ799" s="60"/>
      <c r="BK799" s="60"/>
      <c r="BL799" s="60"/>
      <c r="BM799" s="60"/>
      <c r="BN799" s="60"/>
      <c r="BO799" s="60"/>
      <c r="BP799" s="60"/>
      <c r="BQ799" s="60"/>
      <c r="BR799" s="60"/>
      <c r="BS799" s="60"/>
      <c r="BT799" s="60"/>
      <c r="BU799" s="60"/>
      <c r="BV799" s="60"/>
      <c r="BW799" s="60"/>
      <c r="BX799" s="60"/>
      <c r="BY799" s="60"/>
      <c r="BZ799" s="60"/>
      <c r="CA799" s="60"/>
      <c r="CB799" s="60"/>
      <c r="CC799" s="60"/>
      <c r="CD799" s="60"/>
      <c r="CE799" s="60"/>
      <c r="CF799" s="60"/>
      <c r="CG799" s="60"/>
      <c r="CH799" s="60"/>
      <c r="CI799" s="60"/>
      <c r="CJ799" s="60"/>
      <c r="CK799" s="60"/>
      <c r="CL799" s="60"/>
      <c r="CM799" s="60"/>
      <c r="CN799" s="60"/>
      <c r="CO799" s="60"/>
      <c r="CP799" s="60"/>
      <c r="CQ799" s="60"/>
      <c r="CR799" s="60"/>
      <c r="CS799" s="60"/>
      <c r="CT799" s="60"/>
      <c r="CU799" s="60"/>
      <c r="CV799" s="60"/>
      <c r="CW799" s="60"/>
      <c r="CX799" s="60"/>
      <c r="CY799" s="60"/>
      <c r="CZ799" s="60"/>
      <c r="DA799" s="60"/>
      <c r="DB799" s="60"/>
      <c r="DC799" s="60"/>
      <c r="DD799" s="60"/>
      <c r="DE799" s="60"/>
      <c r="DF799" s="60"/>
      <c r="DG799" s="60"/>
      <c r="DH799" s="60"/>
      <c r="DI799" s="60"/>
      <c r="DJ799" s="60"/>
      <c r="DK799" s="60"/>
      <c r="DL799" s="60"/>
      <c r="DM799" s="60"/>
      <c r="DN799" s="60"/>
      <c r="DO799" s="60"/>
      <c r="DP799" s="60"/>
      <c r="DQ799" s="60"/>
      <c r="DR799" s="60"/>
      <c r="DS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60"/>
      <c r="BH800" s="60"/>
      <c r="BI800" s="60"/>
      <c r="BJ800" s="60"/>
      <c r="BK800" s="60"/>
      <c r="BL800" s="60"/>
      <c r="BM800" s="60"/>
      <c r="BN800" s="60"/>
      <c r="BO800" s="60"/>
      <c r="BP800" s="60"/>
      <c r="BQ800" s="60"/>
      <c r="BR800" s="60"/>
      <c r="BS800" s="60"/>
      <c r="BT800" s="60"/>
      <c r="BU800" s="60"/>
      <c r="BV800" s="60"/>
      <c r="BW800" s="60"/>
      <c r="BX800" s="60"/>
      <c r="BY800" s="60"/>
      <c r="BZ800" s="60"/>
      <c r="CA800" s="60"/>
      <c r="CB800" s="60"/>
      <c r="CC800" s="60"/>
      <c r="CD800" s="60"/>
      <c r="CE800" s="60"/>
      <c r="CF800" s="60"/>
      <c r="CG800" s="60"/>
      <c r="CH800" s="60"/>
      <c r="CI800" s="60"/>
      <c r="CJ800" s="60"/>
      <c r="CK800" s="60"/>
      <c r="CL800" s="60"/>
      <c r="CM800" s="60"/>
      <c r="CN800" s="60"/>
      <c r="CO800" s="60"/>
      <c r="CP800" s="60"/>
      <c r="CQ800" s="60"/>
      <c r="CR800" s="60"/>
      <c r="CS800" s="60"/>
      <c r="CT800" s="60"/>
      <c r="CU800" s="60"/>
      <c r="CV800" s="60"/>
      <c r="CW800" s="60"/>
      <c r="CX800" s="60"/>
      <c r="CY800" s="60"/>
      <c r="CZ800" s="60"/>
      <c r="DA800" s="60"/>
      <c r="DB800" s="60"/>
      <c r="DC800" s="60"/>
      <c r="DD800" s="60"/>
      <c r="DE800" s="60"/>
      <c r="DF800" s="60"/>
      <c r="DG800" s="60"/>
      <c r="DH800" s="60"/>
      <c r="DI800" s="60"/>
      <c r="DJ800" s="60"/>
      <c r="DK800" s="60"/>
      <c r="DL800" s="60"/>
      <c r="DM800" s="60"/>
      <c r="DN800" s="60"/>
      <c r="DO800" s="60"/>
      <c r="DP800" s="60"/>
      <c r="DQ800" s="60"/>
      <c r="DR800" s="60"/>
      <c r="DS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  <c r="BG801" s="60"/>
      <c r="BH801" s="60"/>
      <c r="BI801" s="60"/>
      <c r="BJ801" s="60"/>
      <c r="BK801" s="60"/>
      <c r="BL801" s="60"/>
      <c r="BM801" s="60"/>
      <c r="BN801" s="60"/>
      <c r="BO801" s="60"/>
      <c r="BP801" s="60"/>
      <c r="BQ801" s="60"/>
      <c r="BR801" s="60"/>
      <c r="BS801" s="60"/>
      <c r="BT801" s="60"/>
      <c r="BU801" s="60"/>
      <c r="BV801" s="60"/>
      <c r="BW801" s="60"/>
      <c r="BX801" s="60"/>
      <c r="BY801" s="60"/>
      <c r="BZ801" s="60"/>
      <c r="CA801" s="60"/>
      <c r="CB801" s="60"/>
      <c r="CC801" s="60"/>
      <c r="CD801" s="60"/>
      <c r="CE801" s="60"/>
      <c r="CF801" s="60"/>
      <c r="CG801" s="60"/>
      <c r="CH801" s="60"/>
      <c r="CI801" s="60"/>
      <c r="CJ801" s="60"/>
      <c r="CK801" s="60"/>
      <c r="CL801" s="60"/>
      <c r="CM801" s="60"/>
      <c r="CN801" s="60"/>
      <c r="CO801" s="60"/>
      <c r="CP801" s="60"/>
      <c r="CQ801" s="60"/>
      <c r="CR801" s="60"/>
      <c r="CS801" s="60"/>
      <c r="CT801" s="60"/>
      <c r="CU801" s="60"/>
      <c r="CV801" s="60"/>
      <c r="CW801" s="60"/>
      <c r="CX801" s="60"/>
      <c r="CY801" s="60"/>
      <c r="CZ801" s="60"/>
      <c r="DA801" s="60"/>
      <c r="DB801" s="60"/>
      <c r="DC801" s="60"/>
      <c r="DD801" s="60"/>
      <c r="DE801" s="60"/>
      <c r="DF801" s="60"/>
      <c r="DG801" s="60"/>
      <c r="DH801" s="60"/>
      <c r="DI801" s="60"/>
      <c r="DJ801" s="60"/>
      <c r="DK801" s="60"/>
      <c r="DL801" s="60"/>
      <c r="DM801" s="60"/>
      <c r="DN801" s="60"/>
      <c r="DO801" s="60"/>
      <c r="DP801" s="60"/>
      <c r="DQ801" s="60"/>
      <c r="DR801" s="60"/>
      <c r="DS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60"/>
      <c r="BH802" s="60"/>
      <c r="BI802" s="60"/>
      <c r="BJ802" s="60"/>
      <c r="BK802" s="60"/>
      <c r="BL802" s="60"/>
      <c r="BM802" s="60"/>
      <c r="BN802" s="60"/>
      <c r="BO802" s="60"/>
      <c r="BP802" s="60"/>
      <c r="BQ802" s="60"/>
      <c r="BR802" s="60"/>
      <c r="BS802" s="60"/>
      <c r="BT802" s="60"/>
      <c r="BU802" s="60"/>
      <c r="BV802" s="60"/>
      <c r="BW802" s="60"/>
      <c r="BX802" s="60"/>
      <c r="BY802" s="60"/>
      <c r="BZ802" s="60"/>
      <c r="CA802" s="60"/>
      <c r="CB802" s="60"/>
      <c r="CC802" s="60"/>
      <c r="CD802" s="60"/>
      <c r="CE802" s="60"/>
      <c r="CF802" s="60"/>
      <c r="CG802" s="60"/>
      <c r="CH802" s="60"/>
      <c r="CI802" s="60"/>
      <c r="CJ802" s="60"/>
      <c r="CK802" s="60"/>
      <c r="CL802" s="60"/>
      <c r="CM802" s="60"/>
      <c r="CN802" s="60"/>
      <c r="CO802" s="60"/>
      <c r="CP802" s="60"/>
      <c r="CQ802" s="60"/>
      <c r="CR802" s="60"/>
      <c r="CS802" s="60"/>
      <c r="CT802" s="60"/>
      <c r="CU802" s="60"/>
      <c r="CV802" s="60"/>
      <c r="CW802" s="60"/>
      <c r="CX802" s="60"/>
      <c r="CY802" s="60"/>
      <c r="CZ802" s="60"/>
      <c r="DA802" s="60"/>
      <c r="DB802" s="60"/>
      <c r="DC802" s="60"/>
      <c r="DD802" s="60"/>
      <c r="DE802" s="60"/>
      <c r="DF802" s="60"/>
      <c r="DG802" s="60"/>
      <c r="DH802" s="60"/>
      <c r="DI802" s="60"/>
      <c r="DJ802" s="60"/>
      <c r="DK802" s="60"/>
      <c r="DL802" s="60"/>
      <c r="DM802" s="60"/>
      <c r="DN802" s="60"/>
      <c r="DO802" s="60"/>
      <c r="DP802" s="60"/>
      <c r="DQ802" s="60"/>
      <c r="DR802" s="60"/>
      <c r="DS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  <c r="BG803" s="60"/>
      <c r="BH803" s="60"/>
      <c r="BI803" s="60"/>
      <c r="BJ803" s="60"/>
      <c r="BK803" s="60"/>
      <c r="BL803" s="60"/>
      <c r="BM803" s="60"/>
      <c r="BN803" s="60"/>
      <c r="BO803" s="60"/>
      <c r="BP803" s="60"/>
      <c r="BQ803" s="60"/>
      <c r="BR803" s="60"/>
      <c r="BS803" s="60"/>
      <c r="BT803" s="60"/>
      <c r="BU803" s="60"/>
      <c r="BV803" s="60"/>
      <c r="BW803" s="60"/>
      <c r="BX803" s="60"/>
      <c r="BY803" s="60"/>
      <c r="BZ803" s="60"/>
      <c r="CA803" s="60"/>
      <c r="CB803" s="60"/>
      <c r="CC803" s="60"/>
      <c r="CD803" s="60"/>
      <c r="CE803" s="60"/>
      <c r="CF803" s="60"/>
      <c r="CG803" s="60"/>
      <c r="CH803" s="60"/>
      <c r="CI803" s="60"/>
      <c r="CJ803" s="60"/>
      <c r="CK803" s="60"/>
      <c r="CL803" s="60"/>
      <c r="CM803" s="60"/>
      <c r="CN803" s="60"/>
      <c r="CO803" s="60"/>
      <c r="CP803" s="60"/>
      <c r="CQ803" s="60"/>
      <c r="CR803" s="60"/>
      <c r="CS803" s="60"/>
      <c r="CT803" s="60"/>
      <c r="CU803" s="60"/>
      <c r="CV803" s="60"/>
      <c r="CW803" s="60"/>
      <c r="CX803" s="60"/>
      <c r="CY803" s="60"/>
      <c r="CZ803" s="60"/>
      <c r="DA803" s="60"/>
      <c r="DB803" s="60"/>
      <c r="DC803" s="60"/>
      <c r="DD803" s="60"/>
      <c r="DE803" s="60"/>
      <c r="DF803" s="60"/>
      <c r="DG803" s="60"/>
      <c r="DH803" s="60"/>
      <c r="DI803" s="60"/>
      <c r="DJ803" s="60"/>
      <c r="DK803" s="60"/>
      <c r="DL803" s="60"/>
      <c r="DM803" s="60"/>
      <c r="DN803" s="60"/>
      <c r="DO803" s="60"/>
      <c r="DP803" s="60"/>
      <c r="DQ803" s="60"/>
      <c r="DR803" s="60"/>
      <c r="DS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60"/>
      <c r="BH804" s="60"/>
      <c r="BI804" s="60"/>
      <c r="BJ804" s="60"/>
      <c r="BK804" s="60"/>
      <c r="BL804" s="60"/>
      <c r="BM804" s="60"/>
      <c r="BN804" s="60"/>
      <c r="BO804" s="60"/>
      <c r="BP804" s="60"/>
      <c r="BQ804" s="60"/>
      <c r="BR804" s="60"/>
      <c r="BS804" s="60"/>
      <c r="BT804" s="60"/>
      <c r="BU804" s="60"/>
      <c r="BV804" s="60"/>
      <c r="BW804" s="60"/>
      <c r="BX804" s="60"/>
      <c r="BY804" s="60"/>
      <c r="BZ804" s="60"/>
      <c r="CA804" s="60"/>
      <c r="CB804" s="60"/>
      <c r="CC804" s="60"/>
      <c r="CD804" s="60"/>
      <c r="CE804" s="60"/>
      <c r="CF804" s="60"/>
      <c r="CG804" s="60"/>
      <c r="CH804" s="60"/>
      <c r="CI804" s="60"/>
      <c r="CJ804" s="60"/>
      <c r="CK804" s="60"/>
      <c r="CL804" s="60"/>
      <c r="CM804" s="60"/>
      <c r="CN804" s="60"/>
      <c r="CO804" s="60"/>
      <c r="CP804" s="60"/>
      <c r="CQ804" s="60"/>
      <c r="CR804" s="60"/>
      <c r="CS804" s="60"/>
      <c r="CT804" s="60"/>
      <c r="CU804" s="60"/>
      <c r="CV804" s="60"/>
      <c r="CW804" s="60"/>
      <c r="CX804" s="60"/>
      <c r="CY804" s="60"/>
      <c r="CZ804" s="60"/>
      <c r="DA804" s="60"/>
      <c r="DB804" s="60"/>
      <c r="DC804" s="60"/>
      <c r="DD804" s="60"/>
      <c r="DE804" s="60"/>
      <c r="DF804" s="60"/>
      <c r="DG804" s="60"/>
      <c r="DH804" s="60"/>
      <c r="DI804" s="60"/>
      <c r="DJ804" s="60"/>
      <c r="DK804" s="60"/>
      <c r="DL804" s="60"/>
      <c r="DM804" s="60"/>
      <c r="DN804" s="60"/>
      <c r="DO804" s="60"/>
      <c r="DP804" s="60"/>
      <c r="DQ804" s="60"/>
      <c r="DR804" s="60"/>
      <c r="DS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  <c r="BG805" s="60"/>
      <c r="BH805" s="60"/>
      <c r="BI805" s="60"/>
      <c r="BJ805" s="60"/>
      <c r="BK805" s="60"/>
      <c r="BL805" s="60"/>
      <c r="BM805" s="60"/>
      <c r="BN805" s="60"/>
      <c r="BO805" s="60"/>
      <c r="BP805" s="60"/>
      <c r="BQ805" s="60"/>
      <c r="BR805" s="60"/>
      <c r="BS805" s="60"/>
      <c r="BT805" s="60"/>
      <c r="BU805" s="60"/>
      <c r="BV805" s="60"/>
      <c r="BW805" s="60"/>
      <c r="BX805" s="60"/>
      <c r="BY805" s="60"/>
      <c r="BZ805" s="60"/>
      <c r="CA805" s="60"/>
      <c r="CB805" s="60"/>
      <c r="CC805" s="60"/>
      <c r="CD805" s="60"/>
      <c r="CE805" s="60"/>
      <c r="CF805" s="60"/>
      <c r="CG805" s="60"/>
      <c r="CH805" s="60"/>
      <c r="CI805" s="60"/>
      <c r="CJ805" s="60"/>
      <c r="CK805" s="60"/>
      <c r="CL805" s="60"/>
      <c r="CM805" s="60"/>
      <c r="CN805" s="60"/>
      <c r="CO805" s="60"/>
      <c r="CP805" s="60"/>
      <c r="CQ805" s="60"/>
      <c r="CR805" s="60"/>
      <c r="CS805" s="60"/>
      <c r="CT805" s="60"/>
      <c r="CU805" s="60"/>
      <c r="CV805" s="60"/>
      <c r="CW805" s="60"/>
      <c r="CX805" s="60"/>
      <c r="CY805" s="60"/>
      <c r="CZ805" s="60"/>
      <c r="DA805" s="60"/>
      <c r="DB805" s="60"/>
      <c r="DC805" s="60"/>
      <c r="DD805" s="60"/>
      <c r="DE805" s="60"/>
      <c r="DF805" s="60"/>
      <c r="DG805" s="60"/>
      <c r="DH805" s="60"/>
      <c r="DI805" s="60"/>
      <c r="DJ805" s="60"/>
      <c r="DK805" s="60"/>
      <c r="DL805" s="60"/>
      <c r="DM805" s="60"/>
      <c r="DN805" s="60"/>
      <c r="DO805" s="60"/>
      <c r="DP805" s="60"/>
      <c r="DQ805" s="60"/>
      <c r="DR805" s="60"/>
      <c r="DS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60"/>
      <c r="BH806" s="60"/>
      <c r="BI806" s="60"/>
      <c r="BJ806" s="60"/>
      <c r="BK806" s="60"/>
      <c r="BL806" s="60"/>
      <c r="BM806" s="60"/>
      <c r="BN806" s="60"/>
      <c r="BO806" s="60"/>
      <c r="BP806" s="60"/>
      <c r="BQ806" s="60"/>
      <c r="BR806" s="60"/>
      <c r="BS806" s="60"/>
      <c r="BT806" s="60"/>
      <c r="BU806" s="60"/>
      <c r="BV806" s="60"/>
      <c r="BW806" s="60"/>
      <c r="BX806" s="60"/>
      <c r="BY806" s="60"/>
      <c r="BZ806" s="60"/>
      <c r="CA806" s="60"/>
      <c r="CB806" s="60"/>
      <c r="CC806" s="60"/>
      <c r="CD806" s="60"/>
      <c r="CE806" s="60"/>
      <c r="CF806" s="60"/>
      <c r="CG806" s="60"/>
      <c r="CH806" s="60"/>
      <c r="CI806" s="60"/>
      <c r="CJ806" s="60"/>
      <c r="CK806" s="60"/>
      <c r="CL806" s="60"/>
      <c r="CM806" s="60"/>
      <c r="CN806" s="60"/>
      <c r="CO806" s="60"/>
      <c r="CP806" s="60"/>
      <c r="CQ806" s="60"/>
      <c r="CR806" s="60"/>
      <c r="CS806" s="60"/>
      <c r="CT806" s="60"/>
      <c r="CU806" s="60"/>
      <c r="CV806" s="60"/>
      <c r="CW806" s="60"/>
      <c r="CX806" s="60"/>
      <c r="CY806" s="60"/>
      <c r="CZ806" s="60"/>
      <c r="DA806" s="60"/>
      <c r="DB806" s="60"/>
      <c r="DC806" s="60"/>
      <c r="DD806" s="60"/>
      <c r="DE806" s="60"/>
      <c r="DF806" s="60"/>
      <c r="DG806" s="60"/>
      <c r="DH806" s="60"/>
      <c r="DI806" s="60"/>
      <c r="DJ806" s="60"/>
      <c r="DK806" s="60"/>
      <c r="DL806" s="60"/>
      <c r="DM806" s="60"/>
      <c r="DN806" s="60"/>
      <c r="DO806" s="60"/>
      <c r="DP806" s="60"/>
      <c r="DQ806" s="60"/>
      <c r="DR806" s="60"/>
      <c r="DS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  <c r="BG807" s="60"/>
      <c r="BH807" s="60"/>
      <c r="BI807" s="60"/>
      <c r="BJ807" s="60"/>
      <c r="BK807" s="60"/>
      <c r="BL807" s="60"/>
      <c r="BM807" s="60"/>
      <c r="BN807" s="60"/>
      <c r="BO807" s="60"/>
      <c r="BP807" s="60"/>
      <c r="BQ807" s="60"/>
      <c r="BR807" s="60"/>
      <c r="BS807" s="60"/>
      <c r="BT807" s="60"/>
      <c r="BU807" s="60"/>
      <c r="BV807" s="60"/>
      <c r="BW807" s="60"/>
      <c r="BX807" s="60"/>
      <c r="BY807" s="60"/>
      <c r="BZ807" s="60"/>
      <c r="CA807" s="60"/>
      <c r="CB807" s="60"/>
      <c r="CC807" s="60"/>
      <c r="CD807" s="60"/>
      <c r="CE807" s="60"/>
      <c r="CF807" s="60"/>
      <c r="CG807" s="60"/>
      <c r="CH807" s="60"/>
      <c r="CI807" s="60"/>
      <c r="CJ807" s="60"/>
      <c r="CK807" s="60"/>
      <c r="CL807" s="60"/>
      <c r="CM807" s="60"/>
      <c r="CN807" s="60"/>
      <c r="CO807" s="60"/>
      <c r="CP807" s="60"/>
      <c r="CQ807" s="60"/>
      <c r="CR807" s="60"/>
      <c r="CS807" s="60"/>
      <c r="CT807" s="60"/>
      <c r="CU807" s="60"/>
      <c r="CV807" s="60"/>
      <c r="CW807" s="60"/>
      <c r="CX807" s="60"/>
      <c r="CY807" s="60"/>
      <c r="CZ807" s="60"/>
      <c r="DA807" s="60"/>
      <c r="DB807" s="60"/>
      <c r="DC807" s="60"/>
      <c r="DD807" s="60"/>
      <c r="DE807" s="60"/>
      <c r="DF807" s="60"/>
      <c r="DG807" s="60"/>
      <c r="DH807" s="60"/>
      <c r="DI807" s="60"/>
      <c r="DJ807" s="60"/>
      <c r="DK807" s="60"/>
      <c r="DL807" s="60"/>
      <c r="DM807" s="60"/>
      <c r="DN807" s="60"/>
      <c r="DO807" s="60"/>
      <c r="DP807" s="60"/>
      <c r="DQ807" s="60"/>
      <c r="DR807" s="60"/>
      <c r="DS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  <c r="BG808" s="60"/>
      <c r="BH808" s="60"/>
      <c r="BI808" s="60"/>
      <c r="BJ808" s="60"/>
      <c r="BK808" s="60"/>
      <c r="BL808" s="60"/>
      <c r="BM808" s="60"/>
      <c r="BN808" s="60"/>
      <c r="BO808" s="60"/>
      <c r="BP808" s="60"/>
      <c r="BQ808" s="60"/>
      <c r="BR808" s="60"/>
      <c r="BS808" s="60"/>
      <c r="BT808" s="60"/>
      <c r="BU808" s="60"/>
      <c r="BV808" s="60"/>
      <c r="BW808" s="60"/>
      <c r="BX808" s="60"/>
      <c r="BY808" s="60"/>
      <c r="BZ808" s="60"/>
      <c r="CA808" s="60"/>
      <c r="CB808" s="60"/>
      <c r="CC808" s="60"/>
      <c r="CD808" s="60"/>
      <c r="CE808" s="60"/>
      <c r="CF808" s="60"/>
      <c r="CG808" s="60"/>
      <c r="CH808" s="60"/>
      <c r="CI808" s="60"/>
      <c r="CJ808" s="60"/>
      <c r="CK808" s="60"/>
      <c r="CL808" s="60"/>
      <c r="CM808" s="60"/>
      <c r="CN808" s="60"/>
      <c r="CO808" s="60"/>
      <c r="CP808" s="60"/>
      <c r="CQ808" s="60"/>
      <c r="CR808" s="60"/>
      <c r="CS808" s="60"/>
      <c r="CT808" s="60"/>
      <c r="CU808" s="60"/>
      <c r="CV808" s="60"/>
      <c r="CW808" s="60"/>
      <c r="CX808" s="60"/>
      <c r="CY808" s="60"/>
      <c r="CZ808" s="60"/>
      <c r="DA808" s="60"/>
      <c r="DB808" s="60"/>
      <c r="DC808" s="60"/>
      <c r="DD808" s="60"/>
      <c r="DE808" s="60"/>
      <c r="DF808" s="60"/>
      <c r="DG808" s="60"/>
      <c r="DH808" s="60"/>
      <c r="DI808" s="60"/>
      <c r="DJ808" s="60"/>
      <c r="DK808" s="60"/>
      <c r="DL808" s="60"/>
      <c r="DM808" s="60"/>
      <c r="DN808" s="60"/>
      <c r="DO808" s="60"/>
      <c r="DP808" s="60"/>
      <c r="DQ808" s="60"/>
      <c r="DR808" s="60"/>
      <c r="DS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  <c r="BG809" s="60"/>
      <c r="BH809" s="60"/>
      <c r="BI809" s="60"/>
      <c r="BJ809" s="60"/>
      <c r="BK809" s="60"/>
      <c r="BL809" s="60"/>
      <c r="BM809" s="60"/>
      <c r="BN809" s="60"/>
      <c r="BO809" s="60"/>
      <c r="BP809" s="60"/>
      <c r="BQ809" s="60"/>
      <c r="BR809" s="60"/>
      <c r="BS809" s="60"/>
      <c r="BT809" s="60"/>
      <c r="BU809" s="60"/>
      <c r="BV809" s="60"/>
      <c r="BW809" s="60"/>
      <c r="BX809" s="60"/>
      <c r="BY809" s="60"/>
      <c r="BZ809" s="60"/>
      <c r="CA809" s="60"/>
      <c r="CB809" s="60"/>
      <c r="CC809" s="60"/>
      <c r="CD809" s="60"/>
      <c r="CE809" s="60"/>
      <c r="CF809" s="60"/>
      <c r="CG809" s="60"/>
      <c r="CH809" s="60"/>
      <c r="CI809" s="60"/>
      <c r="CJ809" s="60"/>
      <c r="CK809" s="60"/>
      <c r="CL809" s="60"/>
      <c r="CM809" s="60"/>
      <c r="CN809" s="60"/>
      <c r="CO809" s="60"/>
      <c r="CP809" s="60"/>
      <c r="CQ809" s="60"/>
      <c r="CR809" s="60"/>
      <c r="CS809" s="60"/>
      <c r="CT809" s="60"/>
      <c r="CU809" s="60"/>
      <c r="CV809" s="60"/>
      <c r="CW809" s="60"/>
      <c r="CX809" s="60"/>
      <c r="CY809" s="60"/>
      <c r="CZ809" s="60"/>
      <c r="DA809" s="60"/>
      <c r="DB809" s="60"/>
      <c r="DC809" s="60"/>
      <c r="DD809" s="60"/>
      <c r="DE809" s="60"/>
      <c r="DF809" s="60"/>
      <c r="DG809" s="60"/>
      <c r="DH809" s="60"/>
      <c r="DI809" s="60"/>
      <c r="DJ809" s="60"/>
      <c r="DK809" s="60"/>
      <c r="DL809" s="60"/>
      <c r="DM809" s="60"/>
      <c r="DN809" s="60"/>
      <c r="DO809" s="60"/>
      <c r="DP809" s="60"/>
      <c r="DQ809" s="60"/>
      <c r="DR809" s="60"/>
      <c r="DS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  <c r="BG810" s="60"/>
      <c r="BH810" s="60"/>
      <c r="BI810" s="60"/>
      <c r="BJ810" s="60"/>
      <c r="BK810" s="60"/>
      <c r="BL810" s="60"/>
      <c r="BM810" s="60"/>
      <c r="BN810" s="60"/>
      <c r="BO810" s="60"/>
      <c r="BP810" s="60"/>
      <c r="BQ810" s="60"/>
      <c r="BR810" s="60"/>
      <c r="BS810" s="60"/>
      <c r="BT810" s="60"/>
      <c r="BU810" s="60"/>
      <c r="BV810" s="60"/>
      <c r="BW810" s="60"/>
      <c r="BX810" s="60"/>
      <c r="BY810" s="60"/>
      <c r="BZ810" s="60"/>
      <c r="CA810" s="60"/>
      <c r="CB810" s="60"/>
      <c r="CC810" s="60"/>
      <c r="CD810" s="60"/>
      <c r="CE810" s="60"/>
      <c r="CF810" s="60"/>
      <c r="CG810" s="60"/>
      <c r="CH810" s="60"/>
      <c r="CI810" s="60"/>
      <c r="CJ810" s="60"/>
      <c r="CK810" s="60"/>
      <c r="CL810" s="60"/>
      <c r="CM810" s="60"/>
      <c r="CN810" s="60"/>
      <c r="CO810" s="60"/>
      <c r="CP810" s="60"/>
      <c r="CQ810" s="60"/>
      <c r="CR810" s="60"/>
      <c r="CS810" s="60"/>
      <c r="CT810" s="60"/>
      <c r="CU810" s="60"/>
      <c r="CV810" s="60"/>
      <c r="CW810" s="60"/>
      <c r="CX810" s="60"/>
      <c r="CY810" s="60"/>
      <c r="CZ810" s="60"/>
      <c r="DA810" s="60"/>
      <c r="DB810" s="60"/>
      <c r="DC810" s="60"/>
      <c r="DD810" s="60"/>
      <c r="DE810" s="60"/>
      <c r="DF810" s="60"/>
      <c r="DG810" s="60"/>
      <c r="DH810" s="60"/>
      <c r="DI810" s="60"/>
      <c r="DJ810" s="60"/>
      <c r="DK810" s="60"/>
      <c r="DL810" s="60"/>
      <c r="DM810" s="60"/>
      <c r="DN810" s="60"/>
      <c r="DO810" s="60"/>
      <c r="DP810" s="60"/>
      <c r="DQ810" s="60"/>
      <c r="DR810" s="60"/>
      <c r="DS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60"/>
      <c r="BH811" s="60"/>
      <c r="BI811" s="60"/>
      <c r="BJ811" s="60"/>
      <c r="BK811" s="60"/>
      <c r="BL811" s="60"/>
      <c r="BM811" s="60"/>
      <c r="BN811" s="60"/>
      <c r="BO811" s="60"/>
      <c r="BP811" s="60"/>
      <c r="BQ811" s="60"/>
      <c r="BR811" s="60"/>
      <c r="BS811" s="60"/>
      <c r="BT811" s="60"/>
      <c r="BU811" s="60"/>
      <c r="BV811" s="60"/>
      <c r="BW811" s="60"/>
      <c r="BX811" s="60"/>
      <c r="BY811" s="60"/>
      <c r="BZ811" s="60"/>
      <c r="CA811" s="60"/>
      <c r="CB811" s="60"/>
      <c r="CC811" s="60"/>
      <c r="CD811" s="60"/>
      <c r="CE811" s="60"/>
      <c r="CF811" s="60"/>
      <c r="CG811" s="60"/>
      <c r="CH811" s="60"/>
      <c r="CI811" s="60"/>
      <c r="CJ811" s="60"/>
      <c r="CK811" s="60"/>
      <c r="CL811" s="60"/>
      <c r="CM811" s="60"/>
      <c r="CN811" s="60"/>
      <c r="CO811" s="60"/>
      <c r="CP811" s="60"/>
      <c r="CQ811" s="60"/>
      <c r="CR811" s="60"/>
      <c r="CS811" s="60"/>
      <c r="CT811" s="60"/>
      <c r="CU811" s="60"/>
      <c r="CV811" s="60"/>
      <c r="CW811" s="60"/>
      <c r="CX811" s="60"/>
      <c r="CY811" s="60"/>
      <c r="CZ811" s="60"/>
      <c r="DA811" s="60"/>
      <c r="DB811" s="60"/>
      <c r="DC811" s="60"/>
      <c r="DD811" s="60"/>
      <c r="DE811" s="60"/>
      <c r="DF811" s="60"/>
      <c r="DG811" s="60"/>
      <c r="DH811" s="60"/>
      <c r="DI811" s="60"/>
      <c r="DJ811" s="60"/>
      <c r="DK811" s="60"/>
      <c r="DL811" s="60"/>
      <c r="DM811" s="60"/>
      <c r="DN811" s="60"/>
      <c r="DO811" s="60"/>
      <c r="DP811" s="60"/>
      <c r="DQ811" s="60"/>
      <c r="DR811" s="60"/>
      <c r="DS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  <c r="BG812" s="60"/>
      <c r="BH812" s="60"/>
      <c r="BI812" s="60"/>
      <c r="BJ812" s="60"/>
      <c r="BK812" s="60"/>
      <c r="BL812" s="60"/>
      <c r="BM812" s="60"/>
      <c r="BN812" s="60"/>
      <c r="BO812" s="60"/>
      <c r="BP812" s="60"/>
      <c r="BQ812" s="60"/>
      <c r="BR812" s="60"/>
      <c r="BS812" s="60"/>
      <c r="BT812" s="60"/>
      <c r="BU812" s="60"/>
      <c r="BV812" s="60"/>
      <c r="BW812" s="60"/>
      <c r="BX812" s="60"/>
      <c r="BY812" s="60"/>
      <c r="BZ812" s="60"/>
      <c r="CA812" s="60"/>
      <c r="CB812" s="60"/>
      <c r="CC812" s="60"/>
      <c r="CD812" s="60"/>
      <c r="CE812" s="60"/>
      <c r="CF812" s="60"/>
      <c r="CG812" s="60"/>
      <c r="CH812" s="60"/>
      <c r="CI812" s="60"/>
      <c r="CJ812" s="60"/>
      <c r="CK812" s="60"/>
      <c r="CL812" s="60"/>
      <c r="CM812" s="60"/>
      <c r="CN812" s="60"/>
      <c r="CO812" s="60"/>
      <c r="CP812" s="60"/>
      <c r="CQ812" s="60"/>
      <c r="CR812" s="60"/>
      <c r="CS812" s="60"/>
      <c r="CT812" s="60"/>
      <c r="CU812" s="60"/>
      <c r="CV812" s="60"/>
      <c r="CW812" s="60"/>
      <c r="CX812" s="60"/>
      <c r="CY812" s="60"/>
      <c r="CZ812" s="60"/>
      <c r="DA812" s="60"/>
      <c r="DB812" s="60"/>
      <c r="DC812" s="60"/>
      <c r="DD812" s="60"/>
      <c r="DE812" s="60"/>
      <c r="DF812" s="60"/>
      <c r="DG812" s="60"/>
      <c r="DH812" s="60"/>
      <c r="DI812" s="60"/>
      <c r="DJ812" s="60"/>
      <c r="DK812" s="60"/>
      <c r="DL812" s="60"/>
      <c r="DM812" s="60"/>
      <c r="DN812" s="60"/>
      <c r="DO812" s="60"/>
      <c r="DP812" s="60"/>
      <c r="DQ812" s="60"/>
      <c r="DR812" s="60"/>
      <c r="DS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60"/>
      <c r="BH813" s="60"/>
      <c r="BI813" s="60"/>
      <c r="BJ813" s="60"/>
      <c r="BK813" s="60"/>
      <c r="BL813" s="60"/>
      <c r="BM813" s="60"/>
      <c r="BN813" s="60"/>
      <c r="BO813" s="60"/>
      <c r="BP813" s="60"/>
      <c r="BQ813" s="60"/>
      <c r="BR813" s="60"/>
      <c r="BS813" s="60"/>
      <c r="BT813" s="60"/>
      <c r="BU813" s="60"/>
      <c r="BV813" s="60"/>
      <c r="BW813" s="60"/>
      <c r="BX813" s="60"/>
      <c r="BY813" s="60"/>
      <c r="BZ813" s="60"/>
      <c r="CA813" s="60"/>
      <c r="CB813" s="60"/>
      <c r="CC813" s="60"/>
      <c r="CD813" s="60"/>
      <c r="CE813" s="60"/>
      <c r="CF813" s="60"/>
      <c r="CG813" s="60"/>
      <c r="CH813" s="60"/>
      <c r="CI813" s="60"/>
      <c r="CJ813" s="60"/>
      <c r="CK813" s="60"/>
      <c r="CL813" s="60"/>
      <c r="CM813" s="60"/>
      <c r="CN813" s="60"/>
      <c r="CO813" s="60"/>
      <c r="CP813" s="60"/>
      <c r="CQ813" s="60"/>
      <c r="CR813" s="60"/>
      <c r="CS813" s="60"/>
      <c r="CT813" s="60"/>
      <c r="CU813" s="60"/>
      <c r="CV813" s="60"/>
      <c r="CW813" s="60"/>
      <c r="CX813" s="60"/>
      <c r="CY813" s="60"/>
      <c r="CZ813" s="60"/>
      <c r="DA813" s="60"/>
      <c r="DB813" s="60"/>
      <c r="DC813" s="60"/>
      <c r="DD813" s="60"/>
      <c r="DE813" s="60"/>
      <c r="DF813" s="60"/>
      <c r="DG813" s="60"/>
      <c r="DH813" s="60"/>
      <c r="DI813" s="60"/>
      <c r="DJ813" s="60"/>
      <c r="DK813" s="60"/>
      <c r="DL813" s="60"/>
      <c r="DM813" s="60"/>
      <c r="DN813" s="60"/>
      <c r="DO813" s="60"/>
      <c r="DP813" s="60"/>
      <c r="DQ813" s="60"/>
      <c r="DR813" s="60"/>
      <c r="DS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  <c r="BG814" s="60"/>
      <c r="BH814" s="60"/>
      <c r="BI814" s="60"/>
      <c r="BJ814" s="60"/>
      <c r="BK814" s="60"/>
      <c r="BL814" s="60"/>
      <c r="BM814" s="60"/>
      <c r="BN814" s="60"/>
      <c r="BO814" s="60"/>
      <c r="BP814" s="60"/>
      <c r="BQ814" s="60"/>
      <c r="BR814" s="60"/>
      <c r="BS814" s="60"/>
      <c r="BT814" s="60"/>
      <c r="BU814" s="60"/>
      <c r="BV814" s="60"/>
      <c r="BW814" s="60"/>
      <c r="BX814" s="60"/>
      <c r="BY814" s="60"/>
      <c r="BZ814" s="60"/>
      <c r="CA814" s="60"/>
      <c r="CB814" s="60"/>
      <c r="CC814" s="60"/>
      <c r="CD814" s="60"/>
      <c r="CE814" s="60"/>
      <c r="CF814" s="60"/>
      <c r="CG814" s="60"/>
      <c r="CH814" s="60"/>
      <c r="CI814" s="60"/>
      <c r="CJ814" s="60"/>
      <c r="CK814" s="60"/>
      <c r="CL814" s="60"/>
      <c r="CM814" s="60"/>
      <c r="CN814" s="60"/>
      <c r="CO814" s="60"/>
      <c r="CP814" s="60"/>
      <c r="CQ814" s="60"/>
      <c r="CR814" s="60"/>
      <c r="CS814" s="60"/>
      <c r="CT814" s="60"/>
      <c r="CU814" s="60"/>
      <c r="CV814" s="60"/>
      <c r="CW814" s="60"/>
      <c r="CX814" s="60"/>
      <c r="CY814" s="60"/>
      <c r="CZ814" s="60"/>
      <c r="DA814" s="60"/>
      <c r="DB814" s="60"/>
      <c r="DC814" s="60"/>
      <c r="DD814" s="60"/>
      <c r="DE814" s="60"/>
      <c r="DF814" s="60"/>
      <c r="DG814" s="60"/>
      <c r="DH814" s="60"/>
      <c r="DI814" s="60"/>
      <c r="DJ814" s="60"/>
      <c r="DK814" s="60"/>
      <c r="DL814" s="60"/>
      <c r="DM814" s="60"/>
      <c r="DN814" s="60"/>
      <c r="DO814" s="60"/>
      <c r="DP814" s="60"/>
      <c r="DQ814" s="60"/>
      <c r="DR814" s="60"/>
      <c r="DS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60"/>
      <c r="BH815" s="60"/>
      <c r="BI815" s="60"/>
      <c r="BJ815" s="60"/>
      <c r="BK815" s="60"/>
      <c r="BL815" s="60"/>
      <c r="BM815" s="60"/>
      <c r="BN815" s="60"/>
      <c r="BO815" s="60"/>
      <c r="BP815" s="60"/>
      <c r="BQ815" s="60"/>
      <c r="BR815" s="60"/>
      <c r="BS815" s="60"/>
      <c r="BT815" s="60"/>
      <c r="BU815" s="60"/>
      <c r="BV815" s="60"/>
      <c r="BW815" s="60"/>
      <c r="BX815" s="60"/>
      <c r="BY815" s="60"/>
      <c r="BZ815" s="60"/>
      <c r="CA815" s="60"/>
      <c r="CB815" s="60"/>
      <c r="CC815" s="60"/>
      <c r="CD815" s="60"/>
      <c r="CE815" s="60"/>
      <c r="CF815" s="60"/>
      <c r="CG815" s="60"/>
      <c r="CH815" s="60"/>
      <c r="CI815" s="60"/>
      <c r="CJ815" s="60"/>
      <c r="CK815" s="60"/>
      <c r="CL815" s="60"/>
      <c r="CM815" s="60"/>
      <c r="CN815" s="60"/>
      <c r="CO815" s="60"/>
      <c r="CP815" s="60"/>
      <c r="CQ815" s="60"/>
      <c r="CR815" s="60"/>
      <c r="CS815" s="60"/>
      <c r="CT815" s="60"/>
      <c r="CU815" s="60"/>
      <c r="CV815" s="60"/>
      <c r="CW815" s="60"/>
      <c r="CX815" s="60"/>
      <c r="CY815" s="60"/>
      <c r="CZ815" s="60"/>
      <c r="DA815" s="60"/>
      <c r="DB815" s="60"/>
      <c r="DC815" s="60"/>
      <c r="DD815" s="60"/>
      <c r="DE815" s="60"/>
      <c r="DF815" s="60"/>
      <c r="DG815" s="60"/>
      <c r="DH815" s="60"/>
      <c r="DI815" s="60"/>
      <c r="DJ815" s="60"/>
      <c r="DK815" s="60"/>
      <c r="DL815" s="60"/>
      <c r="DM815" s="60"/>
      <c r="DN815" s="60"/>
      <c r="DO815" s="60"/>
      <c r="DP815" s="60"/>
      <c r="DQ815" s="60"/>
      <c r="DR815" s="60"/>
      <c r="DS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  <c r="BG816" s="60"/>
      <c r="BH816" s="60"/>
      <c r="BI816" s="60"/>
      <c r="BJ816" s="60"/>
      <c r="BK816" s="60"/>
      <c r="BL816" s="60"/>
      <c r="BM816" s="60"/>
      <c r="BN816" s="60"/>
      <c r="BO816" s="60"/>
      <c r="BP816" s="60"/>
      <c r="BQ816" s="60"/>
      <c r="BR816" s="60"/>
      <c r="BS816" s="60"/>
      <c r="BT816" s="60"/>
      <c r="BU816" s="60"/>
      <c r="BV816" s="60"/>
      <c r="BW816" s="60"/>
      <c r="BX816" s="60"/>
      <c r="BY816" s="60"/>
      <c r="BZ816" s="60"/>
      <c r="CA816" s="60"/>
      <c r="CB816" s="60"/>
      <c r="CC816" s="60"/>
      <c r="CD816" s="60"/>
      <c r="CE816" s="60"/>
      <c r="CF816" s="60"/>
      <c r="CG816" s="60"/>
      <c r="CH816" s="60"/>
      <c r="CI816" s="60"/>
      <c r="CJ816" s="60"/>
      <c r="CK816" s="60"/>
      <c r="CL816" s="60"/>
      <c r="CM816" s="60"/>
      <c r="CN816" s="60"/>
      <c r="CO816" s="60"/>
      <c r="CP816" s="60"/>
      <c r="CQ816" s="60"/>
      <c r="CR816" s="60"/>
      <c r="CS816" s="60"/>
      <c r="CT816" s="60"/>
      <c r="CU816" s="60"/>
      <c r="CV816" s="60"/>
      <c r="CW816" s="60"/>
      <c r="CX816" s="60"/>
      <c r="CY816" s="60"/>
      <c r="CZ816" s="60"/>
      <c r="DA816" s="60"/>
      <c r="DB816" s="60"/>
      <c r="DC816" s="60"/>
      <c r="DD816" s="60"/>
      <c r="DE816" s="60"/>
      <c r="DF816" s="60"/>
      <c r="DG816" s="60"/>
      <c r="DH816" s="60"/>
      <c r="DI816" s="60"/>
      <c r="DJ816" s="60"/>
      <c r="DK816" s="60"/>
      <c r="DL816" s="60"/>
      <c r="DM816" s="60"/>
      <c r="DN816" s="60"/>
      <c r="DO816" s="60"/>
      <c r="DP816" s="60"/>
      <c r="DQ816" s="60"/>
      <c r="DR816" s="60"/>
      <c r="DS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  <c r="BG817" s="60"/>
      <c r="BH817" s="60"/>
      <c r="BI817" s="60"/>
      <c r="BJ817" s="60"/>
      <c r="BK817" s="60"/>
      <c r="BL817" s="60"/>
      <c r="BM817" s="60"/>
      <c r="BN817" s="60"/>
      <c r="BO817" s="60"/>
      <c r="BP817" s="60"/>
      <c r="BQ817" s="60"/>
      <c r="BR817" s="60"/>
      <c r="BS817" s="60"/>
      <c r="BT817" s="60"/>
      <c r="BU817" s="60"/>
      <c r="BV817" s="60"/>
      <c r="BW817" s="60"/>
      <c r="BX817" s="60"/>
      <c r="BY817" s="60"/>
      <c r="BZ817" s="60"/>
      <c r="CA817" s="60"/>
      <c r="CB817" s="60"/>
      <c r="CC817" s="60"/>
      <c r="CD817" s="60"/>
      <c r="CE817" s="60"/>
      <c r="CF817" s="60"/>
      <c r="CG817" s="60"/>
      <c r="CH817" s="60"/>
      <c r="CI817" s="60"/>
      <c r="CJ817" s="60"/>
      <c r="CK817" s="60"/>
      <c r="CL817" s="60"/>
      <c r="CM817" s="60"/>
      <c r="CN817" s="60"/>
      <c r="CO817" s="60"/>
      <c r="CP817" s="60"/>
      <c r="CQ817" s="60"/>
      <c r="CR817" s="60"/>
      <c r="CS817" s="60"/>
      <c r="CT817" s="60"/>
      <c r="CU817" s="60"/>
      <c r="CV817" s="60"/>
      <c r="CW817" s="60"/>
      <c r="CX817" s="60"/>
      <c r="CY817" s="60"/>
      <c r="CZ817" s="60"/>
      <c r="DA817" s="60"/>
      <c r="DB817" s="60"/>
      <c r="DC817" s="60"/>
      <c r="DD817" s="60"/>
      <c r="DE817" s="60"/>
      <c r="DF817" s="60"/>
      <c r="DG817" s="60"/>
      <c r="DH817" s="60"/>
      <c r="DI817" s="60"/>
      <c r="DJ817" s="60"/>
      <c r="DK817" s="60"/>
      <c r="DL817" s="60"/>
      <c r="DM817" s="60"/>
      <c r="DN817" s="60"/>
      <c r="DO817" s="60"/>
      <c r="DP817" s="60"/>
      <c r="DQ817" s="60"/>
      <c r="DR817" s="60"/>
      <c r="DS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  <c r="BG818" s="60"/>
      <c r="BH818" s="60"/>
      <c r="BI818" s="60"/>
      <c r="BJ818" s="60"/>
      <c r="BK818" s="60"/>
      <c r="BL818" s="60"/>
      <c r="BM818" s="60"/>
      <c r="BN818" s="60"/>
      <c r="BO818" s="60"/>
      <c r="BP818" s="60"/>
      <c r="BQ818" s="60"/>
      <c r="BR818" s="60"/>
      <c r="BS818" s="60"/>
      <c r="BT818" s="60"/>
      <c r="BU818" s="60"/>
      <c r="BV818" s="60"/>
      <c r="BW818" s="60"/>
      <c r="BX818" s="60"/>
      <c r="BY818" s="60"/>
      <c r="BZ818" s="60"/>
      <c r="CA818" s="60"/>
      <c r="CB818" s="60"/>
      <c r="CC818" s="60"/>
      <c r="CD818" s="60"/>
      <c r="CE818" s="60"/>
      <c r="CF818" s="60"/>
      <c r="CG818" s="60"/>
      <c r="CH818" s="60"/>
      <c r="CI818" s="60"/>
      <c r="CJ818" s="60"/>
      <c r="CK818" s="60"/>
      <c r="CL818" s="60"/>
      <c r="CM818" s="60"/>
      <c r="CN818" s="60"/>
      <c r="CO818" s="60"/>
      <c r="CP818" s="60"/>
      <c r="CQ818" s="60"/>
      <c r="CR818" s="60"/>
      <c r="CS818" s="60"/>
      <c r="CT818" s="60"/>
      <c r="CU818" s="60"/>
      <c r="CV818" s="60"/>
      <c r="CW818" s="60"/>
      <c r="CX818" s="60"/>
      <c r="CY818" s="60"/>
      <c r="CZ818" s="60"/>
      <c r="DA818" s="60"/>
      <c r="DB818" s="60"/>
      <c r="DC818" s="60"/>
      <c r="DD818" s="60"/>
      <c r="DE818" s="60"/>
      <c r="DF818" s="60"/>
      <c r="DG818" s="60"/>
      <c r="DH818" s="60"/>
      <c r="DI818" s="60"/>
      <c r="DJ818" s="60"/>
      <c r="DK818" s="60"/>
      <c r="DL818" s="60"/>
      <c r="DM818" s="60"/>
      <c r="DN818" s="60"/>
      <c r="DO818" s="60"/>
      <c r="DP818" s="60"/>
      <c r="DQ818" s="60"/>
      <c r="DR818" s="60"/>
      <c r="DS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  <c r="BG819" s="60"/>
      <c r="BH819" s="60"/>
      <c r="BI819" s="60"/>
      <c r="BJ819" s="60"/>
      <c r="BK819" s="60"/>
      <c r="BL819" s="60"/>
      <c r="BM819" s="60"/>
      <c r="BN819" s="60"/>
      <c r="BO819" s="60"/>
      <c r="BP819" s="60"/>
      <c r="BQ819" s="60"/>
      <c r="BR819" s="60"/>
      <c r="BS819" s="60"/>
      <c r="BT819" s="60"/>
      <c r="BU819" s="60"/>
      <c r="BV819" s="60"/>
      <c r="BW819" s="60"/>
      <c r="BX819" s="60"/>
      <c r="BY819" s="60"/>
      <c r="BZ819" s="60"/>
      <c r="CA819" s="60"/>
      <c r="CB819" s="60"/>
      <c r="CC819" s="60"/>
      <c r="CD819" s="60"/>
      <c r="CE819" s="60"/>
      <c r="CF819" s="60"/>
      <c r="CG819" s="60"/>
      <c r="CH819" s="60"/>
      <c r="CI819" s="60"/>
      <c r="CJ819" s="60"/>
      <c r="CK819" s="60"/>
      <c r="CL819" s="60"/>
      <c r="CM819" s="60"/>
      <c r="CN819" s="60"/>
      <c r="CO819" s="60"/>
      <c r="CP819" s="60"/>
      <c r="CQ819" s="60"/>
      <c r="CR819" s="60"/>
      <c r="CS819" s="60"/>
      <c r="CT819" s="60"/>
      <c r="CU819" s="60"/>
      <c r="CV819" s="60"/>
      <c r="CW819" s="60"/>
      <c r="CX819" s="60"/>
      <c r="CY819" s="60"/>
      <c r="CZ819" s="60"/>
      <c r="DA819" s="60"/>
      <c r="DB819" s="60"/>
      <c r="DC819" s="60"/>
      <c r="DD819" s="60"/>
      <c r="DE819" s="60"/>
      <c r="DF819" s="60"/>
      <c r="DG819" s="60"/>
      <c r="DH819" s="60"/>
      <c r="DI819" s="60"/>
      <c r="DJ819" s="60"/>
      <c r="DK819" s="60"/>
      <c r="DL819" s="60"/>
      <c r="DM819" s="60"/>
      <c r="DN819" s="60"/>
      <c r="DO819" s="60"/>
      <c r="DP819" s="60"/>
      <c r="DQ819" s="60"/>
      <c r="DR819" s="60"/>
      <c r="DS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  <c r="BG820" s="60"/>
      <c r="BH820" s="60"/>
      <c r="BI820" s="60"/>
      <c r="BJ820" s="60"/>
      <c r="BK820" s="60"/>
      <c r="BL820" s="60"/>
      <c r="BM820" s="60"/>
      <c r="BN820" s="60"/>
      <c r="BO820" s="60"/>
      <c r="BP820" s="60"/>
      <c r="BQ820" s="60"/>
      <c r="BR820" s="60"/>
      <c r="BS820" s="60"/>
      <c r="BT820" s="60"/>
      <c r="BU820" s="60"/>
      <c r="BV820" s="60"/>
      <c r="BW820" s="60"/>
      <c r="BX820" s="60"/>
      <c r="BY820" s="60"/>
      <c r="BZ820" s="60"/>
      <c r="CA820" s="60"/>
      <c r="CB820" s="60"/>
      <c r="CC820" s="60"/>
      <c r="CD820" s="60"/>
      <c r="CE820" s="60"/>
      <c r="CF820" s="60"/>
      <c r="CG820" s="60"/>
      <c r="CH820" s="60"/>
      <c r="CI820" s="60"/>
      <c r="CJ820" s="60"/>
      <c r="CK820" s="60"/>
      <c r="CL820" s="60"/>
      <c r="CM820" s="60"/>
      <c r="CN820" s="60"/>
      <c r="CO820" s="60"/>
      <c r="CP820" s="60"/>
      <c r="CQ820" s="60"/>
      <c r="CR820" s="60"/>
      <c r="CS820" s="60"/>
      <c r="CT820" s="60"/>
      <c r="CU820" s="60"/>
      <c r="CV820" s="60"/>
      <c r="CW820" s="60"/>
      <c r="CX820" s="60"/>
      <c r="CY820" s="60"/>
      <c r="CZ820" s="60"/>
      <c r="DA820" s="60"/>
      <c r="DB820" s="60"/>
      <c r="DC820" s="60"/>
      <c r="DD820" s="60"/>
      <c r="DE820" s="60"/>
      <c r="DF820" s="60"/>
      <c r="DG820" s="60"/>
      <c r="DH820" s="60"/>
      <c r="DI820" s="60"/>
      <c r="DJ820" s="60"/>
      <c r="DK820" s="60"/>
      <c r="DL820" s="60"/>
      <c r="DM820" s="60"/>
      <c r="DN820" s="60"/>
      <c r="DO820" s="60"/>
      <c r="DP820" s="60"/>
      <c r="DQ820" s="60"/>
      <c r="DR820" s="60"/>
      <c r="DS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  <c r="BG821" s="60"/>
      <c r="BH821" s="60"/>
      <c r="BI821" s="60"/>
      <c r="BJ821" s="60"/>
      <c r="BK821" s="60"/>
      <c r="BL821" s="60"/>
      <c r="BM821" s="60"/>
      <c r="BN821" s="60"/>
      <c r="BO821" s="60"/>
      <c r="BP821" s="60"/>
      <c r="BQ821" s="60"/>
      <c r="BR821" s="60"/>
      <c r="BS821" s="60"/>
      <c r="BT821" s="60"/>
      <c r="BU821" s="60"/>
      <c r="BV821" s="60"/>
      <c r="BW821" s="60"/>
      <c r="BX821" s="60"/>
      <c r="BY821" s="60"/>
      <c r="BZ821" s="60"/>
      <c r="CA821" s="60"/>
      <c r="CB821" s="60"/>
      <c r="CC821" s="60"/>
      <c r="CD821" s="60"/>
      <c r="CE821" s="60"/>
      <c r="CF821" s="60"/>
      <c r="CG821" s="60"/>
      <c r="CH821" s="60"/>
      <c r="CI821" s="60"/>
      <c r="CJ821" s="60"/>
      <c r="CK821" s="60"/>
      <c r="CL821" s="60"/>
      <c r="CM821" s="60"/>
      <c r="CN821" s="60"/>
      <c r="CO821" s="60"/>
      <c r="CP821" s="60"/>
      <c r="CQ821" s="60"/>
      <c r="CR821" s="60"/>
      <c r="CS821" s="60"/>
      <c r="CT821" s="60"/>
      <c r="CU821" s="60"/>
      <c r="CV821" s="60"/>
      <c r="CW821" s="60"/>
      <c r="CX821" s="60"/>
      <c r="CY821" s="60"/>
      <c r="CZ821" s="60"/>
      <c r="DA821" s="60"/>
      <c r="DB821" s="60"/>
      <c r="DC821" s="60"/>
      <c r="DD821" s="60"/>
      <c r="DE821" s="60"/>
      <c r="DF821" s="60"/>
      <c r="DG821" s="60"/>
      <c r="DH821" s="60"/>
      <c r="DI821" s="60"/>
      <c r="DJ821" s="60"/>
      <c r="DK821" s="60"/>
      <c r="DL821" s="60"/>
      <c r="DM821" s="60"/>
      <c r="DN821" s="60"/>
      <c r="DO821" s="60"/>
      <c r="DP821" s="60"/>
      <c r="DQ821" s="60"/>
      <c r="DR821" s="60"/>
      <c r="DS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60"/>
      <c r="BH822" s="60"/>
      <c r="BI822" s="60"/>
      <c r="BJ822" s="60"/>
      <c r="BK822" s="60"/>
      <c r="BL822" s="60"/>
      <c r="BM822" s="60"/>
      <c r="BN822" s="60"/>
      <c r="BO822" s="60"/>
      <c r="BP822" s="60"/>
      <c r="BQ822" s="60"/>
      <c r="BR822" s="60"/>
      <c r="BS822" s="60"/>
      <c r="BT822" s="60"/>
      <c r="BU822" s="60"/>
      <c r="BV822" s="60"/>
      <c r="BW822" s="60"/>
      <c r="BX822" s="60"/>
      <c r="BY822" s="60"/>
      <c r="BZ822" s="60"/>
      <c r="CA822" s="60"/>
      <c r="CB822" s="60"/>
      <c r="CC822" s="60"/>
      <c r="CD822" s="60"/>
      <c r="CE822" s="60"/>
      <c r="CF822" s="60"/>
      <c r="CG822" s="60"/>
      <c r="CH822" s="60"/>
      <c r="CI822" s="60"/>
      <c r="CJ822" s="60"/>
      <c r="CK822" s="60"/>
      <c r="CL822" s="60"/>
      <c r="CM822" s="60"/>
      <c r="CN822" s="60"/>
      <c r="CO822" s="60"/>
      <c r="CP822" s="60"/>
      <c r="CQ822" s="60"/>
      <c r="CR822" s="60"/>
      <c r="CS822" s="60"/>
      <c r="CT822" s="60"/>
      <c r="CU822" s="60"/>
      <c r="CV822" s="60"/>
      <c r="CW822" s="60"/>
      <c r="CX822" s="60"/>
      <c r="CY822" s="60"/>
      <c r="CZ822" s="60"/>
      <c r="DA822" s="60"/>
      <c r="DB822" s="60"/>
      <c r="DC822" s="60"/>
      <c r="DD822" s="60"/>
      <c r="DE822" s="60"/>
      <c r="DF822" s="60"/>
      <c r="DG822" s="60"/>
      <c r="DH822" s="60"/>
      <c r="DI822" s="60"/>
      <c r="DJ822" s="60"/>
      <c r="DK822" s="60"/>
      <c r="DL822" s="60"/>
      <c r="DM822" s="60"/>
      <c r="DN822" s="60"/>
      <c r="DO822" s="60"/>
      <c r="DP822" s="60"/>
      <c r="DQ822" s="60"/>
      <c r="DR822" s="60"/>
      <c r="DS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  <c r="BG823" s="60"/>
      <c r="BH823" s="60"/>
      <c r="BI823" s="60"/>
      <c r="BJ823" s="60"/>
      <c r="BK823" s="60"/>
      <c r="BL823" s="60"/>
      <c r="BM823" s="60"/>
      <c r="BN823" s="60"/>
      <c r="BO823" s="60"/>
      <c r="BP823" s="60"/>
      <c r="BQ823" s="60"/>
      <c r="BR823" s="60"/>
      <c r="BS823" s="60"/>
      <c r="BT823" s="60"/>
      <c r="BU823" s="60"/>
      <c r="BV823" s="60"/>
      <c r="BW823" s="60"/>
      <c r="BX823" s="60"/>
      <c r="BY823" s="60"/>
      <c r="BZ823" s="60"/>
      <c r="CA823" s="60"/>
      <c r="CB823" s="60"/>
      <c r="CC823" s="60"/>
      <c r="CD823" s="60"/>
      <c r="CE823" s="60"/>
      <c r="CF823" s="60"/>
      <c r="CG823" s="60"/>
      <c r="CH823" s="60"/>
      <c r="CI823" s="60"/>
      <c r="CJ823" s="60"/>
      <c r="CK823" s="60"/>
      <c r="CL823" s="60"/>
      <c r="CM823" s="60"/>
      <c r="CN823" s="60"/>
      <c r="CO823" s="60"/>
      <c r="CP823" s="60"/>
      <c r="CQ823" s="60"/>
      <c r="CR823" s="60"/>
      <c r="CS823" s="60"/>
      <c r="CT823" s="60"/>
      <c r="CU823" s="60"/>
      <c r="CV823" s="60"/>
      <c r="CW823" s="60"/>
      <c r="CX823" s="60"/>
      <c r="CY823" s="60"/>
      <c r="CZ823" s="60"/>
      <c r="DA823" s="60"/>
      <c r="DB823" s="60"/>
      <c r="DC823" s="60"/>
      <c r="DD823" s="60"/>
      <c r="DE823" s="60"/>
      <c r="DF823" s="60"/>
      <c r="DG823" s="60"/>
      <c r="DH823" s="60"/>
      <c r="DI823" s="60"/>
      <c r="DJ823" s="60"/>
      <c r="DK823" s="60"/>
      <c r="DL823" s="60"/>
      <c r="DM823" s="60"/>
      <c r="DN823" s="60"/>
      <c r="DO823" s="60"/>
      <c r="DP823" s="60"/>
      <c r="DQ823" s="60"/>
      <c r="DR823" s="60"/>
      <c r="DS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60"/>
      <c r="BH824" s="60"/>
      <c r="BI824" s="60"/>
      <c r="BJ824" s="60"/>
      <c r="BK824" s="60"/>
      <c r="BL824" s="60"/>
      <c r="BM824" s="60"/>
      <c r="BN824" s="60"/>
      <c r="BO824" s="60"/>
      <c r="BP824" s="60"/>
      <c r="BQ824" s="60"/>
      <c r="BR824" s="60"/>
      <c r="BS824" s="60"/>
      <c r="BT824" s="60"/>
      <c r="BU824" s="60"/>
      <c r="BV824" s="60"/>
      <c r="BW824" s="60"/>
      <c r="BX824" s="60"/>
      <c r="BY824" s="60"/>
      <c r="BZ824" s="60"/>
      <c r="CA824" s="60"/>
      <c r="CB824" s="60"/>
      <c r="CC824" s="60"/>
      <c r="CD824" s="60"/>
      <c r="CE824" s="60"/>
      <c r="CF824" s="60"/>
      <c r="CG824" s="60"/>
      <c r="CH824" s="60"/>
      <c r="CI824" s="60"/>
      <c r="CJ824" s="60"/>
      <c r="CK824" s="60"/>
      <c r="CL824" s="60"/>
      <c r="CM824" s="60"/>
      <c r="CN824" s="60"/>
      <c r="CO824" s="60"/>
      <c r="CP824" s="60"/>
      <c r="CQ824" s="60"/>
      <c r="CR824" s="60"/>
      <c r="CS824" s="60"/>
      <c r="CT824" s="60"/>
      <c r="CU824" s="60"/>
      <c r="CV824" s="60"/>
      <c r="CW824" s="60"/>
      <c r="CX824" s="60"/>
      <c r="CY824" s="60"/>
      <c r="CZ824" s="60"/>
      <c r="DA824" s="60"/>
      <c r="DB824" s="60"/>
      <c r="DC824" s="60"/>
      <c r="DD824" s="60"/>
      <c r="DE824" s="60"/>
      <c r="DF824" s="60"/>
      <c r="DG824" s="60"/>
      <c r="DH824" s="60"/>
      <c r="DI824" s="60"/>
      <c r="DJ824" s="60"/>
      <c r="DK824" s="60"/>
      <c r="DL824" s="60"/>
      <c r="DM824" s="60"/>
      <c r="DN824" s="60"/>
      <c r="DO824" s="60"/>
      <c r="DP824" s="60"/>
      <c r="DQ824" s="60"/>
      <c r="DR824" s="60"/>
      <c r="DS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  <c r="BG825" s="60"/>
      <c r="BH825" s="60"/>
      <c r="BI825" s="60"/>
      <c r="BJ825" s="60"/>
      <c r="BK825" s="60"/>
      <c r="BL825" s="60"/>
      <c r="BM825" s="60"/>
      <c r="BN825" s="60"/>
      <c r="BO825" s="60"/>
      <c r="BP825" s="60"/>
      <c r="BQ825" s="60"/>
      <c r="BR825" s="60"/>
      <c r="BS825" s="60"/>
      <c r="BT825" s="60"/>
      <c r="BU825" s="60"/>
      <c r="BV825" s="60"/>
      <c r="BW825" s="60"/>
      <c r="BX825" s="60"/>
      <c r="BY825" s="60"/>
      <c r="BZ825" s="60"/>
      <c r="CA825" s="60"/>
      <c r="CB825" s="60"/>
      <c r="CC825" s="60"/>
      <c r="CD825" s="60"/>
      <c r="CE825" s="60"/>
      <c r="CF825" s="60"/>
      <c r="CG825" s="60"/>
      <c r="CH825" s="60"/>
      <c r="CI825" s="60"/>
      <c r="CJ825" s="60"/>
      <c r="CK825" s="60"/>
      <c r="CL825" s="60"/>
      <c r="CM825" s="60"/>
      <c r="CN825" s="60"/>
      <c r="CO825" s="60"/>
      <c r="CP825" s="60"/>
      <c r="CQ825" s="60"/>
      <c r="CR825" s="60"/>
      <c r="CS825" s="60"/>
      <c r="CT825" s="60"/>
      <c r="CU825" s="60"/>
      <c r="CV825" s="60"/>
      <c r="CW825" s="60"/>
      <c r="CX825" s="60"/>
      <c r="CY825" s="60"/>
      <c r="CZ825" s="60"/>
      <c r="DA825" s="60"/>
      <c r="DB825" s="60"/>
      <c r="DC825" s="60"/>
      <c r="DD825" s="60"/>
      <c r="DE825" s="60"/>
      <c r="DF825" s="60"/>
      <c r="DG825" s="60"/>
      <c r="DH825" s="60"/>
      <c r="DI825" s="60"/>
      <c r="DJ825" s="60"/>
      <c r="DK825" s="60"/>
      <c r="DL825" s="60"/>
      <c r="DM825" s="60"/>
      <c r="DN825" s="60"/>
      <c r="DO825" s="60"/>
      <c r="DP825" s="60"/>
      <c r="DQ825" s="60"/>
      <c r="DR825" s="60"/>
      <c r="DS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60"/>
      <c r="BH826" s="60"/>
      <c r="BI826" s="60"/>
      <c r="BJ826" s="60"/>
      <c r="BK826" s="60"/>
      <c r="BL826" s="60"/>
      <c r="BM826" s="60"/>
      <c r="BN826" s="60"/>
      <c r="BO826" s="60"/>
      <c r="BP826" s="60"/>
      <c r="BQ826" s="60"/>
      <c r="BR826" s="60"/>
      <c r="BS826" s="60"/>
      <c r="BT826" s="60"/>
      <c r="BU826" s="60"/>
      <c r="BV826" s="60"/>
      <c r="BW826" s="60"/>
      <c r="BX826" s="60"/>
      <c r="BY826" s="60"/>
      <c r="BZ826" s="60"/>
      <c r="CA826" s="60"/>
      <c r="CB826" s="60"/>
      <c r="CC826" s="60"/>
      <c r="CD826" s="60"/>
      <c r="CE826" s="60"/>
      <c r="CF826" s="60"/>
      <c r="CG826" s="60"/>
      <c r="CH826" s="60"/>
      <c r="CI826" s="60"/>
      <c r="CJ826" s="60"/>
      <c r="CK826" s="60"/>
      <c r="CL826" s="60"/>
      <c r="CM826" s="60"/>
      <c r="CN826" s="60"/>
      <c r="CO826" s="60"/>
      <c r="CP826" s="60"/>
      <c r="CQ826" s="60"/>
      <c r="CR826" s="60"/>
      <c r="CS826" s="60"/>
      <c r="CT826" s="60"/>
      <c r="CU826" s="60"/>
      <c r="CV826" s="60"/>
      <c r="CW826" s="60"/>
      <c r="CX826" s="60"/>
      <c r="CY826" s="60"/>
      <c r="CZ826" s="60"/>
      <c r="DA826" s="60"/>
      <c r="DB826" s="60"/>
      <c r="DC826" s="60"/>
      <c r="DD826" s="60"/>
      <c r="DE826" s="60"/>
      <c r="DF826" s="60"/>
      <c r="DG826" s="60"/>
      <c r="DH826" s="60"/>
      <c r="DI826" s="60"/>
      <c r="DJ826" s="60"/>
      <c r="DK826" s="60"/>
      <c r="DL826" s="60"/>
      <c r="DM826" s="60"/>
      <c r="DN826" s="60"/>
      <c r="DO826" s="60"/>
      <c r="DP826" s="60"/>
      <c r="DQ826" s="60"/>
      <c r="DR826" s="60"/>
      <c r="DS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  <c r="BG827" s="60"/>
      <c r="BH827" s="60"/>
      <c r="BI827" s="60"/>
      <c r="BJ827" s="60"/>
      <c r="BK827" s="60"/>
      <c r="BL827" s="60"/>
      <c r="BM827" s="60"/>
      <c r="BN827" s="60"/>
      <c r="BO827" s="60"/>
      <c r="BP827" s="60"/>
      <c r="BQ827" s="60"/>
      <c r="BR827" s="60"/>
      <c r="BS827" s="60"/>
      <c r="BT827" s="60"/>
      <c r="BU827" s="60"/>
      <c r="BV827" s="60"/>
      <c r="BW827" s="60"/>
      <c r="BX827" s="60"/>
      <c r="BY827" s="60"/>
      <c r="BZ827" s="60"/>
      <c r="CA827" s="60"/>
      <c r="CB827" s="60"/>
      <c r="CC827" s="60"/>
      <c r="CD827" s="60"/>
      <c r="CE827" s="60"/>
      <c r="CF827" s="60"/>
      <c r="CG827" s="60"/>
      <c r="CH827" s="60"/>
      <c r="CI827" s="60"/>
      <c r="CJ827" s="60"/>
      <c r="CK827" s="60"/>
      <c r="CL827" s="60"/>
      <c r="CM827" s="60"/>
      <c r="CN827" s="60"/>
      <c r="CO827" s="60"/>
      <c r="CP827" s="60"/>
      <c r="CQ827" s="60"/>
      <c r="CR827" s="60"/>
      <c r="CS827" s="60"/>
      <c r="CT827" s="60"/>
      <c r="CU827" s="60"/>
      <c r="CV827" s="60"/>
      <c r="CW827" s="60"/>
      <c r="CX827" s="60"/>
      <c r="CY827" s="60"/>
      <c r="CZ827" s="60"/>
      <c r="DA827" s="60"/>
      <c r="DB827" s="60"/>
      <c r="DC827" s="60"/>
      <c r="DD827" s="60"/>
      <c r="DE827" s="60"/>
      <c r="DF827" s="60"/>
      <c r="DG827" s="60"/>
      <c r="DH827" s="60"/>
      <c r="DI827" s="60"/>
      <c r="DJ827" s="60"/>
      <c r="DK827" s="60"/>
      <c r="DL827" s="60"/>
      <c r="DM827" s="60"/>
      <c r="DN827" s="60"/>
      <c r="DO827" s="60"/>
      <c r="DP827" s="60"/>
      <c r="DQ827" s="60"/>
      <c r="DR827" s="60"/>
      <c r="DS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60"/>
      <c r="BH828" s="60"/>
      <c r="BI828" s="60"/>
      <c r="BJ828" s="60"/>
      <c r="BK828" s="60"/>
      <c r="BL828" s="60"/>
      <c r="BM828" s="60"/>
      <c r="BN828" s="60"/>
      <c r="BO828" s="60"/>
      <c r="BP828" s="60"/>
      <c r="BQ828" s="60"/>
      <c r="BR828" s="60"/>
      <c r="BS828" s="60"/>
      <c r="BT828" s="60"/>
      <c r="BU828" s="60"/>
      <c r="BV828" s="60"/>
      <c r="BW828" s="60"/>
      <c r="BX828" s="60"/>
      <c r="BY828" s="60"/>
      <c r="BZ828" s="60"/>
      <c r="CA828" s="60"/>
      <c r="CB828" s="60"/>
      <c r="CC828" s="60"/>
      <c r="CD828" s="60"/>
      <c r="CE828" s="60"/>
      <c r="CF828" s="60"/>
      <c r="CG828" s="60"/>
      <c r="CH828" s="60"/>
      <c r="CI828" s="60"/>
      <c r="CJ828" s="60"/>
      <c r="CK828" s="60"/>
      <c r="CL828" s="60"/>
      <c r="CM828" s="60"/>
      <c r="CN828" s="60"/>
      <c r="CO828" s="60"/>
      <c r="CP828" s="60"/>
      <c r="CQ828" s="60"/>
      <c r="CR828" s="60"/>
      <c r="CS828" s="60"/>
      <c r="CT828" s="60"/>
      <c r="CU828" s="60"/>
      <c r="CV828" s="60"/>
      <c r="CW828" s="60"/>
      <c r="CX828" s="60"/>
      <c r="CY828" s="60"/>
      <c r="CZ828" s="60"/>
      <c r="DA828" s="60"/>
      <c r="DB828" s="60"/>
      <c r="DC828" s="60"/>
      <c r="DD828" s="60"/>
      <c r="DE828" s="60"/>
      <c r="DF828" s="60"/>
      <c r="DG828" s="60"/>
      <c r="DH828" s="60"/>
      <c r="DI828" s="60"/>
      <c r="DJ828" s="60"/>
      <c r="DK828" s="60"/>
      <c r="DL828" s="60"/>
      <c r="DM828" s="60"/>
      <c r="DN828" s="60"/>
      <c r="DO828" s="60"/>
      <c r="DP828" s="60"/>
      <c r="DQ828" s="60"/>
      <c r="DR828" s="60"/>
      <c r="DS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  <c r="BG829" s="60"/>
      <c r="BH829" s="60"/>
      <c r="BI829" s="60"/>
      <c r="BJ829" s="60"/>
      <c r="BK829" s="60"/>
      <c r="BL829" s="60"/>
      <c r="BM829" s="60"/>
      <c r="BN829" s="60"/>
      <c r="BO829" s="60"/>
      <c r="BP829" s="60"/>
      <c r="BQ829" s="60"/>
      <c r="BR829" s="60"/>
      <c r="BS829" s="60"/>
      <c r="BT829" s="60"/>
      <c r="BU829" s="60"/>
      <c r="BV829" s="60"/>
      <c r="BW829" s="60"/>
      <c r="BX829" s="60"/>
      <c r="BY829" s="60"/>
      <c r="BZ829" s="60"/>
      <c r="CA829" s="60"/>
      <c r="CB829" s="60"/>
      <c r="CC829" s="60"/>
      <c r="CD829" s="60"/>
      <c r="CE829" s="60"/>
      <c r="CF829" s="60"/>
      <c r="CG829" s="60"/>
      <c r="CH829" s="60"/>
      <c r="CI829" s="60"/>
      <c r="CJ829" s="60"/>
      <c r="CK829" s="60"/>
      <c r="CL829" s="60"/>
      <c r="CM829" s="60"/>
      <c r="CN829" s="60"/>
      <c r="CO829" s="60"/>
      <c r="CP829" s="60"/>
      <c r="CQ829" s="60"/>
      <c r="CR829" s="60"/>
      <c r="CS829" s="60"/>
      <c r="CT829" s="60"/>
      <c r="CU829" s="60"/>
      <c r="CV829" s="60"/>
      <c r="CW829" s="60"/>
      <c r="CX829" s="60"/>
      <c r="CY829" s="60"/>
      <c r="CZ829" s="60"/>
      <c r="DA829" s="60"/>
      <c r="DB829" s="60"/>
      <c r="DC829" s="60"/>
      <c r="DD829" s="60"/>
      <c r="DE829" s="60"/>
      <c r="DF829" s="60"/>
      <c r="DG829" s="60"/>
      <c r="DH829" s="60"/>
      <c r="DI829" s="60"/>
      <c r="DJ829" s="60"/>
      <c r="DK829" s="60"/>
      <c r="DL829" s="60"/>
      <c r="DM829" s="60"/>
      <c r="DN829" s="60"/>
      <c r="DO829" s="60"/>
      <c r="DP829" s="60"/>
      <c r="DQ829" s="60"/>
      <c r="DR829" s="60"/>
      <c r="DS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60"/>
      <c r="BH830" s="60"/>
      <c r="BI830" s="60"/>
      <c r="BJ830" s="60"/>
      <c r="BK830" s="60"/>
      <c r="BL830" s="60"/>
      <c r="BM830" s="60"/>
      <c r="BN830" s="60"/>
      <c r="BO830" s="60"/>
      <c r="BP830" s="60"/>
      <c r="BQ830" s="60"/>
      <c r="BR830" s="60"/>
      <c r="BS830" s="60"/>
      <c r="BT830" s="60"/>
      <c r="BU830" s="60"/>
      <c r="BV830" s="60"/>
      <c r="BW830" s="60"/>
      <c r="BX830" s="60"/>
      <c r="BY830" s="60"/>
      <c r="BZ830" s="60"/>
      <c r="CA830" s="60"/>
      <c r="CB830" s="60"/>
      <c r="CC830" s="60"/>
      <c r="CD830" s="60"/>
      <c r="CE830" s="60"/>
      <c r="CF830" s="60"/>
      <c r="CG830" s="60"/>
      <c r="CH830" s="60"/>
      <c r="CI830" s="60"/>
      <c r="CJ830" s="60"/>
      <c r="CK830" s="60"/>
      <c r="CL830" s="60"/>
      <c r="CM830" s="60"/>
      <c r="CN830" s="60"/>
      <c r="CO830" s="60"/>
      <c r="CP830" s="60"/>
      <c r="CQ830" s="60"/>
      <c r="CR830" s="60"/>
      <c r="CS830" s="60"/>
      <c r="CT830" s="60"/>
      <c r="CU830" s="60"/>
      <c r="CV830" s="60"/>
      <c r="CW830" s="60"/>
      <c r="CX830" s="60"/>
      <c r="CY830" s="60"/>
      <c r="CZ830" s="60"/>
      <c r="DA830" s="60"/>
      <c r="DB830" s="60"/>
      <c r="DC830" s="60"/>
      <c r="DD830" s="60"/>
      <c r="DE830" s="60"/>
      <c r="DF830" s="60"/>
      <c r="DG830" s="60"/>
      <c r="DH830" s="60"/>
      <c r="DI830" s="60"/>
      <c r="DJ830" s="60"/>
      <c r="DK830" s="60"/>
      <c r="DL830" s="60"/>
      <c r="DM830" s="60"/>
      <c r="DN830" s="60"/>
      <c r="DO830" s="60"/>
      <c r="DP830" s="60"/>
      <c r="DQ830" s="60"/>
      <c r="DR830" s="60"/>
      <c r="DS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  <c r="BG831" s="60"/>
      <c r="BH831" s="60"/>
      <c r="BI831" s="60"/>
      <c r="BJ831" s="60"/>
      <c r="BK831" s="60"/>
      <c r="BL831" s="60"/>
      <c r="BM831" s="60"/>
      <c r="BN831" s="60"/>
      <c r="BO831" s="60"/>
      <c r="BP831" s="60"/>
      <c r="BQ831" s="60"/>
      <c r="BR831" s="60"/>
      <c r="BS831" s="60"/>
      <c r="BT831" s="60"/>
      <c r="BU831" s="60"/>
      <c r="BV831" s="60"/>
      <c r="BW831" s="60"/>
      <c r="BX831" s="60"/>
      <c r="BY831" s="60"/>
      <c r="BZ831" s="60"/>
      <c r="CA831" s="60"/>
      <c r="CB831" s="60"/>
      <c r="CC831" s="60"/>
      <c r="CD831" s="60"/>
      <c r="CE831" s="60"/>
      <c r="CF831" s="60"/>
      <c r="CG831" s="60"/>
      <c r="CH831" s="60"/>
      <c r="CI831" s="60"/>
      <c r="CJ831" s="60"/>
      <c r="CK831" s="60"/>
      <c r="CL831" s="60"/>
      <c r="CM831" s="60"/>
      <c r="CN831" s="60"/>
      <c r="CO831" s="60"/>
      <c r="CP831" s="60"/>
      <c r="CQ831" s="60"/>
      <c r="CR831" s="60"/>
      <c r="CS831" s="60"/>
      <c r="CT831" s="60"/>
      <c r="CU831" s="60"/>
      <c r="CV831" s="60"/>
      <c r="CW831" s="60"/>
      <c r="CX831" s="60"/>
      <c r="CY831" s="60"/>
      <c r="CZ831" s="60"/>
      <c r="DA831" s="60"/>
      <c r="DB831" s="60"/>
      <c r="DC831" s="60"/>
      <c r="DD831" s="60"/>
      <c r="DE831" s="60"/>
      <c r="DF831" s="60"/>
      <c r="DG831" s="60"/>
      <c r="DH831" s="60"/>
      <c r="DI831" s="60"/>
      <c r="DJ831" s="60"/>
      <c r="DK831" s="60"/>
      <c r="DL831" s="60"/>
      <c r="DM831" s="60"/>
      <c r="DN831" s="60"/>
      <c r="DO831" s="60"/>
      <c r="DP831" s="60"/>
      <c r="DQ831" s="60"/>
      <c r="DR831" s="60"/>
      <c r="DS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60"/>
      <c r="BH832" s="60"/>
      <c r="BI832" s="60"/>
      <c r="BJ832" s="60"/>
      <c r="BK832" s="60"/>
      <c r="BL832" s="60"/>
      <c r="BM832" s="60"/>
      <c r="BN832" s="60"/>
      <c r="BO832" s="60"/>
      <c r="BP832" s="60"/>
      <c r="BQ832" s="60"/>
      <c r="BR832" s="60"/>
      <c r="BS832" s="60"/>
      <c r="BT832" s="60"/>
      <c r="BU832" s="60"/>
      <c r="BV832" s="60"/>
      <c r="BW832" s="60"/>
      <c r="BX832" s="60"/>
      <c r="BY832" s="60"/>
      <c r="BZ832" s="60"/>
      <c r="CA832" s="60"/>
      <c r="CB832" s="60"/>
      <c r="CC832" s="60"/>
      <c r="CD832" s="60"/>
      <c r="CE832" s="60"/>
      <c r="CF832" s="60"/>
      <c r="CG832" s="60"/>
      <c r="CH832" s="60"/>
      <c r="CI832" s="60"/>
      <c r="CJ832" s="60"/>
      <c r="CK832" s="60"/>
      <c r="CL832" s="60"/>
      <c r="CM832" s="60"/>
      <c r="CN832" s="60"/>
      <c r="CO832" s="60"/>
      <c r="CP832" s="60"/>
      <c r="CQ832" s="60"/>
      <c r="CR832" s="60"/>
      <c r="CS832" s="60"/>
      <c r="CT832" s="60"/>
      <c r="CU832" s="60"/>
      <c r="CV832" s="60"/>
      <c r="CW832" s="60"/>
      <c r="CX832" s="60"/>
      <c r="CY832" s="60"/>
      <c r="CZ832" s="60"/>
      <c r="DA832" s="60"/>
      <c r="DB832" s="60"/>
      <c r="DC832" s="60"/>
      <c r="DD832" s="60"/>
      <c r="DE832" s="60"/>
      <c r="DF832" s="60"/>
      <c r="DG832" s="60"/>
      <c r="DH832" s="60"/>
      <c r="DI832" s="60"/>
      <c r="DJ832" s="60"/>
      <c r="DK832" s="60"/>
      <c r="DL832" s="60"/>
      <c r="DM832" s="60"/>
      <c r="DN832" s="60"/>
      <c r="DO832" s="60"/>
      <c r="DP832" s="60"/>
      <c r="DQ832" s="60"/>
      <c r="DR832" s="60"/>
      <c r="DS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  <c r="BG833" s="60"/>
      <c r="BH833" s="60"/>
      <c r="BI833" s="60"/>
      <c r="BJ833" s="60"/>
      <c r="BK833" s="60"/>
      <c r="BL833" s="60"/>
      <c r="BM833" s="60"/>
      <c r="BN833" s="60"/>
      <c r="BO833" s="60"/>
      <c r="BP833" s="60"/>
      <c r="BQ833" s="60"/>
      <c r="BR833" s="60"/>
      <c r="BS833" s="60"/>
      <c r="BT833" s="60"/>
      <c r="BU833" s="60"/>
      <c r="BV833" s="60"/>
      <c r="BW833" s="60"/>
      <c r="BX833" s="60"/>
      <c r="BY833" s="60"/>
      <c r="BZ833" s="60"/>
      <c r="CA833" s="60"/>
      <c r="CB833" s="60"/>
      <c r="CC833" s="60"/>
      <c r="CD833" s="60"/>
      <c r="CE833" s="60"/>
      <c r="CF833" s="60"/>
      <c r="CG833" s="60"/>
      <c r="CH833" s="60"/>
      <c r="CI833" s="60"/>
      <c r="CJ833" s="60"/>
      <c r="CK833" s="60"/>
      <c r="CL833" s="60"/>
      <c r="CM833" s="60"/>
      <c r="CN833" s="60"/>
      <c r="CO833" s="60"/>
      <c r="CP833" s="60"/>
      <c r="CQ833" s="60"/>
      <c r="CR833" s="60"/>
      <c r="CS833" s="60"/>
      <c r="CT833" s="60"/>
      <c r="CU833" s="60"/>
      <c r="CV833" s="60"/>
      <c r="CW833" s="60"/>
      <c r="CX833" s="60"/>
      <c r="CY833" s="60"/>
      <c r="CZ833" s="60"/>
      <c r="DA833" s="60"/>
      <c r="DB833" s="60"/>
      <c r="DC833" s="60"/>
      <c r="DD833" s="60"/>
      <c r="DE833" s="60"/>
      <c r="DF833" s="60"/>
      <c r="DG833" s="60"/>
      <c r="DH833" s="60"/>
      <c r="DI833" s="60"/>
      <c r="DJ833" s="60"/>
      <c r="DK833" s="60"/>
      <c r="DL833" s="60"/>
      <c r="DM833" s="60"/>
      <c r="DN833" s="60"/>
      <c r="DO833" s="60"/>
      <c r="DP833" s="60"/>
      <c r="DQ833" s="60"/>
      <c r="DR833" s="60"/>
      <c r="DS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  <c r="BG834" s="60"/>
      <c r="BH834" s="60"/>
      <c r="BI834" s="60"/>
      <c r="BJ834" s="60"/>
      <c r="BK834" s="60"/>
      <c r="BL834" s="60"/>
      <c r="BM834" s="60"/>
      <c r="BN834" s="60"/>
      <c r="BO834" s="60"/>
      <c r="BP834" s="60"/>
      <c r="BQ834" s="60"/>
      <c r="BR834" s="60"/>
      <c r="BS834" s="60"/>
      <c r="BT834" s="60"/>
      <c r="BU834" s="60"/>
      <c r="BV834" s="60"/>
      <c r="BW834" s="60"/>
      <c r="BX834" s="60"/>
      <c r="BY834" s="60"/>
      <c r="BZ834" s="60"/>
      <c r="CA834" s="60"/>
      <c r="CB834" s="60"/>
      <c r="CC834" s="60"/>
      <c r="CD834" s="60"/>
      <c r="CE834" s="60"/>
      <c r="CF834" s="60"/>
      <c r="CG834" s="60"/>
      <c r="CH834" s="60"/>
      <c r="CI834" s="60"/>
      <c r="CJ834" s="60"/>
      <c r="CK834" s="60"/>
      <c r="CL834" s="60"/>
      <c r="CM834" s="60"/>
      <c r="CN834" s="60"/>
      <c r="CO834" s="60"/>
      <c r="CP834" s="60"/>
      <c r="CQ834" s="60"/>
      <c r="CR834" s="60"/>
      <c r="CS834" s="60"/>
      <c r="CT834" s="60"/>
      <c r="CU834" s="60"/>
      <c r="CV834" s="60"/>
      <c r="CW834" s="60"/>
      <c r="CX834" s="60"/>
      <c r="CY834" s="60"/>
      <c r="CZ834" s="60"/>
      <c r="DA834" s="60"/>
      <c r="DB834" s="60"/>
      <c r="DC834" s="60"/>
      <c r="DD834" s="60"/>
      <c r="DE834" s="60"/>
      <c r="DF834" s="60"/>
      <c r="DG834" s="60"/>
      <c r="DH834" s="60"/>
      <c r="DI834" s="60"/>
      <c r="DJ834" s="60"/>
      <c r="DK834" s="60"/>
      <c r="DL834" s="60"/>
      <c r="DM834" s="60"/>
      <c r="DN834" s="60"/>
      <c r="DO834" s="60"/>
      <c r="DP834" s="60"/>
      <c r="DQ834" s="60"/>
      <c r="DR834" s="60"/>
      <c r="DS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60"/>
      <c r="BH835" s="60"/>
      <c r="BI835" s="60"/>
      <c r="BJ835" s="60"/>
      <c r="BK835" s="60"/>
      <c r="BL835" s="60"/>
      <c r="BM835" s="60"/>
      <c r="BN835" s="60"/>
      <c r="BO835" s="60"/>
      <c r="BP835" s="60"/>
      <c r="BQ835" s="60"/>
      <c r="BR835" s="60"/>
      <c r="BS835" s="60"/>
      <c r="BT835" s="60"/>
      <c r="BU835" s="60"/>
      <c r="BV835" s="60"/>
      <c r="BW835" s="60"/>
      <c r="BX835" s="60"/>
      <c r="BY835" s="60"/>
      <c r="BZ835" s="60"/>
      <c r="CA835" s="60"/>
      <c r="CB835" s="60"/>
      <c r="CC835" s="60"/>
      <c r="CD835" s="60"/>
      <c r="CE835" s="60"/>
      <c r="CF835" s="60"/>
      <c r="CG835" s="60"/>
      <c r="CH835" s="60"/>
      <c r="CI835" s="60"/>
      <c r="CJ835" s="60"/>
      <c r="CK835" s="60"/>
      <c r="CL835" s="60"/>
      <c r="CM835" s="60"/>
      <c r="CN835" s="60"/>
      <c r="CO835" s="60"/>
      <c r="CP835" s="60"/>
      <c r="CQ835" s="60"/>
      <c r="CR835" s="60"/>
      <c r="CS835" s="60"/>
      <c r="CT835" s="60"/>
      <c r="CU835" s="60"/>
      <c r="CV835" s="60"/>
      <c r="CW835" s="60"/>
      <c r="CX835" s="60"/>
      <c r="CY835" s="60"/>
      <c r="CZ835" s="60"/>
      <c r="DA835" s="60"/>
      <c r="DB835" s="60"/>
      <c r="DC835" s="60"/>
      <c r="DD835" s="60"/>
      <c r="DE835" s="60"/>
      <c r="DF835" s="60"/>
      <c r="DG835" s="60"/>
      <c r="DH835" s="60"/>
      <c r="DI835" s="60"/>
      <c r="DJ835" s="60"/>
      <c r="DK835" s="60"/>
      <c r="DL835" s="60"/>
      <c r="DM835" s="60"/>
      <c r="DN835" s="60"/>
      <c r="DO835" s="60"/>
      <c r="DP835" s="60"/>
      <c r="DQ835" s="60"/>
      <c r="DR835" s="60"/>
      <c r="DS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  <c r="BG836" s="60"/>
      <c r="BH836" s="60"/>
      <c r="BI836" s="60"/>
      <c r="BJ836" s="60"/>
      <c r="BK836" s="60"/>
      <c r="BL836" s="60"/>
      <c r="BM836" s="60"/>
      <c r="BN836" s="60"/>
      <c r="BO836" s="60"/>
      <c r="BP836" s="60"/>
      <c r="BQ836" s="60"/>
      <c r="BR836" s="60"/>
      <c r="BS836" s="60"/>
      <c r="BT836" s="60"/>
      <c r="BU836" s="60"/>
      <c r="BV836" s="60"/>
      <c r="BW836" s="60"/>
      <c r="BX836" s="60"/>
      <c r="BY836" s="60"/>
      <c r="BZ836" s="60"/>
      <c r="CA836" s="60"/>
      <c r="CB836" s="60"/>
      <c r="CC836" s="60"/>
      <c r="CD836" s="60"/>
      <c r="CE836" s="60"/>
      <c r="CF836" s="60"/>
      <c r="CG836" s="60"/>
      <c r="CH836" s="60"/>
      <c r="CI836" s="60"/>
      <c r="CJ836" s="60"/>
      <c r="CK836" s="60"/>
      <c r="CL836" s="60"/>
      <c r="CM836" s="60"/>
      <c r="CN836" s="60"/>
      <c r="CO836" s="60"/>
      <c r="CP836" s="60"/>
      <c r="CQ836" s="60"/>
      <c r="CR836" s="60"/>
      <c r="CS836" s="60"/>
      <c r="CT836" s="60"/>
      <c r="CU836" s="60"/>
      <c r="CV836" s="60"/>
      <c r="CW836" s="60"/>
      <c r="CX836" s="60"/>
      <c r="CY836" s="60"/>
      <c r="CZ836" s="60"/>
      <c r="DA836" s="60"/>
      <c r="DB836" s="60"/>
      <c r="DC836" s="60"/>
      <c r="DD836" s="60"/>
      <c r="DE836" s="60"/>
      <c r="DF836" s="60"/>
      <c r="DG836" s="60"/>
      <c r="DH836" s="60"/>
      <c r="DI836" s="60"/>
      <c r="DJ836" s="60"/>
      <c r="DK836" s="60"/>
      <c r="DL836" s="60"/>
      <c r="DM836" s="60"/>
      <c r="DN836" s="60"/>
      <c r="DO836" s="60"/>
      <c r="DP836" s="60"/>
      <c r="DQ836" s="60"/>
      <c r="DR836" s="60"/>
      <c r="DS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  <c r="BG837" s="60"/>
      <c r="BH837" s="60"/>
      <c r="BI837" s="60"/>
      <c r="BJ837" s="60"/>
      <c r="BK837" s="60"/>
      <c r="BL837" s="60"/>
      <c r="BM837" s="60"/>
      <c r="BN837" s="60"/>
      <c r="BO837" s="60"/>
      <c r="BP837" s="60"/>
      <c r="BQ837" s="60"/>
      <c r="BR837" s="60"/>
      <c r="BS837" s="60"/>
      <c r="BT837" s="60"/>
      <c r="BU837" s="60"/>
      <c r="BV837" s="60"/>
      <c r="BW837" s="60"/>
      <c r="BX837" s="60"/>
      <c r="BY837" s="60"/>
      <c r="BZ837" s="60"/>
      <c r="CA837" s="60"/>
      <c r="CB837" s="60"/>
      <c r="CC837" s="60"/>
      <c r="CD837" s="60"/>
      <c r="CE837" s="60"/>
      <c r="CF837" s="60"/>
      <c r="CG837" s="60"/>
      <c r="CH837" s="60"/>
      <c r="CI837" s="60"/>
      <c r="CJ837" s="60"/>
      <c r="CK837" s="60"/>
      <c r="CL837" s="60"/>
      <c r="CM837" s="60"/>
      <c r="CN837" s="60"/>
      <c r="CO837" s="60"/>
      <c r="CP837" s="60"/>
      <c r="CQ837" s="60"/>
      <c r="CR837" s="60"/>
      <c r="CS837" s="60"/>
      <c r="CT837" s="60"/>
      <c r="CU837" s="60"/>
      <c r="CV837" s="60"/>
      <c r="CW837" s="60"/>
      <c r="CX837" s="60"/>
      <c r="CY837" s="60"/>
      <c r="CZ837" s="60"/>
      <c r="DA837" s="60"/>
      <c r="DB837" s="60"/>
      <c r="DC837" s="60"/>
      <c r="DD837" s="60"/>
      <c r="DE837" s="60"/>
      <c r="DF837" s="60"/>
      <c r="DG837" s="60"/>
      <c r="DH837" s="60"/>
      <c r="DI837" s="60"/>
      <c r="DJ837" s="60"/>
      <c r="DK837" s="60"/>
      <c r="DL837" s="60"/>
      <c r="DM837" s="60"/>
      <c r="DN837" s="60"/>
      <c r="DO837" s="60"/>
      <c r="DP837" s="60"/>
      <c r="DQ837" s="60"/>
      <c r="DR837" s="60"/>
      <c r="DS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  <c r="BG838" s="60"/>
      <c r="BH838" s="60"/>
      <c r="BI838" s="60"/>
      <c r="BJ838" s="60"/>
      <c r="BK838" s="60"/>
      <c r="BL838" s="60"/>
      <c r="BM838" s="60"/>
      <c r="BN838" s="60"/>
      <c r="BO838" s="60"/>
      <c r="BP838" s="60"/>
      <c r="BQ838" s="60"/>
      <c r="BR838" s="60"/>
      <c r="BS838" s="60"/>
      <c r="BT838" s="60"/>
      <c r="BU838" s="60"/>
      <c r="BV838" s="60"/>
      <c r="BW838" s="60"/>
      <c r="BX838" s="60"/>
      <c r="BY838" s="60"/>
      <c r="BZ838" s="60"/>
      <c r="CA838" s="60"/>
      <c r="CB838" s="60"/>
      <c r="CC838" s="60"/>
      <c r="CD838" s="60"/>
      <c r="CE838" s="60"/>
      <c r="CF838" s="60"/>
      <c r="CG838" s="60"/>
      <c r="CH838" s="60"/>
      <c r="CI838" s="60"/>
      <c r="CJ838" s="60"/>
      <c r="CK838" s="60"/>
      <c r="CL838" s="60"/>
      <c r="CM838" s="60"/>
      <c r="CN838" s="60"/>
      <c r="CO838" s="60"/>
      <c r="CP838" s="60"/>
      <c r="CQ838" s="60"/>
      <c r="CR838" s="60"/>
      <c r="CS838" s="60"/>
      <c r="CT838" s="60"/>
      <c r="CU838" s="60"/>
      <c r="CV838" s="60"/>
      <c r="CW838" s="60"/>
      <c r="CX838" s="60"/>
      <c r="CY838" s="60"/>
      <c r="CZ838" s="60"/>
      <c r="DA838" s="60"/>
      <c r="DB838" s="60"/>
      <c r="DC838" s="60"/>
      <c r="DD838" s="60"/>
      <c r="DE838" s="60"/>
      <c r="DF838" s="60"/>
      <c r="DG838" s="60"/>
      <c r="DH838" s="60"/>
      <c r="DI838" s="60"/>
      <c r="DJ838" s="60"/>
      <c r="DK838" s="60"/>
      <c r="DL838" s="60"/>
      <c r="DM838" s="60"/>
      <c r="DN838" s="60"/>
      <c r="DO838" s="60"/>
      <c r="DP838" s="60"/>
      <c r="DQ838" s="60"/>
      <c r="DR838" s="60"/>
      <c r="DS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  <c r="BG839" s="60"/>
      <c r="BH839" s="60"/>
      <c r="BI839" s="60"/>
      <c r="BJ839" s="60"/>
      <c r="BK839" s="60"/>
      <c r="BL839" s="60"/>
      <c r="BM839" s="60"/>
      <c r="BN839" s="60"/>
      <c r="BO839" s="60"/>
      <c r="BP839" s="60"/>
      <c r="BQ839" s="60"/>
      <c r="BR839" s="60"/>
      <c r="BS839" s="60"/>
      <c r="BT839" s="60"/>
      <c r="BU839" s="60"/>
      <c r="BV839" s="60"/>
      <c r="BW839" s="60"/>
      <c r="BX839" s="60"/>
      <c r="BY839" s="60"/>
      <c r="BZ839" s="60"/>
      <c r="CA839" s="60"/>
      <c r="CB839" s="60"/>
      <c r="CC839" s="60"/>
      <c r="CD839" s="60"/>
      <c r="CE839" s="60"/>
      <c r="CF839" s="60"/>
      <c r="CG839" s="60"/>
      <c r="CH839" s="60"/>
      <c r="CI839" s="60"/>
      <c r="CJ839" s="60"/>
      <c r="CK839" s="60"/>
      <c r="CL839" s="60"/>
      <c r="CM839" s="60"/>
      <c r="CN839" s="60"/>
      <c r="CO839" s="60"/>
      <c r="CP839" s="60"/>
      <c r="CQ839" s="60"/>
      <c r="CR839" s="60"/>
      <c r="CS839" s="60"/>
      <c r="CT839" s="60"/>
      <c r="CU839" s="60"/>
      <c r="CV839" s="60"/>
      <c r="CW839" s="60"/>
      <c r="CX839" s="60"/>
      <c r="CY839" s="60"/>
      <c r="CZ839" s="60"/>
      <c r="DA839" s="60"/>
      <c r="DB839" s="60"/>
      <c r="DC839" s="60"/>
      <c r="DD839" s="60"/>
      <c r="DE839" s="60"/>
      <c r="DF839" s="60"/>
      <c r="DG839" s="60"/>
      <c r="DH839" s="60"/>
      <c r="DI839" s="60"/>
      <c r="DJ839" s="60"/>
      <c r="DK839" s="60"/>
      <c r="DL839" s="60"/>
      <c r="DM839" s="60"/>
      <c r="DN839" s="60"/>
      <c r="DO839" s="60"/>
      <c r="DP839" s="60"/>
      <c r="DQ839" s="60"/>
      <c r="DR839" s="60"/>
      <c r="DS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/>
      <c r="BJ840" s="60"/>
      <c r="BK840" s="60"/>
      <c r="BL840" s="60"/>
      <c r="BM840" s="60"/>
      <c r="BN840" s="60"/>
      <c r="BO840" s="60"/>
      <c r="BP840" s="60"/>
      <c r="BQ840" s="60"/>
      <c r="BR840" s="60"/>
      <c r="BS840" s="60"/>
      <c r="BT840" s="60"/>
      <c r="BU840" s="60"/>
      <c r="BV840" s="60"/>
      <c r="BW840" s="60"/>
      <c r="BX840" s="60"/>
      <c r="BY840" s="60"/>
      <c r="BZ840" s="60"/>
      <c r="CA840" s="60"/>
      <c r="CB840" s="60"/>
      <c r="CC840" s="60"/>
      <c r="CD840" s="60"/>
      <c r="CE840" s="60"/>
      <c r="CF840" s="60"/>
      <c r="CG840" s="60"/>
      <c r="CH840" s="60"/>
      <c r="CI840" s="60"/>
      <c r="CJ840" s="60"/>
      <c r="CK840" s="60"/>
      <c r="CL840" s="60"/>
      <c r="CM840" s="60"/>
      <c r="CN840" s="60"/>
      <c r="CO840" s="60"/>
      <c r="CP840" s="60"/>
      <c r="CQ840" s="60"/>
      <c r="CR840" s="60"/>
      <c r="CS840" s="60"/>
      <c r="CT840" s="60"/>
      <c r="CU840" s="60"/>
      <c r="CV840" s="60"/>
      <c r="CW840" s="60"/>
      <c r="CX840" s="60"/>
      <c r="CY840" s="60"/>
      <c r="CZ840" s="60"/>
      <c r="DA840" s="60"/>
      <c r="DB840" s="60"/>
      <c r="DC840" s="60"/>
      <c r="DD840" s="60"/>
      <c r="DE840" s="60"/>
      <c r="DF840" s="60"/>
      <c r="DG840" s="60"/>
      <c r="DH840" s="60"/>
      <c r="DI840" s="60"/>
      <c r="DJ840" s="60"/>
      <c r="DK840" s="60"/>
      <c r="DL840" s="60"/>
      <c r="DM840" s="60"/>
      <c r="DN840" s="60"/>
      <c r="DO840" s="60"/>
      <c r="DP840" s="60"/>
      <c r="DQ840" s="60"/>
      <c r="DR840" s="60"/>
      <c r="DS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  <c r="BG841" s="60"/>
      <c r="BH841" s="60"/>
      <c r="BI841" s="60"/>
      <c r="BJ841" s="60"/>
      <c r="BK841" s="60"/>
      <c r="BL841" s="60"/>
      <c r="BM841" s="60"/>
      <c r="BN841" s="60"/>
      <c r="BO841" s="60"/>
      <c r="BP841" s="60"/>
      <c r="BQ841" s="60"/>
      <c r="BR841" s="60"/>
      <c r="BS841" s="60"/>
      <c r="BT841" s="60"/>
      <c r="BU841" s="60"/>
      <c r="BV841" s="60"/>
      <c r="BW841" s="60"/>
      <c r="BX841" s="60"/>
      <c r="BY841" s="60"/>
      <c r="BZ841" s="60"/>
      <c r="CA841" s="60"/>
      <c r="CB841" s="60"/>
      <c r="CC841" s="60"/>
      <c r="CD841" s="60"/>
      <c r="CE841" s="60"/>
      <c r="CF841" s="60"/>
      <c r="CG841" s="60"/>
      <c r="CH841" s="60"/>
      <c r="CI841" s="60"/>
      <c r="CJ841" s="60"/>
      <c r="CK841" s="60"/>
      <c r="CL841" s="60"/>
      <c r="CM841" s="60"/>
      <c r="CN841" s="60"/>
      <c r="CO841" s="60"/>
      <c r="CP841" s="60"/>
      <c r="CQ841" s="60"/>
      <c r="CR841" s="60"/>
      <c r="CS841" s="60"/>
      <c r="CT841" s="60"/>
      <c r="CU841" s="60"/>
      <c r="CV841" s="60"/>
      <c r="CW841" s="60"/>
      <c r="CX841" s="60"/>
      <c r="CY841" s="60"/>
      <c r="CZ841" s="60"/>
      <c r="DA841" s="60"/>
      <c r="DB841" s="60"/>
      <c r="DC841" s="60"/>
      <c r="DD841" s="60"/>
      <c r="DE841" s="60"/>
      <c r="DF841" s="60"/>
      <c r="DG841" s="60"/>
      <c r="DH841" s="60"/>
      <c r="DI841" s="60"/>
      <c r="DJ841" s="60"/>
      <c r="DK841" s="60"/>
      <c r="DL841" s="60"/>
      <c r="DM841" s="60"/>
      <c r="DN841" s="60"/>
      <c r="DO841" s="60"/>
      <c r="DP841" s="60"/>
      <c r="DQ841" s="60"/>
      <c r="DR841" s="60"/>
      <c r="DS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60"/>
      <c r="BH842" s="60"/>
      <c r="BI842" s="60"/>
      <c r="BJ842" s="60"/>
      <c r="BK842" s="60"/>
      <c r="BL842" s="60"/>
      <c r="BM842" s="60"/>
      <c r="BN842" s="60"/>
      <c r="BO842" s="60"/>
      <c r="BP842" s="60"/>
      <c r="BQ842" s="60"/>
      <c r="BR842" s="60"/>
      <c r="BS842" s="60"/>
      <c r="BT842" s="60"/>
      <c r="BU842" s="60"/>
      <c r="BV842" s="60"/>
      <c r="BW842" s="60"/>
      <c r="BX842" s="60"/>
      <c r="BY842" s="60"/>
      <c r="BZ842" s="60"/>
      <c r="CA842" s="60"/>
      <c r="CB842" s="60"/>
      <c r="CC842" s="60"/>
      <c r="CD842" s="60"/>
      <c r="CE842" s="60"/>
      <c r="CF842" s="60"/>
      <c r="CG842" s="60"/>
      <c r="CH842" s="60"/>
      <c r="CI842" s="60"/>
      <c r="CJ842" s="60"/>
      <c r="CK842" s="60"/>
      <c r="CL842" s="60"/>
      <c r="CM842" s="60"/>
      <c r="CN842" s="60"/>
      <c r="CO842" s="60"/>
      <c r="CP842" s="60"/>
      <c r="CQ842" s="60"/>
      <c r="CR842" s="60"/>
      <c r="CS842" s="60"/>
      <c r="CT842" s="60"/>
      <c r="CU842" s="60"/>
      <c r="CV842" s="60"/>
      <c r="CW842" s="60"/>
      <c r="CX842" s="60"/>
      <c r="CY842" s="60"/>
      <c r="CZ842" s="60"/>
      <c r="DA842" s="60"/>
      <c r="DB842" s="60"/>
      <c r="DC842" s="60"/>
      <c r="DD842" s="60"/>
      <c r="DE842" s="60"/>
      <c r="DF842" s="60"/>
      <c r="DG842" s="60"/>
      <c r="DH842" s="60"/>
      <c r="DI842" s="60"/>
      <c r="DJ842" s="60"/>
      <c r="DK842" s="60"/>
      <c r="DL842" s="60"/>
      <c r="DM842" s="60"/>
      <c r="DN842" s="60"/>
      <c r="DO842" s="60"/>
      <c r="DP842" s="60"/>
      <c r="DQ842" s="60"/>
      <c r="DR842" s="60"/>
      <c r="DS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  <c r="BG843" s="60"/>
      <c r="BH843" s="60"/>
      <c r="BI843" s="60"/>
      <c r="BJ843" s="60"/>
      <c r="BK843" s="60"/>
      <c r="BL843" s="60"/>
      <c r="BM843" s="60"/>
      <c r="BN843" s="60"/>
      <c r="BO843" s="60"/>
      <c r="BP843" s="60"/>
      <c r="BQ843" s="60"/>
      <c r="BR843" s="60"/>
      <c r="BS843" s="60"/>
      <c r="BT843" s="60"/>
      <c r="BU843" s="60"/>
      <c r="BV843" s="60"/>
      <c r="BW843" s="60"/>
      <c r="BX843" s="60"/>
      <c r="BY843" s="60"/>
      <c r="BZ843" s="60"/>
      <c r="CA843" s="60"/>
      <c r="CB843" s="60"/>
      <c r="CC843" s="60"/>
      <c r="CD843" s="60"/>
      <c r="CE843" s="60"/>
      <c r="CF843" s="60"/>
      <c r="CG843" s="60"/>
      <c r="CH843" s="60"/>
      <c r="CI843" s="60"/>
      <c r="CJ843" s="60"/>
      <c r="CK843" s="60"/>
      <c r="CL843" s="60"/>
      <c r="CM843" s="60"/>
      <c r="CN843" s="60"/>
      <c r="CO843" s="60"/>
      <c r="CP843" s="60"/>
      <c r="CQ843" s="60"/>
      <c r="CR843" s="60"/>
      <c r="CS843" s="60"/>
      <c r="CT843" s="60"/>
      <c r="CU843" s="60"/>
      <c r="CV843" s="60"/>
      <c r="CW843" s="60"/>
      <c r="CX843" s="60"/>
      <c r="CY843" s="60"/>
      <c r="CZ843" s="60"/>
      <c r="DA843" s="60"/>
      <c r="DB843" s="60"/>
      <c r="DC843" s="60"/>
      <c r="DD843" s="60"/>
      <c r="DE843" s="60"/>
      <c r="DF843" s="60"/>
      <c r="DG843" s="60"/>
      <c r="DH843" s="60"/>
      <c r="DI843" s="60"/>
      <c r="DJ843" s="60"/>
      <c r="DK843" s="60"/>
      <c r="DL843" s="60"/>
      <c r="DM843" s="60"/>
      <c r="DN843" s="60"/>
      <c r="DO843" s="60"/>
      <c r="DP843" s="60"/>
      <c r="DQ843" s="60"/>
      <c r="DR843" s="60"/>
      <c r="DS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60"/>
      <c r="BH844" s="60"/>
      <c r="BI844" s="60"/>
      <c r="BJ844" s="60"/>
      <c r="BK844" s="60"/>
      <c r="BL844" s="60"/>
      <c r="BM844" s="60"/>
      <c r="BN844" s="60"/>
      <c r="BO844" s="60"/>
      <c r="BP844" s="60"/>
      <c r="BQ844" s="60"/>
      <c r="BR844" s="60"/>
      <c r="BS844" s="60"/>
      <c r="BT844" s="60"/>
      <c r="BU844" s="60"/>
      <c r="BV844" s="60"/>
      <c r="BW844" s="60"/>
      <c r="BX844" s="60"/>
      <c r="BY844" s="60"/>
      <c r="BZ844" s="60"/>
      <c r="CA844" s="60"/>
      <c r="CB844" s="60"/>
      <c r="CC844" s="60"/>
      <c r="CD844" s="60"/>
      <c r="CE844" s="60"/>
      <c r="CF844" s="60"/>
      <c r="CG844" s="60"/>
      <c r="CH844" s="60"/>
      <c r="CI844" s="60"/>
      <c r="CJ844" s="60"/>
      <c r="CK844" s="60"/>
      <c r="CL844" s="60"/>
      <c r="CM844" s="60"/>
      <c r="CN844" s="60"/>
      <c r="CO844" s="60"/>
      <c r="CP844" s="60"/>
      <c r="CQ844" s="60"/>
      <c r="CR844" s="60"/>
      <c r="CS844" s="60"/>
      <c r="CT844" s="60"/>
      <c r="CU844" s="60"/>
      <c r="CV844" s="60"/>
      <c r="CW844" s="60"/>
      <c r="CX844" s="60"/>
      <c r="CY844" s="60"/>
      <c r="CZ844" s="60"/>
      <c r="DA844" s="60"/>
      <c r="DB844" s="60"/>
      <c r="DC844" s="60"/>
      <c r="DD844" s="60"/>
      <c r="DE844" s="60"/>
      <c r="DF844" s="60"/>
      <c r="DG844" s="60"/>
      <c r="DH844" s="60"/>
      <c r="DI844" s="60"/>
      <c r="DJ844" s="60"/>
      <c r="DK844" s="60"/>
      <c r="DL844" s="60"/>
      <c r="DM844" s="60"/>
      <c r="DN844" s="60"/>
      <c r="DO844" s="60"/>
      <c r="DP844" s="60"/>
      <c r="DQ844" s="60"/>
      <c r="DR844" s="60"/>
      <c r="DS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  <c r="BG845" s="60"/>
      <c r="BH845" s="60"/>
      <c r="BI845" s="60"/>
      <c r="BJ845" s="60"/>
      <c r="BK845" s="60"/>
      <c r="BL845" s="60"/>
      <c r="BM845" s="60"/>
      <c r="BN845" s="60"/>
      <c r="BO845" s="60"/>
      <c r="BP845" s="60"/>
      <c r="BQ845" s="60"/>
      <c r="BR845" s="60"/>
      <c r="BS845" s="60"/>
      <c r="BT845" s="60"/>
      <c r="BU845" s="60"/>
      <c r="BV845" s="60"/>
      <c r="BW845" s="60"/>
      <c r="BX845" s="60"/>
      <c r="BY845" s="60"/>
      <c r="BZ845" s="60"/>
      <c r="CA845" s="60"/>
      <c r="CB845" s="60"/>
      <c r="CC845" s="60"/>
      <c r="CD845" s="60"/>
      <c r="CE845" s="60"/>
      <c r="CF845" s="60"/>
      <c r="CG845" s="60"/>
      <c r="CH845" s="60"/>
      <c r="CI845" s="60"/>
      <c r="CJ845" s="60"/>
      <c r="CK845" s="60"/>
      <c r="CL845" s="60"/>
      <c r="CM845" s="60"/>
      <c r="CN845" s="60"/>
      <c r="CO845" s="60"/>
      <c r="CP845" s="60"/>
      <c r="CQ845" s="60"/>
      <c r="CR845" s="60"/>
      <c r="CS845" s="60"/>
      <c r="CT845" s="60"/>
      <c r="CU845" s="60"/>
      <c r="CV845" s="60"/>
      <c r="CW845" s="60"/>
      <c r="CX845" s="60"/>
      <c r="CY845" s="60"/>
      <c r="CZ845" s="60"/>
      <c r="DA845" s="60"/>
      <c r="DB845" s="60"/>
      <c r="DC845" s="60"/>
      <c r="DD845" s="60"/>
      <c r="DE845" s="60"/>
      <c r="DF845" s="60"/>
      <c r="DG845" s="60"/>
      <c r="DH845" s="60"/>
      <c r="DI845" s="60"/>
      <c r="DJ845" s="60"/>
      <c r="DK845" s="60"/>
      <c r="DL845" s="60"/>
      <c r="DM845" s="60"/>
      <c r="DN845" s="60"/>
      <c r="DO845" s="60"/>
      <c r="DP845" s="60"/>
      <c r="DQ845" s="60"/>
      <c r="DR845" s="60"/>
      <c r="DS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  <c r="BG846" s="60"/>
      <c r="BH846" s="60"/>
      <c r="BI846" s="60"/>
      <c r="BJ846" s="60"/>
      <c r="BK846" s="60"/>
      <c r="BL846" s="60"/>
      <c r="BM846" s="60"/>
      <c r="BN846" s="60"/>
      <c r="BO846" s="60"/>
      <c r="BP846" s="60"/>
      <c r="BQ846" s="60"/>
      <c r="BR846" s="60"/>
      <c r="BS846" s="60"/>
      <c r="BT846" s="60"/>
      <c r="BU846" s="60"/>
      <c r="BV846" s="60"/>
      <c r="BW846" s="60"/>
      <c r="BX846" s="60"/>
      <c r="BY846" s="60"/>
      <c r="BZ846" s="60"/>
      <c r="CA846" s="60"/>
      <c r="CB846" s="60"/>
      <c r="CC846" s="60"/>
      <c r="CD846" s="60"/>
      <c r="CE846" s="60"/>
      <c r="CF846" s="60"/>
      <c r="CG846" s="60"/>
      <c r="CH846" s="60"/>
      <c r="CI846" s="60"/>
      <c r="CJ846" s="60"/>
      <c r="CK846" s="60"/>
      <c r="CL846" s="60"/>
      <c r="CM846" s="60"/>
      <c r="CN846" s="60"/>
      <c r="CO846" s="60"/>
      <c r="CP846" s="60"/>
      <c r="CQ846" s="60"/>
      <c r="CR846" s="60"/>
      <c r="CS846" s="60"/>
      <c r="CT846" s="60"/>
      <c r="CU846" s="60"/>
      <c r="CV846" s="60"/>
      <c r="CW846" s="60"/>
      <c r="CX846" s="60"/>
      <c r="CY846" s="60"/>
      <c r="CZ846" s="60"/>
      <c r="DA846" s="60"/>
      <c r="DB846" s="60"/>
      <c r="DC846" s="60"/>
      <c r="DD846" s="60"/>
      <c r="DE846" s="60"/>
      <c r="DF846" s="60"/>
      <c r="DG846" s="60"/>
      <c r="DH846" s="60"/>
      <c r="DI846" s="60"/>
      <c r="DJ846" s="60"/>
      <c r="DK846" s="60"/>
      <c r="DL846" s="60"/>
      <c r="DM846" s="60"/>
      <c r="DN846" s="60"/>
      <c r="DO846" s="60"/>
      <c r="DP846" s="60"/>
      <c r="DQ846" s="60"/>
      <c r="DR846" s="60"/>
      <c r="DS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  <c r="BG847" s="60"/>
      <c r="BH847" s="60"/>
      <c r="BI847" s="60"/>
      <c r="BJ847" s="60"/>
      <c r="BK847" s="60"/>
      <c r="BL847" s="60"/>
      <c r="BM847" s="60"/>
      <c r="BN847" s="60"/>
      <c r="BO847" s="60"/>
      <c r="BP847" s="60"/>
      <c r="BQ847" s="60"/>
      <c r="BR847" s="60"/>
      <c r="BS847" s="60"/>
      <c r="BT847" s="60"/>
      <c r="BU847" s="60"/>
      <c r="BV847" s="60"/>
      <c r="BW847" s="60"/>
      <c r="BX847" s="60"/>
      <c r="BY847" s="60"/>
      <c r="BZ847" s="60"/>
      <c r="CA847" s="60"/>
      <c r="CB847" s="60"/>
      <c r="CC847" s="60"/>
      <c r="CD847" s="60"/>
      <c r="CE847" s="60"/>
      <c r="CF847" s="60"/>
      <c r="CG847" s="60"/>
      <c r="CH847" s="60"/>
      <c r="CI847" s="60"/>
      <c r="CJ847" s="60"/>
      <c r="CK847" s="60"/>
      <c r="CL847" s="60"/>
      <c r="CM847" s="60"/>
      <c r="CN847" s="60"/>
      <c r="CO847" s="60"/>
      <c r="CP847" s="60"/>
      <c r="CQ847" s="60"/>
      <c r="CR847" s="60"/>
      <c r="CS847" s="60"/>
      <c r="CT847" s="60"/>
      <c r="CU847" s="60"/>
      <c r="CV847" s="60"/>
      <c r="CW847" s="60"/>
      <c r="CX847" s="60"/>
      <c r="CY847" s="60"/>
      <c r="CZ847" s="60"/>
      <c r="DA847" s="60"/>
      <c r="DB847" s="60"/>
      <c r="DC847" s="60"/>
      <c r="DD847" s="60"/>
      <c r="DE847" s="60"/>
      <c r="DF847" s="60"/>
      <c r="DG847" s="60"/>
      <c r="DH847" s="60"/>
      <c r="DI847" s="60"/>
      <c r="DJ847" s="60"/>
      <c r="DK847" s="60"/>
      <c r="DL847" s="60"/>
      <c r="DM847" s="60"/>
      <c r="DN847" s="60"/>
      <c r="DO847" s="60"/>
      <c r="DP847" s="60"/>
      <c r="DQ847" s="60"/>
      <c r="DR847" s="60"/>
      <c r="DS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  <c r="BG848" s="60"/>
      <c r="BH848" s="60"/>
      <c r="BI848" s="60"/>
      <c r="BJ848" s="60"/>
      <c r="BK848" s="60"/>
      <c r="BL848" s="60"/>
      <c r="BM848" s="60"/>
      <c r="BN848" s="60"/>
      <c r="BO848" s="60"/>
      <c r="BP848" s="60"/>
      <c r="BQ848" s="60"/>
      <c r="BR848" s="60"/>
      <c r="BS848" s="60"/>
      <c r="BT848" s="60"/>
      <c r="BU848" s="60"/>
      <c r="BV848" s="60"/>
      <c r="BW848" s="60"/>
      <c r="BX848" s="60"/>
      <c r="BY848" s="60"/>
      <c r="BZ848" s="60"/>
      <c r="CA848" s="60"/>
      <c r="CB848" s="60"/>
      <c r="CC848" s="60"/>
      <c r="CD848" s="60"/>
      <c r="CE848" s="60"/>
      <c r="CF848" s="60"/>
      <c r="CG848" s="60"/>
      <c r="CH848" s="60"/>
      <c r="CI848" s="60"/>
      <c r="CJ848" s="60"/>
      <c r="CK848" s="60"/>
      <c r="CL848" s="60"/>
      <c r="CM848" s="60"/>
      <c r="CN848" s="60"/>
      <c r="CO848" s="60"/>
      <c r="CP848" s="60"/>
      <c r="CQ848" s="60"/>
      <c r="CR848" s="60"/>
      <c r="CS848" s="60"/>
      <c r="CT848" s="60"/>
      <c r="CU848" s="60"/>
      <c r="CV848" s="60"/>
      <c r="CW848" s="60"/>
      <c r="CX848" s="60"/>
      <c r="CY848" s="60"/>
      <c r="CZ848" s="60"/>
      <c r="DA848" s="60"/>
      <c r="DB848" s="60"/>
      <c r="DC848" s="60"/>
      <c r="DD848" s="60"/>
      <c r="DE848" s="60"/>
      <c r="DF848" s="60"/>
      <c r="DG848" s="60"/>
      <c r="DH848" s="60"/>
      <c r="DI848" s="60"/>
      <c r="DJ848" s="60"/>
      <c r="DK848" s="60"/>
      <c r="DL848" s="60"/>
      <c r="DM848" s="60"/>
      <c r="DN848" s="60"/>
      <c r="DO848" s="60"/>
      <c r="DP848" s="60"/>
      <c r="DQ848" s="60"/>
      <c r="DR848" s="60"/>
      <c r="DS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  <c r="BG849" s="60"/>
      <c r="BH849" s="60"/>
      <c r="BI849" s="60"/>
      <c r="BJ849" s="60"/>
      <c r="BK849" s="60"/>
      <c r="BL849" s="60"/>
      <c r="BM849" s="60"/>
      <c r="BN849" s="60"/>
      <c r="BO849" s="60"/>
      <c r="BP849" s="60"/>
      <c r="BQ849" s="60"/>
      <c r="BR849" s="60"/>
      <c r="BS849" s="60"/>
      <c r="BT849" s="60"/>
      <c r="BU849" s="60"/>
      <c r="BV849" s="60"/>
      <c r="BW849" s="60"/>
      <c r="BX849" s="60"/>
      <c r="BY849" s="60"/>
      <c r="BZ849" s="60"/>
      <c r="CA849" s="60"/>
      <c r="CB849" s="60"/>
      <c r="CC849" s="60"/>
      <c r="CD849" s="60"/>
      <c r="CE849" s="60"/>
      <c r="CF849" s="60"/>
      <c r="CG849" s="60"/>
      <c r="CH849" s="60"/>
      <c r="CI849" s="60"/>
      <c r="CJ849" s="60"/>
      <c r="CK849" s="60"/>
      <c r="CL849" s="60"/>
      <c r="CM849" s="60"/>
      <c r="CN849" s="60"/>
      <c r="CO849" s="60"/>
      <c r="CP849" s="60"/>
      <c r="CQ849" s="60"/>
      <c r="CR849" s="60"/>
      <c r="CS849" s="60"/>
      <c r="CT849" s="60"/>
      <c r="CU849" s="60"/>
      <c r="CV849" s="60"/>
      <c r="CW849" s="60"/>
      <c r="CX849" s="60"/>
      <c r="CY849" s="60"/>
      <c r="CZ849" s="60"/>
      <c r="DA849" s="60"/>
      <c r="DB849" s="60"/>
      <c r="DC849" s="60"/>
      <c r="DD849" s="60"/>
      <c r="DE849" s="60"/>
      <c r="DF849" s="60"/>
      <c r="DG849" s="60"/>
      <c r="DH849" s="60"/>
      <c r="DI849" s="60"/>
      <c r="DJ849" s="60"/>
      <c r="DK849" s="60"/>
      <c r="DL849" s="60"/>
      <c r="DM849" s="60"/>
      <c r="DN849" s="60"/>
      <c r="DO849" s="60"/>
      <c r="DP849" s="60"/>
      <c r="DQ849" s="60"/>
      <c r="DR849" s="60"/>
      <c r="DS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60"/>
      <c r="BH850" s="60"/>
      <c r="BI850" s="60"/>
      <c r="BJ850" s="60"/>
      <c r="BK850" s="60"/>
      <c r="BL850" s="60"/>
      <c r="BM850" s="60"/>
      <c r="BN850" s="60"/>
      <c r="BO850" s="60"/>
      <c r="BP850" s="60"/>
      <c r="BQ850" s="60"/>
      <c r="BR850" s="60"/>
      <c r="BS850" s="60"/>
      <c r="BT850" s="60"/>
      <c r="BU850" s="60"/>
      <c r="BV850" s="60"/>
      <c r="BW850" s="60"/>
      <c r="BX850" s="60"/>
      <c r="BY850" s="60"/>
      <c r="BZ850" s="60"/>
      <c r="CA850" s="60"/>
      <c r="CB850" s="60"/>
      <c r="CC850" s="60"/>
      <c r="CD850" s="60"/>
      <c r="CE850" s="60"/>
      <c r="CF850" s="60"/>
      <c r="CG850" s="60"/>
      <c r="CH850" s="60"/>
      <c r="CI850" s="60"/>
      <c r="CJ850" s="60"/>
      <c r="CK850" s="60"/>
      <c r="CL850" s="60"/>
      <c r="CM850" s="60"/>
      <c r="CN850" s="60"/>
      <c r="CO850" s="60"/>
      <c r="CP850" s="60"/>
      <c r="CQ850" s="60"/>
      <c r="CR850" s="60"/>
      <c r="CS850" s="60"/>
      <c r="CT850" s="60"/>
      <c r="CU850" s="60"/>
      <c r="CV850" s="60"/>
      <c r="CW850" s="60"/>
      <c r="CX850" s="60"/>
      <c r="CY850" s="60"/>
      <c r="CZ850" s="60"/>
      <c r="DA850" s="60"/>
      <c r="DB850" s="60"/>
      <c r="DC850" s="60"/>
      <c r="DD850" s="60"/>
      <c r="DE850" s="60"/>
      <c r="DF850" s="60"/>
      <c r="DG850" s="60"/>
      <c r="DH850" s="60"/>
      <c r="DI850" s="60"/>
      <c r="DJ850" s="60"/>
      <c r="DK850" s="60"/>
      <c r="DL850" s="60"/>
      <c r="DM850" s="60"/>
      <c r="DN850" s="60"/>
      <c r="DO850" s="60"/>
      <c r="DP850" s="60"/>
      <c r="DQ850" s="60"/>
      <c r="DR850" s="60"/>
      <c r="DS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  <c r="BG851" s="60"/>
      <c r="BH851" s="60"/>
      <c r="BI851" s="60"/>
      <c r="BJ851" s="60"/>
      <c r="BK851" s="60"/>
      <c r="BL851" s="60"/>
      <c r="BM851" s="60"/>
      <c r="BN851" s="60"/>
      <c r="BO851" s="60"/>
      <c r="BP851" s="60"/>
      <c r="BQ851" s="60"/>
      <c r="BR851" s="60"/>
      <c r="BS851" s="60"/>
      <c r="BT851" s="60"/>
      <c r="BU851" s="60"/>
      <c r="BV851" s="60"/>
      <c r="BW851" s="60"/>
      <c r="BX851" s="60"/>
      <c r="BY851" s="60"/>
      <c r="BZ851" s="60"/>
      <c r="CA851" s="60"/>
      <c r="CB851" s="60"/>
      <c r="CC851" s="60"/>
      <c r="CD851" s="60"/>
      <c r="CE851" s="60"/>
      <c r="CF851" s="60"/>
      <c r="CG851" s="60"/>
      <c r="CH851" s="60"/>
      <c r="CI851" s="60"/>
      <c r="CJ851" s="60"/>
      <c r="CK851" s="60"/>
      <c r="CL851" s="60"/>
      <c r="CM851" s="60"/>
      <c r="CN851" s="60"/>
      <c r="CO851" s="60"/>
      <c r="CP851" s="60"/>
      <c r="CQ851" s="60"/>
      <c r="CR851" s="60"/>
      <c r="CS851" s="60"/>
      <c r="CT851" s="60"/>
      <c r="CU851" s="60"/>
      <c r="CV851" s="60"/>
      <c r="CW851" s="60"/>
      <c r="CX851" s="60"/>
      <c r="CY851" s="60"/>
      <c r="CZ851" s="60"/>
      <c r="DA851" s="60"/>
      <c r="DB851" s="60"/>
      <c r="DC851" s="60"/>
      <c r="DD851" s="60"/>
      <c r="DE851" s="60"/>
      <c r="DF851" s="60"/>
      <c r="DG851" s="60"/>
      <c r="DH851" s="60"/>
      <c r="DI851" s="60"/>
      <c r="DJ851" s="60"/>
      <c r="DK851" s="60"/>
      <c r="DL851" s="60"/>
      <c r="DM851" s="60"/>
      <c r="DN851" s="60"/>
      <c r="DO851" s="60"/>
      <c r="DP851" s="60"/>
      <c r="DQ851" s="60"/>
      <c r="DR851" s="60"/>
      <c r="DS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  <c r="BG852" s="60"/>
      <c r="BH852" s="60"/>
      <c r="BI852" s="60"/>
      <c r="BJ852" s="60"/>
      <c r="BK852" s="60"/>
      <c r="BL852" s="60"/>
      <c r="BM852" s="60"/>
      <c r="BN852" s="60"/>
      <c r="BO852" s="60"/>
      <c r="BP852" s="60"/>
      <c r="BQ852" s="60"/>
      <c r="BR852" s="60"/>
      <c r="BS852" s="60"/>
      <c r="BT852" s="60"/>
      <c r="BU852" s="60"/>
      <c r="BV852" s="60"/>
      <c r="BW852" s="60"/>
      <c r="BX852" s="60"/>
      <c r="BY852" s="60"/>
      <c r="BZ852" s="60"/>
      <c r="CA852" s="60"/>
      <c r="CB852" s="60"/>
      <c r="CC852" s="60"/>
      <c r="CD852" s="60"/>
      <c r="CE852" s="60"/>
      <c r="CF852" s="60"/>
      <c r="CG852" s="60"/>
      <c r="CH852" s="60"/>
      <c r="CI852" s="60"/>
      <c r="CJ852" s="60"/>
      <c r="CK852" s="60"/>
      <c r="CL852" s="60"/>
      <c r="CM852" s="60"/>
      <c r="CN852" s="60"/>
      <c r="CO852" s="60"/>
      <c r="CP852" s="60"/>
      <c r="CQ852" s="60"/>
      <c r="CR852" s="60"/>
      <c r="CS852" s="60"/>
      <c r="CT852" s="60"/>
      <c r="CU852" s="60"/>
      <c r="CV852" s="60"/>
      <c r="CW852" s="60"/>
      <c r="CX852" s="60"/>
      <c r="CY852" s="60"/>
      <c r="CZ852" s="60"/>
      <c r="DA852" s="60"/>
      <c r="DB852" s="60"/>
      <c r="DC852" s="60"/>
      <c r="DD852" s="60"/>
      <c r="DE852" s="60"/>
      <c r="DF852" s="60"/>
      <c r="DG852" s="60"/>
      <c r="DH852" s="60"/>
      <c r="DI852" s="60"/>
      <c r="DJ852" s="60"/>
      <c r="DK852" s="60"/>
      <c r="DL852" s="60"/>
      <c r="DM852" s="60"/>
      <c r="DN852" s="60"/>
      <c r="DO852" s="60"/>
      <c r="DP852" s="60"/>
      <c r="DQ852" s="60"/>
      <c r="DR852" s="60"/>
      <c r="DS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  <c r="BG853" s="60"/>
      <c r="BH853" s="60"/>
      <c r="BI853" s="60"/>
      <c r="BJ853" s="60"/>
      <c r="BK853" s="60"/>
      <c r="BL853" s="60"/>
      <c r="BM853" s="60"/>
      <c r="BN853" s="60"/>
      <c r="BO853" s="60"/>
      <c r="BP853" s="60"/>
      <c r="BQ853" s="60"/>
      <c r="BR853" s="60"/>
      <c r="BS853" s="60"/>
      <c r="BT853" s="60"/>
      <c r="BU853" s="60"/>
      <c r="BV853" s="60"/>
      <c r="BW853" s="60"/>
      <c r="BX853" s="60"/>
      <c r="BY853" s="60"/>
      <c r="BZ853" s="60"/>
      <c r="CA853" s="60"/>
      <c r="CB853" s="60"/>
      <c r="CC853" s="60"/>
      <c r="CD853" s="60"/>
      <c r="CE853" s="60"/>
      <c r="CF853" s="60"/>
      <c r="CG853" s="60"/>
      <c r="CH853" s="60"/>
      <c r="CI853" s="60"/>
      <c r="CJ853" s="60"/>
      <c r="CK853" s="60"/>
      <c r="CL853" s="60"/>
      <c r="CM853" s="60"/>
      <c r="CN853" s="60"/>
      <c r="CO853" s="60"/>
      <c r="CP853" s="60"/>
      <c r="CQ853" s="60"/>
      <c r="CR853" s="60"/>
      <c r="CS853" s="60"/>
      <c r="CT853" s="60"/>
      <c r="CU853" s="60"/>
      <c r="CV853" s="60"/>
      <c r="CW853" s="60"/>
      <c r="CX853" s="60"/>
      <c r="CY853" s="60"/>
      <c r="CZ853" s="60"/>
      <c r="DA853" s="60"/>
      <c r="DB853" s="60"/>
      <c r="DC853" s="60"/>
      <c r="DD853" s="60"/>
      <c r="DE853" s="60"/>
      <c r="DF853" s="60"/>
      <c r="DG853" s="60"/>
      <c r="DH853" s="60"/>
      <c r="DI853" s="60"/>
      <c r="DJ853" s="60"/>
      <c r="DK853" s="60"/>
      <c r="DL853" s="60"/>
      <c r="DM853" s="60"/>
      <c r="DN853" s="60"/>
      <c r="DO853" s="60"/>
      <c r="DP853" s="60"/>
      <c r="DQ853" s="60"/>
      <c r="DR853" s="60"/>
      <c r="DS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60"/>
      <c r="BH854" s="60"/>
      <c r="BI854" s="60"/>
      <c r="BJ854" s="60"/>
      <c r="BK854" s="60"/>
      <c r="BL854" s="60"/>
      <c r="BM854" s="60"/>
      <c r="BN854" s="60"/>
      <c r="BO854" s="60"/>
      <c r="BP854" s="60"/>
      <c r="BQ854" s="60"/>
      <c r="BR854" s="60"/>
      <c r="BS854" s="60"/>
      <c r="BT854" s="60"/>
      <c r="BU854" s="60"/>
      <c r="BV854" s="60"/>
      <c r="BW854" s="60"/>
      <c r="BX854" s="60"/>
      <c r="BY854" s="60"/>
      <c r="BZ854" s="60"/>
      <c r="CA854" s="60"/>
      <c r="CB854" s="60"/>
      <c r="CC854" s="60"/>
      <c r="CD854" s="60"/>
      <c r="CE854" s="60"/>
      <c r="CF854" s="60"/>
      <c r="CG854" s="60"/>
      <c r="CH854" s="60"/>
      <c r="CI854" s="60"/>
      <c r="CJ854" s="60"/>
      <c r="CK854" s="60"/>
      <c r="CL854" s="60"/>
      <c r="CM854" s="60"/>
      <c r="CN854" s="60"/>
      <c r="CO854" s="60"/>
      <c r="CP854" s="60"/>
      <c r="CQ854" s="60"/>
      <c r="CR854" s="60"/>
      <c r="CS854" s="60"/>
      <c r="CT854" s="60"/>
      <c r="CU854" s="60"/>
      <c r="CV854" s="60"/>
      <c r="CW854" s="60"/>
      <c r="CX854" s="60"/>
      <c r="CY854" s="60"/>
      <c r="CZ854" s="60"/>
      <c r="DA854" s="60"/>
      <c r="DB854" s="60"/>
      <c r="DC854" s="60"/>
      <c r="DD854" s="60"/>
      <c r="DE854" s="60"/>
      <c r="DF854" s="60"/>
      <c r="DG854" s="60"/>
      <c r="DH854" s="60"/>
      <c r="DI854" s="60"/>
      <c r="DJ854" s="60"/>
      <c r="DK854" s="60"/>
      <c r="DL854" s="60"/>
      <c r="DM854" s="60"/>
      <c r="DN854" s="60"/>
      <c r="DO854" s="60"/>
      <c r="DP854" s="60"/>
      <c r="DQ854" s="60"/>
      <c r="DR854" s="60"/>
      <c r="DS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  <c r="BG855" s="60"/>
      <c r="BH855" s="60"/>
      <c r="BI855" s="60"/>
      <c r="BJ855" s="60"/>
      <c r="BK855" s="60"/>
      <c r="BL855" s="60"/>
      <c r="BM855" s="60"/>
      <c r="BN855" s="60"/>
      <c r="BO855" s="60"/>
      <c r="BP855" s="60"/>
      <c r="BQ855" s="60"/>
      <c r="BR855" s="60"/>
      <c r="BS855" s="60"/>
      <c r="BT855" s="60"/>
      <c r="BU855" s="60"/>
      <c r="BV855" s="60"/>
      <c r="BW855" s="60"/>
      <c r="BX855" s="60"/>
      <c r="BY855" s="60"/>
      <c r="BZ855" s="60"/>
      <c r="CA855" s="60"/>
      <c r="CB855" s="60"/>
      <c r="CC855" s="60"/>
      <c r="CD855" s="60"/>
      <c r="CE855" s="60"/>
      <c r="CF855" s="60"/>
      <c r="CG855" s="60"/>
      <c r="CH855" s="60"/>
      <c r="CI855" s="60"/>
      <c r="CJ855" s="60"/>
      <c r="CK855" s="60"/>
      <c r="CL855" s="60"/>
      <c r="CM855" s="60"/>
      <c r="CN855" s="60"/>
      <c r="CO855" s="60"/>
      <c r="CP855" s="60"/>
      <c r="CQ855" s="60"/>
      <c r="CR855" s="60"/>
      <c r="CS855" s="60"/>
      <c r="CT855" s="60"/>
      <c r="CU855" s="60"/>
      <c r="CV855" s="60"/>
      <c r="CW855" s="60"/>
      <c r="CX855" s="60"/>
      <c r="CY855" s="60"/>
      <c r="CZ855" s="60"/>
      <c r="DA855" s="60"/>
      <c r="DB855" s="60"/>
      <c r="DC855" s="60"/>
      <c r="DD855" s="60"/>
      <c r="DE855" s="60"/>
      <c r="DF855" s="60"/>
      <c r="DG855" s="60"/>
      <c r="DH855" s="60"/>
      <c r="DI855" s="60"/>
      <c r="DJ855" s="60"/>
      <c r="DK855" s="60"/>
      <c r="DL855" s="60"/>
      <c r="DM855" s="60"/>
      <c r="DN855" s="60"/>
      <c r="DO855" s="60"/>
      <c r="DP855" s="60"/>
      <c r="DQ855" s="60"/>
      <c r="DR855" s="60"/>
      <c r="DS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60"/>
      <c r="BH856" s="60"/>
      <c r="BI856" s="60"/>
      <c r="BJ856" s="60"/>
      <c r="BK856" s="60"/>
      <c r="BL856" s="60"/>
      <c r="BM856" s="60"/>
      <c r="BN856" s="60"/>
      <c r="BO856" s="60"/>
      <c r="BP856" s="60"/>
      <c r="BQ856" s="60"/>
      <c r="BR856" s="60"/>
      <c r="BS856" s="60"/>
      <c r="BT856" s="60"/>
      <c r="BU856" s="60"/>
      <c r="BV856" s="60"/>
      <c r="BW856" s="60"/>
      <c r="BX856" s="60"/>
      <c r="BY856" s="60"/>
      <c r="BZ856" s="60"/>
      <c r="CA856" s="60"/>
      <c r="CB856" s="60"/>
      <c r="CC856" s="60"/>
      <c r="CD856" s="60"/>
      <c r="CE856" s="60"/>
      <c r="CF856" s="60"/>
      <c r="CG856" s="60"/>
      <c r="CH856" s="60"/>
      <c r="CI856" s="60"/>
      <c r="CJ856" s="60"/>
      <c r="CK856" s="60"/>
      <c r="CL856" s="60"/>
      <c r="CM856" s="60"/>
      <c r="CN856" s="60"/>
      <c r="CO856" s="60"/>
      <c r="CP856" s="60"/>
      <c r="CQ856" s="60"/>
      <c r="CR856" s="60"/>
      <c r="CS856" s="60"/>
      <c r="CT856" s="60"/>
      <c r="CU856" s="60"/>
      <c r="CV856" s="60"/>
      <c r="CW856" s="60"/>
      <c r="CX856" s="60"/>
      <c r="CY856" s="60"/>
      <c r="CZ856" s="60"/>
      <c r="DA856" s="60"/>
      <c r="DB856" s="60"/>
      <c r="DC856" s="60"/>
      <c r="DD856" s="60"/>
      <c r="DE856" s="60"/>
      <c r="DF856" s="60"/>
      <c r="DG856" s="60"/>
      <c r="DH856" s="60"/>
      <c r="DI856" s="60"/>
      <c r="DJ856" s="60"/>
      <c r="DK856" s="60"/>
      <c r="DL856" s="60"/>
      <c r="DM856" s="60"/>
      <c r="DN856" s="60"/>
      <c r="DO856" s="60"/>
      <c r="DP856" s="60"/>
      <c r="DQ856" s="60"/>
      <c r="DR856" s="60"/>
      <c r="DS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  <c r="BG857" s="60"/>
      <c r="BH857" s="60"/>
      <c r="BI857" s="60"/>
      <c r="BJ857" s="60"/>
      <c r="BK857" s="60"/>
      <c r="BL857" s="60"/>
      <c r="BM857" s="60"/>
      <c r="BN857" s="60"/>
      <c r="BO857" s="60"/>
      <c r="BP857" s="60"/>
      <c r="BQ857" s="60"/>
      <c r="BR857" s="60"/>
      <c r="BS857" s="60"/>
      <c r="BT857" s="60"/>
      <c r="BU857" s="60"/>
      <c r="BV857" s="60"/>
      <c r="BW857" s="60"/>
      <c r="BX857" s="60"/>
      <c r="BY857" s="60"/>
      <c r="BZ857" s="60"/>
      <c r="CA857" s="60"/>
      <c r="CB857" s="60"/>
      <c r="CC857" s="60"/>
      <c r="CD857" s="60"/>
      <c r="CE857" s="60"/>
      <c r="CF857" s="60"/>
      <c r="CG857" s="60"/>
      <c r="CH857" s="60"/>
      <c r="CI857" s="60"/>
      <c r="CJ857" s="60"/>
      <c r="CK857" s="60"/>
      <c r="CL857" s="60"/>
      <c r="CM857" s="60"/>
      <c r="CN857" s="60"/>
      <c r="CO857" s="60"/>
      <c r="CP857" s="60"/>
      <c r="CQ857" s="60"/>
      <c r="CR857" s="60"/>
      <c r="CS857" s="60"/>
      <c r="CT857" s="60"/>
      <c r="CU857" s="60"/>
      <c r="CV857" s="60"/>
      <c r="CW857" s="60"/>
      <c r="CX857" s="60"/>
      <c r="CY857" s="60"/>
      <c r="CZ857" s="60"/>
      <c r="DA857" s="60"/>
      <c r="DB857" s="60"/>
      <c r="DC857" s="60"/>
      <c r="DD857" s="60"/>
      <c r="DE857" s="60"/>
      <c r="DF857" s="60"/>
      <c r="DG857" s="60"/>
      <c r="DH857" s="60"/>
      <c r="DI857" s="60"/>
      <c r="DJ857" s="60"/>
      <c r="DK857" s="60"/>
      <c r="DL857" s="60"/>
      <c r="DM857" s="60"/>
      <c r="DN857" s="60"/>
      <c r="DO857" s="60"/>
      <c r="DP857" s="60"/>
      <c r="DQ857" s="60"/>
      <c r="DR857" s="60"/>
      <c r="DS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  <c r="BG858" s="60"/>
      <c r="BH858" s="60"/>
      <c r="BI858" s="60"/>
      <c r="BJ858" s="60"/>
      <c r="BK858" s="60"/>
      <c r="BL858" s="60"/>
      <c r="BM858" s="60"/>
      <c r="BN858" s="60"/>
      <c r="BO858" s="60"/>
      <c r="BP858" s="60"/>
      <c r="BQ858" s="60"/>
      <c r="BR858" s="60"/>
      <c r="BS858" s="60"/>
      <c r="BT858" s="60"/>
      <c r="BU858" s="60"/>
      <c r="BV858" s="60"/>
      <c r="BW858" s="60"/>
      <c r="BX858" s="60"/>
      <c r="BY858" s="60"/>
      <c r="BZ858" s="60"/>
      <c r="CA858" s="60"/>
      <c r="CB858" s="60"/>
      <c r="CC858" s="60"/>
      <c r="CD858" s="60"/>
      <c r="CE858" s="60"/>
      <c r="CF858" s="60"/>
      <c r="CG858" s="60"/>
      <c r="CH858" s="60"/>
      <c r="CI858" s="60"/>
      <c r="CJ858" s="60"/>
      <c r="CK858" s="60"/>
      <c r="CL858" s="60"/>
      <c r="CM858" s="60"/>
      <c r="CN858" s="60"/>
      <c r="CO858" s="60"/>
      <c r="CP858" s="60"/>
      <c r="CQ858" s="60"/>
      <c r="CR858" s="60"/>
      <c r="CS858" s="60"/>
      <c r="CT858" s="60"/>
      <c r="CU858" s="60"/>
      <c r="CV858" s="60"/>
      <c r="CW858" s="60"/>
      <c r="CX858" s="60"/>
      <c r="CY858" s="60"/>
      <c r="CZ858" s="60"/>
      <c r="DA858" s="60"/>
      <c r="DB858" s="60"/>
      <c r="DC858" s="60"/>
      <c r="DD858" s="60"/>
      <c r="DE858" s="60"/>
      <c r="DF858" s="60"/>
      <c r="DG858" s="60"/>
      <c r="DH858" s="60"/>
      <c r="DI858" s="60"/>
      <c r="DJ858" s="60"/>
      <c r="DK858" s="60"/>
      <c r="DL858" s="60"/>
      <c r="DM858" s="60"/>
      <c r="DN858" s="60"/>
      <c r="DO858" s="60"/>
      <c r="DP858" s="60"/>
      <c r="DQ858" s="60"/>
      <c r="DR858" s="60"/>
      <c r="DS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60"/>
      <c r="BH859" s="60"/>
      <c r="BI859" s="60"/>
      <c r="BJ859" s="60"/>
      <c r="BK859" s="60"/>
      <c r="BL859" s="60"/>
      <c r="BM859" s="60"/>
      <c r="BN859" s="60"/>
      <c r="BO859" s="60"/>
      <c r="BP859" s="60"/>
      <c r="BQ859" s="60"/>
      <c r="BR859" s="60"/>
      <c r="BS859" s="60"/>
      <c r="BT859" s="60"/>
      <c r="BU859" s="60"/>
      <c r="BV859" s="60"/>
      <c r="BW859" s="60"/>
      <c r="BX859" s="60"/>
      <c r="BY859" s="60"/>
      <c r="BZ859" s="60"/>
      <c r="CA859" s="60"/>
      <c r="CB859" s="60"/>
      <c r="CC859" s="60"/>
      <c r="CD859" s="60"/>
      <c r="CE859" s="60"/>
      <c r="CF859" s="60"/>
      <c r="CG859" s="60"/>
      <c r="CH859" s="60"/>
      <c r="CI859" s="60"/>
      <c r="CJ859" s="60"/>
      <c r="CK859" s="60"/>
      <c r="CL859" s="60"/>
      <c r="CM859" s="60"/>
      <c r="CN859" s="60"/>
      <c r="CO859" s="60"/>
      <c r="CP859" s="60"/>
      <c r="CQ859" s="60"/>
      <c r="CR859" s="60"/>
      <c r="CS859" s="60"/>
      <c r="CT859" s="60"/>
      <c r="CU859" s="60"/>
      <c r="CV859" s="60"/>
      <c r="CW859" s="60"/>
      <c r="CX859" s="60"/>
      <c r="CY859" s="60"/>
      <c r="CZ859" s="60"/>
      <c r="DA859" s="60"/>
      <c r="DB859" s="60"/>
      <c r="DC859" s="60"/>
      <c r="DD859" s="60"/>
      <c r="DE859" s="60"/>
      <c r="DF859" s="60"/>
      <c r="DG859" s="60"/>
      <c r="DH859" s="60"/>
      <c r="DI859" s="60"/>
      <c r="DJ859" s="60"/>
      <c r="DK859" s="60"/>
      <c r="DL859" s="60"/>
      <c r="DM859" s="60"/>
      <c r="DN859" s="60"/>
      <c r="DO859" s="60"/>
      <c r="DP859" s="60"/>
      <c r="DQ859" s="60"/>
      <c r="DR859" s="60"/>
      <c r="DS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  <c r="BG860" s="60"/>
      <c r="BH860" s="60"/>
      <c r="BI860" s="60"/>
      <c r="BJ860" s="60"/>
      <c r="BK860" s="60"/>
      <c r="BL860" s="60"/>
      <c r="BM860" s="60"/>
      <c r="BN860" s="60"/>
      <c r="BO860" s="60"/>
      <c r="BP860" s="60"/>
      <c r="BQ860" s="60"/>
      <c r="BR860" s="60"/>
      <c r="BS860" s="60"/>
      <c r="BT860" s="60"/>
      <c r="BU860" s="60"/>
      <c r="BV860" s="60"/>
      <c r="BW860" s="60"/>
      <c r="BX860" s="60"/>
      <c r="BY860" s="60"/>
      <c r="BZ860" s="60"/>
      <c r="CA860" s="60"/>
      <c r="CB860" s="60"/>
      <c r="CC860" s="60"/>
      <c r="CD860" s="60"/>
      <c r="CE860" s="60"/>
      <c r="CF860" s="60"/>
      <c r="CG860" s="60"/>
      <c r="CH860" s="60"/>
      <c r="CI860" s="60"/>
      <c r="CJ860" s="60"/>
      <c r="CK860" s="60"/>
      <c r="CL860" s="60"/>
      <c r="CM860" s="60"/>
      <c r="CN860" s="60"/>
      <c r="CO860" s="60"/>
      <c r="CP860" s="60"/>
      <c r="CQ860" s="60"/>
      <c r="CR860" s="60"/>
      <c r="CS860" s="60"/>
      <c r="CT860" s="60"/>
      <c r="CU860" s="60"/>
      <c r="CV860" s="60"/>
      <c r="CW860" s="60"/>
      <c r="CX860" s="60"/>
      <c r="CY860" s="60"/>
      <c r="CZ860" s="60"/>
      <c r="DA860" s="60"/>
      <c r="DB860" s="60"/>
      <c r="DC860" s="60"/>
      <c r="DD860" s="60"/>
      <c r="DE860" s="60"/>
      <c r="DF860" s="60"/>
      <c r="DG860" s="60"/>
      <c r="DH860" s="60"/>
      <c r="DI860" s="60"/>
      <c r="DJ860" s="60"/>
      <c r="DK860" s="60"/>
      <c r="DL860" s="60"/>
      <c r="DM860" s="60"/>
      <c r="DN860" s="60"/>
      <c r="DO860" s="60"/>
      <c r="DP860" s="60"/>
      <c r="DQ860" s="60"/>
      <c r="DR860" s="60"/>
      <c r="DS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60"/>
      <c r="BH861" s="60"/>
      <c r="BI861" s="60"/>
      <c r="BJ861" s="60"/>
      <c r="BK861" s="60"/>
      <c r="BL861" s="60"/>
      <c r="BM861" s="60"/>
      <c r="BN861" s="60"/>
      <c r="BO861" s="60"/>
      <c r="BP861" s="60"/>
      <c r="BQ861" s="60"/>
      <c r="BR861" s="60"/>
      <c r="BS861" s="60"/>
      <c r="BT861" s="60"/>
      <c r="BU861" s="60"/>
      <c r="BV861" s="60"/>
      <c r="BW861" s="60"/>
      <c r="BX861" s="60"/>
      <c r="BY861" s="60"/>
      <c r="BZ861" s="60"/>
      <c r="CA861" s="60"/>
      <c r="CB861" s="60"/>
      <c r="CC861" s="60"/>
      <c r="CD861" s="60"/>
      <c r="CE861" s="60"/>
      <c r="CF861" s="60"/>
      <c r="CG861" s="60"/>
      <c r="CH861" s="60"/>
      <c r="CI861" s="60"/>
      <c r="CJ861" s="60"/>
      <c r="CK861" s="60"/>
      <c r="CL861" s="60"/>
      <c r="CM861" s="60"/>
      <c r="CN861" s="60"/>
      <c r="CO861" s="60"/>
      <c r="CP861" s="60"/>
      <c r="CQ861" s="60"/>
      <c r="CR861" s="60"/>
      <c r="CS861" s="60"/>
      <c r="CT861" s="60"/>
      <c r="CU861" s="60"/>
      <c r="CV861" s="60"/>
      <c r="CW861" s="60"/>
      <c r="CX861" s="60"/>
      <c r="CY861" s="60"/>
      <c r="CZ861" s="60"/>
      <c r="DA861" s="60"/>
      <c r="DB861" s="60"/>
      <c r="DC861" s="60"/>
      <c r="DD861" s="60"/>
      <c r="DE861" s="60"/>
      <c r="DF861" s="60"/>
      <c r="DG861" s="60"/>
      <c r="DH861" s="60"/>
      <c r="DI861" s="60"/>
      <c r="DJ861" s="60"/>
      <c r="DK861" s="60"/>
      <c r="DL861" s="60"/>
      <c r="DM861" s="60"/>
      <c r="DN861" s="60"/>
      <c r="DO861" s="60"/>
      <c r="DP861" s="60"/>
      <c r="DQ861" s="60"/>
      <c r="DR861" s="60"/>
      <c r="DS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  <c r="BG862" s="60"/>
      <c r="BH862" s="60"/>
      <c r="BI862" s="60"/>
      <c r="BJ862" s="60"/>
      <c r="BK862" s="60"/>
      <c r="BL862" s="60"/>
      <c r="BM862" s="60"/>
      <c r="BN862" s="60"/>
      <c r="BO862" s="60"/>
      <c r="BP862" s="60"/>
      <c r="BQ862" s="60"/>
      <c r="BR862" s="60"/>
      <c r="BS862" s="60"/>
      <c r="BT862" s="60"/>
      <c r="BU862" s="60"/>
      <c r="BV862" s="60"/>
      <c r="BW862" s="60"/>
      <c r="BX862" s="60"/>
      <c r="BY862" s="60"/>
      <c r="BZ862" s="60"/>
      <c r="CA862" s="60"/>
      <c r="CB862" s="60"/>
      <c r="CC862" s="60"/>
      <c r="CD862" s="60"/>
      <c r="CE862" s="60"/>
      <c r="CF862" s="60"/>
      <c r="CG862" s="60"/>
      <c r="CH862" s="60"/>
      <c r="CI862" s="60"/>
      <c r="CJ862" s="60"/>
      <c r="CK862" s="60"/>
      <c r="CL862" s="60"/>
      <c r="CM862" s="60"/>
      <c r="CN862" s="60"/>
      <c r="CO862" s="60"/>
      <c r="CP862" s="60"/>
      <c r="CQ862" s="60"/>
      <c r="CR862" s="60"/>
      <c r="CS862" s="60"/>
      <c r="CT862" s="60"/>
      <c r="CU862" s="60"/>
      <c r="CV862" s="60"/>
      <c r="CW862" s="60"/>
      <c r="CX862" s="60"/>
      <c r="CY862" s="60"/>
      <c r="CZ862" s="60"/>
      <c r="DA862" s="60"/>
      <c r="DB862" s="60"/>
      <c r="DC862" s="60"/>
      <c r="DD862" s="60"/>
      <c r="DE862" s="60"/>
      <c r="DF862" s="60"/>
      <c r="DG862" s="60"/>
      <c r="DH862" s="60"/>
      <c r="DI862" s="60"/>
      <c r="DJ862" s="60"/>
      <c r="DK862" s="60"/>
      <c r="DL862" s="60"/>
      <c r="DM862" s="60"/>
      <c r="DN862" s="60"/>
      <c r="DO862" s="60"/>
      <c r="DP862" s="60"/>
      <c r="DQ862" s="60"/>
      <c r="DR862" s="60"/>
      <c r="DS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  <c r="BG863" s="60"/>
      <c r="BH863" s="60"/>
      <c r="BI863" s="60"/>
      <c r="BJ863" s="60"/>
      <c r="BK863" s="60"/>
      <c r="BL863" s="60"/>
      <c r="BM863" s="60"/>
      <c r="BN863" s="60"/>
      <c r="BO863" s="60"/>
      <c r="BP863" s="60"/>
      <c r="BQ863" s="60"/>
      <c r="BR863" s="60"/>
      <c r="BS863" s="60"/>
      <c r="BT863" s="60"/>
      <c r="BU863" s="60"/>
      <c r="BV863" s="60"/>
      <c r="BW863" s="60"/>
      <c r="BX863" s="60"/>
      <c r="BY863" s="60"/>
      <c r="BZ863" s="60"/>
      <c r="CA863" s="60"/>
      <c r="CB863" s="60"/>
      <c r="CC863" s="60"/>
      <c r="CD863" s="60"/>
      <c r="CE863" s="60"/>
      <c r="CF863" s="60"/>
      <c r="CG863" s="60"/>
      <c r="CH863" s="60"/>
      <c r="CI863" s="60"/>
      <c r="CJ863" s="60"/>
      <c r="CK863" s="60"/>
      <c r="CL863" s="60"/>
      <c r="CM863" s="60"/>
      <c r="CN863" s="60"/>
      <c r="CO863" s="60"/>
      <c r="CP863" s="60"/>
      <c r="CQ863" s="60"/>
      <c r="CR863" s="60"/>
      <c r="CS863" s="60"/>
      <c r="CT863" s="60"/>
      <c r="CU863" s="60"/>
      <c r="CV863" s="60"/>
      <c r="CW863" s="60"/>
      <c r="CX863" s="60"/>
      <c r="CY863" s="60"/>
      <c r="CZ863" s="60"/>
      <c r="DA863" s="60"/>
      <c r="DB863" s="60"/>
      <c r="DC863" s="60"/>
      <c r="DD863" s="60"/>
      <c r="DE863" s="60"/>
      <c r="DF863" s="60"/>
      <c r="DG863" s="60"/>
      <c r="DH863" s="60"/>
      <c r="DI863" s="60"/>
      <c r="DJ863" s="60"/>
      <c r="DK863" s="60"/>
      <c r="DL863" s="60"/>
      <c r="DM863" s="60"/>
      <c r="DN863" s="60"/>
      <c r="DO863" s="60"/>
      <c r="DP863" s="60"/>
      <c r="DQ863" s="60"/>
      <c r="DR863" s="60"/>
      <c r="DS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60"/>
      <c r="BH864" s="60"/>
      <c r="BI864" s="60"/>
      <c r="BJ864" s="60"/>
      <c r="BK864" s="60"/>
      <c r="BL864" s="60"/>
      <c r="BM864" s="60"/>
      <c r="BN864" s="60"/>
      <c r="BO864" s="60"/>
      <c r="BP864" s="60"/>
      <c r="BQ864" s="60"/>
      <c r="BR864" s="60"/>
      <c r="BS864" s="60"/>
      <c r="BT864" s="60"/>
      <c r="BU864" s="60"/>
      <c r="BV864" s="60"/>
      <c r="BW864" s="60"/>
      <c r="BX864" s="60"/>
      <c r="BY864" s="60"/>
      <c r="BZ864" s="60"/>
      <c r="CA864" s="60"/>
      <c r="CB864" s="60"/>
      <c r="CC864" s="60"/>
      <c r="CD864" s="60"/>
      <c r="CE864" s="60"/>
      <c r="CF864" s="60"/>
      <c r="CG864" s="60"/>
      <c r="CH864" s="60"/>
      <c r="CI864" s="60"/>
      <c r="CJ864" s="60"/>
      <c r="CK864" s="60"/>
      <c r="CL864" s="60"/>
      <c r="CM864" s="60"/>
      <c r="CN864" s="60"/>
      <c r="CO864" s="60"/>
      <c r="CP864" s="60"/>
      <c r="CQ864" s="60"/>
      <c r="CR864" s="60"/>
      <c r="CS864" s="60"/>
      <c r="CT864" s="60"/>
      <c r="CU864" s="60"/>
      <c r="CV864" s="60"/>
      <c r="CW864" s="60"/>
      <c r="CX864" s="60"/>
      <c r="CY864" s="60"/>
      <c r="CZ864" s="60"/>
      <c r="DA864" s="60"/>
      <c r="DB864" s="60"/>
      <c r="DC864" s="60"/>
      <c r="DD864" s="60"/>
      <c r="DE864" s="60"/>
      <c r="DF864" s="60"/>
      <c r="DG864" s="60"/>
      <c r="DH864" s="60"/>
      <c r="DI864" s="60"/>
      <c r="DJ864" s="60"/>
      <c r="DK864" s="60"/>
      <c r="DL864" s="60"/>
      <c r="DM864" s="60"/>
      <c r="DN864" s="60"/>
      <c r="DO864" s="60"/>
      <c r="DP864" s="60"/>
      <c r="DQ864" s="60"/>
      <c r="DR864" s="60"/>
      <c r="DS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  <c r="BG865" s="60"/>
      <c r="BH865" s="60"/>
      <c r="BI865" s="60"/>
      <c r="BJ865" s="60"/>
      <c r="BK865" s="60"/>
      <c r="BL865" s="60"/>
      <c r="BM865" s="60"/>
      <c r="BN865" s="60"/>
      <c r="BO865" s="60"/>
      <c r="BP865" s="60"/>
      <c r="BQ865" s="60"/>
      <c r="BR865" s="60"/>
      <c r="BS865" s="60"/>
      <c r="BT865" s="60"/>
      <c r="BU865" s="60"/>
      <c r="BV865" s="60"/>
      <c r="BW865" s="60"/>
      <c r="BX865" s="60"/>
      <c r="BY865" s="60"/>
      <c r="BZ865" s="60"/>
      <c r="CA865" s="60"/>
      <c r="CB865" s="60"/>
      <c r="CC865" s="60"/>
      <c r="CD865" s="60"/>
      <c r="CE865" s="60"/>
      <c r="CF865" s="60"/>
      <c r="CG865" s="60"/>
      <c r="CH865" s="60"/>
      <c r="CI865" s="60"/>
      <c r="CJ865" s="60"/>
      <c r="CK865" s="60"/>
      <c r="CL865" s="60"/>
      <c r="CM865" s="60"/>
      <c r="CN865" s="60"/>
      <c r="CO865" s="60"/>
      <c r="CP865" s="60"/>
      <c r="CQ865" s="60"/>
      <c r="CR865" s="60"/>
      <c r="CS865" s="60"/>
      <c r="CT865" s="60"/>
      <c r="CU865" s="60"/>
      <c r="CV865" s="60"/>
      <c r="CW865" s="60"/>
      <c r="CX865" s="60"/>
      <c r="CY865" s="60"/>
      <c r="CZ865" s="60"/>
      <c r="DA865" s="60"/>
      <c r="DB865" s="60"/>
      <c r="DC865" s="60"/>
      <c r="DD865" s="60"/>
      <c r="DE865" s="60"/>
      <c r="DF865" s="60"/>
      <c r="DG865" s="60"/>
      <c r="DH865" s="60"/>
      <c r="DI865" s="60"/>
      <c r="DJ865" s="60"/>
      <c r="DK865" s="60"/>
      <c r="DL865" s="60"/>
      <c r="DM865" s="60"/>
      <c r="DN865" s="60"/>
      <c r="DO865" s="60"/>
      <c r="DP865" s="60"/>
      <c r="DQ865" s="60"/>
      <c r="DR865" s="60"/>
      <c r="DS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  <c r="BG866" s="60"/>
      <c r="BH866" s="60"/>
      <c r="BI866" s="60"/>
      <c r="BJ866" s="60"/>
      <c r="BK866" s="60"/>
      <c r="BL866" s="60"/>
      <c r="BM866" s="60"/>
      <c r="BN866" s="60"/>
      <c r="BO866" s="60"/>
      <c r="BP866" s="60"/>
      <c r="BQ866" s="60"/>
      <c r="BR866" s="60"/>
      <c r="BS866" s="60"/>
      <c r="BT866" s="60"/>
      <c r="BU866" s="60"/>
      <c r="BV866" s="60"/>
      <c r="BW866" s="60"/>
      <c r="BX866" s="60"/>
      <c r="BY866" s="60"/>
      <c r="BZ866" s="60"/>
      <c r="CA866" s="60"/>
      <c r="CB866" s="60"/>
      <c r="CC866" s="60"/>
      <c r="CD866" s="60"/>
      <c r="CE866" s="60"/>
      <c r="CF866" s="60"/>
      <c r="CG866" s="60"/>
      <c r="CH866" s="60"/>
      <c r="CI866" s="60"/>
      <c r="CJ866" s="60"/>
      <c r="CK866" s="60"/>
      <c r="CL866" s="60"/>
      <c r="CM866" s="60"/>
      <c r="CN866" s="60"/>
      <c r="CO866" s="60"/>
      <c r="CP866" s="60"/>
      <c r="CQ866" s="60"/>
      <c r="CR866" s="60"/>
      <c r="CS866" s="60"/>
      <c r="CT866" s="60"/>
      <c r="CU866" s="60"/>
      <c r="CV866" s="60"/>
      <c r="CW866" s="60"/>
      <c r="CX866" s="60"/>
      <c r="CY866" s="60"/>
      <c r="CZ866" s="60"/>
      <c r="DA866" s="60"/>
      <c r="DB866" s="60"/>
      <c r="DC866" s="60"/>
      <c r="DD866" s="60"/>
      <c r="DE866" s="60"/>
      <c r="DF866" s="60"/>
      <c r="DG866" s="60"/>
      <c r="DH866" s="60"/>
      <c r="DI866" s="60"/>
      <c r="DJ866" s="60"/>
      <c r="DK866" s="60"/>
      <c r="DL866" s="60"/>
      <c r="DM866" s="60"/>
      <c r="DN866" s="60"/>
      <c r="DO866" s="60"/>
      <c r="DP866" s="60"/>
      <c r="DQ866" s="60"/>
      <c r="DR866" s="60"/>
      <c r="DS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60"/>
      <c r="BH867" s="60"/>
      <c r="BI867" s="60"/>
      <c r="BJ867" s="60"/>
      <c r="BK867" s="60"/>
      <c r="BL867" s="60"/>
      <c r="BM867" s="60"/>
      <c r="BN867" s="60"/>
      <c r="BO867" s="60"/>
      <c r="BP867" s="60"/>
      <c r="BQ867" s="60"/>
      <c r="BR867" s="60"/>
      <c r="BS867" s="60"/>
      <c r="BT867" s="60"/>
      <c r="BU867" s="60"/>
      <c r="BV867" s="60"/>
      <c r="BW867" s="60"/>
      <c r="BX867" s="60"/>
      <c r="BY867" s="60"/>
      <c r="BZ867" s="60"/>
      <c r="CA867" s="60"/>
      <c r="CB867" s="60"/>
      <c r="CC867" s="60"/>
      <c r="CD867" s="60"/>
      <c r="CE867" s="60"/>
      <c r="CF867" s="60"/>
      <c r="CG867" s="60"/>
      <c r="CH867" s="60"/>
      <c r="CI867" s="60"/>
      <c r="CJ867" s="60"/>
      <c r="CK867" s="60"/>
      <c r="CL867" s="60"/>
      <c r="CM867" s="60"/>
      <c r="CN867" s="60"/>
      <c r="CO867" s="60"/>
      <c r="CP867" s="60"/>
      <c r="CQ867" s="60"/>
      <c r="CR867" s="60"/>
      <c r="CS867" s="60"/>
      <c r="CT867" s="60"/>
      <c r="CU867" s="60"/>
      <c r="CV867" s="60"/>
      <c r="CW867" s="60"/>
      <c r="CX867" s="60"/>
      <c r="CY867" s="60"/>
      <c r="CZ867" s="60"/>
      <c r="DA867" s="60"/>
      <c r="DB867" s="60"/>
      <c r="DC867" s="60"/>
      <c r="DD867" s="60"/>
      <c r="DE867" s="60"/>
      <c r="DF867" s="60"/>
      <c r="DG867" s="60"/>
      <c r="DH867" s="60"/>
      <c r="DI867" s="60"/>
      <c r="DJ867" s="60"/>
      <c r="DK867" s="60"/>
      <c r="DL867" s="60"/>
      <c r="DM867" s="60"/>
      <c r="DN867" s="60"/>
      <c r="DO867" s="60"/>
      <c r="DP867" s="60"/>
      <c r="DQ867" s="60"/>
      <c r="DR867" s="60"/>
      <c r="DS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  <c r="BG868" s="60"/>
      <c r="BH868" s="60"/>
      <c r="BI868" s="60"/>
      <c r="BJ868" s="60"/>
      <c r="BK868" s="60"/>
      <c r="BL868" s="60"/>
      <c r="BM868" s="60"/>
      <c r="BN868" s="60"/>
      <c r="BO868" s="60"/>
      <c r="BP868" s="60"/>
      <c r="BQ868" s="60"/>
      <c r="BR868" s="60"/>
      <c r="BS868" s="60"/>
      <c r="BT868" s="60"/>
      <c r="BU868" s="60"/>
      <c r="BV868" s="60"/>
      <c r="BW868" s="60"/>
      <c r="BX868" s="60"/>
      <c r="BY868" s="60"/>
      <c r="BZ868" s="60"/>
      <c r="CA868" s="60"/>
      <c r="CB868" s="60"/>
      <c r="CC868" s="60"/>
      <c r="CD868" s="60"/>
      <c r="CE868" s="60"/>
      <c r="CF868" s="60"/>
      <c r="CG868" s="60"/>
      <c r="CH868" s="60"/>
      <c r="CI868" s="60"/>
      <c r="CJ868" s="60"/>
      <c r="CK868" s="60"/>
      <c r="CL868" s="60"/>
      <c r="CM868" s="60"/>
      <c r="CN868" s="60"/>
      <c r="CO868" s="60"/>
      <c r="CP868" s="60"/>
      <c r="CQ868" s="60"/>
      <c r="CR868" s="60"/>
      <c r="CS868" s="60"/>
      <c r="CT868" s="60"/>
      <c r="CU868" s="60"/>
      <c r="CV868" s="60"/>
      <c r="CW868" s="60"/>
      <c r="CX868" s="60"/>
      <c r="CY868" s="60"/>
      <c r="CZ868" s="60"/>
      <c r="DA868" s="60"/>
      <c r="DB868" s="60"/>
      <c r="DC868" s="60"/>
      <c r="DD868" s="60"/>
      <c r="DE868" s="60"/>
      <c r="DF868" s="60"/>
      <c r="DG868" s="60"/>
      <c r="DH868" s="60"/>
      <c r="DI868" s="60"/>
      <c r="DJ868" s="60"/>
      <c r="DK868" s="60"/>
      <c r="DL868" s="60"/>
      <c r="DM868" s="60"/>
      <c r="DN868" s="60"/>
      <c r="DO868" s="60"/>
      <c r="DP868" s="60"/>
      <c r="DQ868" s="60"/>
      <c r="DR868" s="60"/>
      <c r="DS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60"/>
      <c r="BH869" s="60"/>
      <c r="BI869" s="60"/>
      <c r="BJ869" s="60"/>
      <c r="BK869" s="60"/>
      <c r="BL869" s="60"/>
      <c r="BM869" s="60"/>
      <c r="BN869" s="60"/>
      <c r="BO869" s="60"/>
      <c r="BP869" s="60"/>
      <c r="BQ869" s="60"/>
      <c r="BR869" s="60"/>
      <c r="BS869" s="60"/>
      <c r="BT869" s="60"/>
      <c r="BU869" s="60"/>
      <c r="BV869" s="60"/>
      <c r="BW869" s="60"/>
      <c r="BX869" s="60"/>
      <c r="BY869" s="60"/>
      <c r="BZ869" s="60"/>
      <c r="CA869" s="60"/>
      <c r="CB869" s="60"/>
      <c r="CC869" s="60"/>
      <c r="CD869" s="60"/>
      <c r="CE869" s="60"/>
      <c r="CF869" s="60"/>
      <c r="CG869" s="60"/>
      <c r="CH869" s="60"/>
      <c r="CI869" s="60"/>
      <c r="CJ869" s="60"/>
      <c r="CK869" s="60"/>
      <c r="CL869" s="60"/>
      <c r="CM869" s="60"/>
      <c r="CN869" s="60"/>
      <c r="CO869" s="60"/>
      <c r="CP869" s="60"/>
      <c r="CQ869" s="60"/>
      <c r="CR869" s="60"/>
      <c r="CS869" s="60"/>
      <c r="CT869" s="60"/>
      <c r="CU869" s="60"/>
      <c r="CV869" s="60"/>
      <c r="CW869" s="60"/>
      <c r="CX869" s="60"/>
      <c r="CY869" s="60"/>
      <c r="CZ869" s="60"/>
      <c r="DA869" s="60"/>
      <c r="DB869" s="60"/>
      <c r="DC869" s="60"/>
      <c r="DD869" s="60"/>
      <c r="DE869" s="60"/>
      <c r="DF869" s="60"/>
      <c r="DG869" s="60"/>
      <c r="DH869" s="60"/>
      <c r="DI869" s="60"/>
      <c r="DJ869" s="60"/>
      <c r="DK869" s="60"/>
      <c r="DL869" s="60"/>
      <c r="DM869" s="60"/>
      <c r="DN869" s="60"/>
      <c r="DO869" s="60"/>
      <c r="DP869" s="60"/>
      <c r="DQ869" s="60"/>
      <c r="DR869" s="60"/>
      <c r="DS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  <c r="BG870" s="60"/>
      <c r="BH870" s="60"/>
      <c r="BI870" s="60"/>
      <c r="BJ870" s="60"/>
      <c r="BK870" s="60"/>
      <c r="BL870" s="60"/>
      <c r="BM870" s="60"/>
      <c r="BN870" s="60"/>
      <c r="BO870" s="60"/>
      <c r="BP870" s="60"/>
      <c r="BQ870" s="60"/>
      <c r="BR870" s="60"/>
      <c r="BS870" s="60"/>
      <c r="BT870" s="60"/>
      <c r="BU870" s="60"/>
      <c r="BV870" s="60"/>
      <c r="BW870" s="60"/>
      <c r="BX870" s="60"/>
      <c r="BY870" s="60"/>
      <c r="BZ870" s="60"/>
      <c r="CA870" s="60"/>
      <c r="CB870" s="60"/>
      <c r="CC870" s="60"/>
      <c r="CD870" s="60"/>
      <c r="CE870" s="60"/>
      <c r="CF870" s="60"/>
      <c r="CG870" s="60"/>
      <c r="CH870" s="60"/>
      <c r="CI870" s="60"/>
      <c r="CJ870" s="60"/>
      <c r="CK870" s="60"/>
      <c r="CL870" s="60"/>
      <c r="CM870" s="60"/>
      <c r="CN870" s="60"/>
      <c r="CO870" s="60"/>
      <c r="CP870" s="60"/>
      <c r="CQ870" s="60"/>
      <c r="CR870" s="60"/>
      <c r="CS870" s="60"/>
      <c r="CT870" s="60"/>
      <c r="CU870" s="60"/>
      <c r="CV870" s="60"/>
      <c r="CW870" s="60"/>
      <c r="CX870" s="60"/>
      <c r="CY870" s="60"/>
      <c r="CZ870" s="60"/>
      <c r="DA870" s="60"/>
      <c r="DB870" s="60"/>
      <c r="DC870" s="60"/>
      <c r="DD870" s="60"/>
      <c r="DE870" s="60"/>
      <c r="DF870" s="60"/>
      <c r="DG870" s="60"/>
      <c r="DH870" s="60"/>
      <c r="DI870" s="60"/>
      <c r="DJ870" s="60"/>
      <c r="DK870" s="60"/>
      <c r="DL870" s="60"/>
      <c r="DM870" s="60"/>
      <c r="DN870" s="60"/>
      <c r="DO870" s="60"/>
      <c r="DP870" s="60"/>
      <c r="DQ870" s="60"/>
      <c r="DR870" s="60"/>
      <c r="DS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60"/>
      <c r="BH871" s="60"/>
      <c r="BI871" s="60"/>
      <c r="BJ871" s="60"/>
      <c r="BK871" s="60"/>
      <c r="BL871" s="60"/>
      <c r="BM871" s="60"/>
      <c r="BN871" s="60"/>
      <c r="BO871" s="60"/>
      <c r="BP871" s="60"/>
      <c r="BQ871" s="60"/>
      <c r="BR871" s="60"/>
      <c r="BS871" s="60"/>
      <c r="BT871" s="60"/>
      <c r="BU871" s="60"/>
      <c r="BV871" s="60"/>
      <c r="BW871" s="60"/>
      <c r="BX871" s="60"/>
      <c r="BY871" s="60"/>
      <c r="BZ871" s="60"/>
      <c r="CA871" s="60"/>
      <c r="CB871" s="60"/>
      <c r="CC871" s="60"/>
      <c r="CD871" s="60"/>
      <c r="CE871" s="60"/>
      <c r="CF871" s="60"/>
      <c r="CG871" s="60"/>
      <c r="CH871" s="60"/>
      <c r="CI871" s="60"/>
      <c r="CJ871" s="60"/>
      <c r="CK871" s="60"/>
      <c r="CL871" s="60"/>
      <c r="CM871" s="60"/>
      <c r="CN871" s="60"/>
      <c r="CO871" s="60"/>
      <c r="CP871" s="60"/>
      <c r="CQ871" s="60"/>
      <c r="CR871" s="60"/>
      <c r="CS871" s="60"/>
      <c r="CT871" s="60"/>
      <c r="CU871" s="60"/>
      <c r="CV871" s="60"/>
      <c r="CW871" s="60"/>
      <c r="CX871" s="60"/>
      <c r="CY871" s="60"/>
      <c r="CZ871" s="60"/>
      <c r="DA871" s="60"/>
      <c r="DB871" s="60"/>
      <c r="DC871" s="60"/>
      <c r="DD871" s="60"/>
      <c r="DE871" s="60"/>
      <c r="DF871" s="60"/>
      <c r="DG871" s="60"/>
      <c r="DH871" s="60"/>
      <c r="DI871" s="60"/>
      <c r="DJ871" s="60"/>
      <c r="DK871" s="60"/>
      <c r="DL871" s="60"/>
      <c r="DM871" s="60"/>
      <c r="DN871" s="60"/>
      <c r="DO871" s="60"/>
      <c r="DP871" s="60"/>
      <c r="DQ871" s="60"/>
      <c r="DR871" s="60"/>
      <c r="DS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  <c r="BG872" s="60"/>
      <c r="BH872" s="60"/>
      <c r="BI872" s="60"/>
      <c r="BJ872" s="60"/>
      <c r="BK872" s="60"/>
      <c r="BL872" s="60"/>
      <c r="BM872" s="60"/>
      <c r="BN872" s="60"/>
      <c r="BO872" s="60"/>
      <c r="BP872" s="60"/>
      <c r="BQ872" s="60"/>
      <c r="BR872" s="60"/>
      <c r="BS872" s="60"/>
      <c r="BT872" s="60"/>
      <c r="BU872" s="60"/>
      <c r="BV872" s="60"/>
      <c r="BW872" s="60"/>
      <c r="BX872" s="60"/>
      <c r="BY872" s="60"/>
      <c r="BZ872" s="60"/>
      <c r="CA872" s="60"/>
      <c r="CB872" s="60"/>
      <c r="CC872" s="60"/>
      <c r="CD872" s="60"/>
      <c r="CE872" s="60"/>
      <c r="CF872" s="60"/>
      <c r="CG872" s="60"/>
      <c r="CH872" s="60"/>
      <c r="CI872" s="60"/>
      <c r="CJ872" s="60"/>
      <c r="CK872" s="60"/>
      <c r="CL872" s="60"/>
      <c r="CM872" s="60"/>
      <c r="CN872" s="60"/>
      <c r="CO872" s="60"/>
      <c r="CP872" s="60"/>
      <c r="CQ872" s="60"/>
      <c r="CR872" s="60"/>
      <c r="CS872" s="60"/>
      <c r="CT872" s="60"/>
      <c r="CU872" s="60"/>
      <c r="CV872" s="60"/>
      <c r="CW872" s="60"/>
      <c r="CX872" s="60"/>
      <c r="CY872" s="60"/>
      <c r="CZ872" s="60"/>
      <c r="DA872" s="60"/>
      <c r="DB872" s="60"/>
      <c r="DC872" s="60"/>
      <c r="DD872" s="60"/>
      <c r="DE872" s="60"/>
      <c r="DF872" s="60"/>
      <c r="DG872" s="60"/>
      <c r="DH872" s="60"/>
      <c r="DI872" s="60"/>
      <c r="DJ872" s="60"/>
      <c r="DK872" s="60"/>
      <c r="DL872" s="60"/>
      <c r="DM872" s="60"/>
      <c r="DN872" s="60"/>
      <c r="DO872" s="60"/>
      <c r="DP872" s="60"/>
      <c r="DQ872" s="60"/>
      <c r="DR872" s="60"/>
      <c r="DS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  <c r="BG873" s="60"/>
      <c r="BH873" s="60"/>
      <c r="BI873" s="60"/>
      <c r="BJ873" s="60"/>
      <c r="BK873" s="60"/>
      <c r="BL873" s="60"/>
      <c r="BM873" s="60"/>
      <c r="BN873" s="60"/>
      <c r="BO873" s="60"/>
      <c r="BP873" s="60"/>
      <c r="BQ873" s="60"/>
      <c r="BR873" s="60"/>
      <c r="BS873" s="60"/>
      <c r="BT873" s="60"/>
      <c r="BU873" s="60"/>
      <c r="BV873" s="60"/>
      <c r="BW873" s="60"/>
      <c r="BX873" s="60"/>
      <c r="BY873" s="60"/>
      <c r="BZ873" s="60"/>
      <c r="CA873" s="60"/>
      <c r="CB873" s="60"/>
      <c r="CC873" s="60"/>
      <c r="CD873" s="60"/>
      <c r="CE873" s="60"/>
      <c r="CF873" s="60"/>
      <c r="CG873" s="60"/>
      <c r="CH873" s="60"/>
      <c r="CI873" s="60"/>
      <c r="CJ873" s="60"/>
      <c r="CK873" s="60"/>
      <c r="CL873" s="60"/>
      <c r="CM873" s="60"/>
      <c r="CN873" s="60"/>
      <c r="CO873" s="60"/>
      <c r="CP873" s="60"/>
      <c r="CQ873" s="60"/>
      <c r="CR873" s="60"/>
      <c r="CS873" s="60"/>
      <c r="CT873" s="60"/>
      <c r="CU873" s="60"/>
      <c r="CV873" s="60"/>
      <c r="CW873" s="60"/>
      <c r="CX873" s="60"/>
      <c r="CY873" s="60"/>
      <c r="CZ873" s="60"/>
      <c r="DA873" s="60"/>
      <c r="DB873" s="60"/>
      <c r="DC873" s="60"/>
      <c r="DD873" s="60"/>
      <c r="DE873" s="60"/>
      <c r="DF873" s="60"/>
      <c r="DG873" s="60"/>
      <c r="DH873" s="60"/>
      <c r="DI873" s="60"/>
      <c r="DJ873" s="60"/>
      <c r="DK873" s="60"/>
      <c r="DL873" s="60"/>
      <c r="DM873" s="60"/>
      <c r="DN873" s="60"/>
      <c r="DO873" s="60"/>
      <c r="DP873" s="60"/>
      <c r="DQ873" s="60"/>
      <c r="DR873" s="60"/>
      <c r="DS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  <c r="BG874" s="60"/>
      <c r="BH874" s="60"/>
      <c r="BI874" s="60"/>
      <c r="BJ874" s="60"/>
      <c r="BK874" s="60"/>
      <c r="BL874" s="60"/>
      <c r="BM874" s="60"/>
      <c r="BN874" s="60"/>
      <c r="BO874" s="60"/>
      <c r="BP874" s="60"/>
      <c r="BQ874" s="60"/>
      <c r="BR874" s="60"/>
      <c r="BS874" s="60"/>
      <c r="BT874" s="60"/>
      <c r="BU874" s="60"/>
      <c r="BV874" s="60"/>
      <c r="BW874" s="60"/>
      <c r="BX874" s="60"/>
      <c r="BY874" s="60"/>
      <c r="BZ874" s="60"/>
      <c r="CA874" s="60"/>
      <c r="CB874" s="60"/>
      <c r="CC874" s="60"/>
      <c r="CD874" s="60"/>
      <c r="CE874" s="60"/>
      <c r="CF874" s="60"/>
      <c r="CG874" s="60"/>
      <c r="CH874" s="60"/>
      <c r="CI874" s="60"/>
      <c r="CJ874" s="60"/>
      <c r="CK874" s="60"/>
      <c r="CL874" s="60"/>
      <c r="CM874" s="60"/>
      <c r="CN874" s="60"/>
      <c r="CO874" s="60"/>
      <c r="CP874" s="60"/>
      <c r="CQ874" s="60"/>
      <c r="CR874" s="60"/>
      <c r="CS874" s="60"/>
      <c r="CT874" s="60"/>
      <c r="CU874" s="60"/>
      <c r="CV874" s="60"/>
      <c r="CW874" s="60"/>
      <c r="CX874" s="60"/>
      <c r="CY874" s="60"/>
      <c r="CZ874" s="60"/>
      <c r="DA874" s="60"/>
      <c r="DB874" s="60"/>
      <c r="DC874" s="60"/>
      <c r="DD874" s="60"/>
      <c r="DE874" s="60"/>
      <c r="DF874" s="60"/>
      <c r="DG874" s="60"/>
      <c r="DH874" s="60"/>
      <c r="DI874" s="60"/>
      <c r="DJ874" s="60"/>
      <c r="DK874" s="60"/>
      <c r="DL874" s="60"/>
      <c r="DM874" s="60"/>
      <c r="DN874" s="60"/>
      <c r="DO874" s="60"/>
      <c r="DP874" s="60"/>
      <c r="DQ874" s="60"/>
      <c r="DR874" s="60"/>
      <c r="DS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60"/>
      <c r="BH875" s="60"/>
      <c r="BI875" s="60"/>
      <c r="BJ875" s="60"/>
      <c r="BK875" s="60"/>
      <c r="BL875" s="60"/>
      <c r="BM875" s="60"/>
      <c r="BN875" s="60"/>
      <c r="BO875" s="60"/>
      <c r="BP875" s="60"/>
      <c r="BQ875" s="60"/>
      <c r="BR875" s="60"/>
      <c r="BS875" s="60"/>
      <c r="BT875" s="60"/>
      <c r="BU875" s="60"/>
      <c r="BV875" s="60"/>
      <c r="BW875" s="60"/>
      <c r="BX875" s="60"/>
      <c r="BY875" s="60"/>
      <c r="BZ875" s="60"/>
      <c r="CA875" s="60"/>
      <c r="CB875" s="60"/>
      <c r="CC875" s="60"/>
      <c r="CD875" s="60"/>
      <c r="CE875" s="60"/>
      <c r="CF875" s="60"/>
      <c r="CG875" s="60"/>
      <c r="CH875" s="60"/>
      <c r="CI875" s="60"/>
      <c r="CJ875" s="60"/>
      <c r="CK875" s="60"/>
      <c r="CL875" s="60"/>
      <c r="CM875" s="60"/>
      <c r="CN875" s="60"/>
      <c r="CO875" s="60"/>
      <c r="CP875" s="60"/>
      <c r="CQ875" s="60"/>
      <c r="CR875" s="60"/>
      <c r="CS875" s="60"/>
      <c r="CT875" s="60"/>
      <c r="CU875" s="60"/>
      <c r="CV875" s="60"/>
      <c r="CW875" s="60"/>
      <c r="CX875" s="60"/>
      <c r="CY875" s="60"/>
      <c r="CZ875" s="60"/>
      <c r="DA875" s="60"/>
      <c r="DB875" s="60"/>
      <c r="DC875" s="60"/>
      <c r="DD875" s="60"/>
      <c r="DE875" s="60"/>
      <c r="DF875" s="60"/>
      <c r="DG875" s="60"/>
      <c r="DH875" s="60"/>
      <c r="DI875" s="60"/>
      <c r="DJ875" s="60"/>
      <c r="DK875" s="60"/>
      <c r="DL875" s="60"/>
      <c r="DM875" s="60"/>
      <c r="DN875" s="60"/>
      <c r="DO875" s="60"/>
      <c r="DP875" s="60"/>
      <c r="DQ875" s="60"/>
      <c r="DR875" s="60"/>
      <c r="DS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  <c r="BG876" s="60"/>
      <c r="BH876" s="60"/>
      <c r="BI876" s="60"/>
      <c r="BJ876" s="60"/>
      <c r="BK876" s="60"/>
      <c r="BL876" s="60"/>
      <c r="BM876" s="60"/>
      <c r="BN876" s="60"/>
      <c r="BO876" s="60"/>
      <c r="BP876" s="60"/>
      <c r="BQ876" s="60"/>
      <c r="BR876" s="60"/>
      <c r="BS876" s="60"/>
      <c r="BT876" s="60"/>
      <c r="BU876" s="60"/>
      <c r="BV876" s="60"/>
      <c r="BW876" s="60"/>
      <c r="BX876" s="60"/>
      <c r="BY876" s="60"/>
      <c r="BZ876" s="60"/>
      <c r="CA876" s="60"/>
      <c r="CB876" s="60"/>
      <c r="CC876" s="60"/>
      <c r="CD876" s="60"/>
      <c r="CE876" s="60"/>
      <c r="CF876" s="60"/>
      <c r="CG876" s="60"/>
      <c r="CH876" s="60"/>
      <c r="CI876" s="60"/>
      <c r="CJ876" s="60"/>
      <c r="CK876" s="60"/>
      <c r="CL876" s="60"/>
      <c r="CM876" s="60"/>
      <c r="CN876" s="60"/>
      <c r="CO876" s="60"/>
      <c r="CP876" s="60"/>
      <c r="CQ876" s="60"/>
      <c r="CR876" s="60"/>
      <c r="CS876" s="60"/>
      <c r="CT876" s="60"/>
      <c r="CU876" s="60"/>
      <c r="CV876" s="60"/>
      <c r="CW876" s="60"/>
      <c r="CX876" s="60"/>
      <c r="CY876" s="60"/>
      <c r="CZ876" s="60"/>
      <c r="DA876" s="60"/>
      <c r="DB876" s="60"/>
      <c r="DC876" s="60"/>
      <c r="DD876" s="60"/>
      <c r="DE876" s="60"/>
      <c r="DF876" s="60"/>
      <c r="DG876" s="60"/>
      <c r="DH876" s="60"/>
      <c r="DI876" s="60"/>
      <c r="DJ876" s="60"/>
      <c r="DK876" s="60"/>
      <c r="DL876" s="60"/>
      <c r="DM876" s="60"/>
      <c r="DN876" s="60"/>
      <c r="DO876" s="60"/>
      <c r="DP876" s="60"/>
      <c r="DQ876" s="60"/>
      <c r="DR876" s="60"/>
      <c r="DS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60"/>
      <c r="BH877" s="60"/>
      <c r="BI877" s="60"/>
      <c r="BJ877" s="60"/>
      <c r="BK877" s="60"/>
      <c r="BL877" s="60"/>
      <c r="BM877" s="60"/>
      <c r="BN877" s="60"/>
      <c r="BO877" s="60"/>
      <c r="BP877" s="60"/>
      <c r="BQ877" s="60"/>
      <c r="BR877" s="60"/>
      <c r="BS877" s="60"/>
      <c r="BT877" s="60"/>
      <c r="BU877" s="60"/>
      <c r="BV877" s="60"/>
      <c r="BW877" s="60"/>
      <c r="BX877" s="60"/>
      <c r="BY877" s="60"/>
      <c r="BZ877" s="60"/>
      <c r="CA877" s="60"/>
      <c r="CB877" s="60"/>
      <c r="CC877" s="60"/>
      <c r="CD877" s="60"/>
      <c r="CE877" s="60"/>
      <c r="CF877" s="60"/>
      <c r="CG877" s="60"/>
      <c r="CH877" s="60"/>
      <c r="CI877" s="60"/>
      <c r="CJ877" s="60"/>
      <c r="CK877" s="60"/>
      <c r="CL877" s="60"/>
      <c r="CM877" s="60"/>
      <c r="CN877" s="60"/>
      <c r="CO877" s="60"/>
      <c r="CP877" s="60"/>
      <c r="CQ877" s="60"/>
      <c r="CR877" s="60"/>
      <c r="CS877" s="60"/>
      <c r="CT877" s="60"/>
      <c r="CU877" s="60"/>
      <c r="CV877" s="60"/>
      <c r="CW877" s="60"/>
      <c r="CX877" s="60"/>
      <c r="CY877" s="60"/>
      <c r="CZ877" s="60"/>
      <c r="DA877" s="60"/>
      <c r="DB877" s="60"/>
      <c r="DC877" s="60"/>
      <c r="DD877" s="60"/>
      <c r="DE877" s="60"/>
      <c r="DF877" s="60"/>
      <c r="DG877" s="60"/>
      <c r="DH877" s="60"/>
      <c r="DI877" s="60"/>
      <c r="DJ877" s="60"/>
      <c r="DK877" s="60"/>
      <c r="DL877" s="60"/>
      <c r="DM877" s="60"/>
      <c r="DN877" s="60"/>
      <c r="DO877" s="60"/>
      <c r="DP877" s="60"/>
      <c r="DQ877" s="60"/>
      <c r="DR877" s="60"/>
      <c r="DS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  <c r="BG878" s="60"/>
      <c r="BH878" s="60"/>
      <c r="BI878" s="60"/>
      <c r="BJ878" s="60"/>
      <c r="BK878" s="60"/>
      <c r="BL878" s="60"/>
      <c r="BM878" s="60"/>
      <c r="BN878" s="60"/>
      <c r="BO878" s="60"/>
      <c r="BP878" s="60"/>
      <c r="BQ878" s="60"/>
      <c r="BR878" s="60"/>
      <c r="BS878" s="60"/>
      <c r="BT878" s="60"/>
      <c r="BU878" s="60"/>
      <c r="BV878" s="60"/>
      <c r="BW878" s="60"/>
      <c r="BX878" s="60"/>
      <c r="BY878" s="60"/>
      <c r="BZ878" s="60"/>
      <c r="CA878" s="60"/>
      <c r="CB878" s="60"/>
      <c r="CC878" s="60"/>
      <c r="CD878" s="60"/>
      <c r="CE878" s="60"/>
      <c r="CF878" s="60"/>
      <c r="CG878" s="60"/>
      <c r="CH878" s="60"/>
      <c r="CI878" s="60"/>
      <c r="CJ878" s="60"/>
      <c r="CK878" s="60"/>
      <c r="CL878" s="60"/>
      <c r="CM878" s="60"/>
      <c r="CN878" s="60"/>
      <c r="CO878" s="60"/>
      <c r="CP878" s="60"/>
      <c r="CQ878" s="60"/>
      <c r="CR878" s="60"/>
      <c r="CS878" s="60"/>
      <c r="CT878" s="60"/>
      <c r="CU878" s="60"/>
      <c r="CV878" s="60"/>
      <c r="CW878" s="60"/>
      <c r="CX878" s="60"/>
      <c r="CY878" s="60"/>
      <c r="CZ878" s="60"/>
      <c r="DA878" s="60"/>
      <c r="DB878" s="60"/>
      <c r="DC878" s="60"/>
      <c r="DD878" s="60"/>
      <c r="DE878" s="60"/>
      <c r="DF878" s="60"/>
      <c r="DG878" s="60"/>
      <c r="DH878" s="60"/>
      <c r="DI878" s="60"/>
      <c r="DJ878" s="60"/>
      <c r="DK878" s="60"/>
      <c r="DL878" s="60"/>
      <c r="DM878" s="60"/>
      <c r="DN878" s="60"/>
      <c r="DO878" s="60"/>
      <c r="DP878" s="60"/>
      <c r="DQ878" s="60"/>
      <c r="DR878" s="60"/>
      <c r="DS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60"/>
      <c r="BH879" s="60"/>
      <c r="BI879" s="60"/>
      <c r="BJ879" s="60"/>
      <c r="BK879" s="60"/>
      <c r="BL879" s="60"/>
      <c r="BM879" s="60"/>
      <c r="BN879" s="60"/>
      <c r="BO879" s="60"/>
      <c r="BP879" s="60"/>
      <c r="BQ879" s="60"/>
      <c r="BR879" s="60"/>
      <c r="BS879" s="60"/>
      <c r="BT879" s="60"/>
      <c r="BU879" s="60"/>
      <c r="BV879" s="60"/>
      <c r="BW879" s="60"/>
      <c r="BX879" s="60"/>
      <c r="BY879" s="60"/>
      <c r="BZ879" s="60"/>
      <c r="CA879" s="60"/>
      <c r="CB879" s="60"/>
      <c r="CC879" s="60"/>
      <c r="CD879" s="60"/>
      <c r="CE879" s="60"/>
      <c r="CF879" s="60"/>
      <c r="CG879" s="60"/>
      <c r="CH879" s="60"/>
      <c r="CI879" s="60"/>
      <c r="CJ879" s="60"/>
      <c r="CK879" s="60"/>
      <c r="CL879" s="60"/>
      <c r="CM879" s="60"/>
      <c r="CN879" s="60"/>
      <c r="CO879" s="60"/>
      <c r="CP879" s="60"/>
      <c r="CQ879" s="60"/>
      <c r="CR879" s="60"/>
      <c r="CS879" s="60"/>
      <c r="CT879" s="60"/>
      <c r="CU879" s="60"/>
      <c r="CV879" s="60"/>
      <c r="CW879" s="60"/>
      <c r="CX879" s="60"/>
      <c r="CY879" s="60"/>
      <c r="CZ879" s="60"/>
      <c r="DA879" s="60"/>
      <c r="DB879" s="60"/>
      <c r="DC879" s="60"/>
      <c r="DD879" s="60"/>
      <c r="DE879" s="60"/>
      <c r="DF879" s="60"/>
      <c r="DG879" s="60"/>
      <c r="DH879" s="60"/>
      <c r="DI879" s="60"/>
      <c r="DJ879" s="60"/>
      <c r="DK879" s="60"/>
      <c r="DL879" s="60"/>
      <c r="DM879" s="60"/>
      <c r="DN879" s="60"/>
      <c r="DO879" s="60"/>
      <c r="DP879" s="60"/>
      <c r="DQ879" s="60"/>
      <c r="DR879" s="60"/>
      <c r="DS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  <c r="BG880" s="60"/>
      <c r="BH880" s="60"/>
      <c r="BI880" s="60"/>
      <c r="BJ880" s="60"/>
      <c r="BK880" s="60"/>
      <c r="BL880" s="60"/>
      <c r="BM880" s="60"/>
      <c r="BN880" s="60"/>
      <c r="BO880" s="60"/>
      <c r="BP880" s="60"/>
      <c r="BQ880" s="60"/>
      <c r="BR880" s="60"/>
      <c r="BS880" s="60"/>
      <c r="BT880" s="60"/>
      <c r="BU880" s="60"/>
      <c r="BV880" s="60"/>
      <c r="BW880" s="60"/>
      <c r="BX880" s="60"/>
      <c r="BY880" s="60"/>
      <c r="BZ880" s="60"/>
      <c r="CA880" s="60"/>
      <c r="CB880" s="60"/>
      <c r="CC880" s="60"/>
      <c r="CD880" s="60"/>
      <c r="CE880" s="60"/>
      <c r="CF880" s="60"/>
      <c r="CG880" s="60"/>
      <c r="CH880" s="60"/>
      <c r="CI880" s="60"/>
      <c r="CJ880" s="60"/>
      <c r="CK880" s="60"/>
      <c r="CL880" s="60"/>
      <c r="CM880" s="60"/>
      <c r="CN880" s="60"/>
      <c r="CO880" s="60"/>
      <c r="CP880" s="60"/>
      <c r="CQ880" s="60"/>
      <c r="CR880" s="60"/>
      <c r="CS880" s="60"/>
      <c r="CT880" s="60"/>
      <c r="CU880" s="60"/>
      <c r="CV880" s="60"/>
      <c r="CW880" s="60"/>
      <c r="CX880" s="60"/>
      <c r="CY880" s="60"/>
      <c r="CZ880" s="60"/>
      <c r="DA880" s="60"/>
      <c r="DB880" s="60"/>
      <c r="DC880" s="60"/>
      <c r="DD880" s="60"/>
      <c r="DE880" s="60"/>
      <c r="DF880" s="60"/>
      <c r="DG880" s="60"/>
      <c r="DH880" s="60"/>
      <c r="DI880" s="60"/>
      <c r="DJ880" s="60"/>
      <c r="DK880" s="60"/>
      <c r="DL880" s="60"/>
      <c r="DM880" s="60"/>
      <c r="DN880" s="60"/>
      <c r="DO880" s="60"/>
      <c r="DP880" s="60"/>
      <c r="DQ880" s="60"/>
      <c r="DR880" s="60"/>
      <c r="DS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60"/>
      <c r="BH881" s="60"/>
      <c r="BI881" s="60"/>
      <c r="BJ881" s="60"/>
      <c r="BK881" s="60"/>
      <c r="BL881" s="60"/>
      <c r="BM881" s="60"/>
      <c r="BN881" s="60"/>
      <c r="BO881" s="60"/>
      <c r="BP881" s="60"/>
      <c r="BQ881" s="60"/>
      <c r="BR881" s="60"/>
      <c r="BS881" s="60"/>
      <c r="BT881" s="60"/>
      <c r="BU881" s="60"/>
      <c r="BV881" s="60"/>
      <c r="BW881" s="60"/>
      <c r="BX881" s="60"/>
      <c r="BY881" s="60"/>
      <c r="BZ881" s="60"/>
      <c r="CA881" s="60"/>
      <c r="CB881" s="60"/>
      <c r="CC881" s="60"/>
      <c r="CD881" s="60"/>
      <c r="CE881" s="60"/>
      <c r="CF881" s="60"/>
      <c r="CG881" s="60"/>
      <c r="CH881" s="60"/>
      <c r="CI881" s="60"/>
      <c r="CJ881" s="60"/>
      <c r="CK881" s="60"/>
      <c r="CL881" s="60"/>
      <c r="CM881" s="60"/>
      <c r="CN881" s="60"/>
      <c r="CO881" s="60"/>
      <c r="CP881" s="60"/>
      <c r="CQ881" s="60"/>
      <c r="CR881" s="60"/>
      <c r="CS881" s="60"/>
      <c r="CT881" s="60"/>
      <c r="CU881" s="60"/>
      <c r="CV881" s="60"/>
      <c r="CW881" s="60"/>
      <c r="CX881" s="60"/>
      <c r="CY881" s="60"/>
      <c r="CZ881" s="60"/>
      <c r="DA881" s="60"/>
      <c r="DB881" s="60"/>
      <c r="DC881" s="60"/>
      <c r="DD881" s="60"/>
      <c r="DE881" s="60"/>
      <c r="DF881" s="60"/>
      <c r="DG881" s="60"/>
      <c r="DH881" s="60"/>
      <c r="DI881" s="60"/>
      <c r="DJ881" s="60"/>
      <c r="DK881" s="60"/>
      <c r="DL881" s="60"/>
      <c r="DM881" s="60"/>
      <c r="DN881" s="60"/>
      <c r="DO881" s="60"/>
      <c r="DP881" s="60"/>
      <c r="DQ881" s="60"/>
      <c r="DR881" s="60"/>
      <c r="DS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  <c r="BG882" s="60"/>
      <c r="BH882" s="60"/>
      <c r="BI882" s="60"/>
      <c r="BJ882" s="60"/>
      <c r="BK882" s="60"/>
      <c r="BL882" s="60"/>
      <c r="BM882" s="60"/>
      <c r="BN882" s="60"/>
      <c r="BO882" s="60"/>
      <c r="BP882" s="60"/>
      <c r="BQ882" s="60"/>
      <c r="BR882" s="60"/>
      <c r="BS882" s="60"/>
      <c r="BT882" s="60"/>
      <c r="BU882" s="60"/>
      <c r="BV882" s="60"/>
      <c r="BW882" s="60"/>
      <c r="BX882" s="60"/>
      <c r="BY882" s="60"/>
      <c r="BZ882" s="60"/>
      <c r="CA882" s="60"/>
      <c r="CB882" s="60"/>
      <c r="CC882" s="60"/>
      <c r="CD882" s="60"/>
      <c r="CE882" s="60"/>
      <c r="CF882" s="60"/>
      <c r="CG882" s="60"/>
      <c r="CH882" s="60"/>
      <c r="CI882" s="60"/>
      <c r="CJ882" s="60"/>
      <c r="CK882" s="60"/>
      <c r="CL882" s="60"/>
      <c r="CM882" s="60"/>
      <c r="CN882" s="60"/>
      <c r="CO882" s="60"/>
      <c r="CP882" s="60"/>
      <c r="CQ882" s="60"/>
      <c r="CR882" s="60"/>
      <c r="CS882" s="60"/>
      <c r="CT882" s="60"/>
      <c r="CU882" s="60"/>
      <c r="CV882" s="60"/>
      <c r="CW882" s="60"/>
      <c r="CX882" s="60"/>
      <c r="CY882" s="60"/>
      <c r="CZ882" s="60"/>
      <c r="DA882" s="60"/>
      <c r="DB882" s="60"/>
      <c r="DC882" s="60"/>
      <c r="DD882" s="60"/>
      <c r="DE882" s="60"/>
      <c r="DF882" s="60"/>
      <c r="DG882" s="60"/>
      <c r="DH882" s="60"/>
      <c r="DI882" s="60"/>
      <c r="DJ882" s="60"/>
      <c r="DK882" s="60"/>
      <c r="DL882" s="60"/>
      <c r="DM882" s="60"/>
      <c r="DN882" s="60"/>
      <c r="DO882" s="60"/>
      <c r="DP882" s="60"/>
      <c r="DQ882" s="60"/>
      <c r="DR882" s="60"/>
      <c r="DS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  <c r="BG883" s="60"/>
      <c r="BH883" s="60"/>
      <c r="BI883" s="60"/>
      <c r="BJ883" s="60"/>
      <c r="BK883" s="60"/>
      <c r="BL883" s="60"/>
      <c r="BM883" s="60"/>
      <c r="BN883" s="60"/>
      <c r="BO883" s="60"/>
      <c r="BP883" s="60"/>
      <c r="BQ883" s="60"/>
      <c r="BR883" s="60"/>
      <c r="BS883" s="60"/>
      <c r="BT883" s="60"/>
      <c r="BU883" s="60"/>
      <c r="BV883" s="60"/>
      <c r="BW883" s="60"/>
      <c r="BX883" s="60"/>
      <c r="BY883" s="60"/>
      <c r="BZ883" s="60"/>
      <c r="CA883" s="60"/>
      <c r="CB883" s="60"/>
      <c r="CC883" s="60"/>
      <c r="CD883" s="60"/>
      <c r="CE883" s="60"/>
      <c r="CF883" s="60"/>
      <c r="CG883" s="60"/>
      <c r="CH883" s="60"/>
      <c r="CI883" s="60"/>
      <c r="CJ883" s="60"/>
      <c r="CK883" s="60"/>
      <c r="CL883" s="60"/>
      <c r="CM883" s="60"/>
      <c r="CN883" s="60"/>
      <c r="CO883" s="60"/>
      <c r="CP883" s="60"/>
      <c r="CQ883" s="60"/>
      <c r="CR883" s="60"/>
      <c r="CS883" s="60"/>
      <c r="CT883" s="60"/>
      <c r="CU883" s="60"/>
      <c r="CV883" s="60"/>
      <c r="CW883" s="60"/>
      <c r="CX883" s="60"/>
      <c r="CY883" s="60"/>
      <c r="CZ883" s="60"/>
      <c r="DA883" s="60"/>
      <c r="DB883" s="60"/>
      <c r="DC883" s="60"/>
      <c r="DD883" s="60"/>
      <c r="DE883" s="60"/>
      <c r="DF883" s="60"/>
      <c r="DG883" s="60"/>
      <c r="DH883" s="60"/>
      <c r="DI883" s="60"/>
      <c r="DJ883" s="60"/>
      <c r="DK883" s="60"/>
      <c r="DL883" s="60"/>
      <c r="DM883" s="60"/>
      <c r="DN883" s="60"/>
      <c r="DO883" s="60"/>
      <c r="DP883" s="60"/>
      <c r="DQ883" s="60"/>
      <c r="DR883" s="60"/>
      <c r="DS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60"/>
      <c r="BH884" s="60"/>
      <c r="BI884" s="60"/>
      <c r="BJ884" s="60"/>
      <c r="BK884" s="60"/>
      <c r="BL884" s="60"/>
      <c r="BM884" s="60"/>
      <c r="BN884" s="60"/>
      <c r="BO884" s="60"/>
      <c r="BP884" s="60"/>
      <c r="BQ884" s="60"/>
      <c r="BR884" s="60"/>
      <c r="BS884" s="60"/>
      <c r="BT884" s="60"/>
      <c r="BU884" s="60"/>
      <c r="BV884" s="60"/>
      <c r="BW884" s="60"/>
      <c r="BX884" s="60"/>
      <c r="BY884" s="60"/>
      <c r="BZ884" s="60"/>
      <c r="CA884" s="60"/>
      <c r="CB884" s="60"/>
      <c r="CC884" s="60"/>
      <c r="CD884" s="60"/>
      <c r="CE884" s="60"/>
      <c r="CF884" s="60"/>
      <c r="CG884" s="60"/>
      <c r="CH884" s="60"/>
      <c r="CI884" s="60"/>
      <c r="CJ884" s="60"/>
      <c r="CK884" s="60"/>
      <c r="CL884" s="60"/>
      <c r="CM884" s="60"/>
      <c r="CN884" s="60"/>
      <c r="CO884" s="60"/>
      <c r="CP884" s="60"/>
      <c r="CQ884" s="60"/>
      <c r="CR884" s="60"/>
      <c r="CS884" s="60"/>
      <c r="CT884" s="60"/>
      <c r="CU884" s="60"/>
      <c r="CV884" s="60"/>
      <c r="CW884" s="60"/>
      <c r="CX884" s="60"/>
      <c r="CY884" s="60"/>
      <c r="CZ884" s="60"/>
      <c r="DA884" s="60"/>
      <c r="DB884" s="60"/>
      <c r="DC884" s="60"/>
      <c r="DD884" s="60"/>
      <c r="DE884" s="60"/>
      <c r="DF884" s="60"/>
      <c r="DG884" s="60"/>
      <c r="DH884" s="60"/>
      <c r="DI884" s="60"/>
      <c r="DJ884" s="60"/>
      <c r="DK884" s="60"/>
      <c r="DL884" s="60"/>
      <c r="DM884" s="60"/>
      <c r="DN884" s="60"/>
      <c r="DO884" s="60"/>
      <c r="DP884" s="60"/>
      <c r="DQ884" s="60"/>
      <c r="DR884" s="60"/>
      <c r="DS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  <c r="BG885" s="60"/>
      <c r="BH885" s="60"/>
      <c r="BI885" s="60"/>
      <c r="BJ885" s="60"/>
      <c r="BK885" s="60"/>
      <c r="BL885" s="60"/>
      <c r="BM885" s="60"/>
      <c r="BN885" s="60"/>
      <c r="BO885" s="60"/>
      <c r="BP885" s="60"/>
      <c r="BQ885" s="60"/>
      <c r="BR885" s="60"/>
      <c r="BS885" s="60"/>
      <c r="BT885" s="60"/>
      <c r="BU885" s="60"/>
      <c r="BV885" s="60"/>
      <c r="BW885" s="60"/>
      <c r="BX885" s="60"/>
      <c r="BY885" s="60"/>
      <c r="BZ885" s="60"/>
      <c r="CA885" s="60"/>
      <c r="CB885" s="60"/>
      <c r="CC885" s="60"/>
      <c r="CD885" s="60"/>
      <c r="CE885" s="60"/>
      <c r="CF885" s="60"/>
      <c r="CG885" s="60"/>
      <c r="CH885" s="60"/>
      <c r="CI885" s="60"/>
      <c r="CJ885" s="60"/>
      <c r="CK885" s="60"/>
      <c r="CL885" s="60"/>
      <c r="CM885" s="60"/>
      <c r="CN885" s="60"/>
      <c r="CO885" s="60"/>
      <c r="CP885" s="60"/>
      <c r="CQ885" s="60"/>
      <c r="CR885" s="60"/>
      <c r="CS885" s="60"/>
      <c r="CT885" s="60"/>
      <c r="CU885" s="60"/>
      <c r="CV885" s="60"/>
      <c r="CW885" s="60"/>
      <c r="CX885" s="60"/>
      <c r="CY885" s="60"/>
      <c r="CZ885" s="60"/>
      <c r="DA885" s="60"/>
      <c r="DB885" s="60"/>
      <c r="DC885" s="60"/>
      <c r="DD885" s="60"/>
      <c r="DE885" s="60"/>
      <c r="DF885" s="60"/>
      <c r="DG885" s="60"/>
      <c r="DH885" s="60"/>
      <c r="DI885" s="60"/>
      <c r="DJ885" s="60"/>
      <c r="DK885" s="60"/>
      <c r="DL885" s="60"/>
      <c r="DM885" s="60"/>
      <c r="DN885" s="60"/>
      <c r="DO885" s="60"/>
      <c r="DP885" s="60"/>
      <c r="DQ885" s="60"/>
      <c r="DR885" s="60"/>
      <c r="DS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  <c r="BG886" s="60"/>
      <c r="BH886" s="60"/>
      <c r="BI886" s="60"/>
      <c r="BJ886" s="60"/>
      <c r="BK886" s="60"/>
      <c r="BL886" s="60"/>
      <c r="BM886" s="60"/>
      <c r="BN886" s="60"/>
      <c r="BO886" s="60"/>
      <c r="BP886" s="60"/>
      <c r="BQ886" s="60"/>
      <c r="BR886" s="60"/>
      <c r="BS886" s="60"/>
      <c r="BT886" s="60"/>
      <c r="BU886" s="60"/>
      <c r="BV886" s="60"/>
      <c r="BW886" s="60"/>
      <c r="BX886" s="60"/>
      <c r="BY886" s="60"/>
      <c r="BZ886" s="60"/>
      <c r="CA886" s="60"/>
      <c r="CB886" s="60"/>
      <c r="CC886" s="60"/>
      <c r="CD886" s="60"/>
      <c r="CE886" s="60"/>
      <c r="CF886" s="60"/>
      <c r="CG886" s="60"/>
      <c r="CH886" s="60"/>
      <c r="CI886" s="60"/>
      <c r="CJ886" s="60"/>
      <c r="CK886" s="60"/>
      <c r="CL886" s="60"/>
      <c r="CM886" s="60"/>
      <c r="CN886" s="60"/>
      <c r="CO886" s="60"/>
      <c r="CP886" s="60"/>
      <c r="CQ886" s="60"/>
      <c r="CR886" s="60"/>
      <c r="CS886" s="60"/>
      <c r="CT886" s="60"/>
      <c r="CU886" s="60"/>
      <c r="CV886" s="60"/>
      <c r="CW886" s="60"/>
      <c r="CX886" s="60"/>
      <c r="CY886" s="60"/>
      <c r="CZ886" s="60"/>
      <c r="DA886" s="60"/>
      <c r="DB886" s="60"/>
      <c r="DC886" s="60"/>
      <c r="DD886" s="60"/>
      <c r="DE886" s="60"/>
      <c r="DF886" s="60"/>
      <c r="DG886" s="60"/>
      <c r="DH886" s="60"/>
      <c r="DI886" s="60"/>
      <c r="DJ886" s="60"/>
      <c r="DK886" s="60"/>
      <c r="DL886" s="60"/>
      <c r="DM886" s="60"/>
      <c r="DN886" s="60"/>
      <c r="DO886" s="60"/>
      <c r="DP886" s="60"/>
      <c r="DQ886" s="60"/>
      <c r="DR886" s="60"/>
      <c r="DS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60"/>
      <c r="BH887" s="60"/>
      <c r="BI887" s="60"/>
      <c r="BJ887" s="60"/>
      <c r="BK887" s="60"/>
      <c r="BL887" s="60"/>
      <c r="BM887" s="60"/>
      <c r="BN887" s="60"/>
      <c r="BO887" s="60"/>
      <c r="BP887" s="60"/>
      <c r="BQ887" s="60"/>
      <c r="BR887" s="60"/>
      <c r="BS887" s="60"/>
      <c r="BT887" s="60"/>
      <c r="BU887" s="60"/>
      <c r="BV887" s="60"/>
      <c r="BW887" s="60"/>
      <c r="BX887" s="60"/>
      <c r="BY887" s="60"/>
      <c r="BZ887" s="60"/>
      <c r="CA887" s="60"/>
      <c r="CB887" s="60"/>
      <c r="CC887" s="60"/>
      <c r="CD887" s="60"/>
      <c r="CE887" s="60"/>
      <c r="CF887" s="60"/>
      <c r="CG887" s="60"/>
      <c r="CH887" s="60"/>
      <c r="CI887" s="60"/>
      <c r="CJ887" s="60"/>
      <c r="CK887" s="60"/>
      <c r="CL887" s="60"/>
      <c r="CM887" s="60"/>
      <c r="CN887" s="60"/>
      <c r="CO887" s="60"/>
      <c r="CP887" s="60"/>
      <c r="CQ887" s="60"/>
      <c r="CR887" s="60"/>
      <c r="CS887" s="60"/>
      <c r="CT887" s="60"/>
      <c r="CU887" s="60"/>
      <c r="CV887" s="60"/>
      <c r="CW887" s="60"/>
      <c r="CX887" s="60"/>
      <c r="CY887" s="60"/>
      <c r="CZ887" s="60"/>
      <c r="DA887" s="60"/>
      <c r="DB887" s="60"/>
      <c r="DC887" s="60"/>
      <c r="DD887" s="60"/>
      <c r="DE887" s="60"/>
      <c r="DF887" s="60"/>
      <c r="DG887" s="60"/>
      <c r="DH887" s="60"/>
      <c r="DI887" s="60"/>
      <c r="DJ887" s="60"/>
      <c r="DK887" s="60"/>
      <c r="DL887" s="60"/>
      <c r="DM887" s="60"/>
      <c r="DN887" s="60"/>
      <c r="DO887" s="60"/>
      <c r="DP887" s="60"/>
      <c r="DQ887" s="60"/>
      <c r="DR887" s="60"/>
      <c r="DS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  <c r="BG888" s="60"/>
      <c r="BH888" s="60"/>
      <c r="BI888" s="60"/>
      <c r="BJ888" s="60"/>
      <c r="BK888" s="60"/>
      <c r="BL888" s="60"/>
      <c r="BM888" s="60"/>
      <c r="BN888" s="60"/>
      <c r="BO888" s="60"/>
      <c r="BP888" s="60"/>
      <c r="BQ888" s="60"/>
      <c r="BR888" s="60"/>
      <c r="BS888" s="60"/>
      <c r="BT888" s="60"/>
      <c r="BU888" s="60"/>
      <c r="BV888" s="60"/>
      <c r="BW888" s="60"/>
      <c r="BX888" s="60"/>
      <c r="BY888" s="60"/>
      <c r="BZ888" s="60"/>
      <c r="CA888" s="60"/>
      <c r="CB888" s="60"/>
      <c r="CC888" s="60"/>
      <c r="CD888" s="60"/>
      <c r="CE888" s="60"/>
      <c r="CF888" s="60"/>
      <c r="CG888" s="60"/>
      <c r="CH888" s="60"/>
      <c r="CI888" s="60"/>
      <c r="CJ888" s="60"/>
      <c r="CK888" s="60"/>
      <c r="CL888" s="60"/>
      <c r="CM888" s="60"/>
      <c r="CN888" s="60"/>
      <c r="CO888" s="60"/>
      <c r="CP888" s="60"/>
      <c r="CQ888" s="60"/>
      <c r="CR888" s="60"/>
      <c r="CS888" s="60"/>
      <c r="CT888" s="60"/>
      <c r="CU888" s="60"/>
      <c r="CV888" s="60"/>
      <c r="CW888" s="60"/>
      <c r="CX888" s="60"/>
      <c r="CY888" s="60"/>
      <c r="CZ888" s="60"/>
      <c r="DA888" s="60"/>
      <c r="DB888" s="60"/>
      <c r="DC888" s="60"/>
      <c r="DD888" s="60"/>
      <c r="DE888" s="60"/>
      <c r="DF888" s="60"/>
      <c r="DG888" s="60"/>
      <c r="DH888" s="60"/>
      <c r="DI888" s="60"/>
      <c r="DJ888" s="60"/>
      <c r="DK888" s="60"/>
      <c r="DL888" s="60"/>
      <c r="DM888" s="60"/>
      <c r="DN888" s="60"/>
      <c r="DO888" s="60"/>
      <c r="DP888" s="60"/>
      <c r="DQ888" s="60"/>
      <c r="DR888" s="60"/>
      <c r="DS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  <c r="BG889" s="60"/>
      <c r="BH889" s="60"/>
      <c r="BI889" s="60"/>
      <c r="BJ889" s="60"/>
      <c r="BK889" s="60"/>
      <c r="BL889" s="60"/>
      <c r="BM889" s="60"/>
      <c r="BN889" s="60"/>
      <c r="BO889" s="60"/>
      <c r="BP889" s="60"/>
      <c r="BQ889" s="60"/>
      <c r="BR889" s="60"/>
      <c r="BS889" s="60"/>
      <c r="BT889" s="60"/>
      <c r="BU889" s="60"/>
      <c r="BV889" s="60"/>
      <c r="BW889" s="60"/>
      <c r="BX889" s="60"/>
      <c r="BY889" s="60"/>
      <c r="BZ889" s="60"/>
      <c r="CA889" s="60"/>
      <c r="CB889" s="60"/>
      <c r="CC889" s="60"/>
      <c r="CD889" s="60"/>
      <c r="CE889" s="60"/>
      <c r="CF889" s="60"/>
      <c r="CG889" s="60"/>
      <c r="CH889" s="60"/>
      <c r="CI889" s="60"/>
      <c r="CJ889" s="60"/>
      <c r="CK889" s="60"/>
      <c r="CL889" s="60"/>
      <c r="CM889" s="60"/>
      <c r="CN889" s="60"/>
      <c r="CO889" s="60"/>
      <c r="CP889" s="60"/>
      <c r="CQ889" s="60"/>
      <c r="CR889" s="60"/>
      <c r="CS889" s="60"/>
      <c r="CT889" s="60"/>
      <c r="CU889" s="60"/>
      <c r="CV889" s="60"/>
      <c r="CW889" s="60"/>
      <c r="CX889" s="60"/>
      <c r="CY889" s="60"/>
      <c r="CZ889" s="60"/>
      <c r="DA889" s="60"/>
      <c r="DB889" s="60"/>
      <c r="DC889" s="60"/>
      <c r="DD889" s="60"/>
      <c r="DE889" s="60"/>
      <c r="DF889" s="60"/>
      <c r="DG889" s="60"/>
      <c r="DH889" s="60"/>
      <c r="DI889" s="60"/>
      <c r="DJ889" s="60"/>
      <c r="DK889" s="60"/>
      <c r="DL889" s="60"/>
      <c r="DM889" s="60"/>
      <c r="DN889" s="60"/>
      <c r="DO889" s="60"/>
      <c r="DP889" s="60"/>
      <c r="DQ889" s="60"/>
      <c r="DR889" s="60"/>
      <c r="DS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60"/>
      <c r="BH890" s="60"/>
      <c r="BI890" s="60"/>
      <c r="BJ890" s="60"/>
      <c r="BK890" s="60"/>
      <c r="BL890" s="60"/>
      <c r="BM890" s="60"/>
      <c r="BN890" s="60"/>
      <c r="BO890" s="60"/>
      <c r="BP890" s="60"/>
      <c r="BQ890" s="60"/>
      <c r="BR890" s="60"/>
      <c r="BS890" s="60"/>
      <c r="BT890" s="60"/>
      <c r="BU890" s="60"/>
      <c r="BV890" s="60"/>
      <c r="BW890" s="60"/>
      <c r="BX890" s="60"/>
      <c r="BY890" s="60"/>
      <c r="BZ890" s="60"/>
      <c r="CA890" s="60"/>
      <c r="CB890" s="60"/>
      <c r="CC890" s="60"/>
      <c r="CD890" s="60"/>
      <c r="CE890" s="60"/>
      <c r="CF890" s="60"/>
      <c r="CG890" s="60"/>
      <c r="CH890" s="60"/>
      <c r="CI890" s="60"/>
      <c r="CJ890" s="60"/>
      <c r="CK890" s="60"/>
      <c r="CL890" s="60"/>
      <c r="CM890" s="60"/>
      <c r="CN890" s="60"/>
      <c r="CO890" s="60"/>
      <c r="CP890" s="60"/>
      <c r="CQ890" s="60"/>
      <c r="CR890" s="60"/>
      <c r="CS890" s="60"/>
      <c r="CT890" s="60"/>
      <c r="CU890" s="60"/>
      <c r="CV890" s="60"/>
      <c r="CW890" s="60"/>
      <c r="CX890" s="60"/>
      <c r="CY890" s="60"/>
      <c r="CZ890" s="60"/>
      <c r="DA890" s="60"/>
      <c r="DB890" s="60"/>
      <c r="DC890" s="60"/>
      <c r="DD890" s="60"/>
      <c r="DE890" s="60"/>
      <c r="DF890" s="60"/>
      <c r="DG890" s="60"/>
      <c r="DH890" s="60"/>
      <c r="DI890" s="60"/>
      <c r="DJ890" s="60"/>
      <c r="DK890" s="60"/>
      <c r="DL890" s="60"/>
      <c r="DM890" s="60"/>
      <c r="DN890" s="60"/>
      <c r="DO890" s="60"/>
      <c r="DP890" s="60"/>
      <c r="DQ890" s="60"/>
      <c r="DR890" s="60"/>
      <c r="DS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  <c r="BG891" s="60"/>
      <c r="BH891" s="60"/>
      <c r="BI891" s="60"/>
      <c r="BJ891" s="60"/>
      <c r="BK891" s="60"/>
      <c r="BL891" s="60"/>
      <c r="BM891" s="60"/>
      <c r="BN891" s="60"/>
      <c r="BO891" s="60"/>
      <c r="BP891" s="60"/>
      <c r="BQ891" s="60"/>
      <c r="BR891" s="60"/>
      <c r="BS891" s="60"/>
      <c r="BT891" s="60"/>
      <c r="BU891" s="60"/>
      <c r="BV891" s="60"/>
      <c r="BW891" s="60"/>
      <c r="BX891" s="60"/>
      <c r="BY891" s="60"/>
      <c r="BZ891" s="60"/>
      <c r="CA891" s="60"/>
      <c r="CB891" s="60"/>
      <c r="CC891" s="60"/>
      <c r="CD891" s="60"/>
      <c r="CE891" s="60"/>
      <c r="CF891" s="60"/>
      <c r="CG891" s="60"/>
      <c r="CH891" s="60"/>
      <c r="CI891" s="60"/>
      <c r="CJ891" s="60"/>
      <c r="CK891" s="60"/>
      <c r="CL891" s="60"/>
      <c r="CM891" s="60"/>
      <c r="CN891" s="60"/>
      <c r="CO891" s="60"/>
      <c r="CP891" s="60"/>
      <c r="CQ891" s="60"/>
      <c r="CR891" s="60"/>
      <c r="CS891" s="60"/>
      <c r="CT891" s="60"/>
      <c r="CU891" s="60"/>
      <c r="CV891" s="60"/>
      <c r="CW891" s="60"/>
      <c r="CX891" s="60"/>
      <c r="CY891" s="60"/>
      <c r="CZ891" s="60"/>
      <c r="DA891" s="60"/>
      <c r="DB891" s="60"/>
      <c r="DC891" s="60"/>
      <c r="DD891" s="60"/>
      <c r="DE891" s="60"/>
      <c r="DF891" s="60"/>
      <c r="DG891" s="60"/>
      <c r="DH891" s="60"/>
      <c r="DI891" s="60"/>
      <c r="DJ891" s="60"/>
      <c r="DK891" s="60"/>
      <c r="DL891" s="60"/>
      <c r="DM891" s="60"/>
      <c r="DN891" s="60"/>
      <c r="DO891" s="60"/>
      <c r="DP891" s="60"/>
      <c r="DQ891" s="60"/>
      <c r="DR891" s="60"/>
      <c r="DS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60"/>
      <c r="BH892" s="60"/>
      <c r="BI892" s="60"/>
      <c r="BJ892" s="60"/>
      <c r="BK892" s="60"/>
      <c r="BL892" s="60"/>
      <c r="BM892" s="60"/>
      <c r="BN892" s="60"/>
      <c r="BO892" s="60"/>
      <c r="BP892" s="60"/>
      <c r="BQ892" s="60"/>
      <c r="BR892" s="60"/>
      <c r="BS892" s="60"/>
      <c r="BT892" s="60"/>
      <c r="BU892" s="60"/>
      <c r="BV892" s="60"/>
      <c r="BW892" s="60"/>
      <c r="BX892" s="60"/>
      <c r="BY892" s="60"/>
      <c r="BZ892" s="60"/>
      <c r="CA892" s="60"/>
      <c r="CB892" s="60"/>
      <c r="CC892" s="60"/>
      <c r="CD892" s="60"/>
      <c r="CE892" s="60"/>
      <c r="CF892" s="60"/>
      <c r="CG892" s="60"/>
      <c r="CH892" s="60"/>
      <c r="CI892" s="60"/>
      <c r="CJ892" s="60"/>
      <c r="CK892" s="60"/>
      <c r="CL892" s="60"/>
      <c r="CM892" s="60"/>
      <c r="CN892" s="60"/>
      <c r="CO892" s="60"/>
      <c r="CP892" s="60"/>
      <c r="CQ892" s="60"/>
      <c r="CR892" s="60"/>
      <c r="CS892" s="60"/>
      <c r="CT892" s="60"/>
      <c r="CU892" s="60"/>
      <c r="CV892" s="60"/>
      <c r="CW892" s="60"/>
      <c r="CX892" s="60"/>
      <c r="CY892" s="60"/>
      <c r="CZ892" s="60"/>
      <c r="DA892" s="60"/>
      <c r="DB892" s="60"/>
      <c r="DC892" s="60"/>
      <c r="DD892" s="60"/>
      <c r="DE892" s="60"/>
      <c r="DF892" s="60"/>
      <c r="DG892" s="60"/>
      <c r="DH892" s="60"/>
      <c r="DI892" s="60"/>
      <c r="DJ892" s="60"/>
      <c r="DK892" s="60"/>
      <c r="DL892" s="60"/>
      <c r="DM892" s="60"/>
      <c r="DN892" s="60"/>
      <c r="DO892" s="60"/>
      <c r="DP892" s="60"/>
      <c r="DQ892" s="60"/>
      <c r="DR892" s="60"/>
      <c r="DS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  <c r="BG893" s="60"/>
      <c r="BH893" s="60"/>
      <c r="BI893" s="60"/>
      <c r="BJ893" s="60"/>
      <c r="BK893" s="60"/>
      <c r="BL893" s="60"/>
      <c r="BM893" s="60"/>
      <c r="BN893" s="60"/>
      <c r="BO893" s="60"/>
      <c r="BP893" s="60"/>
      <c r="BQ893" s="60"/>
      <c r="BR893" s="60"/>
      <c r="BS893" s="60"/>
      <c r="BT893" s="60"/>
      <c r="BU893" s="60"/>
      <c r="BV893" s="60"/>
      <c r="BW893" s="60"/>
      <c r="BX893" s="60"/>
      <c r="BY893" s="60"/>
      <c r="BZ893" s="60"/>
      <c r="CA893" s="60"/>
      <c r="CB893" s="60"/>
      <c r="CC893" s="60"/>
      <c r="CD893" s="60"/>
      <c r="CE893" s="60"/>
      <c r="CF893" s="60"/>
      <c r="CG893" s="60"/>
      <c r="CH893" s="60"/>
      <c r="CI893" s="60"/>
      <c r="CJ893" s="60"/>
      <c r="CK893" s="60"/>
      <c r="CL893" s="60"/>
      <c r="CM893" s="60"/>
      <c r="CN893" s="60"/>
      <c r="CO893" s="60"/>
      <c r="CP893" s="60"/>
      <c r="CQ893" s="60"/>
      <c r="CR893" s="60"/>
      <c r="CS893" s="60"/>
      <c r="CT893" s="60"/>
      <c r="CU893" s="60"/>
      <c r="CV893" s="60"/>
      <c r="CW893" s="60"/>
      <c r="CX893" s="60"/>
      <c r="CY893" s="60"/>
      <c r="CZ893" s="60"/>
      <c r="DA893" s="60"/>
      <c r="DB893" s="60"/>
      <c r="DC893" s="60"/>
      <c r="DD893" s="60"/>
      <c r="DE893" s="60"/>
      <c r="DF893" s="60"/>
      <c r="DG893" s="60"/>
      <c r="DH893" s="60"/>
      <c r="DI893" s="60"/>
      <c r="DJ893" s="60"/>
      <c r="DK893" s="60"/>
      <c r="DL893" s="60"/>
      <c r="DM893" s="60"/>
      <c r="DN893" s="60"/>
      <c r="DO893" s="60"/>
      <c r="DP893" s="60"/>
      <c r="DQ893" s="60"/>
      <c r="DR893" s="60"/>
      <c r="DS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  <c r="BG894" s="60"/>
      <c r="BH894" s="60"/>
      <c r="BI894" s="60"/>
      <c r="BJ894" s="60"/>
      <c r="BK894" s="60"/>
      <c r="BL894" s="60"/>
      <c r="BM894" s="60"/>
      <c r="BN894" s="60"/>
      <c r="BO894" s="60"/>
      <c r="BP894" s="60"/>
      <c r="BQ894" s="60"/>
      <c r="BR894" s="60"/>
      <c r="BS894" s="60"/>
      <c r="BT894" s="60"/>
      <c r="BU894" s="60"/>
      <c r="BV894" s="60"/>
      <c r="BW894" s="60"/>
      <c r="BX894" s="60"/>
      <c r="BY894" s="60"/>
      <c r="BZ894" s="60"/>
      <c r="CA894" s="60"/>
      <c r="CB894" s="60"/>
      <c r="CC894" s="60"/>
      <c r="CD894" s="60"/>
      <c r="CE894" s="60"/>
      <c r="CF894" s="60"/>
      <c r="CG894" s="60"/>
      <c r="CH894" s="60"/>
      <c r="CI894" s="60"/>
      <c r="CJ894" s="60"/>
      <c r="CK894" s="60"/>
      <c r="CL894" s="60"/>
      <c r="CM894" s="60"/>
      <c r="CN894" s="60"/>
      <c r="CO894" s="60"/>
      <c r="CP894" s="60"/>
      <c r="CQ894" s="60"/>
      <c r="CR894" s="60"/>
      <c r="CS894" s="60"/>
      <c r="CT894" s="60"/>
      <c r="CU894" s="60"/>
      <c r="CV894" s="60"/>
      <c r="CW894" s="60"/>
      <c r="CX894" s="60"/>
      <c r="CY894" s="60"/>
      <c r="CZ894" s="60"/>
      <c r="DA894" s="60"/>
      <c r="DB894" s="60"/>
      <c r="DC894" s="60"/>
      <c r="DD894" s="60"/>
      <c r="DE894" s="60"/>
      <c r="DF894" s="60"/>
      <c r="DG894" s="60"/>
      <c r="DH894" s="60"/>
      <c r="DI894" s="60"/>
      <c r="DJ894" s="60"/>
      <c r="DK894" s="60"/>
      <c r="DL894" s="60"/>
      <c r="DM894" s="60"/>
      <c r="DN894" s="60"/>
      <c r="DO894" s="60"/>
      <c r="DP894" s="60"/>
      <c r="DQ894" s="60"/>
      <c r="DR894" s="60"/>
      <c r="DS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  <c r="BG895" s="60"/>
      <c r="BH895" s="60"/>
      <c r="BI895" s="60"/>
      <c r="BJ895" s="60"/>
      <c r="BK895" s="60"/>
      <c r="BL895" s="60"/>
      <c r="BM895" s="60"/>
      <c r="BN895" s="60"/>
      <c r="BO895" s="60"/>
      <c r="BP895" s="60"/>
      <c r="BQ895" s="60"/>
      <c r="BR895" s="60"/>
      <c r="BS895" s="60"/>
      <c r="BT895" s="60"/>
      <c r="BU895" s="60"/>
      <c r="BV895" s="60"/>
      <c r="BW895" s="60"/>
      <c r="BX895" s="60"/>
      <c r="BY895" s="60"/>
      <c r="BZ895" s="60"/>
      <c r="CA895" s="60"/>
      <c r="CB895" s="60"/>
      <c r="CC895" s="60"/>
      <c r="CD895" s="60"/>
      <c r="CE895" s="60"/>
      <c r="CF895" s="60"/>
      <c r="CG895" s="60"/>
      <c r="CH895" s="60"/>
      <c r="CI895" s="60"/>
      <c r="CJ895" s="60"/>
      <c r="CK895" s="60"/>
      <c r="CL895" s="60"/>
      <c r="CM895" s="60"/>
      <c r="CN895" s="60"/>
      <c r="CO895" s="60"/>
      <c r="CP895" s="60"/>
      <c r="CQ895" s="60"/>
      <c r="CR895" s="60"/>
      <c r="CS895" s="60"/>
      <c r="CT895" s="60"/>
      <c r="CU895" s="60"/>
      <c r="CV895" s="60"/>
      <c r="CW895" s="60"/>
      <c r="CX895" s="60"/>
      <c r="CY895" s="60"/>
      <c r="CZ895" s="60"/>
      <c r="DA895" s="60"/>
      <c r="DB895" s="60"/>
      <c r="DC895" s="60"/>
      <c r="DD895" s="60"/>
      <c r="DE895" s="60"/>
      <c r="DF895" s="60"/>
      <c r="DG895" s="60"/>
      <c r="DH895" s="60"/>
      <c r="DI895" s="60"/>
      <c r="DJ895" s="60"/>
      <c r="DK895" s="60"/>
      <c r="DL895" s="60"/>
      <c r="DM895" s="60"/>
      <c r="DN895" s="60"/>
      <c r="DO895" s="60"/>
      <c r="DP895" s="60"/>
      <c r="DQ895" s="60"/>
      <c r="DR895" s="60"/>
      <c r="DS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60"/>
      <c r="BH896" s="60"/>
      <c r="BI896" s="60"/>
      <c r="BJ896" s="60"/>
      <c r="BK896" s="60"/>
      <c r="BL896" s="60"/>
      <c r="BM896" s="60"/>
      <c r="BN896" s="60"/>
      <c r="BO896" s="60"/>
      <c r="BP896" s="60"/>
      <c r="BQ896" s="60"/>
      <c r="BR896" s="60"/>
      <c r="BS896" s="60"/>
      <c r="BT896" s="60"/>
      <c r="BU896" s="60"/>
      <c r="BV896" s="60"/>
      <c r="BW896" s="60"/>
      <c r="BX896" s="60"/>
      <c r="BY896" s="60"/>
      <c r="BZ896" s="60"/>
      <c r="CA896" s="60"/>
      <c r="CB896" s="60"/>
      <c r="CC896" s="60"/>
      <c r="CD896" s="60"/>
      <c r="CE896" s="60"/>
      <c r="CF896" s="60"/>
      <c r="CG896" s="60"/>
      <c r="CH896" s="60"/>
      <c r="CI896" s="60"/>
      <c r="CJ896" s="60"/>
      <c r="CK896" s="60"/>
      <c r="CL896" s="60"/>
      <c r="CM896" s="60"/>
      <c r="CN896" s="60"/>
      <c r="CO896" s="60"/>
      <c r="CP896" s="60"/>
      <c r="CQ896" s="60"/>
      <c r="CR896" s="60"/>
      <c r="CS896" s="60"/>
      <c r="CT896" s="60"/>
      <c r="CU896" s="60"/>
      <c r="CV896" s="60"/>
      <c r="CW896" s="60"/>
      <c r="CX896" s="60"/>
      <c r="CY896" s="60"/>
      <c r="CZ896" s="60"/>
      <c r="DA896" s="60"/>
      <c r="DB896" s="60"/>
      <c r="DC896" s="60"/>
      <c r="DD896" s="60"/>
      <c r="DE896" s="60"/>
      <c r="DF896" s="60"/>
      <c r="DG896" s="60"/>
      <c r="DH896" s="60"/>
      <c r="DI896" s="60"/>
      <c r="DJ896" s="60"/>
      <c r="DK896" s="60"/>
      <c r="DL896" s="60"/>
      <c r="DM896" s="60"/>
      <c r="DN896" s="60"/>
      <c r="DO896" s="60"/>
      <c r="DP896" s="60"/>
      <c r="DQ896" s="60"/>
      <c r="DR896" s="60"/>
      <c r="DS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  <c r="BG897" s="60"/>
      <c r="BH897" s="60"/>
      <c r="BI897" s="60"/>
      <c r="BJ897" s="60"/>
      <c r="BK897" s="60"/>
      <c r="BL897" s="60"/>
      <c r="BM897" s="60"/>
      <c r="BN897" s="60"/>
      <c r="BO897" s="60"/>
      <c r="BP897" s="60"/>
      <c r="BQ897" s="60"/>
      <c r="BR897" s="60"/>
      <c r="BS897" s="60"/>
      <c r="BT897" s="60"/>
      <c r="BU897" s="60"/>
      <c r="BV897" s="60"/>
      <c r="BW897" s="60"/>
      <c r="BX897" s="60"/>
      <c r="BY897" s="60"/>
      <c r="BZ897" s="60"/>
      <c r="CA897" s="60"/>
      <c r="CB897" s="60"/>
      <c r="CC897" s="60"/>
      <c r="CD897" s="60"/>
      <c r="CE897" s="60"/>
      <c r="CF897" s="60"/>
      <c r="CG897" s="60"/>
      <c r="CH897" s="60"/>
      <c r="CI897" s="60"/>
      <c r="CJ897" s="60"/>
      <c r="CK897" s="60"/>
      <c r="CL897" s="60"/>
      <c r="CM897" s="60"/>
      <c r="CN897" s="60"/>
      <c r="CO897" s="60"/>
      <c r="CP897" s="60"/>
      <c r="CQ897" s="60"/>
      <c r="CR897" s="60"/>
      <c r="CS897" s="60"/>
      <c r="CT897" s="60"/>
      <c r="CU897" s="60"/>
      <c r="CV897" s="60"/>
      <c r="CW897" s="60"/>
      <c r="CX897" s="60"/>
      <c r="CY897" s="60"/>
      <c r="CZ897" s="60"/>
      <c r="DA897" s="60"/>
      <c r="DB897" s="60"/>
      <c r="DC897" s="60"/>
      <c r="DD897" s="60"/>
      <c r="DE897" s="60"/>
      <c r="DF897" s="60"/>
      <c r="DG897" s="60"/>
      <c r="DH897" s="60"/>
      <c r="DI897" s="60"/>
      <c r="DJ897" s="60"/>
      <c r="DK897" s="60"/>
      <c r="DL897" s="60"/>
      <c r="DM897" s="60"/>
      <c r="DN897" s="60"/>
      <c r="DO897" s="60"/>
      <c r="DP897" s="60"/>
      <c r="DQ897" s="60"/>
      <c r="DR897" s="60"/>
      <c r="DS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60"/>
      <c r="BH898" s="60"/>
      <c r="BI898" s="60"/>
      <c r="BJ898" s="60"/>
      <c r="BK898" s="60"/>
      <c r="BL898" s="60"/>
      <c r="BM898" s="60"/>
      <c r="BN898" s="60"/>
      <c r="BO898" s="60"/>
      <c r="BP898" s="60"/>
      <c r="BQ898" s="60"/>
      <c r="BR898" s="60"/>
      <c r="BS898" s="60"/>
      <c r="BT898" s="60"/>
      <c r="BU898" s="60"/>
      <c r="BV898" s="60"/>
      <c r="BW898" s="60"/>
      <c r="BX898" s="60"/>
      <c r="BY898" s="60"/>
      <c r="BZ898" s="60"/>
      <c r="CA898" s="60"/>
      <c r="CB898" s="60"/>
      <c r="CC898" s="60"/>
      <c r="CD898" s="60"/>
      <c r="CE898" s="60"/>
      <c r="CF898" s="60"/>
      <c r="CG898" s="60"/>
      <c r="CH898" s="60"/>
      <c r="CI898" s="60"/>
      <c r="CJ898" s="60"/>
      <c r="CK898" s="60"/>
      <c r="CL898" s="60"/>
      <c r="CM898" s="60"/>
      <c r="CN898" s="60"/>
      <c r="CO898" s="60"/>
      <c r="CP898" s="60"/>
      <c r="CQ898" s="60"/>
      <c r="CR898" s="60"/>
      <c r="CS898" s="60"/>
      <c r="CT898" s="60"/>
      <c r="CU898" s="60"/>
      <c r="CV898" s="60"/>
      <c r="CW898" s="60"/>
      <c r="CX898" s="60"/>
      <c r="CY898" s="60"/>
      <c r="CZ898" s="60"/>
      <c r="DA898" s="60"/>
      <c r="DB898" s="60"/>
      <c r="DC898" s="60"/>
      <c r="DD898" s="60"/>
      <c r="DE898" s="60"/>
      <c r="DF898" s="60"/>
      <c r="DG898" s="60"/>
      <c r="DH898" s="60"/>
      <c r="DI898" s="60"/>
      <c r="DJ898" s="60"/>
      <c r="DK898" s="60"/>
      <c r="DL898" s="60"/>
      <c r="DM898" s="60"/>
      <c r="DN898" s="60"/>
      <c r="DO898" s="60"/>
      <c r="DP898" s="60"/>
      <c r="DQ898" s="60"/>
      <c r="DR898" s="60"/>
      <c r="DS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  <c r="BG899" s="60"/>
      <c r="BH899" s="60"/>
      <c r="BI899" s="60"/>
      <c r="BJ899" s="60"/>
      <c r="BK899" s="60"/>
      <c r="BL899" s="60"/>
      <c r="BM899" s="60"/>
      <c r="BN899" s="60"/>
      <c r="BO899" s="60"/>
      <c r="BP899" s="60"/>
      <c r="BQ899" s="60"/>
      <c r="BR899" s="60"/>
      <c r="BS899" s="60"/>
      <c r="BT899" s="60"/>
      <c r="BU899" s="60"/>
      <c r="BV899" s="60"/>
      <c r="BW899" s="60"/>
      <c r="BX899" s="60"/>
      <c r="BY899" s="60"/>
      <c r="BZ899" s="60"/>
      <c r="CA899" s="60"/>
      <c r="CB899" s="60"/>
      <c r="CC899" s="60"/>
      <c r="CD899" s="60"/>
      <c r="CE899" s="60"/>
      <c r="CF899" s="60"/>
      <c r="CG899" s="60"/>
      <c r="CH899" s="60"/>
      <c r="CI899" s="60"/>
      <c r="CJ899" s="60"/>
      <c r="CK899" s="60"/>
      <c r="CL899" s="60"/>
      <c r="CM899" s="60"/>
      <c r="CN899" s="60"/>
      <c r="CO899" s="60"/>
      <c r="CP899" s="60"/>
      <c r="CQ899" s="60"/>
      <c r="CR899" s="60"/>
      <c r="CS899" s="60"/>
      <c r="CT899" s="60"/>
      <c r="CU899" s="60"/>
      <c r="CV899" s="60"/>
      <c r="CW899" s="60"/>
      <c r="CX899" s="60"/>
      <c r="CY899" s="60"/>
      <c r="CZ899" s="60"/>
      <c r="DA899" s="60"/>
      <c r="DB899" s="60"/>
      <c r="DC899" s="60"/>
      <c r="DD899" s="60"/>
      <c r="DE899" s="60"/>
      <c r="DF899" s="60"/>
      <c r="DG899" s="60"/>
      <c r="DH899" s="60"/>
      <c r="DI899" s="60"/>
      <c r="DJ899" s="60"/>
      <c r="DK899" s="60"/>
      <c r="DL899" s="60"/>
      <c r="DM899" s="60"/>
      <c r="DN899" s="60"/>
      <c r="DO899" s="60"/>
      <c r="DP899" s="60"/>
      <c r="DQ899" s="60"/>
      <c r="DR899" s="60"/>
      <c r="DS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60"/>
      <c r="BH900" s="60"/>
      <c r="BI900" s="60"/>
      <c r="BJ900" s="60"/>
      <c r="BK900" s="60"/>
      <c r="BL900" s="60"/>
      <c r="BM900" s="60"/>
      <c r="BN900" s="60"/>
      <c r="BO900" s="60"/>
      <c r="BP900" s="60"/>
      <c r="BQ900" s="60"/>
      <c r="BR900" s="60"/>
      <c r="BS900" s="60"/>
      <c r="BT900" s="60"/>
      <c r="BU900" s="60"/>
      <c r="BV900" s="60"/>
      <c r="BW900" s="60"/>
      <c r="BX900" s="60"/>
      <c r="BY900" s="60"/>
      <c r="BZ900" s="60"/>
      <c r="CA900" s="60"/>
      <c r="CB900" s="60"/>
      <c r="CC900" s="60"/>
      <c r="CD900" s="60"/>
      <c r="CE900" s="60"/>
      <c r="CF900" s="60"/>
      <c r="CG900" s="60"/>
      <c r="CH900" s="60"/>
      <c r="CI900" s="60"/>
      <c r="CJ900" s="60"/>
      <c r="CK900" s="60"/>
      <c r="CL900" s="60"/>
      <c r="CM900" s="60"/>
      <c r="CN900" s="60"/>
      <c r="CO900" s="60"/>
      <c r="CP900" s="60"/>
      <c r="CQ900" s="60"/>
      <c r="CR900" s="60"/>
      <c r="CS900" s="60"/>
      <c r="CT900" s="60"/>
      <c r="CU900" s="60"/>
      <c r="CV900" s="60"/>
      <c r="CW900" s="60"/>
      <c r="CX900" s="60"/>
      <c r="CY900" s="60"/>
      <c r="CZ900" s="60"/>
      <c r="DA900" s="60"/>
      <c r="DB900" s="60"/>
      <c r="DC900" s="60"/>
      <c r="DD900" s="60"/>
      <c r="DE900" s="60"/>
      <c r="DF900" s="60"/>
      <c r="DG900" s="60"/>
      <c r="DH900" s="60"/>
      <c r="DI900" s="60"/>
      <c r="DJ900" s="60"/>
      <c r="DK900" s="60"/>
      <c r="DL900" s="60"/>
      <c r="DM900" s="60"/>
      <c r="DN900" s="60"/>
      <c r="DO900" s="60"/>
      <c r="DP900" s="60"/>
      <c r="DQ900" s="60"/>
      <c r="DR900" s="60"/>
      <c r="DS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  <c r="BG901" s="60"/>
      <c r="BH901" s="60"/>
      <c r="BI901" s="60"/>
      <c r="BJ901" s="60"/>
      <c r="BK901" s="60"/>
      <c r="BL901" s="60"/>
      <c r="BM901" s="60"/>
      <c r="BN901" s="60"/>
      <c r="BO901" s="60"/>
      <c r="BP901" s="60"/>
      <c r="BQ901" s="60"/>
      <c r="BR901" s="60"/>
      <c r="BS901" s="60"/>
      <c r="BT901" s="60"/>
      <c r="BU901" s="60"/>
      <c r="BV901" s="60"/>
      <c r="BW901" s="60"/>
      <c r="BX901" s="60"/>
      <c r="BY901" s="60"/>
      <c r="BZ901" s="60"/>
      <c r="CA901" s="60"/>
      <c r="CB901" s="60"/>
      <c r="CC901" s="60"/>
      <c r="CD901" s="60"/>
      <c r="CE901" s="60"/>
      <c r="CF901" s="60"/>
      <c r="CG901" s="60"/>
      <c r="CH901" s="60"/>
      <c r="CI901" s="60"/>
      <c r="CJ901" s="60"/>
      <c r="CK901" s="60"/>
      <c r="CL901" s="60"/>
      <c r="CM901" s="60"/>
      <c r="CN901" s="60"/>
      <c r="CO901" s="60"/>
      <c r="CP901" s="60"/>
      <c r="CQ901" s="60"/>
      <c r="CR901" s="60"/>
      <c r="CS901" s="60"/>
      <c r="CT901" s="60"/>
      <c r="CU901" s="60"/>
      <c r="CV901" s="60"/>
      <c r="CW901" s="60"/>
      <c r="CX901" s="60"/>
      <c r="CY901" s="60"/>
      <c r="CZ901" s="60"/>
      <c r="DA901" s="60"/>
      <c r="DB901" s="60"/>
      <c r="DC901" s="60"/>
      <c r="DD901" s="60"/>
      <c r="DE901" s="60"/>
      <c r="DF901" s="60"/>
      <c r="DG901" s="60"/>
      <c r="DH901" s="60"/>
      <c r="DI901" s="60"/>
      <c r="DJ901" s="60"/>
      <c r="DK901" s="60"/>
      <c r="DL901" s="60"/>
      <c r="DM901" s="60"/>
      <c r="DN901" s="60"/>
      <c r="DO901" s="60"/>
      <c r="DP901" s="60"/>
      <c r="DQ901" s="60"/>
      <c r="DR901" s="60"/>
      <c r="DS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  <c r="BG902" s="60"/>
      <c r="BH902" s="60"/>
      <c r="BI902" s="60"/>
      <c r="BJ902" s="60"/>
      <c r="BK902" s="60"/>
      <c r="BL902" s="60"/>
      <c r="BM902" s="60"/>
      <c r="BN902" s="60"/>
      <c r="BO902" s="60"/>
      <c r="BP902" s="60"/>
      <c r="BQ902" s="60"/>
      <c r="BR902" s="60"/>
      <c r="BS902" s="60"/>
      <c r="BT902" s="60"/>
      <c r="BU902" s="60"/>
      <c r="BV902" s="60"/>
      <c r="BW902" s="60"/>
      <c r="BX902" s="60"/>
      <c r="BY902" s="60"/>
      <c r="BZ902" s="60"/>
      <c r="CA902" s="60"/>
      <c r="CB902" s="60"/>
      <c r="CC902" s="60"/>
      <c r="CD902" s="60"/>
      <c r="CE902" s="60"/>
      <c r="CF902" s="60"/>
      <c r="CG902" s="60"/>
      <c r="CH902" s="60"/>
      <c r="CI902" s="60"/>
      <c r="CJ902" s="60"/>
      <c r="CK902" s="60"/>
      <c r="CL902" s="60"/>
      <c r="CM902" s="60"/>
      <c r="CN902" s="60"/>
      <c r="CO902" s="60"/>
      <c r="CP902" s="60"/>
      <c r="CQ902" s="60"/>
      <c r="CR902" s="60"/>
      <c r="CS902" s="60"/>
      <c r="CT902" s="60"/>
      <c r="CU902" s="60"/>
      <c r="CV902" s="60"/>
      <c r="CW902" s="60"/>
      <c r="CX902" s="60"/>
      <c r="CY902" s="60"/>
      <c r="CZ902" s="60"/>
      <c r="DA902" s="60"/>
      <c r="DB902" s="60"/>
      <c r="DC902" s="60"/>
      <c r="DD902" s="60"/>
      <c r="DE902" s="60"/>
      <c r="DF902" s="60"/>
      <c r="DG902" s="60"/>
      <c r="DH902" s="60"/>
      <c r="DI902" s="60"/>
      <c r="DJ902" s="60"/>
      <c r="DK902" s="60"/>
      <c r="DL902" s="60"/>
      <c r="DM902" s="60"/>
      <c r="DN902" s="60"/>
      <c r="DO902" s="60"/>
      <c r="DP902" s="60"/>
      <c r="DQ902" s="60"/>
      <c r="DR902" s="60"/>
      <c r="DS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60"/>
      <c r="BH903" s="60"/>
      <c r="BI903" s="60"/>
      <c r="BJ903" s="60"/>
      <c r="BK903" s="60"/>
      <c r="BL903" s="60"/>
      <c r="BM903" s="60"/>
      <c r="BN903" s="60"/>
      <c r="BO903" s="60"/>
      <c r="BP903" s="60"/>
      <c r="BQ903" s="60"/>
      <c r="BR903" s="60"/>
      <c r="BS903" s="60"/>
      <c r="BT903" s="60"/>
      <c r="BU903" s="60"/>
      <c r="BV903" s="60"/>
      <c r="BW903" s="60"/>
      <c r="BX903" s="60"/>
      <c r="BY903" s="60"/>
      <c r="BZ903" s="60"/>
      <c r="CA903" s="60"/>
      <c r="CB903" s="60"/>
      <c r="CC903" s="60"/>
      <c r="CD903" s="60"/>
      <c r="CE903" s="60"/>
      <c r="CF903" s="60"/>
      <c r="CG903" s="60"/>
      <c r="CH903" s="60"/>
      <c r="CI903" s="60"/>
      <c r="CJ903" s="60"/>
      <c r="CK903" s="60"/>
      <c r="CL903" s="60"/>
      <c r="CM903" s="60"/>
      <c r="CN903" s="60"/>
      <c r="CO903" s="60"/>
      <c r="CP903" s="60"/>
      <c r="CQ903" s="60"/>
      <c r="CR903" s="60"/>
      <c r="CS903" s="60"/>
      <c r="CT903" s="60"/>
      <c r="CU903" s="60"/>
      <c r="CV903" s="60"/>
      <c r="CW903" s="60"/>
      <c r="CX903" s="60"/>
      <c r="CY903" s="60"/>
      <c r="CZ903" s="60"/>
      <c r="DA903" s="60"/>
      <c r="DB903" s="60"/>
      <c r="DC903" s="60"/>
      <c r="DD903" s="60"/>
      <c r="DE903" s="60"/>
      <c r="DF903" s="60"/>
      <c r="DG903" s="60"/>
      <c r="DH903" s="60"/>
      <c r="DI903" s="60"/>
      <c r="DJ903" s="60"/>
      <c r="DK903" s="60"/>
      <c r="DL903" s="60"/>
      <c r="DM903" s="60"/>
      <c r="DN903" s="60"/>
      <c r="DO903" s="60"/>
      <c r="DP903" s="60"/>
      <c r="DQ903" s="60"/>
      <c r="DR903" s="60"/>
      <c r="DS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  <c r="BG904" s="60"/>
      <c r="BH904" s="60"/>
      <c r="BI904" s="60"/>
      <c r="BJ904" s="60"/>
      <c r="BK904" s="60"/>
      <c r="BL904" s="60"/>
      <c r="BM904" s="60"/>
      <c r="BN904" s="60"/>
      <c r="BO904" s="60"/>
      <c r="BP904" s="60"/>
      <c r="BQ904" s="60"/>
      <c r="BR904" s="60"/>
      <c r="BS904" s="60"/>
      <c r="BT904" s="60"/>
      <c r="BU904" s="60"/>
      <c r="BV904" s="60"/>
      <c r="BW904" s="60"/>
      <c r="BX904" s="60"/>
      <c r="BY904" s="60"/>
      <c r="BZ904" s="60"/>
      <c r="CA904" s="60"/>
      <c r="CB904" s="60"/>
      <c r="CC904" s="60"/>
      <c r="CD904" s="60"/>
      <c r="CE904" s="60"/>
      <c r="CF904" s="60"/>
      <c r="CG904" s="60"/>
      <c r="CH904" s="60"/>
      <c r="CI904" s="60"/>
      <c r="CJ904" s="60"/>
      <c r="CK904" s="60"/>
      <c r="CL904" s="60"/>
      <c r="CM904" s="60"/>
      <c r="CN904" s="60"/>
      <c r="CO904" s="60"/>
      <c r="CP904" s="60"/>
      <c r="CQ904" s="60"/>
      <c r="CR904" s="60"/>
      <c r="CS904" s="60"/>
      <c r="CT904" s="60"/>
      <c r="CU904" s="60"/>
      <c r="CV904" s="60"/>
      <c r="CW904" s="60"/>
      <c r="CX904" s="60"/>
      <c r="CY904" s="60"/>
      <c r="CZ904" s="60"/>
      <c r="DA904" s="60"/>
      <c r="DB904" s="60"/>
      <c r="DC904" s="60"/>
      <c r="DD904" s="60"/>
      <c r="DE904" s="60"/>
      <c r="DF904" s="60"/>
      <c r="DG904" s="60"/>
      <c r="DH904" s="60"/>
      <c r="DI904" s="60"/>
      <c r="DJ904" s="60"/>
      <c r="DK904" s="60"/>
      <c r="DL904" s="60"/>
      <c r="DM904" s="60"/>
      <c r="DN904" s="60"/>
      <c r="DO904" s="60"/>
      <c r="DP904" s="60"/>
      <c r="DQ904" s="60"/>
      <c r="DR904" s="60"/>
      <c r="DS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60"/>
      <c r="BH905" s="60"/>
      <c r="BI905" s="60"/>
      <c r="BJ905" s="60"/>
      <c r="BK905" s="60"/>
      <c r="BL905" s="60"/>
      <c r="BM905" s="60"/>
      <c r="BN905" s="60"/>
      <c r="BO905" s="60"/>
      <c r="BP905" s="60"/>
      <c r="BQ905" s="60"/>
      <c r="BR905" s="60"/>
      <c r="BS905" s="60"/>
      <c r="BT905" s="60"/>
      <c r="BU905" s="60"/>
      <c r="BV905" s="60"/>
      <c r="BW905" s="60"/>
      <c r="BX905" s="60"/>
      <c r="BY905" s="60"/>
      <c r="BZ905" s="60"/>
      <c r="CA905" s="60"/>
      <c r="CB905" s="60"/>
      <c r="CC905" s="60"/>
      <c r="CD905" s="60"/>
      <c r="CE905" s="60"/>
      <c r="CF905" s="60"/>
      <c r="CG905" s="60"/>
      <c r="CH905" s="60"/>
      <c r="CI905" s="60"/>
      <c r="CJ905" s="60"/>
      <c r="CK905" s="60"/>
      <c r="CL905" s="60"/>
      <c r="CM905" s="60"/>
      <c r="CN905" s="60"/>
      <c r="CO905" s="60"/>
      <c r="CP905" s="60"/>
      <c r="CQ905" s="60"/>
      <c r="CR905" s="60"/>
      <c r="CS905" s="60"/>
      <c r="CT905" s="60"/>
      <c r="CU905" s="60"/>
      <c r="CV905" s="60"/>
      <c r="CW905" s="60"/>
      <c r="CX905" s="60"/>
      <c r="CY905" s="60"/>
      <c r="CZ905" s="60"/>
      <c r="DA905" s="60"/>
      <c r="DB905" s="60"/>
      <c r="DC905" s="60"/>
      <c r="DD905" s="60"/>
      <c r="DE905" s="60"/>
      <c r="DF905" s="60"/>
      <c r="DG905" s="60"/>
      <c r="DH905" s="60"/>
      <c r="DI905" s="60"/>
      <c r="DJ905" s="60"/>
      <c r="DK905" s="60"/>
      <c r="DL905" s="60"/>
      <c r="DM905" s="60"/>
      <c r="DN905" s="60"/>
      <c r="DO905" s="60"/>
      <c r="DP905" s="60"/>
      <c r="DQ905" s="60"/>
      <c r="DR905" s="60"/>
      <c r="DS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  <c r="BG906" s="60"/>
      <c r="BH906" s="60"/>
      <c r="BI906" s="60"/>
      <c r="BJ906" s="60"/>
      <c r="BK906" s="60"/>
      <c r="BL906" s="60"/>
      <c r="BM906" s="60"/>
      <c r="BN906" s="60"/>
      <c r="BO906" s="60"/>
      <c r="BP906" s="60"/>
      <c r="BQ906" s="60"/>
      <c r="BR906" s="60"/>
      <c r="BS906" s="60"/>
      <c r="BT906" s="60"/>
      <c r="BU906" s="60"/>
      <c r="BV906" s="60"/>
      <c r="BW906" s="60"/>
      <c r="BX906" s="60"/>
      <c r="BY906" s="60"/>
      <c r="BZ906" s="60"/>
      <c r="CA906" s="60"/>
      <c r="CB906" s="60"/>
      <c r="CC906" s="60"/>
      <c r="CD906" s="60"/>
      <c r="CE906" s="60"/>
      <c r="CF906" s="60"/>
      <c r="CG906" s="60"/>
      <c r="CH906" s="60"/>
      <c r="CI906" s="60"/>
      <c r="CJ906" s="60"/>
      <c r="CK906" s="60"/>
      <c r="CL906" s="60"/>
      <c r="CM906" s="60"/>
      <c r="CN906" s="60"/>
      <c r="CO906" s="60"/>
      <c r="CP906" s="60"/>
      <c r="CQ906" s="60"/>
      <c r="CR906" s="60"/>
      <c r="CS906" s="60"/>
      <c r="CT906" s="60"/>
      <c r="CU906" s="60"/>
      <c r="CV906" s="60"/>
      <c r="CW906" s="60"/>
      <c r="CX906" s="60"/>
      <c r="CY906" s="60"/>
      <c r="CZ906" s="60"/>
      <c r="DA906" s="60"/>
      <c r="DB906" s="60"/>
      <c r="DC906" s="60"/>
      <c r="DD906" s="60"/>
      <c r="DE906" s="60"/>
      <c r="DF906" s="60"/>
      <c r="DG906" s="60"/>
      <c r="DH906" s="60"/>
      <c r="DI906" s="60"/>
      <c r="DJ906" s="60"/>
      <c r="DK906" s="60"/>
      <c r="DL906" s="60"/>
      <c r="DM906" s="60"/>
      <c r="DN906" s="60"/>
      <c r="DO906" s="60"/>
      <c r="DP906" s="60"/>
      <c r="DQ906" s="60"/>
      <c r="DR906" s="60"/>
      <c r="DS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60"/>
      <c r="BH907" s="60"/>
      <c r="BI907" s="60"/>
      <c r="BJ907" s="60"/>
      <c r="BK907" s="60"/>
      <c r="BL907" s="60"/>
      <c r="BM907" s="60"/>
      <c r="BN907" s="60"/>
      <c r="BO907" s="60"/>
      <c r="BP907" s="60"/>
      <c r="BQ907" s="60"/>
      <c r="BR907" s="60"/>
      <c r="BS907" s="60"/>
      <c r="BT907" s="60"/>
      <c r="BU907" s="60"/>
      <c r="BV907" s="60"/>
      <c r="BW907" s="60"/>
      <c r="BX907" s="60"/>
      <c r="BY907" s="60"/>
      <c r="BZ907" s="60"/>
      <c r="CA907" s="60"/>
      <c r="CB907" s="60"/>
      <c r="CC907" s="60"/>
      <c r="CD907" s="60"/>
      <c r="CE907" s="60"/>
      <c r="CF907" s="60"/>
      <c r="CG907" s="60"/>
      <c r="CH907" s="60"/>
      <c r="CI907" s="60"/>
      <c r="CJ907" s="60"/>
      <c r="CK907" s="60"/>
      <c r="CL907" s="60"/>
      <c r="CM907" s="60"/>
      <c r="CN907" s="60"/>
      <c r="CO907" s="60"/>
      <c r="CP907" s="60"/>
      <c r="CQ907" s="60"/>
      <c r="CR907" s="60"/>
      <c r="CS907" s="60"/>
      <c r="CT907" s="60"/>
      <c r="CU907" s="60"/>
      <c r="CV907" s="60"/>
      <c r="CW907" s="60"/>
      <c r="CX907" s="60"/>
      <c r="CY907" s="60"/>
      <c r="CZ907" s="60"/>
      <c r="DA907" s="60"/>
      <c r="DB907" s="60"/>
      <c r="DC907" s="60"/>
      <c r="DD907" s="60"/>
      <c r="DE907" s="60"/>
      <c r="DF907" s="60"/>
      <c r="DG907" s="60"/>
      <c r="DH907" s="60"/>
      <c r="DI907" s="60"/>
      <c r="DJ907" s="60"/>
      <c r="DK907" s="60"/>
      <c r="DL907" s="60"/>
      <c r="DM907" s="60"/>
      <c r="DN907" s="60"/>
      <c r="DO907" s="60"/>
      <c r="DP907" s="60"/>
      <c r="DQ907" s="60"/>
      <c r="DR907" s="60"/>
      <c r="DS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  <c r="BG908" s="60"/>
      <c r="BH908" s="60"/>
      <c r="BI908" s="60"/>
      <c r="BJ908" s="60"/>
      <c r="BK908" s="60"/>
      <c r="BL908" s="60"/>
      <c r="BM908" s="60"/>
      <c r="BN908" s="60"/>
      <c r="BO908" s="60"/>
      <c r="BP908" s="60"/>
      <c r="BQ908" s="60"/>
      <c r="BR908" s="60"/>
      <c r="BS908" s="60"/>
      <c r="BT908" s="60"/>
      <c r="BU908" s="60"/>
      <c r="BV908" s="60"/>
      <c r="BW908" s="60"/>
      <c r="BX908" s="60"/>
      <c r="BY908" s="60"/>
      <c r="BZ908" s="60"/>
      <c r="CA908" s="60"/>
      <c r="CB908" s="60"/>
      <c r="CC908" s="60"/>
      <c r="CD908" s="60"/>
      <c r="CE908" s="60"/>
      <c r="CF908" s="60"/>
      <c r="CG908" s="60"/>
      <c r="CH908" s="60"/>
      <c r="CI908" s="60"/>
      <c r="CJ908" s="60"/>
      <c r="CK908" s="60"/>
      <c r="CL908" s="60"/>
      <c r="CM908" s="60"/>
      <c r="CN908" s="60"/>
      <c r="CO908" s="60"/>
      <c r="CP908" s="60"/>
      <c r="CQ908" s="60"/>
      <c r="CR908" s="60"/>
      <c r="CS908" s="60"/>
      <c r="CT908" s="60"/>
      <c r="CU908" s="60"/>
      <c r="CV908" s="60"/>
      <c r="CW908" s="60"/>
      <c r="CX908" s="60"/>
      <c r="CY908" s="60"/>
      <c r="CZ908" s="60"/>
      <c r="DA908" s="60"/>
      <c r="DB908" s="60"/>
      <c r="DC908" s="60"/>
      <c r="DD908" s="60"/>
      <c r="DE908" s="60"/>
      <c r="DF908" s="60"/>
      <c r="DG908" s="60"/>
      <c r="DH908" s="60"/>
      <c r="DI908" s="60"/>
      <c r="DJ908" s="60"/>
      <c r="DK908" s="60"/>
      <c r="DL908" s="60"/>
      <c r="DM908" s="60"/>
      <c r="DN908" s="60"/>
      <c r="DO908" s="60"/>
      <c r="DP908" s="60"/>
      <c r="DQ908" s="60"/>
      <c r="DR908" s="60"/>
      <c r="DS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  <c r="BG909" s="60"/>
      <c r="BH909" s="60"/>
      <c r="BI909" s="60"/>
      <c r="BJ909" s="60"/>
      <c r="BK909" s="60"/>
      <c r="BL909" s="60"/>
      <c r="BM909" s="60"/>
      <c r="BN909" s="60"/>
      <c r="BO909" s="60"/>
      <c r="BP909" s="60"/>
      <c r="BQ909" s="60"/>
      <c r="BR909" s="60"/>
      <c r="BS909" s="60"/>
      <c r="BT909" s="60"/>
      <c r="BU909" s="60"/>
      <c r="BV909" s="60"/>
      <c r="BW909" s="60"/>
      <c r="BX909" s="60"/>
      <c r="BY909" s="60"/>
      <c r="BZ909" s="60"/>
      <c r="CA909" s="60"/>
      <c r="CB909" s="60"/>
      <c r="CC909" s="60"/>
      <c r="CD909" s="60"/>
      <c r="CE909" s="60"/>
      <c r="CF909" s="60"/>
      <c r="CG909" s="60"/>
      <c r="CH909" s="60"/>
      <c r="CI909" s="60"/>
      <c r="CJ909" s="60"/>
      <c r="CK909" s="60"/>
      <c r="CL909" s="60"/>
      <c r="CM909" s="60"/>
      <c r="CN909" s="60"/>
      <c r="CO909" s="60"/>
      <c r="CP909" s="60"/>
      <c r="CQ909" s="60"/>
      <c r="CR909" s="60"/>
      <c r="CS909" s="60"/>
      <c r="CT909" s="60"/>
      <c r="CU909" s="60"/>
      <c r="CV909" s="60"/>
      <c r="CW909" s="60"/>
      <c r="CX909" s="60"/>
      <c r="CY909" s="60"/>
      <c r="CZ909" s="60"/>
      <c r="DA909" s="60"/>
      <c r="DB909" s="60"/>
      <c r="DC909" s="60"/>
      <c r="DD909" s="60"/>
      <c r="DE909" s="60"/>
      <c r="DF909" s="60"/>
      <c r="DG909" s="60"/>
      <c r="DH909" s="60"/>
      <c r="DI909" s="60"/>
      <c r="DJ909" s="60"/>
      <c r="DK909" s="60"/>
      <c r="DL909" s="60"/>
      <c r="DM909" s="60"/>
      <c r="DN909" s="60"/>
      <c r="DO909" s="60"/>
      <c r="DP909" s="60"/>
      <c r="DQ909" s="60"/>
      <c r="DR909" s="60"/>
      <c r="DS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  <c r="BG910" s="60"/>
      <c r="BH910" s="60"/>
      <c r="BI910" s="60"/>
      <c r="BJ910" s="60"/>
      <c r="BK910" s="60"/>
      <c r="BL910" s="60"/>
      <c r="BM910" s="60"/>
      <c r="BN910" s="60"/>
      <c r="BO910" s="60"/>
      <c r="BP910" s="60"/>
      <c r="BQ910" s="60"/>
      <c r="BR910" s="60"/>
      <c r="BS910" s="60"/>
      <c r="BT910" s="60"/>
      <c r="BU910" s="60"/>
      <c r="BV910" s="60"/>
      <c r="BW910" s="60"/>
      <c r="BX910" s="60"/>
      <c r="BY910" s="60"/>
      <c r="BZ910" s="60"/>
      <c r="CA910" s="60"/>
      <c r="CB910" s="60"/>
      <c r="CC910" s="60"/>
      <c r="CD910" s="60"/>
      <c r="CE910" s="60"/>
      <c r="CF910" s="60"/>
      <c r="CG910" s="60"/>
      <c r="CH910" s="60"/>
      <c r="CI910" s="60"/>
      <c r="CJ910" s="60"/>
      <c r="CK910" s="60"/>
      <c r="CL910" s="60"/>
      <c r="CM910" s="60"/>
      <c r="CN910" s="60"/>
      <c r="CO910" s="60"/>
      <c r="CP910" s="60"/>
      <c r="CQ910" s="60"/>
      <c r="CR910" s="60"/>
      <c r="CS910" s="60"/>
      <c r="CT910" s="60"/>
      <c r="CU910" s="60"/>
      <c r="CV910" s="60"/>
      <c r="CW910" s="60"/>
      <c r="CX910" s="60"/>
      <c r="CY910" s="60"/>
      <c r="CZ910" s="60"/>
      <c r="DA910" s="60"/>
      <c r="DB910" s="60"/>
      <c r="DC910" s="60"/>
      <c r="DD910" s="60"/>
      <c r="DE910" s="60"/>
      <c r="DF910" s="60"/>
      <c r="DG910" s="60"/>
      <c r="DH910" s="60"/>
      <c r="DI910" s="60"/>
      <c r="DJ910" s="60"/>
      <c r="DK910" s="60"/>
      <c r="DL910" s="60"/>
      <c r="DM910" s="60"/>
      <c r="DN910" s="60"/>
      <c r="DO910" s="60"/>
      <c r="DP910" s="60"/>
      <c r="DQ910" s="60"/>
      <c r="DR910" s="60"/>
      <c r="DS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60"/>
      <c r="BH911" s="60"/>
      <c r="BI911" s="60"/>
      <c r="BJ911" s="60"/>
      <c r="BK911" s="60"/>
      <c r="BL911" s="60"/>
      <c r="BM911" s="60"/>
      <c r="BN911" s="60"/>
      <c r="BO911" s="60"/>
      <c r="BP911" s="60"/>
      <c r="BQ911" s="60"/>
      <c r="BR911" s="60"/>
      <c r="BS911" s="60"/>
      <c r="BT911" s="60"/>
      <c r="BU911" s="60"/>
      <c r="BV911" s="60"/>
      <c r="BW911" s="60"/>
      <c r="BX911" s="60"/>
      <c r="BY911" s="60"/>
      <c r="BZ911" s="60"/>
      <c r="CA911" s="60"/>
      <c r="CB911" s="60"/>
      <c r="CC911" s="60"/>
      <c r="CD911" s="60"/>
      <c r="CE911" s="60"/>
      <c r="CF911" s="60"/>
      <c r="CG911" s="60"/>
      <c r="CH911" s="60"/>
      <c r="CI911" s="60"/>
      <c r="CJ911" s="60"/>
      <c r="CK911" s="60"/>
      <c r="CL911" s="60"/>
      <c r="CM911" s="60"/>
      <c r="CN911" s="60"/>
      <c r="CO911" s="60"/>
      <c r="CP911" s="60"/>
      <c r="CQ911" s="60"/>
      <c r="CR911" s="60"/>
      <c r="CS911" s="60"/>
      <c r="CT911" s="60"/>
      <c r="CU911" s="60"/>
      <c r="CV911" s="60"/>
      <c r="CW911" s="60"/>
      <c r="CX911" s="60"/>
      <c r="CY911" s="60"/>
      <c r="CZ911" s="60"/>
      <c r="DA911" s="60"/>
      <c r="DB911" s="60"/>
      <c r="DC911" s="60"/>
      <c r="DD911" s="60"/>
      <c r="DE911" s="60"/>
      <c r="DF911" s="60"/>
      <c r="DG911" s="60"/>
      <c r="DH911" s="60"/>
      <c r="DI911" s="60"/>
      <c r="DJ911" s="60"/>
      <c r="DK911" s="60"/>
      <c r="DL911" s="60"/>
      <c r="DM911" s="60"/>
      <c r="DN911" s="60"/>
      <c r="DO911" s="60"/>
      <c r="DP911" s="60"/>
      <c r="DQ911" s="60"/>
      <c r="DR911" s="60"/>
      <c r="DS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  <c r="BG912" s="60"/>
      <c r="BH912" s="60"/>
      <c r="BI912" s="60"/>
      <c r="BJ912" s="60"/>
      <c r="BK912" s="60"/>
      <c r="BL912" s="60"/>
      <c r="BM912" s="60"/>
      <c r="BN912" s="60"/>
      <c r="BO912" s="60"/>
      <c r="BP912" s="60"/>
      <c r="BQ912" s="60"/>
      <c r="BR912" s="60"/>
      <c r="BS912" s="60"/>
      <c r="BT912" s="60"/>
      <c r="BU912" s="60"/>
      <c r="BV912" s="60"/>
      <c r="BW912" s="60"/>
      <c r="BX912" s="60"/>
      <c r="BY912" s="60"/>
      <c r="BZ912" s="60"/>
      <c r="CA912" s="60"/>
      <c r="CB912" s="60"/>
      <c r="CC912" s="60"/>
      <c r="CD912" s="60"/>
      <c r="CE912" s="60"/>
      <c r="CF912" s="60"/>
      <c r="CG912" s="60"/>
      <c r="CH912" s="60"/>
      <c r="CI912" s="60"/>
      <c r="CJ912" s="60"/>
      <c r="CK912" s="60"/>
      <c r="CL912" s="60"/>
      <c r="CM912" s="60"/>
      <c r="CN912" s="60"/>
      <c r="CO912" s="60"/>
      <c r="CP912" s="60"/>
      <c r="CQ912" s="60"/>
      <c r="CR912" s="60"/>
      <c r="CS912" s="60"/>
      <c r="CT912" s="60"/>
      <c r="CU912" s="60"/>
      <c r="CV912" s="60"/>
      <c r="CW912" s="60"/>
      <c r="CX912" s="60"/>
      <c r="CY912" s="60"/>
      <c r="CZ912" s="60"/>
      <c r="DA912" s="60"/>
      <c r="DB912" s="60"/>
      <c r="DC912" s="60"/>
      <c r="DD912" s="60"/>
      <c r="DE912" s="60"/>
      <c r="DF912" s="60"/>
      <c r="DG912" s="60"/>
      <c r="DH912" s="60"/>
      <c r="DI912" s="60"/>
      <c r="DJ912" s="60"/>
      <c r="DK912" s="60"/>
      <c r="DL912" s="60"/>
      <c r="DM912" s="60"/>
      <c r="DN912" s="60"/>
      <c r="DO912" s="60"/>
      <c r="DP912" s="60"/>
      <c r="DQ912" s="60"/>
      <c r="DR912" s="60"/>
      <c r="DS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60"/>
      <c r="BH913" s="60"/>
      <c r="BI913" s="60"/>
      <c r="BJ913" s="60"/>
      <c r="BK913" s="60"/>
      <c r="BL913" s="60"/>
      <c r="BM913" s="60"/>
      <c r="BN913" s="60"/>
      <c r="BO913" s="60"/>
      <c r="BP913" s="60"/>
      <c r="BQ913" s="60"/>
      <c r="BR913" s="60"/>
      <c r="BS913" s="60"/>
      <c r="BT913" s="60"/>
      <c r="BU913" s="60"/>
      <c r="BV913" s="60"/>
      <c r="BW913" s="60"/>
      <c r="BX913" s="60"/>
      <c r="BY913" s="60"/>
      <c r="BZ913" s="60"/>
      <c r="CA913" s="60"/>
      <c r="CB913" s="60"/>
      <c r="CC913" s="60"/>
      <c r="CD913" s="60"/>
      <c r="CE913" s="60"/>
      <c r="CF913" s="60"/>
      <c r="CG913" s="60"/>
      <c r="CH913" s="60"/>
      <c r="CI913" s="60"/>
      <c r="CJ913" s="60"/>
      <c r="CK913" s="60"/>
      <c r="CL913" s="60"/>
      <c r="CM913" s="60"/>
      <c r="CN913" s="60"/>
      <c r="CO913" s="60"/>
      <c r="CP913" s="60"/>
      <c r="CQ913" s="60"/>
      <c r="CR913" s="60"/>
      <c r="CS913" s="60"/>
      <c r="CT913" s="60"/>
      <c r="CU913" s="60"/>
      <c r="CV913" s="60"/>
      <c r="CW913" s="60"/>
      <c r="CX913" s="60"/>
      <c r="CY913" s="60"/>
      <c r="CZ913" s="60"/>
      <c r="DA913" s="60"/>
      <c r="DB913" s="60"/>
      <c r="DC913" s="60"/>
      <c r="DD913" s="60"/>
      <c r="DE913" s="60"/>
      <c r="DF913" s="60"/>
      <c r="DG913" s="60"/>
      <c r="DH913" s="60"/>
      <c r="DI913" s="60"/>
      <c r="DJ913" s="60"/>
      <c r="DK913" s="60"/>
      <c r="DL913" s="60"/>
      <c r="DM913" s="60"/>
      <c r="DN913" s="60"/>
      <c r="DO913" s="60"/>
      <c r="DP913" s="60"/>
      <c r="DQ913" s="60"/>
      <c r="DR913" s="60"/>
      <c r="DS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  <c r="BG914" s="60"/>
      <c r="BH914" s="60"/>
      <c r="BI914" s="60"/>
      <c r="BJ914" s="60"/>
      <c r="BK914" s="60"/>
      <c r="BL914" s="60"/>
      <c r="BM914" s="60"/>
      <c r="BN914" s="60"/>
      <c r="BO914" s="60"/>
      <c r="BP914" s="60"/>
      <c r="BQ914" s="60"/>
      <c r="BR914" s="60"/>
      <c r="BS914" s="60"/>
      <c r="BT914" s="60"/>
      <c r="BU914" s="60"/>
      <c r="BV914" s="60"/>
      <c r="BW914" s="60"/>
      <c r="BX914" s="60"/>
      <c r="BY914" s="60"/>
      <c r="BZ914" s="60"/>
      <c r="CA914" s="60"/>
      <c r="CB914" s="60"/>
      <c r="CC914" s="60"/>
      <c r="CD914" s="60"/>
      <c r="CE914" s="60"/>
      <c r="CF914" s="60"/>
      <c r="CG914" s="60"/>
      <c r="CH914" s="60"/>
      <c r="CI914" s="60"/>
      <c r="CJ914" s="60"/>
      <c r="CK914" s="60"/>
      <c r="CL914" s="60"/>
      <c r="CM914" s="60"/>
      <c r="CN914" s="60"/>
      <c r="CO914" s="60"/>
      <c r="CP914" s="60"/>
      <c r="CQ914" s="60"/>
      <c r="CR914" s="60"/>
      <c r="CS914" s="60"/>
      <c r="CT914" s="60"/>
      <c r="CU914" s="60"/>
      <c r="CV914" s="60"/>
      <c r="CW914" s="60"/>
      <c r="CX914" s="60"/>
      <c r="CY914" s="60"/>
      <c r="CZ914" s="60"/>
      <c r="DA914" s="60"/>
      <c r="DB914" s="60"/>
      <c r="DC914" s="60"/>
      <c r="DD914" s="60"/>
      <c r="DE914" s="60"/>
      <c r="DF914" s="60"/>
      <c r="DG914" s="60"/>
      <c r="DH914" s="60"/>
      <c r="DI914" s="60"/>
      <c r="DJ914" s="60"/>
      <c r="DK914" s="60"/>
      <c r="DL914" s="60"/>
      <c r="DM914" s="60"/>
      <c r="DN914" s="60"/>
      <c r="DO914" s="60"/>
      <c r="DP914" s="60"/>
      <c r="DQ914" s="60"/>
      <c r="DR914" s="60"/>
      <c r="DS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  <c r="BG915" s="60"/>
      <c r="BH915" s="60"/>
      <c r="BI915" s="60"/>
      <c r="BJ915" s="60"/>
      <c r="BK915" s="60"/>
      <c r="BL915" s="60"/>
      <c r="BM915" s="60"/>
      <c r="BN915" s="60"/>
      <c r="BO915" s="60"/>
      <c r="BP915" s="60"/>
      <c r="BQ915" s="60"/>
      <c r="BR915" s="60"/>
      <c r="BS915" s="60"/>
      <c r="BT915" s="60"/>
      <c r="BU915" s="60"/>
      <c r="BV915" s="60"/>
      <c r="BW915" s="60"/>
      <c r="BX915" s="60"/>
      <c r="BY915" s="60"/>
      <c r="BZ915" s="60"/>
      <c r="CA915" s="60"/>
      <c r="CB915" s="60"/>
      <c r="CC915" s="60"/>
      <c r="CD915" s="60"/>
      <c r="CE915" s="60"/>
      <c r="CF915" s="60"/>
      <c r="CG915" s="60"/>
      <c r="CH915" s="60"/>
      <c r="CI915" s="60"/>
      <c r="CJ915" s="60"/>
      <c r="CK915" s="60"/>
      <c r="CL915" s="60"/>
      <c r="CM915" s="60"/>
      <c r="CN915" s="60"/>
      <c r="CO915" s="60"/>
      <c r="CP915" s="60"/>
      <c r="CQ915" s="60"/>
      <c r="CR915" s="60"/>
      <c r="CS915" s="60"/>
      <c r="CT915" s="60"/>
      <c r="CU915" s="60"/>
      <c r="CV915" s="60"/>
      <c r="CW915" s="60"/>
      <c r="CX915" s="60"/>
      <c r="CY915" s="60"/>
      <c r="CZ915" s="60"/>
      <c r="DA915" s="60"/>
      <c r="DB915" s="60"/>
      <c r="DC915" s="60"/>
      <c r="DD915" s="60"/>
      <c r="DE915" s="60"/>
      <c r="DF915" s="60"/>
      <c r="DG915" s="60"/>
      <c r="DH915" s="60"/>
      <c r="DI915" s="60"/>
      <c r="DJ915" s="60"/>
      <c r="DK915" s="60"/>
      <c r="DL915" s="60"/>
      <c r="DM915" s="60"/>
      <c r="DN915" s="60"/>
      <c r="DO915" s="60"/>
      <c r="DP915" s="60"/>
      <c r="DQ915" s="60"/>
      <c r="DR915" s="60"/>
      <c r="DS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60"/>
      <c r="BH916" s="60"/>
      <c r="BI916" s="60"/>
      <c r="BJ916" s="60"/>
      <c r="BK916" s="60"/>
      <c r="BL916" s="60"/>
      <c r="BM916" s="60"/>
      <c r="BN916" s="60"/>
      <c r="BO916" s="60"/>
      <c r="BP916" s="60"/>
      <c r="BQ916" s="60"/>
      <c r="BR916" s="60"/>
      <c r="BS916" s="60"/>
      <c r="BT916" s="60"/>
      <c r="BU916" s="60"/>
      <c r="BV916" s="60"/>
      <c r="BW916" s="60"/>
      <c r="BX916" s="60"/>
      <c r="BY916" s="60"/>
      <c r="BZ916" s="60"/>
      <c r="CA916" s="60"/>
      <c r="CB916" s="60"/>
      <c r="CC916" s="60"/>
      <c r="CD916" s="60"/>
      <c r="CE916" s="60"/>
      <c r="CF916" s="60"/>
      <c r="CG916" s="60"/>
      <c r="CH916" s="60"/>
      <c r="CI916" s="60"/>
      <c r="CJ916" s="60"/>
      <c r="CK916" s="60"/>
      <c r="CL916" s="60"/>
      <c r="CM916" s="60"/>
      <c r="CN916" s="60"/>
      <c r="CO916" s="60"/>
      <c r="CP916" s="60"/>
      <c r="CQ916" s="60"/>
      <c r="CR916" s="60"/>
      <c r="CS916" s="60"/>
      <c r="CT916" s="60"/>
      <c r="CU916" s="60"/>
      <c r="CV916" s="60"/>
      <c r="CW916" s="60"/>
      <c r="CX916" s="60"/>
      <c r="CY916" s="60"/>
      <c r="CZ916" s="60"/>
      <c r="DA916" s="60"/>
      <c r="DB916" s="60"/>
      <c r="DC916" s="60"/>
      <c r="DD916" s="60"/>
      <c r="DE916" s="60"/>
      <c r="DF916" s="60"/>
      <c r="DG916" s="60"/>
      <c r="DH916" s="60"/>
      <c r="DI916" s="60"/>
      <c r="DJ916" s="60"/>
      <c r="DK916" s="60"/>
      <c r="DL916" s="60"/>
      <c r="DM916" s="60"/>
      <c r="DN916" s="60"/>
      <c r="DO916" s="60"/>
      <c r="DP916" s="60"/>
      <c r="DQ916" s="60"/>
      <c r="DR916" s="60"/>
      <c r="DS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60"/>
      <c r="BH917" s="60"/>
      <c r="BI917" s="60"/>
      <c r="BJ917" s="60"/>
      <c r="BK917" s="60"/>
      <c r="BL917" s="60"/>
      <c r="BM917" s="60"/>
      <c r="BN917" s="60"/>
      <c r="BO917" s="60"/>
      <c r="BP917" s="60"/>
      <c r="BQ917" s="60"/>
      <c r="BR917" s="60"/>
      <c r="BS917" s="60"/>
      <c r="BT917" s="60"/>
      <c r="BU917" s="60"/>
      <c r="BV917" s="60"/>
      <c r="BW917" s="60"/>
      <c r="BX917" s="60"/>
      <c r="BY917" s="60"/>
      <c r="BZ917" s="60"/>
      <c r="CA917" s="60"/>
      <c r="CB917" s="60"/>
      <c r="CC917" s="60"/>
      <c r="CD917" s="60"/>
      <c r="CE917" s="60"/>
      <c r="CF917" s="60"/>
      <c r="CG917" s="60"/>
      <c r="CH917" s="60"/>
      <c r="CI917" s="60"/>
      <c r="CJ917" s="60"/>
      <c r="CK917" s="60"/>
      <c r="CL917" s="60"/>
      <c r="CM917" s="60"/>
      <c r="CN917" s="60"/>
      <c r="CO917" s="60"/>
      <c r="CP917" s="60"/>
      <c r="CQ917" s="60"/>
      <c r="CR917" s="60"/>
      <c r="CS917" s="60"/>
      <c r="CT917" s="60"/>
      <c r="CU917" s="60"/>
      <c r="CV917" s="60"/>
      <c r="CW917" s="60"/>
      <c r="CX917" s="60"/>
      <c r="CY917" s="60"/>
      <c r="CZ917" s="60"/>
      <c r="DA917" s="60"/>
      <c r="DB917" s="60"/>
      <c r="DC917" s="60"/>
      <c r="DD917" s="60"/>
      <c r="DE917" s="60"/>
      <c r="DF917" s="60"/>
      <c r="DG917" s="60"/>
      <c r="DH917" s="60"/>
      <c r="DI917" s="60"/>
      <c r="DJ917" s="60"/>
      <c r="DK917" s="60"/>
      <c r="DL917" s="60"/>
      <c r="DM917" s="60"/>
      <c r="DN917" s="60"/>
      <c r="DO917" s="60"/>
      <c r="DP917" s="60"/>
      <c r="DQ917" s="60"/>
      <c r="DR917" s="60"/>
      <c r="DS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  <c r="BG918" s="60"/>
      <c r="BH918" s="60"/>
      <c r="BI918" s="60"/>
      <c r="BJ918" s="60"/>
      <c r="BK918" s="60"/>
      <c r="BL918" s="60"/>
      <c r="BM918" s="60"/>
      <c r="BN918" s="60"/>
      <c r="BO918" s="60"/>
      <c r="BP918" s="60"/>
      <c r="BQ918" s="60"/>
      <c r="BR918" s="60"/>
      <c r="BS918" s="60"/>
      <c r="BT918" s="60"/>
      <c r="BU918" s="60"/>
      <c r="BV918" s="60"/>
      <c r="BW918" s="60"/>
      <c r="BX918" s="60"/>
      <c r="BY918" s="60"/>
      <c r="BZ918" s="60"/>
      <c r="CA918" s="60"/>
      <c r="CB918" s="60"/>
      <c r="CC918" s="60"/>
      <c r="CD918" s="60"/>
      <c r="CE918" s="60"/>
      <c r="CF918" s="60"/>
      <c r="CG918" s="60"/>
      <c r="CH918" s="60"/>
      <c r="CI918" s="60"/>
      <c r="CJ918" s="60"/>
      <c r="CK918" s="60"/>
      <c r="CL918" s="60"/>
      <c r="CM918" s="60"/>
      <c r="CN918" s="60"/>
      <c r="CO918" s="60"/>
      <c r="CP918" s="60"/>
      <c r="CQ918" s="60"/>
      <c r="CR918" s="60"/>
      <c r="CS918" s="60"/>
      <c r="CT918" s="60"/>
      <c r="CU918" s="60"/>
      <c r="CV918" s="60"/>
      <c r="CW918" s="60"/>
      <c r="CX918" s="60"/>
      <c r="CY918" s="60"/>
      <c r="CZ918" s="60"/>
      <c r="DA918" s="60"/>
      <c r="DB918" s="60"/>
      <c r="DC918" s="60"/>
      <c r="DD918" s="60"/>
      <c r="DE918" s="60"/>
      <c r="DF918" s="60"/>
      <c r="DG918" s="60"/>
      <c r="DH918" s="60"/>
      <c r="DI918" s="60"/>
      <c r="DJ918" s="60"/>
      <c r="DK918" s="60"/>
      <c r="DL918" s="60"/>
      <c r="DM918" s="60"/>
      <c r="DN918" s="60"/>
      <c r="DO918" s="60"/>
      <c r="DP918" s="60"/>
      <c r="DQ918" s="60"/>
      <c r="DR918" s="60"/>
      <c r="DS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60"/>
      <c r="BH919" s="60"/>
      <c r="BI919" s="60"/>
      <c r="BJ919" s="60"/>
      <c r="BK919" s="60"/>
      <c r="BL919" s="60"/>
      <c r="BM919" s="60"/>
      <c r="BN919" s="60"/>
      <c r="BO919" s="60"/>
      <c r="BP919" s="60"/>
      <c r="BQ919" s="60"/>
      <c r="BR919" s="60"/>
      <c r="BS919" s="60"/>
      <c r="BT919" s="60"/>
      <c r="BU919" s="60"/>
      <c r="BV919" s="60"/>
      <c r="BW919" s="60"/>
      <c r="BX919" s="60"/>
      <c r="BY919" s="60"/>
      <c r="BZ919" s="60"/>
      <c r="CA919" s="60"/>
      <c r="CB919" s="60"/>
      <c r="CC919" s="60"/>
      <c r="CD919" s="60"/>
      <c r="CE919" s="60"/>
      <c r="CF919" s="60"/>
      <c r="CG919" s="60"/>
      <c r="CH919" s="60"/>
      <c r="CI919" s="60"/>
      <c r="CJ919" s="60"/>
      <c r="CK919" s="60"/>
      <c r="CL919" s="60"/>
      <c r="CM919" s="60"/>
      <c r="CN919" s="60"/>
      <c r="CO919" s="60"/>
      <c r="CP919" s="60"/>
      <c r="CQ919" s="60"/>
      <c r="CR919" s="60"/>
      <c r="CS919" s="60"/>
      <c r="CT919" s="60"/>
      <c r="CU919" s="60"/>
      <c r="CV919" s="60"/>
      <c r="CW919" s="60"/>
      <c r="CX919" s="60"/>
      <c r="CY919" s="60"/>
      <c r="CZ919" s="60"/>
      <c r="DA919" s="60"/>
      <c r="DB919" s="60"/>
      <c r="DC919" s="60"/>
      <c r="DD919" s="60"/>
      <c r="DE919" s="60"/>
      <c r="DF919" s="60"/>
      <c r="DG919" s="60"/>
      <c r="DH919" s="60"/>
      <c r="DI919" s="60"/>
      <c r="DJ919" s="60"/>
      <c r="DK919" s="60"/>
      <c r="DL919" s="60"/>
      <c r="DM919" s="60"/>
      <c r="DN919" s="60"/>
      <c r="DO919" s="60"/>
      <c r="DP919" s="60"/>
      <c r="DQ919" s="60"/>
      <c r="DR919" s="60"/>
      <c r="DS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  <c r="BG920" s="60"/>
      <c r="BH920" s="60"/>
      <c r="BI920" s="60"/>
      <c r="BJ920" s="60"/>
      <c r="BK920" s="60"/>
      <c r="BL920" s="60"/>
      <c r="BM920" s="60"/>
      <c r="BN920" s="60"/>
      <c r="BO920" s="60"/>
      <c r="BP920" s="60"/>
      <c r="BQ920" s="60"/>
      <c r="BR920" s="60"/>
      <c r="BS920" s="60"/>
      <c r="BT920" s="60"/>
      <c r="BU920" s="60"/>
      <c r="BV920" s="60"/>
      <c r="BW920" s="60"/>
      <c r="BX920" s="60"/>
      <c r="BY920" s="60"/>
      <c r="BZ920" s="60"/>
      <c r="CA920" s="60"/>
      <c r="CB920" s="60"/>
      <c r="CC920" s="60"/>
      <c r="CD920" s="60"/>
      <c r="CE920" s="60"/>
      <c r="CF920" s="60"/>
      <c r="CG920" s="60"/>
      <c r="CH920" s="60"/>
      <c r="CI920" s="60"/>
      <c r="CJ920" s="60"/>
      <c r="CK920" s="60"/>
      <c r="CL920" s="60"/>
      <c r="CM920" s="60"/>
      <c r="CN920" s="60"/>
      <c r="CO920" s="60"/>
      <c r="CP920" s="60"/>
      <c r="CQ920" s="60"/>
      <c r="CR920" s="60"/>
      <c r="CS920" s="60"/>
      <c r="CT920" s="60"/>
      <c r="CU920" s="60"/>
      <c r="CV920" s="60"/>
      <c r="CW920" s="60"/>
      <c r="CX920" s="60"/>
      <c r="CY920" s="60"/>
      <c r="CZ920" s="60"/>
      <c r="DA920" s="60"/>
      <c r="DB920" s="60"/>
      <c r="DC920" s="60"/>
      <c r="DD920" s="60"/>
      <c r="DE920" s="60"/>
      <c r="DF920" s="60"/>
      <c r="DG920" s="60"/>
      <c r="DH920" s="60"/>
      <c r="DI920" s="60"/>
      <c r="DJ920" s="60"/>
      <c r="DK920" s="60"/>
      <c r="DL920" s="60"/>
      <c r="DM920" s="60"/>
      <c r="DN920" s="60"/>
      <c r="DO920" s="60"/>
      <c r="DP920" s="60"/>
      <c r="DQ920" s="60"/>
      <c r="DR920" s="60"/>
      <c r="DS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60"/>
      <c r="BH921" s="60"/>
      <c r="BI921" s="60"/>
      <c r="BJ921" s="60"/>
      <c r="BK921" s="60"/>
      <c r="BL921" s="60"/>
      <c r="BM921" s="60"/>
      <c r="BN921" s="60"/>
      <c r="BO921" s="60"/>
      <c r="BP921" s="60"/>
      <c r="BQ921" s="60"/>
      <c r="BR921" s="60"/>
      <c r="BS921" s="60"/>
      <c r="BT921" s="60"/>
      <c r="BU921" s="60"/>
      <c r="BV921" s="60"/>
      <c r="BW921" s="60"/>
      <c r="BX921" s="60"/>
      <c r="BY921" s="60"/>
      <c r="BZ921" s="60"/>
      <c r="CA921" s="60"/>
      <c r="CB921" s="60"/>
      <c r="CC921" s="60"/>
      <c r="CD921" s="60"/>
      <c r="CE921" s="60"/>
      <c r="CF921" s="60"/>
      <c r="CG921" s="60"/>
      <c r="CH921" s="60"/>
      <c r="CI921" s="60"/>
      <c r="CJ921" s="60"/>
      <c r="CK921" s="60"/>
      <c r="CL921" s="60"/>
      <c r="CM921" s="60"/>
      <c r="CN921" s="60"/>
      <c r="CO921" s="60"/>
      <c r="CP921" s="60"/>
      <c r="CQ921" s="60"/>
      <c r="CR921" s="60"/>
      <c r="CS921" s="60"/>
      <c r="CT921" s="60"/>
      <c r="CU921" s="60"/>
      <c r="CV921" s="60"/>
      <c r="CW921" s="60"/>
      <c r="CX921" s="60"/>
      <c r="CY921" s="60"/>
      <c r="CZ921" s="60"/>
      <c r="DA921" s="60"/>
      <c r="DB921" s="60"/>
      <c r="DC921" s="60"/>
      <c r="DD921" s="60"/>
      <c r="DE921" s="60"/>
      <c r="DF921" s="60"/>
      <c r="DG921" s="60"/>
      <c r="DH921" s="60"/>
      <c r="DI921" s="60"/>
      <c r="DJ921" s="60"/>
      <c r="DK921" s="60"/>
      <c r="DL921" s="60"/>
      <c r="DM921" s="60"/>
      <c r="DN921" s="60"/>
      <c r="DO921" s="60"/>
      <c r="DP921" s="60"/>
      <c r="DQ921" s="60"/>
      <c r="DR921" s="60"/>
      <c r="DS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60"/>
      <c r="BH922" s="60"/>
      <c r="BI922" s="60"/>
      <c r="BJ922" s="60"/>
      <c r="BK922" s="60"/>
      <c r="BL922" s="60"/>
      <c r="BM922" s="60"/>
      <c r="BN922" s="60"/>
      <c r="BO922" s="60"/>
      <c r="BP922" s="60"/>
      <c r="BQ922" s="60"/>
      <c r="BR922" s="60"/>
      <c r="BS922" s="60"/>
      <c r="BT922" s="60"/>
      <c r="BU922" s="60"/>
      <c r="BV922" s="60"/>
      <c r="BW922" s="60"/>
      <c r="BX922" s="60"/>
      <c r="BY922" s="60"/>
      <c r="BZ922" s="60"/>
      <c r="CA922" s="60"/>
      <c r="CB922" s="60"/>
      <c r="CC922" s="60"/>
      <c r="CD922" s="60"/>
      <c r="CE922" s="60"/>
      <c r="CF922" s="60"/>
      <c r="CG922" s="60"/>
      <c r="CH922" s="60"/>
      <c r="CI922" s="60"/>
      <c r="CJ922" s="60"/>
      <c r="CK922" s="60"/>
      <c r="CL922" s="60"/>
      <c r="CM922" s="60"/>
      <c r="CN922" s="60"/>
      <c r="CO922" s="60"/>
      <c r="CP922" s="60"/>
      <c r="CQ922" s="60"/>
      <c r="CR922" s="60"/>
      <c r="CS922" s="60"/>
      <c r="CT922" s="60"/>
      <c r="CU922" s="60"/>
      <c r="CV922" s="60"/>
      <c r="CW922" s="60"/>
      <c r="CX922" s="60"/>
      <c r="CY922" s="60"/>
      <c r="CZ922" s="60"/>
      <c r="DA922" s="60"/>
      <c r="DB922" s="60"/>
      <c r="DC922" s="60"/>
      <c r="DD922" s="60"/>
      <c r="DE922" s="60"/>
      <c r="DF922" s="60"/>
      <c r="DG922" s="60"/>
      <c r="DH922" s="60"/>
      <c r="DI922" s="60"/>
      <c r="DJ922" s="60"/>
      <c r="DK922" s="60"/>
      <c r="DL922" s="60"/>
      <c r="DM922" s="60"/>
      <c r="DN922" s="60"/>
      <c r="DO922" s="60"/>
      <c r="DP922" s="60"/>
      <c r="DQ922" s="60"/>
      <c r="DR922" s="60"/>
      <c r="DS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60"/>
      <c r="BH923" s="60"/>
      <c r="BI923" s="60"/>
      <c r="BJ923" s="60"/>
      <c r="BK923" s="60"/>
      <c r="BL923" s="60"/>
      <c r="BM923" s="60"/>
      <c r="BN923" s="60"/>
      <c r="BO923" s="60"/>
      <c r="BP923" s="60"/>
      <c r="BQ923" s="60"/>
      <c r="BR923" s="60"/>
      <c r="BS923" s="60"/>
      <c r="BT923" s="60"/>
      <c r="BU923" s="60"/>
      <c r="BV923" s="60"/>
      <c r="BW923" s="60"/>
      <c r="BX923" s="60"/>
      <c r="BY923" s="60"/>
      <c r="BZ923" s="60"/>
      <c r="CA923" s="60"/>
      <c r="CB923" s="60"/>
      <c r="CC923" s="60"/>
      <c r="CD923" s="60"/>
      <c r="CE923" s="60"/>
      <c r="CF923" s="60"/>
      <c r="CG923" s="60"/>
      <c r="CH923" s="60"/>
      <c r="CI923" s="60"/>
      <c r="CJ923" s="60"/>
      <c r="CK923" s="60"/>
      <c r="CL923" s="60"/>
      <c r="CM923" s="60"/>
      <c r="CN923" s="60"/>
      <c r="CO923" s="60"/>
      <c r="CP923" s="60"/>
      <c r="CQ923" s="60"/>
      <c r="CR923" s="60"/>
      <c r="CS923" s="60"/>
      <c r="CT923" s="60"/>
      <c r="CU923" s="60"/>
      <c r="CV923" s="60"/>
      <c r="CW923" s="60"/>
      <c r="CX923" s="60"/>
      <c r="CY923" s="60"/>
      <c r="CZ923" s="60"/>
      <c r="DA923" s="60"/>
      <c r="DB923" s="60"/>
      <c r="DC923" s="60"/>
      <c r="DD923" s="60"/>
      <c r="DE923" s="60"/>
      <c r="DF923" s="60"/>
      <c r="DG923" s="60"/>
      <c r="DH923" s="60"/>
      <c r="DI923" s="60"/>
      <c r="DJ923" s="60"/>
      <c r="DK923" s="60"/>
      <c r="DL923" s="60"/>
      <c r="DM923" s="60"/>
      <c r="DN923" s="60"/>
      <c r="DO923" s="60"/>
      <c r="DP923" s="60"/>
      <c r="DQ923" s="60"/>
      <c r="DR923" s="60"/>
      <c r="DS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60"/>
      <c r="BH924" s="60"/>
      <c r="BI924" s="60"/>
      <c r="BJ924" s="60"/>
      <c r="BK924" s="60"/>
      <c r="BL924" s="60"/>
      <c r="BM924" s="60"/>
      <c r="BN924" s="60"/>
      <c r="BO924" s="60"/>
      <c r="BP924" s="60"/>
      <c r="BQ924" s="60"/>
      <c r="BR924" s="60"/>
      <c r="BS924" s="60"/>
      <c r="BT924" s="60"/>
      <c r="BU924" s="60"/>
      <c r="BV924" s="60"/>
      <c r="BW924" s="60"/>
      <c r="BX924" s="60"/>
      <c r="BY924" s="60"/>
      <c r="BZ924" s="60"/>
      <c r="CA924" s="60"/>
      <c r="CB924" s="60"/>
      <c r="CC924" s="60"/>
      <c r="CD924" s="60"/>
      <c r="CE924" s="60"/>
      <c r="CF924" s="60"/>
      <c r="CG924" s="60"/>
      <c r="CH924" s="60"/>
      <c r="CI924" s="60"/>
      <c r="CJ924" s="60"/>
      <c r="CK924" s="60"/>
      <c r="CL924" s="60"/>
      <c r="CM924" s="60"/>
      <c r="CN924" s="60"/>
      <c r="CO924" s="60"/>
      <c r="CP924" s="60"/>
      <c r="CQ924" s="60"/>
      <c r="CR924" s="60"/>
      <c r="CS924" s="60"/>
      <c r="CT924" s="60"/>
      <c r="CU924" s="60"/>
      <c r="CV924" s="60"/>
      <c r="CW924" s="60"/>
      <c r="CX924" s="60"/>
      <c r="CY924" s="60"/>
      <c r="CZ924" s="60"/>
      <c r="DA924" s="60"/>
      <c r="DB924" s="60"/>
      <c r="DC924" s="60"/>
      <c r="DD924" s="60"/>
      <c r="DE924" s="60"/>
      <c r="DF924" s="60"/>
      <c r="DG924" s="60"/>
      <c r="DH924" s="60"/>
      <c r="DI924" s="60"/>
      <c r="DJ924" s="60"/>
      <c r="DK924" s="60"/>
      <c r="DL924" s="60"/>
      <c r="DM924" s="60"/>
      <c r="DN924" s="60"/>
      <c r="DO924" s="60"/>
      <c r="DP924" s="60"/>
      <c r="DQ924" s="60"/>
      <c r="DR924" s="60"/>
      <c r="DS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60"/>
      <c r="BH925" s="60"/>
      <c r="BI925" s="60"/>
      <c r="BJ925" s="60"/>
      <c r="BK925" s="60"/>
      <c r="BL925" s="60"/>
      <c r="BM925" s="60"/>
      <c r="BN925" s="60"/>
      <c r="BO925" s="60"/>
      <c r="BP925" s="60"/>
      <c r="BQ925" s="60"/>
      <c r="BR925" s="60"/>
      <c r="BS925" s="60"/>
      <c r="BT925" s="60"/>
      <c r="BU925" s="60"/>
      <c r="BV925" s="60"/>
      <c r="BW925" s="60"/>
      <c r="BX925" s="60"/>
      <c r="BY925" s="60"/>
      <c r="BZ925" s="60"/>
      <c r="CA925" s="60"/>
      <c r="CB925" s="60"/>
      <c r="CC925" s="60"/>
      <c r="CD925" s="60"/>
      <c r="CE925" s="60"/>
      <c r="CF925" s="60"/>
      <c r="CG925" s="60"/>
      <c r="CH925" s="60"/>
      <c r="CI925" s="60"/>
      <c r="CJ925" s="60"/>
      <c r="CK925" s="60"/>
      <c r="CL925" s="60"/>
      <c r="CM925" s="60"/>
      <c r="CN925" s="60"/>
      <c r="CO925" s="60"/>
      <c r="CP925" s="60"/>
      <c r="CQ925" s="60"/>
      <c r="CR925" s="60"/>
      <c r="CS925" s="60"/>
      <c r="CT925" s="60"/>
      <c r="CU925" s="60"/>
      <c r="CV925" s="60"/>
      <c r="CW925" s="60"/>
      <c r="CX925" s="60"/>
      <c r="CY925" s="60"/>
      <c r="CZ925" s="60"/>
      <c r="DA925" s="60"/>
      <c r="DB925" s="60"/>
      <c r="DC925" s="60"/>
      <c r="DD925" s="60"/>
      <c r="DE925" s="60"/>
      <c r="DF925" s="60"/>
      <c r="DG925" s="60"/>
      <c r="DH925" s="60"/>
      <c r="DI925" s="60"/>
      <c r="DJ925" s="60"/>
      <c r="DK925" s="60"/>
      <c r="DL925" s="60"/>
      <c r="DM925" s="60"/>
      <c r="DN925" s="60"/>
      <c r="DO925" s="60"/>
      <c r="DP925" s="60"/>
      <c r="DQ925" s="60"/>
      <c r="DR925" s="60"/>
      <c r="DS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60"/>
      <c r="BH926" s="60"/>
      <c r="BI926" s="60"/>
      <c r="BJ926" s="60"/>
      <c r="BK926" s="60"/>
      <c r="BL926" s="60"/>
      <c r="BM926" s="60"/>
      <c r="BN926" s="60"/>
      <c r="BO926" s="60"/>
      <c r="BP926" s="60"/>
      <c r="BQ926" s="60"/>
      <c r="BR926" s="60"/>
      <c r="BS926" s="60"/>
      <c r="BT926" s="60"/>
      <c r="BU926" s="60"/>
      <c r="BV926" s="60"/>
      <c r="BW926" s="60"/>
      <c r="BX926" s="60"/>
      <c r="BY926" s="60"/>
      <c r="BZ926" s="60"/>
      <c r="CA926" s="60"/>
      <c r="CB926" s="60"/>
      <c r="CC926" s="60"/>
      <c r="CD926" s="60"/>
      <c r="CE926" s="60"/>
      <c r="CF926" s="60"/>
      <c r="CG926" s="60"/>
      <c r="CH926" s="60"/>
      <c r="CI926" s="60"/>
      <c r="CJ926" s="60"/>
      <c r="CK926" s="60"/>
      <c r="CL926" s="60"/>
      <c r="CM926" s="60"/>
      <c r="CN926" s="60"/>
      <c r="CO926" s="60"/>
      <c r="CP926" s="60"/>
      <c r="CQ926" s="60"/>
      <c r="CR926" s="60"/>
      <c r="CS926" s="60"/>
      <c r="CT926" s="60"/>
      <c r="CU926" s="60"/>
      <c r="CV926" s="60"/>
      <c r="CW926" s="60"/>
      <c r="CX926" s="60"/>
      <c r="CY926" s="60"/>
      <c r="CZ926" s="60"/>
      <c r="DA926" s="60"/>
      <c r="DB926" s="60"/>
      <c r="DC926" s="60"/>
      <c r="DD926" s="60"/>
      <c r="DE926" s="60"/>
      <c r="DF926" s="60"/>
      <c r="DG926" s="60"/>
      <c r="DH926" s="60"/>
      <c r="DI926" s="60"/>
      <c r="DJ926" s="60"/>
      <c r="DK926" s="60"/>
      <c r="DL926" s="60"/>
      <c r="DM926" s="60"/>
      <c r="DN926" s="60"/>
      <c r="DO926" s="60"/>
      <c r="DP926" s="60"/>
      <c r="DQ926" s="60"/>
      <c r="DR926" s="60"/>
      <c r="DS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60"/>
      <c r="BH927" s="60"/>
      <c r="BI927" s="60"/>
      <c r="BJ927" s="60"/>
      <c r="BK927" s="60"/>
      <c r="BL927" s="60"/>
      <c r="BM927" s="60"/>
      <c r="BN927" s="60"/>
      <c r="BO927" s="60"/>
      <c r="BP927" s="60"/>
      <c r="BQ927" s="60"/>
      <c r="BR927" s="60"/>
      <c r="BS927" s="60"/>
      <c r="BT927" s="60"/>
      <c r="BU927" s="60"/>
      <c r="BV927" s="60"/>
      <c r="BW927" s="60"/>
      <c r="BX927" s="60"/>
      <c r="BY927" s="60"/>
      <c r="BZ927" s="60"/>
      <c r="CA927" s="60"/>
      <c r="CB927" s="60"/>
      <c r="CC927" s="60"/>
      <c r="CD927" s="60"/>
      <c r="CE927" s="60"/>
      <c r="CF927" s="60"/>
      <c r="CG927" s="60"/>
      <c r="CH927" s="60"/>
      <c r="CI927" s="60"/>
      <c r="CJ927" s="60"/>
      <c r="CK927" s="60"/>
      <c r="CL927" s="60"/>
      <c r="CM927" s="60"/>
      <c r="CN927" s="60"/>
      <c r="CO927" s="60"/>
      <c r="CP927" s="60"/>
      <c r="CQ927" s="60"/>
      <c r="CR927" s="60"/>
      <c r="CS927" s="60"/>
      <c r="CT927" s="60"/>
      <c r="CU927" s="60"/>
      <c r="CV927" s="60"/>
      <c r="CW927" s="60"/>
      <c r="CX927" s="60"/>
      <c r="CY927" s="60"/>
      <c r="CZ927" s="60"/>
      <c r="DA927" s="60"/>
      <c r="DB927" s="60"/>
      <c r="DC927" s="60"/>
      <c r="DD927" s="60"/>
      <c r="DE927" s="60"/>
      <c r="DF927" s="60"/>
      <c r="DG927" s="60"/>
      <c r="DH927" s="60"/>
      <c r="DI927" s="60"/>
      <c r="DJ927" s="60"/>
      <c r="DK927" s="60"/>
      <c r="DL927" s="60"/>
      <c r="DM927" s="60"/>
      <c r="DN927" s="60"/>
      <c r="DO927" s="60"/>
      <c r="DP927" s="60"/>
      <c r="DQ927" s="60"/>
      <c r="DR927" s="60"/>
      <c r="DS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60"/>
      <c r="BH928" s="60"/>
      <c r="BI928" s="60"/>
      <c r="BJ928" s="60"/>
      <c r="BK928" s="60"/>
      <c r="BL928" s="60"/>
      <c r="BM928" s="60"/>
      <c r="BN928" s="60"/>
      <c r="BO928" s="60"/>
      <c r="BP928" s="60"/>
      <c r="BQ928" s="60"/>
      <c r="BR928" s="60"/>
      <c r="BS928" s="60"/>
      <c r="BT928" s="60"/>
      <c r="BU928" s="60"/>
      <c r="BV928" s="60"/>
      <c r="BW928" s="60"/>
      <c r="BX928" s="60"/>
      <c r="BY928" s="60"/>
      <c r="BZ928" s="60"/>
      <c r="CA928" s="60"/>
      <c r="CB928" s="60"/>
      <c r="CC928" s="60"/>
      <c r="CD928" s="60"/>
      <c r="CE928" s="60"/>
      <c r="CF928" s="60"/>
      <c r="CG928" s="60"/>
      <c r="CH928" s="60"/>
      <c r="CI928" s="60"/>
      <c r="CJ928" s="60"/>
      <c r="CK928" s="60"/>
      <c r="CL928" s="60"/>
      <c r="CM928" s="60"/>
      <c r="CN928" s="60"/>
      <c r="CO928" s="60"/>
      <c r="CP928" s="60"/>
      <c r="CQ928" s="60"/>
      <c r="CR928" s="60"/>
      <c r="CS928" s="60"/>
      <c r="CT928" s="60"/>
      <c r="CU928" s="60"/>
      <c r="CV928" s="60"/>
      <c r="CW928" s="60"/>
      <c r="CX928" s="60"/>
      <c r="CY928" s="60"/>
      <c r="CZ928" s="60"/>
      <c r="DA928" s="60"/>
      <c r="DB928" s="60"/>
      <c r="DC928" s="60"/>
      <c r="DD928" s="60"/>
      <c r="DE928" s="60"/>
      <c r="DF928" s="60"/>
      <c r="DG928" s="60"/>
      <c r="DH928" s="60"/>
      <c r="DI928" s="60"/>
      <c r="DJ928" s="60"/>
      <c r="DK928" s="60"/>
      <c r="DL928" s="60"/>
      <c r="DM928" s="60"/>
      <c r="DN928" s="60"/>
      <c r="DO928" s="60"/>
      <c r="DP928" s="60"/>
      <c r="DQ928" s="60"/>
      <c r="DR928" s="60"/>
      <c r="DS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60"/>
      <c r="BH929" s="60"/>
      <c r="BI929" s="60"/>
      <c r="BJ929" s="60"/>
      <c r="BK929" s="60"/>
      <c r="BL929" s="60"/>
      <c r="BM929" s="60"/>
      <c r="BN929" s="60"/>
      <c r="BO929" s="60"/>
      <c r="BP929" s="60"/>
      <c r="BQ929" s="60"/>
      <c r="BR929" s="60"/>
      <c r="BS929" s="60"/>
      <c r="BT929" s="60"/>
      <c r="BU929" s="60"/>
      <c r="BV929" s="60"/>
      <c r="BW929" s="60"/>
      <c r="BX929" s="60"/>
      <c r="BY929" s="60"/>
      <c r="BZ929" s="60"/>
      <c r="CA929" s="60"/>
      <c r="CB929" s="60"/>
      <c r="CC929" s="60"/>
      <c r="CD929" s="60"/>
      <c r="CE929" s="60"/>
      <c r="CF929" s="60"/>
      <c r="CG929" s="60"/>
      <c r="CH929" s="60"/>
      <c r="CI929" s="60"/>
      <c r="CJ929" s="60"/>
      <c r="CK929" s="60"/>
      <c r="CL929" s="60"/>
      <c r="CM929" s="60"/>
      <c r="CN929" s="60"/>
      <c r="CO929" s="60"/>
      <c r="CP929" s="60"/>
      <c r="CQ929" s="60"/>
      <c r="CR929" s="60"/>
      <c r="CS929" s="60"/>
      <c r="CT929" s="60"/>
      <c r="CU929" s="60"/>
      <c r="CV929" s="60"/>
      <c r="CW929" s="60"/>
      <c r="CX929" s="60"/>
      <c r="CY929" s="60"/>
      <c r="CZ929" s="60"/>
      <c r="DA929" s="60"/>
      <c r="DB929" s="60"/>
      <c r="DC929" s="60"/>
      <c r="DD929" s="60"/>
      <c r="DE929" s="60"/>
      <c r="DF929" s="60"/>
      <c r="DG929" s="60"/>
      <c r="DH929" s="60"/>
      <c r="DI929" s="60"/>
      <c r="DJ929" s="60"/>
      <c r="DK929" s="60"/>
      <c r="DL929" s="60"/>
      <c r="DM929" s="60"/>
      <c r="DN929" s="60"/>
      <c r="DO929" s="60"/>
      <c r="DP929" s="60"/>
      <c r="DQ929" s="60"/>
      <c r="DR929" s="60"/>
      <c r="DS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60"/>
      <c r="BH930" s="60"/>
      <c r="BI930" s="60"/>
      <c r="BJ930" s="60"/>
      <c r="BK930" s="60"/>
      <c r="BL930" s="60"/>
      <c r="BM930" s="60"/>
      <c r="BN930" s="60"/>
      <c r="BO930" s="60"/>
      <c r="BP930" s="60"/>
      <c r="BQ930" s="60"/>
      <c r="BR930" s="60"/>
      <c r="BS930" s="60"/>
      <c r="BT930" s="60"/>
      <c r="BU930" s="60"/>
      <c r="BV930" s="60"/>
      <c r="BW930" s="60"/>
      <c r="BX930" s="60"/>
      <c r="BY930" s="60"/>
      <c r="BZ930" s="60"/>
      <c r="CA930" s="60"/>
      <c r="CB930" s="60"/>
      <c r="CC930" s="60"/>
      <c r="CD930" s="60"/>
      <c r="CE930" s="60"/>
      <c r="CF930" s="60"/>
      <c r="CG930" s="60"/>
      <c r="CH930" s="60"/>
      <c r="CI930" s="60"/>
      <c r="CJ930" s="60"/>
      <c r="CK930" s="60"/>
      <c r="CL930" s="60"/>
      <c r="CM930" s="60"/>
      <c r="CN930" s="60"/>
      <c r="CO930" s="60"/>
      <c r="CP930" s="60"/>
      <c r="CQ930" s="60"/>
      <c r="CR930" s="60"/>
      <c r="CS930" s="60"/>
      <c r="CT930" s="60"/>
      <c r="CU930" s="60"/>
      <c r="CV930" s="60"/>
      <c r="CW930" s="60"/>
      <c r="CX930" s="60"/>
      <c r="CY930" s="60"/>
      <c r="CZ930" s="60"/>
      <c r="DA930" s="60"/>
      <c r="DB930" s="60"/>
      <c r="DC930" s="60"/>
      <c r="DD930" s="60"/>
      <c r="DE930" s="60"/>
      <c r="DF930" s="60"/>
      <c r="DG930" s="60"/>
      <c r="DH930" s="60"/>
      <c r="DI930" s="60"/>
      <c r="DJ930" s="60"/>
      <c r="DK930" s="60"/>
      <c r="DL930" s="60"/>
      <c r="DM930" s="60"/>
      <c r="DN930" s="60"/>
      <c r="DO930" s="60"/>
      <c r="DP930" s="60"/>
      <c r="DQ930" s="60"/>
      <c r="DR930" s="60"/>
      <c r="DS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60"/>
      <c r="BH931" s="60"/>
      <c r="BI931" s="60"/>
      <c r="BJ931" s="60"/>
      <c r="BK931" s="60"/>
      <c r="BL931" s="60"/>
      <c r="BM931" s="60"/>
      <c r="BN931" s="60"/>
      <c r="BO931" s="60"/>
      <c r="BP931" s="60"/>
      <c r="BQ931" s="60"/>
      <c r="BR931" s="60"/>
      <c r="BS931" s="60"/>
      <c r="BT931" s="60"/>
      <c r="BU931" s="60"/>
      <c r="BV931" s="60"/>
      <c r="BW931" s="60"/>
      <c r="BX931" s="60"/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  <c r="CL931" s="60"/>
      <c r="CM931" s="60"/>
      <c r="CN931" s="60"/>
      <c r="CO931" s="60"/>
      <c r="CP931" s="60"/>
      <c r="CQ931" s="60"/>
      <c r="CR931" s="60"/>
      <c r="CS931" s="60"/>
      <c r="CT931" s="60"/>
      <c r="CU931" s="60"/>
      <c r="CV931" s="60"/>
      <c r="CW931" s="60"/>
      <c r="CX931" s="60"/>
      <c r="CY931" s="60"/>
      <c r="CZ931" s="60"/>
      <c r="DA931" s="60"/>
      <c r="DB931" s="60"/>
      <c r="DC931" s="60"/>
      <c r="DD931" s="60"/>
      <c r="DE931" s="60"/>
      <c r="DF931" s="60"/>
      <c r="DG931" s="60"/>
      <c r="DH931" s="60"/>
      <c r="DI931" s="60"/>
      <c r="DJ931" s="60"/>
      <c r="DK931" s="60"/>
      <c r="DL931" s="60"/>
      <c r="DM931" s="60"/>
      <c r="DN931" s="60"/>
      <c r="DO931" s="60"/>
      <c r="DP931" s="60"/>
      <c r="DQ931" s="60"/>
      <c r="DR931" s="60"/>
      <c r="DS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60"/>
      <c r="BH932" s="60"/>
      <c r="BI932" s="60"/>
      <c r="BJ932" s="60"/>
      <c r="BK932" s="60"/>
      <c r="BL932" s="60"/>
      <c r="BM932" s="60"/>
      <c r="BN932" s="60"/>
      <c r="BO932" s="60"/>
      <c r="BP932" s="60"/>
      <c r="BQ932" s="60"/>
      <c r="BR932" s="60"/>
      <c r="BS932" s="60"/>
      <c r="BT932" s="60"/>
      <c r="BU932" s="60"/>
      <c r="BV932" s="60"/>
      <c r="BW932" s="60"/>
      <c r="BX932" s="60"/>
      <c r="BY932" s="60"/>
      <c r="BZ932" s="60"/>
      <c r="CA932" s="60"/>
      <c r="CB932" s="60"/>
      <c r="CC932" s="60"/>
      <c r="CD932" s="60"/>
      <c r="CE932" s="60"/>
      <c r="CF932" s="60"/>
      <c r="CG932" s="60"/>
      <c r="CH932" s="60"/>
      <c r="CI932" s="60"/>
      <c r="CJ932" s="60"/>
      <c r="CK932" s="60"/>
      <c r="CL932" s="60"/>
      <c r="CM932" s="60"/>
      <c r="CN932" s="60"/>
      <c r="CO932" s="60"/>
      <c r="CP932" s="60"/>
      <c r="CQ932" s="60"/>
      <c r="CR932" s="60"/>
      <c r="CS932" s="60"/>
      <c r="CT932" s="60"/>
      <c r="CU932" s="60"/>
      <c r="CV932" s="60"/>
      <c r="CW932" s="60"/>
      <c r="CX932" s="60"/>
      <c r="CY932" s="60"/>
      <c r="CZ932" s="60"/>
      <c r="DA932" s="60"/>
      <c r="DB932" s="60"/>
      <c r="DC932" s="60"/>
      <c r="DD932" s="60"/>
      <c r="DE932" s="60"/>
      <c r="DF932" s="60"/>
      <c r="DG932" s="60"/>
      <c r="DH932" s="60"/>
      <c r="DI932" s="60"/>
      <c r="DJ932" s="60"/>
      <c r="DK932" s="60"/>
      <c r="DL932" s="60"/>
      <c r="DM932" s="60"/>
      <c r="DN932" s="60"/>
      <c r="DO932" s="60"/>
      <c r="DP932" s="60"/>
      <c r="DQ932" s="60"/>
      <c r="DR932" s="60"/>
      <c r="DS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60"/>
      <c r="BH933" s="60"/>
      <c r="BI933" s="60"/>
      <c r="BJ933" s="60"/>
      <c r="BK933" s="60"/>
      <c r="BL933" s="60"/>
      <c r="BM933" s="60"/>
      <c r="BN933" s="60"/>
      <c r="BO933" s="60"/>
      <c r="BP933" s="60"/>
      <c r="BQ933" s="60"/>
      <c r="BR933" s="60"/>
      <c r="BS933" s="60"/>
      <c r="BT933" s="60"/>
      <c r="BU933" s="60"/>
      <c r="BV933" s="60"/>
      <c r="BW933" s="60"/>
      <c r="BX933" s="60"/>
      <c r="BY933" s="60"/>
      <c r="BZ933" s="60"/>
      <c r="CA933" s="60"/>
      <c r="CB933" s="60"/>
      <c r="CC933" s="60"/>
      <c r="CD933" s="60"/>
      <c r="CE933" s="60"/>
      <c r="CF933" s="60"/>
      <c r="CG933" s="60"/>
      <c r="CH933" s="60"/>
      <c r="CI933" s="60"/>
      <c r="CJ933" s="60"/>
      <c r="CK933" s="60"/>
      <c r="CL933" s="60"/>
      <c r="CM933" s="60"/>
      <c r="CN933" s="60"/>
      <c r="CO933" s="60"/>
      <c r="CP933" s="60"/>
      <c r="CQ933" s="60"/>
      <c r="CR933" s="60"/>
      <c r="CS933" s="60"/>
      <c r="CT933" s="60"/>
      <c r="CU933" s="60"/>
      <c r="CV933" s="60"/>
      <c r="CW933" s="60"/>
      <c r="CX933" s="60"/>
      <c r="CY933" s="60"/>
      <c r="CZ933" s="60"/>
      <c r="DA933" s="60"/>
      <c r="DB933" s="60"/>
      <c r="DC933" s="60"/>
      <c r="DD933" s="60"/>
      <c r="DE933" s="60"/>
      <c r="DF933" s="60"/>
      <c r="DG933" s="60"/>
      <c r="DH933" s="60"/>
      <c r="DI933" s="60"/>
      <c r="DJ933" s="60"/>
      <c r="DK933" s="60"/>
      <c r="DL933" s="60"/>
      <c r="DM933" s="60"/>
      <c r="DN933" s="60"/>
      <c r="DO933" s="60"/>
      <c r="DP933" s="60"/>
      <c r="DQ933" s="60"/>
      <c r="DR933" s="60"/>
      <c r="DS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60"/>
      <c r="BH934" s="60"/>
      <c r="BI934" s="60"/>
      <c r="BJ934" s="60"/>
      <c r="BK934" s="60"/>
      <c r="BL934" s="60"/>
      <c r="BM934" s="60"/>
      <c r="BN934" s="60"/>
      <c r="BO934" s="60"/>
      <c r="BP934" s="60"/>
      <c r="BQ934" s="60"/>
      <c r="BR934" s="60"/>
      <c r="BS934" s="60"/>
      <c r="BT934" s="60"/>
      <c r="BU934" s="60"/>
      <c r="BV934" s="60"/>
      <c r="BW934" s="60"/>
      <c r="BX934" s="60"/>
      <c r="BY934" s="60"/>
      <c r="BZ934" s="60"/>
      <c r="CA934" s="60"/>
      <c r="CB934" s="60"/>
      <c r="CC934" s="60"/>
      <c r="CD934" s="60"/>
      <c r="CE934" s="60"/>
      <c r="CF934" s="60"/>
      <c r="CG934" s="60"/>
      <c r="CH934" s="60"/>
      <c r="CI934" s="60"/>
      <c r="CJ934" s="60"/>
      <c r="CK934" s="60"/>
      <c r="CL934" s="60"/>
      <c r="CM934" s="60"/>
      <c r="CN934" s="60"/>
      <c r="CO934" s="60"/>
      <c r="CP934" s="60"/>
      <c r="CQ934" s="60"/>
      <c r="CR934" s="60"/>
      <c r="CS934" s="60"/>
      <c r="CT934" s="60"/>
      <c r="CU934" s="60"/>
      <c r="CV934" s="60"/>
      <c r="CW934" s="60"/>
      <c r="CX934" s="60"/>
      <c r="CY934" s="60"/>
      <c r="CZ934" s="60"/>
      <c r="DA934" s="60"/>
      <c r="DB934" s="60"/>
      <c r="DC934" s="60"/>
      <c r="DD934" s="60"/>
      <c r="DE934" s="60"/>
      <c r="DF934" s="60"/>
      <c r="DG934" s="60"/>
      <c r="DH934" s="60"/>
      <c r="DI934" s="60"/>
      <c r="DJ934" s="60"/>
      <c r="DK934" s="60"/>
      <c r="DL934" s="60"/>
      <c r="DM934" s="60"/>
      <c r="DN934" s="60"/>
      <c r="DO934" s="60"/>
      <c r="DP934" s="60"/>
      <c r="DQ934" s="60"/>
      <c r="DR934" s="60"/>
      <c r="DS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60"/>
      <c r="BH935" s="60"/>
      <c r="BI935" s="60"/>
      <c r="BJ935" s="60"/>
      <c r="BK935" s="60"/>
      <c r="BL935" s="60"/>
      <c r="BM935" s="60"/>
      <c r="BN935" s="60"/>
      <c r="BO935" s="60"/>
      <c r="BP935" s="60"/>
      <c r="BQ935" s="60"/>
      <c r="BR935" s="60"/>
      <c r="BS935" s="60"/>
      <c r="BT935" s="60"/>
      <c r="BU935" s="60"/>
      <c r="BV935" s="60"/>
      <c r="BW935" s="60"/>
      <c r="BX935" s="60"/>
      <c r="BY935" s="60"/>
      <c r="BZ935" s="60"/>
      <c r="CA935" s="60"/>
      <c r="CB935" s="60"/>
      <c r="CC935" s="60"/>
      <c r="CD935" s="60"/>
      <c r="CE935" s="60"/>
      <c r="CF935" s="60"/>
      <c r="CG935" s="60"/>
      <c r="CH935" s="60"/>
      <c r="CI935" s="60"/>
      <c r="CJ935" s="60"/>
      <c r="CK935" s="60"/>
      <c r="CL935" s="60"/>
      <c r="CM935" s="60"/>
      <c r="CN935" s="60"/>
      <c r="CO935" s="60"/>
      <c r="CP935" s="60"/>
      <c r="CQ935" s="60"/>
      <c r="CR935" s="60"/>
      <c r="CS935" s="60"/>
      <c r="CT935" s="60"/>
      <c r="CU935" s="60"/>
      <c r="CV935" s="60"/>
      <c r="CW935" s="60"/>
      <c r="CX935" s="60"/>
      <c r="CY935" s="60"/>
      <c r="CZ935" s="60"/>
      <c r="DA935" s="60"/>
      <c r="DB935" s="60"/>
      <c r="DC935" s="60"/>
      <c r="DD935" s="60"/>
      <c r="DE935" s="60"/>
      <c r="DF935" s="60"/>
      <c r="DG935" s="60"/>
      <c r="DH935" s="60"/>
      <c r="DI935" s="60"/>
      <c r="DJ935" s="60"/>
      <c r="DK935" s="60"/>
      <c r="DL935" s="60"/>
      <c r="DM935" s="60"/>
      <c r="DN935" s="60"/>
      <c r="DO935" s="60"/>
      <c r="DP935" s="60"/>
      <c r="DQ935" s="60"/>
      <c r="DR935" s="60"/>
      <c r="DS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60"/>
      <c r="BH936" s="60"/>
      <c r="BI936" s="60"/>
      <c r="BJ936" s="60"/>
      <c r="BK936" s="60"/>
      <c r="BL936" s="60"/>
      <c r="BM936" s="60"/>
      <c r="BN936" s="60"/>
      <c r="BO936" s="60"/>
      <c r="BP936" s="60"/>
      <c r="BQ936" s="60"/>
      <c r="BR936" s="60"/>
      <c r="BS936" s="60"/>
      <c r="BT936" s="60"/>
      <c r="BU936" s="60"/>
      <c r="BV936" s="60"/>
      <c r="BW936" s="60"/>
      <c r="BX936" s="60"/>
      <c r="BY936" s="60"/>
      <c r="BZ936" s="60"/>
      <c r="CA936" s="60"/>
      <c r="CB936" s="60"/>
      <c r="CC936" s="60"/>
      <c r="CD936" s="60"/>
      <c r="CE936" s="60"/>
      <c r="CF936" s="60"/>
      <c r="CG936" s="60"/>
      <c r="CH936" s="60"/>
      <c r="CI936" s="60"/>
      <c r="CJ936" s="60"/>
      <c r="CK936" s="60"/>
      <c r="CL936" s="60"/>
      <c r="CM936" s="60"/>
      <c r="CN936" s="60"/>
      <c r="CO936" s="60"/>
      <c r="CP936" s="60"/>
      <c r="CQ936" s="60"/>
      <c r="CR936" s="60"/>
      <c r="CS936" s="60"/>
      <c r="CT936" s="60"/>
      <c r="CU936" s="60"/>
      <c r="CV936" s="60"/>
      <c r="CW936" s="60"/>
      <c r="CX936" s="60"/>
      <c r="CY936" s="60"/>
      <c r="CZ936" s="60"/>
      <c r="DA936" s="60"/>
      <c r="DB936" s="60"/>
      <c r="DC936" s="60"/>
      <c r="DD936" s="60"/>
      <c r="DE936" s="60"/>
      <c r="DF936" s="60"/>
      <c r="DG936" s="60"/>
      <c r="DH936" s="60"/>
      <c r="DI936" s="60"/>
      <c r="DJ936" s="60"/>
      <c r="DK936" s="60"/>
      <c r="DL936" s="60"/>
      <c r="DM936" s="60"/>
      <c r="DN936" s="60"/>
      <c r="DO936" s="60"/>
      <c r="DP936" s="60"/>
      <c r="DQ936" s="60"/>
      <c r="DR936" s="60"/>
      <c r="DS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60"/>
      <c r="BH937" s="60"/>
      <c r="BI937" s="60"/>
      <c r="BJ937" s="60"/>
      <c r="BK937" s="60"/>
      <c r="BL937" s="60"/>
      <c r="BM937" s="60"/>
      <c r="BN937" s="60"/>
      <c r="BO937" s="60"/>
      <c r="BP937" s="60"/>
      <c r="BQ937" s="60"/>
      <c r="BR937" s="60"/>
      <c r="BS937" s="60"/>
      <c r="BT937" s="60"/>
      <c r="BU937" s="60"/>
      <c r="BV937" s="60"/>
      <c r="BW937" s="60"/>
      <c r="BX937" s="60"/>
      <c r="BY937" s="60"/>
      <c r="BZ937" s="60"/>
      <c r="CA937" s="60"/>
      <c r="CB937" s="60"/>
      <c r="CC937" s="60"/>
      <c r="CD937" s="60"/>
      <c r="CE937" s="60"/>
      <c r="CF937" s="60"/>
      <c r="CG937" s="60"/>
      <c r="CH937" s="60"/>
      <c r="CI937" s="60"/>
      <c r="CJ937" s="60"/>
      <c r="CK937" s="60"/>
      <c r="CL937" s="60"/>
      <c r="CM937" s="60"/>
      <c r="CN937" s="60"/>
      <c r="CO937" s="60"/>
      <c r="CP937" s="60"/>
      <c r="CQ937" s="60"/>
      <c r="CR937" s="60"/>
      <c r="CS937" s="60"/>
      <c r="CT937" s="60"/>
      <c r="CU937" s="60"/>
      <c r="CV937" s="60"/>
      <c r="CW937" s="60"/>
      <c r="CX937" s="60"/>
      <c r="CY937" s="60"/>
      <c r="CZ937" s="60"/>
      <c r="DA937" s="60"/>
      <c r="DB937" s="60"/>
      <c r="DC937" s="60"/>
      <c r="DD937" s="60"/>
      <c r="DE937" s="60"/>
      <c r="DF937" s="60"/>
      <c r="DG937" s="60"/>
      <c r="DH937" s="60"/>
      <c r="DI937" s="60"/>
      <c r="DJ937" s="60"/>
      <c r="DK937" s="60"/>
      <c r="DL937" s="60"/>
      <c r="DM937" s="60"/>
      <c r="DN937" s="60"/>
      <c r="DO937" s="60"/>
      <c r="DP937" s="60"/>
      <c r="DQ937" s="60"/>
      <c r="DR937" s="60"/>
      <c r="DS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60"/>
      <c r="BH938" s="60"/>
      <c r="BI938" s="60"/>
      <c r="BJ938" s="60"/>
      <c r="BK938" s="60"/>
      <c r="BL938" s="60"/>
      <c r="BM938" s="60"/>
      <c r="BN938" s="60"/>
      <c r="BO938" s="60"/>
      <c r="BP938" s="60"/>
      <c r="BQ938" s="60"/>
      <c r="BR938" s="60"/>
      <c r="BS938" s="60"/>
      <c r="BT938" s="60"/>
      <c r="BU938" s="60"/>
      <c r="BV938" s="60"/>
      <c r="BW938" s="60"/>
      <c r="BX938" s="60"/>
      <c r="BY938" s="60"/>
      <c r="BZ938" s="60"/>
      <c r="CA938" s="60"/>
      <c r="CB938" s="60"/>
      <c r="CC938" s="60"/>
      <c r="CD938" s="60"/>
      <c r="CE938" s="60"/>
      <c r="CF938" s="60"/>
      <c r="CG938" s="60"/>
      <c r="CH938" s="60"/>
      <c r="CI938" s="60"/>
      <c r="CJ938" s="60"/>
      <c r="CK938" s="60"/>
      <c r="CL938" s="60"/>
      <c r="CM938" s="60"/>
      <c r="CN938" s="60"/>
      <c r="CO938" s="60"/>
      <c r="CP938" s="60"/>
      <c r="CQ938" s="60"/>
      <c r="CR938" s="60"/>
      <c r="CS938" s="60"/>
      <c r="CT938" s="60"/>
      <c r="CU938" s="60"/>
      <c r="CV938" s="60"/>
      <c r="CW938" s="60"/>
      <c r="CX938" s="60"/>
      <c r="CY938" s="60"/>
      <c r="CZ938" s="60"/>
      <c r="DA938" s="60"/>
      <c r="DB938" s="60"/>
      <c r="DC938" s="60"/>
      <c r="DD938" s="60"/>
      <c r="DE938" s="60"/>
      <c r="DF938" s="60"/>
      <c r="DG938" s="60"/>
      <c r="DH938" s="60"/>
      <c r="DI938" s="60"/>
      <c r="DJ938" s="60"/>
      <c r="DK938" s="60"/>
      <c r="DL938" s="60"/>
      <c r="DM938" s="60"/>
      <c r="DN938" s="60"/>
      <c r="DO938" s="60"/>
      <c r="DP938" s="60"/>
      <c r="DQ938" s="60"/>
      <c r="DR938" s="60"/>
      <c r="DS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60"/>
      <c r="BH939" s="60"/>
      <c r="BI939" s="60"/>
      <c r="BJ939" s="60"/>
      <c r="BK939" s="60"/>
      <c r="BL939" s="60"/>
      <c r="BM939" s="60"/>
      <c r="BN939" s="60"/>
      <c r="BO939" s="60"/>
      <c r="BP939" s="60"/>
      <c r="BQ939" s="60"/>
      <c r="BR939" s="60"/>
      <c r="BS939" s="60"/>
      <c r="BT939" s="60"/>
      <c r="BU939" s="60"/>
      <c r="BV939" s="60"/>
      <c r="BW939" s="60"/>
      <c r="BX939" s="60"/>
      <c r="BY939" s="60"/>
      <c r="BZ939" s="60"/>
      <c r="CA939" s="60"/>
      <c r="CB939" s="60"/>
      <c r="CC939" s="60"/>
      <c r="CD939" s="60"/>
      <c r="CE939" s="60"/>
      <c r="CF939" s="60"/>
      <c r="CG939" s="60"/>
      <c r="CH939" s="60"/>
      <c r="CI939" s="60"/>
      <c r="CJ939" s="60"/>
      <c r="CK939" s="60"/>
      <c r="CL939" s="60"/>
      <c r="CM939" s="60"/>
      <c r="CN939" s="60"/>
      <c r="CO939" s="60"/>
      <c r="CP939" s="60"/>
      <c r="CQ939" s="60"/>
      <c r="CR939" s="60"/>
      <c r="CS939" s="60"/>
      <c r="CT939" s="60"/>
      <c r="CU939" s="60"/>
      <c r="CV939" s="60"/>
      <c r="CW939" s="60"/>
      <c r="CX939" s="60"/>
      <c r="CY939" s="60"/>
      <c r="CZ939" s="60"/>
      <c r="DA939" s="60"/>
      <c r="DB939" s="60"/>
      <c r="DC939" s="60"/>
      <c r="DD939" s="60"/>
      <c r="DE939" s="60"/>
      <c r="DF939" s="60"/>
      <c r="DG939" s="60"/>
      <c r="DH939" s="60"/>
      <c r="DI939" s="60"/>
      <c r="DJ939" s="60"/>
      <c r="DK939" s="60"/>
      <c r="DL939" s="60"/>
      <c r="DM939" s="60"/>
      <c r="DN939" s="60"/>
      <c r="DO939" s="60"/>
      <c r="DP939" s="60"/>
      <c r="DQ939" s="60"/>
      <c r="DR939" s="60"/>
      <c r="DS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60"/>
      <c r="BH940" s="60"/>
      <c r="BI940" s="60"/>
      <c r="BJ940" s="60"/>
      <c r="BK940" s="60"/>
      <c r="BL940" s="60"/>
      <c r="BM940" s="60"/>
      <c r="BN940" s="60"/>
      <c r="BO940" s="60"/>
      <c r="BP940" s="60"/>
      <c r="BQ940" s="60"/>
      <c r="BR940" s="60"/>
      <c r="BS940" s="60"/>
      <c r="BT940" s="60"/>
      <c r="BU940" s="60"/>
      <c r="BV940" s="60"/>
      <c r="BW940" s="60"/>
      <c r="BX940" s="60"/>
      <c r="BY940" s="60"/>
      <c r="BZ940" s="60"/>
      <c r="CA940" s="60"/>
      <c r="CB940" s="60"/>
      <c r="CC940" s="60"/>
      <c r="CD940" s="60"/>
      <c r="CE940" s="60"/>
      <c r="CF940" s="60"/>
      <c r="CG940" s="60"/>
      <c r="CH940" s="60"/>
      <c r="CI940" s="60"/>
      <c r="CJ940" s="60"/>
      <c r="CK940" s="60"/>
      <c r="CL940" s="60"/>
      <c r="CM940" s="60"/>
      <c r="CN940" s="60"/>
      <c r="CO940" s="60"/>
      <c r="CP940" s="60"/>
      <c r="CQ940" s="60"/>
      <c r="CR940" s="60"/>
      <c r="CS940" s="60"/>
      <c r="CT940" s="60"/>
      <c r="CU940" s="60"/>
      <c r="CV940" s="60"/>
      <c r="CW940" s="60"/>
      <c r="CX940" s="60"/>
      <c r="CY940" s="60"/>
      <c r="CZ940" s="60"/>
      <c r="DA940" s="60"/>
      <c r="DB940" s="60"/>
      <c r="DC940" s="60"/>
      <c r="DD940" s="60"/>
      <c r="DE940" s="60"/>
      <c r="DF940" s="60"/>
      <c r="DG940" s="60"/>
      <c r="DH940" s="60"/>
      <c r="DI940" s="60"/>
      <c r="DJ940" s="60"/>
      <c r="DK940" s="60"/>
      <c r="DL940" s="60"/>
      <c r="DM940" s="60"/>
      <c r="DN940" s="60"/>
      <c r="DO940" s="60"/>
      <c r="DP940" s="60"/>
      <c r="DQ940" s="60"/>
      <c r="DR940" s="60"/>
      <c r="DS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  <c r="BG941" s="60"/>
      <c r="BH941" s="60"/>
      <c r="BI941" s="60"/>
      <c r="BJ941" s="60"/>
      <c r="BK941" s="60"/>
      <c r="BL941" s="60"/>
      <c r="BM941" s="60"/>
      <c r="BN941" s="60"/>
      <c r="BO941" s="60"/>
      <c r="BP941" s="60"/>
      <c r="BQ941" s="60"/>
      <c r="BR941" s="60"/>
      <c r="BS941" s="60"/>
      <c r="BT941" s="60"/>
      <c r="BU941" s="60"/>
      <c r="BV941" s="60"/>
      <c r="BW941" s="60"/>
      <c r="BX941" s="60"/>
      <c r="BY941" s="60"/>
      <c r="BZ941" s="60"/>
      <c r="CA941" s="60"/>
      <c r="CB941" s="60"/>
      <c r="CC941" s="60"/>
      <c r="CD941" s="60"/>
      <c r="CE941" s="60"/>
      <c r="CF941" s="60"/>
      <c r="CG941" s="60"/>
      <c r="CH941" s="60"/>
      <c r="CI941" s="60"/>
      <c r="CJ941" s="60"/>
      <c r="CK941" s="60"/>
      <c r="CL941" s="60"/>
      <c r="CM941" s="60"/>
      <c r="CN941" s="60"/>
      <c r="CO941" s="60"/>
      <c r="CP941" s="60"/>
      <c r="CQ941" s="60"/>
      <c r="CR941" s="60"/>
      <c r="CS941" s="60"/>
      <c r="CT941" s="60"/>
      <c r="CU941" s="60"/>
      <c r="CV941" s="60"/>
      <c r="CW941" s="60"/>
      <c r="CX941" s="60"/>
      <c r="CY941" s="60"/>
      <c r="CZ941" s="60"/>
      <c r="DA941" s="60"/>
      <c r="DB941" s="60"/>
      <c r="DC941" s="60"/>
      <c r="DD941" s="60"/>
      <c r="DE941" s="60"/>
      <c r="DF941" s="60"/>
      <c r="DG941" s="60"/>
      <c r="DH941" s="60"/>
      <c r="DI941" s="60"/>
      <c r="DJ941" s="60"/>
      <c r="DK941" s="60"/>
      <c r="DL941" s="60"/>
      <c r="DM941" s="60"/>
      <c r="DN941" s="60"/>
      <c r="DO941" s="60"/>
      <c r="DP941" s="60"/>
      <c r="DQ941" s="60"/>
      <c r="DR941" s="60"/>
      <c r="DS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  <c r="BG942" s="60"/>
      <c r="BH942" s="60"/>
      <c r="BI942" s="60"/>
      <c r="BJ942" s="60"/>
      <c r="BK942" s="60"/>
      <c r="BL942" s="60"/>
      <c r="BM942" s="60"/>
      <c r="BN942" s="60"/>
      <c r="BO942" s="60"/>
      <c r="BP942" s="60"/>
      <c r="BQ942" s="60"/>
      <c r="BR942" s="60"/>
      <c r="BS942" s="60"/>
      <c r="BT942" s="60"/>
      <c r="BU942" s="60"/>
      <c r="BV942" s="60"/>
      <c r="BW942" s="60"/>
      <c r="BX942" s="60"/>
      <c r="BY942" s="60"/>
      <c r="BZ942" s="60"/>
      <c r="CA942" s="60"/>
      <c r="CB942" s="60"/>
      <c r="CC942" s="60"/>
      <c r="CD942" s="60"/>
      <c r="CE942" s="60"/>
      <c r="CF942" s="60"/>
      <c r="CG942" s="60"/>
      <c r="CH942" s="60"/>
      <c r="CI942" s="60"/>
      <c r="CJ942" s="60"/>
      <c r="CK942" s="60"/>
      <c r="CL942" s="60"/>
      <c r="CM942" s="60"/>
      <c r="CN942" s="60"/>
      <c r="CO942" s="60"/>
      <c r="CP942" s="60"/>
      <c r="CQ942" s="60"/>
      <c r="CR942" s="60"/>
      <c r="CS942" s="60"/>
      <c r="CT942" s="60"/>
      <c r="CU942" s="60"/>
      <c r="CV942" s="60"/>
      <c r="CW942" s="60"/>
      <c r="CX942" s="60"/>
      <c r="CY942" s="60"/>
      <c r="CZ942" s="60"/>
      <c r="DA942" s="60"/>
      <c r="DB942" s="60"/>
      <c r="DC942" s="60"/>
      <c r="DD942" s="60"/>
      <c r="DE942" s="60"/>
      <c r="DF942" s="60"/>
      <c r="DG942" s="60"/>
      <c r="DH942" s="60"/>
      <c r="DI942" s="60"/>
      <c r="DJ942" s="60"/>
      <c r="DK942" s="60"/>
      <c r="DL942" s="60"/>
      <c r="DM942" s="60"/>
      <c r="DN942" s="60"/>
      <c r="DO942" s="60"/>
      <c r="DP942" s="60"/>
      <c r="DQ942" s="60"/>
      <c r="DR942" s="60"/>
      <c r="DS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  <c r="BG943" s="60"/>
      <c r="BH943" s="60"/>
      <c r="BI943" s="60"/>
      <c r="BJ943" s="60"/>
      <c r="BK943" s="60"/>
      <c r="BL943" s="60"/>
      <c r="BM943" s="60"/>
      <c r="BN943" s="60"/>
      <c r="BO943" s="60"/>
      <c r="BP943" s="60"/>
      <c r="BQ943" s="60"/>
      <c r="BR943" s="60"/>
      <c r="BS943" s="60"/>
      <c r="BT943" s="60"/>
      <c r="BU943" s="60"/>
      <c r="BV943" s="60"/>
      <c r="BW943" s="60"/>
      <c r="BX943" s="60"/>
      <c r="BY943" s="60"/>
      <c r="BZ943" s="60"/>
      <c r="CA943" s="60"/>
      <c r="CB943" s="60"/>
      <c r="CC943" s="60"/>
      <c r="CD943" s="60"/>
      <c r="CE943" s="60"/>
      <c r="CF943" s="60"/>
      <c r="CG943" s="60"/>
      <c r="CH943" s="60"/>
      <c r="CI943" s="60"/>
      <c r="CJ943" s="60"/>
      <c r="CK943" s="60"/>
      <c r="CL943" s="60"/>
      <c r="CM943" s="60"/>
      <c r="CN943" s="60"/>
      <c r="CO943" s="60"/>
      <c r="CP943" s="60"/>
      <c r="CQ943" s="60"/>
      <c r="CR943" s="60"/>
      <c r="CS943" s="60"/>
      <c r="CT943" s="60"/>
      <c r="CU943" s="60"/>
      <c r="CV943" s="60"/>
      <c r="CW943" s="60"/>
      <c r="CX943" s="60"/>
      <c r="CY943" s="60"/>
      <c r="CZ943" s="60"/>
      <c r="DA943" s="60"/>
      <c r="DB943" s="60"/>
      <c r="DC943" s="60"/>
      <c r="DD943" s="60"/>
      <c r="DE943" s="60"/>
      <c r="DF943" s="60"/>
      <c r="DG943" s="60"/>
      <c r="DH943" s="60"/>
      <c r="DI943" s="60"/>
      <c r="DJ943" s="60"/>
      <c r="DK943" s="60"/>
      <c r="DL943" s="60"/>
      <c r="DM943" s="60"/>
      <c r="DN943" s="60"/>
      <c r="DO943" s="60"/>
      <c r="DP943" s="60"/>
      <c r="DQ943" s="60"/>
      <c r="DR943" s="60"/>
      <c r="DS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  <c r="BG944" s="60"/>
      <c r="BH944" s="60"/>
      <c r="BI944" s="60"/>
      <c r="BJ944" s="60"/>
      <c r="BK944" s="60"/>
      <c r="BL944" s="60"/>
      <c r="BM944" s="60"/>
      <c r="BN944" s="60"/>
      <c r="BO944" s="60"/>
      <c r="BP944" s="60"/>
      <c r="BQ944" s="60"/>
      <c r="BR944" s="60"/>
      <c r="BS944" s="60"/>
      <c r="BT944" s="60"/>
      <c r="BU944" s="60"/>
      <c r="BV944" s="60"/>
      <c r="BW944" s="60"/>
      <c r="BX944" s="60"/>
      <c r="BY944" s="60"/>
      <c r="BZ944" s="60"/>
      <c r="CA944" s="60"/>
      <c r="CB944" s="60"/>
      <c r="CC944" s="60"/>
      <c r="CD944" s="60"/>
      <c r="CE944" s="60"/>
      <c r="CF944" s="60"/>
      <c r="CG944" s="60"/>
      <c r="CH944" s="60"/>
      <c r="CI944" s="60"/>
      <c r="CJ944" s="60"/>
      <c r="CK944" s="60"/>
      <c r="CL944" s="60"/>
      <c r="CM944" s="60"/>
      <c r="CN944" s="60"/>
      <c r="CO944" s="60"/>
      <c r="CP944" s="60"/>
      <c r="CQ944" s="60"/>
      <c r="CR944" s="60"/>
      <c r="CS944" s="60"/>
      <c r="CT944" s="60"/>
      <c r="CU944" s="60"/>
      <c r="CV944" s="60"/>
      <c r="CW944" s="60"/>
      <c r="CX944" s="60"/>
      <c r="CY944" s="60"/>
      <c r="CZ944" s="60"/>
      <c r="DA944" s="60"/>
      <c r="DB944" s="60"/>
      <c r="DC944" s="60"/>
      <c r="DD944" s="60"/>
      <c r="DE944" s="60"/>
      <c r="DF944" s="60"/>
      <c r="DG944" s="60"/>
      <c r="DH944" s="60"/>
      <c r="DI944" s="60"/>
      <c r="DJ944" s="60"/>
      <c r="DK944" s="60"/>
      <c r="DL944" s="60"/>
      <c r="DM944" s="60"/>
      <c r="DN944" s="60"/>
      <c r="DO944" s="60"/>
      <c r="DP944" s="60"/>
      <c r="DQ944" s="60"/>
      <c r="DR944" s="60"/>
      <c r="DS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60"/>
      <c r="BH945" s="60"/>
      <c r="BI945" s="60"/>
      <c r="BJ945" s="60"/>
      <c r="BK945" s="60"/>
      <c r="BL945" s="60"/>
      <c r="BM945" s="60"/>
      <c r="BN945" s="60"/>
      <c r="BO945" s="60"/>
      <c r="BP945" s="60"/>
      <c r="BQ945" s="60"/>
      <c r="BR945" s="60"/>
      <c r="BS945" s="60"/>
      <c r="BT945" s="60"/>
      <c r="BU945" s="60"/>
      <c r="BV945" s="60"/>
      <c r="BW945" s="60"/>
      <c r="BX945" s="60"/>
      <c r="BY945" s="60"/>
      <c r="BZ945" s="60"/>
      <c r="CA945" s="60"/>
      <c r="CB945" s="60"/>
      <c r="CC945" s="60"/>
      <c r="CD945" s="60"/>
      <c r="CE945" s="60"/>
      <c r="CF945" s="60"/>
      <c r="CG945" s="60"/>
      <c r="CH945" s="60"/>
      <c r="CI945" s="60"/>
      <c r="CJ945" s="60"/>
      <c r="CK945" s="60"/>
      <c r="CL945" s="60"/>
      <c r="CM945" s="60"/>
      <c r="CN945" s="60"/>
      <c r="CO945" s="60"/>
      <c r="CP945" s="60"/>
      <c r="CQ945" s="60"/>
      <c r="CR945" s="60"/>
      <c r="CS945" s="60"/>
      <c r="CT945" s="60"/>
      <c r="CU945" s="60"/>
      <c r="CV945" s="60"/>
      <c r="CW945" s="60"/>
      <c r="CX945" s="60"/>
      <c r="CY945" s="60"/>
      <c r="CZ945" s="60"/>
      <c r="DA945" s="60"/>
      <c r="DB945" s="60"/>
      <c r="DC945" s="60"/>
      <c r="DD945" s="60"/>
      <c r="DE945" s="60"/>
      <c r="DF945" s="60"/>
      <c r="DG945" s="60"/>
      <c r="DH945" s="60"/>
      <c r="DI945" s="60"/>
      <c r="DJ945" s="60"/>
      <c r="DK945" s="60"/>
      <c r="DL945" s="60"/>
      <c r="DM945" s="60"/>
      <c r="DN945" s="60"/>
      <c r="DO945" s="60"/>
      <c r="DP945" s="60"/>
      <c r="DQ945" s="60"/>
      <c r="DR945" s="60"/>
      <c r="DS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60"/>
      <c r="BH946" s="60"/>
      <c r="BI946" s="60"/>
      <c r="BJ946" s="60"/>
      <c r="BK946" s="60"/>
      <c r="BL946" s="60"/>
      <c r="BM946" s="60"/>
      <c r="BN946" s="60"/>
      <c r="BO946" s="60"/>
      <c r="BP946" s="60"/>
      <c r="BQ946" s="60"/>
      <c r="BR946" s="60"/>
      <c r="BS946" s="60"/>
      <c r="BT946" s="60"/>
      <c r="BU946" s="60"/>
      <c r="BV946" s="60"/>
      <c r="BW946" s="60"/>
      <c r="BX946" s="60"/>
      <c r="BY946" s="60"/>
      <c r="BZ946" s="60"/>
      <c r="CA946" s="60"/>
      <c r="CB946" s="60"/>
      <c r="CC946" s="60"/>
      <c r="CD946" s="60"/>
      <c r="CE946" s="60"/>
      <c r="CF946" s="60"/>
      <c r="CG946" s="60"/>
      <c r="CH946" s="60"/>
      <c r="CI946" s="60"/>
      <c r="CJ946" s="60"/>
      <c r="CK946" s="60"/>
      <c r="CL946" s="60"/>
      <c r="CM946" s="60"/>
      <c r="CN946" s="60"/>
      <c r="CO946" s="60"/>
      <c r="CP946" s="60"/>
      <c r="CQ946" s="60"/>
      <c r="CR946" s="60"/>
      <c r="CS946" s="60"/>
      <c r="CT946" s="60"/>
      <c r="CU946" s="60"/>
      <c r="CV946" s="60"/>
      <c r="CW946" s="60"/>
      <c r="CX946" s="60"/>
      <c r="CY946" s="60"/>
      <c r="CZ946" s="60"/>
      <c r="DA946" s="60"/>
      <c r="DB946" s="60"/>
      <c r="DC946" s="60"/>
      <c r="DD946" s="60"/>
      <c r="DE946" s="60"/>
      <c r="DF946" s="60"/>
      <c r="DG946" s="60"/>
      <c r="DH946" s="60"/>
      <c r="DI946" s="60"/>
      <c r="DJ946" s="60"/>
      <c r="DK946" s="60"/>
      <c r="DL946" s="60"/>
      <c r="DM946" s="60"/>
      <c r="DN946" s="60"/>
      <c r="DO946" s="60"/>
      <c r="DP946" s="60"/>
      <c r="DQ946" s="60"/>
      <c r="DR946" s="60"/>
      <c r="DS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  <c r="BG947" s="60"/>
      <c r="BH947" s="60"/>
      <c r="BI947" s="60"/>
      <c r="BJ947" s="60"/>
      <c r="BK947" s="60"/>
      <c r="BL947" s="60"/>
      <c r="BM947" s="60"/>
      <c r="BN947" s="60"/>
      <c r="BO947" s="60"/>
      <c r="BP947" s="60"/>
      <c r="BQ947" s="60"/>
      <c r="BR947" s="60"/>
      <c r="BS947" s="60"/>
      <c r="BT947" s="60"/>
      <c r="BU947" s="60"/>
      <c r="BV947" s="60"/>
      <c r="BW947" s="60"/>
      <c r="BX947" s="60"/>
      <c r="BY947" s="60"/>
      <c r="BZ947" s="60"/>
      <c r="CA947" s="60"/>
      <c r="CB947" s="60"/>
      <c r="CC947" s="60"/>
      <c r="CD947" s="60"/>
      <c r="CE947" s="60"/>
      <c r="CF947" s="60"/>
      <c r="CG947" s="60"/>
      <c r="CH947" s="60"/>
      <c r="CI947" s="60"/>
      <c r="CJ947" s="60"/>
      <c r="CK947" s="60"/>
      <c r="CL947" s="60"/>
      <c r="CM947" s="60"/>
      <c r="CN947" s="60"/>
      <c r="CO947" s="60"/>
      <c r="CP947" s="60"/>
      <c r="CQ947" s="60"/>
      <c r="CR947" s="60"/>
      <c r="CS947" s="60"/>
      <c r="CT947" s="60"/>
      <c r="CU947" s="60"/>
      <c r="CV947" s="60"/>
      <c r="CW947" s="60"/>
      <c r="CX947" s="60"/>
      <c r="CY947" s="60"/>
      <c r="CZ947" s="60"/>
      <c r="DA947" s="60"/>
      <c r="DB947" s="60"/>
      <c r="DC947" s="60"/>
      <c r="DD947" s="60"/>
      <c r="DE947" s="60"/>
      <c r="DF947" s="60"/>
      <c r="DG947" s="60"/>
      <c r="DH947" s="60"/>
      <c r="DI947" s="60"/>
      <c r="DJ947" s="60"/>
      <c r="DK947" s="60"/>
      <c r="DL947" s="60"/>
      <c r="DM947" s="60"/>
      <c r="DN947" s="60"/>
      <c r="DO947" s="60"/>
      <c r="DP947" s="60"/>
      <c r="DQ947" s="60"/>
      <c r="DR947" s="60"/>
      <c r="DS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60"/>
      <c r="BH948" s="60"/>
      <c r="BI948" s="60"/>
      <c r="BJ948" s="60"/>
      <c r="BK948" s="60"/>
      <c r="BL948" s="60"/>
      <c r="BM948" s="60"/>
      <c r="BN948" s="60"/>
      <c r="BO948" s="60"/>
      <c r="BP948" s="60"/>
      <c r="BQ948" s="60"/>
      <c r="BR948" s="60"/>
      <c r="BS948" s="60"/>
      <c r="BT948" s="60"/>
      <c r="BU948" s="60"/>
      <c r="BV948" s="60"/>
      <c r="BW948" s="60"/>
      <c r="BX948" s="60"/>
      <c r="BY948" s="60"/>
      <c r="BZ948" s="60"/>
      <c r="CA948" s="60"/>
      <c r="CB948" s="60"/>
      <c r="CC948" s="60"/>
      <c r="CD948" s="60"/>
      <c r="CE948" s="60"/>
      <c r="CF948" s="60"/>
      <c r="CG948" s="60"/>
      <c r="CH948" s="60"/>
      <c r="CI948" s="60"/>
      <c r="CJ948" s="60"/>
      <c r="CK948" s="60"/>
      <c r="CL948" s="60"/>
      <c r="CM948" s="60"/>
      <c r="CN948" s="60"/>
      <c r="CO948" s="60"/>
      <c r="CP948" s="60"/>
      <c r="CQ948" s="60"/>
      <c r="CR948" s="60"/>
      <c r="CS948" s="60"/>
      <c r="CT948" s="60"/>
      <c r="CU948" s="60"/>
      <c r="CV948" s="60"/>
      <c r="CW948" s="60"/>
      <c r="CX948" s="60"/>
      <c r="CY948" s="60"/>
      <c r="CZ948" s="60"/>
      <c r="DA948" s="60"/>
      <c r="DB948" s="60"/>
      <c r="DC948" s="60"/>
      <c r="DD948" s="60"/>
      <c r="DE948" s="60"/>
      <c r="DF948" s="60"/>
      <c r="DG948" s="60"/>
      <c r="DH948" s="60"/>
      <c r="DI948" s="60"/>
      <c r="DJ948" s="60"/>
      <c r="DK948" s="60"/>
      <c r="DL948" s="60"/>
      <c r="DM948" s="60"/>
      <c r="DN948" s="60"/>
      <c r="DO948" s="60"/>
      <c r="DP948" s="60"/>
      <c r="DQ948" s="60"/>
      <c r="DR948" s="60"/>
      <c r="DS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60"/>
      <c r="BH949" s="60"/>
      <c r="BI949" s="60"/>
      <c r="BJ949" s="60"/>
      <c r="BK949" s="60"/>
      <c r="BL949" s="60"/>
      <c r="BM949" s="60"/>
      <c r="BN949" s="60"/>
      <c r="BO949" s="60"/>
      <c r="BP949" s="60"/>
      <c r="BQ949" s="60"/>
      <c r="BR949" s="60"/>
      <c r="BS949" s="60"/>
      <c r="BT949" s="60"/>
      <c r="BU949" s="60"/>
      <c r="BV949" s="60"/>
      <c r="BW949" s="60"/>
      <c r="BX949" s="60"/>
      <c r="BY949" s="60"/>
      <c r="BZ949" s="60"/>
      <c r="CA949" s="60"/>
      <c r="CB949" s="60"/>
      <c r="CC949" s="60"/>
      <c r="CD949" s="60"/>
      <c r="CE949" s="60"/>
      <c r="CF949" s="60"/>
      <c r="CG949" s="60"/>
      <c r="CH949" s="60"/>
      <c r="CI949" s="60"/>
      <c r="CJ949" s="60"/>
      <c r="CK949" s="60"/>
      <c r="CL949" s="60"/>
      <c r="CM949" s="60"/>
      <c r="CN949" s="60"/>
      <c r="CO949" s="60"/>
      <c r="CP949" s="60"/>
      <c r="CQ949" s="60"/>
      <c r="CR949" s="60"/>
      <c r="CS949" s="60"/>
      <c r="CT949" s="60"/>
      <c r="CU949" s="60"/>
      <c r="CV949" s="60"/>
      <c r="CW949" s="60"/>
      <c r="CX949" s="60"/>
      <c r="CY949" s="60"/>
      <c r="CZ949" s="60"/>
      <c r="DA949" s="60"/>
      <c r="DB949" s="60"/>
      <c r="DC949" s="60"/>
      <c r="DD949" s="60"/>
      <c r="DE949" s="60"/>
      <c r="DF949" s="60"/>
      <c r="DG949" s="60"/>
      <c r="DH949" s="60"/>
      <c r="DI949" s="60"/>
      <c r="DJ949" s="60"/>
      <c r="DK949" s="60"/>
      <c r="DL949" s="60"/>
      <c r="DM949" s="60"/>
      <c r="DN949" s="60"/>
      <c r="DO949" s="60"/>
      <c r="DP949" s="60"/>
      <c r="DQ949" s="60"/>
      <c r="DR949" s="60"/>
      <c r="DS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  <c r="BG950" s="60"/>
      <c r="BH950" s="60"/>
      <c r="BI950" s="60"/>
      <c r="BJ950" s="60"/>
      <c r="BK950" s="60"/>
      <c r="BL950" s="60"/>
      <c r="BM950" s="60"/>
      <c r="BN950" s="60"/>
      <c r="BO950" s="60"/>
      <c r="BP950" s="60"/>
      <c r="BQ950" s="60"/>
      <c r="BR950" s="60"/>
      <c r="BS950" s="60"/>
      <c r="BT950" s="60"/>
      <c r="BU950" s="60"/>
      <c r="BV950" s="60"/>
      <c r="BW950" s="60"/>
      <c r="BX950" s="60"/>
      <c r="BY950" s="60"/>
      <c r="BZ950" s="60"/>
      <c r="CA950" s="60"/>
      <c r="CB950" s="60"/>
      <c r="CC950" s="60"/>
      <c r="CD950" s="60"/>
      <c r="CE950" s="60"/>
      <c r="CF950" s="60"/>
      <c r="CG950" s="60"/>
      <c r="CH950" s="60"/>
      <c r="CI950" s="60"/>
      <c r="CJ950" s="60"/>
      <c r="CK950" s="60"/>
      <c r="CL950" s="60"/>
      <c r="CM950" s="60"/>
      <c r="CN950" s="60"/>
      <c r="CO950" s="60"/>
      <c r="CP950" s="60"/>
      <c r="CQ950" s="60"/>
      <c r="CR950" s="60"/>
      <c r="CS950" s="60"/>
      <c r="CT950" s="60"/>
      <c r="CU950" s="60"/>
      <c r="CV950" s="60"/>
      <c r="CW950" s="60"/>
      <c r="CX950" s="60"/>
      <c r="CY950" s="60"/>
      <c r="CZ950" s="60"/>
      <c r="DA950" s="60"/>
      <c r="DB950" s="60"/>
      <c r="DC950" s="60"/>
      <c r="DD950" s="60"/>
      <c r="DE950" s="60"/>
      <c r="DF950" s="60"/>
      <c r="DG950" s="60"/>
      <c r="DH950" s="60"/>
      <c r="DI950" s="60"/>
      <c r="DJ950" s="60"/>
      <c r="DK950" s="60"/>
      <c r="DL950" s="60"/>
      <c r="DM950" s="60"/>
      <c r="DN950" s="60"/>
      <c r="DO950" s="60"/>
      <c r="DP950" s="60"/>
      <c r="DQ950" s="60"/>
      <c r="DR950" s="60"/>
      <c r="DS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60"/>
      <c r="BH951" s="60"/>
      <c r="BI951" s="60"/>
      <c r="BJ951" s="60"/>
      <c r="BK951" s="60"/>
      <c r="BL951" s="60"/>
      <c r="BM951" s="60"/>
      <c r="BN951" s="60"/>
      <c r="BO951" s="60"/>
      <c r="BP951" s="60"/>
      <c r="BQ951" s="60"/>
      <c r="BR951" s="60"/>
      <c r="BS951" s="60"/>
      <c r="BT951" s="60"/>
      <c r="BU951" s="60"/>
      <c r="BV951" s="60"/>
      <c r="BW951" s="60"/>
      <c r="BX951" s="60"/>
      <c r="BY951" s="60"/>
      <c r="BZ951" s="60"/>
      <c r="CA951" s="60"/>
      <c r="CB951" s="60"/>
      <c r="CC951" s="60"/>
      <c r="CD951" s="60"/>
      <c r="CE951" s="60"/>
      <c r="CF951" s="60"/>
      <c r="CG951" s="60"/>
      <c r="CH951" s="60"/>
      <c r="CI951" s="60"/>
      <c r="CJ951" s="60"/>
      <c r="CK951" s="60"/>
      <c r="CL951" s="60"/>
      <c r="CM951" s="60"/>
      <c r="CN951" s="60"/>
      <c r="CO951" s="60"/>
      <c r="CP951" s="60"/>
      <c r="CQ951" s="60"/>
      <c r="CR951" s="60"/>
      <c r="CS951" s="60"/>
      <c r="CT951" s="60"/>
      <c r="CU951" s="60"/>
      <c r="CV951" s="60"/>
      <c r="CW951" s="60"/>
      <c r="CX951" s="60"/>
      <c r="CY951" s="60"/>
      <c r="CZ951" s="60"/>
      <c r="DA951" s="60"/>
      <c r="DB951" s="60"/>
      <c r="DC951" s="60"/>
      <c r="DD951" s="60"/>
      <c r="DE951" s="60"/>
      <c r="DF951" s="60"/>
      <c r="DG951" s="60"/>
      <c r="DH951" s="60"/>
      <c r="DI951" s="60"/>
      <c r="DJ951" s="60"/>
      <c r="DK951" s="60"/>
      <c r="DL951" s="60"/>
      <c r="DM951" s="60"/>
      <c r="DN951" s="60"/>
      <c r="DO951" s="60"/>
      <c r="DP951" s="60"/>
      <c r="DQ951" s="60"/>
      <c r="DR951" s="60"/>
      <c r="DS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  <c r="BG952" s="60"/>
      <c r="BH952" s="60"/>
      <c r="BI952" s="60"/>
      <c r="BJ952" s="60"/>
      <c r="BK952" s="60"/>
      <c r="BL952" s="60"/>
      <c r="BM952" s="60"/>
      <c r="BN952" s="60"/>
      <c r="BO952" s="60"/>
      <c r="BP952" s="60"/>
      <c r="BQ952" s="60"/>
      <c r="BR952" s="60"/>
      <c r="BS952" s="60"/>
      <c r="BT952" s="60"/>
      <c r="BU952" s="60"/>
      <c r="BV952" s="60"/>
      <c r="BW952" s="60"/>
      <c r="BX952" s="60"/>
      <c r="BY952" s="60"/>
      <c r="BZ952" s="60"/>
      <c r="CA952" s="60"/>
      <c r="CB952" s="60"/>
      <c r="CC952" s="60"/>
      <c r="CD952" s="60"/>
      <c r="CE952" s="60"/>
      <c r="CF952" s="60"/>
      <c r="CG952" s="60"/>
      <c r="CH952" s="60"/>
      <c r="CI952" s="60"/>
      <c r="CJ952" s="60"/>
      <c r="CK952" s="60"/>
      <c r="CL952" s="60"/>
      <c r="CM952" s="60"/>
      <c r="CN952" s="60"/>
      <c r="CO952" s="60"/>
      <c r="CP952" s="60"/>
      <c r="CQ952" s="60"/>
      <c r="CR952" s="60"/>
      <c r="CS952" s="60"/>
      <c r="CT952" s="60"/>
      <c r="CU952" s="60"/>
      <c r="CV952" s="60"/>
      <c r="CW952" s="60"/>
      <c r="CX952" s="60"/>
      <c r="CY952" s="60"/>
      <c r="CZ952" s="60"/>
      <c r="DA952" s="60"/>
      <c r="DB952" s="60"/>
      <c r="DC952" s="60"/>
      <c r="DD952" s="60"/>
      <c r="DE952" s="60"/>
      <c r="DF952" s="60"/>
      <c r="DG952" s="60"/>
      <c r="DH952" s="60"/>
      <c r="DI952" s="60"/>
      <c r="DJ952" s="60"/>
      <c r="DK952" s="60"/>
      <c r="DL952" s="60"/>
      <c r="DM952" s="60"/>
      <c r="DN952" s="60"/>
      <c r="DO952" s="60"/>
      <c r="DP952" s="60"/>
      <c r="DQ952" s="60"/>
      <c r="DR952" s="60"/>
      <c r="DS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60"/>
      <c r="BH953" s="60"/>
      <c r="BI953" s="60"/>
      <c r="BJ953" s="60"/>
      <c r="BK953" s="60"/>
      <c r="BL953" s="60"/>
      <c r="BM953" s="60"/>
      <c r="BN953" s="60"/>
      <c r="BO953" s="60"/>
      <c r="BP953" s="60"/>
      <c r="BQ953" s="60"/>
      <c r="BR953" s="60"/>
      <c r="BS953" s="60"/>
      <c r="BT953" s="60"/>
      <c r="BU953" s="60"/>
      <c r="BV953" s="60"/>
      <c r="BW953" s="60"/>
      <c r="BX953" s="60"/>
      <c r="BY953" s="60"/>
      <c r="BZ953" s="60"/>
      <c r="CA953" s="60"/>
      <c r="CB953" s="60"/>
      <c r="CC953" s="60"/>
      <c r="CD953" s="60"/>
      <c r="CE953" s="60"/>
      <c r="CF953" s="60"/>
      <c r="CG953" s="60"/>
      <c r="CH953" s="60"/>
      <c r="CI953" s="60"/>
      <c r="CJ953" s="60"/>
      <c r="CK953" s="60"/>
      <c r="CL953" s="60"/>
      <c r="CM953" s="60"/>
      <c r="CN953" s="60"/>
      <c r="CO953" s="60"/>
      <c r="CP953" s="60"/>
      <c r="CQ953" s="60"/>
      <c r="CR953" s="60"/>
      <c r="CS953" s="60"/>
      <c r="CT953" s="60"/>
      <c r="CU953" s="60"/>
      <c r="CV953" s="60"/>
      <c r="CW953" s="60"/>
      <c r="CX953" s="60"/>
      <c r="CY953" s="60"/>
      <c r="CZ953" s="60"/>
      <c r="DA953" s="60"/>
      <c r="DB953" s="60"/>
      <c r="DC953" s="60"/>
      <c r="DD953" s="60"/>
      <c r="DE953" s="60"/>
      <c r="DF953" s="60"/>
      <c r="DG953" s="60"/>
      <c r="DH953" s="60"/>
      <c r="DI953" s="60"/>
      <c r="DJ953" s="60"/>
      <c r="DK953" s="60"/>
      <c r="DL953" s="60"/>
      <c r="DM953" s="60"/>
      <c r="DN953" s="60"/>
      <c r="DO953" s="60"/>
      <c r="DP953" s="60"/>
      <c r="DQ953" s="60"/>
      <c r="DR953" s="60"/>
      <c r="DS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  <c r="BG954" s="60"/>
      <c r="BH954" s="60"/>
      <c r="BI954" s="60"/>
      <c r="BJ954" s="60"/>
      <c r="BK954" s="60"/>
      <c r="BL954" s="60"/>
      <c r="BM954" s="60"/>
      <c r="BN954" s="60"/>
      <c r="BO954" s="60"/>
      <c r="BP954" s="60"/>
      <c r="BQ954" s="60"/>
      <c r="BR954" s="60"/>
      <c r="BS954" s="60"/>
      <c r="BT954" s="60"/>
      <c r="BU954" s="60"/>
      <c r="BV954" s="60"/>
      <c r="BW954" s="60"/>
      <c r="BX954" s="60"/>
      <c r="BY954" s="60"/>
      <c r="BZ954" s="60"/>
      <c r="CA954" s="60"/>
      <c r="CB954" s="60"/>
      <c r="CC954" s="60"/>
      <c r="CD954" s="60"/>
      <c r="CE954" s="60"/>
      <c r="CF954" s="60"/>
      <c r="CG954" s="60"/>
      <c r="CH954" s="60"/>
      <c r="CI954" s="60"/>
      <c r="CJ954" s="60"/>
      <c r="CK954" s="60"/>
      <c r="CL954" s="60"/>
      <c r="CM954" s="60"/>
      <c r="CN954" s="60"/>
      <c r="CO954" s="60"/>
      <c r="CP954" s="60"/>
      <c r="CQ954" s="60"/>
      <c r="CR954" s="60"/>
      <c r="CS954" s="60"/>
      <c r="CT954" s="60"/>
      <c r="CU954" s="60"/>
      <c r="CV954" s="60"/>
      <c r="CW954" s="60"/>
      <c r="CX954" s="60"/>
      <c r="CY954" s="60"/>
      <c r="CZ954" s="60"/>
      <c r="DA954" s="60"/>
      <c r="DB954" s="60"/>
      <c r="DC954" s="60"/>
      <c r="DD954" s="60"/>
      <c r="DE954" s="60"/>
      <c r="DF954" s="60"/>
      <c r="DG954" s="60"/>
      <c r="DH954" s="60"/>
      <c r="DI954" s="60"/>
      <c r="DJ954" s="60"/>
      <c r="DK954" s="60"/>
      <c r="DL954" s="60"/>
      <c r="DM954" s="60"/>
      <c r="DN954" s="60"/>
      <c r="DO954" s="60"/>
      <c r="DP954" s="60"/>
      <c r="DQ954" s="60"/>
      <c r="DR954" s="60"/>
      <c r="DS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  <c r="BG955" s="60"/>
      <c r="BH955" s="60"/>
      <c r="BI955" s="60"/>
      <c r="BJ955" s="60"/>
      <c r="BK955" s="60"/>
      <c r="BL955" s="60"/>
      <c r="BM955" s="60"/>
      <c r="BN955" s="60"/>
      <c r="BO955" s="60"/>
      <c r="BP955" s="60"/>
      <c r="BQ955" s="60"/>
      <c r="BR955" s="60"/>
      <c r="BS955" s="60"/>
      <c r="BT955" s="60"/>
      <c r="BU955" s="60"/>
      <c r="BV955" s="60"/>
      <c r="BW955" s="60"/>
      <c r="BX955" s="60"/>
      <c r="BY955" s="60"/>
      <c r="BZ955" s="60"/>
      <c r="CA955" s="60"/>
      <c r="CB955" s="60"/>
      <c r="CC955" s="60"/>
      <c r="CD955" s="60"/>
      <c r="CE955" s="60"/>
      <c r="CF955" s="60"/>
      <c r="CG955" s="60"/>
      <c r="CH955" s="60"/>
      <c r="CI955" s="60"/>
      <c r="CJ955" s="60"/>
      <c r="CK955" s="60"/>
      <c r="CL955" s="60"/>
      <c r="CM955" s="60"/>
      <c r="CN955" s="60"/>
      <c r="CO955" s="60"/>
      <c r="CP955" s="60"/>
      <c r="CQ955" s="60"/>
      <c r="CR955" s="60"/>
      <c r="CS955" s="60"/>
      <c r="CT955" s="60"/>
      <c r="CU955" s="60"/>
      <c r="CV955" s="60"/>
      <c r="CW955" s="60"/>
      <c r="CX955" s="60"/>
      <c r="CY955" s="60"/>
      <c r="CZ955" s="60"/>
      <c r="DA955" s="60"/>
      <c r="DB955" s="60"/>
      <c r="DC955" s="60"/>
      <c r="DD955" s="60"/>
      <c r="DE955" s="60"/>
      <c r="DF955" s="60"/>
      <c r="DG955" s="60"/>
      <c r="DH955" s="60"/>
      <c r="DI955" s="60"/>
      <c r="DJ955" s="60"/>
      <c r="DK955" s="60"/>
      <c r="DL955" s="60"/>
      <c r="DM955" s="60"/>
      <c r="DN955" s="60"/>
      <c r="DO955" s="60"/>
      <c r="DP955" s="60"/>
      <c r="DQ955" s="60"/>
      <c r="DR955" s="60"/>
      <c r="DS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  <c r="BG956" s="60"/>
      <c r="BH956" s="60"/>
      <c r="BI956" s="60"/>
      <c r="BJ956" s="60"/>
      <c r="BK956" s="60"/>
      <c r="BL956" s="60"/>
      <c r="BM956" s="60"/>
      <c r="BN956" s="60"/>
      <c r="BO956" s="60"/>
      <c r="BP956" s="60"/>
      <c r="BQ956" s="60"/>
      <c r="BR956" s="60"/>
      <c r="BS956" s="60"/>
      <c r="BT956" s="60"/>
      <c r="BU956" s="60"/>
      <c r="BV956" s="60"/>
      <c r="BW956" s="60"/>
      <c r="BX956" s="60"/>
      <c r="BY956" s="60"/>
      <c r="BZ956" s="60"/>
      <c r="CA956" s="60"/>
      <c r="CB956" s="60"/>
      <c r="CC956" s="60"/>
      <c r="CD956" s="60"/>
      <c r="CE956" s="60"/>
      <c r="CF956" s="60"/>
      <c r="CG956" s="60"/>
      <c r="CH956" s="60"/>
      <c r="CI956" s="60"/>
      <c r="CJ956" s="60"/>
      <c r="CK956" s="60"/>
      <c r="CL956" s="60"/>
      <c r="CM956" s="60"/>
      <c r="CN956" s="60"/>
      <c r="CO956" s="60"/>
      <c r="CP956" s="60"/>
      <c r="CQ956" s="60"/>
      <c r="CR956" s="60"/>
      <c r="CS956" s="60"/>
      <c r="CT956" s="60"/>
      <c r="CU956" s="60"/>
      <c r="CV956" s="60"/>
      <c r="CW956" s="60"/>
      <c r="CX956" s="60"/>
      <c r="CY956" s="60"/>
      <c r="CZ956" s="60"/>
      <c r="DA956" s="60"/>
      <c r="DB956" s="60"/>
      <c r="DC956" s="60"/>
      <c r="DD956" s="60"/>
      <c r="DE956" s="60"/>
      <c r="DF956" s="60"/>
      <c r="DG956" s="60"/>
      <c r="DH956" s="60"/>
      <c r="DI956" s="60"/>
      <c r="DJ956" s="60"/>
      <c r="DK956" s="60"/>
      <c r="DL956" s="60"/>
      <c r="DM956" s="60"/>
      <c r="DN956" s="60"/>
      <c r="DO956" s="60"/>
      <c r="DP956" s="60"/>
      <c r="DQ956" s="60"/>
      <c r="DR956" s="60"/>
      <c r="DS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60"/>
      <c r="BH957" s="60"/>
      <c r="BI957" s="60"/>
      <c r="BJ957" s="60"/>
      <c r="BK957" s="60"/>
      <c r="BL957" s="60"/>
      <c r="BM957" s="60"/>
      <c r="BN957" s="60"/>
      <c r="BO957" s="60"/>
      <c r="BP957" s="60"/>
      <c r="BQ957" s="60"/>
      <c r="BR957" s="60"/>
      <c r="BS957" s="60"/>
      <c r="BT957" s="60"/>
      <c r="BU957" s="60"/>
      <c r="BV957" s="60"/>
      <c r="BW957" s="60"/>
      <c r="BX957" s="60"/>
      <c r="BY957" s="60"/>
      <c r="BZ957" s="60"/>
      <c r="CA957" s="60"/>
      <c r="CB957" s="60"/>
      <c r="CC957" s="60"/>
      <c r="CD957" s="60"/>
      <c r="CE957" s="60"/>
      <c r="CF957" s="60"/>
      <c r="CG957" s="60"/>
      <c r="CH957" s="60"/>
      <c r="CI957" s="60"/>
      <c r="CJ957" s="60"/>
      <c r="CK957" s="60"/>
      <c r="CL957" s="60"/>
      <c r="CM957" s="60"/>
      <c r="CN957" s="60"/>
      <c r="CO957" s="60"/>
      <c r="CP957" s="60"/>
      <c r="CQ957" s="60"/>
      <c r="CR957" s="60"/>
      <c r="CS957" s="60"/>
      <c r="CT957" s="60"/>
      <c r="CU957" s="60"/>
      <c r="CV957" s="60"/>
      <c r="CW957" s="60"/>
      <c r="CX957" s="60"/>
      <c r="CY957" s="60"/>
      <c r="CZ957" s="60"/>
      <c r="DA957" s="60"/>
      <c r="DB957" s="60"/>
      <c r="DC957" s="60"/>
      <c r="DD957" s="60"/>
      <c r="DE957" s="60"/>
      <c r="DF957" s="60"/>
      <c r="DG957" s="60"/>
      <c r="DH957" s="60"/>
      <c r="DI957" s="60"/>
      <c r="DJ957" s="60"/>
      <c r="DK957" s="60"/>
      <c r="DL957" s="60"/>
      <c r="DM957" s="60"/>
      <c r="DN957" s="60"/>
      <c r="DO957" s="60"/>
      <c r="DP957" s="60"/>
      <c r="DQ957" s="60"/>
      <c r="DR957" s="60"/>
      <c r="DS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  <c r="BG958" s="60"/>
      <c r="BH958" s="60"/>
      <c r="BI958" s="60"/>
      <c r="BJ958" s="60"/>
      <c r="BK958" s="60"/>
      <c r="BL958" s="60"/>
      <c r="BM958" s="60"/>
      <c r="BN958" s="60"/>
      <c r="BO958" s="60"/>
      <c r="BP958" s="60"/>
      <c r="BQ958" s="60"/>
      <c r="BR958" s="60"/>
      <c r="BS958" s="60"/>
      <c r="BT958" s="60"/>
      <c r="BU958" s="60"/>
      <c r="BV958" s="60"/>
      <c r="BW958" s="60"/>
      <c r="BX958" s="60"/>
      <c r="BY958" s="60"/>
      <c r="BZ958" s="60"/>
      <c r="CA958" s="60"/>
      <c r="CB958" s="60"/>
      <c r="CC958" s="60"/>
      <c r="CD958" s="60"/>
      <c r="CE958" s="60"/>
      <c r="CF958" s="60"/>
      <c r="CG958" s="60"/>
      <c r="CH958" s="60"/>
      <c r="CI958" s="60"/>
      <c r="CJ958" s="60"/>
      <c r="CK958" s="60"/>
      <c r="CL958" s="60"/>
      <c r="CM958" s="60"/>
      <c r="CN958" s="60"/>
      <c r="CO958" s="60"/>
      <c r="CP958" s="60"/>
      <c r="CQ958" s="60"/>
      <c r="CR958" s="60"/>
      <c r="CS958" s="60"/>
      <c r="CT958" s="60"/>
      <c r="CU958" s="60"/>
      <c r="CV958" s="60"/>
      <c r="CW958" s="60"/>
      <c r="CX958" s="60"/>
      <c r="CY958" s="60"/>
      <c r="CZ958" s="60"/>
      <c r="DA958" s="60"/>
      <c r="DB958" s="60"/>
      <c r="DC958" s="60"/>
      <c r="DD958" s="60"/>
      <c r="DE958" s="60"/>
      <c r="DF958" s="60"/>
      <c r="DG958" s="60"/>
      <c r="DH958" s="60"/>
      <c r="DI958" s="60"/>
      <c r="DJ958" s="60"/>
      <c r="DK958" s="60"/>
      <c r="DL958" s="60"/>
      <c r="DM958" s="60"/>
      <c r="DN958" s="60"/>
      <c r="DO958" s="60"/>
      <c r="DP958" s="60"/>
      <c r="DQ958" s="60"/>
      <c r="DR958" s="60"/>
      <c r="DS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  <c r="BG959" s="60"/>
      <c r="BH959" s="60"/>
      <c r="BI959" s="60"/>
      <c r="BJ959" s="60"/>
      <c r="BK959" s="60"/>
      <c r="BL959" s="60"/>
      <c r="BM959" s="60"/>
      <c r="BN959" s="60"/>
      <c r="BO959" s="60"/>
      <c r="BP959" s="60"/>
      <c r="BQ959" s="60"/>
      <c r="BR959" s="60"/>
      <c r="BS959" s="60"/>
      <c r="BT959" s="60"/>
      <c r="BU959" s="60"/>
      <c r="BV959" s="60"/>
      <c r="BW959" s="60"/>
      <c r="BX959" s="60"/>
      <c r="BY959" s="60"/>
      <c r="BZ959" s="60"/>
      <c r="CA959" s="60"/>
      <c r="CB959" s="60"/>
      <c r="CC959" s="60"/>
      <c r="CD959" s="60"/>
      <c r="CE959" s="60"/>
      <c r="CF959" s="60"/>
      <c r="CG959" s="60"/>
      <c r="CH959" s="60"/>
      <c r="CI959" s="60"/>
      <c r="CJ959" s="60"/>
      <c r="CK959" s="60"/>
      <c r="CL959" s="60"/>
      <c r="CM959" s="60"/>
      <c r="CN959" s="60"/>
      <c r="CO959" s="60"/>
      <c r="CP959" s="60"/>
      <c r="CQ959" s="60"/>
      <c r="CR959" s="60"/>
      <c r="CS959" s="60"/>
      <c r="CT959" s="60"/>
      <c r="CU959" s="60"/>
      <c r="CV959" s="60"/>
      <c r="CW959" s="60"/>
      <c r="CX959" s="60"/>
      <c r="CY959" s="60"/>
      <c r="CZ959" s="60"/>
      <c r="DA959" s="60"/>
      <c r="DB959" s="60"/>
      <c r="DC959" s="60"/>
      <c r="DD959" s="60"/>
      <c r="DE959" s="60"/>
      <c r="DF959" s="60"/>
      <c r="DG959" s="60"/>
      <c r="DH959" s="60"/>
      <c r="DI959" s="60"/>
      <c r="DJ959" s="60"/>
      <c r="DK959" s="60"/>
      <c r="DL959" s="60"/>
      <c r="DM959" s="60"/>
      <c r="DN959" s="60"/>
      <c r="DO959" s="60"/>
      <c r="DP959" s="60"/>
      <c r="DQ959" s="60"/>
      <c r="DR959" s="60"/>
      <c r="DS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  <c r="BG960" s="60"/>
      <c r="BH960" s="60"/>
      <c r="BI960" s="60"/>
      <c r="BJ960" s="60"/>
      <c r="BK960" s="60"/>
      <c r="BL960" s="60"/>
      <c r="BM960" s="60"/>
      <c r="BN960" s="60"/>
      <c r="BO960" s="60"/>
      <c r="BP960" s="60"/>
      <c r="BQ960" s="60"/>
      <c r="BR960" s="60"/>
      <c r="BS960" s="60"/>
      <c r="BT960" s="60"/>
      <c r="BU960" s="60"/>
      <c r="BV960" s="60"/>
      <c r="BW960" s="60"/>
      <c r="BX960" s="60"/>
      <c r="BY960" s="60"/>
      <c r="BZ960" s="60"/>
      <c r="CA960" s="60"/>
      <c r="CB960" s="60"/>
      <c r="CC960" s="60"/>
      <c r="CD960" s="60"/>
      <c r="CE960" s="60"/>
      <c r="CF960" s="60"/>
      <c r="CG960" s="60"/>
      <c r="CH960" s="60"/>
      <c r="CI960" s="60"/>
      <c r="CJ960" s="60"/>
      <c r="CK960" s="60"/>
      <c r="CL960" s="60"/>
      <c r="CM960" s="60"/>
      <c r="CN960" s="60"/>
      <c r="CO960" s="60"/>
      <c r="CP960" s="60"/>
      <c r="CQ960" s="60"/>
      <c r="CR960" s="60"/>
      <c r="CS960" s="60"/>
      <c r="CT960" s="60"/>
      <c r="CU960" s="60"/>
      <c r="CV960" s="60"/>
      <c r="CW960" s="60"/>
      <c r="CX960" s="60"/>
      <c r="CY960" s="60"/>
      <c r="CZ960" s="60"/>
      <c r="DA960" s="60"/>
      <c r="DB960" s="60"/>
      <c r="DC960" s="60"/>
      <c r="DD960" s="60"/>
      <c r="DE960" s="60"/>
      <c r="DF960" s="60"/>
      <c r="DG960" s="60"/>
      <c r="DH960" s="60"/>
      <c r="DI960" s="60"/>
      <c r="DJ960" s="60"/>
      <c r="DK960" s="60"/>
      <c r="DL960" s="60"/>
      <c r="DM960" s="60"/>
      <c r="DN960" s="60"/>
      <c r="DO960" s="60"/>
      <c r="DP960" s="60"/>
      <c r="DQ960" s="60"/>
      <c r="DR960" s="60"/>
      <c r="DS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  <c r="BG961" s="60"/>
      <c r="BH961" s="60"/>
      <c r="BI961" s="60"/>
      <c r="BJ961" s="60"/>
      <c r="BK961" s="60"/>
      <c r="BL961" s="60"/>
      <c r="BM961" s="60"/>
      <c r="BN961" s="60"/>
      <c r="BO961" s="60"/>
      <c r="BP961" s="60"/>
      <c r="BQ961" s="60"/>
      <c r="BR961" s="60"/>
      <c r="BS961" s="60"/>
      <c r="BT961" s="60"/>
      <c r="BU961" s="60"/>
      <c r="BV961" s="60"/>
      <c r="BW961" s="60"/>
      <c r="BX961" s="60"/>
      <c r="BY961" s="60"/>
      <c r="BZ961" s="60"/>
      <c r="CA961" s="60"/>
      <c r="CB961" s="60"/>
      <c r="CC961" s="60"/>
      <c r="CD961" s="60"/>
      <c r="CE961" s="60"/>
      <c r="CF961" s="60"/>
      <c r="CG961" s="60"/>
      <c r="CH961" s="60"/>
      <c r="CI961" s="60"/>
      <c r="CJ961" s="60"/>
      <c r="CK961" s="60"/>
      <c r="CL961" s="60"/>
      <c r="CM961" s="60"/>
      <c r="CN961" s="60"/>
      <c r="CO961" s="60"/>
      <c r="CP961" s="60"/>
      <c r="CQ961" s="60"/>
      <c r="CR961" s="60"/>
      <c r="CS961" s="60"/>
      <c r="CT961" s="60"/>
      <c r="CU961" s="60"/>
      <c r="CV961" s="60"/>
      <c r="CW961" s="60"/>
      <c r="CX961" s="60"/>
      <c r="CY961" s="60"/>
      <c r="CZ961" s="60"/>
      <c r="DA961" s="60"/>
      <c r="DB961" s="60"/>
      <c r="DC961" s="60"/>
      <c r="DD961" s="60"/>
      <c r="DE961" s="60"/>
      <c r="DF961" s="60"/>
      <c r="DG961" s="60"/>
      <c r="DH961" s="60"/>
      <c r="DI961" s="60"/>
      <c r="DJ961" s="60"/>
      <c r="DK961" s="60"/>
      <c r="DL961" s="60"/>
      <c r="DM961" s="60"/>
      <c r="DN961" s="60"/>
      <c r="DO961" s="60"/>
      <c r="DP961" s="60"/>
      <c r="DQ961" s="60"/>
      <c r="DR961" s="60"/>
      <c r="DS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60"/>
      <c r="BH962" s="60"/>
      <c r="BI962" s="60"/>
      <c r="BJ962" s="60"/>
      <c r="BK962" s="60"/>
      <c r="BL962" s="60"/>
      <c r="BM962" s="60"/>
      <c r="BN962" s="60"/>
      <c r="BO962" s="60"/>
      <c r="BP962" s="60"/>
      <c r="BQ962" s="60"/>
      <c r="BR962" s="60"/>
      <c r="BS962" s="60"/>
      <c r="BT962" s="60"/>
      <c r="BU962" s="60"/>
      <c r="BV962" s="60"/>
      <c r="BW962" s="60"/>
      <c r="BX962" s="60"/>
      <c r="BY962" s="60"/>
      <c r="BZ962" s="60"/>
      <c r="CA962" s="60"/>
      <c r="CB962" s="60"/>
      <c r="CC962" s="60"/>
      <c r="CD962" s="60"/>
      <c r="CE962" s="60"/>
      <c r="CF962" s="60"/>
      <c r="CG962" s="60"/>
      <c r="CH962" s="60"/>
      <c r="CI962" s="60"/>
      <c r="CJ962" s="60"/>
      <c r="CK962" s="60"/>
      <c r="CL962" s="60"/>
      <c r="CM962" s="60"/>
      <c r="CN962" s="60"/>
      <c r="CO962" s="60"/>
      <c r="CP962" s="60"/>
      <c r="CQ962" s="60"/>
      <c r="CR962" s="60"/>
      <c r="CS962" s="60"/>
      <c r="CT962" s="60"/>
      <c r="CU962" s="60"/>
      <c r="CV962" s="60"/>
      <c r="CW962" s="60"/>
      <c r="CX962" s="60"/>
      <c r="CY962" s="60"/>
      <c r="CZ962" s="60"/>
      <c r="DA962" s="60"/>
      <c r="DB962" s="60"/>
      <c r="DC962" s="60"/>
      <c r="DD962" s="60"/>
      <c r="DE962" s="60"/>
      <c r="DF962" s="60"/>
      <c r="DG962" s="60"/>
      <c r="DH962" s="60"/>
      <c r="DI962" s="60"/>
      <c r="DJ962" s="60"/>
      <c r="DK962" s="60"/>
      <c r="DL962" s="60"/>
      <c r="DM962" s="60"/>
      <c r="DN962" s="60"/>
      <c r="DO962" s="60"/>
      <c r="DP962" s="60"/>
      <c r="DQ962" s="60"/>
      <c r="DR962" s="60"/>
      <c r="DS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  <c r="BG963" s="60"/>
      <c r="BH963" s="60"/>
      <c r="BI963" s="60"/>
      <c r="BJ963" s="60"/>
      <c r="BK963" s="60"/>
      <c r="BL963" s="60"/>
      <c r="BM963" s="60"/>
      <c r="BN963" s="60"/>
      <c r="BO963" s="60"/>
      <c r="BP963" s="60"/>
      <c r="BQ963" s="60"/>
      <c r="BR963" s="60"/>
      <c r="BS963" s="60"/>
      <c r="BT963" s="60"/>
      <c r="BU963" s="60"/>
      <c r="BV963" s="60"/>
      <c r="BW963" s="60"/>
      <c r="BX963" s="60"/>
      <c r="BY963" s="60"/>
      <c r="BZ963" s="60"/>
      <c r="CA963" s="60"/>
      <c r="CB963" s="60"/>
      <c r="CC963" s="60"/>
      <c r="CD963" s="60"/>
      <c r="CE963" s="60"/>
      <c r="CF963" s="60"/>
      <c r="CG963" s="60"/>
      <c r="CH963" s="60"/>
      <c r="CI963" s="60"/>
      <c r="CJ963" s="60"/>
      <c r="CK963" s="60"/>
      <c r="CL963" s="60"/>
      <c r="CM963" s="60"/>
      <c r="CN963" s="60"/>
      <c r="CO963" s="60"/>
      <c r="CP963" s="60"/>
      <c r="CQ963" s="60"/>
      <c r="CR963" s="60"/>
      <c r="CS963" s="60"/>
      <c r="CT963" s="60"/>
      <c r="CU963" s="60"/>
      <c r="CV963" s="60"/>
      <c r="CW963" s="60"/>
      <c r="CX963" s="60"/>
      <c r="CY963" s="60"/>
      <c r="CZ963" s="60"/>
      <c r="DA963" s="60"/>
      <c r="DB963" s="60"/>
      <c r="DC963" s="60"/>
      <c r="DD963" s="60"/>
      <c r="DE963" s="60"/>
      <c r="DF963" s="60"/>
      <c r="DG963" s="60"/>
      <c r="DH963" s="60"/>
      <c r="DI963" s="60"/>
      <c r="DJ963" s="60"/>
      <c r="DK963" s="60"/>
      <c r="DL963" s="60"/>
      <c r="DM963" s="60"/>
      <c r="DN963" s="60"/>
      <c r="DO963" s="60"/>
      <c r="DP963" s="60"/>
      <c r="DQ963" s="60"/>
      <c r="DR963" s="60"/>
      <c r="DS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60"/>
      <c r="BH964" s="60"/>
      <c r="BI964" s="60"/>
      <c r="BJ964" s="60"/>
      <c r="BK964" s="60"/>
      <c r="BL964" s="60"/>
      <c r="BM964" s="60"/>
      <c r="BN964" s="60"/>
      <c r="BO964" s="60"/>
      <c r="BP964" s="60"/>
      <c r="BQ964" s="60"/>
      <c r="BR964" s="60"/>
      <c r="BS964" s="60"/>
      <c r="BT964" s="60"/>
      <c r="BU964" s="60"/>
      <c r="BV964" s="60"/>
      <c r="BW964" s="60"/>
      <c r="BX964" s="60"/>
      <c r="BY964" s="60"/>
      <c r="BZ964" s="60"/>
      <c r="CA964" s="60"/>
      <c r="CB964" s="60"/>
      <c r="CC964" s="60"/>
      <c r="CD964" s="60"/>
      <c r="CE964" s="60"/>
      <c r="CF964" s="60"/>
      <c r="CG964" s="60"/>
      <c r="CH964" s="60"/>
      <c r="CI964" s="60"/>
      <c r="CJ964" s="60"/>
      <c r="CK964" s="60"/>
      <c r="CL964" s="60"/>
      <c r="CM964" s="60"/>
      <c r="CN964" s="60"/>
      <c r="CO964" s="60"/>
      <c r="CP964" s="60"/>
      <c r="CQ964" s="60"/>
      <c r="CR964" s="60"/>
      <c r="CS964" s="60"/>
      <c r="CT964" s="60"/>
      <c r="CU964" s="60"/>
      <c r="CV964" s="60"/>
      <c r="CW964" s="60"/>
      <c r="CX964" s="60"/>
      <c r="CY964" s="60"/>
      <c r="CZ964" s="60"/>
      <c r="DA964" s="60"/>
      <c r="DB964" s="60"/>
      <c r="DC964" s="60"/>
      <c r="DD964" s="60"/>
      <c r="DE964" s="60"/>
      <c r="DF964" s="60"/>
      <c r="DG964" s="60"/>
      <c r="DH964" s="60"/>
      <c r="DI964" s="60"/>
      <c r="DJ964" s="60"/>
      <c r="DK964" s="60"/>
      <c r="DL964" s="60"/>
      <c r="DM964" s="60"/>
      <c r="DN964" s="60"/>
      <c r="DO964" s="60"/>
      <c r="DP964" s="60"/>
      <c r="DQ964" s="60"/>
      <c r="DR964" s="60"/>
      <c r="DS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  <c r="BG965" s="60"/>
      <c r="BH965" s="60"/>
      <c r="BI965" s="60"/>
      <c r="BJ965" s="60"/>
      <c r="BK965" s="60"/>
      <c r="BL965" s="60"/>
      <c r="BM965" s="60"/>
      <c r="BN965" s="60"/>
      <c r="BO965" s="60"/>
      <c r="BP965" s="60"/>
      <c r="BQ965" s="60"/>
      <c r="BR965" s="60"/>
      <c r="BS965" s="60"/>
      <c r="BT965" s="60"/>
      <c r="BU965" s="60"/>
      <c r="BV965" s="60"/>
      <c r="BW965" s="60"/>
      <c r="BX965" s="60"/>
      <c r="BY965" s="60"/>
      <c r="BZ965" s="60"/>
      <c r="CA965" s="60"/>
      <c r="CB965" s="60"/>
      <c r="CC965" s="60"/>
      <c r="CD965" s="60"/>
      <c r="CE965" s="60"/>
      <c r="CF965" s="60"/>
      <c r="CG965" s="60"/>
      <c r="CH965" s="60"/>
      <c r="CI965" s="60"/>
      <c r="CJ965" s="60"/>
      <c r="CK965" s="60"/>
      <c r="CL965" s="60"/>
      <c r="CM965" s="60"/>
      <c r="CN965" s="60"/>
      <c r="CO965" s="60"/>
      <c r="CP965" s="60"/>
      <c r="CQ965" s="60"/>
      <c r="CR965" s="60"/>
      <c r="CS965" s="60"/>
      <c r="CT965" s="60"/>
      <c r="CU965" s="60"/>
      <c r="CV965" s="60"/>
      <c r="CW965" s="60"/>
      <c r="CX965" s="60"/>
      <c r="CY965" s="60"/>
      <c r="CZ965" s="60"/>
      <c r="DA965" s="60"/>
      <c r="DB965" s="60"/>
      <c r="DC965" s="60"/>
      <c r="DD965" s="60"/>
      <c r="DE965" s="60"/>
      <c r="DF965" s="60"/>
      <c r="DG965" s="60"/>
      <c r="DH965" s="60"/>
      <c r="DI965" s="60"/>
      <c r="DJ965" s="60"/>
      <c r="DK965" s="60"/>
      <c r="DL965" s="60"/>
      <c r="DM965" s="60"/>
      <c r="DN965" s="60"/>
      <c r="DO965" s="60"/>
      <c r="DP965" s="60"/>
      <c r="DQ965" s="60"/>
      <c r="DR965" s="60"/>
      <c r="DS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60"/>
      <c r="BH966" s="60"/>
      <c r="BI966" s="60"/>
      <c r="BJ966" s="60"/>
      <c r="BK966" s="60"/>
      <c r="BL966" s="60"/>
      <c r="BM966" s="60"/>
      <c r="BN966" s="60"/>
      <c r="BO966" s="60"/>
      <c r="BP966" s="60"/>
      <c r="BQ966" s="60"/>
      <c r="BR966" s="60"/>
      <c r="BS966" s="60"/>
      <c r="BT966" s="60"/>
      <c r="BU966" s="60"/>
      <c r="BV966" s="60"/>
      <c r="BW966" s="60"/>
      <c r="BX966" s="60"/>
      <c r="BY966" s="60"/>
      <c r="BZ966" s="60"/>
      <c r="CA966" s="60"/>
      <c r="CB966" s="60"/>
      <c r="CC966" s="60"/>
      <c r="CD966" s="60"/>
      <c r="CE966" s="60"/>
      <c r="CF966" s="60"/>
      <c r="CG966" s="60"/>
      <c r="CH966" s="60"/>
      <c r="CI966" s="60"/>
      <c r="CJ966" s="60"/>
      <c r="CK966" s="60"/>
      <c r="CL966" s="60"/>
      <c r="CM966" s="60"/>
      <c r="CN966" s="60"/>
      <c r="CO966" s="60"/>
      <c r="CP966" s="60"/>
      <c r="CQ966" s="60"/>
      <c r="CR966" s="60"/>
      <c r="CS966" s="60"/>
      <c r="CT966" s="60"/>
      <c r="CU966" s="60"/>
      <c r="CV966" s="60"/>
      <c r="CW966" s="60"/>
      <c r="CX966" s="60"/>
      <c r="CY966" s="60"/>
      <c r="CZ966" s="60"/>
      <c r="DA966" s="60"/>
      <c r="DB966" s="60"/>
      <c r="DC966" s="60"/>
      <c r="DD966" s="60"/>
      <c r="DE966" s="60"/>
      <c r="DF966" s="60"/>
      <c r="DG966" s="60"/>
      <c r="DH966" s="60"/>
      <c r="DI966" s="60"/>
      <c r="DJ966" s="60"/>
      <c r="DK966" s="60"/>
      <c r="DL966" s="60"/>
      <c r="DM966" s="60"/>
      <c r="DN966" s="60"/>
      <c r="DO966" s="60"/>
      <c r="DP966" s="60"/>
      <c r="DQ966" s="60"/>
      <c r="DR966" s="60"/>
      <c r="DS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60"/>
      <c r="BH967" s="60"/>
      <c r="BI967" s="60"/>
      <c r="BJ967" s="60"/>
      <c r="BK967" s="60"/>
      <c r="BL967" s="60"/>
      <c r="BM967" s="60"/>
      <c r="BN967" s="60"/>
      <c r="BO967" s="60"/>
      <c r="BP967" s="60"/>
      <c r="BQ967" s="60"/>
      <c r="BR967" s="60"/>
      <c r="BS967" s="60"/>
      <c r="BT967" s="60"/>
      <c r="BU967" s="60"/>
      <c r="BV967" s="60"/>
      <c r="BW967" s="60"/>
      <c r="BX967" s="60"/>
      <c r="BY967" s="60"/>
      <c r="BZ967" s="60"/>
      <c r="CA967" s="60"/>
      <c r="CB967" s="60"/>
      <c r="CC967" s="60"/>
      <c r="CD967" s="60"/>
      <c r="CE967" s="60"/>
      <c r="CF967" s="60"/>
      <c r="CG967" s="60"/>
      <c r="CH967" s="60"/>
      <c r="CI967" s="60"/>
      <c r="CJ967" s="60"/>
      <c r="CK967" s="60"/>
      <c r="CL967" s="60"/>
      <c r="CM967" s="60"/>
      <c r="CN967" s="60"/>
      <c r="CO967" s="60"/>
      <c r="CP967" s="60"/>
      <c r="CQ967" s="60"/>
      <c r="CR967" s="60"/>
      <c r="CS967" s="60"/>
      <c r="CT967" s="60"/>
      <c r="CU967" s="60"/>
      <c r="CV967" s="60"/>
      <c r="CW967" s="60"/>
      <c r="CX967" s="60"/>
      <c r="CY967" s="60"/>
      <c r="CZ967" s="60"/>
      <c r="DA967" s="60"/>
      <c r="DB967" s="60"/>
      <c r="DC967" s="60"/>
      <c r="DD967" s="60"/>
      <c r="DE967" s="60"/>
      <c r="DF967" s="60"/>
      <c r="DG967" s="60"/>
      <c r="DH967" s="60"/>
      <c r="DI967" s="60"/>
      <c r="DJ967" s="60"/>
      <c r="DK967" s="60"/>
      <c r="DL967" s="60"/>
      <c r="DM967" s="60"/>
      <c r="DN967" s="60"/>
      <c r="DO967" s="60"/>
      <c r="DP967" s="60"/>
      <c r="DQ967" s="60"/>
      <c r="DR967" s="60"/>
      <c r="DS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  <c r="BG968" s="60"/>
      <c r="BH968" s="60"/>
      <c r="BI968" s="60"/>
      <c r="BJ968" s="60"/>
      <c r="BK968" s="60"/>
      <c r="BL968" s="60"/>
      <c r="BM968" s="60"/>
      <c r="BN968" s="60"/>
      <c r="BO968" s="60"/>
      <c r="BP968" s="60"/>
      <c r="BQ968" s="60"/>
      <c r="BR968" s="60"/>
      <c r="BS968" s="60"/>
      <c r="BT968" s="60"/>
      <c r="BU968" s="60"/>
      <c r="BV968" s="60"/>
      <c r="BW968" s="60"/>
      <c r="BX968" s="60"/>
      <c r="BY968" s="60"/>
      <c r="BZ968" s="60"/>
      <c r="CA968" s="60"/>
      <c r="CB968" s="60"/>
      <c r="CC968" s="60"/>
      <c r="CD968" s="60"/>
      <c r="CE968" s="60"/>
      <c r="CF968" s="60"/>
      <c r="CG968" s="60"/>
      <c r="CH968" s="60"/>
      <c r="CI968" s="60"/>
      <c r="CJ968" s="60"/>
      <c r="CK968" s="60"/>
      <c r="CL968" s="60"/>
      <c r="CM968" s="60"/>
      <c r="CN968" s="60"/>
      <c r="CO968" s="60"/>
      <c r="CP968" s="60"/>
      <c r="CQ968" s="60"/>
      <c r="CR968" s="60"/>
      <c r="CS968" s="60"/>
      <c r="CT968" s="60"/>
      <c r="CU968" s="60"/>
      <c r="CV968" s="60"/>
      <c r="CW968" s="60"/>
      <c r="CX968" s="60"/>
      <c r="CY968" s="60"/>
      <c r="CZ968" s="60"/>
      <c r="DA968" s="60"/>
      <c r="DB968" s="60"/>
      <c r="DC968" s="60"/>
      <c r="DD968" s="60"/>
      <c r="DE968" s="60"/>
      <c r="DF968" s="60"/>
      <c r="DG968" s="60"/>
      <c r="DH968" s="60"/>
      <c r="DI968" s="60"/>
      <c r="DJ968" s="60"/>
      <c r="DK968" s="60"/>
      <c r="DL968" s="60"/>
      <c r="DM968" s="60"/>
      <c r="DN968" s="60"/>
      <c r="DO968" s="60"/>
      <c r="DP968" s="60"/>
      <c r="DQ968" s="60"/>
      <c r="DR968" s="60"/>
      <c r="DS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60"/>
      <c r="BH969" s="60"/>
      <c r="BI969" s="60"/>
      <c r="BJ969" s="60"/>
      <c r="BK969" s="60"/>
      <c r="BL969" s="60"/>
      <c r="BM969" s="60"/>
      <c r="BN969" s="60"/>
      <c r="BO969" s="60"/>
      <c r="BP969" s="60"/>
      <c r="BQ969" s="60"/>
      <c r="BR969" s="60"/>
      <c r="BS969" s="60"/>
      <c r="BT969" s="60"/>
      <c r="BU969" s="60"/>
      <c r="BV969" s="60"/>
      <c r="BW969" s="60"/>
      <c r="BX969" s="60"/>
      <c r="BY969" s="60"/>
      <c r="BZ969" s="60"/>
      <c r="CA969" s="60"/>
      <c r="CB969" s="60"/>
      <c r="CC969" s="60"/>
      <c r="CD969" s="60"/>
      <c r="CE969" s="60"/>
      <c r="CF969" s="60"/>
      <c r="CG969" s="60"/>
      <c r="CH969" s="60"/>
      <c r="CI969" s="60"/>
      <c r="CJ969" s="60"/>
      <c r="CK969" s="60"/>
      <c r="CL969" s="60"/>
      <c r="CM969" s="60"/>
      <c r="CN969" s="60"/>
      <c r="CO969" s="60"/>
      <c r="CP969" s="60"/>
      <c r="CQ969" s="60"/>
      <c r="CR969" s="60"/>
      <c r="CS969" s="60"/>
      <c r="CT969" s="60"/>
      <c r="CU969" s="60"/>
      <c r="CV969" s="60"/>
      <c r="CW969" s="60"/>
      <c r="CX969" s="60"/>
      <c r="CY969" s="60"/>
      <c r="CZ969" s="60"/>
      <c r="DA969" s="60"/>
      <c r="DB969" s="60"/>
      <c r="DC969" s="60"/>
      <c r="DD969" s="60"/>
      <c r="DE969" s="60"/>
      <c r="DF969" s="60"/>
      <c r="DG969" s="60"/>
      <c r="DH969" s="60"/>
      <c r="DI969" s="60"/>
      <c r="DJ969" s="60"/>
      <c r="DK969" s="60"/>
      <c r="DL969" s="60"/>
      <c r="DM969" s="60"/>
      <c r="DN969" s="60"/>
      <c r="DO969" s="60"/>
      <c r="DP969" s="60"/>
      <c r="DQ969" s="60"/>
      <c r="DR969" s="60"/>
      <c r="DS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  <c r="BG970" s="60"/>
      <c r="BH970" s="60"/>
      <c r="BI970" s="60"/>
      <c r="BJ970" s="60"/>
      <c r="BK970" s="60"/>
      <c r="BL970" s="60"/>
      <c r="BM970" s="60"/>
      <c r="BN970" s="60"/>
      <c r="BO970" s="60"/>
      <c r="BP970" s="60"/>
      <c r="BQ970" s="60"/>
      <c r="BR970" s="60"/>
      <c r="BS970" s="60"/>
      <c r="BT970" s="60"/>
      <c r="BU970" s="60"/>
      <c r="BV970" s="60"/>
      <c r="BW970" s="60"/>
      <c r="BX970" s="60"/>
      <c r="BY970" s="60"/>
      <c r="BZ970" s="60"/>
      <c r="CA970" s="60"/>
      <c r="CB970" s="60"/>
      <c r="CC970" s="60"/>
      <c r="CD970" s="60"/>
      <c r="CE970" s="60"/>
      <c r="CF970" s="60"/>
      <c r="CG970" s="60"/>
      <c r="CH970" s="60"/>
      <c r="CI970" s="60"/>
      <c r="CJ970" s="60"/>
      <c r="CK970" s="60"/>
      <c r="CL970" s="60"/>
      <c r="CM970" s="60"/>
      <c r="CN970" s="60"/>
      <c r="CO970" s="60"/>
      <c r="CP970" s="60"/>
      <c r="CQ970" s="60"/>
      <c r="CR970" s="60"/>
      <c r="CS970" s="60"/>
      <c r="CT970" s="60"/>
      <c r="CU970" s="60"/>
      <c r="CV970" s="60"/>
      <c r="CW970" s="60"/>
      <c r="CX970" s="60"/>
      <c r="CY970" s="60"/>
      <c r="CZ970" s="60"/>
      <c r="DA970" s="60"/>
      <c r="DB970" s="60"/>
      <c r="DC970" s="60"/>
      <c r="DD970" s="60"/>
      <c r="DE970" s="60"/>
      <c r="DF970" s="60"/>
      <c r="DG970" s="60"/>
      <c r="DH970" s="60"/>
      <c r="DI970" s="60"/>
      <c r="DJ970" s="60"/>
      <c r="DK970" s="60"/>
      <c r="DL970" s="60"/>
      <c r="DM970" s="60"/>
      <c r="DN970" s="60"/>
      <c r="DO970" s="60"/>
      <c r="DP970" s="60"/>
      <c r="DQ970" s="60"/>
      <c r="DR970" s="60"/>
      <c r="DS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  <c r="BG971" s="60"/>
      <c r="BH971" s="60"/>
      <c r="BI971" s="60"/>
      <c r="BJ971" s="60"/>
      <c r="BK971" s="60"/>
      <c r="BL971" s="60"/>
      <c r="BM971" s="60"/>
      <c r="BN971" s="60"/>
      <c r="BO971" s="60"/>
      <c r="BP971" s="60"/>
      <c r="BQ971" s="60"/>
      <c r="BR971" s="60"/>
      <c r="BS971" s="60"/>
      <c r="BT971" s="60"/>
      <c r="BU971" s="60"/>
      <c r="BV971" s="60"/>
      <c r="BW971" s="60"/>
      <c r="BX971" s="60"/>
      <c r="BY971" s="60"/>
      <c r="BZ971" s="60"/>
      <c r="CA971" s="60"/>
      <c r="CB971" s="60"/>
      <c r="CC971" s="60"/>
      <c r="CD971" s="60"/>
      <c r="CE971" s="60"/>
      <c r="CF971" s="60"/>
      <c r="CG971" s="60"/>
      <c r="CH971" s="60"/>
      <c r="CI971" s="60"/>
      <c r="CJ971" s="60"/>
      <c r="CK971" s="60"/>
      <c r="CL971" s="60"/>
      <c r="CM971" s="60"/>
      <c r="CN971" s="60"/>
      <c r="CO971" s="60"/>
      <c r="CP971" s="60"/>
      <c r="CQ971" s="60"/>
      <c r="CR971" s="60"/>
      <c r="CS971" s="60"/>
      <c r="CT971" s="60"/>
      <c r="CU971" s="60"/>
      <c r="CV971" s="60"/>
      <c r="CW971" s="60"/>
      <c r="CX971" s="60"/>
      <c r="CY971" s="60"/>
      <c r="CZ971" s="60"/>
      <c r="DA971" s="60"/>
      <c r="DB971" s="60"/>
      <c r="DC971" s="60"/>
      <c r="DD971" s="60"/>
      <c r="DE971" s="60"/>
      <c r="DF971" s="60"/>
      <c r="DG971" s="60"/>
      <c r="DH971" s="60"/>
      <c r="DI971" s="60"/>
      <c r="DJ971" s="60"/>
      <c r="DK971" s="60"/>
      <c r="DL971" s="60"/>
      <c r="DM971" s="60"/>
      <c r="DN971" s="60"/>
      <c r="DO971" s="60"/>
      <c r="DP971" s="60"/>
      <c r="DQ971" s="60"/>
      <c r="DR971" s="60"/>
      <c r="DS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60"/>
      <c r="BH972" s="60"/>
      <c r="BI972" s="60"/>
      <c r="BJ972" s="60"/>
      <c r="BK972" s="60"/>
      <c r="BL972" s="60"/>
      <c r="BM972" s="60"/>
      <c r="BN972" s="60"/>
      <c r="BO972" s="60"/>
      <c r="BP972" s="60"/>
      <c r="BQ972" s="60"/>
      <c r="BR972" s="60"/>
      <c r="BS972" s="60"/>
      <c r="BT972" s="60"/>
      <c r="BU972" s="60"/>
      <c r="BV972" s="60"/>
      <c r="BW972" s="60"/>
      <c r="BX972" s="60"/>
      <c r="BY972" s="60"/>
      <c r="BZ972" s="60"/>
      <c r="CA972" s="60"/>
      <c r="CB972" s="60"/>
      <c r="CC972" s="60"/>
      <c r="CD972" s="60"/>
      <c r="CE972" s="60"/>
      <c r="CF972" s="60"/>
      <c r="CG972" s="60"/>
      <c r="CH972" s="60"/>
      <c r="CI972" s="60"/>
      <c r="CJ972" s="60"/>
      <c r="CK972" s="60"/>
      <c r="CL972" s="60"/>
      <c r="CM972" s="60"/>
      <c r="CN972" s="60"/>
      <c r="CO972" s="60"/>
      <c r="CP972" s="60"/>
      <c r="CQ972" s="60"/>
      <c r="CR972" s="60"/>
      <c r="CS972" s="60"/>
      <c r="CT972" s="60"/>
      <c r="CU972" s="60"/>
      <c r="CV972" s="60"/>
      <c r="CW972" s="60"/>
      <c r="CX972" s="60"/>
      <c r="CY972" s="60"/>
      <c r="CZ972" s="60"/>
      <c r="DA972" s="60"/>
      <c r="DB972" s="60"/>
      <c r="DC972" s="60"/>
      <c r="DD972" s="60"/>
      <c r="DE972" s="60"/>
      <c r="DF972" s="60"/>
      <c r="DG972" s="60"/>
      <c r="DH972" s="60"/>
      <c r="DI972" s="60"/>
      <c r="DJ972" s="60"/>
      <c r="DK972" s="60"/>
      <c r="DL972" s="60"/>
      <c r="DM972" s="60"/>
      <c r="DN972" s="60"/>
      <c r="DO972" s="60"/>
      <c r="DP972" s="60"/>
      <c r="DQ972" s="60"/>
      <c r="DR972" s="60"/>
      <c r="DS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60"/>
      <c r="BH973" s="60"/>
      <c r="BI973" s="60"/>
      <c r="BJ973" s="60"/>
      <c r="BK973" s="60"/>
      <c r="BL973" s="60"/>
      <c r="BM973" s="60"/>
      <c r="BN973" s="60"/>
      <c r="BO973" s="60"/>
      <c r="BP973" s="60"/>
      <c r="BQ973" s="60"/>
      <c r="BR973" s="60"/>
      <c r="BS973" s="60"/>
      <c r="BT973" s="60"/>
      <c r="BU973" s="60"/>
      <c r="BV973" s="60"/>
      <c r="BW973" s="60"/>
      <c r="BX973" s="60"/>
      <c r="BY973" s="60"/>
      <c r="BZ973" s="60"/>
      <c r="CA973" s="60"/>
      <c r="CB973" s="60"/>
      <c r="CC973" s="60"/>
      <c r="CD973" s="60"/>
      <c r="CE973" s="60"/>
      <c r="CF973" s="60"/>
      <c r="CG973" s="60"/>
      <c r="CH973" s="60"/>
      <c r="CI973" s="60"/>
      <c r="CJ973" s="60"/>
      <c r="CK973" s="60"/>
      <c r="CL973" s="60"/>
      <c r="CM973" s="60"/>
      <c r="CN973" s="60"/>
      <c r="CO973" s="60"/>
      <c r="CP973" s="60"/>
      <c r="CQ973" s="60"/>
      <c r="CR973" s="60"/>
      <c r="CS973" s="60"/>
      <c r="CT973" s="60"/>
      <c r="CU973" s="60"/>
      <c r="CV973" s="60"/>
      <c r="CW973" s="60"/>
      <c r="CX973" s="60"/>
      <c r="CY973" s="60"/>
      <c r="CZ973" s="60"/>
      <c r="DA973" s="60"/>
      <c r="DB973" s="60"/>
      <c r="DC973" s="60"/>
      <c r="DD973" s="60"/>
      <c r="DE973" s="60"/>
      <c r="DF973" s="60"/>
      <c r="DG973" s="60"/>
      <c r="DH973" s="60"/>
      <c r="DI973" s="60"/>
      <c r="DJ973" s="60"/>
      <c r="DK973" s="60"/>
      <c r="DL973" s="60"/>
      <c r="DM973" s="60"/>
      <c r="DN973" s="60"/>
      <c r="DO973" s="60"/>
      <c r="DP973" s="60"/>
      <c r="DQ973" s="60"/>
      <c r="DR973" s="60"/>
      <c r="DS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60"/>
      <c r="BH974" s="60"/>
      <c r="BI974" s="60"/>
      <c r="BJ974" s="60"/>
      <c r="BK974" s="60"/>
      <c r="BL974" s="60"/>
      <c r="BM974" s="60"/>
      <c r="BN974" s="60"/>
      <c r="BO974" s="60"/>
      <c r="BP974" s="60"/>
      <c r="BQ974" s="60"/>
      <c r="BR974" s="60"/>
      <c r="BS974" s="60"/>
      <c r="BT974" s="60"/>
      <c r="BU974" s="60"/>
      <c r="BV974" s="60"/>
      <c r="BW974" s="60"/>
      <c r="BX974" s="60"/>
      <c r="BY974" s="60"/>
      <c r="BZ974" s="60"/>
      <c r="CA974" s="60"/>
      <c r="CB974" s="60"/>
      <c r="CC974" s="60"/>
      <c r="CD974" s="60"/>
      <c r="CE974" s="60"/>
      <c r="CF974" s="60"/>
      <c r="CG974" s="60"/>
      <c r="CH974" s="60"/>
      <c r="CI974" s="60"/>
      <c r="CJ974" s="60"/>
      <c r="CK974" s="60"/>
      <c r="CL974" s="60"/>
      <c r="CM974" s="60"/>
      <c r="CN974" s="60"/>
      <c r="CO974" s="60"/>
      <c r="CP974" s="60"/>
      <c r="CQ974" s="60"/>
      <c r="CR974" s="60"/>
      <c r="CS974" s="60"/>
      <c r="CT974" s="60"/>
      <c r="CU974" s="60"/>
      <c r="CV974" s="60"/>
      <c r="CW974" s="60"/>
      <c r="CX974" s="60"/>
      <c r="CY974" s="60"/>
      <c r="CZ974" s="60"/>
      <c r="DA974" s="60"/>
      <c r="DB974" s="60"/>
      <c r="DC974" s="60"/>
      <c r="DD974" s="60"/>
      <c r="DE974" s="60"/>
      <c r="DF974" s="60"/>
      <c r="DG974" s="60"/>
      <c r="DH974" s="60"/>
      <c r="DI974" s="60"/>
      <c r="DJ974" s="60"/>
      <c r="DK974" s="60"/>
      <c r="DL974" s="60"/>
      <c r="DM974" s="60"/>
      <c r="DN974" s="60"/>
      <c r="DO974" s="60"/>
      <c r="DP974" s="60"/>
      <c r="DQ974" s="60"/>
      <c r="DR974" s="60"/>
      <c r="DS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  <c r="BG975" s="60"/>
      <c r="BH975" s="60"/>
      <c r="BI975" s="60"/>
      <c r="BJ975" s="60"/>
      <c r="BK975" s="60"/>
      <c r="BL975" s="60"/>
      <c r="BM975" s="60"/>
      <c r="BN975" s="60"/>
      <c r="BO975" s="60"/>
      <c r="BP975" s="60"/>
      <c r="BQ975" s="60"/>
      <c r="BR975" s="60"/>
      <c r="BS975" s="60"/>
      <c r="BT975" s="60"/>
      <c r="BU975" s="60"/>
      <c r="BV975" s="60"/>
      <c r="BW975" s="60"/>
      <c r="BX975" s="60"/>
      <c r="BY975" s="60"/>
      <c r="BZ975" s="60"/>
      <c r="CA975" s="60"/>
      <c r="CB975" s="60"/>
      <c r="CC975" s="60"/>
      <c r="CD975" s="60"/>
      <c r="CE975" s="60"/>
      <c r="CF975" s="60"/>
      <c r="CG975" s="60"/>
      <c r="CH975" s="60"/>
      <c r="CI975" s="60"/>
      <c r="CJ975" s="60"/>
      <c r="CK975" s="60"/>
      <c r="CL975" s="60"/>
      <c r="CM975" s="60"/>
      <c r="CN975" s="60"/>
      <c r="CO975" s="60"/>
      <c r="CP975" s="60"/>
      <c r="CQ975" s="60"/>
      <c r="CR975" s="60"/>
      <c r="CS975" s="60"/>
      <c r="CT975" s="60"/>
      <c r="CU975" s="60"/>
      <c r="CV975" s="60"/>
      <c r="CW975" s="60"/>
      <c r="CX975" s="60"/>
      <c r="CY975" s="60"/>
      <c r="CZ975" s="60"/>
      <c r="DA975" s="60"/>
      <c r="DB975" s="60"/>
      <c r="DC975" s="60"/>
      <c r="DD975" s="60"/>
      <c r="DE975" s="60"/>
      <c r="DF975" s="60"/>
      <c r="DG975" s="60"/>
      <c r="DH975" s="60"/>
      <c r="DI975" s="60"/>
      <c r="DJ975" s="60"/>
      <c r="DK975" s="60"/>
      <c r="DL975" s="60"/>
      <c r="DM975" s="60"/>
      <c r="DN975" s="60"/>
      <c r="DO975" s="60"/>
      <c r="DP975" s="60"/>
      <c r="DQ975" s="60"/>
      <c r="DR975" s="60"/>
      <c r="DS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  <c r="BG976" s="60"/>
      <c r="BH976" s="60"/>
      <c r="BI976" s="60"/>
      <c r="BJ976" s="60"/>
      <c r="BK976" s="60"/>
      <c r="BL976" s="60"/>
      <c r="BM976" s="60"/>
      <c r="BN976" s="60"/>
      <c r="BO976" s="60"/>
      <c r="BP976" s="60"/>
      <c r="BQ976" s="60"/>
      <c r="BR976" s="60"/>
      <c r="BS976" s="60"/>
      <c r="BT976" s="60"/>
      <c r="BU976" s="60"/>
      <c r="BV976" s="60"/>
      <c r="BW976" s="60"/>
      <c r="BX976" s="60"/>
      <c r="BY976" s="60"/>
      <c r="BZ976" s="60"/>
      <c r="CA976" s="60"/>
      <c r="CB976" s="60"/>
      <c r="CC976" s="60"/>
      <c r="CD976" s="60"/>
      <c r="CE976" s="60"/>
      <c r="CF976" s="60"/>
      <c r="CG976" s="60"/>
      <c r="CH976" s="60"/>
      <c r="CI976" s="60"/>
      <c r="CJ976" s="60"/>
      <c r="CK976" s="60"/>
      <c r="CL976" s="60"/>
      <c r="CM976" s="60"/>
      <c r="CN976" s="60"/>
      <c r="CO976" s="60"/>
      <c r="CP976" s="60"/>
      <c r="CQ976" s="60"/>
      <c r="CR976" s="60"/>
      <c r="CS976" s="60"/>
      <c r="CT976" s="60"/>
      <c r="CU976" s="60"/>
      <c r="CV976" s="60"/>
      <c r="CW976" s="60"/>
      <c r="CX976" s="60"/>
      <c r="CY976" s="60"/>
      <c r="CZ976" s="60"/>
      <c r="DA976" s="60"/>
      <c r="DB976" s="60"/>
      <c r="DC976" s="60"/>
      <c r="DD976" s="60"/>
      <c r="DE976" s="60"/>
      <c r="DF976" s="60"/>
      <c r="DG976" s="60"/>
      <c r="DH976" s="60"/>
      <c r="DI976" s="60"/>
      <c r="DJ976" s="60"/>
      <c r="DK976" s="60"/>
      <c r="DL976" s="60"/>
      <c r="DM976" s="60"/>
      <c r="DN976" s="60"/>
      <c r="DO976" s="60"/>
      <c r="DP976" s="60"/>
      <c r="DQ976" s="60"/>
      <c r="DR976" s="60"/>
      <c r="DS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60"/>
      <c r="BH977" s="60"/>
      <c r="BI977" s="60"/>
      <c r="BJ977" s="60"/>
      <c r="BK977" s="60"/>
      <c r="BL977" s="60"/>
      <c r="BM977" s="60"/>
      <c r="BN977" s="60"/>
      <c r="BO977" s="60"/>
      <c r="BP977" s="60"/>
      <c r="BQ977" s="60"/>
      <c r="BR977" s="60"/>
      <c r="BS977" s="60"/>
      <c r="BT977" s="60"/>
      <c r="BU977" s="60"/>
      <c r="BV977" s="60"/>
      <c r="BW977" s="60"/>
      <c r="BX977" s="60"/>
      <c r="BY977" s="60"/>
      <c r="BZ977" s="60"/>
      <c r="CA977" s="60"/>
      <c r="CB977" s="60"/>
      <c r="CC977" s="60"/>
      <c r="CD977" s="60"/>
      <c r="CE977" s="60"/>
      <c r="CF977" s="60"/>
      <c r="CG977" s="60"/>
      <c r="CH977" s="60"/>
      <c r="CI977" s="60"/>
      <c r="CJ977" s="60"/>
      <c r="CK977" s="60"/>
      <c r="CL977" s="60"/>
      <c r="CM977" s="60"/>
      <c r="CN977" s="60"/>
      <c r="CO977" s="60"/>
      <c r="CP977" s="60"/>
      <c r="CQ977" s="60"/>
      <c r="CR977" s="60"/>
      <c r="CS977" s="60"/>
      <c r="CT977" s="60"/>
      <c r="CU977" s="60"/>
      <c r="CV977" s="60"/>
      <c r="CW977" s="60"/>
      <c r="CX977" s="60"/>
      <c r="CY977" s="60"/>
      <c r="CZ977" s="60"/>
      <c r="DA977" s="60"/>
      <c r="DB977" s="60"/>
      <c r="DC977" s="60"/>
      <c r="DD977" s="60"/>
      <c r="DE977" s="60"/>
      <c r="DF977" s="60"/>
      <c r="DG977" s="60"/>
      <c r="DH977" s="60"/>
      <c r="DI977" s="60"/>
      <c r="DJ977" s="60"/>
      <c r="DK977" s="60"/>
      <c r="DL977" s="60"/>
      <c r="DM977" s="60"/>
      <c r="DN977" s="60"/>
      <c r="DO977" s="60"/>
      <c r="DP977" s="60"/>
      <c r="DQ977" s="60"/>
      <c r="DR977" s="60"/>
      <c r="DS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  <c r="BG978" s="60"/>
      <c r="BH978" s="60"/>
      <c r="BI978" s="60"/>
      <c r="BJ978" s="60"/>
      <c r="BK978" s="60"/>
      <c r="BL978" s="60"/>
      <c r="BM978" s="60"/>
      <c r="BN978" s="60"/>
      <c r="BO978" s="60"/>
      <c r="BP978" s="60"/>
      <c r="BQ978" s="60"/>
      <c r="BR978" s="60"/>
      <c r="BS978" s="60"/>
      <c r="BT978" s="60"/>
      <c r="BU978" s="60"/>
      <c r="BV978" s="60"/>
      <c r="BW978" s="60"/>
      <c r="BX978" s="60"/>
      <c r="BY978" s="60"/>
      <c r="BZ978" s="60"/>
      <c r="CA978" s="60"/>
      <c r="CB978" s="60"/>
      <c r="CC978" s="60"/>
      <c r="CD978" s="60"/>
      <c r="CE978" s="60"/>
      <c r="CF978" s="60"/>
      <c r="CG978" s="60"/>
      <c r="CH978" s="60"/>
      <c r="CI978" s="60"/>
      <c r="CJ978" s="60"/>
      <c r="CK978" s="60"/>
      <c r="CL978" s="60"/>
      <c r="CM978" s="60"/>
      <c r="CN978" s="60"/>
      <c r="CO978" s="60"/>
      <c r="CP978" s="60"/>
      <c r="CQ978" s="60"/>
      <c r="CR978" s="60"/>
      <c r="CS978" s="60"/>
      <c r="CT978" s="60"/>
      <c r="CU978" s="60"/>
      <c r="CV978" s="60"/>
      <c r="CW978" s="60"/>
      <c r="CX978" s="60"/>
      <c r="CY978" s="60"/>
      <c r="CZ978" s="60"/>
      <c r="DA978" s="60"/>
      <c r="DB978" s="60"/>
      <c r="DC978" s="60"/>
      <c r="DD978" s="60"/>
      <c r="DE978" s="60"/>
      <c r="DF978" s="60"/>
      <c r="DG978" s="60"/>
      <c r="DH978" s="60"/>
      <c r="DI978" s="60"/>
      <c r="DJ978" s="60"/>
      <c r="DK978" s="60"/>
      <c r="DL978" s="60"/>
      <c r="DM978" s="60"/>
      <c r="DN978" s="60"/>
      <c r="DO978" s="60"/>
      <c r="DP978" s="60"/>
      <c r="DQ978" s="60"/>
      <c r="DR978" s="60"/>
      <c r="DS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  <c r="BG979" s="60"/>
      <c r="BH979" s="60"/>
      <c r="BI979" s="60"/>
      <c r="BJ979" s="60"/>
      <c r="BK979" s="60"/>
      <c r="BL979" s="60"/>
      <c r="BM979" s="60"/>
      <c r="BN979" s="60"/>
      <c r="BO979" s="60"/>
      <c r="BP979" s="60"/>
      <c r="BQ979" s="60"/>
      <c r="BR979" s="60"/>
      <c r="BS979" s="60"/>
      <c r="BT979" s="60"/>
      <c r="BU979" s="60"/>
      <c r="BV979" s="60"/>
      <c r="BW979" s="60"/>
      <c r="BX979" s="60"/>
      <c r="BY979" s="60"/>
      <c r="BZ979" s="60"/>
      <c r="CA979" s="60"/>
      <c r="CB979" s="60"/>
      <c r="CC979" s="60"/>
      <c r="CD979" s="60"/>
      <c r="CE979" s="60"/>
      <c r="CF979" s="60"/>
      <c r="CG979" s="60"/>
      <c r="CH979" s="60"/>
      <c r="CI979" s="60"/>
      <c r="CJ979" s="60"/>
      <c r="CK979" s="60"/>
      <c r="CL979" s="60"/>
      <c r="CM979" s="60"/>
      <c r="CN979" s="60"/>
      <c r="CO979" s="60"/>
      <c r="CP979" s="60"/>
      <c r="CQ979" s="60"/>
      <c r="CR979" s="60"/>
      <c r="CS979" s="60"/>
      <c r="CT979" s="60"/>
      <c r="CU979" s="60"/>
      <c r="CV979" s="60"/>
      <c r="CW979" s="60"/>
      <c r="CX979" s="60"/>
      <c r="CY979" s="60"/>
      <c r="CZ979" s="60"/>
      <c r="DA979" s="60"/>
      <c r="DB979" s="60"/>
      <c r="DC979" s="60"/>
      <c r="DD979" s="60"/>
      <c r="DE979" s="60"/>
      <c r="DF979" s="60"/>
      <c r="DG979" s="60"/>
      <c r="DH979" s="60"/>
      <c r="DI979" s="60"/>
      <c r="DJ979" s="60"/>
      <c r="DK979" s="60"/>
      <c r="DL979" s="60"/>
      <c r="DM979" s="60"/>
      <c r="DN979" s="60"/>
      <c r="DO979" s="60"/>
      <c r="DP979" s="60"/>
      <c r="DQ979" s="60"/>
      <c r="DR979" s="60"/>
      <c r="DS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  <c r="BG980" s="60"/>
      <c r="BH980" s="60"/>
      <c r="BI980" s="60"/>
      <c r="BJ980" s="60"/>
      <c r="BK980" s="60"/>
      <c r="BL980" s="60"/>
      <c r="BM980" s="60"/>
      <c r="BN980" s="60"/>
      <c r="BO980" s="60"/>
      <c r="BP980" s="60"/>
      <c r="BQ980" s="60"/>
      <c r="BR980" s="60"/>
      <c r="BS980" s="60"/>
      <c r="BT980" s="60"/>
      <c r="BU980" s="60"/>
      <c r="BV980" s="60"/>
      <c r="BW980" s="60"/>
      <c r="BX980" s="60"/>
      <c r="BY980" s="60"/>
      <c r="BZ980" s="60"/>
      <c r="CA980" s="60"/>
      <c r="CB980" s="60"/>
      <c r="CC980" s="60"/>
      <c r="CD980" s="60"/>
      <c r="CE980" s="60"/>
      <c r="CF980" s="60"/>
      <c r="CG980" s="60"/>
      <c r="CH980" s="60"/>
      <c r="CI980" s="60"/>
      <c r="CJ980" s="60"/>
      <c r="CK980" s="60"/>
      <c r="CL980" s="60"/>
      <c r="CM980" s="60"/>
      <c r="CN980" s="60"/>
      <c r="CO980" s="60"/>
      <c r="CP980" s="60"/>
      <c r="CQ980" s="60"/>
      <c r="CR980" s="60"/>
      <c r="CS980" s="60"/>
      <c r="CT980" s="60"/>
      <c r="CU980" s="60"/>
      <c r="CV980" s="60"/>
      <c r="CW980" s="60"/>
      <c r="CX980" s="60"/>
      <c r="CY980" s="60"/>
      <c r="CZ980" s="60"/>
      <c r="DA980" s="60"/>
      <c r="DB980" s="60"/>
      <c r="DC980" s="60"/>
      <c r="DD980" s="60"/>
      <c r="DE980" s="60"/>
      <c r="DF980" s="60"/>
      <c r="DG980" s="60"/>
      <c r="DH980" s="60"/>
      <c r="DI980" s="60"/>
      <c r="DJ980" s="60"/>
      <c r="DK980" s="60"/>
      <c r="DL980" s="60"/>
      <c r="DM980" s="60"/>
      <c r="DN980" s="60"/>
      <c r="DO980" s="60"/>
      <c r="DP980" s="60"/>
      <c r="DQ980" s="60"/>
      <c r="DR980" s="60"/>
      <c r="DS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  <c r="BG981" s="60"/>
      <c r="BH981" s="60"/>
      <c r="BI981" s="60"/>
      <c r="BJ981" s="60"/>
      <c r="BK981" s="60"/>
      <c r="BL981" s="60"/>
      <c r="BM981" s="60"/>
      <c r="BN981" s="60"/>
      <c r="BO981" s="60"/>
      <c r="BP981" s="60"/>
      <c r="BQ981" s="60"/>
      <c r="BR981" s="60"/>
      <c r="BS981" s="60"/>
      <c r="BT981" s="60"/>
      <c r="BU981" s="60"/>
      <c r="BV981" s="60"/>
      <c r="BW981" s="60"/>
      <c r="BX981" s="60"/>
      <c r="BY981" s="60"/>
      <c r="BZ981" s="60"/>
      <c r="CA981" s="60"/>
      <c r="CB981" s="60"/>
      <c r="CC981" s="60"/>
      <c r="CD981" s="60"/>
      <c r="CE981" s="60"/>
      <c r="CF981" s="60"/>
      <c r="CG981" s="60"/>
      <c r="CH981" s="60"/>
      <c r="CI981" s="60"/>
      <c r="CJ981" s="60"/>
      <c r="CK981" s="60"/>
      <c r="CL981" s="60"/>
      <c r="CM981" s="60"/>
      <c r="CN981" s="60"/>
      <c r="CO981" s="60"/>
      <c r="CP981" s="60"/>
      <c r="CQ981" s="60"/>
      <c r="CR981" s="60"/>
      <c r="CS981" s="60"/>
      <c r="CT981" s="60"/>
      <c r="CU981" s="60"/>
      <c r="CV981" s="60"/>
      <c r="CW981" s="60"/>
      <c r="CX981" s="60"/>
      <c r="CY981" s="60"/>
      <c r="CZ981" s="60"/>
      <c r="DA981" s="60"/>
      <c r="DB981" s="60"/>
      <c r="DC981" s="60"/>
      <c r="DD981" s="60"/>
      <c r="DE981" s="60"/>
      <c r="DF981" s="60"/>
      <c r="DG981" s="60"/>
      <c r="DH981" s="60"/>
      <c r="DI981" s="60"/>
      <c r="DJ981" s="60"/>
      <c r="DK981" s="60"/>
      <c r="DL981" s="60"/>
      <c r="DM981" s="60"/>
      <c r="DN981" s="60"/>
      <c r="DO981" s="60"/>
      <c r="DP981" s="60"/>
      <c r="DQ981" s="60"/>
      <c r="DR981" s="60"/>
      <c r="DS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  <c r="BG982" s="60"/>
      <c r="BH982" s="60"/>
      <c r="BI982" s="60"/>
      <c r="BJ982" s="60"/>
      <c r="BK982" s="60"/>
      <c r="BL982" s="60"/>
      <c r="BM982" s="60"/>
      <c r="BN982" s="60"/>
      <c r="BO982" s="60"/>
      <c r="BP982" s="60"/>
      <c r="BQ982" s="60"/>
      <c r="BR982" s="60"/>
      <c r="BS982" s="60"/>
      <c r="BT982" s="60"/>
      <c r="BU982" s="60"/>
      <c r="BV982" s="60"/>
      <c r="BW982" s="60"/>
      <c r="BX982" s="60"/>
      <c r="BY982" s="60"/>
      <c r="BZ982" s="60"/>
      <c r="CA982" s="60"/>
      <c r="CB982" s="60"/>
      <c r="CC982" s="60"/>
      <c r="CD982" s="60"/>
      <c r="CE982" s="60"/>
      <c r="CF982" s="60"/>
      <c r="CG982" s="60"/>
      <c r="CH982" s="60"/>
      <c r="CI982" s="60"/>
      <c r="CJ982" s="60"/>
      <c r="CK982" s="60"/>
      <c r="CL982" s="60"/>
      <c r="CM982" s="60"/>
      <c r="CN982" s="60"/>
      <c r="CO982" s="60"/>
      <c r="CP982" s="60"/>
      <c r="CQ982" s="60"/>
      <c r="CR982" s="60"/>
      <c r="CS982" s="60"/>
      <c r="CT982" s="60"/>
      <c r="CU982" s="60"/>
      <c r="CV982" s="60"/>
      <c r="CW982" s="60"/>
      <c r="CX982" s="60"/>
      <c r="CY982" s="60"/>
      <c r="CZ982" s="60"/>
      <c r="DA982" s="60"/>
      <c r="DB982" s="60"/>
      <c r="DC982" s="60"/>
      <c r="DD982" s="60"/>
      <c r="DE982" s="60"/>
      <c r="DF982" s="60"/>
      <c r="DG982" s="60"/>
      <c r="DH982" s="60"/>
      <c r="DI982" s="60"/>
      <c r="DJ982" s="60"/>
      <c r="DK982" s="60"/>
      <c r="DL982" s="60"/>
      <c r="DM982" s="60"/>
      <c r="DN982" s="60"/>
      <c r="DO982" s="60"/>
      <c r="DP982" s="60"/>
      <c r="DQ982" s="60"/>
      <c r="DR982" s="60"/>
      <c r="DS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  <c r="BG983" s="60"/>
      <c r="BH983" s="60"/>
      <c r="BI983" s="60"/>
      <c r="BJ983" s="60"/>
      <c r="BK983" s="60"/>
      <c r="BL983" s="60"/>
      <c r="BM983" s="60"/>
      <c r="BN983" s="60"/>
      <c r="BO983" s="60"/>
      <c r="BP983" s="60"/>
      <c r="BQ983" s="60"/>
      <c r="BR983" s="60"/>
      <c r="BS983" s="60"/>
      <c r="BT983" s="60"/>
      <c r="BU983" s="60"/>
      <c r="BV983" s="60"/>
      <c r="BW983" s="60"/>
      <c r="BX983" s="60"/>
      <c r="BY983" s="60"/>
      <c r="BZ983" s="60"/>
      <c r="CA983" s="60"/>
      <c r="CB983" s="60"/>
      <c r="CC983" s="60"/>
      <c r="CD983" s="60"/>
      <c r="CE983" s="60"/>
      <c r="CF983" s="60"/>
      <c r="CG983" s="60"/>
      <c r="CH983" s="60"/>
      <c r="CI983" s="60"/>
      <c r="CJ983" s="60"/>
      <c r="CK983" s="60"/>
      <c r="CL983" s="60"/>
      <c r="CM983" s="60"/>
      <c r="CN983" s="60"/>
      <c r="CO983" s="60"/>
      <c r="CP983" s="60"/>
      <c r="CQ983" s="60"/>
      <c r="CR983" s="60"/>
      <c r="CS983" s="60"/>
      <c r="CT983" s="60"/>
      <c r="CU983" s="60"/>
      <c r="CV983" s="60"/>
      <c r="CW983" s="60"/>
      <c r="CX983" s="60"/>
      <c r="CY983" s="60"/>
      <c r="CZ983" s="60"/>
      <c r="DA983" s="60"/>
      <c r="DB983" s="60"/>
      <c r="DC983" s="60"/>
      <c r="DD983" s="60"/>
      <c r="DE983" s="60"/>
      <c r="DF983" s="60"/>
      <c r="DG983" s="60"/>
      <c r="DH983" s="60"/>
      <c r="DI983" s="60"/>
      <c r="DJ983" s="60"/>
      <c r="DK983" s="60"/>
      <c r="DL983" s="60"/>
      <c r="DM983" s="60"/>
      <c r="DN983" s="60"/>
      <c r="DO983" s="60"/>
      <c r="DP983" s="60"/>
      <c r="DQ983" s="60"/>
      <c r="DR983" s="60"/>
      <c r="DS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  <c r="BG984" s="60"/>
      <c r="BH984" s="60"/>
      <c r="BI984" s="60"/>
      <c r="BJ984" s="60"/>
      <c r="BK984" s="60"/>
      <c r="BL984" s="60"/>
      <c r="BM984" s="60"/>
      <c r="BN984" s="60"/>
      <c r="BO984" s="60"/>
      <c r="BP984" s="60"/>
      <c r="BQ984" s="60"/>
      <c r="BR984" s="60"/>
      <c r="BS984" s="60"/>
      <c r="BT984" s="60"/>
      <c r="BU984" s="60"/>
      <c r="BV984" s="60"/>
      <c r="BW984" s="60"/>
      <c r="BX984" s="60"/>
      <c r="BY984" s="60"/>
      <c r="BZ984" s="60"/>
      <c r="CA984" s="60"/>
      <c r="CB984" s="60"/>
      <c r="CC984" s="60"/>
      <c r="CD984" s="60"/>
      <c r="CE984" s="60"/>
      <c r="CF984" s="60"/>
      <c r="CG984" s="60"/>
      <c r="CH984" s="60"/>
      <c r="CI984" s="60"/>
      <c r="CJ984" s="60"/>
      <c r="CK984" s="60"/>
      <c r="CL984" s="60"/>
      <c r="CM984" s="60"/>
      <c r="CN984" s="60"/>
      <c r="CO984" s="60"/>
      <c r="CP984" s="60"/>
      <c r="CQ984" s="60"/>
      <c r="CR984" s="60"/>
      <c r="CS984" s="60"/>
      <c r="CT984" s="60"/>
      <c r="CU984" s="60"/>
      <c r="CV984" s="60"/>
      <c r="CW984" s="60"/>
      <c r="CX984" s="60"/>
      <c r="CY984" s="60"/>
      <c r="CZ984" s="60"/>
      <c r="DA984" s="60"/>
      <c r="DB984" s="60"/>
      <c r="DC984" s="60"/>
      <c r="DD984" s="60"/>
      <c r="DE984" s="60"/>
      <c r="DF984" s="60"/>
      <c r="DG984" s="60"/>
      <c r="DH984" s="60"/>
      <c r="DI984" s="60"/>
      <c r="DJ984" s="60"/>
      <c r="DK984" s="60"/>
      <c r="DL984" s="60"/>
      <c r="DM984" s="60"/>
      <c r="DN984" s="60"/>
      <c r="DO984" s="60"/>
      <c r="DP984" s="60"/>
      <c r="DQ984" s="60"/>
      <c r="DR984" s="60"/>
      <c r="DS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60"/>
      <c r="BH985" s="60"/>
      <c r="BI985" s="60"/>
      <c r="BJ985" s="60"/>
      <c r="BK985" s="60"/>
      <c r="BL985" s="60"/>
      <c r="BM985" s="60"/>
      <c r="BN985" s="60"/>
      <c r="BO985" s="60"/>
      <c r="BP985" s="60"/>
      <c r="BQ985" s="60"/>
      <c r="BR985" s="60"/>
      <c r="BS985" s="60"/>
      <c r="BT985" s="60"/>
      <c r="BU985" s="60"/>
      <c r="BV985" s="60"/>
      <c r="BW985" s="60"/>
      <c r="BX985" s="60"/>
      <c r="BY985" s="60"/>
      <c r="BZ985" s="60"/>
      <c r="CA985" s="60"/>
      <c r="CB985" s="60"/>
      <c r="CC985" s="60"/>
      <c r="CD985" s="60"/>
      <c r="CE985" s="60"/>
      <c r="CF985" s="60"/>
      <c r="CG985" s="60"/>
      <c r="CH985" s="60"/>
      <c r="CI985" s="60"/>
      <c r="CJ985" s="60"/>
      <c r="CK985" s="60"/>
      <c r="CL985" s="60"/>
      <c r="CM985" s="60"/>
      <c r="CN985" s="60"/>
      <c r="CO985" s="60"/>
      <c r="CP985" s="60"/>
      <c r="CQ985" s="60"/>
      <c r="CR985" s="60"/>
      <c r="CS985" s="60"/>
      <c r="CT985" s="60"/>
      <c r="CU985" s="60"/>
      <c r="CV985" s="60"/>
      <c r="CW985" s="60"/>
      <c r="CX985" s="60"/>
      <c r="CY985" s="60"/>
      <c r="CZ985" s="60"/>
      <c r="DA985" s="60"/>
      <c r="DB985" s="60"/>
      <c r="DC985" s="60"/>
      <c r="DD985" s="60"/>
      <c r="DE985" s="60"/>
      <c r="DF985" s="60"/>
      <c r="DG985" s="60"/>
      <c r="DH985" s="60"/>
      <c r="DI985" s="60"/>
      <c r="DJ985" s="60"/>
      <c r="DK985" s="60"/>
      <c r="DL985" s="60"/>
      <c r="DM985" s="60"/>
      <c r="DN985" s="60"/>
      <c r="DO985" s="60"/>
      <c r="DP985" s="60"/>
      <c r="DQ985" s="60"/>
      <c r="DR985" s="60"/>
      <c r="DS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  <c r="BG986" s="60"/>
      <c r="BH986" s="60"/>
      <c r="BI986" s="60"/>
      <c r="BJ986" s="60"/>
      <c r="BK986" s="60"/>
      <c r="BL986" s="60"/>
      <c r="BM986" s="60"/>
      <c r="BN986" s="60"/>
      <c r="BO986" s="60"/>
      <c r="BP986" s="60"/>
      <c r="BQ986" s="60"/>
      <c r="BR986" s="60"/>
      <c r="BS986" s="60"/>
      <c r="BT986" s="60"/>
      <c r="BU986" s="60"/>
      <c r="BV986" s="60"/>
      <c r="BW986" s="60"/>
      <c r="BX986" s="60"/>
      <c r="BY986" s="60"/>
      <c r="BZ986" s="60"/>
      <c r="CA986" s="60"/>
      <c r="CB986" s="60"/>
      <c r="CC986" s="60"/>
      <c r="CD986" s="60"/>
      <c r="CE986" s="60"/>
      <c r="CF986" s="60"/>
      <c r="CG986" s="60"/>
      <c r="CH986" s="60"/>
      <c r="CI986" s="60"/>
      <c r="CJ986" s="60"/>
      <c r="CK986" s="60"/>
      <c r="CL986" s="60"/>
      <c r="CM986" s="60"/>
      <c r="CN986" s="60"/>
      <c r="CO986" s="60"/>
      <c r="CP986" s="60"/>
      <c r="CQ986" s="60"/>
      <c r="CR986" s="60"/>
      <c r="CS986" s="60"/>
      <c r="CT986" s="60"/>
      <c r="CU986" s="60"/>
      <c r="CV986" s="60"/>
      <c r="CW986" s="60"/>
      <c r="CX986" s="60"/>
      <c r="CY986" s="60"/>
      <c r="CZ986" s="60"/>
      <c r="DA986" s="60"/>
      <c r="DB986" s="60"/>
      <c r="DC986" s="60"/>
      <c r="DD986" s="60"/>
      <c r="DE986" s="60"/>
      <c r="DF986" s="60"/>
      <c r="DG986" s="60"/>
      <c r="DH986" s="60"/>
      <c r="DI986" s="60"/>
      <c r="DJ986" s="60"/>
      <c r="DK986" s="60"/>
      <c r="DL986" s="60"/>
      <c r="DM986" s="60"/>
      <c r="DN986" s="60"/>
      <c r="DO986" s="60"/>
      <c r="DP986" s="60"/>
      <c r="DQ986" s="60"/>
      <c r="DR986" s="60"/>
      <c r="DS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  <c r="BG987" s="60"/>
      <c r="BH987" s="60"/>
      <c r="BI987" s="60"/>
      <c r="BJ987" s="60"/>
      <c r="BK987" s="60"/>
      <c r="BL987" s="60"/>
      <c r="BM987" s="60"/>
      <c r="BN987" s="60"/>
      <c r="BO987" s="60"/>
      <c r="BP987" s="60"/>
      <c r="BQ987" s="60"/>
      <c r="BR987" s="60"/>
      <c r="BS987" s="60"/>
      <c r="BT987" s="60"/>
      <c r="BU987" s="60"/>
      <c r="BV987" s="60"/>
      <c r="BW987" s="60"/>
      <c r="BX987" s="60"/>
      <c r="BY987" s="60"/>
      <c r="BZ987" s="60"/>
      <c r="CA987" s="60"/>
      <c r="CB987" s="60"/>
      <c r="CC987" s="60"/>
      <c r="CD987" s="60"/>
      <c r="CE987" s="60"/>
      <c r="CF987" s="60"/>
      <c r="CG987" s="60"/>
      <c r="CH987" s="60"/>
      <c r="CI987" s="60"/>
      <c r="CJ987" s="60"/>
      <c r="CK987" s="60"/>
      <c r="CL987" s="60"/>
      <c r="CM987" s="60"/>
      <c r="CN987" s="60"/>
      <c r="CO987" s="60"/>
      <c r="CP987" s="60"/>
      <c r="CQ987" s="60"/>
      <c r="CR987" s="60"/>
      <c r="CS987" s="60"/>
      <c r="CT987" s="60"/>
      <c r="CU987" s="60"/>
      <c r="CV987" s="60"/>
      <c r="CW987" s="60"/>
      <c r="CX987" s="60"/>
      <c r="CY987" s="60"/>
      <c r="CZ987" s="60"/>
      <c r="DA987" s="60"/>
      <c r="DB987" s="60"/>
      <c r="DC987" s="60"/>
      <c r="DD987" s="60"/>
      <c r="DE987" s="60"/>
      <c r="DF987" s="60"/>
      <c r="DG987" s="60"/>
      <c r="DH987" s="60"/>
      <c r="DI987" s="60"/>
      <c r="DJ987" s="60"/>
      <c r="DK987" s="60"/>
      <c r="DL987" s="60"/>
      <c r="DM987" s="60"/>
      <c r="DN987" s="60"/>
      <c r="DO987" s="60"/>
      <c r="DP987" s="60"/>
      <c r="DQ987" s="60"/>
      <c r="DR987" s="60"/>
      <c r="DS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60"/>
      <c r="BH988" s="60"/>
      <c r="BI988" s="60"/>
      <c r="BJ988" s="60"/>
      <c r="BK988" s="60"/>
      <c r="BL988" s="60"/>
      <c r="BM988" s="60"/>
      <c r="BN988" s="60"/>
      <c r="BO988" s="60"/>
      <c r="BP988" s="60"/>
      <c r="BQ988" s="60"/>
      <c r="BR988" s="60"/>
      <c r="BS988" s="60"/>
      <c r="BT988" s="60"/>
      <c r="BU988" s="60"/>
      <c r="BV988" s="60"/>
      <c r="BW988" s="60"/>
      <c r="BX988" s="60"/>
      <c r="BY988" s="60"/>
      <c r="BZ988" s="60"/>
      <c r="CA988" s="60"/>
      <c r="CB988" s="60"/>
      <c r="CC988" s="60"/>
      <c r="CD988" s="60"/>
      <c r="CE988" s="60"/>
      <c r="CF988" s="60"/>
      <c r="CG988" s="60"/>
      <c r="CH988" s="60"/>
      <c r="CI988" s="60"/>
      <c r="CJ988" s="60"/>
      <c r="CK988" s="60"/>
      <c r="CL988" s="60"/>
      <c r="CM988" s="60"/>
      <c r="CN988" s="60"/>
      <c r="CO988" s="60"/>
      <c r="CP988" s="60"/>
      <c r="CQ988" s="60"/>
      <c r="CR988" s="60"/>
      <c r="CS988" s="60"/>
      <c r="CT988" s="60"/>
      <c r="CU988" s="60"/>
      <c r="CV988" s="60"/>
      <c r="CW988" s="60"/>
      <c r="CX988" s="60"/>
      <c r="CY988" s="60"/>
      <c r="CZ988" s="60"/>
      <c r="DA988" s="60"/>
      <c r="DB988" s="60"/>
      <c r="DC988" s="60"/>
      <c r="DD988" s="60"/>
      <c r="DE988" s="60"/>
      <c r="DF988" s="60"/>
      <c r="DG988" s="60"/>
      <c r="DH988" s="60"/>
      <c r="DI988" s="60"/>
      <c r="DJ988" s="60"/>
      <c r="DK988" s="60"/>
      <c r="DL988" s="60"/>
      <c r="DM988" s="60"/>
      <c r="DN988" s="60"/>
      <c r="DO988" s="60"/>
      <c r="DP988" s="60"/>
      <c r="DQ988" s="60"/>
      <c r="DR988" s="60"/>
      <c r="DS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  <c r="BG989" s="60"/>
      <c r="BH989" s="60"/>
      <c r="BI989" s="60"/>
      <c r="BJ989" s="60"/>
      <c r="BK989" s="60"/>
      <c r="BL989" s="60"/>
      <c r="BM989" s="60"/>
      <c r="BN989" s="60"/>
      <c r="BO989" s="60"/>
      <c r="BP989" s="60"/>
      <c r="BQ989" s="60"/>
      <c r="BR989" s="60"/>
      <c r="BS989" s="60"/>
      <c r="BT989" s="60"/>
      <c r="BU989" s="60"/>
      <c r="BV989" s="60"/>
      <c r="BW989" s="60"/>
      <c r="BX989" s="60"/>
      <c r="BY989" s="60"/>
      <c r="BZ989" s="60"/>
      <c r="CA989" s="60"/>
      <c r="CB989" s="60"/>
      <c r="CC989" s="60"/>
      <c r="CD989" s="60"/>
      <c r="CE989" s="60"/>
      <c r="CF989" s="60"/>
      <c r="CG989" s="60"/>
      <c r="CH989" s="60"/>
      <c r="CI989" s="60"/>
      <c r="CJ989" s="60"/>
      <c r="CK989" s="60"/>
      <c r="CL989" s="60"/>
      <c r="CM989" s="60"/>
      <c r="CN989" s="60"/>
      <c r="CO989" s="60"/>
      <c r="CP989" s="60"/>
      <c r="CQ989" s="60"/>
      <c r="CR989" s="60"/>
      <c r="CS989" s="60"/>
      <c r="CT989" s="60"/>
      <c r="CU989" s="60"/>
      <c r="CV989" s="60"/>
      <c r="CW989" s="60"/>
      <c r="CX989" s="60"/>
      <c r="CY989" s="60"/>
      <c r="CZ989" s="60"/>
      <c r="DA989" s="60"/>
      <c r="DB989" s="60"/>
      <c r="DC989" s="60"/>
      <c r="DD989" s="60"/>
      <c r="DE989" s="60"/>
      <c r="DF989" s="60"/>
      <c r="DG989" s="60"/>
      <c r="DH989" s="60"/>
      <c r="DI989" s="60"/>
      <c r="DJ989" s="60"/>
      <c r="DK989" s="60"/>
      <c r="DL989" s="60"/>
      <c r="DM989" s="60"/>
      <c r="DN989" s="60"/>
      <c r="DO989" s="60"/>
      <c r="DP989" s="60"/>
      <c r="DQ989" s="60"/>
      <c r="DR989" s="60"/>
      <c r="DS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60"/>
      <c r="BH990" s="60"/>
      <c r="BI990" s="60"/>
      <c r="BJ990" s="60"/>
      <c r="BK990" s="60"/>
      <c r="BL990" s="60"/>
      <c r="BM990" s="60"/>
      <c r="BN990" s="60"/>
      <c r="BO990" s="60"/>
      <c r="BP990" s="60"/>
      <c r="BQ990" s="60"/>
      <c r="BR990" s="60"/>
      <c r="BS990" s="60"/>
      <c r="BT990" s="60"/>
      <c r="BU990" s="60"/>
      <c r="BV990" s="60"/>
      <c r="BW990" s="60"/>
      <c r="BX990" s="60"/>
      <c r="BY990" s="60"/>
      <c r="BZ990" s="60"/>
      <c r="CA990" s="60"/>
      <c r="CB990" s="60"/>
      <c r="CC990" s="60"/>
      <c r="CD990" s="60"/>
      <c r="CE990" s="60"/>
      <c r="CF990" s="60"/>
      <c r="CG990" s="60"/>
      <c r="CH990" s="60"/>
      <c r="CI990" s="60"/>
      <c r="CJ990" s="60"/>
      <c r="CK990" s="60"/>
      <c r="CL990" s="60"/>
      <c r="CM990" s="60"/>
      <c r="CN990" s="60"/>
      <c r="CO990" s="60"/>
      <c r="CP990" s="60"/>
      <c r="CQ990" s="60"/>
      <c r="CR990" s="60"/>
      <c r="CS990" s="60"/>
      <c r="CT990" s="60"/>
      <c r="CU990" s="60"/>
      <c r="CV990" s="60"/>
      <c r="CW990" s="60"/>
      <c r="CX990" s="60"/>
      <c r="CY990" s="60"/>
      <c r="CZ990" s="60"/>
      <c r="DA990" s="60"/>
      <c r="DB990" s="60"/>
      <c r="DC990" s="60"/>
      <c r="DD990" s="60"/>
      <c r="DE990" s="60"/>
      <c r="DF990" s="60"/>
      <c r="DG990" s="60"/>
      <c r="DH990" s="60"/>
      <c r="DI990" s="60"/>
      <c r="DJ990" s="60"/>
      <c r="DK990" s="60"/>
      <c r="DL990" s="60"/>
      <c r="DM990" s="60"/>
      <c r="DN990" s="60"/>
      <c r="DO990" s="60"/>
      <c r="DP990" s="60"/>
      <c r="DQ990" s="60"/>
      <c r="DR990" s="60"/>
      <c r="DS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  <c r="BG991" s="60"/>
      <c r="BH991" s="60"/>
      <c r="BI991" s="60"/>
      <c r="BJ991" s="60"/>
      <c r="BK991" s="60"/>
      <c r="BL991" s="60"/>
      <c r="BM991" s="60"/>
      <c r="BN991" s="60"/>
      <c r="BO991" s="60"/>
      <c r="BP991" s="60"/>
      <c r="BQ991" s="60"/>
      <c r="BR991" s="60"/>
      <c r="BS991" s="60"/>
      <c r="BT991" s="60"/>
      <c r="BU991" s="60"/>
      <c r="BV991" s="60"/>
      <c r="BW991" s="60"/>
      <c r="BX991" s="60"/>
      <c r="BY991" s="60"/>
      <c r="BZ991" s="60"/>
      <c r="CA991" s="60"/>
      <c r="CB991" s="60"/>
      <c r="CC991" s="60"/>
      <c r="CD991" s="60"/>
      <c r="CE991" s="60"/>
      <c r="CF991" s="60"/>
      <c r="CG991" s="60"/>
      <c r="CH991" s="60"/>
      <c r="CI991" s="60"/>
      <c r="CJ991" s="60"/>
      <c r="CK991" s="60"/>
      <c r="CL991" s="60"/>
      <c r="CM991" s="60"/>
      <c r="CN991" s="60"/>
      <c r="CO991" s="60"/>
      <c r="CP991" s="60"/>
      <c r="CQ991" s="60"/>
      <c r="CR991" s="60"/>
      <c r="CS991" s="60"/>
      <c r="CT991" s="60"/>
      <c r="CU991" s="60"/>
      <c r="CV991" s="60"/>
      <c r="CW991" s="60"/>
      <c r="CX991" s="60"/>
      <c r="CY991" s="60"/>
      <c r="CZ991" s="60"/>
      <c r="DA991" s="60"/>
      <c r="DB991" s="60"/>
      <c r="DC991" s="60"/>
      <c r="DD991" s="60"/>
      <c r="DE991" s="60"/>
      <c r="DF991" s="60"/>
      <c r="DG991" s="60"/>
      <c r="DH991" s="60"/>
      <c r="DI991" s="60"/>
      <c r="DJ991" s="60"/>
      <c r="DK991" s="60"/>
      <c r="DL991" s="60"/>
      <c r="DM991" s="60"/>
      <c r="DN991" s="60"/>
      <c r="DO991" s="60"/>
      <c r="DP991" s="60"/>
      <c r="DQ991" s="60"/>
      <c r="DR991" s="60"/>
      <c r="DS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  <c r="BG992" s="60"/>
      <c r="BH992" s="60"/>
      <c r="BI992" s="60"/>
      <c r="BJ992" s="60"/>
      <c r="BK992" s="60"/>
      <c r="BL992" s="60"/>
      <c r="BM992" s="60"/>
      <c r="BN992" s="60"/>
      <c r="BO992" s="60"/>
      <c r="BP992" s="60"/>
      <c r="BQ992" s="60"/>
      <c r="BR992" s="60"/>
      <c r="BS992" s="60"/>
      <c r="BT992" s="60"/>
      <c r="BU992" s="60"/>
      <c r="BV992" s="60"/>
      <c r="BW992" s="60"/>
      <c r="BX992" s="60"/>
      <c r="BY992" s="60"/>
      <c r="BZ992" s="60"/>
      <c r="CA992" s="60"/>
      <c r="CB992" s="60"/>
      <c r="CC992" s="60"/>
      <c r="CD992" s="60"/>
      <c r="CE992" s="60"/>
      <c r="CF992" s="60"/>
      <c r="CG992" s="60"/>
      <c r="CH992" s="60"/>
      <c r="CI992" s="60"/>
      <c r="CJ992" s="60"/>
      <c r="CK992" s="60"/>
      <c r="CL992" s="60"/>
      <c r="CM992" s="60"/>
      <c r="CN992" s="60"/>
      <c r="CO992" s="60"/>
      <c r="CP992" s="60"/>
      <c r="CQ992" s="60"/>
      <c r="CR992" s="60"/>
      <c r="CS992" s="60"/>
      <c r="CT992" s="60"/>
      <c r="CU992" s="60"/>
      <c r="CV992" s="60"/>
      <c r="CW992" s="60"/>
      <c r="CX992" s="60"/>
      <c r="CY992" s="60"/>
      <c r="CZ992" s="60"/>
      <c r="DA992" s="60"/>
      <c r="DB992" s="60"/>
      <c r="DC992" s="60"/>
      <c r="DD992" s="60"/>
      <c r="DE992" s="60"/>
      <c r="DF992" s="60"/>
      <c r="DG992" s="60"/>
      <c r="DH992" s="60"/>
      <c r="DI992" s="60"/>
      <c r="DJ992" s="60"/>
      <c r="DK992" s="60"/>
      <c r="DL992" s="60"/>
      <c r="DM992" s="60"/>
      <c r="DN992" s="60"/>
      <c r="DO992" s="60"/>
      <c r="DP992" s="60"/>
      <c r="DQ992" s="60"/>
      <c r="DR992" s="60"/>
      <c r="DS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60"/>
      <c r="BH993" s="60"/>
      <c r="BI993" s="60"/>
      <c r="BJ993" s="60"/>
      <c r="BK993" s="60"/>
      <c r="BL993" s="60"/>
      <c r="BM993" s="60"/>
      <c r="BN993" s="60"/>
      <c r="BO993" s="60"/>
      <c r="BP993" s="60"/>
      <c r="BQ993" s="60"/>
      <c r="BR993" s="60"/>
      <c r="BS993" s="60"/>
      <c r="BT993" s="60"/>
      <c r="BU993" s="60"/>
      <c r="BV993" s="60"/>
      <c r="BW993" s="60"/>
      <c r="BX993" s="60"/>
      <c r="BY993" s="60"/>
      <c r="BZ993" s="60"/>
      <c r="CA993" s="60"/>
      <c r="CB993" s="60"/>
      <c r="CC993" s="60"/>
      <c r="CD993" s="60"/>
      <c r="CE993" s="60"/>
      <c r="CF993" s="60"/>
      <c r="CG993" s="60"/>
      <c r="CH993" s="60"/>
      <c r="CI993" s="60"/>
      <c r="CJ993" s="60"/>
      <c r="CK993" s="60"/>
      <c r="CL993" s="60"/>
      <c r="CM993" s="60"/>
      <c r="CN993" s="60"/>
      <c r="CO993" s="60"/>
      <c r="CP993" s="60"/>
      <c r="CQ993" s="60"/>
      <c r="CR993" s="60"/>
      <c r="CS993" s="60"/>
      <c r="CT993" s="60"/>
      <c r="CU993" s="60"/>
      <c r="CV993" s="60"/>
      <c r="CW993" s="60"/>
      <c r="CX993" s="60"/>
      <c r="CY993" s="60"/>
      <c r="CZ993" s="60"/>
      <c r="DA993" s="60"/>
      <c r="DB993" s="60"/>
      <c r="DC993" s="60"/>
      <c r="DD993" s="60"/>
      <c r="DE993" s="60"/>
      <c r="DF993" s="60"/>
      <c r="DG993" s="60"/>
      <c r="DH993" s="60"/>
      <c r="DI993" s="60"/>
      <c r="DJ993" s="60"/>
      <c r="DK993" s="60"/>
      <c r="DL993" s="60"/>
      <c r="DM993" s="60"/>
      <c r="DN993" s="60"/>
      <c r="DO993" s="60"/>
      <c r="DP993" s="60"/>
      <c r="DQ993" s="60"/>
      <c r="DR993" s="60"/>
      <c r="DS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  <c r="BG994" s="60"/>
      <c r="BH994" s="60"/>
      <c r="BI994" s="60"/>
      <c r="BJ994" s="60"/>
      <c r="BK994" s="60"/>
      <c r="BL994" s="60"/>
      <c r="BM994" s="60"/>
      <c r="BN994" s="60"/>
      <c r="BO994" s="60"/>
      <c r="BP994" s="60"/>
      <c r="BQ994" s="60"/>
      <c r="BR994" s="60"/>
      <c r="BS994" s="60"/>
      <c r="BT994" s="60"/>
      <c r="BU994" s="60"/>
      <c r="BV994" s="60"/>
      <c r="BW994" s="60"/>
      <c r="BX994" s="60"/>
      <c r="BY994" s="60"/>
      <c r="BZ994" s="60"/>
      <c r="CA994" s="60"/>
      <c r="CB994" s="60"/>
      <c r="CC994" s="60"/>
      <c r="CD994" s="60"/>
      <c r="CE994" s="60"/>
      <c r="CF994" s="60"/>
      <c r="CG994" s="60"/>
      <c r="CH994" s="60"/>
      <c r="CI994" s="60"/>
      <c r="CJ994" s="60"/>
      <c r="CK994" s="60"/>
      <c r="CL994" s="60"/>
      <c r="CM994" s="60"/>
      <c r="CN994" s="60"/>
      <c r="CO994" s="60"/>
      <c r="CP994" s="60"/>
      <c r="CQ994" s="60"/>
      <c r="CR994" s="60"/>
      <c r="CS994" s="60"/>
      <c r="CT994" s="60"/>
      <c r="CU994" s="60"/>
      <c r="CV994" s="60"/>
      <c r="CW994" s="60"/>
      <c r="CX994" s="60"/>
      <c r="CY994" s="60"/>
      <c r="CZ994" s="60"/>
      <c r="DA994" s="60"/>
      <c r="DB994" s="60"/>
      <c r="DC994" s="60"/>
      <c r="DD994" s="60"/>
      <c r="DE994" s="60"/>
      <c r="DF994" s="60"/>
      <c r="DG994" s="60"/>
      <c r="DH994" s="60"/>
      <c r="DI994" s="60"/>
      <c r="DJ994" s="60"/>
      <c r="DK994" s="60"/>
      <c r="DL994" s="60"/>
      <c r="DM994" s="60"/>
      <c r="DN994" s="60"/>
      <c r="DO994" s="60"/>
      <c r="DP994" s="60"/>
      <c r="DQ994" s="60"/>
      <c r="DR994" s="60"/>
      <c r="DS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  <c r="BG995" s="60"/>
      <c r="BH995" s="60"/>
      <c r="BI995" s="60"/>
      <c r="BJ995" s="60"/>
      <c r="BK995" s="60"/>
      <c r="BL995" s="60"/>
      <c r="BM995" s="60"/>
      <c r="BN995" s="60"/>
      <c r="BO995" s="60"/>
      <c r="BP995" s="60"/>
      <c r="BQ995" s="60"/>
      <c r="BR995" s="60"/>
      <c r="BS995" s="60"/>
      <c r="BT995" s="60"/>
      <c r="BU995" s="60"/>
      <c r="BV995" s="60"/>
      <c r="BW995" s="60"/>
      <c r="BX995" s="60"/>
      <c r="BY995" s="60"/>
      <c r="BZ995" s="60"/>
      <c r="CA995" s="60"/>
      <c r="CB995" s="60"/>
      <c r="CC995" s="60"/>
      <c r="CD995" s="60"/>
      <c r="CE995" s="60"/>
      <c r="CF995" s="60"/>
      <c r="CG995" s="60"/>
      <c r="CH995" s="60"/>
      <c r="CI995" s="60"/>
      <c r="CJ995" s="60"/>
      <c r="CK995" s="60"/>
      <c r="CL995" s="60"/>
      <c r="CM995" s="60"/>
      <c r="CN995" s="60"/>
      <c r="CO995" s="60"/>
      <c r="CP995" s="60"/>
      <c r="CQ995" s="60"/>
      <c r="CR995" s="60"/>
      <c r="CS995" s="60"/>
      <c r="CT995" s="60"/>
      <c r="CU995" s="60"/>
      <c r="CV995" s="60"/>
      <c r="CW995" s="60"/>
      <c r="CX995" s="60"/>
      <c r="CY995" s="60"/>
      <c r="CZ995" s="60"/>
      <c r="DA995" s="60"/>
      <c r="DB995" s="60"/>
      <c r="DC995" s="60"/>
      <c r="DD995" s="60"/>
      <c r="DE995" s="60"/>
      <c r="DF995" s="60"/>
      <c r="DG995" s="60"/>
      <c r="DH995" s="60"/>
      <c r="DI995" s="60"/>
      <c r="DJ995" s="60"/>
      <c r="DK995" s="60"/>
      <c r="DL995" s="60"/>
      <c r="DM995" s="60"/>
      <c r="DN995" s="60"/>
      <c r="DO995" s="60"/>
      <c r="DP995" s="60"/>
      <c r="DQ995" s="60"/>
      <c r="DR995" s="60"/>
      <c r="DS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60"/>
      <c r="BH996" s="60"/>
      <c r="BI996" s="60"/>
      <c r="BJ996" s="60"/>
      <c r="BK996" s="60"/>
      <c r="BL996" s="60"/>
      <c r="BM996" s="60"/>
      <c r="BN996" s="60"/>
      <c r="BO996" s="60"/>
      <c r="BP996" s="60"/>
      <c r="BQ996" s="60"/>
      <c r="BR996" s="60"/>
      <c r="BS996" s="60"/>
      <c r="BT996" s="60"/>
      <c r="BU996" s="60"/>
      <c r="BV996" s="60"/>
      <c r="BW996" s="60"/>
      <c r="BX996" s="60"/>
      <c r="BY996" s="60"/>
      <c r="BZ996" s="60"/>
      <c r="CA996" s="60"/>
      <c r="CB996" s="60"/>
      <c r="CC996" s="60"/>
      <c r="CD996" s="60"/>
      <c r="CE996" s="60"/>
      <c r="CF996" s="60"/>
      <c r="CG996" s="60"/>
      <c r="CH996" s="60"/>
      <c r="CI996" s="60"/>
      <c r="CJ996" s="60"/>
      <c r="CK996" s="60"/>
      <c r="CL996" s="60"/>
      <c r="CM996" s="60"/>
      <c r="CN996" s="60"/>
      <c r="CO996" s="60"/>
      <c r="CP996" s="60"/>
      <c r="CQ996" s="60"/>
      <c r="CR996" s="60"/>
      <c r="CS996" s="60"/>
      <c r="CT996" s="60"/>
      <c r="CU996" s="60"/>
      <c r="CV996" s="60"/>
      <c r="CW996" s="60"/>
      <c r="CX996" s="60"/>
      <c r="CY996" s="60"/>
      <c r="CZ996" s="60"/>
      <c r="DA996" s="60"/>
      <c r="DB996" s="60"/>
      <c r="DC996" s="60"/>
      <c r="DD996" s="60"/>
      <c r="DE996" s="60"/>
      <c r="DF996" s="60"/>
      <c r="DG996" s="60"/>
      <c r="DH996" s="60"/>
      <c r="DI996" s="60"/>
      <c r="DJ996" s="60"/>
      <c r="DK996" s="60"/>
      <c r="DL996" s="60"/>
      <c r="DM996" s="60"/>
      <c r="DN996" s="60"/>
      <c r="DO996" s="60"/>
      <c r="DP996" s="60"/>
      <c r="DQ996" s="60"/>
      <c r="DR996" s="60"/>
      <c r="DS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  <c r="BG997" s="60"/>
      <c r="BH997" s="60"/>
      <c r="BI997" s="60"/>
      <c r="BJ997" s="60"/>
      <c r="BK997" s="60"/>
      <c r="BL997" s="60"/>
      <c r="BM997" s="60"/>
      <c r="BN997" s="60"/>
      <c r="BO997" s="60"/>
      <c r="BP997" s="60"/>
      <c r="BQ997" s="60"/>
      <c r="BR997" s="60"/>
      <c r="BS997" s="60"/>
      <c r="BT997" s="60"/>
      <c r="BU997" s="60"/>
      <c r="BV997" s="60"/>
      <c r="BW997" s="60"/>
      <c r="BX997" s="60"/>
      <c r="BY997" s="60"/>
      <c r="BZ997" s="60"/>
      <c r="CA997" s="60"/>
      <c r="CB997" s="60"/>
      <c r="CC997" s="60"/>
      <c r="CD997" s="60"/>
      <c r="CE997" s="60"/>
      <c r="CF997" s="60"/>
      <c r="CG997" s="60"/>
      <c r="CH997" s="60"/>
      <c r="CI997" s="60"/>
      <c r="CJ997" s="60"/>
      <c r="CK997" s="60"/>
      <c r="CL997" s="60"/>
      <c r="CM997" s="60"/>
      <c r="CN997" s="60"/>
      <c r="CO997" s="60"/>
      <c r="CP997" s="60"/>
      <c r="CQ997" s="60"/>
      <c r="CR997" s="60"/>
      <c r="CS997" s="60"/>
      <c r="CT997" s="60"/>
      <c r="CU997" s="60"/>
      <c r="CV997" s="60"/>
      <c r="CW997" s="60"/>
      <c r="CX997" s="60"/>
      <c r="CY997" s="60"/>
      <c r="CZ997" s="60"/>
      <c r="DA997" s="60"/>
      <c r="DB997" s="60"/>
      <c r="DC997" s="60"/>
      <c r="DD997" s="60"/>
      <c r="DE997" s="60"/>
      <c r="DF997" s="60"/>
      <c r="DG997" s="60"/>
      <c r="DH997" s="60"/>
      <c r="DI997" s="60"/>
      <c r="DJ997" s="60"/>
      <c r="DK997" s="60"/>
      <c r="DL997" s="60"/>
      <c r="DM997" s="60"/>
      <c r="DN997" s="60"/>
      <c r="DO997" s="60"/>
      <c r="DP997" s="60"/>
      <c r="DQ997" s="60"/>
      <c r="DR997" s="60"/>
      <c r="DS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/>
      <c r="BJ998" s="60"/>
      <c r="BK998" s="60"/>
      <c r="BL998" s="60"/>
      <c r="BM998" s="60"/>
      <c r="BN998" s="60"/>
      <c r="BO998" s="60"/>
      <c r="BP998" s="60"/>
      <c r="BQ998" s="60"/>
      <c r="BR998" s="60"/>
      <c r="BS998" s="60"/>
      <c r="BT998" s="60"/>
      <c r="BU998" s="60"/>
      <c r="BV998" s="60"/>
      <c r="BW998" s="60"/>
      <c r="BX998" s="60"/>
      <c r="BY998" s="60"/>
      <c r="BZ998" s="60"/>
      <c r="CA998" s="60"/>
      <c r="CB998" s="60"/>
      <c r="CC998" s="60"/>
      <c r="CD998" s="60"/>
      <c r="CE998" s="60"/>
      <c r="CF998" s="60"/>
      <c r="CG998" s="60"/>
      <c r="CH998" s="60"/>
      <c r="CI998" s="60"/>
      <c r="CJ998" s="60"/>
      <c r="CK998" s="60"/>
      <c r="CL998" s="60"/>
      <c r="CM998" s="60"/>
      <c r="CN998" s="60"/>
      <c r="CO998" s="60"/>
      <c r="CP998" s="60"/>
      <c r="CQ998" s="60"/>
      <c r="CR998" s="60"/>
      <c r="CS998" s="60"/>
      <c r="CT998" s="60"/>
      <c r="CU998" s="60"/>
      <c r="CV998" s="60"/>
      <c r="CW998" s="60"/>
      <c r="CX998" s="60"/>
      <c r="CY998" s="60"/>
      <c r="CZ998" s="60"/>
      <c r="DA998" s="60"/>
      <c r="DB998" s="60"/>
      <c r="DC998" s="60"/>
      <c r="DD998" s="60"/>
      <c r="DE998" s="60"/>
      <c r="DF998" s="60"/>
      <c r="DG998" s="60"/>
      <c r="DH998" s="60"/>
      <c r="DI998" s="60"/>
      <c r="DJ998" s="60"/>
      <c r="DK998" s="60"/>
      <c r="DL998" s="60"/>
      <c r="DM998" s="60"/>
      <c r="DN998" s="60"/>
      <c r="DO998" s="60"/>
      <c r="DP998" s="60"/>
      <c r="DQ998" s="60"/>
      <c r="DR998" s="60"/>
      <c r="DS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  <c r="BG999" s="60"/>
      <c r="BH999" s="60"/>
      <c r="BI999" s="60"/>
      <c r="BJ999" s="60"/>
      <c r="BK999" s="60"/>
      <c r="BL999" s="60"/>
      <c r="BM999" s="60"/>
      <c r="BN999" s="60"/>
      <c r="BO999" s="60"/>
      <c r="BP999" s="60"/>
      <c r="BQ999" s="60"/>
      <c r="BR999" s="60"/>
      <c r="BS999" s="60"/>
      <c r="BT999" s="60"/>
      <c r="BU999" s="60"/>
      <c r="BV999" s="60"/>
      <c r="BW999" s="60"/>
      <c r="BX999" s="60"/>
      <c r="BY999" s="60"/>
      <c r="BZ999" s="60"/>
      <c r="CA999" s="60"/>
      <c r="CB999" s="60"/>
      <c r="CC999" s="60"/>
      <c r="CD999" s="60"/>
      <c r="CE999" s="60"/>
      <c r="CF999" s="60"/>
      <c r="CG999" s="60"/>
      <c r="CH999" s="60"/>
      <c r="CI999" s="60"/>
      <c r="CJ999" s="60"/>
      <c r="CK999" s="60"/>
      <c r="CL999" s="60"/>
      <c r="CM999" s="60"/>
      <c r="CN999" s="60"/>
      <c r="CO999" s="60"/>
      <c r="CP999" s="60"/>
      <c r="CQ999" s="60"/>
      <c r="CR999" s="60"/>
      <c r="CS999" s="60"/>
      <c r="CT999" s="60"/>
      <c r="CU999" s="60"/>
      <c r="CV999" s="60"/>
      <c r="CW999" s="60"/>
      <c r="CX999" s="60"/>
      <c r="CY999" s="60"/>
      <c r="CZ999" s="60"/>
      <c r="DA999" s="60"/>
      <c r="DB999" s="60"/>
      <c r="DC999" s="60"/>
      <c r="DD999" s="60"/>
      <c r="DE999" s="60"/>
      <c r="DF999" s="60"/>
      <c r="DG999" s="60"/>
      <c r="DH999" s="60"/>
      <c r="DI999" s="60"/>
      <c r="DJ999" s="60"/>
      <c r="DK999" s="60"/>
      <c r="DL999" s="60"/>
      <c r="DM999" s="60"/>
      <c r="DN999" s="60"/>
      <c r="DO999" s="60"/>
      <c r="DP999" s="60"/>
      <c r="DQ999" s="60"/>
      <c r="DR999" s="60"/>
      <c r="DS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  <c r="BG1000" s="60"/>
      <c r="BH1000" s="60"/>
      <c r="BI1000" s="60"/>
      <c r="BJ1000" s="60"/>
      <c r="BK1000" s="60"/>
      <c r="BL1000" s="60"/>
      <c r="BM1000" s="60"/>
      <c r="BN1000" s="60"/>
      <c r="BO1000" s="60"/>
      <c r="BP1000" s="60"/>
      <c r="BQ1000" s="60"/>
      <c r="BR1000" s="60"/>
      <c r="BS1000" s="60"/>
      <c r="BT1000" s="60"/>
      <c r="BU1000" s="60"/>
      <c r="BV1000" s="60"/>
      <c r="BW1000" s="60"/>
      <c r="BX1000" s="60"/>
      <c r="BY1000" s="60"/>
      <c r="BZ1000" s="60"/>
      <c r="CA1000" s="60"/>
      <c r="CB1000" s="60"/>
      <c r="CC1000" s="60"/>
      <c r="CD1000" s="60"/>
      <c r="CE1000" s="60"/>
      <c r="CF1000" s="60"/>
      <c r="CG1000" s="60"/>
      <c r="CH1000" s="60"/>
      <c r="CI1000" s="60"/>
      <c r="CJ1000" s="60"/>
      <c r="CK1000" s="60"/>
      <c r="CL1000" s="60"/>
      <c r="CM1000" s="60"/>
      <c r="CN1000" s="60"/>
      <c r="CO1000" s="60"/>
      <c r="CP1000" s="60"/>
      <c r="CQ1000" s="60"/>
      <c r="CR1000" s="60"/>
      <c r="CS1000" s="60"/>
      <c r="CT1000" s="60"/>
      <c r="CU1000" s="60"/>
      <c r="CV1000" s="60"/>
      <c r="CW1000" s="60"/>
      <c r="CX1000" s="60"/>
      <c r="CY1000" s="60"/>
      <c r="CZ1000" s="60"/>
      <c r="DA1000" s="60"/>
      <c r="DB1000" s="60"/>
      <c r="DC1000" s="60"/>
      <c r="DD1000" s="60"/>
      <c r="DE1000" s="60"/>
      <c r="DF1000" s="60"/>
      <c r="DG1000" s="60"/>
      <c r="DH1000" s="60"/>
      <c r="DI1000" s="60"/>
      <c r="DJ1000" s="60"/>
      <c r="DK1000" s="60"/>
      <c r="DL1000" s="60"/>
      <c r="DM1000" s="60"/>
      <c r="DN1000" s="60"/>
      <c r="DO1000" s="60"/>
      <c r="DP1000" s="60"/>
      <c r="DQ1000" s="60"/>
      <c r="DR1000" s="60"/>
      <c r="DS1000" s="60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  <c r="BG1001" s="60"/>
      <c r="BH1001" s="60"/>
      <c r="BI1001" s="60"/>
      <c r="BJ1001" s="60"/>
      <c r="BK1001" s="60"/>
      <c r="BL1001" s="60"/>
      <c r="BM1001" s="60"/>
      <c r="BN1001" s="60"/>
      <c r="BO1001" s="60"/>
      <c r="BP1001" s="60"/>
      <c r="BQ1001" s="60"/>
      <c r="BR1001" s="60"/>
      <c r="BS1001" s="60"/>
      <c r="BT1001" s="60"/>
      <c r="BU1001" s="60"/>
      <c r="BV1001" s="60"/>
      <c r="BW1001" s="60"/>
      <c r="BX1001" s="60"/>
      <c r="BY1001" s="60"/>
      <c r="BZ1001" s="60"/>
      <c r="CA1001" s="60"/>
      <c r="CB1001" s="60"/>
      <c r="CC1001" s="60"/>
      <c r="CD1001" s="60"/>
      <c r="CE1001" s="60"/>
      <c r="CF1001" s="60"/>
      <c r="CG1001" s="60"/>
      <c r="CH1001" s="60"/>
      <c r="CI1001" s="60"/>
      <c r="CJ1001" s="60"/>
      <c r="CK1001" s="60"/>
      <c r="CL1001" s="60"/>
      <c r="CM1001" s="60"/>
      <c r="CN1001" s="60"/>
      <c r="CO1001" s="60"/>
      <c r="CP1001" s="60"/>
      <c r="CQ1001" s="60"/>
      <c r="CR1001" s="60"/>
      <c r="CS1001" s="60"/>
      <c r="CT1001" s="60"/>
      <c r="CU1001" s="60"/>
      <c r="CV1001" s="60"/>
      <c r="CW1001" s="60"/>
      <c r="CX1001" s="60"/>
      <c r="CY1001" s="60"/>
      <c r="CZ1001" s="60"/>
      <c r="DA1001" s="60"/>
      <c r="DB1001" s="60"/>
      <c r="DC1001" s="60"/>
      <c r="DD1001" s="60"/>
      <c r="DE1001" s="60"/>
      <c r="DF1001" s="60"/>
      <c r="DG1001" s="60"/>
      <c r="DH1001" s="60"/>
      <c r="DI1001" s="60"/>
      <c r="DJ1001" s="60"/>
      <c r="DK1001" s="60"/>
      <c r="DL1001" s="60"/>
      <c r="DM1001" s="60"/>
      <c r="DN1001" s="60"/>
      <c r="DO1001" s="60"/>
      <c r="DP1001" s="60"/>
      <c r="DQ1001" s="60"/>
      <c r="DR1001" s="60"/>
      <c r="DS1001" s="60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60"/>
      <c r="AV1002" s="60"/>
      <c r="AW1002" s="60"/>
      <c r="AX1002" s="60"/>
      <c r="AY1002" s="60"/>
      <c r="AZ1002" s="60"/>
      <c r="BA1002" s="60"/>
      <c r="BB1002" s="60"/>
      <c r="BC1002" s="60"/>
      <c r="BD1002" s="60"/>
      <c r="BE1002" s="60"/>
      <c r="BF1002" s="60"/>
      <c r="BG1002" s="60"/>
      <c r="BH1002" s="60"/>
      <c r="BI1002" s="60"/>
      <c r="BJ1002" s="60"/>
      <c r="BK1002" s="60"/>
      <c r="BL1002" s="60"/>
      <c r="BM1002" s="60"/>
      <c r="BN1002" s="60"/>
      <c r="BO1002" s="60"/>
      <c r="BP1002" s="60"/>
      <c r="BQ1002" s="60"/>
      <c r="BR1002" s="60"/>
      <c r="BS1002" s="60"/>
      <c r="BT1002" s="60"/>
      <c r="BU1002" s="60"/>
      <c r="BV1002" s="60"/>
      <c r="BW1002" s="60"/>
      <c r="BX1002" s="60"/>
      <c r="BY1002" s="60"/>
      <c r="BZ1002" s="60"/>
      <c r="CA1002" s="60"/>
      <c r="CB1002" s="60"/>
      <c r="CC1002" s="60"/>
      <c r="CD1002" s="60"/>
      <c r="CE1002" s="60"/>
      <c r="CF1002" s="60"/>
      <c r="CG1002" s="60"/>
      <c r="CH1002" s="60"/>
      <c r="CI1002" s="60"/>
      <c r="CJ1002" s="60"/>
      <c r="CK1002" s="60"/>
      <c r="CL1002" s="60"/>
      <c r="CM1002" s="60"/>
      <c r="CN1002" s="60"/>
      <c r="CO1002" s="60"/>
      <c r="CP1002" s="60"/>
      <c r="CQ1002" s="60"/>
      <c r="CR1002" s="60"/>
      <c r="CS1002" s="60"/>
      <c r="CT1002" s="60"/>
      <c r="CU1002" s="60"/>
      <c r="CV1002" s="60"/>
      <c r="CW1002" s="60"/>
      <c r="CX1002" s="60"/>
      <c r="CY1002" s="60"/>
      <c r="CZ1002" s="60"/>
      <c r="DA1002" s="60"/>
      <c r="DB1002" s="60"/>
      <c r="DC1002" s="60"/>
      <c r="DD1002" s="60"/>
      <c r="DE1002" s="60"/>
      <c r="DF1002" s="60"/>
      <c r="DG1002" s="60"/>
      <c r="DH1002" s="60"/>
      <c r="DI1002" s="60"/>
      <c r="DJ1002" s="60"/>
      <c r="DK1002" s="60"/>
      <c r="DL1002" s="60"/>
      <c r="DM1002" s="60"/>
      <c r="DN1002" s="60"/>
      <c r="DO1002" s="60"/>
      <c r="DP1002" s="60"/>
      <c r="DQ1002" s="60"/>
      <c r="DR1002" s="60"/>
      <c r="DS1002" s="60"/>
    </row>
    <row r="1003" ht="15.75" customHeight="1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  <c r="AW1003" s="60"/>
      <c r="AX1003" s="60"/>
      <c r="AY1003" s="60"/>
      <c r="AZ1003" s="60"/>
      <c r="BA1003" s="60"/>
      <c r="BB1003" s="60"/>
      <c r="BC1003" s="60"/>
      <c r="BD1003" s="60"/>
      <c r="BE1003" s="60"/>
      <c r="BF1003" s="60"/>
      <c r="BG1003" s="60"/>
      <c r="BH1003" s="60"/>
      <c r="BI1003" s="60"/>
      <c r="BJ1003" s="60"/>
      <c r="BK1003" s="60"/>
      <c r="BL1003" s="60"/>
      <c r="BM1003" s="60"/>
      <c r="BN1003" s="60"/>
      <c r="BO1003" s="60"/>
      <c r="BP1003" s="60"/>
      <c r="BQ1003" s="60"/>
      <c r="BR1003" s="60"/>
      <c r="BS1003" s="60"/>
      <c r="BT1003" s="60"/>
      <c r="BU1003" s="60"/>
      <c r="BV1003" s="60"/>
      <c r="BW1003" s="60"/>
      <c r="BX1003" s="60"/>
      <c r="BY1003" s="60"/>
      <c r="BZ1003" s="60"/>
      <c r="CA1003" s="60"/>
      <c r="CB1003" s="60"/>
      <c r="CC1003" s="60"/>
      <c r="CD1003" s="60"/>
      <c r="CE1003" s="60"/>
      <c r="CF1003" s="60"/>
      <c r="CG1003" s="60"/>
      <c r="CH1003" s="60"/>
      <c r="CI1003" s="60"/>
      <c r="CJ1003" s="60"/>
      <c r="CK1003" s="60"/>
      <c r="CL1003" s="60"/>
      <c r="CM1003" s="60"/>
      <c r="CN1003" s="60"/>
      <c r="CO1003" s="60"/>
      <c r="CP1003" s="60"/>
      <c r="CQ1003" s="60"/>
      <c r="CR1003" s="60"/>
      <c r="CS1003" s="60"/>
      <c r="CT1003" s="60"/>
      <c r="CU1003" s="60"/>
      <c r="CV1003" s="60"/>
      <c r="CW1003" s="60"/>
      <c r="CX1003" s="60"/>
      <c r="CY1003" s="60"/>
      <c r="CZ1003" s="60"/>
      <c r="DA1003" s="60"/>
      <c r="DB1003" s="60"/>
      <c r="DC1003" s="60"/>
      <c r="DD1003" s="60"/>
      <c r="DE1003" s="60"/>
      <c r="DF1003" s="60"/>
      <c r="DG1003" s="60"/>
      <c r="DH1003" s="60"/>
      <c r="DI1003" s="60"/>
      <c r="DJ1003" s="60"/>
      <c r="DK1003" s="60"/>
      <c r="DL1003" s="60"/>
      <c r="DM1003" s="60"/>
      <c r="DN1003" s="60"/>
      <c r="DO1003" s="60"/>
      <c r="DP1003" s="60"/>
      <c r="DQ1003" s="60"/>
      <c r="DR1003" s="60"/>
      <c r="DS1003" s="60"/>
    </row>
    <row r="1004" ht="15.75" customHeight="1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60"/>
      <c r="AW1004" s="60"/>
      <c r="AX1004" s="60"/>
      <c r="AY1004" s="60"/>
      <c r="AZ1004" s="60"/>
      <c r="BA1004" s="60"/>
      <c r="BB1004" s="60"/>
      <c r="BC1004" s="60"/>
      <c r="BD1004" s="60"/>
      <c r="BE1004" s="60"/>
      <c r="BF1004" s="60"/>
      <c r="BG1004" s="60"/>
      <c r="BH1004" s="60"/>
      <c r="BI1004" s="60"/>
      <c r="BJ1004" s="60"/>
      <c r="BK1004" s="60"/>
      <c r="BL1004" s="60"/>
      <c r="BM1004" s="60"/>
      <c r="BN1004" s="60"/>
      <c r="BO1004" s="60"/>
      <c r="BP1004" s="60"/>
      <c r="BQ1004" s="60"/>
      <c r="BR1004" s="60"/>
      <c r="BS1004" s="60"/>
      <c r="BT1004" s="60"/>
      <c r="BU1004" s="60"/>
      <c r="BV1004" s="60"/>
      <c r="BW1004" s="60"/>
      <c r="BX1004" s="60"/>
      <c r="BY1004" s="60"/>
      <c r="BZ1004" s="60"/>
      <c r="CA1004" s="60"/>
      <c r="CB1004" s="60"/>
      <c r="CC1004" s="60"/>
      <c r="CD1004" s="60"/>
      <c r="CE1004" s="60"/>
      <c r="CF1004" s="60"/>
      <c r="CG1004" s="60"/>
      <c r="CH1004" s="60"/>
      <c r="CI1004" s="60"/>
      <c r="CJ1004" s="60"/>
      <c r="CK1004" s="60"/>
      <c r="CL1004" s="60"/>
      <c r="CM1004" s="60"/>
      <c r="CN1004" s="60"/>
      <c r="CO1004" s="60"/>
      <c r="CP1004" s="60"/>
      <c r="CQ1004" s="60"/>
      <c r="CR1004" s="60"/>
      <c r="CS1004" s="60"/>
      <c r="CT1004" s="60"/>
      <c r="CU1004" s="60"/>
      <c r="CV1004" s="60"/>
      <c r="CW1004" s="60"/>
      <c r="CX1004" s="60"/>
      <c r="CY1004" s="60"/>
      <c r="CZ1004" s="60"/>
      <c r="DA1004" s="60"/>
      <c r="DB1004" s="60"/>
      <c r="DC1004" s="60"/>
      <c r="DD1004" s="60"/>
      <c r="DE1004" s="60"/>
      <c r="DF1004" s="60"/>
      <c r="DG1004" s="60"/>
      <c r="DH1004" s="60"/>
      <c r="DI1004" s="60"/>
      <c r="DJ1004" s="60"/>
      <c r="DK1004" s="60"/>
      <c r="DL1004" s="60"/>
      <c r="DM1004" s="60"/>
      <c r="DN1004" s="60"/>
      <c r="DO1004" s="60"/>
      <c r="DP1004" s="60"/>
      <c r="DQ1004" s="60"/>
      <c r="DR1004" s="60"/>
      <c r="DS1004" s="60"/>
    </row>
    <row r="1005" ht="15.75" customHeight="1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  <c r="BG1005" s="60"/>
      <c r="BH1005" s="60"/>
      <c r="BI1005" s="60"/>
      <c r="BJ1005" s="60"/>
      <c r="BK1005" s="60"/>
      <c r="BL1005" s="60"/>
      <c r="BM1005" s="60"/>
      <c r="BN1005" s="60"/>
      <c r="BO1005" s="60"/>
      <c r="BP1005" s="60"/>
      <c r="BQ1005" s="60"/>
      <c r="BR1005" s="60"/>
      <c r="BS1005" s="60"/>
      <c r="BT1005" s="60"/>
      <c r="BU1005" s="60"/>
      <c r="BV1005" s="60"/>
      <c r="BW1005" s="60"/>
      <c r="BX1005" s="60"/>
      <c r="BY1005" s="60"/>
      <c r="BZ1005" s="60"/>
      <c r="CA1005" s="60"/>
      <c r="CB1005" s="60"/>
      <c r="CC1005" s="60"/>
      <c r="CD1005" s="60"/>
      <c r="CE1005" s="60"/>
      <c r="CF1005" s="60"/>
      <c r="CG1005" s="60"/>
      <c r="CH1005" s="60"/>
      <c r="CI1005" s="60"/>
      <c r="CJ1005" s="60"/>
      <c r="CK1005" s="60"/>
      <c r="CL1005" s="60"/>
      <c r="CM1005" s="60"/>
      <c r="CN1005" s="60"/>
      <c r="CO1005" s="60"/>
      <c r="CP1005" s="60"/>
      <c r="CQ1005" s="60"/>
      <c r="CR1005" s="60"/>
      <c r="CS1005" s="60"/>
      <c r="CT1005" s="60"/>
      <c r="CU1005" s="60"/>
      <c r="CV1005" s="60"/>
      <c r="CW1005" s="60"/>
      <c r="CX1005" s="60"/>
      <c r="CY1005" s="60"/>
      <c r="CZ1005" s="60"/>
      <c r="DA1005" s="60"/>
      <c r="DB1005" s="60"/>
      <c r="DC1005" s="60"/>
      <c r="DD1005" s="60"/>
      <c r="DE1005" s="60"/>
      <c r="DF1005" s="60"/>
      <c r="DG1005" s="60"/>
      <c r="DH1005" s="60"/>
      <c r="DI1005" s="60"/>
      <c r="DJ1005" s="60"/>
      <c r="DK1005" s="60"/>
      <c r="DL1005" s="60"/>
      <c r="DM1005" s="60"/>
      <c r="DN1005" s="60"/>
      <c r="DO1005" s="60"/>
      <c r="DP1005" s="60"/>
      <c r="DQ1005" s="60"/>
      <c r="DR1005" s="60"/>
      <c r="DS1005" s="60"/>
    </row>
    <row r="1006" ht="15.75" customHeight="1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/>
      <c r="AN1006" s="60"/>
      <c r="AO1006" s="60"/>
      <c r="AP1006" s="60"/>
      <c r="AQ1006" s="60"/>
      <c r="AR1006" s="60"/>
      <c r="AS1006" s="60"/>
      <c r="AT1006" s="60"/>
      <c r="AU1006" s="60"/>
      <c r="AV1006" s="60"/>
      <c r="AW1006" s="60"/>
      <c r="AX1006" s="60"/>
      <c r="AY1006" s="60"/>
      <c r="AZ1006" s="60"/>
      <c r="BA1006" s="60"/>
      <c r="BB1006" s="60"/>
      <c r="BC1006" s="60"/>
      <c r="BD1006" s="60"/>
      <c r="BE1006" s="60"/>
      <c r="BF1006" s="60"/>
      <c r="BG1006" s="60"/>
      <c r="BH1006" s="60"/>
      <c r="BI1006" s="60"/>
      <c r="BJ1006" s="60"/>
      <c r="BK1006" s="60"/>
      <c r="BL1006" s="60"/>
      <c r="BM1006" s="60"/>
      <c r="BN1006" s="60"/>
      <c r="BO1006" s="60"/>
      <c r="BP1006" s="60"/>
      <c r="BQ1006" s="60"/>
      <c r="BR1006" s="60"/>
      <c r="BS1006" s="60"/>
      <c r="BT1006" s="60"/>
      <c r="BU1006" s="60"/>
      <c r="BV1006" s="60"/>
      <c r="BW1006" s="60"/>
      <c r="BX1006" s="60"/>
      <c r="BY1006" s="60"/>
      <c r="BZ1006" s="60"/>
      <c r="CA1006" s="60"/>
      <c r="CB1006" s="60"/>
      <c r="CC1006" s="60"/>
      <c r="CD1006" s="60"/>
      <c r="CE1006" s="60"/>
      <c r="CF1006" s="60"/>
      <c r="CG1006" s="60"/>
      <c r="CH1006" s="60"/>
      <c r="CI1006" s="60"/>
      <c r="CJ1006" s="60"/>
      <c r="CK1006" s="60"/>
      <c r="CL1006" s="60"/>
      <c r="CM1006" s="60"/>
      <c r="CN1006" s="60"/>
      <c r="CO1006" s="60"/>
      <c r="CP1006" s="60"/>
      <c r="CQ1006" s="60"/>
      <c r="CR1006" s="60"/>
      <c r="CS1006" s="60"/>
      <c r="CT1006" s="60"/>
      <c r="CU1006" s="60"/>
      <c r="CV1006" s="60"/>
      <c r="CW1006" s="60"/>
      <c r="CX1006" s="60"/>
      <c r="CY1006" s="60"/>
      <c r="CZ1006" s="60"/>
      <c r="DA1006" s="60"/>
      <c r="DB1006" s="60"/>
      <c r="DC1006" s="60"/>
      <c r="DD1006" s="60"/>
      <c r="DE1006" s="60"/>
      <c r="DF1006" s="60"/>
      <c r="DG1006" s="60"/>
      <c r="DH1006" s="60"/>
      <c r="DI1006" s="60"/>
      <c r="DJ1006" s="60"/>
      <c r="DK1006" s="60"/>
      <c r="DL1006" s="60"/>
      <c r="DM1006" s="60"/>
      <c r="DN1006" s="60"/>
      <c r="DO1006" s="60"/>
      <c r="DP1006" s="60"/>
      <c r="DQ1006" s="60"/>
      <c r="DR1006" s="60"/>
      <c r="DS1006" s="60"/>
    </row>
    <row r="1007" ht="15.75" customHeight="1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  <c r="AW1007" s="60"/>
      <c r="AX1007" s="60"/>
      <c r="AY1007" s="60"/>
      <c r="AZ1007" s="60"/>
      <c r="BA1007" s="60"/>
      <c r="BB1007" s="60"/>
      <c r="BC1007" s="60"/>
      <c r="BD1007" s="60"/>
      <c r="BE1007" s="60"/>
      <c r="BF1007" s="60"/>
      <c r="BG1007" s="60"/>
      <c r="BH1007" s="60"/>
      <c r="BI1007" s="60"/>
      <c r="BJ1007" s="60"/>
      <c r="BK1007" s="60"/>
      <c r="BL1007" s="60"/>
      <c r="BM1007" s="60"/>
      <c r="BN1007" s="60"/>
      <c r="BO1007" s="60"/>
      <c r="BP1007" s="60"/>
      <c r="BQ1007" s="60"/>
      <c r="BR1007" s="60"/>
      <c r="BS1007" s="60"/>
      <c r="BT1007" s="60"/>
      <c r="BU1007" s="60"/>
      <c r="BV1007" s="60"/>
      <c r="BW1007" s="60"/>
      <c r="BX1007" s="60"/>
      <c r="BY1007" s="60"/>
      <c r="BZ1007" s="60"/>
      <c r="CA1007" s="60"/>
      <c r="CB1007" s="60"/>
      <c r="CC1007" s="60"/>
      <c r="CD1007" s="60"/>
      <c r="CE1007" s="60"/>
      <c r="CF1007" s="60"/>
      <c r="CG1007" s="60"/>
      <c r="CH1007" s="60"/>
      <c r="CI1007" s="60"/>
      <c r="CJ1007" s="60"/>
      <c r="CK1007" s="60"/>
      <c r="CL1007" s="60"/>
      <c r="CM1007" s="60"/>
      <c r="CN1007" s="60"/>
      <c r="CO1007" s="60"/>
      <c r="CP1007" s="60"/>
      <c r="CQ1007" s="60"/>
      <c r="CR1007" s="60"/>
      <c r="CS1007" s="60"/>
      <c r="CT1007" s="60"/>
      <c r="CU1007" s="60"/>
      <c r="CV1007" s="60"/>
      <c r="CW1007" s="60"/>
      <c r="CX1007" s="60"/>
      <c r="CY1007" s="60"/>
      <c r="CZ1007" s="60"/>
      <c r="DA1007" s="60"/>
      <c r="DB1007" s="60"/>
      <c r="DC1007" s="60"/>
      <c r="DD1007" s="60"/>
      <c r="DE1007" s="60"/>
      <c r="DF1007" s="60"/>
      <c r="DG1007" s="60"/>
      <c r="DH1007" s="60"/>
      <c r="DI1007" s="60"/>
      <c r="DJ1007" s="60"/>
      <c r="DK1007" s="60"/>
      <c r="DL1007" s="60"/>
      <c r="DM1007" s="60"/>
      <c r="DN1007" s="60"/>
      <c r="DO1007" s="60"/>
      <c r="DP1007" s="60"/>
      <c r="DQ1007" s="60"/>
      <c r="DR1007" s="60"/>
      <c r="DS1007" s="60"/>
    </row>
    <row r="1008" ht="15.75" customHeight="1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60"/>
      <c r="AV1008" s="60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  <c r="BG1008" s="60"/>
      <c r="BH1008" s="60"/>
      <c r="BI1008" s="60"/>
      <c r="BJ1008" s="60"/>
      <c r="BK1008" s="60"/>
      <c r="BL1008" s="60"/>
      <c r="BM1008" s="60"/>
      <c r="BN1008" s="60"/>
      <c r="BO1008" s="60"/>
      <c r="BP1008" s="60"/>
      <c r="BQ1008" s="60"/>
      <c r="BR1008" s="60"/>
      <c r="BS1008" s="60"/>
      <c r="BT1008" s="60"/>
      <c r="BU1008" s="60"/>
      <c r="BV1008" s="60"/>
      <c r="BW1008" s="60"/>
      <c r="BX1008" s="60"/>
      <c r="BY1008" s="60"/>
      <c r="BZ1008" s="60"/>
      <c r="CA1008" s="60"/>
      <c r="CB1008" s="60"/>
      <c r="CC1008" s="60"/>
      <c r="CD1008" s="60"/>
      <c r="CE1008" s="60"/>
      <c r="CF1008" s="60"/>
      <c r="CG1008" s="60"/>
      <c r="CH1008" s="60"/>
      <c r="CI1008" s="60"/>
      <c r="CJ1008" s="60"/>
      <c r="CK1008" s="60"/>
      <c r="CL1008" s="60"/>
      <c r="CM1008" s="60"/>
      <c r="CN1008" s="60"/>
      <c r="CO1008" s="60"/>
      <c r="CP1008" s="60"/>
      <c r="CQ1008" s="60"/>
      <c r="CR1008" s="60"/>
      <c r="CS1008" s="60"/>
      <c r="CT1008" s="60"/>
      <c r="CU1008" s="60"/>
      <c r="CV1008" s="60"/>
      <c r="CW1008" s="60"/>
      <c r="CX1008" s="60"/>
      <c r="CY1008" s="60"/>
      <c r="CZ1008" s="60"/>
      <c r="DA1008" s="60"/>
      <c r="DB1008" s="60"/>
      <c r="DC1008" s="60"/>
      <c r="DD1008" s="60"/>
      <c r="DE1008" s="60"/>
      <c r="DF1008" s="60"/>
      <c r="DG1008" s="60"/>
      <c r="DH1008" s="60"/>
      <c r="DI1008" s="60"/>
      <c r="DJ1008" s="60"/>
      <c r="DK1008" s="60"/>
      <c r="DL1008" s="60"/>
      <c r="DM1008" s="60"/>
      <c r="DN1008" s="60"/>
      <c r="DO1008" s="60"/>
      <c r="DP1008" s="60"/>
      <c r="DQ1008" s="60"/>
      <c r="DR1008" s="60"/>
      <c r="DS1008" s="60"/>
    </row>
    <row r="1009" ht="15.75" customHeight="1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  <c r="AO1009" s="60"/>
      <c r="AP1009" s="60"/>
      <c r="AQ1009" s="60"/>
      <c r="AR1009" s="60"/>
      <c r="AS1009" s="60"/>
      <c r="AT1009" s="60"/>
      <c r="AU1009" s="60"/>
      <c r="AV1009" s="60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  <c r="BG1009" s="60"/>
      <c r="BH1009" s="60"/>
      <c r="BI1009" s="60"/>
      <c r="BJ1009" s="60"/>
      <c r="BK1009" s="60"/>
      <c r="BL1009" s="60"/>
      <c r="BM1009" s="60"/>
      <c r="BN1009" s="60"/>
      <c r="BO1009" s="60"/>
      <c r="BP1009" s="60"/>
      <c r="BQ1009" s="60"/>
      <c r="BR1009" s="60"/>
      <c r="BS1009" s="60"/>
      <c r="BT1009" s="60"/>
      <c r="BU1009" s="60"/>
      <c r="BV1009" s="60"/>
      <c r="BW1009" s="60"/>
      <c r="BX1009" s="60"/>
      <c r="BY1009" s="60"/>
      <c r="BZ1009" s="60"/>
      <c r="CA1009" s="60"/>
      <c r="CB1009" s="60"/>
      <c r="CC1009" s="60"/>
      <c r="CD1009" s="60"/>
      <c r="CE1009" s="60"/>
      <c r="CF1009" s="60"/>
      <c r="CG1009" s="60"/>
      <c r="CH1009" s="60"/>
      <c r="CI1009" s="60"/>
      <c r="CJ1009" s="60"/>
      <c r="CK1009" s="60"/>
      <c r="CL1009" s="60"/>
      <c r="CM1009" s="60"/>
      <c r="CN1009" s="60"/>
      <c r="CO1009" s="60"/>
      <c r="CP1009" s="60"/>
      <c r="CQ1009" s="60"/>
      <c r="CR1009" s="60"/>
      <c r="CS1009" s="60"/>
      <c r="CT1009" s="60"/>
      <c r="CU1009" s="60"/>
      <c r="CV1009" s="60"/>
      <c r="CW1009" s="60"/>
      <c r="CX1009" s="60"/>
      <c r="CY1009" s="60"/>
      <c r="CZ1009" s="60"/>
      <c r="DA1009" s="60"/>
      <c r="DB1009" s="60"/>
      <c r="DC1009" s="60"/>
      <c r="DD1009" s="60"/>
      <c r="DE1009" s="60"/>
      <c r="DF1009" s="60"/>
      <c r="DG1009" s="60"/>
      <c r="DH1009" s="60"/>
      <c r="DI1009" s="60"/>
      <c r="DJ1009" s="60"/>
      <c r="DK1009" s="60"/>
      <c r="DL1009" s="60"/>
      <c r="DM1009" s="60"/>
      <c r="DN1009" s="60"/>
      <c r="DO1009" s="60"/>
      <c r="DP1009" s="60"/>
      <c r="DQ1009" s="60"/>
      <c r="DR1009" s="60"/>
      <c r="DS1009" s="60"/>
    </row>
    <row r="1010" ht="15.75" customHeight="1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/>
      <c r="AM1010" s="60"/>
      <c r="AN1010" s="60"/>
      <c r="AO1010" s="60"/>
      <c r="AP1010" s="60"/>
      <c r="AQ1010" s="60"/>
      <c r="AR1010" s="60"/>
      <c r="AS1010" s="60"/>
      <c r="AT1010" s="60"/>
      <c r="AU1010" s="60"/>
      <c r="AV1010" s="60"/>
      <c r="AW1010" s="60"/>
      <c r="AX1010" s="60"/>
      <c r="AY1010" s="60"/>
      <c r="AZ1010" s="60"/>
      <c r="BA1010" s="60"/>
      <c r="BB1010" s="60"/>
      <c r="BC1010" s="60"/>
      <c r="BD1010" s="60"/>
      <c r="BE1010" s="60"/>
      <c r="BF1010" s="60"/>
      <c r="BG1010" s="60"/>
      <c r="BH1010" s="60"/>
      <c r="BI1010" s="60"/>
      <c r="BJ1010" s="60"/>
      <c r="BK1010" s="60"/>
      <c r="BL1010" s="60"/>
      <c r="BM1010" s="60"/>
      <c r="BN1010" s="60"/>
      <c r="BO1010" s="60"/>
      <c r="BP1010" s="60"/>
      <c r="BQ1010" s="60"/>
      <c r="BR1010" s="60"/>
      <c r="BS1010" s="60"/>
      <c r="BT1010" s="60"/>
      <c r="BU1010" s="60"/>
      <c r="BV1010" s="60"/>
      <c r="BW1010" s="60"/>
      <c r="BX1010" s="60"/>
      <c r="BY1010" s="60"/>
      <c r="BZ1010" s="60"/>
      <c r="CA1010" s="60"/>
      <c r="CB1010" s="60"/>
      <c r="CC1010" s="60"/>
      <c r="CD1010" s="60"/>
      <c r="CE1010" s="60"/>
      <c r="CF1010" s="60"/>
      <c r="CG1010" s="60"/>
      <c r="CH1010" s="60"/>
      <c r="CI1010" s="60"/>
      <c r="CJ1010" s="60"/>
      <c r="CK1010" s="60"/>
      <c r="CL1010" s="60"/>
      <c r="CM1010" s="60"/>
      <c r="CN1010" s="60"/>
      <c r="CO1010" s="60"/>
      <c r="CP1010" s="60"/>
      <c r="CQ1010" s="60"/>
      <c r="CR1010" s="60"/>
      <c r="CS1010" s="60"/>
      <c r="CT1010" s="60"/>
      <c r="CU1010" s="60"/>
      <c r="CV1010" s="60"/>
      <c r="CW1010" s="60"/>
      <c r="CX1010" s="60"/>
      <c r="CY1010" s="60"/>
      <c r="CZ1010" s="60"/>
      <c r="DA1010" s="60"/>
      <c r="DB1010" s="60"/>
      <c r="DC1010" s="60"/>
      <c r="DD1010" s="60"/>
      <c r="DE1010" s="60"/>
      <c r="DF1010" s="60"/>
      <c r="DG1010" s="60"/>
      <c r="DH1010" s="60"/>
      <c r="DI1010" s="60"/>
      <c r="DJ1010" s="60"/>
      <c r="DK1010" s="60"/>
      <c r="DL1010" s="60"/>
      <c r="DM1010" s="60"/>
      <c r="DN1010" s="60"/>
      <c r="DO1010" s="60"/>
      <c r="DP1010" s="60"/>
      <c r="DQ1010" s="60"/>
      <c r="DR1010" s="60"/>
      <c r="DS1010" s="60"/>
    </row>
    <row r="1011" ht="15.75" customHeight="1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/>
      <c r="AN1011" s="60"/>
      <c r="AO1011" s="60"/>
      <c r="AP1011" s="60"/>
      <c r="AQ1011" s="60"/>
      <c r="AR1011" s="60"/>
      <c r="AS1011" s="60"/>
      <c r="AT1011" s="60"/>
      <c r="AU1011" s="60"/>
      <c r="AV1011" s="60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  <c r="BG1011" s="60"/>
      <c r="BH1011" s="60"/>
      <c r="BI1011" s="60"/>
      <c r="BJ1011" s="60"/>
      <c r="BK1011" s="60"/>
      <c r="BL1011" s="60"/>
      <c r="BM1011" s="60"/>
      <c r="BN1011" s="60"/>
      <c r="BO1011" s="60"/>
      <c r="BP1011" s="60"/>
      <c r="BQ1011" s="60"/>
      <c r="BR1011" s="60"/>
      <c r="BS1011" s="60"/>
      <c r="BT1011" s="60"/>
      <c r="BU1011" s="60"/>
      <c r="BV1011" s="60"/>
      <c r="BW1011" s="60"/>
      <c r="BX1011" s="60"/>
      <c r="BY1011" s="60"/>
      <c r="BZ1011" s="60"/>
      <c r="CA1011" s="60"/>
      <c r="CB1011" s="60"/>
      <c r="CC1011" s="60"/>
      <c r="CD1011" s="60"/>
      <c r="CE1011" s="60"/>
      <c r="CF1011" s="60"/>
      <c r="CG1011" s="60"/>
      <c r="CH1011" s="60"/>
      <c r="CI1011" s="60"/>
      <c r="CJ1011" s="60"/>
      <c r="CK1011" s="60"/>
      <c r="CL1011" s="60"/>
      <c r="CM1011" s="60"/>
      <c r="CN1011" s="60"/>
      <c r="CO1011" s="60"/>
      <c r="CP1011" s="60"/>
      <c r="CQ1011" s="60"/>
      <c r="CR1011" s="60"/>
      <c r="CS1011" s="60"/>
      <c r="CT1011" s="60"/>
      <c r="CU1011" s="60"/>
      <c r="CV1011" s="60"/>
      <c r="CW1011" s="60"/>
      <c r="CX1011" s="60"/>
      <c r="CY1011" s="60"/>
      <c r="CZ1011" s="60"/>
      <c r="DA1011" s="60"/>
      <c r="DB1011" s="60"/>
      <c r="DC1011" s="60"/>
      <c r="DD1011" s="60"/>
      <c r="DE1011" s="60"/>
      <c r="DF1011" s="60"/>
      <c r="DG1011" s="60"/>
      <c r="DH1011" s="60"/>
      <c r="DI1011" s="60"/>
      <c r="DJ1011" s="60"/>
      <c r="DK1011" s="60"/>
      <c r="DL1011" s="60"/>
      <c r="DM1011" s="60"/>
      <c r="DN1011" s="60"/>
      <c r="DO1011" s="60"/>
      <c r="DP1011" s="60"/>
      <c r="DQ1011" s="60"/>
      <c r="DR1011" s="60"/>
      <c r="DS1011" s="60"/>
    </row>
    <row r="1012" ht="15.75" customHeight="1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/>
      <c r="AN1012" s="60"/>
      <c r="AO1012" s="60"/>
      <c r="AP1012" s="60"/>
      <c r="AQ1012" s="60"/>
      <c r="AR1012" s="60"/>
      <c r="AS1012" s="60"/>
      <c r="AT1012" s="60"/>
      <c r="AU1012" s="60"/>
      <c r="AV1012" s="60"/>
      <c r="AW1012" s="60"/>
      <c r="AX1012" s="60"/>
      <c r="AY1012" s="60"/>
      <c r="AZ1012" s="60"/>
      <c r="BA1012" s="60"/>
      <c r="BB1012" s="60"/>
      <c r="BC1012" s="60"/>
      <c r="BD1012" s="60"/>
      <c r="BE1012" s="60"/>
      <c r="BF1012" s="60"/>
      <c r="BG1012" s="60"/>
      <c r="BH1012" s="60"/>
      <c r="BI1012" s="60"/>
      <c r="BJ1012" s="60"/>
      <c r="BK1012" s="60"/>
      <c r="BL1012" s="60"/>
      <c r="BM1012" s="60"/>
      <c r="BN1012" s="60"/>
      <c r="BO1012" s="60"/>
      <c r="BP1012" s="60"/>
      <c r="BQ1012" s="60"/>
      <c r="BR1012" s="60"/>
      <c r="BS1012" s="60"/>
      <c r="BT1012" s="60"/>
      <c r="BU1012" s="60"/>
      <c r="BV1012" s="60"/>
      <c r="BW1012" s="60"/>
      <c r="BX1012" s="60"/>
      <c r="BY1012" s="60"/>
      <c r="BZ1012" s="60"/>
      <c r="CA1012" s="60"/>
      <c r="CB1012" s="60"/>
      <c r="CC1012" s="60"/>
      <c r="CD1012" s="60"/>
      <c r="CE1012" s="60"/>
      <c r="CF1012" s="60"/>
      <c r="CG1012" s="60"/>
      <c r="CH1012" s="60"/>
      <c r="CI1012" s="60"/>
      <c r="CJ1012" s="60"/>
      <c r="CK1012" s="60"/>
      <c r="CL1012" s="60"/>
      <c r="CM1012" s="60"/>
      <c r="CN1012" s="60"/>
      <c r="CO1012" s="60"/>
      <c r="CP1012" s="60"/>
      <c r="CQ1012" s="60"/>
      <c r="CR1012" s="60"/>
      <c r="CS1012" s="60"/>
      <c r="CT1012" s="60"/>
      <c r="CU1012" s="60"/>
      <c r="CV1012" s="60"/>
      <c r="CW1012" s="60"/>
      <c r="CX1012" s="60"/>
      <c r="CY1012" s="60"/>
      <c r="CZ1012" s="60"/>
      <c r="DA1012" s="60"/>
      <c r="DB1012" s="60"/>
      <c r="DC1012" s="60"/>
      <c r="DD1012" s="60"/>
      <c r="DE1012" s="60"/>
      <c r="DF1012" s="60"/>
      <c r="DG1012" s="60"/>
      <c r="DH1012" s="60"/>
      <c r="DI1012" s="60"/>
      <c r="DJ1012" s="60"/>
      <c r="DK1012" s="60"/>
      <c r="DL1012" s="60"/>
      <c r="DM1012" s="60"/>
      <c r="DN1012" s="60"/>
      <c r="DO1012" s="60"/>
      <c r="DP1012" s="60"/>
      <c r="DQ1012" s="60"/>
      <c r="DR1012" s="60"/>
      <c r="DS1012" s="60"/>
    </row>
    <row r="1013" ht="15.75" customHeight="1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60"/>
      <c r="AU1013" s="60"/>
      <c r="AV1013" s="60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  <c r="BG1013" s="60"/>
      <c r="BH1013" s="60"/>
      <c r="BI1013" s="60"/>
      <c r="BJ1013" s="60"/>
      <c r="BK1013" s="60"/>
      <c r="BL1013" s="60"/>
      <c r="BM1013" s="60"/>
      <c r="BN1013" s="60"/>
      <c r="BO1013" s="60"/>
      <c r="BP1013" s="60"/>
      <c r="BQ1013" s="60"/>
      <c r="BR1013" s="60"/>
      <c r="BS1013" s="60"/>
      <c r="BT1013" s="60"/>
      <c r="BU1013" s="60"/>
      <c r="BV1013" s="60"/>
      <c r="BW1013" s="60"/>
      <c r="BX1013" s="60"/>
      <c r="BY1013" s="60"/>
      <c r="BZ1013" s="60"/>
      <c r="CA1013" s="60"/>
      <c r="CB1013" s="60"/>
      <c r="CC1013" s="60"/>
      <c r="CD1013" s="60"/>
      <c r="CE1013" s="60"/>
      <c r="CF1013" s="60"/>
      <c r="CG1013" s="60"/>
      <c r="CH1013" s="60"/>
      <c r="CI1013" s="60"/>
      <c r="CJ1013" s="60"/>
      <c r="CK1013" s="60"/>
      <c r="CL1013" s="60"/>
      <c r="CM1013" s="60"/>
      <c r="CN1013" s="60"/>
      <c r="CO1013" s="60"/>
      <c r="CP1013" s="60"/>
      <c r="CQ1013" s="60"/>
      <c r="CR1013" s="60"/>
      <c r="CS1013" s="60"/>
      <c r="CT1013" s="60"/>
      <c r="CU1013" s="60"/>
      <c r="CV1013" s="60"/>
      <c r="CW1013" s="60"/>
      <c r="CX1013" s="60"/>
      <c r="CY1013" s="60"/>
      <c r="CZ1013" s="60"/>
      <c r="DA1013" s="60"/>
      <c r="DB1013" s="60"/>
      <c r="DC1013" s="60"/>
      <c r="DD1013" s="60"/>
      <c r="DE1013" s="60"/>
      <c r="DF1013" s="60"/>
      <c r="DG1013" s="60"/>
      <c r="DH1013" s="60"/>
      <c r="DI1013" s="60"/>
      <c r="DJ1013" s="60"/>
      <c r="DK1013" s="60"/>
      <c r="DL1013" s="60"/>
      <c r="DM1013" s="60"/>
      <c r="DN1013" s="60"/>
      <c r="DO1013" s="60"/>
      <c r="DP1013" s="60"/>
      <c r="DQ1013" s="60"/>
      <c r="DR1013" s="60"/>
      <c r="DS1013" s="60"/>
    </row>
    <row r="1014" ht="15.75" customHeight="1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/>
      <c r="AN1014" s="60"/>
      <c r="AO1014" s="60"/>
      <c r="AP1014" s="60"/>
      <c r="AQ1014" s="60"/>
      <c r="AR1014" s="60"/>
      <c r="AS1014" s="60"/>
      <c r="AT1014" s="60"/>
      <c r="AU1014" s="60"/>
      <c r="AV1014" s="60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  <c r="BG1014" s="60"/>
      <c r="BH1014" s="60"/>
      <c r="BI1014" s="60"/>
      <c r="BJ1014" s="60"/>
      <c r="BK1014" s="60"/>
      <c r="BL1014" s="60"/>
      <c r="BM1014" s="60"/>
      <c r="BN1014" s="60"/>
      <c r="BO1014" s="60"/>
      <c r="BP1014" s="60"/>
      <c r="BQ1014" s="60"/>
      <c r="BR1014" s="60"/>
      <c r="BS1014" s="60"/>
      <c r="BT1014" s="60"/>
      <c r="BU1014" s="60"/>
      <c r="BV1014" s="60"/>
      <c r="BW1014" s="60"/>
      <c r="BX1014" s="60"/>
      <c r="BY1014" s="60"/>
      <c r="BZ1014" s="60"/>
      <c r="CA1014" s="60"/>
      <c r="CB1014" s="60"/>
      <c r="CC1014" s="60"/>
      <c r="CD1014" s="60"/>
      <c r="CE1014" s="60"/>
      <c r="CF1014" s="60"/>
      <c r="CG1014" s="60"/>
      <c r="CH1014" s="60"/>
      <c r="CI1014" s="60"/>
      <c r="CJ1014" s="60"/>
      <c r="CK1014" s="60"/>
      <c r="CL1014" s="60"/>
      <c r="CM1014" s="60"/>
      <c r="CN1014" s="60"/>
      <c r="CO1014" s="60"/>
      <c r="CP1014" s="60"/>
      <c r="CQ1014" s="60"/>
      <c r="CR1014" s="60"/>
      <c r="CS1014" s="60"/>
      <c r="CT1014" s="60"/>
      <c r="CU1014" s="60"/>
      <c r="CV1014" s="60"/>
      <c r="CW1014" s="60"/>
      <c r="CX1014" s="60"/>
      <c r="CY1014" s="60"/>
      <c r="CZ1014" s="60"/>
      <c r="DA1014" s="60"/>
      <c r="DB1014" s="60"/>
      <c r="DC1014" s="60"/>
      <c r="DD1014" s="60"/>
      <c r="DE1014" s="60"/>
      <c r="DF1014" s="60"/>
      <c r="DG1014" s="60"/>
      <c r="DH1014" s="60"/>
      <c r="DI1014" s="60"/>
      <c r="DJ1014" s="60"/>
      <c r="DK1014" s="60"/>
      <c r="DL1014" s="60"/>
      <c r="DM1014" s="60"/>
      <c r="DN1014" s="60"/>
      <c r="DO1014" s="60"/>
      <c r="DP1014" s="60"/>
      <c r="DQ1014" s="60"/>
      <c r="DR1014" s="60"/>
      <c r="DS1014" s="60"/>
    </row>
    <row r="1015" ht="15.75" customHeight="1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/>
      <c r="AN1015" s="60"/>
      <c r="AO1015" s="60"/>
      <c r="AP1015" s="60"/>
      <c r="AQ1015" s="60"/>
      <c r="AR1015" s="60"/>
      <c r="AS1015" s="60"/>
      <c r="AT1015" s="60"/>
      <c r="AU1015" s="60"/>
      <c r="AV1015" s="60"/>
      <c r="AW1015" s="60"/>
      <c r="AX1015" s="60"/>
      <c r="AY1015" s="60"/>
      <c r="AZ1015" s="60"/>
      <c r="BA1015" s="60"/>
      <c r="BB1015" s="60"/>
      <c r="BC1015" s="60"/>
      <c r="BD1015" s="60"/>
      <c r="BE1015" s="60"/>
      <c r="BF1015" s="60"/>
      <c r="BG1015" s="60"/>
      <c r="BH1015" s="60"/>
      <c r="BI1015" s="60"/>
      <c r="BJ1015" s="60"/>
      <c r="BK1015" s="60"/>
      <c r="BL1015" s="60"/>
      <c r="BM1015" s="60"/>
      <c r="BN1015" s="60"/>
      <c r="BO1015" s="60"/>
      <c r="BP1015" s="60"/>
      <c r="BQ1015" s="60"/>
      <c r="BR1015" s="60"/>
      <c r="BS1015" s="60"/>
      <c r="BT1015" s="60"/>
      <c r="BU1015" s="60"/>
      <c r="BV1015" s="60"/>
      <c r="BW1015" s="60"/>
      <c r="BX1015" s="60"/>
      <c r="BY1015" s="60"/>
      <c r="BZ1015" s="60"/>
      <c r="CA1015" s="60"/>
      <c r="CB1015" s="60"/>
      <c r="CC1015" s="60"/>
      <c r="CD1015" s="60"/>
      <c r="CE1015" s="60"/>
      <c r="CF1015" s="60"/>
      <c r="CG1015" s="60"/>
      <c r="CH1015" s="60"/>
      <c r="CI1015" s="60"/>
      <c r="CJ1015" s="60"/>
      <c r="CK1015" s="60"/>
      <c r="CL1015" s="60"/>
      <c r="CM1015" s="60"/>
      <c r="CN1015" s="60"/>
      <c r="CO1015" s="60"/>
      <c r="CP1015" s="60"/>
      <c r="CQ1015" s="60"/>
      <c r="CR1015" s="60"/>
      <c r="CS1015" s="60"/>
      <c r="CT1015" s="60"/>
      <c r="CU1015" s="60"/>
      <c r="CV1015" s="60"/>
      <c r="CW1015" s="60"/>
      <c r="CX1015" s="60"/>
      <c r="CY1015" s="60"/>
      <c r="CZ1015" s="60"/>
      <c r="DA1015" s="60"/>
      <c r="DB1015" s="60"/>
      <c r="DC1015" s="60"/>
      <c r="DD1015" s="60"/>
      <c r="DE1015" s="60"/>
      <c r="DF1015" s="60"/>
      <c r="DG1015" s="60"/>
      <c r="DH1015" s="60"/>
      <c r="DI1015" s="60"/>
      <c r="DJ1015" s="60"/>
      <c r="DK1015" s="60"/>
      <c r="DL1015" s="60"/>
      <c r="DM1015" s="60"/>
      <c r="DN1015" s="60"/>
      <c r="DO1015" s="60"/>
      <c r="DP1015" s="60"/>
      <c r="DQ1015" s="60"/>
      <c r="DR1015" s="60"/>
      <c r="DS1015" s="60"/>
    </row>
    <row r="1016" ht="15.75" customHeight="1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/>
      <c r="AN1016" s="60"/>
      <c r="AO1016" s="60"/>
      <c r="AP1016" s="60"/>
      <c r="AQ1016" s="60"/>
      <c r="AR1016" s="60"/>
      <c r="AS1016" s="60"/>
      <c r="AT1016" s="60"/>
      <c r="AU1016" s="60"/>
      <c r="AV1016" s="60"/>
      <c r="AW1016" s="60"/>
      <c r="AX1016" s="60"/>
      <c r="AY1016" s="60"/>
      <c r="AZ1016" s="60"/>
      <c r="BA1016" s="60"/>
      <c r="BB1016" s="60"/>
      <c r="BC1016" s="60"/>
      <c r="BD1016" s="60"/>
      <c r="BE1016" s="60"/>
      <c r="BF1016" s="60"/>
      <c r="BG1016" s="60"/>
      <c r="BH1016" s="60"/>
      <c r="BI1016" s="60"/>
      <c r="BJ1016" s="60"/>
      <c r="BK1016" s="60"/>
      <c r="BL1016" s="60"/>
      <c r="BM1016" s="60"/>
      <c r="BN1016" s="60"/>
      <c r="BO1016" s="60"/>
      <c r="BP1016" s="60"/>
      <c r="BQ1016" s="60"/>
      <c r="BR1016" s="60"/>
      <c r="BS1016" s="60"/>
      <c r="BT1016" s="60"/>
      <c r="BU1016" s="60"/>
      <c r="BV1016" s="60"/>
      <c r="BW1016" s="60"/>
      <c r="BX1016" s="60"/>
      <c r="BY1016" s="60"/>
      <c r="BZ1016" s="60"/>
      <c r="CA1016" s="60"/>
      <c r="CB1016" s="60"/>
      <c r="CC1016" s="60"/>
      <c r="CD1016" s="60"/>
      <c r="CE1016" s="60"/>
      <c r="CF1016" s="60"/>
      <c r="CG1016" s="60"/>
      <c r="CH1016" s="60"/>
      <c r="CI1016" s="60"/>
      <c r="CJ1016" s="60"/>
      <c r="CK1016" s="60"/>
      <c r="CL1016" s="60"/>
      <c r="CM1016" s="60"/>
      <c r="CN1016" s="60"/>
      <c r="CO1016" s="60"/>
      <c r="CP1016" s="60"/>
      <c r="CQ1016" s="60"/>
      <c r="CR1016" s="60"/>
      <c r="CS1016" s="60"/>
      <c r="CT1016" s="60"/>
      <c r="CU1016" s="60"/>
      <c r="CV1016" s="60"/>
      <c r="CW1016" s="60"/>
      <c r="CX1016" s="60"/>
      <c r="CY1016" s="60"/>
      <c r="CZ1016" s="60"/>
      <c r="DA1016" s="60"/>
      <c r="DB1016" s="60"/>
      <c r="DC1016" s="60"/>
      <c r="DD1016" s="60"/>
      <c r="DE1016" s="60"/>
      <c r="DF1016" s="60"/>
      <c r="DG1016" s="60"/>
      <c r="DH1016" s="60"/>
      <c r="DI1016" s="60"/>
      <c r="DJ1016" s="60"/>
      <c r="DK1016" s="60"/>
      <c r="DL1016" s="60"/>
      <c r="DM1016" s="60"/>
      <c r="DN1016" s="60"/>
      <c r="DO1016" s="60"/>
      <c r="DP1016" s="60"/>
      <c r="DQ1016" s="60"/>
      <c r="DR1016" s="60"/>
      <c r="DS1016" s="60"/>
    </row>
    <row r="1017" ht="15.75" customHeight="1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/>
      <c r="AN1017" s="60"/>
      <c r="AO1017" s="60"/>
      <c r="AP1017" s="60"/>
      <c r="AQ1017" s="60"/>
      <c r="AR1017" s="60"/>
      <c r="AS1017" s="60"/>
      <c r="AT1017" s="60"/>
      <c r="AU1017" s="60"/>
      <c r="AV1017" s="60"/>
      <c r="AW1017" s="60"/>
      <c r="AX1017" s="60"/>
      <c r="AY1017" s="60"/>
      <c r="AZ1017" s="60"/>
      <c r="BA1017" s="60"/>
      <c r="BB1017" s="60"/>
      <c r="BC1017" s="60"/>
      <c r="BD1017" s="60"/>
      <c r="BE1017" s="60"/>
      <c r="BF1017" s="60"/>
      <c r="BG1017" s="60"/>
      <c r="BH1017" s="60"/>
      <c r="BI1017" s="60"/>
      <c r="BJ1017" s="60"/>
      <c r="BK1017" s="60"/>
      <c r="BL1017" s="60"/>
      <c r="BM1017" s="60"/>
      <c r="BN1017" s="60"/>
      <c r="BO1017" s="60"/>
      <c r="BP1017" s="60"/>
      <c r="BQ1017" s="60"/>
      <c r="BR1017" s="60"/>
      <c r="BS1017" s="60"/>
      <c r="BT1017" s="60"/>
      <c r="BU1017" s="60"/>
      <c r="BV1017" s="60"/>
      <c r="BW1017" s="60"/>
      <c r="BX1017" s="60"/>
      <c r="BY1017" s="60"/>
      <c r="BZ1017" s="60"/>
      <c r="CA1017" s="60"/>
      <c r="CB1017" s="60"/>
      <c r="CC1017" s="60"/>
      <c r="CD1017" s="60"/>
      <c r="CE1017" s="60"/>
      <c r="CF1017" s="60"/>
      <c r="CG1017" s="60"/>
      <c r="CH1017" s="60"/>
      <c r="CI1017" s="60"/>
      <c r="CJ1017" s="60"/>
      <c r="CK1017" s="60"/>
      <c r="CL1017" s="60"/>
      <c r="CM1017" s="60"/>
      <c r="CN1017" s="60"/>
      <c r="CO1017" s="60"/>
      <c r="CP1017" s="60"/>
      <c r="CQ1017" s="60"/>
      <c r="CR1017" s="60"/>
      <c r="CS1017" s="60"/>
      <c r="CT1017" s="60"/>
      <c r="CU1017" s="60"/>
      <c r="CV1017" s="60"/>
      <c r="CW1017" s="60"/>
      <c r="CX1017" s="60"/>
      <c r="CY1017" s="60"/>
      <c r="CZ1017" s="60"/>
      <c r="DA1017" s="60"/>
      <c r="DB1017" s="60"/>
      <c r="DC1017" s="60"/>
      <c r="DD1017" s="60"/>
      <c r="DE1017" s="60"/>
      <c r="DF1017" s="60"/>
      <c r="DG1017" s="60"/>
      <c r="DH1017" s="60"/>
      <c r="DI1017" s="60"/>
      <c r="DJ1017" s="60"/>
      <c r="DK1017" s="60"/>
      <c r="DL1017" s="60"/>
      <c r="DM1017" s="60"/>
      <c r="DN1017" s="60"/>
      <c r="DO1017" s="60"/>
      <c r="DP1017" s="60"/>
      <c r="DQ1017" s="60"/>
      <c r="DR1017" s="60"/>
      <c r="DS1017" s="60"/>
    </row>
    <row r="1018" ht="15.75" customHeight="1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60"/>
      <c r="AV1018" s="60"/>
      <c r="AW1018" s="60"/>
      <c r="AX1018" s="60"/>
      <c r="AY1018" s="60"/>
      <c r="AZ1018" s="60"/>
      <c r="BA1018" s="60"/>
      <c r="BB1018" s="60"/>
      <c r="BC1018" s="60"/>
      <c r="BD1018" s="60"/>
      <c r="BE1018" s="60"/>
      <c r="BF1018" s="60"/>
      <c r="BG1018" s="60"/>
      <c r="BH1018" s="60"/>
      <c r="BI1018" s="60"/>
      <c r="BJ1018" s="60"/>
      <c r="BK1018" s="60"/>
      <c r="BL1018" s="60"/>
      <c r="BM1018" s="60"/>
      <c r="BN1018" s="60"/>
      <c r="BO1018" s="60"/>
      <c r="BP1018" s="60"/>
      <c r="BQ1018" s="60"/>
      <c r="BR1018" s="60"/>
      <c r="BS1018" s="60"/>
      <c r="BT1018" s="60"/>
      <c r="BU1018" s="60"/>
      <c r="BV1018" s="60"/>
      <c r="BW1018" s="60"/>
      <c r="BX1018" s="60"/>
      <c r="BY1018" s="60"/>
      <c r="BZ1018" s="60"/>
      <c r="CA1018" s="60"/>
      <c r="CB1018" s="60"/>
      <c r="CC1018" s="60"/>
      <c r="CD1018" s="60"/>
      <c r="CE1018" s="60"/>
      <c r="CF1018" s="60"/>
      <c r="CG1018" s="60"/>
      <c r="CH1018" s="60"/>
      <c r="CI1018" s="60"/>
      <c r="CJ1018" s="60"/>
      <c r="CK1018" s="60"/>
      <c r="CL1018" s="60"/>
      <c r="CM1018" s="60"/>
      <c r="CN1018" s="60"/>
      <c r="CO1018" s="60"/>
      <c r="CP1018" s="60"/>
      <c r="CQ1018" s="60"/>
      <c r="CR1018" s="60"/>
      <c r="CS1018" s="60"/>
      <c r="CT1018" s="60"/>
      <c r="CU1018" s="60"/>
      <c r="CV1018" s="60"/>
      <c r="CW1018" s="60"/>
      <c r="CX1018" s="60"/>
      <c r="CY1018" s="60"/>
      <c r="CZ1018" s="60"/>
      <c r="DA1018" s="60"/>
      <c r="DB1018" s="60"/>
      <c r="DC1018" s="60"/>
      <c r="DD1018" s="60"/>
      <c r="DE1018" s="60"/>
      <c r="DF1018" s="60"/>
      <c r="DG1018" s="60"/>
      <c r="DH1018" s="60"/>
      <c r="DI1018" s="60"/>
      <c r="DJ1018" s="60"/>
      <c r="DK1018" s="60"/>
      <c r="DL1018" s="60"/>
      <c r="DM1018" s="60"/>
      <c r="DN1018" s="60"/>
      <c r="DO1018" s="60"/>
      <c r="DP1018" s="60"/>
      <c r="DQ1018" s="60"/>
      <c r="DR1018" s="60"/>
      <c r="DS1018" s="60"/>
    </row>
    <row r="1019" ht="15.75" customHeight="1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/>
      <c r="AN1019" s="60"/>
      <c r="AO1019" s="60"/>
      <c r="AP1019" s="60"/>
      <c r="AQ1019" s="60"/>
      <c r="AR1019" s="60"/>
      <c r="AS1019" s="60"/>
      <c r="AT1019" s="60"/>
      <c r="AU1019" s="60"/>
      <c r="AV1019" s="60"/>
      <c r="AW1019" s="60"/>
      <c r="AX1019" s="60"/>
      <c r="AY1019" s="60"/>
      <c r="AZ1019" s="60"/>
      <c r="BA1019" s="60"/>
      <c r="BB1019" s="60"/>
      <c r="BC1019" s="60"/>
      <c r="BD1019" s="60"/>
      <c r="BE1019" s="60"/>
      <c r="BF1019" s="60"/>
      <c r="BG1019" s="60"/>
      <c r="BH1019" s="60"/>
      <c r="BI1019" s="60"/>
      <c r="BJ1019" s="60"/>
      <c r="BK1019" s="60"/>
      <c r="BL1019" s="60"/>
      <c r="BM1019" s="60"/>
      <c r="BN1019" s="60"/>
      <c r="BO1019" s="60"/>
      <c r="BP1019" s="60"/>
      <c r="BQ1019" s="60"/>
      <c r="BR1019" s="60"/>
      <c r="BS1019" s="60"/>
      <c r="BT1019" s="60"/>
      <c r="BU1019" s="60"/>
      <c r="BV1019" s="60"/>
      <c r="BW1019" s="60"/>
      <c r="BX1019" s="60"/>
      <c r="BY1019" s="60"/>
      <c r="BZ1019" s="60"/>
      <c r="CA1019" s="60"/>
      <c r="CB1019" s="60"/>
      <c r="CC1019" s="60"/>
      <c r="CD1019" s="60"/>
      <c r="CE1019" s="60"/>
      <c r="CF1019" s="60"/>
      <c r="CG1019" s="60"/>
      <c r="CH1019" s="60"/>
      <c r="CI1019" s="60"/>
      <c r="CJ1019" s="60"/>
      <c r="CK1019" s="60"/>
      <c r="CL1019" s="60"/>
      <c r="CM1019" s="60"/>
      <c r="CN1019" s="60"/>
      <c r="CO1019" s="60"/>
      <c r="CP1019" s="60"/>
      <c r="CQ1019" s="60"/>
      <c r="CR1019" s="60"/>
      <c r="CS1019" s="60"/>
      <c r="CT1019" s="60"/>
      <c r="CU1019" s="60"/>
      <c r="CV1019" s="60"/>
      <c r="CW1019" s="60"/>
      <c r="CX1019" s="60"/>
      <c r="CY1019" s="60"/>
      <c r="CZ1019" s="60"/>
      <c r="DA1019" s="60"/>
      <c r="DB1019" s="60"/>
      <c r="DC1019" s="60"/>
      <c r="DD1019" s="60"/>
      <c r="DE1019" s="60"/>
      <c r="DF1019" s="60"/>
      <c r="DG1019" s="60"/>
      <c r="DH1019" s="60"/>
      <c r="DI1019" s="60"/>
      <c r="DJ1019" s="60"/>
      <c r="DK1019" s="60"/>
      <c r="DL1019" s="60"/>
      <c r="DM1019" s="60"/>
      <c r="DN1019" s="60"/>
      <c r="DO1019" s="60"/>
      <c r="DP1019" s="60"/>
      <c r="DQ1019" s="60"/>
      <c r="DR1019" s="60"/>
      <c r="DS1019" s="60"/>
    </row>
    <row r="1020" ht="15.75" customHeight="1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60"/>
      <c r="AV1020" s="60"/>
      <c r="AW1020" s="60"/>
      <c r="AX1020" s="60"/>
      <c r="AY1020" s="60"/>
      <c r="AZ1020" s="60"/>
      <c r="BA1020" s="60"/>
      <c r="BB1020" s="60"/>
      <c r="BC1020" s="60"/>
      <c r="BD1020" s="60"/>
      <c r="BE1020" s="60"/>
      <c r="BF1020" s="60"/>
      <c r="BG1020" s="60"/>
      <c r="BH1020" s="60"/>
      <c r="BI1020" s="60"/>
      <c r="BJ1020" s="60"/>
      <c r="BK1020" s="60"/>
      <c r="BL1020" s="60"/>
      <c r="BM1020" s="60"/>
      <c r="BN1020" s="60"/>
      <c r="BO1020" s="60"/>
      <c r="BP1020" s="60"/>
      <c r="BQ1020" s="60"/>
      <c r="BR1020" s="60"/>
      <c r="BS1020" s="60"/>
      <c r="BT1020" s="60"/>
      <c r="BU1020" s="60"/>
      <c r="BV1020" s="60"/>
      <c r="BW1020" s="60"/>
      <c r="BX1020" s="60"/>
      <c r="BY1020" s="60"/>
      <c r="BZ1020" s="60"/>
      <c r="CA1020" s="60"/>
      <c r="CB1020" s="60"/>
      <c r="CC1020" s="60"/>
      <c r="CD1020" s="60"/>
      <c r="CE1020" s="60"/>
      <c r="CF1020" s="60"/>
      <c r="CG1020" s="60"/>
      <c r="CH1020" s="60"/>
      <c r="CI1020" s="60"/>
      <c r="CJ1020" s="60"/>
      <c r="CK1020" s="60"/>
      <c r="CL1020" s="60"/>
      <c r="CM1020" s="60"/>
      <c r="CN1020" s="60"/>
      <c r="CO1020" s="60"/>
      <c r="CP1020" s="60"/>
      <c r="CQ1020" s="60"/>
      <c r="CR1020" s="60"/>
      <c r="CS1020" s="60"/>
      <c r="CT1020" s="60"/>
      <c r="CU1020" s="60"/>
      <c r="CV1020" s="60"/>
      <c r="CW1020" s="60"/>
      <c r="CX1020" s="60"/>
      <c r="CY1020" s="60"/>
      <c r="CZ1020" s="60"/>
      <c r="DA1020" s="60"/>
      <c r="DB1020" s="60"/>
      <c r="DC1020" s="60"/>
      <c r="DD1020" s="60"/>
      <c r="DE1020" s="60"/>
      <c r="DF1020" s="60"/>
      <c r="DG1020" s="60"/>
      <c r="DH1020" s="60"/>
      <c r="DI1020" s="60"/>
      <c r="DJ1020" s="60"/>
      <c r="DK1020" s="60"/>
      <c r="DL1020" s="60"/>
      <c r="DM1020" s="60"/>
      <c r="DN1020" s="60"/>
      <c r="DO1020" s="60"/>
      <c r="DP1020" s="60"/>
      <c r="DQ1020" s="60"/>
      <c r="DR1020" s="60"/>
      <c r="DS1020" s="60"/>
    </row>
    <row r="1021" ht="15.75" customHeight="1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60"/>
      <c r="AV1021" s="60"/>
      <c r="AW1021" s="60"/>
      <c r="AX1021" s="60"/>
      <c r="AY1021" s="60"/>
      <c r="AZ1021" s="60"/>
      <c r="BA1021" s="60"/>
      <c r="BB1021" s="60"/>
      <c r="BC1021" s="60"/>
      <c r="BD1021" s="60"/>
      <c r="BE1021" s="60"/>
      <c r="BF1021" s="60"/>
      <c r="BG1021" s="60"/>
      <c r="BH1021" s="60"/>
      <c r="BI1021" s="60"/>
      <c r="BJ1021" s="60"/>
      <c r="BK1021" s="60"/>
      <c r="BL1021" s="60"/>
      <c r="BM1021" s="60"/>
      <c r="BN1021" s="60"/>
      <c r="BO1021" s="60"/>
      <c r="BP1021" s="60"/>
      <c r="BQ1021" s="60"/>
      <c r="BR1021" s="60"/>
      <c r="BS1021" s="60"/>
      <c r="BT1021" s="60"/>
      <c r="BU1021" s="60"/>
      <c r="BV1021" s="60"/>
      <c r="BW1021" s="60"/>
      <c r="BX1021" s="60"/>
      <c r="BY1021" s="60"/>
      <c r="BZ1021" s="60"/>
      <c r="CA1021" s="60"/>
      <c r="CB1021" s="60"/>
      <c r="CC1021" s="60"/>
      <c r="CD1021" s="60"/>
      <c r="CE1021" s="60"/>
      <c r="CF1021" s="60"/>
      <c r="CG1021" s="60"/>
      <c r="CH1021" s="60"/>
      <c r="CI1021" s="60"/>
      <c r="CJ1021" s="60"/>
      <c r="CK1021" s="60"/>
      <c r="CL1021" s="60"/>
      <c r="CM1021" s="60"/>
      <c r="CN1021" s="60"/>
      <c r="CO1021" s="60"/>
      <c r="CP1021" s="60"/>
      <c r="CQ1021" s="60"/>
      <c r="CR1021" s="60"/>
      <c r="CS1021" s="60"/>
      <c r="CT1021" s="60"/>
      <c r="CU1021" s="60"/>
      <c r="CV1021" s="60"/>
      <c r="CW1021" s="60"/>
      <c r="CX1021" s="60"/>
      <c r="CY1021" s="60"/>
      <c r="CZ1021" s="60"/>
      <c r="DA1021" s="60"/>
      <c r="DB1021" s="60"/>
      <c r="DC1021" s="60"/>
      <c r="DD1021" s="60"/>
      <c r="DE1021" s="60"/>
      <c r="DF1021" s="60"/>
      <c r="DG1021" s="60"/>
      <c r="DH1021" s="60"/>
      <c r="DI1021" s="60"/>
      <c r="DJ1021" s="60"/>
      <c r="DK1021" s="60"/>
      <c r="DL1021" s="60"/>
      <c r="DM1021" s="60"/>
      <c r="DN1021" s="60"/>
      <c r="DO1021" s="60"/>
      <c r="DP1021" s="60"/>
      <c r="DQ1021" s="60"/>
      <c r="DR1021" s="60"/>
      <c r="DS1021" s="60"/>
    </row>
    <row r="1022" ht="15.75" customHeight="1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60"/>
      <c r="AV1022" s="60"/>
      <c r="AW1022" s="60"/>
      <c r="AX1022" s="60"/>
      <c r="AY1022" s="60"/>
      <c r="AZ1022" s="60"/>
      <c r="BA1022" s="60"/>
      <c r="BB1022" s="60"/>
      <c r="BC1022" s="60"/>
      <c r="BD1022" s="60"/>
      <c r="BE1022" s="60"/>
      <c r="BF1022" s="60"/>
      <c r="BG1022" s="60"/>
      <c r="BH1022" s="60"/>
      <c r="BI1022" s="60"/>
      <c r="BJ1022" s="60"/>
      <c r="BK1022" s="60"/>
      <c r="BL1022" s="60"/>
      <c r="BM1022" s="60"/>
      <c r="BN1022" s="60"/>
      <c r="BO1022" s="60"/>
      <c r="BP1022" s="60"/>
      <c r="BQ1022" s="60"/>
      <c r="BR1022" s="60"/>
      <c r="BS1022" s="60"/>
      <c r="BT1022" s="60"/>
      <c r="BU1022" s="60"/>
      <c r="BV1022" s="60"/>
      <c r="BW1022" s="60"/>
      <c r="BX1022" s="60"/>
      <c r="BY1022" s="60"/>
      <c r="BZ1022" s="60"/>
      <c r="CA1022" s="60"/>
      <c r="CB1022" s="60"/>
      <c r="CC1022" s="60"/>
      <c r="CD1022" s="60"/>
      <c r="CE1022" s="60"/>
      <c r="CF1022" s="60"/>
      <c r="CG1022" s="60"/>
      <c r="CH1022" s="60"/>
      <c r="CI1022" s="60"/>
      <c r="CJ1022" s="60"/>
      <c r="CK1022" s="60"/>
      <c r="CL1022" s="60"/>
      <c r="CM1022" s="60"/>
      <c r="CN1022" s="60"/>
      <c r="CO1022" s="60"/>
      <c r="CP1022" s="60"/>
      <c r="CQ1022" s="60"/>
      <c r="CR1022" s="60"/>
      <c r="CS1022" s="60"/>
      <c r="CT1022" s="60"/>
      <c r="CU1022" s="60"/>
      <c r="CV1022" s="60"/>
      <c r="CW1022" s="60"/>
      <c r="CX1022" s="60"/>
      <c r="CY1022" s="60"/>
      <c r="CZ1022" s="60"/>
      <c r="DA1022" s="60"/>
      <c r="DB1022" s="60"/>
      <c r="DC1022" s="60"/>
      <c r="DD1022" s="60"/>
      <c r="DE1022" s="60"/>
      <c r="DF1022" s="60"/>
      <c r="DG1022" s="60"/>
      <c r="DH1022" s="60"/>
      <c r="DI1022" s="60"/>
      <c r="DJ1022" s="60"/>
      <c r="DK1022" s="60"/>
      <c r="DL1022" s="60"/>
      <c r="DM1022" s="60"/>
      <c r="DN1022" s="60"/>
      <c r="DO1022" s="60"/>
      <c r="DP1022" s="60"/>
      <c r="DQ1022" s="60"/>
      <c r="DR1022" s="60"/>
      <c r="DS1022" s="60"/>
    </row>
    <row r="1023" ht="15.75" customHeight="1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60"/>
      <c r="AV1023" s="60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  <c r="BG1023" s="60"/>
      <c r="BH1023" s="60"/>
      <c r="BI1023" s="60"/>
      <c r="BJ1023" s="60"/>
      <c r="BK1023" s="60"/>
      <c r="BL1023" s="60"/>
      <c r="BM1023" s="60"/>
      <c r="BN1023" s="60"/>
      <c r="BO1023" s="60"/>
      <c r="BP1023" s="60"/>
      <c r="BQ1023" s="60"/>
      <c r="BR1023" s="60"/>
      <c r="BS1023" s="60"/>
      <c r="BT1023" s="60"/>
      <c r="BU1023" s="60"/>
      <c r="BV1023" s="60"/>
      <c r="BW1023" s="60"/>
      <c r="BX1023" s="60"/>
      <c r="BY1023" s="60"/>
      <c r="BZ1023" s="60"/>
      <c r="CA1023" s="60"/>
      <c r="CB1023" s="60"/>
      <c r="CC1023" s="60"/>
      <c r="CD1023" s="60"/>
      <c r="CE1023" s="60"/>
      <c r="CF1023" s="60"/>
      <c r="CG1023" s="60"/>
      <c r="CH1023" s="60"/>
      <c r="CI1023" s="60"/>
      <c r="CJ1023" s="60"/>
      <c r="CK1023" s="60"/>
      <c r="CL1023" s="60"/>
      <c r="CM1023" s="60"/>
      <c r="CN1023" s="60"/>
      <c r="CO1023" s="60"/>
      <c r="CP1023" s="60"/>
      <c r="CQ1023" s="60"/>
      <c r="CR1023" s="60"/>
      <c r="CS1023" s="60"/>
      <c r="CT1023" s="60"/>
      <c r="CU1023" s="60"/>
      <c r="CV1023" s="60"/>
      <c r="CW1023" s="60"/>
      <c r="CX1023" s="60"/>
      <c r="CY1023" s="60"/>
      <c r="CZ1023" s="60"/>
      <c r="DA1023" s="60"/>
      <c r="DB1023" s="60"/>
      <c r="DC1023" s="60"/>
      <c r="DD1023" s="60"/>
      <c r="DE1023" s="60"/>
      <c r="DF1023" s="60"/>
      <c r="DG1023" s="60"/>
      <c r="DH1023" s="60"/>
      <c r="DI1023" s="60"/>
      <c r="DJ1023" s="60"/>
      <c r="DK1023" s="60"/>
      <c r="DL1023" s="60"/>
      <c r="DM1023" s="60"/>
      <c r="DN1023" s="60"/>
      <c r="DO1023" s="60"/>
      <c r="DP1023" s="60"/>
      <c r="DQ1023" s="60"/>
      <c r="DR1023" s="60"/>
      <c r="DS1023" s="60"/>
    </row>
    <row r="1024" ht="15.75" customHeight="1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60"/>
      <c r="AV1024" s="60"/>
      <c r="AW1024" s="60"/>
      <c r="AX1024" s="60"/>
      <c r="AY1024" s="60"/>
      <c r="AZ1024" s="60"/>
      <c r="BA1024" s="60"/>
      <c r="BB1024" s="60"/>
      <c r="BC1024" s="60"/>
      <c r="BD1024" s="60"/>
      <c r="BE1024" s="60"/>
      <c r="BF1024" s="60"/>
      <c r="BG1024" s="60"/>
      <c r="BH1024" s="60"/>
      <c r="BI1024" s="60"/>
      <c r="BJ1024" s="60"/>
      <c r="BK1024" s="60"/>
      <c r="BL1024" s="60"/>
      <c r="BM1024" s="60"/>
      <c r="BN1024" s="60"/>
      <c r="BO1024" s="60"/>
      <c r="BP1024" s="60"/>
      <c r="BQ1024" s="60"/>
      <c r="BR1024" s="60"/>
      <c r="BS1024" s="60"/>
      <c r="BT1024" s="60"/>
      <c r="BU1024" s="60"/>
      <c r="BV1024" s="60"/>
      <c r="BW1024" s="60"/>
      <c r="BX1024" s="60"/>
      <c r="BY1024" s="60"/>
      <c r="BZ1024" s="60"/>
      <c r="CA1024" s="60"/>
      <c r="CB1024" s="60"/>
      <c r="CC1024" s="60"/>
      <c r="CD1024" s="60"/>
      <c r="CE1024" s="60"/>
      <c r="CF1024" s="60"/>
      <c r="CG1024" s="60"/>
      <c r="CH1024" s="60"/>
      <c r="CI1024" s="60"/>
      <c r="CJ1024" s="60"/>
      <c r="CK1024" s="60"/>
      <c r="CL1024" s="60"/>
      <c r="CM1024" s="60"/>
      <c r="CN1024" s="60"/>
      <c r="CO1024" s="60"/>
      <c r="CP1024" s="60"/>
      <c r="CQ1024" s="60"/>
      <c r="CR1024" s="60"/>
      <c r="CS1024" s="60"/>
      <c r="CT1024" s="60"/>
      <c r="CU1024" s="60"/>
      <c r="CV1024" s="60"/>
      <c r="CW1024" s="60"/>
      <c r="CX1024" s="60"/>
      <c r="CY1024" s="60"/>
      <c r="CZ1024" s="60"/>
      <c r="DA1024" s="60"/>
      <c r="DB1024" s="60"/>
      <c r="DC1024" s="60"/>
      <c r="DD1024" s="60"/>
      <c r="DE1024" s="60"/>
      <c r="DF1024" s="60"/>
      <c r="DG1024" s="60"/>
      <c r="DH1024" s="60"/>
      <c r="DI1024" s="60"/>
      <c r="DJ1024" s="60"/>
      <c r="DK1024" s="60"/>
      <c r="DL1024" s="60"/>
      <c r="DM1024" s="60"/>
      <c r="DN1024" s="60"/>
      <c r="DO1024" s="60"/>
      <c r="DP1024" s="60"/>
      <c r="DQ1024" s="60"/>
      <c r="DR1024" s="60"/>
      <c r="DS1024" s="60"/>
    </row>
    <row r="1025" ht="15.75" customHeight="1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60"/>
      <c r="AV1025" s="60"/>
      <c r="AW1025" s="60"/>
      <c r="AX1025" s="60"/>
      <c r="AY1025" s="60"/>
      <c r="AZ1025" s="60"/>
      <c r="BA1025" s="60"/>
      <c r="BB1025" s="60"/>
      <c r="BC1025" s="60"/>
      <c r="BD1025" s="60"/>
      <c r="BE1025" s="60"/>
      <c r="BF1025" s="60"/>
      <c r="BG1025" s="60"/>
      <c r="BH1025" s="60"/>
      <c r="BI1025" s="60"/>
      <c r="BJ1025" s="60"/>
      <c r="BK1025" s="60"/>
      <c r="BL1025" s="60"/>
      <c r="BM1025" s="60"/>
      <c r="BN1025" s="60"/>
      <c r="BO1025" s="60"/>
      <c r="BP1025" s="60"/>
      <c r="BQ1025" s="60"/>
      <c r="BR1025" s="60"/>
      <c r="BS1025" s="60"/>
      <c r="BT1025" s="60"/>
      <c r="BU1025" s="60"/>
      <c r="BV1025" s="60"/>
      <c r="BW1025" s="60"/>
      <c r="BX1025" s="60"/>
      <c r="BY1025" s="60"/>
      <c r="BZ1025" s="60"/>
      <c r="CA1025" s="60"/>
      <c r="CB1025" s="60"/>
      <c r="CC1025" s="60"/>
      <c r="CD1025" s="60"/>
      <c r="CE1025" s="60"/>
      <c r="CF1025" s="60"/>
      <c r="CG1025" s="60"/>
      <c r="CH1025" s="60"/>
      <c r="CI1025" s="60"/>
      <c r="CJ1025" s="60"/>
      <c r="CK1025" s="60"/>
      <c r="CL1025" s="60"/>
      <c r="CM1025" s="60"/>
      <c r="CN1025" s="60"/>
      <c r="CO1025" s="60"/>
      <c r="CP1025" s="60"/>
      <c r="CQ1025" s="60"/>
      <c r="CR1025" s="60"/>
      <c r="CS1025" s="60"/>
      <c r="CT1025" s="60"/>
      <c r="CU1025" s="60"/>
      <c r="CV1025" s="60"/>
      <c r="CW1025" s="60"/>
      <c r="CX1025" s="60"/>
      <c r="CY1025" s="60"/>
      <c r="CZ1025" s="60"/>
      <c r="DA1025" s="60"/>
      <c r="DB1025" s="60"/>
      <c r="DC1025" s="60"/>
      <c r="DD1025" s="60"/>
      <c r="DE1025" s="60"/>
      <c r="DF1025" s="60"/>
      <c r="DG1025" s="60"/>
      <c r="DH1025" s="60"/>
      <c r="DI1025" s="60"/>
      <c r="DJ1025" s="60"/>
      <c r="DK1025" s="60"/>
      <c r="DL1025" s="60"/>
      <c r="DM1025" s="60"/>
      <c r="DN1025" s="60"/>
      <c r="DO1025" s="60"/>
      <c r="DP1025" s="60"/>
      <c r="DQ1025" s="60"/>
      <c r="DR1025" s="60"/>
      <c r="DS1025" s="60"/>
    </row>
    <row r="1026" ht="15.75" customHeight="1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60"/>
      <c r="AV1026" s="60"/>
      <c r="AW1026" s="60"/>
      <c r="AX1026" s="60"/>
      <c r="AY1026" s="60"/>
      <c r="AZ1026" s="60"/>
      <c r="BA1026" s="60"/>
      <c r="BB1026" s="60"/>
      <c r="BC1026" s="60"/>
      <c r="BD1026" s="60"/>
      <c r="BE1026" s="60"/>
      <c r="BF1026" s="60"/>
      <c r="BG1026" s="60"/>
      <c r="BH1026" s="60"/>
      <c r="BI1026" s="60"/>
      <c r="BJ1026" s="60"/>
      <c r="BK1026" s="60"/>
      <c r="BL1026" s="60"/>
      <c r="BM1026" s="60"/>
      <c r="BN1026" s="60"/>
      <c r="BO1026" s="60"/>
      <c r="BP1026" s="60"/>
      <c r="BQ1026" s="60"/>
      <c r="BR1026" s="60"/>
      <c r="BS1026" s="60"/>
      <c r="BT1026" s="60"/>
      <c r="BU1026" s="60"/>
      <c r="BV1026" s="60"/>
      <c r="BW1026" s="60"/>
      <c r="BX1026" s="60"/>
      <c r="BY1026" s="60"/>
      <c r="BZ1026" s="60"/>
      <c r="CA1026" s="60"/>
      <c r="CB1026" s="60"/>
      <c r="CC1026" s="60"/>
      <c r="CD1026" s="60"/>
      <c r="CE1026" s="60"/>
      <c r="CF1026" s="60"/>
      <c r="CG1026" s="60"/>
      <c r="CH1026" s="60"/>
      <c r="CI1026" s="60"/>
      <c r="CJ1026" s="60"/>
      <c r="CK1026" s="60"/>
      <c r="CL1026" s="60"/>
      <c r="CM1026" s="60"/>
      <c r="CN1026" s="60"/>
      <c r="CO1026" s="60"/>
      <c r="CP1026" s="60"/>
      <c r="CQ1026" s="60"/>
      <c r="CR1026" s="60"/>
      <c r="CS1026" s="60"/>
      <c r="CT1026" s="60"/>
      <c r="CU1026" s="60"/>
      <c r="CV1026" s="60"/>
      <c r="CW1026" s="60"/>
      <c r="CX1026" s="60"/>
      <c r="CY1026" s="60"/>
      <c r="CZ1026" s="60"/>
      <c r="DA1026" s="60"/>
      <c r="DB1026" s="60"/>
      <c r="DC1026" s="60"/>
      <c r="DD1026" s="60"/>
      <c r="DE1026" s="60"/>
      <c r="DF1026" s="60"/>
      <c r="DG1026" s="60"/>
      <c r="DH1026" s="60"/>
      <c r="DI1026" s="60"/>
      <c r="DJ1026" s="60"/>
      <c r="DK1026" s="60"/>
      <c r="DL1026" s="60"/>
      <c r="DM1026" s="60"/>
      <c r="DN1026" s="60"/>
      <c r="DO1026" s="60"/>
      <c r="DP1026" s="60"/>
      <c r="DQ1026" s="60"/>
      <c r="DR1026" s="60"/>
      <c r="DS1026" s="60"/>
    </row>
    <row r="1027" ht="15.75" customHeight="1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60"/>
      <c r="AV1027" s="60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  <c r="BG1027" s="60"/>
      <c r="BH1027" s="60"/>
      <c r="BI1027" s="60"/>
      <c r="BJ1027" s="60"/>
      <c r="BK1027" s="60"/>
      <c r="BL1027" s="60"/>
      <c r="BM1027" s="60"/>
      <c r="BN1027" s="60"/>
      <c r="BO1027" s="60"/>
      <c r="BP1027" s="60"/>
      <c r="BQ1027" s="60"/>
      <c r="BR1027" s="60"/>
      <c r="BS1027" s="60"/>
      <c r="BT1027" s="60"/>
      <c r="BU1027" s="60"/>
      <c r="BV1027" s="60"/>
      <c r="BW1027" s="60"/>
      <c r="BX1027" s="60"/>
      <c r="BY1027" s="60"/>
      <c r="BZ1027" s="60"/>
      <c r="CA1027" s="60"/>
      <c r="CB1027" s="60"/>
      <c r="CC1027" s="60"/>
      <c r="CD1027" s="60"/>
      <c r="CE1027" s="60"/>
      <c r="CF1027" s="60"/>
      <c r="CG1027" s="60"/>
      <c r="CH1027" s="60"/>
      <c r="CI1027" s="60"/>
      <c r="CJ1027" s="60"/>
      <c r="CK1027" s="60"/>
      <c r="CL1027" s="60"/>
      <c r="CM1027" s="60"/>
      <c r="CN1027" s="60"/>
      <c r="CO1027" s="60"/>
      <c r="CP1027" s="60"/>
      <c r="CQ1027" s="60"/>
      <c r="CR1027" s="60"/>
      <c r="CS1027" s="60"/>
      <c r="CT1027" s="60"/>
      <c r="CU1027" s="60"/>
      <c r="CV1027" s="60"/>
      <c r="CW1027" s="60"/>
      <c r="CX1027" s="60"/>
      <c r="CY1027" s="60"/>
      <c r="CZ1027" s="60"/>
      <c r="DA1027" s="60"/>
      <c r="DB1027" s="60"/>
      <c r="DC1027" s="60"/>
      <c r="DD1027" s="60"/>
      <c r="DE1027" s="60"/>
      <c r="DF1027" s="60"/>
      <c r="DG1027" s="60"/>
      <c r="DH1027" s="60"/>
      <c r="DI1027" s="60"/>
      <c r="DJ1027" s="60"/>
      <c r="DK1027" s="60"/>
      <c r="DL1027" s="60"/>
      <c r="DM1027" s="60"/>
      <c r="DN1027" s="60"/>
      <c r="DO1027" s="60"/>
      <c r="DP1027" s="60"/>
      <c r="DQ1027" s="60"/>
      <c r="DR1027" s="60"/>
      <c r="DS1027" s="60"/>
    </row>
    <row r="1028" ht="15.75" customHeight="1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60"/>
      <c r="AV1028" s="60"/>
      <c r="AW1028" s="60"/>
      <c r="AX1028" s="60"/>
      <c r="AY1028" s="60"/>
      <c r="AZ1028" s="60"/>
      <c r="BA1028" s="60"/>
      <c r="BB1028" s="60"/>
      <c r="BC1028" s="60"/>
      <c r="BD1028" s="60"/>
      <c r="BE1028" s="60"/>
      <c r="BF1028" s="60"/>
      <c r="BG1028" s="60"/>
      <c r="BH1028" s="60"/>
      <c r="BI1028" s="60"/>
      <c r="BJ1028" s="60"/>
      <c r="BK1028" s="60"/>
      <c r="BL1028" s="60"/>
      <c r="BM1028" s="60"/>
      <c r="BN1028" s="60"/>
      <c r="BO1028" s="60"/>
      <c r="BP1028" s="60"/>
      <c r="BQ1028" s="60"/>
      <c r="BR1028" s="60"/>
      <c r="BS1028" s="60"/>
      <c r="BT1028" s="60"/>
      <c r="BU1028" s="60"/>
      <c r="BV1028" s="60"/>
      <c r="BW1028" s="60"/>
      <c r="BX1028" s="60"/>
      <c r="BY1028" s="60"/>
      <c r="BZ1028" s="60"/>
      <c r="CA1028" s="60"/>
      <c r="CB1028" s="60"/>
      <c r="CC1028" s="60"/>
      <c r="CD1028" s="60"/>
      <c r="CE1028" s="60"/>
      <c r="CF1028" s="60"/>
      <c r="CG1028" s="60"/>
      <c r="CH1028" s="60"/>
      <c r="CI1028" s="60"/>
      <c r="CJ1028" s="60"/>
      <c r="CK1028" s="60"/>
      <c r="CL1028" s="60"/>
      <c r="CM1028" s="60"/>
      <c r="CN1028" s="60"/>
      <c r="CO1028" s="60"/>
      <c r="CP1028" s="60"/>
      <c r="CQ1028" s="60"/>
      <c r="CR1028" s="60"/>
      <c r="CS1028" s="60"/>
      <c r="CT1028" s="60"/>
      <c r="CU1028" s="60"/>
      <c r="CV1028" s="60"/>
      <c r="CW1028" s="60"/>
      <c r="CX1028" s="60"/>
      <c r="CY1028" s="60"/>
      <c r="CZ1028" s="60"/>
      <c r="DA1028" s="60"/>
      <c r="DB1028" s="60"/>
      <c r="DC1028" s="60"/>
      <c r="DD1028" s="60"/>
      <c r="DE1028" s="60"/>
      <c r="DF1028" s="60"/>
      <c r="DG1028" s="60"/>
      <c r="DH1028" s="60"/>
      <c r="DI1028" s="60"/>
      <c r="DJ1028" s="60"/>
      <c r="DK1028" s="60"/>
      <c r="DL1028" s="60"/>
      <c r="DM1028" s="60"/>
      <c r="DN1028" s="60"/>
      <c r="DO1028" s="60"/>
      <c r="DP1028" s="60"/>
      <c r="DQ1028" s="60"/>
      <c r="DR1028" s="60"/>
      <c r="DS1028" s="60"/>
    </row>
    <row r="1029" ht="15.75" customHeight="1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60"/>
      <c r="AV1029" s="60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  <c r="BG1029" s="60"/>
      <c r="BH1029" s="60"/>
      <c r="BI1029" s="60"/>
      <c r="BJ1029" s="60"/>
      <c r="BK1029" s="60"/>
      <c r="BL1029" s="60"/>
      <c r="BM1029" s="60"/>
      <c r="BN1029" s="60"/>
      <c r="BO1029" s="60"/>
      <c r="BP1029" s="60"/>
      <c r="BQ1029" s="60"/>
      <c r="BR1029" s="60"/>
      <c r="BS1029" s="60"/>
      <c r="BT1029" s="60"/>
      <c r="BU1029" s="60"/>
      <c r="BV1029" s="60"/>
      <c r="BW1029" s="60"/>
      <c r="BX1029" s="60"/>
      <c r="BY1029" s="60"/>
      <c r="BZ1029" s="60"/>
      <c r="CA1029" s="60"/>
      <c r="CB1029" s="60"/>
      <c r="CC1029" s="60"/>
      <c r="CD1029" s="60"/>
      <c r="CE1029" s="60"/>
      <c r="CF1029" s="60"/>
      <c r="CG1029" s="60"/>
      <c r="CH1029" s="60"/>
      <c r="CI1029" s="60"/>
      <c r="CJ1029" s="60"/>
      <c r="CK1029" s="60"/>
      <c r="CL1029" s="60"/>
      <c r="CM1029" s="60"/>
      <c r="CN1029" s="60"/>
      <c r="CO1029" s="60"/>
      <c r="CP1029" s="60"/>
      <c r="CQ1029" s="60"/>
      <c r="CR1029" s="60"/>
      <c r="CS1029" s="60"/>
      <c r="CT1029" s="60"/>
      <c r="CU1029" s="60"/>
      <c r="CV1029" s="60"/>
      <c r="CW1029" s="60"/>
      <c r="CX1029" s="60"/>
      <c r="CY1029" s="60"/>
      <c r="CZ1029" s="60"/>
      <c r="DA1029" s="60"/>
      <c r="DB1029" s="60"/>
      <c r="DC1029" s="60"/>
      <c r="DD1029" s="60"/>
      <c r="DE1029" s="60"/>
      <c r="DF1029" s="60"/>
      <c r="DG1029" s="60"/>
      <c r="DH1029" s="60"/>
      <c r="DI1029" s="60"/>
      <c r="DJ1029" s="60"/>
      <c r="DK1029" s="60"/>
      <c r="DL1029" s="60"/>
      <c r="DM1029" s="60"/>
      <c r="DN1029" s="60"/>
      <c r="DO1029" s="60"/>
      <c r="DP1029" s="60"/>
      <c r="DQ1029" s="60"/>
      <c r="DR1029" s="60"/>
      <c r="DS1029" s="60"/>
    </row>
    <row r="1030" ht="15.75" customHeight="1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60"/>
      <c r="AV1030" s="60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  <c r="BG1030" s="60"/>
      <c r="BH1030" s="60"/>
      <c r="BI1030" s="60"/>
      <c r="BJ1030" s="60"/>
      <c r="BK1030" s="60"/>
      <c r="BL1030" s="60"/>
      <c r="BM1030" s="60"/>
      <c r="BN1030" s="60"/>
      <c r="BO1030" s="60"/>
      <c r="BP1030" s="60"/>
      <c r="BQ1030" s="60"/>
      <c r="BR1030" s="60"/>
      <c r="BS1030" s="60"/>
      <c r="BT1030" s="60"/>
      <c r="BU1030" s="60"/>
      <c r="BV1030" s="60"/>
      <c r="BW1030" s="60"/>
      <c r="BX1030" s="60"/>
      <c r="BY1030" s="60"/>
      <c r="BZ1030" s="60"/>
      <c r="CA1030" s="60"/>
      <c r="CB1030" s="60"/>
      <c r="CC1030" s="60"/>
      <c r="CD1030" s="60"/>
      <c r="CE1030" s="60"/>
      <c r="CF1030" s="60"/>
      <c r="CG1030" s="60"/>
      <c r="CH1030" s="60"/>
      <c r="CI1030" s="60"/>
      <c r="CJ1030" s="60"/>
      <c r="CK1030" s="60"/>
      <c r="CL1030" s="60"/>
      <c r="CM1030" s="60"/>
      <c r="CN1030" s="60"/>
      <c r="CO1030" s="60"/>
      <c r="CP1030" s="60"/>
      <c r="CQ1030" s="60"/>
      <c r="CR1030" s="60"/>
      <c r="CS1030" s="60"/>
      <c r="CT1030" s="60"/>
      <c r="CU1030" s="60"/>
      <c r="CV1030" s="60"/>
      <c r="CW1030" s="60"/>
      <c r="CX1030" s="60"/>
      <c r="CY1030" s="60"/>
      <c r="CZ1030" s="60"/>
      <c r="DA1030" s="60"/>
      <c r="DB1030" s="60"/>
      <c r="DC1030" s="60"/>
      <c r="DD1030" s="60"/>
      <c r="DE1030" s="60"/>
      <c r="DF1030" s="60"/>
      <c r="DG1030" s="60"/>
      <c r="DH1030" s="60"/>
      <c r="DI1030" s="60"/>
      <c r="DJ1030" s="60"/>
      <c r="DK1030" s="60"/>
      <c r="DL1030" s="60"/>
      <c r="DM1030" s="60"/>
      <c r="DN1030" s="60"/>
      <c r="DO1030" s="60"/>
      <c r="DP1030" s="60"/>
      <c r="DQ1030" s="60"/>
      <c r="DR1030" s="60"/>
      <c r="DS1030" s="60"/>
    </row>
    <row r="1031" ht="15.75" customHeight="1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60"/>
      <c r="AV1031" s="60"/>
      <c r="AW1031" s="60"/>
      <c r="AX1031" s="60"/>
      <c r="AY1031" s="60"/>
      <c r="AZ1031" s="60"/>
      <c r="BA1031" s="60"/>
      <c r="BB1031" s="60"/>
      <c r="BC1031" s="60"/>
      <c r="BD1031" s="60"/>
      <c r="BE1031" s="60"/>
      <c r="BF1031" s="60"/>
      <c r="BG1031" s="60"/>
      <c r="BH1031" s="60"/>
      <c r="BI1031" s="60"/>
      <c r="BJ1031" s="60"/>
      <c r="BK1031" s="60"/>
      <c r="BL1031" s="60"/>
      <c r="BM1031" s="60"/>
      <c r="BN1031" s="60"/>
      <c r="BO1031" s="60"/>
      <c r="BP1031" s="60"/>
      <c r="BQ1031" s="60"/>
      <c r="BR1031" s="60"/>
      <c r="BS1031" s="60"/>
      <c r="BT1031" s="60"/>
      <c r="BU1031" s="60"/>
      <c r="BV1031" s="60"/>
      <c r="BW1031" s="60"/>
      <c r="BX1031" s="60"/>
      <c r="BY1031" s="60"/>
      <c r="BZ1031" s="60"/>
      <c r="CA1031" s="60"/>
      <c r="CB1031" s="60"/>
      <c r="CC1031" s="60"/>
      <c r="CD1031" s="60"/>
      <c r="CE1031" s="60"/>
      <c r="CF1031" s="60"/>
      <c r="CG1031" s="60"/>
      <c r="CH1031" s="60"/>
      <c r="CI1031" s="60"/>
      <c r="CJ1031" s="60"/>
      <c r="CK1031" s="60"/>
      <c r="CL1031" s="60"/>
      <c r="CM1031" s="60"/>
      <c r="CN1031" s="60"/>
      <c r="CO1031" s="60"/>
      <c r="CP1031" s="60"/>
      <c r="CQ1031" s="60"/>
      <c r="CR1031" s="60"/>
      <c r="CS1031" s="60"/>
      <c r="CT1031" s="60"/>
      <c r="CU1031" s="60"/>
      <c r="CV1031" s="60"/>
      <c r="CW1031" s="60"/>
      <c r="CX1031" s="60"/>
      <c r="CY1031" s="60"/>
      <c r="CZ1031" s="60"/>
      <c r="DA1031" s="60"/>
      <c r="DB1031" s="60"/>
      <c r="DC1031" s="60"/>
      <c r="DD1031" s="60"/>
      <c r="DE1031" s="60"/>
      <c r="DF1031" s="60"/>
      <c r="DG1031" s="60"/>
      <c r="DH1031" s="60"/>
      <c r="DI1031" s="60"/>
      <c r="DJ1031" s="60"/>
      <c r="DK1031" s="60"/>
      <c r="DL1031" s="60"/>
      <c r="DM1031" s="60"/>
      <c r="DN1031" s="60"/>
      <c r="DO1031" s="60"/>
      <c r="DP1031" s="60"/>
      <c r="DQ1031" s="60"/>
      <c r="DR1031" s="60"/>
      <c r="DS1031" s="60"/>
    </row>
    <row r="1032" ht="15.75" customHeight="1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60"/>
      <c r="AV1032" s="60"/>
      <c r="AW1032" s="60"/>
      <c r="AX1032" s="60"/>
      <c r="AY1032" s="60"/>
      <c r="AZ1032" s="60"/>
      <c r="BA1032" s="60"/>
      <c r="BB1032" s="60"/>
      <c r="BC1032" s="60"/>
      <c r="BD1032" s="60"/>
      <c r="BE1032" s="60"/>
      <c r="BF1032" s="60"/>
      <c r="BG1032" s="60"/>
      <c r="BH1032" s="60"/>
      <c r="BI1032" s="60"/>
      <c r="BJ1032" s="60"/>
      <c r="BK1032" s="60"/>
      <c r="BL1032" s="60"/>
      <c r="BM1032" s="60"/>
      <c r="BN1032" s="60"/>
      <c r="BO1032" s="60"/>
      <c r="BP1032" s="60"/>
      <c r="BQ1032" s="60"/>
      <c r="BR1032" s="60"/>
      <c r="BS1032" s="60"/>
      <c r="BT1032" s="60"/>
      <c r="BU1032" s="60"/>
      <c r="BV1032" s="60"/>
      <c r="BW1032" s="60"/>
      <c r="BX1032" s="60"/>
      <c r="BY1032" s="60"/>
      <c r="BZ1032" s="60"/>
      <c r="CA1032" s="60"/>
      <c r="CB1032" s="60"/>
      <c r="CC1032" s="60"/>
      <c r="CD1032" s="60"/>
      <c r="CE1032" s="60"/>
      <c r="CF1032" s="60"/>
      <c r="CG1032" s="60"/>
      <c r="CH1032" s="60"/>
      <c r="CI1032" s="60"/>
      <c r="CJ1032" s="60"/>
      <c r="CK1032" s="60"/>
      <c r="CL1032" s="60"/>
      <c r="CM1032" s="60"/>
      <c r="CN1032" s="60"/>
      <c r="CO1032" s="60"/>
      <c r="CP1032" s="60"/>
      <c r="CQ1032" s="60"/>
      <c r="CR1032" s="60"/>
      <c r="CS1032" s="60"/>
      <c r="CT1032" s="60"/>
      <c r="CU1032" s="60"/>
      <c r="CV1032" s="60"/>
      <c r="CW1032" s="60"/>
      <c r="CX1032" s="60"/>
      <c r="CY1032" s="60"/>
      <c r="CZ1032" s="60"/>
      <c r="DA1032" s="60"/>
      <c r="DB1032" s="60"/>
      <c r="DC1032" s="60"/>
      <c r="DD1032" s="60"/>
      <c r="DE1032" s="60"/>
      <c r="DF1032" s="60"/>
      <c r="DG1032" s="60"/>
      <c r="DH1032" s="60"/>
      <c r="DI1032" s="60"/>
      <c r="DJ1032" s="60"/>
      <c r="DK1032" s="60"/>
      <c r="DL1032" s="60"/>
      <c r="DM1032" s="60"/>
      <c r="DN1032" s="60"/>
      <c r="DO1032" s="60"/>
      <c r="DP1032" s="60"/>
      <c r="DQ1032" s="60"/>
      <c r="DR1032" s="60"/>
      <c r="DS1032" s="60"/>
    </row>
    <row r="1033" ht="15.75" customHeight="1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/>
      <c r="AM1033" s="60"/>
      <c r="AN1033" s="60"/>
      <c r="AO1033" s="60"/>
      <c r="AP1033" s="60"/>
      <c r="AQ1033" s="60"/>
      <c r="AR1033" s="60"/>
      <c r="AS1033" s="60"/>
      <c r="AT1033" s="60"/>
      <c r="AU1033" s="60"/>
      <c r="AV1033" s="60"/>
      <c r="AW1033" s="60"/>
      <c r="AX1033" s="60"/>
      <c r="AY1033" s="60"/>
      <c r="AZ1033" s="60"/>
      <c r="BA1033" s="60"/>
      <c r="BB1033" s="60"/>
      <c r="BC1033" s="60"/>
      <c r="BD1033" s="60"/>
      <c r="BE1033" s="60"/>
      <c r="BF1033" s="60"/>
      <c r="BG1033" s="60"/>
      <c r="BH1033" s="60"/>
      <c r="BI1033" s="60"/>
      <c r="BJ1033" s="60"/>
      <c r="BK1033" s="60"/>
      <c r="BL1033" s="60"/>
      <c r="BM1033" s="60"/>
      <c r="BN1033" s="60"/>
      <c r="BO1033" s="60"/>
      <c r="BP1033" s="60"/>
      <c r="BQ1033" s="60"/>
      <c r="BR1033" s="60"/>
      <c r="BS1033" s="60"/>
      <c r="BT1033" s="60"/>
      <c r="BU1033" s="60"/>
      <c r="BV1033" s="60"/>
      <c r="BW1033" s="60"/>
      <c r="BX1033" s="60"/>
      <c r="BY1033" s="60"/>
      <c r="BZ1033" s="60"/>
      <c r="CA1033" s="60"/>
      <c r="CB1033" s="60"/>
      <c r="CC1033" s="60"/>
      <c r="CD1033" s="60"/>
      <c r="CE1033" s="60"/>
      <c r="CF1033" s="60"/>
      <c r="CG1033" s="60"/>
      <c r="CH1033" s="60"/>
      <c r="CI1033" s="60"/>
      <c r="CJ1033" s="60"/>
      <c r="CK1033" s="60"/>
      <c r="CL1033" s="60"/>
      <c r="CM1033" s="60"/>
      <c r="CN1033" s="60"/>
      <c r="CO1033" s="60"/>
      <c r="CP1033" s="60"/>
      <c r="CQ1033" s="60"/>
      <c r="CR1033" s="60"/>
      <c r="CS1033" s="60"/>
      <c r="CT1033" s="60"/>
      <c r="CU1033" s="60"/>
      <c r="CV1033" s="60"/>
      <c r="CW1033" s="60"/>
      <c r="CX1033" s="60"/>
      <c r="CY1033" s="60"/>
      <c r="CZ1033" s="60"/>
      <c r="DA1033" s="60"/>
      <c r="DB1033" s="60"/>
      <c r="DC1033" s="60"/>
      <c r="DD1033" s="60"/>
      <c r="DE1033" s="60"/>
      <c r="DF1033" s="60"/>
      <c r="DG1033" s="60"/>
      <c r="DH1033" s="60"/>
      <c r="DI1033" s="60"/>
      <c r="DJ1033" s="60"/>
      <c r="DK1033" s="60"/>
      <c r="DL1033" s="60"/>
      <c r="DM1033" s="60"/>
      <c r="DN1033" s="60"/>
      <c r="DO1033" s="60"/>
      <c r="DP1033" s="60"/>
      <c r="DQ1033" s="60"/>
      <c r="DR1033" s="60"/>
      <c r="DS1033" s="60"/>
    </row>
    <row r="1034" ht="15.75" customHeight="1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60"/>
      <c r="AV1034" s="60"/>
      <c r="AW1034" s="60"/>
      <c r="AX1034" s="60"/>
      <c r="AY1034" s="60"/>
      <c r="AZ1034" s="60"/>
      <c r="BA1034" s="60"/>
      <c r="BB1034" s="60"/>
      <c r="BC1034" s="60"/>
      <c r="BD1034" s="60"/>
      <c r="BE1034" s="60"/>
      <c r="BF1034" s="60"/>
      <c r="BG1034" s="60"/>
      <c r="BH1034" s="60"/>
      <c r="BI1034" s="60"/>
      <c r="BJ1034" s="60"/>
      <c r="BK1034" s="60"/>
      <c r="BL1034" s="60"/>
      <c r="BM1034" s="60"/>
      <c r="BN1034" s="60"/>
      <c r="BO1034" s="60"/>
      <c r="BP1034" s="60"/>
      <c r="BQ1034" s="60"/>
      <c r="BR1034" s="60"/>
      <c r="BS1034" s="60"/>
      <c r="BT1034" s="60"/>
      <c r="BU1034" s="60"/>
      <c r="BV1034" s="60"/>
      <c r="BW1034" s="60"/>
      <c r="BX1034" s="60"/>
      <c r="BY1034" s="60"/>
      <c r="BZ1034" s="60"/>
      <c r="CA1034" s="60"/>
      <c r="CB1034" s="60"/>
      <c r="CC1034" s="60"/>
      <c r="CD1034" s="60"/>
      <c r="CE1034" s="60"/>
      <c r="CF1034" s="60"/>
      <c r="CG1034" s="60"/>
      <c r="CH1034" s="60"/>
      <c r="CI1034" s="60"/>
      <c r="CJ1034" s="60"/>
      <c r="CK1034" s="60"/>
      <c r="CL1034" s="60"/>
      <c r="CM1034" s="60"/>
      <c r="CN1034" s="60"/>
      <c r="CO1034" s="60"/>
      <c r="CP1034" s="60"/>
      <c r="CQ1034" s="60"/>
      <c r="CR1034" s="60"/>
      <c r="CS1034" s="60"/>
      <c r="CT1034" s="60"/>
      <c r="CU1034" s="60"/>
      <c r="CV1034" s="60"/>
      <c r="CW1034" s="60"/>
      <c r="CX1034" s="60"/>
      <c r="CY1034" s="60"/>
      <c r="CZ1034" s="60"/>
      <c r="DA1034" s="60"/>
      <c r="DB1034" s="60"/>
      <c r="DC1034" s="60"/>
      <c r="DD1034" s="60"/>
      <c r="DE1034" s="60"/>
      <c r="DF1034" s="60"/>
      <c r="DG1034" s="60"/>
      <c r="DH1034" s="60"/>
      <c r="DI1034" s="60"/>
      <c r="DJ1034" s="60"/>
      <c r="DK1034" s="60"/>
      <c r="DL1034" s="60"/>
      <c r="DM1034" s="60"/>
      <c r="DN1034" s="60"/>
      <c r="DO1034" s="60"/>
      <c r="DP1034" s="60"/>
      <c r="DQ1034" s="60"/>
      <c r="DR1034" s="60"/>
      <c r="DS1034" s="60"/>
    </row>
    <row r="1035" ht="15.75" customHeight="1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60"/>
      <c r="AV1035" s="60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  <c r="BG1035" s="60"/>
      <c r="BH1035" s="60"/>
      <c r="BI1035" s="60"/>
      <c r="BJ1035" s="60"/>
      <c r="BK1035" s="60"/>
      <c r="BL1035" s="60"/>
      <c r="BM1035" s="60"/>
      <c r="BN1035" s="60"/>
      <c r="BO1035" s="60"/>
      <c r="BP1035" s="60"/>
      <c r="BQ1035" s="60"/>
      <c r="BR1035" s="60"/>
      <c r="BS1035" s="60"/>
      <c r="BT1035" s="60"/>
      <c r="BU1035" s="60"/>
      <c r="BV1035" s="60"/>
      <c r="BW1035" s="60"/>
      <c r="BX1035" s="60"/>
      <c r="BY1035" s="60"/>
      <c r="BZ1035" s="60"/>
      <c r="CA1035" s="60"/>
      <c r="CB1035" s="60"/>
      <c r="CC1035" s="60"/>
      <c r="CD1035" s="60"/>
      <c r="CE1035" s="60"/>
      <c r="CF1035" s="60"/>
      <c r="CG1035" s="60"/>
      <c r="CH1035" s="60"/>
      <c r="CI1035" s="60"/>
      <c r="CJ1035" s="60"/>
      <c r="CK1035" s="60"/>
      <c r="CL1035" s="60"/>
      <c r="CM1035" s="60"/>
      <c r="CN1035" s="60"/>
      <c r="CO1035" s="60"/>
      <c r="CP1035" s="60"/>
      <c r="CQ1035" s="60"/>
      <c r="CR1035" s="60"/>
      <c r="CS1035" s="60"/>
      <c r="CT1035" s="60"/>
      <c r="CU1035" s="60"/>
      <c r="CV1035" s="60"/>
      <c r="CW1035" s="60"/>
      <c r="CX1035" s="60"/>
      <c r="CY1035" s="60"/>
      <c r="CZ1035" s="60"/>
      <c r="DA1035" s="60"/>
      <c r="DB1035" s="60"/>
      <c r="DC1035" s="60"/>
      <c r="DD1035" s="60"/>
      <c r="DE1035" s="60"/>
      <c r="DF1035" s="60"/>
      <c r="DG1035" s="60"/>
      <c r="DH1035" s="60"/>
      <c r="DI1035" s="60"/>
      <c r="DJ1035" s="60"/>
      <c r="DK1035" s="60"/>
      <c r="DL1035" s="60"/>
      <c r="DM1035" s="60"/>
      <c r="DN1035" s="60"/>
      <c r="DO1035" s="60"/>
      <c r="DP1035" s="60"/>
      <c r="DQ1035" s="60"/>
      <c r="DR1035" s="60"/>
      <c r="DS1035" s="60"/>
    </row>
    <row r="1036" ht="15.75" customHeight="1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60"/>
      <c r="AV1036" s="60"/>
      <c r="AW1036" s="60"/>
      <c r="AX1036" s="60"/>
      <c r="AY1036" s="60"/>
      <c r="AZ1036" s="60"/>
      <c r="BA1036" s="60"/>
      <c r="BB1036" s="60"/>
      <c r="BC1036" s="60"/>
      <c r="BD1036" s="60"/>
      <c r="BE1036" s="60"/>
      <c r="BF1036" s="60"/>
      <c r="BG1036" s="60"/>
      <c r="BH1036" s="60"/>
      <c r="BI1036" s="60"/>
      <c r="BJ1036" s="60"/>
      <c r="BK1036" s="60"/>
      <c r="BL1036" s="60"/>
      <c r="BM1036" s="60"/>
      <c r="BN1036" s="60"/>
      <c r="BO1036" s="60"/>
      <c r="BP1036" s="60"/>
      <c r="BQ1036" s="60"/>
      <c r="BR1036" s="60"/>
      <c r="BS1036" s="60"/>
      <c r="BT1036" s="60"/>
      <c r="BU1036" s="60"/>
      <c r="BV1036" s="60"/>
      <c r="BW1036" s="60"/>
      <c r="BX1036" s="60"/>
      <c r="BY1036" s="60"/>
      <c r="BZ1036" s="60"/>
      <c r="CA1036" s="60"/>
      <c r="CB1036" s="60"/>
      <c r="CC1036" s="60"/>
      <c r="CD1036" s="60"/>
      <c r="CE1036" s="60"/>
      <c r="CF1036" s="60"/>
      <c r="CG1036" s="60"/>
      <c r="CH1036" s="60"/>
      <c r="CI1036" s="60"/>
      <c r="CJ1036" s="60"/>
      <c r="CK1036" s="60"/>
      <c r="CL1036" s="60"/>
      <c r="CM1036" s="60"/>
      <c r="CN1036" s="60"/>
      <c r="CO1036" s="60"/>
      <c r="CP1036" s="60"/>
      <c r="CQ1036" s="60"/>
      <c r="CR1036" s="60"/>
      <c r="CS1036" s="60"/>
      <c r="CT1036" s="60"/>
      <c r="CU1036" s="60"/>
      <c r="CV1036" s="60"/>
      <c r="CW1036" s="60"/>
      <c r="CX1036" s="60"/>
      <c r="CY1036" s="60"/>
      <c r="CZ1036" s="60"/>
      <c r="DA1036" s="60"/>
      <c r="DB1036" s="60"/>
      <c r="DC1036" s="60"/>
      <c r="DD1036" s="60"/>
      <c r="DE1036" s="60"/>
      <c r="DF1036" s="60"/>
      <c r="DG1036" s="60"/>
      <c r="DH1036" s="60"/>
      <c r="DI1036" s="60"/>
      <c r="DJ1036" s="60"/>
      <c r="DK1036" s="60"/>
      <c r="DL1036" s="60"/>
      <c r="DM1036" s="60"/>
      <c r="DN1036" s="60"/>
      <c r="DO1036" s="60"/>
      <c r="DP1036" s="60"/>
      <c r="DQ1036" s="60"/>
      <c r="DR1036" s="60"/>
      <c r="DS1036" s="60"/>
    </row>
    <row r="1037" ht="15.75" customHeight="1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/>
      <c r="AM1037" s="60"/>
      <c r="AN1037" s="60"/>
      <c r="AO1037" s="60"/>
      <c r="AP1037" s="60"/>
      <c r="AQ1037" s="60"/>
      <c r="AR1037" s="60"/>
      <c r="AS1037" s="60"/>
      <c r="AT1037" s="60"/>
      <c r="AU1037" s="60"/>
      <c r="AV1037" s="60"/>
      <c r="AW1037" s="60"/>
      <c r="AX1037" s="60"/>
      <c r="AY1037" s="60"/>
      <c r="AZ1037" s="60"/>
      <c r="BA1037" s="60"/>
      <c r="BB1037" s="60"/>
      <c r="BC1037" s="60"/>
      <c r="BD1037" s="60"/>
      <c r="BE1037" s="60"/>
      <c r="BF1037" s="60"/>
      <c r="BG1037" s="60"/>
      <c r="BH1037" s="60"/>
      <c r="BI1037" s="60"/>
      <c r="BJ1037" s="60"/>
      <c r="BK1037" s="60"/>
      <c r="BL1037" s="60"/>
      <c r="BM1037" s="60"/>
      <c r="BN1037" s="60"/>
      <c r="BO1037" s="60"/>
      <c r="BP1037" s="60"/>
      <c r="BQ1037" s="60"/>
      <c r="BR1037" s="60"/>
      <c r="BS1037" s="60"/>
      <c r="BT1037" s="60"/>
      <c r="BU1037" s="60"/>
      <c r="BV1037" s="60"/>
      <c r="BW1037" s="60"/>
      <c r="BX1037" s="60"/>
      <c r="BY1037" s="60"/>
      <c r="BZ1037" s="60"/>
      <c r="CA1037" s="60"/>
      <c r="CB1037" s="60"/>
      <c r="CC1037" s="60"/>
      <c r="CD1037" s="60"/>
      <c r="CE1037" s="60"/>
      <c r="CF1037" s="60"/>
      <c r="CG1037" s="60"/>
      <c r="CH1037" s="60"/>
      <c r="CI1037" s="60"/>
      <c r="CJ1037" s="60"/>
      <c r="CK1037" s="60"/>
      <c r="CL1037" s="60"/>
      <c r="CM1037" s="60"/>
      <c r="CN1037" s="60"/>
      <c r="CO1037" s="60"/>
      <c r="CP1037" s="60"/>
      <c r="CQ1037" s="60"/>
      <c r="CR1037" s="60"/>
      <c r="CS1037" s="60"/>
      <c r="CT1037" s="60"/>
      <c r="CU1037" s="60"/>
      <c r="CV1037" s="60"/>
      <c r="CW1037" s="60"/>
      <c r="CX1037" s="60"/>
      <c r="CY1037" s="60"/>
      <c r="CZ1037" s="60"/>
      <c r="DA1037" s="60"/>
      <c r="DB1037" s="60"/>
      <c r="DC1037" s="60"/>
      <c r="DD1037" s="60"/>
      <c r="DE1037" s="60"/>
      <c r="DF1037" s="60"/>
      <c r="DG1037" s="60"/>
      <c r="DH1037" s="60"/>
      <c r="DI1037" s="60"/>
      <c r="DJ1037" s="60"/>
      <c r="DK1037" s="60"/>
      <c r="DL1037" s="60"/>
      <c r="DM1037" s="60"/>
      <c r="DN1037" s="60"/>
      <c r="DO1037" s="60"/>
      <c r="DP1037" s="60"/>
      <c r="DQ1037" s="60"/>
      <c r="DR1037" s="60"/>
      <c r="DS1037" s="60"/>
    </row>
    <row r="1038" ht="15.75" customHeight="1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60"/>
      <c r="AV1038" s="60"/>
      <c r="AW1038" s="60"/>
      <c r="AX1038" s="60"/>
      <c r="AY1038" s="60"/>
      <c r="AZ1038" s="60"/>
      <c r="BA1038" s="60"/>
      <c r="BB1038" s="60"/>
      <c r="BC1038" s="60"/>
      <c r="BD1038" s="60"/>
      <c r="BE1038" s="60"/>
      <c r="BF1038" s="60"/>
      <c r="BG1038" s="60"/>
      <c r="BH1038" s="60"/>
      <c r="BI1038" s="60"/>
      <c r="BJ1038" s="60"/>
      <c r="BK1038" s="60"/>
      <c r="BL1038" s="60"/>
      <c r="BM1038" s="60"/>
      <c r="BN1038" s="60"/>
      <c r="BO1038" s="60"/>
      <c r="BP1038" s="60"/>
      <c r="BQ1038" s="60"/>
      <c r="BR1038" s="60"/>
      <c r="BS1038" s="60"/>
      <c r="BT1038" s="60"/>
      <c r="BU1038" s="60"/>
      <c r="BV1038" s="60"/>
      <c r="BW1038" s="60"/>
      <c r="BX1038" s="60"/>
      <c r="BY1038" s="60"/>
      <c r="BZ1038" s="60"/>
      <c r="CA1038" s="60"/>
      <c r="CB1038" s="60"/>
      <c r="CC1038" s="60"/>
      <c r="CD1038" s="60"/>
      <c r="CE1038" s="60"/>
      <c r="CF1038" s="60"/>
      <c r="CG1038" s="60"/>
      <c r="CH1038" s="60"/>
      <c r="CI1038" s="60"/>
      <c r="CJ1038" s="60"/>
      <c r="CK1038" s="60"/>
      <c r="CL1038" s="60"/>
      <c r="CM1038" s="60"/>
      <c r="CN1038" s="60"/>
      <c r="CO1038" s="60"/>
      <c r="CP1038" s="60"/>
      <c r="CQ1038" s="60"/>
      <c r="CR1038" s="60"/>
      <c r="CS1038" s="60"/>
      <c r="CT1038" s="60"/>
      <c r="CU1038" s="60"/>
      <c r="CV1038" s="60"/>
      <c r="CW1038" s="60"/>
      <c r="CX1038" s="60"/>
      <c r="CY1038" s="60"/>
      <c r="CZ1038" s="60"/>
      <c r="DA1038" s="60"/>
      <c r="DB1038" s="60"/>
      <c r="DC1038" s="60"/>
      <c r="DD1038" s="60"/>
      <c r="DE1038" s="60"/>
      <c r="DF1038" s="60"/>
      <c r="DG1038" s="60"/>
      <c r="DH1038" s="60"/>
      <c r="DI1038" s="60"/>
      <c r="DJ1038" s="60"/>
      <c r="DK1038" s="60"/>
      <c r="DL1038" s="60"/>
      <c r="DM1038" s="60"/>
      <c r="DN1038" s="60"/>
      <c r="DO1038" s="60"/>
      <c r="DP1038" s="60"/>
      <c r="DQ1038" s="60"/>
      <c r="DR1038" s="60"/>
      <c r="DS1038" s="60"/>
    </row>
    <row r="1039" ht="15.75" customHeight="1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60"/>
      <c r="AV1039" s="60"/>
      <c r="AW1039" s="60"/>
      <c r="AX1039" s="60"/>
      <c r="AY1039" s="60"/>
      <c r="AZ1039" s="60"/>
      <c r="BA1039" s="60"/>
      <c r="BB1039" s="60"/>
      <c r="BC1039" s="60"/>
      <c r="BD1039" s="60"/>
      <c r="BE1039" s="60"/>
      <c r="BF1039" s="60"/>
      <c r="BG1039" s="60"/>
      <c r="BH1039" s="60"/>
      <c r="BI1039" s="60"/>
      <c r="BJ1039" s="60"/>
      <c r="BK1039" s="60"/>
      <c r="BL1039" s="60"/>
      <c r="BM1039" s="60"/>
      <c r="BN1039" s="60"/>
      <c r="BO1039" s="60"/>
      <c r="BP1039" s="60"/>
      <c r="BQ1039" s="60"/>
      <c r="BR1039" s="60"/>
      <c r="BS1039" s="60"/>
      <c r="BT1039" s="60"/>
      <c r="BU1039" s="60"/>
      <c r="BV1039" s="60"/>
      <c r="BW1039" s="60"/>
      <c r="BX1039" s="60"/>
      <c r="BY1039" s="60"/>
      <c r="BZ1039" s="60"/>
      <c r="CA1039" s="60"/>
      <c r="CB1039" s="60"/>
      <c r="CC1039" s="60"/>
      <c r="CD1039" s="60"/>
      <c r="CE1039" s="60"/>
      <c r="CF1039" s="60"/>
      <c r="CG1039" s="60"/>
      <c r="CH1039" s="60"/>
      <c r="CI1039" s="60"/>
      <c r="CJ1039" s="60"/>
      <c r="CK1039" s="60"/>
      <c r="CL1039" s="60"/>
      <c r="CM1039" s="60"/>
      <c r="CN1039" s="60"/>
      <c r="CO1039" s="60"/>
      <c r="CP1039" s="60"/>
      <c r="CQ1039" s="60"/>
      <c r="CR1039" s="60"/>
      <c r="CS1039" s="60"/>
      <c r="CT1039" s="60"/>
      <c r="CU1039" s="60"/>
      <c r="CV1039" s="60"/>
      <c r="CW1039" s="60"/>
      <c r="CX1039" s="60"/>
      <c r="CY1039" s="60"/>
      <c r="CZ1039" s="60"/>
      <c r="DA1039" s="60"/>
      <c r="DB1039" s="60"/>
      <c r="DC1039" s="60"/>
      <c r="DD1039" s="60"/>
      <c r="DE1039" s="60"/>
      <c r="DF1039" s="60"/>
      <c r="DG1039" s="60"/>
      <c r="DH1039" s="60"/>
      <c r="DI1039" s="60"/>
      <c r="DJ1039" s="60"/>
      <c r="DK1039" s="60"/>
      <c r="DL1039" s="60"/>
      <c r="DM1039" s="60"/>
      <c r="DN1039" s="60"/>
      <c r="DO1039" s="60"/>
      <c r="DP1039" s="60"/>
      <c r="DQ1039" s="60"/>
      <c r="DR1039" s="60"/>
      <c r="DS1039" s="60"/>
    </row>
    <row r="1040" ht="15.75" customHeight="1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60"/>
      <c r="AV1040" s="60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  <c r="BG1040" s="60"/>
      <c r="BH1040" s="60"/>
      <c r="BI1040" s="60"/>
      <c r="BJ1040" s="60"/>
      <c r="BK1040" s="60"/>
      <c r="BL1040" s="60"/>
      <c r="BM1040" s="60"/>
      <c r="BN1040" s="60"/>
      <c r="BO1040" s="60"/>
      <c r="BP1040" s="60"/>
      <c r="BQ1040" s="60"/>
      <c r="BR1040" s="60"/>
      <c r="BS1040" s="60"/>
      <c r="BT1040" s="60"/>
      <c r="BU1040" s="60"/>
      <c r="BV1040" s="60"/>
      <c r="BW1040" s="60"/>
      <c r="BX1040" s="60"/>
      <c r="BY1040" s="60"/>
      <c r="BZ1040" s="60"/>
      <c r="CA1040" s="60"/>
      <c r="CB1040" s="60"/>
      <c r="CC1040" s="60"/>
      <c r="CD1040" s="60"/>
      <c r="CE1040" s="60"/>
      <c r="CF1040" s="60"/>
      <c r="CG1040" s="60"/>
      <c r="CH1040" s="60"/>
      <c r="CI1040" s="60"/>
      <c r="CJ1040" s="60"/>
      <c r="CK1040" s="60"/>
      <c r="CL1040" s="60"/>
      <c r="CM1040" s="60"/>
      <c r="CN1040" s="60"/>
      <c r="CO1040" s="60"/>
      <c r="CP1040" s="60"/>
      <c r="CQ1040" s="60"/>
      <c r="CR1040" s="60"/>
      <c r="CS1040" s="60"/>
      <c r="CT1040" s="60"/>
      <c r="CU1040" s="60"/>
      <c r="CV1040" s="60"/>
      <c r="CW1040" s="60"/>
      <c r="CX1040" s="60"/>
      <c r="CY1040" s="60"/>
      <c r="CZ1040" s="60"/>
      <c r="DA1040" s="60"/>
      <c r="DB1040" s="60"/>
      <c r="DC1040" s="60"/>
      <c r="DD1040" s="60"/>
      <c r="DE1040" s="60"/>
      <c r="DF1040" s="60"/>
      <c r="DG1040" s="60"/>
      <c r="DH1040" s="60"/>
      <c r="DI1040" s="60"/>
      <c r="DJ1040" s="60"/>
      <c r="DK1040" s="60"/>
      <c r="DL1040" s="60"/>
      <c r="DM1040" s="60"/>
      <c r="DN1040" s="60"/>
      <c r="DO1040" s="60"/>
      <c r="DP1040" s="60"/>
      <c r="DQ1040" s="60"/>
      <c r="DR1040" s="60"/>
      <c r="DS1040" s="60"/>
    </row>
    <row r="1041" ht="15.75" customHeight="1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60"/>
      <c r="AV1041" s="60"/>
      <c r="AW1041" s="60"/>
      <c r="AX1041" s="60"/>
      <c r="AY1041" s="60"/>
      <c r="AZ1041" s="60"/>
      <c r="BA1041" s="60"/>
      <c r="BB1041" s="60"/>
      <c r="BC1041" s="60"/>
      <c r="BD1041" s="60"/>
      <c r="BE1041" s="60"/>
      <c r="BF1041" s="60"/>
      <c r="BG1041" s="60"/>
      <c r="BH1041" s="60"/>
      <c r="BI1041" s="60"/>
      <c r="BJ1041" s="60"/>
      <c r="BK1041" s="60"/>
      <c r="BL1041" s="60"/>
      <c r="BM1041" s="60"/>
      <c r="BN1041" s="60"/>
      <c r="BO1041" s="60"/>
      <c r="BP1041" s="60"/>
      <c r="BQ1041" s="60"/>
      <c r="BR1041" s="60"/>
      <c r="BS1041" s="60"/>
      <c r="BT1041" s="60"/>
      <c r="BU1041" s="60"/>
      <c r="BV1041" s="60"/>
      <c r="BW1041" s="60"/>
      <c r="BX1041" s="60"/>
      <c r="BY1041" s="60"/>
      <c r="BZ1041" s="60"/>
      <c r="CA1041" s="60"/>
      <c r="CB1041" s="60"/>
      <c r="CC1041" s="60"/>
      <c r="CD1041" s="60"/>
      <c r="CE1041" s="60"/>
      <c r="CF1041" s="60"/>
      <c r="CG1041" s="60"/>
      <c r="CH1041" s="60"/>
      <c r="CI1041" s="60"/>
      <c r="CJ1041" s="60"/>
      <c r="CK1041" s="60"/>
      <c r="CL1041" s="60"/>
      <c r="CM1041" s="60"/>
      <c r="CN1041" s="60"/>
      <c r="CO1041" s="60"/>
      <c r="CP1041" s="60"/>
      <c r="CQ1041" s="60"/>
      <c r="CR1041" s="60"/>
      <c r="CS1041" s="60"/>
      <c r="CT1041" s="60"/>
      <c r="CU1041" s="60"/>
      <c r="CV1041" s="60"/>
      <c r="CW1041" s="60"/>
      <c r="CX1041" s="60"/>
      <c r="CY1041" s="60"/>
      <c r="CZ1041" s="60"/>
      <c r="DA1041" s="60"/>
      <c r="DB1041" s="60"/>
      <c r="DC1041" s="60"/>
      <c r="DD1041" s="60"/>
      <c r="DE1041" s="60"/>
      <c r="DF1041" s="60"/>
      <c r="DG1041" s="60"/>
      <c r="DH1041" s="60"/>
      <c r="DI1041" s="60"/>
      <c r="DJ1041" s="60"/>
      <c r="DK1041" s="60"/>
      <c r="DL1041" s="60"/>
      <c r="DM1041" s="60"/>
      <c r="DN1041" s="60"/>
      <c r="DO1041" s="60"/>
      <c r="DP1041" s="60"/>
      <c r="DQ1041" s="60"/>
      <c r="DR1041" s="60"/>
      <c r="DS1041" s="60"/>
    </row>
    <row r="1042" ht="15.75" customHeight="1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60"/>
      <c r="AV1042" s="60"/>
      <c r="AW1042" s="60"/>
      <c r="AX1042" s="60"/>
      <c r="AY1042" s="60"/>
      <c r="AZ1042" s="60"/>
      <c r="BA1042" s="60"/>
      <c r="BB1042" s="60"/>
      <c r="BC1042" s="60"/>
      <c r="BD1042" s="60"/>
      <c r="BE1042" s="60"/>
      <c r="BF1042" s="60"/>
      <c r="BG1042" s="60"/>
      <c r="BH1042" s="60"/>
      <c r="BI1042" s="60"/>
      <c r="BJ1042" s="60"/>
      <c r="BK1042" s="60"/>
      <c r="BL1042" s="60"/>
      <c r="BM1042" s="60"/>
      <c r="BN1042" s="60"/>
      <c r="BO1042" s="60"/>
      <c r="BP1042" s="60"/>
      <c r="BQ1042" s="60"/>
      <c r="BR1042" s="60"/>
      <c r="BS1042" s="60"/>
      <c r="BT1042" s="60"/>
      <c r="BU1042" s="60"/>
      <c r="BV1042" s="60"/>
      <c r="BW1042" s="60"/>
      <c r="BX1042" s="60"/>
      <c r="BY1042" s="60"/>
      <c r="BZ1042" s="60"/>
      <c r="CA1042" s="60"/>
      <c r="CB1042" s="60"/>
      <c r="CC1042" s="60"/>
      <c r="CD1042" s="60"/>
      <c r="CE1042" s="60"/>
      <c r="CF1042" s="60"/>
      <c r="CG1042" s="60"/>
      <c r="CH1042" s="60"/>
      <c r="CI1042" s="60"/>
      <c r="CJ1042" s="60"/>
      <c r="CK1042" s="60"/>
      <c r="CL1042" s="60"/>
      <c r="CM1042" s="60"/>
      <c r="CN1042" s="60"/>
      <c r="CO1042" s="60"/>
      <c r="CP1042" s="60"/>
      <c r="CQ1042" s="60"/>
      <c r="CR1042" s="60"/>
      <c r="CS1042" s="60"/>
      <c r="CT1042" s="60"/>
      <c r="CU1042" s="60"/>
      <c r="CV1042" s="60"/>
      <c r="CW1042" s="60"/>
      <c r="CX1042" s="60"/>
      <c r="CY1042" s="60"/>
      <c r="CZ1042" s="60"/>
      <c r="DA1042" s="60"/>
      <c r="DB1042" s="60"/>
      <c r="DC1042" s="60"/>
      <c r="DD1042" s="60"/>
      <c r="DE1042" s="60"/>
      <c r="DF1042" s="60"/>
      <c r="DG1042" s="60"/>
      <c r="DH1042" s="60"/>
      <c r="DI1042" s="60"/>
      <c r="DJ1042" s="60"/>
      <c r="DK1042" s="60"/>
      <c r="DL1042" s="60"/>
      <c r="DM1042" s="60"/>
      <c r="DN1042" s="60"/>
      <c r="DO1042" s="60"/>
      <c r="DP1042" s="60"/>
      <c r="DQ1042" s="60"/>
      <c r="DR1042" s="60"/>
      <c r="DS1042" s="60"/>
    </row>
    <row r="1043" ht="15.75" customHeight="1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60"/>
      <c r="AV1043" s="60"/>
      <c r="AW1043" s="60"/>
      <c r="AX1043" s="60"/>
      <c r="AY1043" s="60"/>
      <c r="AZ1043" s="60"/>
      <c r="BA1043" s="60"/>
      <c r="BB1043" s="60"/>
      <c r="BC1043" s="60"/>
      <c r="BD1043" s="60"/>
      <c r="BE1043" s="60"/>
      <c r="BF1043" s="60"/>
      <c r="BG1043" s="60"/>
      <c r="BH1043" s="60"/>
      <c r="BI1043" s="60"/>
      <c r="BJ1043" s="60"/>
      <c r="BK1043" s="60"/>
      <c r="BL1043" s="60"/>
      <c r="BM1043" s="60"/>
      <c r="BN1043" s="60"/>
      <c r="BO1043" s="60"/>
      <c r="BP1043" s="60"/>
      <c r="BQ1043" s="60"/>
      <c r="BR1043" s="60"/>
      <c r="BS1043" s="60"/>
      <c r="BT1043" s="60"/>
      <c r="BU1043" s="60"/>
      <c r="BV1043" s="60"/>
      <c r="BW1043" s="60"/>
      <c r="BX1043" s="60"/>
      <c r="BY1043" s="60"/>
      <c r="BZ1043" s="60"/>
      <c r="CA1043" s="60"/>
      <c r="CB1043" s="60"/>
      <c r="CC1043" s="60"/>
      <c r="CD1043" s="60"/>
      <c r="CE1043" s="60"/>
      <c r="CF1043" s="60"/>
      <c r="CG1043" s="60"/>
      <c r="CH1043" s="60"/>
      <c r="CI1043" s="60"/>
      <c r="CJ1043" s="60"/>
      <c r="CK1043" s="60"/>
      <c r="CL1043" s="60"/>
      <c r="CM1043" s="60"/>
      <c r="CN1043" s="60"/>
      <c r="CO1043" s="60"/>
      <c r="CP1043" s="60"/>
      <c r="CQ1043" s="60"/>
      <c r="CR1043" s="60"/>
      <c r="CS1043" s="60"/>
      <c r="CT1043" s="60"/>
      <c r="CU1043" s="60"/>
      <c r="CV1043" s="60"/>
      <c r="CW1043" s="60"/>
      <c r="CX1043" s="60"/>
      <c r="CY1043" s="60"/>
      <c r="CZ1043" s="60"/>
      <c r="DA1043" s="60"/>
      <c r="DB1043" s="60"/>
      <c r="DC1043" s="60"/>
      <c r="DD1043" s="60"/>
      <c r="DE1043" s="60"/>
      <c r="DF1043" s="60"/>
      <c r="DG1043" s="60"/>
      <c r="DH1043" s="60"/>
      <c r="DI1043" s="60"/>
      <c r="DJ1043" s="60"/>
      <c r="DK1043" s="60"/>
      <c r="DL1043" s="60"/>
      <c r="DM1043" s="60"/>
      <c r="DN1043" s="60"/>
      <c r="DO1043" s="60"/>
      <c r="DP1043" s="60"/>
      <c r="DQ1043" s="60"/>
      <c r="DR1043" s="60"/>
      <c r="DS1043" s="60"/>
    </row>
    <row r="1044" ht="15.75" customHeight="1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/>
      <c r="AN1044" s="60"/>
      <c r="AO1044" s="60"/>
      <c r="AP1044" s="60"/>
      <c r="AQ1044" s="60"/>
      <c r="AR1044" s="60"/>
      <c r="AS1044" s="60"/>
      <c r="AT1044" s="60"/>
      <c r="AU1044" s="60"/>
      <c r="AV1044" s="60"/>
      <c r="AW1044" s="60"/>
      <c r="AX1044" s="60"/>
      <c r="AY1044" s="60"/>
      <c r="AZ1044" s="60"/>
      <c r="BA1044" s="60"/>
      <c r="BB1044" s="60"/>
      <c r="BC1044" s="60"/>
      <c r="BD1044" s="60"/>
      <c r="BE1044" s="60"/>
      <c r="BF1044" s="60"/>
      <c r="BG1044" s="60"/>
      <c r="BH1044" s="60"/>
      <c r="BI1044" s="60"/>
      <c r="BJ1044" s="60"/>
      <c r="BK1044" s="60"/>
      <c r="BL1044" s="60"/>
      <c r="BM1044" s="60"/>
      <c r="BN1044" s="60"/>
      <c r="BO1044" s="60"/>
      <c r="BP1044" s="60"/>
      <c r="BQ1044" s="60"/>
      <c r="BR1044" s="60"/>
      <c r="BS1044" s="60"/>
      <c r="BT1044" s="60"/>
      <c r="BU1044" s="60"/>
      <c r="BV1044" s="60"/>
      <c r="BW1044" s="60"/>
      <c r="BX1044" s="60"/>
      <c r="BY1044" s="60"/>
      <c r="BZ1044" s="60"/>
      <c r="CA1044" s="60"/>
      <c r="CB1044" s="60"/>
      <c r="CC1044" s="60"/>
      <c r="CD1044" s="60"/>
      <c r="CE1044" s="60"/>
      <c r="CF1044" s="60"/>
      <c r="CG1044" s="60"/>
      <c r="CH1044" s="60"/>
      <c r="CI1044" s="60"/>
      <c r="CJ1044" s="60"/>
      <c r="CK1044" s="60"/>
      <c r="CL1044" s="60"/>
      <c r="CM1044" s="60"/>
      <c r="CN1044" s="60"/>
      <c r="CO1044" s="60"/>
      <c r="CP1044" s="60"/>
      <c r="CQ1044" s="60"/>
      <c r="CR1044" s="60"/>
      <c r="CS1044" s="60"/>
      <c r="CT1044" s="60"/>
      <c r="CU1044" s="60"/>
      <c r="CV1044" s="60"/>
      <c r="CW1044" s="60"/>
      <c r="CX1044" s="60"/>
      <c r="CY1044" s="60"/>
      <c r="CZ1044" s="60"/>
      <c r="DA1044" s="60"/>
      <c r="DB1044" s="60"/>
      <c r="DC1044" s="60"/>
      <c r="DD1044" s="60"/>
      <c r="DE1044" s="60"/>
      <c r="DF1044" s="60"/>
      <c r="DG1044" s="60"/>
      <c r="DH1044" s="60"/>
      <c r="DI1044" s="60"/>
      <c r="DJ1044" s="60"/>
      <c r="DK1044" s="60"/>
      <c r="DL1044" s="60"/>
      <c r="DM1044" s="60"/>
      <c r="DN1044" s="60"/>
      <c r="DO1044" s="60"/>
      <c r="DP1044" s="60"/>
      <c r="DQ1044" s="60"/>
      <c r="DR1044" s="60"/>
      <c r="DS1044" s="60"/>
    </row>
    <row r="1045" ht="15.75" customHeight="1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/>
      <c r="AN1045" s="60"/>
      <c r="AO1045" s="60"/>
      <c r="AP1045" s="60"/>
      <c r="AQ1045" s="60"/>
      <c r="AR1045" s="60"/>
      <c r="AS1045" s="60"/>
      <c r="AT1045" s="60"/>
      <c r="AU1045" s="60"/>
      <c r="AV1045" s="60"/>
      <c r="AW1045" s="60"/>
      <c r="AX1045" s="60"/>
      <c r="AY1045" s="60"/>
      <c r="AZ1045" s="60"/>
      <c r="BA1045" s="60"/>
      <c r="BB1045" s="60"/>
      <c r="BC1045" s="60"/>
      <c r="BD1045" s="60"/>
      <c r="BE1045" s="60"/>
      <c r="BF1045" s="60"/>
      <c r="BG1045" s="60"/>
      <c r="BH1045" s="60"/>
      <c r="BI1045" s="60"/>
      <c r="BJ1045" s="60"/>
      <c r="BK1045" s="60"/>
      <c r="BL1045" s="60"/>
      <c r="BM1045" s="60"/>
      <c r="BN1045" s="60"/>
      <c r="BO1045" s="60"/>
      <c r="BP1045" s="60"/>
      <c r="BQ1045" s="60"/>
      <c r="BR1045" s="60"/>
      <c r="BS1045" s="60"/>
      <c r="BT1045" s="60"/>
      <c r="BU1045" s="60"/>
      <c r="BV1045" s="60"/>
      <c r="BW1045" s="60"/>
      <c r="BX1045" s="60"/>
      <c r="BY1045" s="60"/>
      <c r="BZ1045" s="60"/>
      <c r="CA1045" s="60"/>
      <c r="CB1045" s="60"/>
      <c r="CC1045" s="60"/>
      <c r="CD1045" s="60"/>
      <c r="CE1045" s="60"/>
      <c r="CF1045" s="60"/>
      <c r="CG1045" s="60"/>
      <c r="CH1045" s="60"/>
      <c r="CI1045" s="60"/>
      <c r="CJ1045" s="60"/>
      <c r="CK1045" s="60"/>
      <c r="CL1045" s="60"/>
      <c r="CM1045" s="60"/>
      <c r="CN1045" s="60"/>
      <c r="CO1045" s="60"/>
      <c r="CP1045" s="60"/>
      <c r="CQ1045" s="60"/>
      <c r="CR1045" s="60"/>
      <c r="CS1045" s="60"/>
      <c r="CT1045" s="60"/>
      <c r="CU1045" s="60"/>
      <c r="CV1045" s="60"/>
      <c r="CW1045" s="60"/>
      <c r="CX1045" s="60"/>
      <c r="CY1045" s="60"/>
      <c r="CZ1045" s="60"/>
      <c r="DA1045" s="60"/>
      <c r="DB1045" s="60"/>
      <c r="DC1045" s="60"/>
      <c r="DD1045" s="60"/>
      <c r="DE1045" s="60"/>
      <c r="DF1045" s="60"/>
      <c r="DG1045" s="60"/>
      <c r="DH1045" s="60"/>
      <c r="DI1045" s="60"/>
      <c r="DJ1045" s="60"/>
      <c r="DK1045" s="60"/>
      <c r="DL1045" s="60"/>
      <c r="DM1045" s="60"/>
      <c r="DN1045" s="60"/>
      <c r="DO1045" s="60"/>
      <c r="DP1045" s="60"/>
      <c r="DQ1045" s="60"/>
      <c r="DR1045" s="60"/>
      <c r="DS1045" s="60"/>
    </row>
    <row r="1046" ht="15.75" customHeight="1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/>
      <c r="AN1046" s="60"/>
      <c r="AO1046" s="60"/>
      <c r="AP1046" s="60"/>
      <c r="AQ1046" s="60"/>
      <c r="AR1046" s="60"/>
      <c r="AS1046" s="60"/>
      <c r="AT1046" s="60"/>
      <c r="AU1046" s="60"/>
      <c r="AV1046" s="60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  <c r="BG1046" s="60"/>
      <c r="BH1046" s="60"/>
      <c r="BI1046" s="60"/>
      <c r="BJ1046" s="60"/>
      <c r="BK1046" s="60"/>
      <c r="BL1046" s="60"/>
      <c r="BM1046" s="60"/>
      <c r="BN1046" s="60"/>
      <c r="BO1046" s="60"/>
      <c r="BP1046" s="60"/>
      <c r="BQ1046" s="60"/>
      <c r="BR1046" s="60"/>
      <c r="BS1046" s="60"/>
      <c r="BT1046" s="60"/>
      <c r="BU1046" s="60"/>
      <c r="BV1046" s="60"/>
      <c r="BW1046" s="60"/>
      <c r="BX1046" s="60"/>
      <c r="BY1046" s="60"/>
      <c r="BZ1046" s="60"/>
      <c r="CA1046" s="60"/>
      <c r="CB1046" s="60"/>
      <c r="CC1046" s="60"/>
      <c r="CD1046" s="60"/>
      <c r="CE1046" s="60"/>
      <c r="CF1046" s="60"/>
      <c r="CG1046" s="60"/>
      <c r="CH1046" s="60"/>
      <c r="CI1046" s="60"/>
      <c r="CJ1046" s="60"/>
      <c r="CK1046" s="60"/>
      <c r="CL1046" s="60"/>
      <c r="CM1046" s="60"/>
      <c r="CN1046" s="60"/>
      <c r="CO1046" s="60"/>
      <c r="CP1046" s="60"/>
      <c r="CQ1046" s="60"/>
      <c r="CR1046" s="60"/>
      <c r="CS1046" s="60"/>
      <c r="CT1046" s="60"/>
      <c r="CU1046" s="60"/>
      <c r="CV1046" s="60"/>
      <c r="CW1046" s="60"/>
      <c r="CX1046" s="60"/>
      <c r="CY1046" s="60"/>
      <c r="CZ1046" s="60"/>
      <c r="DA1046" s="60"/>
      <c r="DB1046" s="60"/>
      <c r="DC1046" s="60"/>
      <c r="DD1046" s="60"/>
      <c r="DE1046" s="60"/>
      <c r="DF1046" s="60"/>
      <c r="DG1046" s="60"/>
      <c r="DH1046" s="60"/>
      <c r="DI1046" s="60"/>
      <c r="DJ1046" s="60"/>
      <c r="DK1046" s="60"/>
      <c r="DL1046" s="60"/>
      <c r="DM1046" s="60"/>
      <c r="DN1046" s="60"/>
      <c r="DO1046" s="60"/>
      <c r="DP1046" s="60"/>
      <c r="DQ1046" s="60"/>
      <c r="DR1046" s="60"/>
      <c r="DS1046" s="60"/>
    </row>
    <row r="1047" ht="15.75" customHeight="1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60"/>
      <c r="AV1047" s="60"/>
      <c r="AW1047" s="60"/>
      <c r="AX1047" s="60"/>
      <c r="AY1047" s="60"/>
      <c r="AZ1047" s="60"/>
      <c r="BA1047" s="60"/>
      <c r="BB1047" s="60"/>
      <c r="BC1047" s="60"/>
      <c r="BD1047" s="60"/>
      <c r="BE1047" s="60"/>
      <c r="BF1047" s="60"/>
      <c r="BG1047" s="60"/>
      <c r="BH1047" s="60"/>
      <c r="BI1047" s="60"/>
      <c r="BJ1047" s="60"/>
      <c r="BK1047" s="60"/>
      <c r="BL1047" s="60"/>
      <c r="BM1047" s="60"/>
      <c r="BN1047" s="60"/>
      <c r="BO1047" s="60"/>
      <c r="BP1047" s="60"/>
      <c r="BQ1047" s="60"/>
      <c r="BR1047" s="60"/>
      <c r="BS1047" s="60"/>
      <c r="BT1047" s="60"/>
      <c r="BU1047" s="60"/>
      <c r="BV1047" s="60"/>
      <c r="BW1047" s="60"/>
      <c r="BX1047" s="60"/>
      <c r="BY1047" s="60"/>
      <c r="BZ1047" s="60"/>
      <c r="CA1047" s="60"/>
      <c r="CB1047" s="60"/>
      <c r="CC1047" s="60"/>
      <c r="CD1047" s="60"/>
      <c r="CE1047" s="60"/>
      <c r="CF1047" s="60"/>
      <c r="CG1047" s="60"/>
      <c r="CH1047" s="60"/>
      <c r="CI1047" s="60"/>
      <c r="CJ1047" s="60"/>
      <c r="CK1047" s="60"/>
      <c r="CL1047" s="60"/>
      <c r="CM1047" s="60"/>
      <c r="CN1047" s="60"/>
      <c r="CO1047" s="60"/>
      <c r="CP1047" s="60"/>
      <c r="CQ1047" s="60"/>
      <c r="CR1047" s="60"/>
      <c r="CS1047" s="60"/>
      <c r="CT1047" s="60"/>
      <c r="CU1047" s="60"/>
      <c r="CV1047" s="60"/>
      <c r="CW1047" s="60"/>
      <c r="CX1047" s="60"/>
      <c r="CY1047" s="60"/>
      <c r="CZ1047" s="60"/>
      <c r="DA1047" s="60"/>
      <c r="DB1047" s="60"/>
      <c r="DC1047" s="60"/>
      <c r="DD1047" s="60"/>
      <c r="DE1047" s="60"/>
      <c r="DF1047" s="60"/>
      <c r="DG1047" s="60"/>
      <c r="DH1047" s="60"/>
      <c r="DI1047" s="60"/>
      <c r="DJ1047" s="60"/>
      <c r="DK1047" s="60"/>
      <c r="DL1047" s="60"/>
      <c r="DM1047" s="60"/>
      <c r="DN1047" s="60"/>
      <c r="DO1047" s="60"/>
      <c r="DP1047" s="60"/>
      <c r="DQ1047" s="60"/>
      <c r="DR1047" s="60"/>
      <c r="DS1047" s="60"/>
    </row>
    <row r="1048" ht="15.75" customHeight="1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60"/>
      <c r="AV1048" s="60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  <c r="BG1048" s="60"/>
      <c r="BH1048" s="60"/>
      <c r="BI1048" s="60"/>
      <c r="BJ1048" s="60"/>
      <c r="BK1048" s="60"/>
      <c r="BL1048" s="60"/>
      <c r="BM1048" s="60"/>
      <c r="BN1048" s="60"/>
      <c r="BO1048" s="60"/>
      <c r="BP1048" s="60"/>
      <c r="BQ1048" s="60"/>
      <c r="BR1048" s="60"/>
      <c r="BS1048" s="60"/>
      <c r="BT1048" s="60"/>
      <c r="BU1048" s="60"/>
      <c r="BV1048" s="60"/>
      <c r="BW1048" s="60"/>
      <c r="BX1048" s="60"/>
      <c r="BY1048" s="60"/>
      <c r="BZ1048" s="60"/>
      <c r="CA1048" s="60"/>
      <c r="CB1048" s="60"/>
      <c r="CC1048" s="60"/>
      <c r="CD1048" s="60"/>
      <c r="CE1048" s="60"/>
      <c r="CF1048" s="60"/>
      <c r="CG1048" s="60"/>
      <c r="CH1048" s="60"/>
      <c r="CI1048" s="60"/>
      <c r="CJ1048" s="60"/>
      <c r="CK1048" s="60"/>
      <c r="CL1048" s="60"/>
      <c r="CM1048" s="60"/>
      <c r="CN1048" s="60"/>
      <c r="CO1048" s="60"/>
      <c r="CP1048" s="60"/>
      <c r="CQ1048" s="60"/>
      <c r="CR1048" s="60"/>
      <c r="CS1048" s="60"/>
      <c r="CT1048" s="60"/>
      <c r="CU1048" s="60"/>
      <c r="CV1048" s="60"/>
      <c r="CW1048" s="60"/>
      <c r="CX1048" s="60"/>
      <c r="CY1048" s="60"/>
      <c r="CZ1048" s="60"/>
      <c r="DA1048" s="60"/>
      <c r="DB1048" s="60"/>
      <c r="DC1048" s="60"/>
      <c r="DD1048" s="60"/>
      <c r="DE1048" s="60"/>
      <c r="DF1048" s="60"/>
      <c r="DG1048" s="60"/>
      <c r="DH1048" s="60"/>
      <c r="DI1048" s="60"/>
      <c r="DJ1048" s="60"/>
      <c r="DK1048" s="60"/>
      <c r="DL1048" s="60"/>
      <c r="DM1048" s="60"/>
      <c r="DN1048" s="60"/>
      <c r="DO1048" s="60"/>
      <c r="DP1048" s="60"/>
      <c r="DQ1048" s="60"/>
      <c r="DR1048" s="60"/>
      <c r="DS1048" s="60"/>
    </row>
    <row r="1049" ht="15.75" customHeight="1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60"/>
      <c r="AV1049" s="60"/>
      <c r="AW1049" s="60"/>
      <c r="AX1049" s="60"/>
      <c r="AY1049" s="60"/>
      <c r="AZ1049" s="60"/>
      <c r="BA1049" s="60"/>
      <c r="BB1049" s="60"/>
      <c r="BC1049" s="60"/>
      <c r="BD1049" s="60"/>
      <c r="BE1049" s="60"/>
      <c r="BF1049" s="60"/>
      <c r="BG1049" s="60"/>
      <c r="BH1049" s="60"/>
      <c r="BI1049" s="60"/>
      <c r="BJ1049" s="60"/>
      <c r="BK1049" s="60"/>
      <c r="BL1049" s="60"/>
      <c r="BM1049" s="60"/>
      <c r="BN1049" s="60"/>
      <c r="BO1049" s="60"/>
      <c r="BP1049" s="60"/>
      <c r="BQ1049" s="60"/>
      <c r="BR1049" s="60"/>
      <c r="BS1049" s="60"/>
      <c r="BT1049" s="60"/>
      <c r="BU1049" s="60"/>
      <c r="BV1049" s="60"/>
      <c r="BW1049" s="60"/>
      <c r="BX1049" s="60"/>
      <c r="BY1049" s="60"/>
      <c r="BZ1049" s="60"/>
      <c r="CA1049" s="60"/>
      <c r="CB1049" s="60"/>
      <c r="CC1049" s="60"/>
      <c r="CD1049" s="60"/>
      <c r="CE1049" s="60"/>
      <c r="CF1049" s="60"/>
      <c r="CG1049" s="60"/>
      <c r="CH1049" s="60"/>
      <c r="CI1049" s="60"/>
      <c r="CJ1049" s="60"/>
      <c r="CK1049" s="60"/>
      <c r="CL1049" s="60"/>
      <c r="CM1049" s="60"/>
      <c r="CN1049" s="60"/>
      <c r="CO1049" s="60"/>
      <c r="CP1049" s="60"/>
      <c r="CQ1049" s="60"/>
      <c r="CR1049" s="60"/>
      <c r="CS1049" s="60"/>
      <c r="CT1049" s="60"/>
      <c r="CU1049" s="60"/>
      <c r="CV1049" s="60"/>
      <c r="CW1049" s="60"/>
      <c r="CX1049" s="60"/>
      <c r="CY1049" s="60"/>
      <c r="CZ1049" s="60"/>
      <c r="DA1049" s="60"/>
      <c r="DB1049" s="60"/>
      <c r="DC1049" s="60"/>
      <c r="DD1049" s="60"/>
      <c r="DE1049" s="60"/>
      <c r="DF1049" s="60"/>
      <c r="DG1049" s="60"/>
      <c r="DH1049" s="60"/>
      <c r="DI1049" s="60"/>
      <c r="DJ1049" s="60"/>
      <c r="DK1049" s="60"/>
      <c r="DL1049" s="60"/>
      <c r="DM1049" s="60"/>
      <c r="DN1049" s="60"/>
      <c r="DO1049" s="60"/>
      <c r="DP1049" s="60"/>
      <c r="DQ1049" s="60"/>
      <c r="DR1049" s="60"/>
      <c r="DS1049" s="60"/>
    </row>
    <row r="1050" ht="15.75" customHeight="1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60"/>
      <c r="AV1050" s="60"/>
      <c r="AW1050" s="60"/>
      <c r="AX1050" s="60"/>
      <c r="AY1050" s="60"/>
      <c r="AZ1050" s="60"/>
      <c r="BA1050" s="60"/>
      <c r="BB1050" s="60"/>
      <c r="BC1050" s="60"/>
      <c r="BD1050" s="60"/>
      <c r="BE1050" s="60"/>
      <c r="BF1050" s="60"/>
      <c r="BG1050" s="60"/>
      <c r="BH1050" s="60"/>
      <c r="BI1050" s="60"/>
      <c r="BJ1050" s="60"/>
      <c r="BK1050" s="60"/>
      <c r="BL1050" s="60"/>
      <c r="BM1050" s="60"/>
      <c r="BN1050" s="60"/>
      <c r="BO1050" s="60"/>
      <c r="BP1050" s="60"/>
      <c r="BQ1050" s="60"/>
      <c r="BR1050" s="60"/>
      <c r="BS1050" s="60"/>
      <c r="BT1050" s="60"/>
      <c r="BU1050" s="60"/>
      <c r="BV1050" s="60"/>
      <c r="BW1050" s="60"/>
      <c r="BX1050" s="60"/>
      <c r="BY1050" s="60"/>
      <c r="BZ1050" s="60"/>
      <c r="CA1050" s="60"/>
      <c r="CB1050" s="60"/>
      <c r="CC1050" s="60"/>
      <c r="CD1050" s="60"/>
      <c r="CE1050" s="60"/>
      <c r="CF1050" s="60"/>
      <c r="CG1050" s="60"/>
      <c r="CH1050" s="60"/>
      <c r="CI1050" s="60"/>
      <c r="CJ1050" s="60"/>
      <c r="CK1050" s="60"/>
      <c r="CL1050" s="60"/>
      <c r="CM1050" s="60"/>
      <c r="CN1050" s="60"/>
      <c r="CO1050" s="60"/>
      <c r="CP1050" s="60"/>
      <c r="CQ1050" s="60"/>
      <c r="CR1050" s="60"/>
      <c r="CS1050" s="60"/>
      <c r="CT1050" s="60"/>
      <c r="CU1050" s="60"/>
      <c r="CV1050" s="60"/>
      <c r="CW1050" s="60"/>
      <c r="CX1050" s="60"/>
      <c r="CY1050" s="60"/>
      <c r="CZ1050" s="60"/>
      <c r="DA1050" s="60"/>
      <c r="DB1050" s="60"/>
      <c r="DC1050" s="60"/>
      <c r="DD1050" s="60"/>
      <c r="DE1050" s="60"/>
      <c r="DF1050" s="60"/>
      <c r="DG1050" s="60"/>
      <c r="DH1050" s="60"/>
      <c r="DI1050" s="60"/>
      <c r="DJ1050" s="60"/>
      <c r="DK1050" s="60"/>
      <c r="DL1050" s="60"/>
      <c r="DM1050" s="60"/>
      <c r="DN1050" s="60"/>
      <c r="DO1050" s="60"/>
      <c r="DP1050" s="60"/>
      <c r="DQ1050" s="60"/>
      <c r="DR1050" s="60"/>
      <c r="DS1050" s="60"/>
    </row>
    <row r="1051" ht="15.75" customHeight="1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/>
      <c r="AM1051" s="60"/>
      <c r="AN1051" s="60"/>
      <c r="AO1051" s="60"/>
      <c r="AP1051" s="60"/>
      <c r="AQ1051" s="60"/>
      <c r="AR1051" s="60"/>
      <c r="AS1051" s="60"/>
      <c r="AT1051" s="60"/>
      <c r="AU1051" s="60"/>
      <c r="AV1051" s="60"/>
      <c r="AW1051" s="60"/>
      <c r="AX1051" s="60"/>
      <c r="AY1051" s="60"/>
      <c r="AZ1051" s="60"/>
      <c r="BA1051" s="60"/>
      <c r="BB1051" s="60"/>
      <c r="BC1051" s="60"/>
      <c r="BD1051" s="60"/>
      <c r="BE1051" s="60"/>
      <c r="BF1051" s="60"/>
      <c r="BG1051" s="60"/>
      <c r="BH1051" s="60"/>
      <c r="BI1051" s="60"/>
      <c r="BJ1051" s="60"/>
      <c r="BK1051" s="60"/>
      <c r="BL1051" s="60"/>
      <c r="BM1051" s="60"/>
      <c r="BN1051" s="60"/>
      <c r="BO1051" s="60"/>
      <c r="BP1051" s="60"/>
      <c r="BQ1051" s="60"/>
      <c r="BR1051" s="60"/>
      <c r="BS1051" s="60"/>
      <c r="BT1051" s="60"/>
      <c r="BU1051" s="60"/>
      <c r="BV1051" s="60"/>
      <c r="BW1051" s="60"/>
      <c r="BX1051" s="60"/>
      <c r="BY1051" s="60"/>
      <c r="BZ1051" s="60"/>
      <c r="CA1051" s="60"/>
      <c r="CB1051" s="60"/>
      <c r="CC1051" s="60"/>
      <c r="CD1051" s="60"/>
      <c r="CE1051" s="60"/>
      <c r="CF1051" s="60"/>
      <c r="CG1051" s="60"/>
      <c r="CH1051" s="60"/>
      <c r="CI1051" s="60"/>
      <c r="CJ1051" s="60"/>
      <c r="CK1051" s="60"/>
      <c r="CL1051" s="60"/>
      <c r="CM1051" s="60"/>
      <c r="CN1051" s="60"/>
      <c r="CO1051" s="60"/>
      <c r="CP1051" s="60"/>
      <c r="CQ1051" s="60"/>
      <c r="CR1051" s="60"/>
      <c r="CS1051" s="60"/>
      <c r="CT1051" s="60"/>
      <c r="CU1051" s="60"/>
      <c r="CV1051" s="60"/>
      <c r="CW1051" s="60"/>
      <c r="CX1051" s="60"/>
      <c r="CY1051" s="60"/>
      <c r="CZ1051" s="60"/>
      <c r="DA1051" s="60"/>
      <c r="DB1051" s="60"/>
      <c r="DC1051" s="60"/>
      <c r="DD1051" s="60"/>
      <c r="DE1051" s="60"/>
      <c r="DF1051" s="60"/>
      <c r="DG1051" s="60"/>
      <c r="DH1051" s="60"/>
      <c r="DI1051" s="60"/>
      <c r="DJ1051" s="60"/>
      <c r="DK1051" s="60"/>
      <c r="DL1051" s="60"/>
      <c r="DM1051" s="60"/>
      <c r="DN1051" s="60"/>
      <c r="DO1051" s="60"/>
      <c r="DP1051" s="60"/>
      <c r="DQ1051" s="60"/>
      <c r="DR1051" s="60"/>
      <c r="DS1051" s="60"/>
    </row>
    <row r="1052" ht="15.75" customHeight="1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/>
      <c r="AN1052" s="60"/>
      <c r="AO1052" s="60"/>
      <c r="AP1052" s="60"/>
      <c r="AQ1052" s="60"/>
      <c r="AR1052" s="60"/>
      <c r="AS1052" s="60"/>
      <c r="AT1052" s="60"/>
      <c r="AU1052" s="60"/>
      <c r="AV1052" s="60"/>
      <c r="AW1052" s="60"/>
      <c r="AX1052" s="60"/>
      <c r="AY1052" s="60"/>
      <c r="AZ1052" s="60"/>
      <c r="BA1052" s="60"/>
      <c r="BB1052" s="60"/>
      <c r="BC1052" s="60"/>
      <c r="BD1052" s="60"/>
      <c r="BE1052" s="60"/>
      <c r="BF1052" s="60"/>
      <c r="BG1052" s="60"/>
      <c r="BH1052" s="60"/>
      <c r="BI1052" s="60"/>
      <c r="BJ1052" s="60"/>
      <c r="BK1052" s="60"/>
      <c r="BL1052" s="60"/>
      <c r="BM1052" s="60"/>
      <c r="BN1052" s="60"/>
      <c r="BO1052" s="60"/>
      <c r="BP1052" s="60"/>
      <c r="BQ1052" s="60"/>
      <c r="BR1052" s="60"/>
      <c r="BS1052" s="60"/>
      <c r="BT1052" s="60"/>
      <c r="BU1052" s="60"/>
      <c r="BV1052" s="60"/>
      <c r="BW1052" s="60"/>
      <c r="BX1052" s="60"/>
      <c r="BY1052" s="60"/>
      <c r="BZ1052" s="60"/>
      <c r="CA1052" s="60"/>
      <c r="CB1052" s="60"/>
      <c r="CC1052" s="60"/>
      <c r="CD1052" s="60"/>
      <c r="CE1052" s="60"/>
      <c r="CF1052" s="60"/>
      <c r="CG1052" s="60"/>
      <c r="CH1052" s="60"/>
      <c r="CI1052" s="60"/>
      <c r="CJ1052" s="60"/>
      <c r="CK1052" s="60"/>
      <c r="CL1052" s="60"/>
      <c r="CM1052" s="60"/>
      <c r="CN1052" s="60"/>
      <c r="CO1052" s="60"/>
      <c r="CP1052" s="60"/>
      <c r="CQ1052" s="60"/>
      <c r="CR1052" s="60"/>
      <c r="CS1052" s="60"/>
      <c r="CT1052" s="60"/>
      <c r="CU1052" s="60"/>
      <c r="CV1052" s="60"/>
      <c r="CW1052" s="60"/>
      <c r="CX1052" s="60"/>
      <c r="CY1052" s="60"/>
      <c r="CZ1052" s="60"/>
      <c r="DA1052" s="60"/>
      <c r="DB1052" s="60"/>
      <c r="DC1052" s="60"/>
      <c r="DD1052" s="60"/>
      <c r="DE1052" s="60"/>
      <c r="DF1052" s="60"/>
      <c r="DG1052" s="60"/>
      <c r="DH1052" s="60"/>
      <c r="DI1052" s="60"/>
      <c r="DJ1052" s="60"/>
      <c r="DK1052" s="60"/>
      <c r="DL1052" s="60"/>
      <c r="DM1052" s="60"/>
      <c r="DN1052" s="60"/>
      <c r="DO1052" s="60"/>
      <c r="DP1052" s="60"/>
      <c r="DQ1052" s="60"/>
      <c r="DR1052" s="60"/>
      <c r="DS1052" s="60"/>
    </row>
    <row r="1053" ht="15.75" customHeight="1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60"/>
      <c r="AV1053" s="60"/>
      <c r="AW1053" s="60"/>
      <c r="AX1053" s="60"/>
      <c r="AY1053" s="60"/>
      <c r="AZ1053" s="60"/>
      <c r="BA1053" s="60"/>
      <c r="BB1053" s="60"/>
      <c r="BC1053" s="60"/>
      <c r="BD1053" s="60"/>
      <c r="BE1053" s="60"/>
      <c r="BF1053" s="60"/>
      <c r="BG1053" s="60"/>
      <c r="BH1053" s="60"/>
      <c r="BI1053" s="60"/>
      <c r="BJ1053" s="60"/>
      <c r="BK1053" s="60"/>
      <c r="BL1053" s="60"/>
      <c r="BM1053" s="60"/>
      <c r="BN1053" s="60"/>
      <c r="BO1053" s="60"/>
      <c r="BP1053" s="60"/>
      <c r="BQ1053" s="60"/>
      <c r="BR1053" s="60"/>
      <c r="BS1053" s="60"/>
      <c r="BT1053" s="60"/>
      <c r="BU1053" s="60"/>
      <c r="BV1053" s="60"/>
      <c r="BW1053" s="60"/>
      <c r="BX1053" s="60"/>
      <c r="BY1053" s="60"/>
      <c r="BZ1053" s="60"/>
      <c r="CA1053" s="60"/>
      <c r="CB1053" s="60"/>
      <c r="CC1053" s="60"/>
      <c r="CD1053" s="60"/>
      <c r="CE1053" s="60"/>
      <c r="CF1053" s="60"/>
      <c r="CG1053" s="60"/>
      <c r="CH1053" s="60"/>
      <c r="CI1053" s="60"/>
      <c r="CJ1053" s="60"/>
      <c r="CK1053" s="60"/>
      <c r="CL1053" s="60"/>
      <c r="CM1053" s="60"/>
      <c r="CN1053" s="60"/>
      <c r="CO1053" s="60"/>
      <c r="CP1053" s="60"/>
      <c r="CQ1053" s="60"/>
      <c r="CR1053" s="60"/>
      <c r="CS1053" s="60"/>
      <c r="CT1053" s="60"/>
      <c r="CU1053" s="60"/>
      <c r="CV1053" s="60"/>
      <c r="CW1053" s="60"/>
      <c r="CX1053" s="60"/>
      <c r="CY1053" s="60"/>
      <c r="CZ1053" s="60"/>
      <c r="DA1053" s="60"/>
      <c r="DB1053" s="60"/>
      <c r="DC1053" s="60"/>
      <c r="DD1053" s="60"/>
      <c r="DE1053" s="60"/>
      <c r="DF1053" s="60"/>
      <c r="DG1053" s="60"/>
      <c r="DH1053" s="60"/>
      <c r="DI1053" s="60"/>
      <c r="DJ1053" s="60"/>
      <c r="DK1053" s="60"/>
      <c r="DL1053" s="60"/>
      <c r="DM1053" s="60"/>
      <c r="DN1053" s="60"/>
      <c r="DO1053" s="60"/>
      <c r="DP1053" s="60"/>
      <c r="DQ1053" s="60"/>
      <c r="DR1053" s="60"/>
      <c r="DS1053" s="60"/>
    </row>
    <row r="1054" ht="15.75" customHeight="1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60"/>
      <c r="AV1054" s="60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  <c r="BG1054" s="60"/>
      <c r="BH1054" s="60"/>
      <c r="BI1054" s="60"/>
      <c r="BJ1054" s="60"/>
      <c r="BK1054" s="60"/>
      <c r="BL1054" s="60"/>
      <c r="BM1054" s="60"/>
      <c r="BN1054" s="60"/>
      <c r="BO1054" s="60"/>
      <c r="BP1054" s="60"/>
      <c r="BQ1054" s="60"/>
      <c r="BR1054" s="60"/>
      <c r="BS1054" s="60"/>
      <c r="BT1054" s="60"/>
      <c r="BU1054" s="60"/>
      <c r="BV1054" s="60"/>
      <c r="BW1054" s="60"/>
      <c r="BX1054" s="60"/>
      <c r="BY1054" s="60"/>
      <c r="BZ1054" s="60"/>
      <c r="CA1054" s="60"/>
      <c r="CB1054" s="60"/>
      <c r="CC1054" s="60"/>
      <c r="CD1054" s="60"/>
      <c r="CE1054" s="60"/>
      <c r="CF1054" s="60"/>
      <c r="CG1054" s="60"/>
      <c r="CH1054" s="60"/>
      <c r="CI1054" s="60"/>
      <c r="CJ1054" s="60"/>
      <c r="CK1054" s="60"/>
      <c r="CL1054" s="60"/>
      <c r="CM1054" s="60"/>
      <c r="CN1054" s="60"/>
      <c r="CO1054" s="60"/>
      <c r="CP1054" s="60"/>
      <c r="CQ1054" s="60"/>
      <c r="CR1054" s="60"/>
      <c r="CS1054" s="60"/>
      <c r="CT1054" s="60"/>
      <c r="CU1054" s="60"/>
      <c r="CV1054" s="60"/>
      <c r="CW1054" s="60"/>
      <c r="CX1054" s="60"/>
      <c r="CY1054" s="60"/>
      <c r="CZ1054" s="60"/>
      <c r="DA1054" s="60"/>
      <c r="DB1054" s="60"/>
      <c r="DC1054" s="60"/>
      <c r="DD1054" s="60"/>
      <c r="DE1054" s="60"/>
      <c r="DF1054" s="60"/>
      <c r="DG1054" s="60"/>
      <c r="DH1054" s="60"/>
      <c r="DI1054" s="60"/>
      <c r="DJ1054" s="60"/>
      <c r="DK1054" s="60"/>
      <c r="DL1054" s="60"/>
      <c r="DM1054" s="60"/>
      <c r="DN1054" s="60"/>
      <c r="DO1054" s="60"/>
      <c r="DP1054" s="60"/>
      <c r="DQ1054" s="60"/>
      <c r="DR1054" s="60"/>
      <c r="DS1054" s="60"/>
    </row>
    <row r="1055" ht="15.75" customHeight="1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/>
      <c r="AM1055" s="60"/>
      <c r="AN1055" s="60"/>
      <c r="AO1055" s="60"/>
      <c r="AP1055" s="60"/>
      <c r="AQ1055" s="60"/>
      <c r="AR1055" s="60"/>
      <c r="AS1055" s="60"/>
      <c r="AT1055" s="60"/>
      <c r="AU1055" s="60"/>
      <c r="AV1055" s="60"/>
      <c r="AW1055" s="60"/>
      <c r="AX1055" s="60"/>
      <c r="AY1055" s="60"/>
      <c r="AZ1055" s="60"/>
      <c r="BA1055" s="60"/>
      <c r="BB1055" s="60"/>
      <c r="BC1055" s="60"/>
      <c r="BD1055" s="60"/>
      <c r="BE1055" s="60"/>
      <c r="BF1055" s="60"/>
      <c r="BG1055" s="60"/>
      <c r="BH1055" s="60"/>
      <c r="BI1055" s="60"/>
      <c r="BJ1055" s="60"/>
      <c r="BK1055" s="60"/>
      <c r="BL1055" s="60"/>
      <c r="BM1055" s="60"/>
      <c r="BN1055" s="60"/>
      <c r="BO1055" s="60"/>
      <c r="BP1055" s="60"/>
      <c r="BQ1055" s="60"/>
      <c r="BR1055" s="60"/>
      <c r="BS1055" s="60"/>
      <c r="BT1055" s="60"/>
      <c r="BU1055" s="60"/>
      <c r="BV1055" s="60"/>
      <c r="BW1055" s="60"/>
      <c r="BX1055" s="60"/>
      <c r="BY1055" s="60"/>
      <c r="BZ1055" s="60"/>
      <c r="CA1055" s="60"/>
      <c r="CB1055" s="60"/>
      <c r="CC1055" s="60"/>
      <c r="CD1055" s="60"/>
      <c r="CE1055" s="60"/>
      <c r="CF1055" s="60"/>
      <c r="CG1055" s="60"/>
      <c r="CH1055" s="60"/>
      <c r="CI1055" s="60"/>
      <c r="CJ1055" s="60"/>
      <c r="CK1055" s="60"/>
      <c r="CL1055" s="60"/>
      <c r="CM1055" s="60"/>
      <c r="CN1055" s="60"/>
      <c r="CO1055" s="60"/>
      <c r="CP1055" s="60"/>
      <c r="CQ1055" s="60"/>
      <c r="CR1055" s="60"/>
      <c r="CS1055" s="60"/>
      <c r="CT1055" s="60"/>
      <c r="CU1055" s="60"/>
      <c r="CV1055" s="60"/>
      <c r="CW1055" s="60"/>
      <c r="CX1055" s="60"/>
      <c r="CY1055" s="60"/>
      <c r="CZ1055" s="60"/>
      <c r="DA1055" s="60"/>
      <c r="DB1055" s="60"/>
      <c r="DC1055" s="60"/>
      <c r="DD1055" s="60"/>
      <c r="DE1055" s="60"/>
      <c r="DF1055" s="60"/>
      <c r="DG1055" s="60"/>
      <c r="DH1055" s="60"/>
      <c r="DI1055" s="60"/>
      <c r="DJ1055" s="60"/>
      <c r="DK1055" s="60"/>
      <c r="DL1055" s="60"/>
      <c r="DM1055" s="60"/>
      <c r="DN1055" s="60"/>
      <c r="DO1055" s="60"/>
      <c r="DP1055" s="60"/>
      <c r="DQ1055" s="60"/>
      <c r="DR1055" s="60"/>
      <c r="DS1055" s="60"/>
    </row>
    <row r="1056" ht="15.75" customHeight="1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/>
      <c r="AM1056" s="60"/>
      <c r="AN1056" s="60"/>
      <c r="AO1056" s="60"/>
      <c r="AP1056" s="60"/>
      <c r="AQ1056" s="60"/>
      <c r="AR1056" s="60"/>
      <c r="AS1056" s="60"/>
      <c r="AT1056" s="60"/>
      <c r="AU1056" s="60"/>
      <c r="AV1056" s="60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  <c r="BG1056" s="60"/>
      <c r="BH1056" s="60"/>
      <c r="BI1056" s="60"/>
      <c r="BJ1056" s="60"/>
      <c r="BK1056" s="60"/>
      <c r="BL1056" s="60"/>
      <c r="BM1056" s="60"/>
      <c r="BN1056" s="60"/>
      <c r="BO1056" s="60"/>
      <c r="BP1056" s="60"/>
      <c r="BQ1056" s="60"/>
      <c r="BR1056" s="60"/>
      <c r="BS1056" s="60"/>
      <c r="BT1056" s="60"/>
      <c r="BU1056" s="60"/>
      <c r="BV1056" s="60"/>
      <c r="BW1056" s="60"/>
      <c r="BX1056" s="60"/>
      <c r="BY1056" s="60"/>
      <c r="BZ1056" s="60"/>
      <c r="CA1056" s="60"/>
      <c r="CB1056" s="60"/>
      <c r="CC1056" s="60"/>
      <c r="CD1056" s="60"/>
      <c r="CE1056" s="60"/>
      <c r="CF1056" s="60"/>
      <c r="CG1056" s="60"/>
      <c r="CH1056" s="60"/>
      <c r="CI1056" s="60"/>
      <c r="CJ1056" s="60"/>
      <c r="CK1056" s="60"/>
      <c r="CL1056" s="60"/>
      <c r="CM1056" s="60"/>
      <c r="CN1056" s="60"/>
      <c r="CO1056" s="60"/>
      <c r="CP1056" s="60"/>
      <c r="CQ1056" s="60"/>
      <c r="CR1056" s="60"/>
      <c r="CS1056" s="60"/>
      <c r="CT1056" s="60"/>
      <c r="CU1056" s="60"/>
      <c r="CV1056" s="60"/>
      <c r="CW1056" s="60"/>
      <c r="CX1056" s="60"/>
      <c r="CY1056" s="60"/>
      <c r="CZ1056" s="60"/>
      <c r="DA1056" s="60"/>
      <c r="DB1056" s="60"/>
      <c r="DC1056" s="60"/>
      <c r="DD1056" s="60"/>
      <c r="DE1056" s="60"/>
      <c r="DF1056" s="60"/>
      <c r="DG1056" s="60"/>
      <c r="DH1056" s="60"/>
      <c r="DI1056" s="60"/>
      <c r="DJ1056" s="60"/>
      <c r="DK1056" s="60"/>
      <c r="DL1056" s="60"/>
      <c r="DM1056" s="60"/>
      <c r="DN1056" s="60"/>
      <c r="DO1056" s="60"/>
      <c r="DP1056" s="60"/>
      <c r="DQ1056" s="60"/>
      <c r="DR1056" s="60"/>
      <c r="DS1056" s="60"/>
    </row>
    <row r="1057" ht="15.75" customHeight="1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60"/>
      <c r="AV1057" s="60"/>
      <c r="AW1057" s="60"/>
      <c r="AX1057" s="60"/>
      <c r="AY1057" s="60"/>
      <c r="AZ1057" s="60"/>
      <c r="BA1057" s="60"/>
      <c r="BB1057" s="60"/>
      <c r="BC1057" s="60"/>
      <c r="BD1057" s="60"/>
      <c r="BE1057" s="60"/>
      <c r="BF1057" s="60"/>
      <c r="BG1057" s="60"/>
      <c r="BH1057" s="60"/>
      <c r="BI1057" s="60"/>
      <c r="BJ1057" s="60"/>
      <c r="BK1057" s="60"/>
      <c r="BL1057" s="60"/>
      <c r="BM1057" s="60"/>
      <c r="BN1057" s="60"/>
      <c r="BO1057" s="60"/>
      <c r="BP1057" s="60"/>
      <c r="BQ1057" s="60"/>
      <c r="BR1057" s="60"/>
      <c r="BS1057" s="60"/>
      <c r="BT1057" s="60"/>
      <c r="BU1057" s="60"/>
      <c r="BV1057" s="60"/>
      <c r="BW1057" s="60"/>
      <c r="BX1057" s="60"/>
      <c r="BY1057" s="60"/>
      <c r="BZ1057" s="60"/>
      <c r="CA1057" s="60"/>
      <c r="CB1057" s="60"/>
      <c r="CC1057" s="60"/>
      <c r="CD1057" s="60"/>
      <c r="CE1057" s="60"/>
      <c r="CF1057" s="60"/>
      <c r="CG1057" s="60"/>
      <c r="CH1057" s="60"/>
      <c r="CI1057" s="60"/>
      <c r="CJ1057" s="60"/>
      <c r="CK1057" s="60"/>
      <c r="CL1057" s="60"/>
      <c r="CM1057" s="60"/>
      <c r="CN1057" s="60"/>
      <c r="CO1057" s="60"/>
      <c r="CP1057" s="60"/>
      <c r="CQ1057" s="60"/>
      <c r="CR1057" s="60"/>
      <c r="CS1057" s="60"/>
      <c r="CT1057" s="60"/>
      <c r="CU1057" s="60"/>
      <c r="CV1057" s="60"/>
      <c r="CW1057" s="60"/>
      <c r="CX1057" s="60"/>
      <c r="CY1057" s="60"/>
      <c r="CZ1057" s="60"/>
      <c r="DA1057" s="60"/>
      <c r="DB1057" s="60"/>
      <c r="DC1057" s="60"/>
      <c r="DD1057" s="60"/>
      <c r="DE1057" s="60"/>
      <c r="DF1057" s="60"/>
      <c r="DG1057" s="60"/>
      <c r="DH1057" s="60"/>
      <c r="DI1057" s="60"/>
      <c r="DJ1057" s="60"/>
      <c r="DK1057" s="60"/>
      <c r="DL1057" s="60"/>
      <c r="DM1057" s="60"/>
      <c r="DN1057" s="60"/>
      <c r="DO1057" s="60"/>
      <c r="DP1057" s="60"/>
      <c r="DQ1057" s="60"/>
      <c r="DR1057" s="60"/>
      <c r="DS1057" s="60"/>
    </row>
    <row r="1058" ht="15.75" customHeight="1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/>
      <c r="AN1058" s="60"/>
      <c r="AO1058" s="60"/>
      <c r="AP1058" s="60"/>
      <c r="AQ1058" s="60"/>
      <c r="AR1058" s="60"/>
      <c r="AS1058" s="60"/>
      <c r="AT1058" s="60"/>
      <c r="AU1058" s="60"/>
      <c r="AV1058" s="60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  <c r="BG1058" s="60"/>
      <c r="BH1058" s="60"/>
      <c r="BI1058" s="60"/>
      <c r="BJ1058" s="60"/>
      <c r="BK1058" s="60"/>
      <c r="BL1058" s="60"/>
      <c r="BM1058" s="60"/>
      <c r="BN1058" s="60"/>
      <c r="BO1058" s="60"/>
      <c r="BP1058" s="60"/>
      <c r="BQ1058" s="60"/>
      <c r="BR1058" s="60"/>
      <c r="BS1058" s="60"/>
      <c r="BT1058" s="60"/>
      <c r="BU1058" s="60"/>
      <c r="BV1058" s="60"/>
      <c r="BW1058" s="60"/>
      <c r="BX1058" s="60"/>
      <c r="BY1058" s="60"/>
      <c r="BZ1058" s="60"/>
      <c r="CA1058" s="60"/>
      <c r="CB1058" s="60"/>
      <c r="CC1058" s="60"/>
      <c r="CD1058" s="60"/>
      <c r="CE1058" s="60"/>
      <c r="CF1058" s="60"/>
      <c r="CG1058" s="60"/>
      <c r="CH1058" s="60"/>
      <c r="CI1058" s="60"/>
      <c r="CJ1058" s="60"/>
      <c r="CK1058" s="60"/>
      <c r="CL1058" s="60"/>
      <c r="CM1058" s="60"/>
      <c r="CN1058" s="60"/>
      <c r="CO1058" s="60"/>
      <c r="CP1058" s="60"/>
      <c r="CQ1058" s="60"/>
      <c r="CR1058" s="60"/>
      <c r="CS1058" s="60"/>
      <c r="CT1058" s="60"/>
      <c r="CU1058" s="60"/>
      <c r="CV1058" s="60"/>
      <c r="CW1058" s="60"/>
      <c r="CX1058" s="60"/>
      <c r="CY1058" s="60"/>
      <c r="CZ1058" s="60"/>
      <c r="DA1058" s="60"/>
      <c r="DB1058" s="60"/>
      <c r="DC1058" s="60"/>
      <c r="DD1058" s="60"/>
      <c r="DE1058" s="60"/>
      <c r="DF1058" s="60"/>
      <c r="DG1058" s="60"/>
      <c r="DH1058" s="60"/>
      <c r="DI1058" s="60"/>
      <c r="DJ1058" s="60"/>
      <c r="DK1058" s="60"/>
      <c r="DL1058" s="60"/>
      <c r="DM1058" s="60"/>
      <c r="DN1058" s="60"/>
      <c r="DO1058" s="60"/>
      <c r="DP1058" s="60"/>
      <c r="DQ1058" s="60"/>
      <c r="DR1058" s="60"/>
      <c r="DS1058" s="60"/>
    </row>
    <row r="1059" ht="15.75" customHeight="1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60"/>
      <c r="AV1059" s="60"/>
      <c r="AW1059" s="60"/>
      <c r="AX1059" s="60"/>
      <c r="AY1059" s="60"/>
      <c r="AZ1059" s="60"/>
      <c r="BA1059" s="60"/>
      <c r="BB1059" s="60"/>
      <c r="BC1059" s="60"/>
      <c r="BD1059" s="60"/>
      <c r="BE1059" s="60"/>
      <c r="BF1059" s="60"/>
      <c r="BG1059" s="60"/>
      <c r="BH1059" s="60"/>
      <c r="BI1059" s="60"/>
      <c r="BJ1059" s="60"/>
      <c r="BK1059" s="60"/>
      <c r="BL1059" s="60"/>
      <c r="BM1059" s="60"/>
      <c r="BN1059" s="60"/>
      <c r="BO1059" s="60"/>
      <c r="BP1059" s="60"/>
      <c r="BQ1059" s="60"/>
      <c r="BR1059" s="60"/>
      <c r="BS1059" s="60"/>
      <c r="BT1059" s="60"/>
      <c r="BU1059" s="60"/>
      <c r="BV1059" s="60"/>
      <c r="BW1059" s="60"/>
      <c r="BX1059" s="60"/>
      <c r="BY1059" s="60"/>
      <c r="BZ1059" s="60"/>
      <c r="CA1059" s="60"/>
      <c r="CB1059" s="60"/>
      <c r="CC1059" s="60"/>
      <c r="CD1059" s="60"/>
      <c r="CE1059" s="60"/>
      <c r="CF1059" s="60"/>
      <c r="CG1059" s="60"/>
      <c r="CH1059" s="60"/>
      <c r="CI1059" s="60"/>
      <c r="CJ1059" s="60"/>
      <c r="CK1059" s="60"/>
      <c r="CL1059" s="60"/>
      <c r="CM1059" s="60"/>
      <c r="CN1059" s="60"/>
      <c r="CO1059" s="60"/>
      <c r="CP1059" s="60"/>
      <c r="CQ1059" s="60"/>
      <c r="CR1059" s="60"/>
      <c r="CS1059" s="60"/>
      <c r="CT1059" s="60"/>
      <c r="CU1059" s="60"/>
      <c r="CV1059" s="60"/>
      <c r="CW1059" s="60"/>
      <c r="CX1059" s="60"/>
      <c r="CY1059" s="60"/>
      <c r="CZ1059" s="60"/>
      <c r="DA1059" s="60"/>
      <c r="DB1059" s="60"/>
      <c r="DC1059" s="60"/>
      <c r="DD1059" s="60"/>
      <c r="DE1059" s="60"/>
      <c r="DF1059" s="60"/>
      <c r="DG1059" s="60"/>
      <c r="DH1059" s="60"/>
      <c r="DI1059" s="60"/>
      <c r="DJ1059" s="60"/>
      <c r="DK1059" s="60"/>
      <c r="DL1059" s="60"/>
      <c r="DM1059" s="60"/>
      <c r="DN1059" s="60"/>
      <c r="DO1059" s="60"/>
      <c r="DP1059" s="60"/>
      <c r="DQ1059" s="60"/>
      <c r="DR1059" s="60"/>
      <c r="DS1059" s="60"/>
    </row>
    <row r="1060" ht="15.75" customHeight="1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60"/>
      <c r="AV1060" s="60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  <c r="BG1060" s="60"/>
      <c r="BH1060" s="60"/>
      <c r="BI1060" s="60"/>
      <c r="BJ1060" s="60"/>
      <c r="BK1060" s="60"/>
      <c r="BL1060" s="60"/>
      <c r="BM1060" s="60"/>
      <c r="BN1060" s="60"/>
      <c r="BO1060" s="60"/>
      <c r="BP1060" s="60"/>
      <c r="BQ1060" s="60"/>
      <c r="BR1060" s="60"/>
      <c r="BS1060" s="60"/>
      <c r="BT1060" s="60"/>
      <c r="BU1060" s="60"/>
      <c r="BV1060" s="60"/>
      <c r="BW1060" s="60"/>
      <c r="BX1060" s="60"/>
      <c r="BY1060" s="60"/>
      <c r="BZ1060" s="60"/>
      <c r="CA1060" s="60"/>
      <c r="CB1060" s="60"/>
      <c r="CC1060" s="60"/>
      <c r="CD1060" s="60"/>
      <c r="CE1060" s="60"/>
      <c r="CF1060" s="60"/>
      <c r="CG1060" s="60"/>
      <c r="CH1060" s="60"/>
      <c r="CI1060" s="60"/>
      <c r="CJ1060" s="60"/>
      <c r="CK1060" s="60"/>
      <c r="CL1060" s="60"/>
      <c r="CM1060" s="60"/>
      <c r="CN1060" s="60"/>
      <c r="CO1060" s="60"/>
      <c r="CP1060" s="60"/>
      <c r="CQ1060" s="60"/>
      <c r="CR1060" s="60"/>
      <c r="CS1060" s="60"/>
      <c r="CT1060" s="60"/>
      <c r="CU1060" s="60"/>
      <c r="CV1060" s="60"/>
      <c r="CW1060" s="60"/>
      <c r="CX1060" s="60"/>
      <c r="CY1060" s="60"/>
      <c r="CZ1060" s="60"/>
      <c r="DA1060" s="60"/>
      <c r="DB1060" s="60"/>
      <c r="DC1060" s="60"/>
      <c r="DD1060" s="60"/>
      <c r="DE1060" s="60"/>
      <c r="DF1060" s="60"/>
      <c r="DG1060" s="60"/>
      <c r="DH1060" s="60"/>
      <c r="DI1060" s="60"/>
      <c r="DJ1060" s="60"/>
      <c r="DK1060" s="60"/>
      <c r="DL1060" s="60"/>
      <c r="DM1060" s="60"/>
      <c r="DN1060" s="60"/>
      <c r="DO1060" s="60"/>
      <c r="DP1060" s="60"/>
      <c r="DQ1060" s="60"/>
      <c r="DR1060" s="60"/>
      <c r="DS1060" s="60"/>
    </row>
    <row r="1061" ht="15.75" customHeight="1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/>
      <c r="AM1061" s="60"/>
      <c r="AN1061" s="60"/>
      <c r="AO1061" s="60"/>
      <c r="AP1061" s="60"/>
      <c r="AQ1061" s="60"/>
      <c r="AR1061" s="60"/>
      <c r="AS1061" s="60"/>
      <c r="AT1061" s="60"/>
      <c r="AU1061" s="60"/>
      <c r="AV1061" s="60"/>
      <c r="AW1061" s="60"/>
      <c r="AX1061" s="60"/>
      <c r="AY1061" s="60"/>
      <c r="AZ1061" s="60"/>
      <c r="BA1061" s="60"/>
      <c r="BB1061" s="60"/>
      <c r="BC1061" s="60"/>
      <c r="BD1061" s="60"/>
      <c r="BE1061" s="60"/>
      <c r="BF1061" s="60"/>
      <c r="BG1061" s="60"/>
      <c r="BH1061" s="60"/>
      <c r="BI1061" s="60"/>
      <c r="BJ1061" s="60"/>
      <c r="BK1061" s="60"/>
      <c r="BL1061" s="60"/>
      <c r="BM1061" s="60"/>
      <c r="BN1061" s="60"/>
      <c r="BO1061" s="60"/>
      <c r="BP1061" s="60"/>
      <c r="BQ1061" s="60"/>
      <c r="BR1061" s="60"/>
      <c r="BS1061" s="60"/>
      <c r="BT1061" s="60"/>
      <c r="BU1061" s="60"/>
      <c r="BV1061" s="60"/>
      <c r="BW1061" s="60"/>
      <c r="BX1061" s="60"/>
      <c r="BY1061" s="60"/>
      <c r="BZ1061" s="60"/>
      <c r="CA1061" s="60"/>
      <c r="CB1061" s="60"/>
      <c r="CC1061" s="60"/>
      <c r="CD1061" s="60"/>
      <c r="CE1061" s="60"/>
      <c r="CF1061" s="60"/>
      <c r="CG1061" s="60"/>
      <c r="CH1061" s="60"/>
      <c r="CI1061" s="60"/>
      <c r="CJ1061" s="60"/>
      <c r="CK1061" s="60"/>
      <c r="CL1061" s="60"/>
      <c r="CM1061" s="60"/>
      <c r="CN1061" s="60"/>
      <c r="CO1061" s="60"/>
      <c r="CP1061" s="60"/>
      <c r="CQ1061" s="60"/>
      <c r="CR1061" s="60"/>
      <c r="CS1061" s="60"/>
      <c r="CT1061" s="60"/>
      <c r="CU1061" s="60"/>
      <c r="CV1061" s="60"/>
      <c r="CW1061" s="60"/>
      <c r="CX1061" s="60"/>
      <c r="CY1061" s="60"/>
      <c r="CZ1061" s="60"/>
      <c r="DA1061" s="60"/>
      <c r="DB1061" s="60"/>
      <c r="DC1061" s="60"/>
      <c r="DD1061" s="60"/>
      <c r="DE1061" s="60"/>
      <c r="DF1061" s="60"/>
      <c r="DG1061" s="60"/>
      <c r="DH1061" s="60"/>
      <c r="DI1061" s="60"/>
      <c r="DJ1061" s="60"/>
      <c r="DK1061" s="60"/>
      <c r="DL1061" s="60"/>
      <c r="DM1061" s="60"/>
      <c r="DN1061" s="60"/>
      <c r="DO1061" s="60"/>
      <c r="DP1061" s="60"/>
      <c r="DQ1061" s="60"/>
      <c r="DR1061" s="60"/>
      <c r="DS1061" s="60"/>
    </row>
    <row r="1062" ht="15.75" customHeight="1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/>
      <c r="AM1062" s="60"/>
      <c r="AN1062" s="60"/>
      <c r="AO1062" s="60"/>
      <c r="AP1062" s="60"/>
      <c r="AQ1062" s="60"/>
      <c r="AR1062" s="60"/>
      <c r="AS1062" s="60"/>
      <c r="AT1062" s="60"/>
      <c r="AU1062" s="60"/>
      <c r="AV1062" s="60"/>
      <c r="AW1062" s="60"/>
      <c r="AX1062" s="60"/>
      <c r="AY1062" s="60"/>
      <c r="AZ1062" s="60"/>
      <c r="BA1062" s="60"/>
      <c r="BB1062" s="60"/>
      <c r="BC1062" s="60"/>
      <c r="BD1062" s="60"/>
      <c r="BE1062" s="60"/>
      <c r="BF1062" s="60"/>
      <c r="BG1062" s="60"/>
      <c r="BH1062" s="60"/>
      <c r="BI1062" s="60"/>
      <c r="BJ1062" s="60"/>
      <c r="BK1062" s="60"/>
      <c r="BL1062" s="60"/>
      <c r="BM1062" s="60"/>
      <c r="BN1062" s="60"/>
      <c r="BO1062" s="60"/>
      <c r="BP1062" s="60"/>
      <c r="BQ1062" s="60"/>
      <c r="BR1062" s="60"/>
      <c r="BS1062" s="60"/>
      <c r="BT1062" s="60"/>
      <c r="BU1062" s="60"/>
      <c r="BV1062" s="60"/>
      <c r="BW1062" s="60"/>
      <c r="BX1062" s="60"/>
      <c r="BY1062" s="60"/>
      <c r="BZ1062" s="60"/>
      <c r="CA1062" s="60"/>
      <c r="CB1062" s="60"/>
      <c r="CC1062" s="60"/>
      <c r="CD1062" s="60"/>
      <c r="CE1062" s="60"/>
      <c r="CF1062" s="60"/>
      <c r="CG1062" s="60"/>
      <c r="CH1062" s="60"/>
      <c r="CI1062" s="60"/>
      <c r="CJ1062" s="60"/>
      <c r="CK1062" s="60"/>
      <c r="CL1062" s="60"/>
      <c r="CM1062" s="60"/>
      <c r="CN1062" s="60"/>
      <c r="CO1062" s="60"/>
      <c r="CP1062" s="60"/>
      <c r="CQ1062" s="60"/>
      <c r="CR1062" s="60"/>
      <c r="CS1062" s="60"/>
      <c r="CT1062" s="60"/>
      <c r="CU1062" s="60"/>
      <c r="CV1062" s="60"/>
      <c r="CW1062" s="60"/>
      <c r="CX1062" s="60"/>
      <c r="CY1062" s="60"/>
      <c r="CZ1062" s="60"/>
      <c r="DA1062" s="60"/>
      <c r="DB1062" s="60"/>
      <c r="DC1062" s="60"/>
      <c r="DD1062" s="60"/>
      <c r="DE1062" s="60"/>
      <c r="DF1062" s="60"/>
      <c r="DG1062" s="60"/>
      <c r="DH1062" s="60"/>
      <c r="DI1062" s="60"/>
      <c r="DJ1062" s="60"/>
      <c r="DK1062" s="60"/>
      <c r="DL1062" s="60"/>
      <c r="DM1062" s="60"/>
      <c r="DN1062" s="60"/>
      <c r="DO1062" s="60"/>
      <c r="DP1062" s="60"/>
      <c r="DQ1062" s="60"/>
      <c r="DR1062" s="60"/>
      <c r="DS1062" s="60"/>
    </row>
    <row r="1063" ht="15.75" customHeight="1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60"/>
      <c r="AV1063" s="60"/>
      <c r="AW1063" s="60"/>
      <c r="AX1063" s="60"/>
      <c r="AY1063" s="60"/>
      <c r="AZ1063" s="60"/>
      <c r="BA1063" s="60"/>
      <c r="BB1063" s="60"/>
      <c r="BC1063" s="60"/>
      <c r="BD1063" s="60"/>
      <c r="BE1063" s="60"/>
      <c r="BF1063" s="60"/>
      <c r="BG1063" s="60"/>
      <c r="BH1063" s="60"/>
      <c r="BI1063" s="60"/>
      <c r="BJ1063" s="60"/>
      <c r="BK1063" s="60"/>
      <c r="BL1063" s="60"/>
      <c r="BM1063" s="60"/>
      <c r="BN1063" s="60"/>
      <c r="BO1063" s="60"/>
      <c r="BP1063" s="60"/>
      <c r="BQ1063" s="60"/>
      <c r="BR1063" s="60"/>
      <c r="BS1063" s="60"/>
      <c r="BT1063" s="60"/>
      <c r="BU1063" s="60"/>
      <c r="BV1063" s="60"/>
      <c r="BW1063" s="60"/>
      <c r="BX1063" s="60"/>
      <c r="BY1063" s="60"/>
      <c r="BZ1063" s="60"/>
      <c r="CA1063" s="60"/>
      <c r="CB1063" s="60"/>
      <c r="CC1063" s="60"/>
      <c r="CD1063" s="60"/>
      <c r="CE1063" s="60"/>
      <c r="CF1063" s="60"/>
      <c r="CG1063" s="60"/>
      <c r="CH1063" s="60"/>
      <c r="CI1063" s="60"/>
      <c r="CJ1063" s="60"/>
      <c r="CK1063" s="60"/>
      <c r="CL1063" s="60"/>
      <c r="CM1063" s="60"/>
      <c r="CN1063" s="60"/>
      <c r="CO1063" s="60"/>
      <c r="CP1063" s="60"/>
      <c r="CQ1063" s="60"/>
      <c r="CR1063" s="60"/>
      <c r="CS1063" s="60"/>
      <c r="CT1063" s="60"/>
      <c r="CU1063" s="60"/>
      <c r="CV1063" s="60"/>
      <c r="CW1063" s="60"/>
      <c r="CX1063" s="60"/>
      <c r="CY1063" s="60"/>
      <c r="CZ1063" s="60"/>
      <c r="DA1063" s="60"/>
      <c r="DB1063" s="60"/>
      <c r="DC1063" s="60"/>
      <c r="DD1063" s="60"/>
      <c r="DE1063" s="60"/>
      <c r="DF1063" s="60"/>
      <c r="DG1063" s="60"/>
      <c r="DH1063" s="60"/>
      <c r="DI1063" s="60"/>
      <c r="DJ1063" s="60"/>
      <c r="DK1063" s="60"/>
      <c r="DL1063" s="60"/>
      <c r="DM1063" s="60"/>
      <c r="DN1063" s="60"/>
      <c r="DO1063" s="60"/>
      <c r="DP1063" s="60"/>
      <c r="DQ1063" s="60"/>
      <c r="DR1063" s="60"/>
      <c r="DS1063" s="60"/>
    </row>
    <row r="1064" ht="15.75" customHeight="1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60"/>
      <c r="AV1064" s="60"/>
      <c r="AW1064" s="60"/>
      <c r="AX1064" s="60"/>
      <c r="AY1064" s="60"/>
      <c r="AZ1064" s="60"/>
      <c r="BA1064" s="60"/>
      <c r="BB1064" s="60"/>
      <c r="BC1064" s="60"/>
      <c r="BD1064" s="60"/>
      <c r="BE1064" s="60"/>
      <c r="BF1064" s="60"/>
      <c r="BG1064" s="60"/>
      <c r="BH1064" s="60"/>
      <c r="BI1064" s="60"/>
      <c r="BJ1064" s="60"/>
      <c r="BK1064" s="60"/>
      <c r="BL1064" s="60"/>
      <c r="BM1064" s="60"/>
      <c r="BN1064" s="60"/>
      <c r="BO1064" s="60"/>
      <c r="BP1064" s="60"/>
      <c r="BQ1064" s="60"/>
      <c r="BR1064" s="60"/>
      <c r="BS1064" s="60"/>
      <c r="BT1064" s="60"/>
      <c r="BU1064" s="60"/>
      <c r="BV1064" s="60"/>
      <c r="BW1064" s="60"/>
      <c r="BX1064" s="60"/>
      <c r="BY1064" s="60"/>
      <c r="BZ1064" s="60"/>
      <c r="CA1064" s="60"/>
      <c r="CB1064" s="60"/>
      <c r="CC1064" s="60"/>
      <c r="CD1064" s="60"/>
      <c r="CE1064" s="60"/>
      <c r="CF1064" s="60"/>
      <c r="CG1064" s="60"/>
      <c r="CH1064" s="60"/>
      <c r="CI1064" s="60"/>
      <c r="CJ1064" s="60"/>
      <c r="CK1064" s="60"/>
      <c r="CL1064" s="60"/>
      <c r="CM1064" s="60"/>
      <c r="CN1064" s="60"/>
      <c r="CO1064" s="60"/>
      <c r="CP1064" s="60"/>
      <c r="CQ1064" s="60"/>
      <c r="CR1064" s="60"/>
      <c r="CS1064" s="60"/>
      <c r="CT1064" s="60"/>
      <c r="CU1064" s="60"/>
      <c r="CV1064" s="60"/>
      <c r="CW1064" s="60"/>
      <c r="CX1064" s="60"/>
      <c r="CY1064" s="60"/>
      <c r="CZ1064" s="60"/>
      <c r="DA1064" s="60"/>
      <c r="DB1064" s="60"/>
      <c r="DC1064" s="60"/>
      <c r="DD1064" s="60"/>
      <c r="DE1064" s="60"/>
      <c r="DF1064" s="60"/>
      <c r="DG1064" s="60"/>
      <c r="DH1064" s="60"/>
      <c r="DI1064" s="60"/>
      <c r="DJ1064" s="60"/>
      <c r="DK1064" s="60"/>
      <c r="DL1064" s="60"/>
      <c r="DM1064" s="60"/>
      <c r="DN1064" s="60"/>
      <c r="DO1064" s="60"/>
      <c r="DP1064" s="60"/>
      <c r="DQ1064" s="60"/>
      <c r="DR1064" s="60"/>
      <c r="DS1064" s="60"/>
    </row>
    <row r="1065" ht="15.75" customHeight="1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/>
      <c r="AM1065" s="60"/>
      <c r="AN1065" s="60"/>
      <c r="AO1065" s="60"/>
      <c r="AP1065" s="60"/>
      <c r="AQ1065" s="60"/>
      <c r="AR1065" s="60"/>
      <c r="AS1065" s="60"/>
      <c r="AT1065" s="60"/>
      <c r="AU1065" s="60"/>
      <c r="AV1065" s="60"/>
      <c r="AW1065" s="60"/>
      <c r="AX1065" s="60"/>
      <c r="AY1065" s="60"/>
      <c r="AZ1065" s="60"/>
      <c r="BA1065" s="60"/>
      <c r="BB1065" s="60"/>
      <c r="BC1065" s="60"/>
      <c r="BD1065" s="60"/>
      <c r="BE1065" s="60"/>
      <c r="BF1065" s="60"/>
      <c r="BG1065" s="60"/>
      <c r="BH1065" s="60"/>
      <c r="BI1065" s="60"/>
      <c r="BJ1065" s="60"/>
      <c r="BK1065" s="60"/>
      <c r="BL1065" s="60"/>
      <c r="BM1065" s="60"/>
      <c r="BN1065" s="60"/>
      <c r="BO1065" s="60"/>
      <c r="BP1065" s="60"/>
      <c r="BQ1065" s="60"/>
      <c r="BR1065" s="60"/>
      <c r="BS1065" s="60"/>
      <c r="BT1065" s="60"/>
      <c r="BU1065" s="60"/>
      <c r="BV1065" s="60"/>
      <c r="BW1065" s="60"/>
      <c r="BX1065" s="60"/>
      <c r="BY1065" s="60"/>
      <c r="BZ1065" s="60"/>
      <c r="CA1065" s="60"/>
      <c r="CB1065" s="60"/>
      <c r="CC1065" s="60"/>
      <c r="CD1065" s="60"/>
      <c r="CE1065" s="60"/>
      <c r="CF1065" s="60"/>
      <c r="CG1065" s="60"/>
      <c r="CH1065" s="60"/>
      <c r="CI1065" s="60"/>
      <c r="CJ1065" s="60"/>
      <c r="CK1065" s="60"/>
      <c r="CL1065" s="60"/>
      <c r="CM1065" s="60"/>
      <c r="CN1065" s="60"/>
      <c r="CO1065" s="60"/>
      <c r="CP1065" s="60"/>
      <c r="CQ1065" s="60"/>
      <c r="CR1065" s="60"/>
      <c r="CS1065" s="60"/>
      <c r="CT1065" s="60"/>
      <c r="CU1065" s="60"/>
      <c r="CV1065" s="60"/>
      <c r="CW1065" s="60"/>
      <c r="CX1065" s="60"/>
      <c r="CY1065" s="60"/>
      <c r="CZ1065" s="60"/>
      <c r="DA1065" s="60"/>
      <c r="DB1065" s="60"/>
      <c r="DC1065" s="60"/>
      <c r="DD1065" s="60"/>
      <c r="DE1065" s="60"/>
      <c r="DF1065" s="60"/>
      <c r="DG1065" s="60"/>
      <c r="DH1065" s="60"/>
      <c r="DI1065" s="60"/>
      <c r="DJ1065" s="60"/>
      <c r="DK1065" s="60"/>
      <c r="DL1065" s="60"/>
      <c r="DM1065" s="60"/>
      <c r="DN1065" s="60"/>
      <c r="DO1065" s="60"/>
      <c r="DP1065" s="60"/>
      <c r="DQ1065" s="60"/>
      <c r="DR1065" s="60"/>
      <c r="DS1065" s="60"/>
    </row>
    <row r="1066" ht="15.75" customHeight="1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60"/>
      <c r="AV1066" s="60"/>
      <c r="AW1066" s="60"/>
      <c r="AX1066" s="60"/>
      <c r="AY1066" s="60"/>
      <c r="AZ1066" s="60"/>
      <c r="BA1066" s="60"/>
      <c r="BB1066" s="60"/>
      <c r="BC1066" s="60"/>
      <c r="BD1066" s="60"/>
      <c r="BE1066" s="60"/>
      <c r="BF1066" s="60"/>
      <c r="BG1066" s="60"/>
      <c r="BH1066" s="60"/>
      <c r="BI1066" s="60"/>
      <c r="BJ1066" s="60"/>
      <c r="BK1066" s="60"/>
      <c r="BL1066" s="60"/>
      <c r="BM1066" s="60"/>
      <c r="BN1066" s="60"/>
      <c r="BO1066" s="60"/>
      <c r="BP1066" s="60"/>
      <c r="BQ1066" s="60"/>
      <c r="BR1066" s="60"/>
      <c r="BS1066" s="60"/>
      <c r="BT1066" s="60"/>
      <c r="BU1066" s="60"/>
      <c r="BV1066" s="60"/>
      <c r="BW1066" s="60"/>
      <c r="BX1066" s="60"/>
      <c r="BY1066" s="60"/>
      <c r="BZ1066" s="60"/>
      <c r="CA1066" s="60"/>
      <c r="CB1066" s="60"/>
      <c r="CC1066" s="60"/>
      <c r="CD1066" s="60"/>
      <c r="CE1066" s="60"/>
      <c r="CF1066" s="60"/>
      <c r="CG1066" s="60"/>
      <c r="CH1066" s="60"/>
      <c r="CI1066" s="60"/>
      <c r="CJ1066" s="60"/>
      <c r="CK1066" s="60"/>
      <c r="CL1066" s="60"/>
      <c r="CM1066" s="60"/>
      <c r="CN1066" s="60"/>
      <c r="CO1066" s="60"/>
      <c r="CP1066" s="60"/>
      <c r="CQ1066" s="60"/>
      <c r="CR1066" s="60"/>
      <c r="CS1066" s="60"/>
      <c r="CT1066" s="60"/>
      <c r="CU1066" s="60"/>
      <c r="CV1066" s="60"/>
      <c r="CW1066" s="60"/>
      <c r="CX1066" s="60"/>
      <c r="CY1066" s="60"/>
      <c r="CZ1066" s="60"/>
      <c r="DA1066" s="60"/>
      <c r="DB1066" s="60"/>
      <c r="DC1066" s="60"/>
      <c r="DD1066" s="60"/>
      <c r="DE1066" s="60"/>
      <c r="DF1066" s="60"/>
      <c r="DG1066" s="60"/>
      <c r="DH1066" s="60"/>
      <c r="DI1066" s="60"/>
      <c r="DJ1066" s="60"/>
      <c r="DK1066" s="60"/>
      <c r="DL1066" s="60"/>
      <c r="DM1066" s="60"/>
      <c r="DN1066" s="60"/>
      <c r="DO1066" s="60"/>
      <c r="DP1066" s="60"/>
      <c r="DQ1066" s="60"/>
      <c r="DR1066" s="60"/>
      <c r="DS1066" s="60"/>
    </row>
    <row r="1067" ht="15.75" customHeight="1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60"/>
      <c r="AV1067" s="60"/>
      <c r="AW1067" s="60"/>
      <c r="AX1067" s="60"/>
      <c r="AY1067" s="60"/>
      <c r="AZ1067" s="60"/>
      <c r="BA1067" s="60"/>
      <c r="BB1067" s="60"/>
      <c r="BC1067" s="60"/>
      <c r="BD1067" s="60"/>
      <c r="BE1067" s="60"/>
      <c r="BF1067" s="60"/>
      <c r="BG1067" s="60"/>
      <c r="BH1067" s="60"/>
      <c r="BI1067" s="60"/>
      <c r="BJ1067" s="60"/>
      <c r="BK1067" s="60"/>
      <c r="BL1067" s="60"/>
      <c r="BM1067" s="60"/>
      <c r="BN1067" s="60"/>
      <c r="BO1067" s="60"/>
      <c r="BP1067" s="60"/>
      <c r="BQ1067" s="60"/>
      <c r="BR1067" s="60"/>
      <c r="BS1067" s="60"/>
      <c r="BT1067" s="60"/>
      <c r="BU1067" s="60"/>
      <c r="BV1067" s="60"/>
      <c r="BW1067" s="60"/>
      <c r="BX1067" s="60"/>
      <c r="BY1067" s="60"/>
      <c r="BZ1067" s="60"/>
      <c r="CA1067" s="60"/>
      <c r="CB1067" s="60"/>
      <c r="CC1067" s="60"/>
      <c r="CD1067" s="60"/>
      <c r="CE1067" s="60"/>
      <c r="CF1067" s="60"/>
      <c r="CG1067" s="60"/>
      <c r="CH1067" s="60"/>
      <c r="CI1067" s="60"/>
      <c r="CJ1067" s="60"/>
      <c r="CK1067" s="60"/>
      <c r="CL1067" s="60"/>
      <c r="CM1067" s="60"/>
      <c r="CN1067" s="60"/>
      <c r="CO1067" s="60"/>
      <c r="CP1067" s="60"/>
      <c r="CQ1067" s="60"/>
      <c r="CR1067" s="60"/>
      <c r="CS1067" s="60"/>
      <c r="CT1067" s="60"/>
      <c r="CU1067" s="60"/>
      <c r="CV1067" s="60"/>
      <c r="CW1067" s="60"/>
      <c r="CX1067" s="60"/>
      <c r="CY1067" s="60"/>
      <c r="CZ1067" s="60"/>
      <c r="DA1067" s="60"/>
      <c r="DB1067" s="60"/>
      <c r="DC1067" s="60"/>
      <c r="DD1067" s="60"/>
      <c r="DE1067" s="60"/>
      <c r="DF1067" s="60"/>
      <c r="DG1067" s="60"/>
      <c r="DH1067" s="60"/>
      <c r="DI1067" s="60"/>
      <c r="DJ1067" s="60"/>
      <c r="DK1067" s="60"/>
      <c r="DL1067" s="60"/>
      <c r="DM1067" s="60"/>
      <c r="DN1067" s="60"/>
      <c r="DO1067" s="60"/>
      <c r="DP1067" s="60"/>
      <c r="DQ1067" s="60"/>
      <c r="DR1067" s="60"/>
      <c r="DS1067" s="60"/>
    </row>
    <row r="1068" ht="15.75" customHeight="1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60"/>
      <c r="AV1068" s="60"/>
      <c r="AW1068" s="60"/>
      <c r="AX1068" s="60"/>
      <c r="AY1068" s="60"/>
      <c r="AZ1068" s="60"/>
      <c r="BA1068" s="60"/>
      <c r="BB1068" s="60"/>
      <c r="BC1068" s="60"/>
      <c r="BD1068" s="60"/>
      <c r="BE1068" s="60"/>
      <c r="BF1068" s="60"/>
      <c r="BG1068" s="60"/>
      <c r="BH1068" s="60"/>
      <c r="BI1068" s="60"/>
      <c r="BJ1068" s="60"/>
      <c r="BK1068" s="60"/>
      <c r="BL1068" s="60"/>
      <c r="BM1068" s="60"/>
      <c r="BN1068" s="60"/>
      <c r="BO1068" s="60"/>
      <c r="BP1068" s="60"/>
      <c r="BQ1068" s="60"/>
      <c r="BR1068" s="60"/>
      <c r="BS1068" s="60"/>
      <c r="BT1068" s="60"/>
      <c r="BU1068" s="60"/>
      <c r="BV1068" s="60"/>
      <c r="BW1068" s="60"/>
      <c r="BX1068" s="60"/>
      <c r="BY1068" s="60"/>
      <c r="BZ1068" s="60"/>
      <c r="CA1068" s="60"/>
      <c r="CB1068" s="60"/>
      <c r="CC1068" s="60"/>
      <c r="CD1068" s="60"/>
      <c r="CE1068" s="60"/>
      <c r="CF1068" s="60"/>
      <c r="CG1068" s="60"/>
      <c r="CH1068" s="60"/>
      <c r="CI1068" s="60"/>
      <c r="CJ1068" s="60"/>
      <c r="CK1068" s="60"/>
      <c r="CL1068" s="60"/>
      <c r="CM1068" s="60"/>
      <c r="CN1068" s="60"/>
      <c r="CO1068" s="60"/>
      <c r="CP1068" s="60"/>
      <c r="CQ1068" s="60"/>
      <c r="CR1068" s="60"/>
      <c r="CS1068" s="60"/>
      <c r="CT1068" s="60"/>
      <c r="CU1068" s="60"/>
      <c r="CV1068" s="60"/>
      <c r="CW1068" s="60"/>
      <c r="CX1068" s="60"/>
      <c r="CY1068" s="60"/>
      <c r="CZ1068" s="60"/>
      <c r="DA1068" s="60"/>
      <c r="DB1068" s="60"/>
      <c r="DC1068" s="60"/>
      <c r="DD1068" s="60"/>
      <c r="DE1068" s="60"/>
      <c r="DF1068" s="60"/>
      <c r="DG1068" s="60"/>
      <c r="DH1068" s="60"/>
      <c r="DI1068" s="60"/>
      <c r="DJ1068" s="60"/>
      <c r="DK1068" s="60"/>
      <c r="DL1068" s="60"/>
      <c r="DM1068" s="60"/>
      <c r="DN1068" s="60"/>
      <c r="DO1068" s="60"/>
      <c r="DP1068" s="60"/>
      <c r="DQ1068" s="60"/>
      <c r="DR1068" s="60"/>
      <c r="DS1068" s="6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4.43"/>
    <col customWidth="1" min="3" max="3" width="22.71"/>
    <col customWidth="1" min="4" max="5" width="14.43"/>
    <col customWidth="1" min="6" max="6" width="30.14"/>
    <col customWidth="1" min="9" max="9" width="37.86"/>
    <col customWidth="1" min="10" max="10" width="32.57"/>
    <col customWidth="1" min="11" max="11" width="29.0"/>
  </cols>
  <sheetData>
    <row r="1" ht="15.75" customHeight="1">
      <c r="A1" s="109" t="s">
        <v>5690</v>
      </c>
      <c r="B1" s="110" t="s">
        <v>5691</v>
      </c>
      <c r="C1" s="109" t="s">
        <v>191</v>
      </c>
      <c r="D1" s="111" t="s">
        <v>5692</v>
      </c>
      <c r="E1" s="111" t="s">
        <v>5645</v>
      </c>
      <c r="F1" s="111" t="s">
        <v>5693</v>
      </c>
      <c r="G1" s="111" t="s">
        <v>5694</v>
      </c>
      <c r="H1" s="111" t="s">
        <v>5695</v>
      </c>
      <c r="I1" s="111" t="s">
        <v>5696</v>
      </c>
      <c r="J1" s="111" t="s">
        <v>5697</v>
      </c>
      <c r="K1" s="111" t="s">
        <v>130</v>
      </c>
      <c r="L1" s="111" t="s">
        <v>5698</v>
      </c>
      <c r="M1" s="111" t="s">
        <v>5699</v>
      </c>
      <c r="N1" s="1" t="s">
        <v>5700</v>
      </c>
      <c r="O1" s="1" t="s">
        <v>5701</v>
      </c>
      <c r="P1" s="1" t="s">
        <v>5701</v>
      </c>
      <c r="Q1" s="1" t="s">
        <v>5701</v>
      </c>
      <c r="R1" s="1" t="s">
        <v>5702</v>
      </c>
      <c r="S1" s="1" t="s">
        <v>5701</v>
      </c>
      <c r="T1" s="1" t="s">
        <v>5701</v>
      </c>
      <c r="U1" s="1" t="s">
        <v>5701</v>
      </c>
      <c r="V1" s="1" t="s">
        <v>5701</v>
      </c>
      <c r="W1" s="1" t="s">
        <v>5701</v>
      </c>
      <c r="X1" s="1" t="s">
        <v>5701</v>
      </c>
      <c r="Y1" s="1" t="s">
        <v>5701</v>
      </c>
      <c r="Z1" s="1" t="s">
        <v>5701</v>
      </c>
      <c r="AA1" s="1" t="s">
        <v>5701</v>
      </c>
      <c r="AB1" s="1" t="s">
        <v>5701</v>
      </c>
      <c r="AC1" s="1" t="s">
        <v>5701</v>
      </c>
      <c r="AD1" s="1" t="s">
        <v>5701</v>
      </c>
      <c r="AE1" s="1" t="s">
        <v>5701</v>
      </c>
      <c r="AF1" s="1" t="s">
        <v>5701</v>
      </c>
      <c r="AG1" s="1" t="s">
        <v>5701</v>
      </c>
      <c r="AH1" s="1" t="s">
        <v>5701</v>
      </c>
      <c r="AI1" s="1" t="s">
        <v>5701</v>
      </c>
      <c r="AJ1" s="1" t="s">
        <v>5701</v>
      </c>
      <c r="AK1" s="1" t="s">
        <v>5701</v>
      </c>
      <c r="AL1" s="1" t="s">
        <v>5701</v>
      </c>
      <c r="AM1" s="1" t="s">
        <v>5701</v>
      </c>
      <c r="AN1" s="1" t="s">
        <v>5701</v>
      </c>
      <c r="AO1" s="1" t="s">
        <v>5701</v>
      </c>
      <c r="AP1" s="1" t="s">
        <v>5701</v>
      </c>
      <c r="AQ1" s="1" t="s">
        <v>5701</v>
      </c>
      <c r="AR1" s="1" t="s">
        <v>5701</v>
      </c>
    </row>
    <row r="2" ht="15.75" hidden="1" customHeight="1">
      <c r="A2" s="112">
        <v>45665.0</v>
      </c>
      <c r="B2" s="113" t="s">
        <v>5703</v>
      </c>
      <c r="C2" s="113" t="s">
        <v>5703</v>
      </c>
      <c r="D2" s="114" t="s">
        <v>1380</v>
      </c>
      <c r="E2" s="114">
        <v>5388863.0</v>
      </c>
      <c r="F2" s="114">
        <v>0.0</v>
      </c>
      <c r="G2" s="114" t="s">
        <v>5704</v>
      </c>
      <c r="H2" s="114" t="s">
        <v>5705</v>
      </c>
      <c r="I2" s="114" t="s">
        <v>13</v>
      </c>
      <c r="J2" s="114" t="s">
        <v>13</v>
      </c>
      <c r="K2" s="114" t="s">
        <v>12</v>
      </c>
      <c r="L2" s="114">
        <v>100.0</v>
      </c>
      <c r="M2" s="114">
        <v>1.0</v>
      </c>
      <c r="N2" s="1">
        <v>100.0</v>
      </c>
    </row>
    <row r="3" ht="15.75" hidden="1" customHeight="1">
      <c r="A3" s="115" t="s">
        <v>5706</v>
      </c>
      <c r="B3" s="116" t="s">
        <v>5707</v>
      </c>
      <c r="C3" s="115" t="s">
        <v>5706</v>
      </c>
      <c r="D3" s="117" t="s">
        <v>4</v>
      </c>
      <c r="E3" s="117">
        <v>1270458.0</v>
      </c>
      <c r="F3" s="118">
        <v>0.0</v>
      </c>
      <c r="G3" s="118" t="s">
        <v>5704</v>
      </c>
      <c r="H3" s="118" t="s">
        <v>5705</v>
      </c>
      <c r="I3" s="118" t="s">
        <v>209</v>
      </c>
      <c r="J3" s="118" t="s">
        <v>5708</v>
      </c>
      <c r="K3" s="119" t="s">
        <v>5709</v>
      </c>
      <c r="L3" s="120">
        <v>38.0</v>
      </c>
      <c r="M3" s="121">
        <v>0.846833333</v>
      </c>
      <c r="N3" s="1">
        <v>44.87305648</v>
      </c>
    </row>
    <row r="4" ht="15.75" customHeight="1">
      <c r="A4" s="113" t="s">
        <v>5706</v>
      </c>
      <c r="B4" s="122">
        <v>45969.0</v>
      </c>
      <c r="C4" s="113" t="s">
        <v>5706</v>
      </c>
      <c r="D4" s="123" t="s">
        <v>4</v>
      </c>
      <c r="E4" s="123">
        <v>1270458.0</v>
      </c>
      <c r="F4" s="124">
        <v>0.0</v>
      </c>
      <c r="G4" s="124" t="s">
        <v>5704</v>
      </c>
      <c r="H4" s="124" t="s">
        <v>5705</v>
      </c>
      <c r="I4" s="124" t="s">
        <v>209</v>
      </c>
      <c r="J4" s="124" t="s">
        <v>5708</v>
      </c>
      <c r="K4" s="125" t="s">
        <v>139</v>
      </c>
      <c r="L4" s="125">
        <v>147.0</v>
      </c>
      <c r="M4" s="126">
        <v>5.876</v>
      </c>
      <c r="N4" s="1">
        <v>25.01701838</v>
      </c>
    </row>
    <row r="5" ht="15.75" customHeight="1">
      <c r="A5" s="115" t="s">
        <v>5706</v>
      </c>
      <c r="B5" s="116" t="s">
        <v>5707</v>
      </c>
      <c r="C5" s="115" t="s">
        <v>5706</v>
      </c>
      <c r="D5" s="117" t="s">
        <v>4</v>
      </c>
      <c r="E5" s="117">
        <v>1270458.0</v>
      </c>
      <c r="F5" s="118">
        <v>0.0</v>
      </c>
      <c r="G5" s="118" t="s">
        <v>5704</v>
      </c>
      <c r="H5" s="118" t="s">
        <v>5705</v>
      </c>
      <c r="I5" s="118" t="s">
        <v>209</v>
      </c>
      <c r="J5" s="118" t="s">
        <v>5708</v>
      </c>
      <c r="K5" s="120" t="s">
        <v>139</v>
      </c>
      <c r="L5" s="120">
        <v>132.0</v>
      </c>
      <c r="M5" s="121">
        <v>5.626666667</v>
      </c>
      <c r="N5" s="1">
        <v>23.45971564</v>
      </c>
    </row>
    <row r="6" ht="15.75" hidden="1" customHeight="1">
      <c r="A6" s="113" t="s">
        <v>5706</v>
      </c>
      <c r="B6" s="122" t="s">
        <v>5707</v>
      </c>
      <c r="C6" s="113" t="s">
        <v>5706</v>
      </c>
      <c r="D6" s="123" t="s">
        <v>4</v>
      </c>
      <c r="E6" s="123">
        <v>1270458.0</v>
      </c>
      <c r="F6" s="124">
        <v>0.0</v>
      </c>
      <c r="G6" s="124" t="s">
        <v>5704</v>
      </c>
      <c r="H6" s="124" t="s">
        <v>5705</v>
      </c>
      <c r="I6" s="124" t="s">
        <v>209</v>
      </c>
      <c r="J6" s="124" t="s">
        <v>5708</v>
      </c>
      <c r="K6" s="125"/>
      <c r="L6" s="125">
        <v>127.0</v>
      </c>
      <c r="M6" s="126">
        <v>6.250333333</v>
      </c>
      <c r="N6" s="1">
        <v>20.31891632</v>
      </c>
    </row>
    <row r="7" ht="15.75" customHeight="1">
      <c r="A7" s="115" t="s">
        <v>5710</v>
      </c>
      <c r="B7" s="116" t="s">
        <v>5707</v>
      </c>
      <c r="C7" s="115" t="s">
        <v>5710</v>
      </c>
      <c r="D7" s="117" t="s">
        <v>4</v>
      </c>
      <c r="E7" s="117">
        <v>1270458.0</v>
      </c>
      <c r="F7" s="118">
        <v>0.0</v>
      </c>
      <c r="G7" s="118" t="s">
        <v>5704</v>
      </c>
      <c r="H7" s="118" t="s">
        <v>5705</v>
      </c>
      <c r="I7" s="118" t="s">
        <v>209</v>
      </c>
      <c r="J7" s="118" t="s">
        <v>5708</v>
      </c>
      <c r="K7" s="120" t="s">
        <v>139</v>
      </c>
      <c r="L7" s="120">
        <v>122.0</v>
      </c>
      <c r="M7" s="121">
        <v>5.9885</v>
      </c>
      <c r="N7" s="1">
        <v>20.3723804</v>
      </c>
    </row>
    <row r="8" ht="15.75" hidden="1" customHeight="1">
      <c r="A8" s="127">
        <v>45665.0</v>
      </c>
      <c r="B8" s="125" t="s">
        <v>5711</v>
      </c>
      <c r="C8" s="128">
        <v>45696.0</v>
      </c>
      <c r="D8" s="123" t="s">
        <v>4</v>
      </c>
      <c r="E8" s="123">
        <v>1270458.0</v>
      </c>
      <c r="F8" s="124">
        <v>0.0</v>
      </c>
      <c r="G8" s="124" t="s">
        <v>5712</v>
      </c>
      <c r="H8" s="124" t="s">
        <v>5705</v>
      </c>
      <c r="I8" s="124" t="s">
        <v>13</v>
      </c>
      <c r="J8" s="124" t="s">
        <v>5708</v>
      </c>
      <c r="K8" s="125" t="s">
        <v>147</v>
      </c>
      <c r="L8" s="125">
        <v>0.0</v>
      </c>
      <c r="M8" s="126">
        <v>1.0</v>
      </c>
      <c r="N8" s="1">
        <v>0.0</v>
      </c>
      <c r="O8" s="1">
        <v>0.0</v>
      </c>
    </row>
    <row r="9" ht="15.75" hidden="1" customHeight="1">
      <c r="A9" s="129">
        <v>45665.0</v>
      </c>
      <c r="B9" s="130" t="s">
        <v>5711</v>
      </c>
      <c r="C9" s="131">
        <v>45696.0</v>
      </c>
      <c r="D9" s="117" t="s">
        <v>4</v>
      </c>
      <c r="E9" s="117">
        <v>1270458.0</v>
      </c>
      <c r="F9" s="62">
        <v>0.0</v>
      </c>
      <c r="G9" s="62" t="s">
        <v>5712</v>
      </c>
      <c r="H9" s="62" t="s">
        <v>5705</v>
      </c>
      <c r="I9" s="62" t="s">
        <v>13</v>
      </c>
      <c r="J9" s="118" t="s">
        <v>5708</v>
      </c>
      <c r="K9" s="130" t="s">
        <v>160</v>
      </c>
      <c r="L9" s="130">
        <v>0.0</v>
      </c>
      <c r="M9" s="132">
        <v>1.0</v>
      </c>
      <c r="N9" s="1">
        <v>0.0</v>
      </c>
      <c r="O9" s="1">
        <v>0.0</v>
      </c>
    </row>
    <row r="10" ht="15.75" customHeight="1">
      <c r="A10" s="127">
        <v>45665.0</v>
      </c>
      <c r="B10" s="125" t="s">
        <v>5711</v>
      </c>
      <c r="C10" s="128">
        <v>45696.0</v>
      </c>
      <c r="D10" s="123" t="s">
        <v>4</v>
      </c>
      <c r="E10" s="123">
        <v>1270458.0</v>
      </c>
      <c r="F10" s="124">
        <v>0.0</v>
      </c>
      <c r="G10" s="124" t="s">
        <v>5712</v>
      </c>
      <c r="H10" s="124" t="s">
        <v>5705</v>
      </c>
      <c r="I10" s="124" t="s">
        <v>13</v>
      </c>
      <c r="J10" s="124" t="s">
        <v>5708</v>
      </c>
      <c r="K10" s="125" t="s">
        <v>139</v>
      </c>
      <c r="L10" s="125">
        <v>0.0</v>
      </c>
      <c r="M10" s="126">
        <v>0.009666667</v>
      </c>
      <c r="N10" s="1">
        <v>0.0</v>
      </c>
      <c r="O10" s="1">
        <v>0.0</v>
      </c>
    </row>
    <row r="11" ht="15.75" hidden="1" customHeight="1">
      <c r="A11" s="129">
        <v>45665.0</v>
      </c>
      <c r="B11" s="130" t="s">
        <v>5711</v>
      </c>
      <c r="C11" s="131">
        <v>45696.0</v>
      </c>
      <c r="D11" s="117" t="s">
        <v>4</v>
      </c>
      <c r="E11" s="117">
        <v>1270458.0</v>
      </c>
      <c r="F11" s="62">
        <v>0.0</v>
      </c>
      <c r="G11" s="62" t="s">
        <v>5712</v>
      </c>
      <c r="H11" s="62" t="s">
        <v>5705</v>
      </c>
      <c r="I11" s="62" t="s">
        <v>13</v>
      </c>
      <c r="J11" s="118" t="s">
        <v>5708</v>
      </c>
      <c r="K11" s="130" t="s">
        <v>160</v>
      </c>
      <c r="L11" s="130">
        <v>0.0</v>
      </c>
      <c r="M11" s="132">
        <v>7.0</v>
      </c>
      <c r="N11" s="1">
        <v>0.0</v>
      </c>
      <c r="O11" s="1">
        <v>0.0</v>
      </c>
    </row>
    <row r="12" ht="15.75" hidden="1" customHeight="1">
      <c r="A12" s="127">
        <v>45665.0</v>
      </c>
      <c r="B12" s="125" t="s">
        <v>5711</v>
      </c>
      <c r="C12" s="128">
        <v>45696.0</v>
      </c>
      <c r="D12" s="123" t="s">
        <v>4</v>
      </c>
      <c r="E12" s="123">
        <v>1270458.0</v>
      </c>
      <c r="F12" s="124">
        <v>0.0</v>
      </c>
      <c r="G12" s="124" t="s">
        <v>5712</v>
      </c>
      <c r="H12" s="124" t="s">
        <v>5705</v>
      </c>
      <c r="I12" s="124" t="s">
        <v>13</v>
      </c>
      <c r="J12" s="124" t="s">
        <v>5708</v>
      </c>
      <c r="K12" s="125" t="s">
        <v>160</v>
      </c>
      <c r="L12" s="125">
        <v>0.0</v>
      </c>
      <c r="M12" s="126">
        <v>108.0</v>
      </c>
      <c r="N12" s="1">
        <v>0.0</v>
      </c>
      <c r="O12" s="1">
        <v>0.0</v>
      </c>
    </row>
    <row r="13" ht="15.75" hidden="1" customHeight="1">
      <c r="A13" s="129">
        <v>45665.0</v>
      </c>
      <c r="B13" s="130" t="s">
        <v>5711</v>
      </c>
      <c r="C13" s="131">
        <v>45696.0</v>
      </c>
      <c r="D13" s="117" t="s">
        <v>4</v>
      </c>
      <c r="E13" s="117">
        <v>1270458.0</v>
      </c>
      <c r="F13" s="62">
        <v>0.0</v>
      </c>
      <c r="G13" s="62" t="s">
        <v>5712</v>
      </c>
      <c r="H13" s="62" t="s">
        <v>5705</v>
      </c>
      <c r="I13" s="62" t="s">
        <v>13</v>
      </c>
      <c r="J13" s="118" t="s">
        <v>5708</v>
      </c>
      <c r="K13" s="130" t="s">
        <v>160</v>
      </c>
      <c r="L13" s="130">
        <v>0.0</v>
      </c>
      <c r="M13" s="132">
        <v>2.0</v>
      </c>
      <c r="N13" s="1">
        <v>0.0</v>
      </c>
      <c r="O13" s="1">
        <v>0.0</v>
      </c>
    </row>
    <row r="14" ht="15.75" hidden="1" customHeight="1">
      <c r="A14" s="127">
        <v>45665.0</v>
      </c>
      <c r="B14" s="125" t="s">
        <v>5711</v>
      </c>
      <c r="C14" s="128">
        <v>45724.0</v>
      </c>
      <c r="D14" s="123" t="s">
        <v>4</v>
      </c>
      <c r="E14" s="123">
        <v>1270458.0</v>
      </c>
      <c r="F14" s="124">
        <v>0.0</v>
      </c>
      <c r="G14" s="124" t="s">
        <v>5712</v>
      </c>
      <c r="H14" s="124" t="s">
        <v>5705</v>
      </c>
      <c r="I14" s="124" t="s">
        <v>13</v>
      </c>
      <c r="J14" s="124" t="s">
        <v>5708</v>
      </c>
      <c r="K14" s="125" t="s">
        <v>160</v>
      </c>
      <c r="L14" s="124">
        <v>0.0</v>
      </c>
      <c r="M14" s="126">
        <v>1.0</v>
      </c>
      <c r="N14" s="1">
        <v>0.0</v>
      </c>
      <c r="O14" s="1">
        <v>0.0</v>
      </c>
    </row>
    <row r="15" ht="15.75" hidden="1" customHeight="1">
      <c r="A15" s="129">
        <v>45665.0</v>
      </c>
      <c r="B15" s="130" t="s">
        <v>5711</v>
      </c>
      <c r="C15" s="131">
        <v>45724.0</v>
      </c>
      <c r="D15" s="117" t="s">
        <v>4</v>
      </c>
      <c r="E15" s="117">
        <v>1270458.0</v>
      </c>
      <c r="F15" s="62">
        <v>0.0</v>
      </c>
      <c r="G15" s="62" t="s">
        <v>5712</v>
      </c>
      <c r="H15" s="62" t="s">
        <v>5705</v>
      </c>
      <c r="I15" s="62" t="s">
        <v>13</v>
      </c>
      <c r="J15" s="118" t="s">
        <v>5708</v>
      </c>
      <c r="K15" s="130" t="s">
        <v>147</v>
      </c>
      <c r="L15" s="130">
        <v>0.0</v>
      </c>
      <c r="M15" s="132">
        <v>3.0</v>
      </c>
      <c r="N15" s="1">
        <v>0.0</v>
      </c>
      <c r="O15" s="1">
        <v>0.0</v>
      </c>
    </row>
    <row r="16" ht="15.75" hidden="1" customHeight="1">
      <c r="A16" s="127">
        <v>45665.0</v>
      </c>
      <c r="B16" s="125" t="s">
        <v>5711</v>
      </c>
      <c r="C16" s="128">
        <v>45724.0</v>
      </c>
      <c r="D16" s="123" t="s">
        <v>4</v>
      </c>
      <c r="E16" s="123">
        <v>1270458.0</v>
      </c>
      <c r="F16" s="124">
        <v>0.0</v>
      </c>
      <c r="G16" s="124" t="s">
        <v>5712</v>
      </c>
      <c r="H16" s="124" t="s">
        <v>5705</v>
      </c>
      <c r="I16" s="124" t="s">
        <v>13</v>
      </c>
      <c r="J16" s="124" t="s">
        <v>5708</v>
      </c>
      <c r="K16" s="125" t="s">
        <v>160</v>
      </c>
      <c r="L16" s="124">
        <v>0.0</v>
      </c>
      <c r="M16" s="126">
        <v>3.0</v>
      </c>
      <c r="N16" s="1">
        <v>0.0</v>
      </c>
      <c r="O16" s="1">
        <v>0.0</v>
      </c>
    </row>
    <row r="17" ht="15.75" hidden="1" customHeight="1">
      <c r="A17" s="129">
        <v>45665.0</v>
      </c>
      <c r="B17" s="130" t="s">
        <v>5711</v>
      </c>
      <c r="C17" s="131">
        <v>45724.0</v>
      </c>
      <c r="D17" s="117" t="s">
        <v>4</v>
      </c>
      <c r="E17" s="117">
        <v>1270458.0</v>
      </c>
      <c r="F17" s="62">
        <v>0.0</v>
      </c>
      <c r="G17" s="62" t="s">
        <v>5712</v>
      </c>
      <c r="H17" s="62" t="s">
        <v>5705</v>
      </c>
      <c r="I17" s="62" t="s">
        <v>13</v>
      </c>
      <c r="J17" s="118" t="s">
        <v>5708</v>
      </c>
      <c r="K17" s="130" t="s">
        <v>163</v>
      </c>
      <c r="L17" s="62">
        <v>2.0</v>
      </c>
      <c r="M17" s="132"/>
      <c r="N17" s="1">
        <v>2.0</v>
      </c>
      <c r="O17" s="1" t="s">
        <v>5713</v>
      </c>
    </row>
    <row r="18" ht="15.75" hidden="1" customHeight="1">
      <c r="A18" s="127">
        <v>45665.0</v>
      </c>
      <c r="B18" s="125" t="s">
        <v>5711</v>
      </c>
      <c r="C18" s="128">
        <v>45724.0</v>
      </c>
      <c r="D18" s="123" t="s">
        <v>4</v>
      </c>
      <c r="E18" s="123">
        <v>1270458.0</v>
      </c>
      <c r="F18" s="124">
        <v>0.0</v>
      </c>
      <c r="G18" s="124" t="s">
        <v>5712</v>
      </c>
      <c r="H18" s="124" t="s">
        <v>5705</v>
      </c>
      <c r="I18" s="124" t="s">
        <v>13</v>
      </c>
      <c r="J18" s="124" t="s">
        <v>5708</v>
      </c>
      <c r="K18" s="125" t="s">
        <v>154</v>
      </c>
      <c r="L18" s="125">
        <v>10500.0</v>
      </c>
      <c r="M18" s="126">
        <v>184.0</v>
      </c>
      <c r="N18" s="1">
        <v>57.06521739</v>
      </c>
      <c r="O18" s="1">
        <v>57.06521739</v>
      </c>
    </row>
    <row r="19" ht="15.75" hidden="1" customHeight="1">
      <c r="A19" s="129">
        <v>45665.0</v>
      </c>
      <c r="B19" s="130" t="s">
        <v>5711</v>
      </c>
      <c r="C19" s="131">
        <v>45724.0</v>
      </c>
      <c r="D19" s="117" t="s">
        <v>4</v>
      </c>
      <c r="E19" s="117">
        <v>1270458.0</v>
      </c>
      <c r="F19" s="62">
        <v>0.0</v>
      </c>
      <c r="G19" s="62" t="s">
        <v>5712</v>
      </c>
      <c r="H19" s="62" t="s">
        <v>5705</v>
      </c>
      <c r="I19" s="62" t="s">
        <v>13</v>
      </c>
      <c r="J19" s="118" t="s">
        <v>5708</v>
      </c>
      <c r="K19" s="130" t="s">
        <v>160</v>
      </c>
      <c r="L19" s="130">
        <v>0.0</v>
      </c>
      <c r="M19" s="133">
        <v>151.0</v>
      </c>
      <c r="N19" s="1">
        <v>0.0</v>
      </c>
      <c r="O19" s="1">
        <v>0.0</v>
      </c>
    </row>
    <row r="20" ht="15.75" hidden="1" customHeight="1">
      <c r="A20" s="127">
        <v>45665.0</v>
      </c>
      <c r="B20" s="125" t="s">
        <v>5711</v>
      </c>
      <c r="C20" s="128">
        <v>45724.0</v>
      </c>
      <c r="D20" s="123" t="s">
        <v>4</v>
      </c>
      <c r="E20" s="123">
        <v>1270458.0</v>
      </c>
      <c r="F20" s="124">
        <v>0.0</v>
      </c>
      <c r="G20" s="124" t="s">
        <v>5712</v>
      </c>
      <c r="H20" s="124" t="s">
        <v>5705</v>
      </c>
      <c r="I20" s="124" t="s">
        <v>13</v>
      </c>
      <c r="J20" s="124" t="s">
        <v>5708</v>
      </c>
      <c r="K20" s="125" t="s">
        <v>163</v>
      </c>
      <c r="L20" s="125">
        <v>138.0</v>
      </c>
      <c r="M20" s="126"/>
      <c r="N20" s="1">
        <v>138.0</v>
      </c>
      <c r="O20" s="1" t="s">
        <v>5713</v>
      </c>
    </row>
    <row r="21" ht="15.75" customHeight="1">
      <c r="A21" s="129">
        <v>45665.0</v>
      </c>
      <c r="B21" s="130" t="s">
        <v>5711</v>
      </c>
      <c r="C21" s="131">
        <v>45724.0</v>
      </c>
      <c r="D21" s="117" t="s">
        <v>4</v>
      </c>
      <c r="E21" s="117">
        <v>1270458.0</v>
      </c>
      <c r="F21" s="62">
        <v>0.0</v>
      </c>
      <c r="G21" s="62" t="s">
        <v>5712</v>
      </c>
      <c r="H21" s="62" t="s">
        <v>5705</v>
      </c>
      <c r="I21" s="62" t="s">
        <v>13</v>
      </c>
      <c r="J21" s="118" t="s">
        <v>5708</v>
      </c>
      <c r="K21" s="130" t="s">
        <v>139</v>
      </c>
      <c r="L21" s="62">
        <v>97.0</v>
      </c>
      <c r="M21" s="132">
        <v>6.517333333</v>
      </c>
      <c r="N21" s="1">
        <v>14.88338789</v>
      </c>
      <c r="O21" s="1">
        <v>14.88338789</v>
      </c>
    </row>
    <row r="22" ht="15.75" hidden="1" customHeight="1">
      <c r="A22" s="127">
        <v>45665.0</v>
      </c>
      <c r="B22" s="125" t="s">
        <v>5711</v>
      </c>
      <c r="C22" s="128">
        <v>45724.0</v>
      </c>
      <c r="D22" s="123" t="s">
        <v>4</v>
      </c>
      <c r="E22" s="123">
        <v>1270458.0</v>
      </c>
      <c r="F22" s="124">
        <v>0.0</v>
      </c>
      <c r="G22" s="124" t="s">
        <v>5712</v>
      </c>
      <c r="H22" s="124" t="s">
        <v>5705</v>
      </c>
      <c r="I22" s="124" t="s">
        <v>13</v>
      </c>
      <c r="J22" s="124" t="s">
        <v>5708</v>
      </c>
      <c r="K22" s="125" t="s">
        <v>147</v>
      </c>
      <c r="L22" s="124">
        <v>0.0</v>
      </c>
      <c r="M22" s="126">
        <v>3.0</v>
      </c>
      <c r="N22" s="1">
        <v>0.0</v>
      </c>
      <c r="O22" s="1">
        <v>0.0</v>
      </c>
    </row>
    <row r="23" ht="15.75" hidden="1" customHeight="1">
      <c r="A23" s="129">
        <v>45665.0</v>
      </c>
      <c r="B23" s="130" t="s">
        <v>5711</v>
      </c>
      <c r="C23" s="131">
        <v>45724.0</v>
      </c>
      <c r="D23" s="117" t="s">
        <v>4</v>
      </c>
      <c r="E23" s="117">
        <v>1270458.0</v>
      </c>
      <c r="F23" s="62">
        <v>0.0</v>
      </c>
      <c r="G23" s="62" t="s">
        <v>5712</v>
      </c>
      <c r="H23" s="62" t="s">
        <v>5705</v>
      </c>
      <c r="I23" s="62" t="s">
        <v>13</v>
      </c>
      <c r="J23" s="118" t="s">
        <v>5708</v>
      </c>
      <c r="K23" s="130" t="s">
        <v>163</v>
      </c>
      <c r="L23" s="130">
        <v>3.0</v>
      </c>
      <c r="M23" s="133"/>
      <c r="N23" s="1">
        <v>3.0</v>
      </c>
      <c r="O23" s="1" t="s">
        <v>5713</v>
      </c>
    </row>
    <row r="24" ht="15.75" hidden="1" customHeight="1">
      <c r="A24" s="127">
        <v>45665.0</v>
      </c>
      <c r="B24" s="125" t="s">
        <v>5711</v>
      </c>
      <c r="C24" s="128">
        <v>45724.0</v>
      </c>
      <c r="D24" s="123" t="s">
        <v>4</v>
      </c>
      <c r="E24" s="123">
        <v>1270458.0</v>
      </c>
      <c r="F24" s="124">
        <v>0.0</v>
      </c>
      <c r="G24" s="124" t="s">
        <v>5712</v>
      </c>
      <c r="H24" s="124" t="s">
        <v>5705</v>
      </c>
      <c r="I24" s="124" t="s">
        <v>13</v>
      </c>
      <c r="J24" s="124" t="s">
        <v>5708</v>
      </c>
      <c r="K24" s="125" t="s">
        <v>153</v>
      </c>
      <c r="L24" s="124">
        <v>0.37</v>
      </c>
      <c r="M24" s="126">
        <v>0.0</v>
      </c>
      <c r="N24" s="1"/>
      <c r="O24" s="1" t="s">
        <v>5713</v>
      </c>
    </row>
    <row r="25" ht="15.75" hidden="1" customHeight="1">
      <c r="A25" s="129">
        <v>45665.0</v>
      </c>
      <c r="B25" s="130" t="s">
        <v>5711</v>
      </c>
      <c r="C25" s="131">
        <v>45696.0</v>
      </c>
      <c r="D25" s="117" t="s">
        <v>4</v>
      </c>
      <c r="E25" s="117">
        <v>1270458.0</v>
      </c>
      <c r="F25" s="62">
        <v>0.0</v>
      </c>
      <c r="G25" s="62" t="s">
        <v>5712</v>
      </c>
      <c r="H25" s="62" t="s">
        <v>5705</v>
      </c>
      <c r="I25" s="62" t="s">
        <v>13</v>
      </c>
      <c r="J25" s="118" t="s">
        <v>5708</v>
      </c>
      <c r="K25" s="130" t="s">
        <v>153</v>
      </c>
      <c r="L25" s="62">
        <v>0.58</v>
      </c>
      <c r="M25" s="132">
        <v>0.0</v>
      </c>
      <c r="N25" s="1"/>
      <c r="O25" s="1" t="s">
        <v>5713</v>
      </c>
    </row>
    <row r="26" ht="15.75" hidden="1" customHeight="1">
      <c r="A26" s="127">
        <v>45665.0</v>
      </c>
      <c r="B26" s="125" t="s">
        <v>5711</v>
      </c>
      <c r="C26" s="128">
        <v>45696.0</v>
      </c>
      <c r="D26" s="123" t="s">
        <v>4</v>
      </c>
      <c r="E26" s="123">
        <v>1270458.0</v>
      </c>
      <c r="F26" s="124">
        <v>0.0</v>
      </c>
      <c r="G26" s="124" t="s">
        <v>5712</v>
      </c>
      <c r="H26" s="124" t="s">
        <v>5705</v>
      </c>
      <c r="I26" s="124" t="s">
        <v>13</v>
      </c>
      <c r="J26" s="124" t="s">
        <v>5708</v>
      </c>
      <c r="K26" s="125" t="s">
        <v>142</v>
      </c>
      <c r="L26" s="125">
        <v>1.0</v>
      </c>
      <c r="M26" s="134"/>
      <c r="N26" s="1">
        <v>1.0</v>
      </c>
      <c r="O26" s="1" t="s">
        <v>5713</v>
      </c>
    </row>
    <row r="27" ht="15.75" customHeight="1">
      <c r="A27" s="129">
        <v>45665.0</v>
      </c>
      <c r="B27" s="130" t="s">
        <v>5711</v>
      </c>
      <c r="C27" s="131">
        <v>45696.0</v>
      </c>
      <c r="D27" s="117" t="s">
        <v>4</v>
      </c>
      <c r="E27" s="117">
        <v>1270458.0</v>
      </c>
      <c r="F27" s="62">
        <v>0.0</v>
      </c>
      <c r="G27" s="62" t="s">
        <v>5712</v>
      </c>
      <c r="H27" s="62" t="s">
        <v>5705</v>
      </c>
      <c r="I27" s="62" t="s">
        <v>13</v>
      </c>
      <c r="J27" s="118" t="s">
        <v>5708</v>
      </c>
      <c r="K27" s="130" t="s">
        <v>139</v>
      </c>
      <c r="L27" s="130">
        <v>81.0</v>
      </c>
      <c r="M27" s="132">
        <v>5.0585</v>
      </c>
      <c r="N27" s="1">
        <v>16.01265197</v>
      </c>
      <c r="O27" s="1">
        <v>16.01265197</v>
      </c>
    </row>
    <row r="28" ht="15.75" hidden="1" customHeight="1">
      <c r="A28" s="127">
        <v>45665.0</v>
      </c>
      <c r="B28" s="125" t="s">
        <v>5711</v>
      </c>
      <c r="C28" s="128">
        <v>45696.0</v>
      </c>
      <c r="D28" s="123" t="s">
        <v>4</v>
      </c>
      <c r="E28" s="123">
        <v>1270458.0</v>
      </c>
      <c r="F28" s="124">
        <v>0.0</v>
      </c>
      <c r="G28" s="124" t="s">
        <v>5712</v>
      </c>
      <c r="H28" s="124" t="s">
        <v>5705</v>
      </c>
      <c r="I28" s="124" t="s">
        <v>13</v>
      </c>
      <c r="J28" s="124" t="s">
        <v>5708</v>
      </c>
      <c r="K28" s="125" t="s">
        <v>147</v>
      </c>
      <c r="L28" s="124">
        <v>0.0</v>
      </c>
      <c r="M28" s="126">
        <v>1.0</v>
      </c>
      <c r="N28" s="1">
        <v>0.0</v>
      </c>
      <c r="O28" s="1">
        <v>0.0</v>
      </c>
    </row>
    <row r="29" ht="15.75" hidden="1" customHeight="1">
      <c r="A29" s="129">
        <v>45665.0</v>
      </c>
      <c r="B29" s="130" t="s">
        <v>5711</v>
      </c>
      <c r="C29" s="131">
        <v>45696.0</v>
      </c>
      <c r="D29" s="117" t="s">
        <v>4</v>
      </c>
      <c r="E29" s="117">
        <v>1270458.0</v>
      </c>
      <c r="F29" s="62">
        <v>0.0</v>
      </c>
      <c r="G29" s="62" t="s">
        <v>5712</v>
      </c>
      <c r="H29" s="62" t="s">
        <v>5705</v>
      </c>
      <c r="I29" s="62" t="s">
        <v>13</v>
      </c>
      <c r="J29" s="118" t="s">
        <v>5708</v>
      </c>
      <c r="K29" s="130" t="s">
        <v>160</v>
      </c>
      <c r="L29" s="130">
        <v>0.0</v>
      </c>
      <c r="M29" s="132">
        <v>1.0</v>
      </c>
      <c r="N29" s="1">
        <v>0.0</v>
      </c>
      <c r="O29" s="1">
        <v>0.0</v>
      </c>
    </row>
    <row r="30" ht="15.75" hidden="1" customHeight="1">
      <c r="A30" s="127">
        <v>45665.0</v>
      </c>
      <c r="B30" s="125" t="s">
        <v>5711</v>
      </c>
      <c r="C30" s="128">
        <v>45696.0</v>
      </c>
      <c r="D30" s="123" t="s">
        <v>4</v>
      </c>
      <c r="E30" s="123">
        <v>1270458.0</v>
      </c>
      <c r="F30" s="124">
        <v>0.0</v>
      </c>
      <c r="G30" s="124" t="s">
        <v>5712</v>
      </c>
      <c r="H30" s="124" t="s">
        <v>5705</v>
      </c>
      <c r="I30" s="124" t="s">
        <v>13</v>
      </c>
      <c r="J30" s="124" t="s">
        <v>5708</v>
      </c>
      <c r="K30" s="125" t="s">
        <v>147</v>
      </c>
      <c r="L30" s="124">
        <v>0.0</v>
      </c>
      <c r="M30" s="126">
        <v>1.0</v>
      </c>
      <c r="N30" s="1">
        <v>0.0</v>
      </c>
      <c r="O30" s="1">
        <v>0.0</v>
      </c>
    </row>
    <row r="31" ht="15.75" hidden="1" customHeight="1">
      <c r="A31" s="129">
        <v>45665.0</v>
      </c>
      <c r="B31" s="130" t="s">
        <v>5711</v>
      </c>
      <c r="C31" s="131">
        <v>45696.0</v>
      </c>
      <c r="D31" s="117" t="s">
        <v>4</v>
      </c>
      <c r="E31" s="117">
        <v>1270458.0</v>
      </c>
      <c r="F31" s="62">
        <v>0.0</v>
      </c>
      <c r="G31" s="62" t="s">
        <v>5712</v>
      </c>
      <c r="H31" s="62" t="s">
        <v>5705</v>
      </c>
      <c r="I31" s="62" t="s">
        <v>13</v>
      </c>
      <c r="J31" s="118" t="s">
        <v>5708</v>
      </c>
      <c r="K31" s="130" t="s">
        <v>156</v>
      </c>
      <c r="L31" s="130">
        <v>3500.0</v>
      </c>
      <c r="M31" s="132">
        <v>81.0</v>
      </c>
      <c r="N31" s="1">
        <v>43.20987654</v>
      </c>
      <c r="O31" s="1">
        <v>43.20987654</v>
      </c>
    </row>
    <row r="32" ht="15.75" hidden="1" customHeight="1">
      <c r="A32" s="127">
        <v>45665.0</v>
      </c>
      <c r="B32" s="125" t="s">
        <v>5711</v>
      </c>
      <c r="C32" s="128">
        <v>45696.0</v>
      </c>
      <c r="D32" s="123" t="s">
        <v>4</v>
      </c>
      <c r="E32" s="123">
        <v>1270458.0</v>
      </c>
      <c r="F32" s="124">
        <v>0.0</v>
      </c>
      <c r="G32" s="124" t="s">
        <v>5712</v>
      </c>
      <c r="H32" s="124" t="s">
        <v>5705</v>
      </c>
      <c r="I32" s="124" t="s">
        <v>13</v>
      </c>
      <c r="J32" s="124" t="s">
        <v>5708</v>
      </c>
      <c r="K32" s="125" t="s">
        <v>160</v>
      </c>
      <c r="L32" s="124">
        <v>0.0</v>
      </c>
      <c r="M32" s="126">
        <v>1.0</v>
      </c>
      <c r="N32" s="1">
        <v>0.0</v>
      </c>
      <c r="O32" s="1">
        <v>0.0</v>
      </c>
    </row>
    <row r="33" ht="15.75" hidden="1" customHeight="1">
      <c r="A33" s="129">
        <v>45665.0</v>
      </c>
      <c r="B33" s="130" t="s">
        <v>5711</v>
      </c>
      <c r="C33" s="131">
        <v>45696.0</v>
      </c>
      <c r="D33" s="117" t="s">
        <v>4</v>
      </c>
      <c r="E33" s="117">
        <v>1270458.0</v>
      </c>
      <c r="F33" s="62">
        <v>0.0</v>
      </c>
      <c r="G33" s="62" t="s">
        <v>5712</v>
      </c>
      <c r="H33" s="62" t="s">
        <v>5705</v>
      </c>
      <c r="I33" s="62" t="s">
        <v>13</v>
      </c>
      <c r="J33" s="118" t="s">
        <v>5708</v>
      </c>
      <c r="K33" s="130" t="s">
        <v>147</v>
      </c>
      <c r="L33" s="130">
        <v>0.0</v>
      </c>
      <c r="M33" s="132">
        <v>1.0</v>
      </c>
      <c r="N33" s="1">
        <v>0.0</v>
      </c>
      <c r="O33" s="1">
        <v>0.0</v>
      </c>
    </row>
    <row r="34" ht="15.75" hidden="1" customHeight="1">
      <c r="A34" s="127">
        <v>45665.0</v>
      </c>
      <c r="B34" s="125" t="s">
        <v>5711</v>
      </c>
      <c r="C34" s="128">
        <v>45696.0</v>
      </c>
      <c r="D34" s="123" t="s">
        <v>4</v>
      </c>
      <c r="E34" s="123">
        <v>1270458.0</v>
      </c>
      <c r="F34" s="124">
        <v>0.0</v>
      </c>
      <c r="G34" s="124" t="s">
        <v>5712</v>
      </c>
      <c r="H34" s="124" t="s">
        <v>5705</v>
      </c>
      <c r="I34" s="124" t="s">
        <v>13</v>
      </c>
      <c r="J34" s="124" t="s">
        <v>5708</v>
      </c>
      <c r="K34" s="125" t="s">
        <v>142</v>
      </c>
      <c r="L34" s="125">
        <v>1.0</v>
      </c>
      <c r="M34" s="126"/>
      <c r="N34" s="1">
        <v>1.0</v>
      </c>
      <c r="O34" s="1" t="s">
        <v>5713</v>
      </c>
    </row>
    <row r="35" ht="15.75" customHeight="1">
      <c r="A35" s="129">
        <v>45665.0</v>
      </c>
      <c r="B35" s="130" t="s">
        <v>5711</v>
      </c>
      <c r="C35" s="131">
        <v>45696.0</v>
      </c>
      <c r="D35" s="117" t="s">
        <v>4</v>
      </c>
      <c r="E35" s="117">
        <v>1270458.0</v>
      </c>
      <c r="F35" s="62">
        <v>0.0</v>
      </c>
      <c r="G35" s="62" t="s">
        <v>5712</v>
      </c>
      <c r="H35" s="62" t="s">
        <v>5705</v>
      </c>
      <c r="I35" s="62" t="s">
        <v>13</v>
      </c>
      <c r="J35" s="118" t="s">
        <v>5708</v>
      </c>
      <c r="K35" s="130" t="s">
        <v>139</v>
      </c>
      <c r="L35" s="130">
        <v>1.0</v>
      </c>
      <c r="M35" s="132">
        <v>0.0</v>
      </c>
      <c r="N35" s="1"/>
      <c r="O35" s="1" t="s">
        <v>5713</v>
      </c>
    </row>
    <row r="36" ht="15.75" hidden="1" customHeight="1">
      <c r="A36" s="127">
        <v>45665.0</v>
      </c>
      <c r="B36" s="125" t="s">
        <v>5711</v>
      </c>
      <c r="C36" s="128">
        <v>45696.0</v>
      </c>
      <c r="D36" s="123" t="s">
        <v>4</v>
      </c>
      <c r="E36" s="123">
        <v>1270458.0</v>
      </c>
      <c r="F36" s="124">
        <v>0.0</v>
      </c>
      <c r="G36" s="124" t="s">
        <v>5712</v>
      </c>
      <c r="H36" s="124" t="s">
        <v>5705</v>
      </c>
      <c r="I36" s="124" t="s">
        <v>13</v>
      </c>
      <c r="J36" s="124" t="s">
        <v>5708</v>
      </c>
      <c r="K36" s="125" t="s">
        <v>163</v>
      </c>
      <c r="L36" s="125">
        <v>1.0</v>
      </c>
      <c r="M36" s="126"/>
      <c r="N36" s="1">
        <v>1.0</v>
      </c>
      <c r="O36" s="1" t="s">
        <v>5713</v>
      </c>
    </row>
    <row r="37" ht="15.75" hidden="1" customHeight="1">
      <c r="A37" s="129">
        <v>45665.0</v>
      </c>
      <c r="B37" s="130" t="s">
        <v>5711</v>
      </c>
      <c r="C37" s="131">
        <v>45696.0</v>
      </c>
      <c r="D37" s="117" t="s">
        <v>4</v>
      </c>
      <c r="E37" s="117">
        <v>1270458.0</v>
      </c>
      <c r="F37" s="62">
        <v>0.0</v>
      </c>
      <c r="G37" s="62" t="s">
        <v>5712</v>
      </c>
      <c r="H37" s="62" t="s">
        <v>5705</v>
      </c>
      <c r="I37" s="62" t="s">
        <v>13</v>
      </c>
      <c r="J37" s="118" t="s">
        <v>5708</v>
      </c>
      <c r="K37" s="130" t="s">
        <v>153</v>
      </c>
      <c r="L37" s="130">
        <v>303.51</v>
      </c>
      <c r="M37" s="132">
        <v>81.0</v>
      </c>
      <c r="N37" s="1">
        <v>3.747037037</v>
      </c>
      <c r="O37" s="1">
        <v>3.747037037</v>
      </c>
    </row>
    <row r="38" ht="15.75" hidden="1" customHeight="1">
      <c r="A38" s="127">
        <v>45665.0</v>
      </c>
      <c r="B38" s="125" t="s">
        <v>5711</v>
      </c>
      <c r="C38" s="128">
        <v>45696.0</v>
      </c>
      <c r="D38" s="123" t="s">
        <v>4</v>
      </c>
      <c r="E38" s="123">
        <v>1270458.0</v>
      </c>
      <c r="F38" s="124">
        <v>0.0</v>
      </c>
      <c r="G38" s="124" t="s">
        <v>5712</v>
      </c>
      <c r="H38" s="124" t="s">
        <v>5705</v>
      </c>
      <c r="I38" s="124" t="s">
        <v>13</v>
      </c>
      <c r="J38" s="124" t="s">
        <v>5708</v>
      </c>
      <c r="K38" s="125" t="s">
        <v>160</v>
      </c>
      <c r="L38" s="125">
        <v>0.0</v>
      </c>
      <c r="M38" s="126">
        <v>3.0</v>
      </c>
      <c r="N38" s="1">
        <v>0.0</v>
      </c>
      <c r="O38" s="1">
        <v>0.0</v>
      </c>
    </row>
    <row r="39" ht="15.75" hidden="1" customHeight="1">
      <c r="A39" s="129">
        <v>45665.0</v>
      </c>
      <c r="B39" s="130" t="s">
        <v>5711</v>
      </c>
      <c r="C39" s="131">
        <v>45696.0</v>
      </c>
      <c r="D39" s="117" t="s">
        <v>4</v>
      </c>
      <c r="E39" s="117">
        <v>1270458.0</v>
      </c>
      <c r="F39" s="62">
        <v>0.0</v>
      </c>
      <c r="G39" s="62" t="s">
        <v>5712</v>
      </c>
      <c r="H39" s="62" t="s">
        <v>5705</v>
      </c>
      <c r="I39" s="62" t="s">
        <v>13</v>
      </c>
      <c r="J39" s="118" t="s">
        <v>5708</v>
      </c>
      <c r="K39" s="130" t="s">
        <v>147</v>
      </c>
      <c r="L39" s="130">
        <v>0.0</v>
      </c>
      <c r="M39" s="132">
        <v>2.0</v>
      </c>
      <c r="N39" s="1">
        <v>0.0</v>
      </c>
      <c r="O39" s="1">
        <v>0.0</v>
      </c>
    </row>
    <row r="40" ht="15.75" hidden="1" customHeight="1">
      <c r="A40" s="127">
        <v>45665.0</v>
      </c>
      <c r="B40" s="125" t="s">
        <v>5711</v>
      </c>
      <c r="C40" s="128">
        <v>45696.0</v>
      </c>
      <c r="D40" s="123" t="s">
        <v>4</v>
      </c>
      <c r="E40" s="123">
        <v>1270458.0</v>
      </c>
      <c r="F40" s="124">
        <v>0.0</v>
      </c>
      <c r="G40" s="124" t="s">
        <v>5712</v>
      </c>
      <c r="H40" s="124" t="s">
        <v>5705</v>
      </c>
      <c r="I40" s="124" t="s">
        <v>13</v>
      </c>
      <c r="J40" s="124" t="s">
        <v>5708</v>
      </c>
      <c r="K40" s="125" t="s">
        <v>163</v>
      </c>
      <c r="L40" s="125">
        <v>7.0</v>
      </c>
      <c r="M40" s="126"/>
      <c r="N40" s="1">
        <v>7.0</v>
      </c>
      <c r="O40" s="1" t="s">
        <v>5713</v>
      </c>
    </row>
    <row r="41" ht="15.75" hidden="1" customHeight="1">
      <c r="A41" s="129">
        <v>45665.0</v>
      </c>
      <c r="B41" s="130" t="s">
        <v>5711</v>
      </c>
      <c r="C41" s="131">
        <v>45696.0</v>
      </c>
      <c r="D41" s="117" t="s">
        <v>4</v>
      </c>
      <c r="E41" s="117">
        <v>1270458.0</v>
      </c>
      <c r="F41" s="62">
        <v>0.0</v>
      </c>
      <c r="G41" s="62" t="s">
        <v>5712</v>
      </c>
      <c r="H41" s="62" t="s">
        <v>5705</v>
      </c>
      <c r="I41" s="118" t="s">
        <v>5708</v>
      </c>
      <c r="J41" s="118" t="s">
        <v>5708</v>
      </c>
      <c r="K41" s="130" t="s">
        <v>7</v>
      </c>
      <c r="L41" s="130">
        <v>300.0</v>
      </c>
      <c r="M41" s="132">
        <v>16.0</v>
      </c>
      <c r="N41" s="1">
        <v>18.75</v>
      </c>
      <c r="O41" s="1">
        <v>18.75</v>
      </c>
    </row>
    <row r="42" ht="15.75" hidden="1" customHeight="1">
      <c r="A42" s="127">
        <v>45665.0</v>
      </c>
      <c r="B42" s="125" t="s">
        <v>5711</v>
      </c>
      <c r="C42" s="128">
        <v>45696.0</v>
      </c>
      <c r="D42" s="123" t="s">
        <v>4</v>
      </c>
      <c r="E42" s="123">
        <v>1270458.0</v>
      </c>
      <c r="F42" s="124">
        <v>0.0</v>
      </c>
      <c r="G42" s="124" t="s">
        <v>5712</v>
      </c>
      <c r="H42" s="124" t="s">
        <v>5705</v>
      </c>
      <c r="I42" s="124" t="s">
        <v>13</v>
      </c>
      <c r="J42" s="124" t="s">
        <v>5708</v>
      </c>
      <c r="K42" s="125" t="s">
        <v>147</v>
      </c>
      <c r="L42" s="125">
        <v>900.0</v>
      </c>
      <c r="M42" s="126">
        <v>108.0</v>
      </c>
      <c r="N42" s="1">
        <v>8.333333333</v>
      </c>
      <c r="O42" s="1">
        <v>8.333333333</v>
      </c>
    </row>
    <row r="43" ht="15.75" hidden="1" customHeight="1">
      <c r="A43" s="129">
        <v>45665.0</v>
      </c>
      <c r="B43" s="130" t="s">
        <v>5711</v>
      </c>
      <c r="C43" s="131">
        <v>45696.0</v>
      </c>
      <c r="D43" s="117" t="s">
        <v>4</v>
      </c>
      <c r="E43" s="117">
        <v>1270458.0</v>
      </c>
      <c r="F43" s="62">
        <v>0.0</v>
      </c>
      <c r="G43" s="62" t="s">
        <v>5712</v>
      </c>
      <c r="H43" s="62" t="s">
        <v>5705</v>
      </c>
      <c r="I43" s="62" t="s">
        <v>13</v>
      </c>
      <c r="J43" s="118" t="s">
        <v>5708</v>
      </c>
      <c r="K43" s="130" t="s">
        <v>155</v>
      </c>
      <c r="L43" s="130">
        <v>58.0</v>
      </c>
      <c r="M43" s="132">
        <v>16.0</v>
      </c>
      <c r="N43" s="1">
        <v>3.625</v>
      </c>
      <c r="O43" s="1">
        <v>3.625</v>
      </c>
    </row>
    <row r="44" ht="15.75" customHeight="1">
      <c r="A44" s="127">
        <v>45665.0</v>
      </c>
      <c r="B44" s="125" t="s">
        <v>5711</v>
      </c>
      <c r="C44" s="128">
        <v>45696.0</v>
      </c>
      <c r="D44" s="123" t="s">
        <v>4</v>
      </c>
      <c r="E44" s="123">
        <v>1270458.0</v>
      </c>
      <c r="F44" s="124">
        <v>0.0</v>
      </c>
      <c r="G44" s="124" t="s">
        <v>5712</v>
      </c>
      <c r="H44" s="124" t="s">
        <v>5705</v>
      </c>
      <c r="I44" s="124" t="s">
        <v>13</v>
      </c>
      <c r="J44" s="124" t="s">
        <v>5708</v>
      </c>
      <c r="K44" s="125" t="s">
        <v>139</v>
      </c>
      <c r="L44" s="125">
        <v>0.0</v>
      </c>
      <c r="M44" s="126">
        <v>0.011333333</v>
      </c>
      <c r="N44" s="1">
        <v>0.0</v>
      </c>
      <c r="O44" s="1">
        <v>0.0</v>
      </c>
    </row>
    <row r="45" ht="15.75" hidden="1" customHeight="1">
      <c r="A45" s="129">
        <v>45665.0</v>
      </c>
      <c r="B45" s="130" t="s">
        <v>5711</v>
      </c>
      <c r="C45" s="131">
        <v>45696.0</v>
      </c>
      <c r="D45" s="117" t="s">
        <v>4</v>
      </c>
      <c r="E45" s="117">
        <v>1270458.0</v>
      </c>
      <c r="F45" s="62">
        <v>0.0</v>
      </c>
      <c r="G45" s="62" t="s">
        <v>5712</v>
      </c>
      <c r="H45" s="62" t="s">
        <v>5705</v>
      </c>
      <c r="I45" s="62" t="s">
        <v>13</v>
      </c>
      <c r="J45" s="118" t="s">
        <v>5708</v>
      </c>
      <c r="K45" s="130" t="s">
        <v>153</v>
      </c>
      <c r="L45" s="130">
        <v>0.0</v>
      </c>
      <c r="M45" s="132">
        <v>1.0</v>
      </c>
      <c r="N45" s="1">
        <v>0.0</v>
      </c>
      <c r="O45" s="1">
        <v>0.0</v>
      </c>
    </row>
    <row r="46" ht="15.75" hidden="1" customHeight="1">
      <c r="A46" s="127">
        <v>45665.0</v>
      </c>
      <c r="B46" s="125" t="s">
        <v>5711</v>
      </c>
      <c r="C46" s="128">
        <v>45696.0</v>
      </c>
      <c r="D46" s="123" t="s">
        <v>4</v>
      </c>
      <c r="E46" s="123">
        <v>1270458.0</v>
      </c>
      <c r="F46" s="124">
        <v>0.0</v>
      </c>
      <c r="G46" s="124" t="s">
        <v>5712</v>
      </c>
      <c r="H46" s="124" t="s">
        <v>5705</v>
      </c>
      <c r="I46" s="124" t="s">
        <v>13</v>
      </c>
      <c r="J46" s="124" t="s">
        <v>5708</v>
      </c>
      <c r="K46" s="125" t="s">
        <v>163</v>
      </c>
      <c r="L46" s="125">
        <v>2.0</v>
      </c>
      <c r="M46" s="126"/>
      <c r="N46" s="1">
        <v>2.0</v>
      </c>
      <c r="O46" s="1" t="s">
        <v>5713</v>
      </c>
    </row>
    <row r="47" ht="15.75" hidden="1" customHeight="1">
      <c r="A47" s="129">
        <v>45665.0</v>
      </c>
      <c r="B47" s="130" t="s">
        <v>5711</v>
      </c>
      <c r="C47" s="131">
        <v>45696.0</v>
      </c>
      <c r="D47" s="117" t="s">
        <v>4</v>
      </c>
      <c r="E47" s="117">
        <v>1270458.0</v>
      </c>
      <c r="F47" s="62">
        <v>0.0</v>
      </c>
      <c r="G47" s="62" t="s">
        <v>5712</v>
      </c>
      <c r="H47" s="62" t="s">
        <v>5705</v>
      </c>
      <c r="I47" s="62" t="s">
        <v>13</v>
      </c>
      <c r="J47" s="118" t="s">
        <v>5708</v>
      </c>
      <c r="K47" s="130" t="s">
        <v>160</v>
      </c>
      <c r="L47" s="130">
        <v>0.0</v>
      </c>
      <c r="M47" s="132">
        <v>1.0</v>
      </c>
      <c r="N47" s="1">
        <v>0.0</v>
      </c>
      <c r="O47" s="1">
        <v>0.0</v>
      </c>
    </row>
    <row r="48" ht="15.75" hidden="1" customHeight="1">
      <c r="A48" s="127">
        <v>45665.0</v>
      </c>
      <c r="B48" s="125" t="s">
        <v>5711</v>
      </c>
      <c r="C48" s="128">
        <v>45696.0</v>
      </c>
      <c r="D48" s="123" t="s">
        <v>4</v>
      </c>
      <c r="E48" s="123">
        <v>1270458.0</v>
      </c>
      <c r="F48" s="124">
        <v>0.0</v>
      </c>
      <c r="G48" s="124" t="s">
        <v>5712</v>
      </c>
      <c r="H48" s="124" t="s">
        <v>5705</v>
      </c>
      <c r="I48" s="124" t="s">
        <v>13</v>
      </c>
      <c r="J48" s="124" t="s">
        <v>5708</v>
      </c>
      <c r="K48" s="125" t="s">
        <v>163</v>
      </c>
      <c r="L48" s="125">
        <v>1.0</v>
      </c>
      <c r="M48" s="126"/>
      <c r="N48" s="1">
        <v>1.0</v>
      </c>
      <c r="O48" s="1" t="s">
        <v>5713</v>
      </c>
    </row>
    <row r="49" ht="15.75" hidden="1" customHeight="1">
      <c r="A49" s="129">
        <v>45665.0</v>
      </c>
      <c r="B49" s="130" t="s">
        <v>5711</v>
      </c>
      <c r="C49" s="131">
        <v>45696.0</v>
      </c>
      <c r="D49" s="117" t="s">
        <v>4</v>
      </c>
      <c r="E49" s="117">
        <v>1270458.0</v>
      </c>
      <c r="F49" s="62">
        <v>0.0</v>
      </c>
      <c r="G49" s="62" t="s">
        <v>5712</v>
      </c>
      <c r="H49" s="62" t="s">
        <v>5705</v>
      </c>
      <c r="I49" s="62" t="s">
        <v>13</v>
      </c>
      <c r="J49" s="118" t="s">
        <v>5708</v>
      </c>
      <c r="K49" s="130" t="s">
        <v>11</v>
      </c>
      <c r="L49" s="130">
        <v>0.0</v>
      </c>
      <c r="M49" s="132">
        <v>8.5</v>
      </c>
      <c r="N49" s="1">
        <v>0.0</v>
      </c>
      <c r="O49" s="1">
        <v>0.0</v>
      </c>
    </row>
    <row r="50" ht="15.75" hidden="1" customHeight="1">
      <c r="A50" s="127">
        <v>45665.0</v>
      </c>
      <c r="B50" s="125" t="s">
        <v>5711</v>
      </c>
      <c r="C50" s="128">
        <v>45696.0</v>
      </c>
      <c r="D50" s="123" t="s">
        <v>4</v>
      </c>
      <c r="E50" s="123">
        <v>1270458.0</v>
      </c>
      <c r="F50" s="124">
        <v>0.0</v>
      </c>
      <c r="G50" s="124" t="s">
        <v>5712</v>
      </c>
      <c r="H50" s="124" t="s">
        <v>5705</v>
      </c>
      <c r="I50" s="124" t="s">
        <v>13</v>
      </c>
      <c r="J50" s="124" t="s">
        <v>5708</v>
      </c>
      <c r="K50" s="125" t="s">
        <v>142</v>
      </c>
      <c r="L50" s="125">
        <v>81.0</v>
      </c>
      <c r="M50" s="126"/>
      <c r="N50" s="1">
        <v>81.0</v>
      </c>
      <c r="O50" s="1" t="s">
        <v>5713</v>
      </c>
    </row>
    <row r="51" ht="15.75" hidden="1" customHeight="1">
      <c r="A51" s="129">
        <v>45665.0</v>
      </c>
      <c r="B51" s="130" t="s">
        <v>5711</v>
      </c>
      <c r="C51" s="131">
        <v>45696.0</v>
      </c>
      <c r="D51" s="117" t="s">
        <v>4</v>
      </c>
      <c r="E51" s="117">
        <v>1270458.0</v>
      </c>
      <c r="F51" s="62">
        <v>0.0</v>
      </c>
      <c r="G51" s="62" t="s">
        <v>5712</v>
      </c>
      <c r="H51" s="62" t="s">
        <v>5705</v>
      </c>
      <c r="I51" s="62" t="s">
        <v>13</v>
      </c>
      <c r="J51" s="118" t="s">
        <v>5708</v>
      </c>
      <c r="K51" s="130" t="s">
        <v>147</v>
      </c>
      <c r="L51" s="130">
        <v>0.0</v>
      </c>
      <c r="M51" s="132">
        <v>3.0</v>
      </c>
      <c r="N51" s="1">
        <v>0.0</v>
      </c>
      <c r="O51" s="1">
        <v>0.0</v>
      </c>
    </row>
    <row r="52" ht="15.75" hidden="1" customHeight="1">
      <c r="A52" s="127">
        <v>45665.0</v>
      </c>
      <c r="B52" s="125" t="s">
        <v>5711</v>
      </c>
      <c r="C52" s="128">
        <v>45696.0</v>
      </c>
      <c r="D52" s="123" t="s">
        <v>4</v>
      </c>
      <c r="E52" s="123">
        <v>1270458.0</v>
      </c>
      <c r="F52" s="124">
        <v>0.0</v>
      </c>
      <c r="G52" s="124" t="s">
        <v>5712</v>
      </c>
      <c r="H52" s="124" t="s">
        <v>5705</v>
      </c>
      <c r="I52" s="124" t="s">
        <v>13</v>
      </c>
      <c r="J52" s="124" t="s">
        <v>5708</v>
      </c>
      <c r="K52" s="125" t="s">
        <v>163</v>
      </c>
      <c r="L52" s="124">
        <v>3.0</v>
      </c>
      <c r="M52" s="126"/>
      <c r="N52" s="1">
        <v>3.0</v>
      </c>
      <c r="O52" s="1" t="s">
        <v>5713</v>
      </c>
    </row>
    <row r="53" ht="15.75" hidden="1" customHeight="1">
      <c r="A53" s="129">
        <v>45665.0</v>
      </c>
      <c r="B53" s="130" t="s">
        <v>5711</v>
      </c>
      <c r="C53" s="131">
        <v>45696.0</v>
      </c>
      <c r="D53" s="117" t="s">
        <v>4</v>
      </c>
      <c r="E53" s="117">
        <v>1270458.0</v>
      </c>
      <c r="F53" s="62">
        <v>0.0</v>
      </c>
      <c r="G53" s="62" t="s">
        <v>5712</v>
      </c>
      <c r="H53" s="62" t="s">
        <v>5705</v>
      </c>
      <c r="I53" s="62" t="s">
        <v>13</v>
      </c>
      <c r="J53" s="118" t="s">
        <v>5708</v>
      </c>
      <c r="K53" s="130" t="s">
        <v>156</v>
      </c>
      <c r="L53" s="62">
        <v>0.0</v>
      </c>
      <c r="M53" s="132">
        <v>1.0</v>
      </c>
      <c r="N53" s="1">
        <v>0.0</v>
      </c>
      <c r="O53" s="1">
        <v>0.0</v>
      </c>
    </row>
    <row r="54" ht="15.75" hidden="1" customHeight="1">
      <c r="A54" s="127">
        <v>45665.0</v>
      </c>
      <c r="B54" s="125" t="s">
        <v>5711</v>
      </c>
      <c r="C54" s="128">
        <v>45696.0</v>
      </c>
      <c r="D54" s="123" t="s">
        <v>4</v>
      </c>
      <c r="E54" s="123">
        <v>1270458.0</v>
      </c>
      <c r="F54" s="124">
        <v>0.0</v>
      </c>
      <c r="G54" s="124" t="s">
        <v>5712</v>
      </c>
      <c r="H54" s="124" t="s">
        <v>5705</v>
      </c>
      <c r="I54" s="124" t="s">
        <v>13</v>
      </c>
      <c r="J54" s="124" t="s">
        <v>5708</v>
      </c>
      <c r="K54" s="125" t="s">
        <v>153</v>
      </c>
      <c r="L54" s="125">
        <v>8.25</v>
      </c>
      <c r="M54" s="126">
        <v>1.0</v>
      </c>
      <c r="N54" s="1">
        <v>8.25</v>
      </c>
      <c r="O54" s="1">
        <v>8.25</v>
      </c>
    </row>
    <row r="55" ht="15.75" hidden="1" customHeight="1">
      <c r="A55" s="129">
        <v>45665.0</v>
      </c>
      <c r="B55" s="130" t="s">
        <v>5711</v>
      </c>
      <c r="C55" s="131">
        <v>45696.0</v>
      </c>
      <c r="D55" s="117" t="s">
        <v>4</v>
      </c>
      <c r="E55" s="117">
        <v>1270458.0</v>
      </c>
      <c r="F55" s="62">
        <v>0.0</v>
      </c>
      <c r="G55" s="62" t="s">
        <v>5712</v>
      </c>
      <c r="H55" s="62" t="s">
        <v>5705</v>
      </c>
      <c r="I55" s="62" t="s">
        <v>13</v>
      </c>
      <c r="J55" s="118" t="s">
        <v>5708</v>
      </c>
      <c r="K55" s="130" t="s">
        <v>156</v>
      </c>
      <c r="L55" s="62">
        <v>0.0</v>
      </c>
      <c r="M55" s="132">
        <v>1.0</v>
      </c>
      <c r="N55" s="1">
        <v>0.0</v>
      </c>
      <c r="O55" s="1">
        <v>0.0</v>
      </c>
    </row>
    <row r="56" ht="15.75" customHeight="1">
      <c r="A56" s="127">
        <v>45665.0</v>
      </c>
      <c r="B56" s="125" t="s">
        <v>5711</v>
      </c>
      <c r="C56" s="128">
        <v>45696.0</v>
      </c>
      <c r="D56" s="123" t="s">
        <v>4</v>
      </c>
      <c r="E56" s="123">
        <v>1270458.0</v>
      </c>
      <c r="F56" s="124">
        <v>0.0</v>
      </c>
      <c r="G56" s="124" t="s">
        <v>5712</v>
      </c>
      <c r="H56" s="124" t="s">
        <v>5705</v>
      </c>
      <c r="I56" s="124" t="s">
        <v>13</v>
      </c>
      <c r="J56" s="124" t="s">
        <v>5708</v>
      </c>
      <c r="K56" s="125" t="s">
        <v>139</v>
      </c>
      <c r="L56" s="125">
        <v>1.0</v>
      </c>
      <c r="M56" s="126">
        <v>0.1375</v>
      </c>
      <c r="N56" s="1">
        <v>7.272727273</v>
      </c>
      <c r="O56" s="1">
        <v>7.272727273</v>
      </c>
    </row>
    <row r="57" ht="15.75" hidden="1" customHeight="1">
      <c r="A57" s="129">
        <v>45665.0</v>
      </c>
      <c r="B57" s="130" t="s">
        <v>5711</v>
      </c>
      <c r="C57" s="131">
        <v>45696.0</v>
      </c>
      <c r="D57" s="117" t="s">
        <v>4</v>
      </c>
      <c r="E57" s="117">
        <v>1270458.0</v>
      </c>
      <c r="F57" s="62">
        <v>0.0</v>
      </c>
      <c r="G57" s="62" t="s">
        <v>5712</v>
      </c>
      <c r="H57" s="62" t="s">
        <v>5705</v>
      </c>
      <c r="I57" s="62" t="s">
        <v>13</v>
      </c>
      <c r="J57" s="118" t="s">
        <v>5708</v>
      </c>
      <c r="K57" s="130" t="s">
        <v>154</v>
      </c>
      <c r="L57" s="130">
        <v>9400.0</v>
      </c>
      <c r="M57" s="132">
        <v>168.0</v>
      </c>
      <c r="N57" s="1">
        <v>55.95238095</v>
      </c>
      <c r="O57" s="1">
        <v>55.95238095</v>
      </c>
    </row>
    <row r="58" ht="15.75" hidden="1" customHeight="1">
      <c r="A58" s="127">
        <v>45665.0</v>
      </c>
      <c r="B58" s="125" t="s">
        <v>5711</v>
      </c>
      <c r="C58" s="128">
        <v>45696.0</v>
      </c>
      <c r="D58" s="123" t="s">
        <v>4</v>
      </c>
      <c r="E58" s="123">
        <v>1270458.0</v>
      </c>
      <c r="F58" s="124">
        <v>0.0</v>
      </c>
      <c r="G58" s="124" t="s">
        <v>5712</v>
      </c>
      <c r="H58" s="124" t="s">
        <v>5705</v>
      </c>
      <c r="I58" s="124" t="s">
        <v>13</v>
      </c>
      <c r="J58" s="124" t="s">
        <v>5708</v>
      </c>
      <c r="K58" s="125" t="s">
        <v>163</v>
      </c>
      <c r="L58" s="125">
        <v>1.0</v>
      </c>
      <c r="M58" s="126"/>
      <c r="N58" s="1">
        <v>1.0</v>
      </c>
      <c r="O58" s="1" t="s">
        <v>5713</v>
      </c>
    </row>
    <row r="59" ht="15.75" hidden="1" customHeight="1">
      <c r="A59" s="129">
        <v>45665.0</v>
      </c>
      <c r="B59" s="130" t="s">
        <v>5711</v>
      </c>
      <c r="C59" s="131">
        <v>45724.0</v>
      </c>
      <c r="D59" s="117" t="s">
        <v>4</v>
      </c>
      <c r="E59" s="117">
        <v>1270458.0</v>
      </c>
      <c r="F59" s="62">
        <v>0.0</v>
      </c>
      <c r="G59" s="62" t="s">
        <v>5712</v>
      </c>
      <c r="H59" s="62" t="s">
        <v>5705</v>
      </c>
      <c r="I59" s="118" t="s">
        <v>5708</v>
      </c>
      <c r="J59" s="118" t="s">
        <v>5708</v>
      </c>
      <c r="K59" s="130" t="s">
        <v>7</v>
      </c>
      <c r="L59" s="130">
        <v>100.0</v>
      </c>
      <c r="M59" s="132">
        <v>16.0</v>
      </c>
      <c r="N59" s="1">
        <v>6.25</v>
      </c>
      <c r="O59" s="1">
        <v>6.25</v>
      </c>
    </row>
    <row r="60" ht="15.75" hidden="1" customHeight="1">
      <c r="A60" s="127">
        <v>45665.0</v>
      </c>
      <c r="B60" s="125" t="s">
        <v>5711</v>
      </c>
      <c r="C60" s="128">
        <v>45724.0</v>
      </c>
      <c r="D60" s="123" t="s">
        <v>4</v>
      </c>
      <c r="E60" s="123">
        <v>1270458.0</v>
      </c>
      <c r="F60" s="124">
        <v>0.0</v>
      </c>
      <c r="G60" s="124" t="s">
        <v>5712</v>
      </c>
      <c r="H60" s="124" t="s">
        <v>5705</v>
      </c>
      <c r="I60" s="124" t="s">
        <v>13</v>
      </c>
      <c r="J60" s="124" t="s">
        <v>5708</v>
      </c>
      <c r="K60" s="125" t="s">
        <v>160</v>
      </c>
      <c r="L60" s="124">
        <v>0.0</v>
      </c>
      <c r="M60" s="126">
        <v>2.0</v>
      </c>
      <c r="N60" s="1">
        <v>0.0</v>
      </c>
      <c r="O60" s="1">
        <v>0.0</v>
      </c>
    </row>
    <row r="61" ht="15.75" hidden="1" customHeight="1">
      <c r="A61" s="129">
        <v>45665.0</v>
      </c>
      <c r="B61" s="130" t="s">
        <v>5711</v>
      </c>
      <c r="C61" s="131">
        <v>45724.0</v>
      </c>
      <c r="D61" s="117" t="s">
        <v>4</v>
      </c>
      <c r="E61" s="117">
        <v>1270458.0</v>
      </c>
      <c r="F61" s="62">
        <v>0.0</v>
      </c>
      <c r="G61" s="62" t="s">
        <v>5712</v>
      </c>
      <c r="H61" s="62" t="s">
        <v>5705</v>
      </c>
      <c r="I61" s="62" t="s">
        <v>13</v>
      </c>
      <c r="J61" s="118" t="s">
        <v>5708</v>
      </c>
      <c r="K61" s="130" t="s">
        <v>163</v>
      </c>
      <c r="L61" s="130">
        <v>2.0</v>
      </c>
      <c r="M61" s="132"/>
      <c r="N61" s="1">
        <v>2.0</v>
      </c>
      <c r="O61" s="1" t="s">
        <v>5713</v>
      </c>
    </row>
    <row r="62" ht="15.75" hidden="1" customHeight="1">
      <c r="A62" s="127">
        <v>45665.0</v>
      </c>
      <c r="B62" s="125" t="s">
        <v>5711</v>
      </c>
      <c r="C62" s="128">
        <v>45724.0</v>
      </c>
      <c r="D62" s="123" t="s">
        <v>4</v>
      </c>
      <c r="E62" s="123">
        <v>1270458.0</v>
      </c>
      <c r="F62" s="124">
        <v>0.0</v>
      </c>
      <c r="G62" s="124" t="s">
        <v>5712</v>
      </c>
      <c r="H62" s="124" t="s">
        <v>5705</v>
      </c>
      <c r="I62" s="124" t="s">
        <v>13</v>
      </c>
      <c r="J62" s="124" t="s">
        <v>5708</v>
      </c>
      <c r="K62" s="125" t="s">
        <v>147</v>
      </c>
      <c r="L62" s="125">
        <v>0.0</v>
      </c>
      <c r="M62" s="126">
        <v>1.0</v>
      </c>
      <c r="N62" s="1">
        <v>0.0</v>
      </c>
      <c r="O62" s="1">
        <v>0.0</v>
      </c>
    </row>
    <row r="63" ht="15.75" hidden="1" customHeight="1">
      <c r="A63" s="129">
        <v>45665.0</v>
      </c>
      <c r="B63" s="130" t="s">
        <v>5711</v>
      </c>
      <c r="C63" s="131">
        <v>45724.0</v>
      </c>
      <c r="D63" s="117" t="s">
        <v>4</v>
      </c>
      <c r="E63" s="117">
        <v>1270458.0</v>
      </c>
      <c r="F63" s="62">
        <v>0.0</v>
      </c>
      <c r="G63" s="62" t="s">
        <v>5712</v>
      </c>
      <c r="H63" s="62" t="s">
        <v>5705</v>
      </c>
      <c r="I63" s="62" t="s">
        <v>13</v>
      </c>
      <c r="J63" s="118" t="s">
        <v>5708</v>
      </c>
      <c r="K63" s="130" t="s">
        <v>163</v>
      </c>
      <c r="L63" s="130">
        <v>1.0</v>
      </c>
      <c r="M63" s="132"/>
      <c r="N63" s="1">
        <v>1.0</v>
      </c>
      <c r="O63" s="1" t="s">
        <v>5713</v>
      </c>
    </row>
    <row r="64" ht="15.75" customHeight="1">
      <c r="A64" s="127">
        <v>45665.0</v>
      </c>
      <c r="B64" s="125" t="s">
        <v>5711</v>
      </c>
      <c r="C64" s="128">
        <v>45724.0</v>
      </c>
      <c r="D64" s="123" t="s">
        <v>4</v>
      </c>
      <c r="E64" s="123">
        <v>1270458.0</v>
      </c>
      <c r="F64" s="124">
        <v>0.0</v>
      </c>
      <c r="G64" s="124" t="s">
        <v>5712</v>
      </c>
      <c r="H64" s="124" t="s">
        <v>5705</v>
      </c>
      <c r="I64" s="124" t="s">
        <v>13</v>
      </c>
      <c r="J64" s="124" t="s">
        <v>5708</v>
      </c>
      <c r="K64" s="125" t="s">
        <v>139</v>
      </c>
      <c r="L64" s="125">
        <v>0.0</v>
      </c>
      <c r="M64" s="126">
        <v>0.006166667</v>
      </c>
      <c r="N64" s="1">
        <v>0.0</v>
      </c>
      <c r="O64" s="1">
        <v>0.0</v>
      </c>
    </row>
    <row r="65" ht="15.75" hidden="1" customHeight="1">
      <c r="A65" s="129">
        <v>45665.0</v>
      </c>
      <c r="B65" s="130" t="s">
        <v>5711</v>
      </c>
      <c r="C65" s="131">
        <v>45724.0</v>
      </c>
      <c r="D65" s="117" t="s">
        <v>4</v>
      </c>
      <c r="E65" s="117">
        <v>1270458.0</v>
      </c>
      <c r="F65" s="62">
        <v>0.0</v>
      </c>
      <c r="G65" s="62" t="s">
        <v>5712</v>
      </c>
      <c r="H65" s="62" t="s">
        <v>5705</v>
      </c>
      <c r="I65" s="62" t="s">
        <v>13</v>
      </c>
      <c r="J65" s="118" t="s">
        <v>5708</v>
      </c>
      <c r="K65" s="130" t="s">
        <v>147</v>
      </c>
      <c r="L65" s="130">
        <v>0.0</v>
      </c>
      <c r="M65" s="132">
        <v>2.0</v>
      </c>
      <c r="N65" s="1">
        <v>0.0</v>
      </c>
      <c r="O65" s="1">
        <v>0.0</v>
      </c>
    </row>
    <row r="66" ht="15.75" hidden="1" customHeight="1">
      <c r="A66" s="127">
        <v>45665.0</v>
      </c>
      <c r="B66" s="125" t="s">
        <v>5711</v>
      </c>
      <c r="C66" s="128">
        <v>45724.0</v>
      </c>
      <c r="D66" s="123" t="s">
        <v>4</v>
      </c>
      <c r="E66" s="123">
        <v>1270458.0</v>
      </c>
      <c r="F66" s="124">
        <v>0.0</v>
      </c>
      <c r="G66" s="124" t="s">
        <v>5712</v>
      </c>
      <c r="H66" s="124" t="s">
        <v>5705</v>
      </c>
      <c r="I66" s="124" t="s">
        <v>13</v>
      </c>
      <c r="J66" s="124" t="s">
        <v>5708</v>
      </c>
      <c r="K66" s="125" t="s">
        <v>147</v>
      </c>
      <c r="L66" s="125">
        <v>0.0</v>
      </c>
      <c r="M66" s="126">
        <v>1.0</v>
      </c>
      <c r="N66" s="1">
        <v>0.0</v>
      </c>
      <c r="O66" s="1">
        <v>0.0</v>
      </c>
    </row>
    <row r="67" ht="15.75" hidden="1" customHeight="1">
      <c r="A67" s="129">
        <v>45665.0</v>
      </c>
      <c r="B67" s="130" t="s">
        <v>5711</v>
      </c>
      <c r="C67" s="131">
        <v>45724.0</v>
      </c>
      <c r="D67" s="117" t="s">
        <v>4</v>
      </c>
      <c r="E67" s="117">
        <v>1270458.0</v>
      </c>
      <c r="F67" s="62">
        <v>0.0</v>
      </c>
      <c r="G67" s="62" t="s">
        <v>5712</v>
      </c>
      <c r="H67" s="62" t="s">
        <v>5705</v>
      </c>
      <c r="I67" s="62" t="s">
        <v>13</v>
      </c>
      <c r="J67" s="118" t="s">
        <v>5708</v>
      </c>
      <c r="K67" s="130" t="s">
        <v>147</v>
      </c>
      <c r="L67" s="130">
        <v>1300.0</v>
      </c>
      <c r="M67" s="132">
        <v>151.0</v>
      </c>
      <c r="N67" s="1">
        <v>8.609271523</v>
      </c>
      <c r="O67" s="1">
        <v>8.609271523</v>
      </c>
    </row>
    <row r="68" ht="15.75" hidden="1" customHeight="1">
      <c r="A68" s="127">
        <v>45665.0</v>
      </c>
      <c r="B68" s="125" t="s">
        <v>5711</v>
      </c>
      <c r="C68" s="128">
        <v>45724.0</v>
      </c>
      <c r="D68" s="123" t="s">
        <v>4</v>
      </c>
      <c r="E68" s="123">
        <v>1270458.0</v>
      </c>
      <c r="F68" s="124">
        <v>0.0</v>
      </c>
      <c r="G68" s="124" t="s">
        <v>5712</v>
      </c>
      <c r="H68" s="124" t="s">
        <v>5705</v>
      </c>
      <c r="I68" s="124" t="s">
        <v>13</v>
      </c>
      <c r="J68" s="124" t="s">
        <v>5708</v>
      </c>
      <c r="K68" s="125" t="s">
        <v>155</v>
      </c>
      <c r="L68" s="125">
        <v>61.0</v>
      </c>
      <c r="M68" s="126">
        <v>16.0</v>
      </c>
      <c r="N68" s="1">
        <v>3.8125</v>
      </c>
      <c r="O68" s="1">
        <v>3.8125</v>
      </c>
    </row>
    <row r="69" ht="15.75" hidden="1" customHeight="1">
      <c r="A69" s="129">
        <v>45665.0</v>
      </c>
      <c r="B69" s="130" t="s">
        <v>5711</v>
      </c>
      <c r="C69" s="131">
        <v>45724.0</v>
      </c>
      <c r="D69" s="117" t="s">
        <v>4</v>
      </c>
      <c r="E69" s="117">
        <v>1270458.0</v>
      </c>
      <c r="F69" s="62">
        <v>0.0</v>
      </c>
      <c r="G69" s="62" t="s">
        <v>5712</v>
      </c>
      <c r="H69" s="62" t="s">
        <v>5705</v>
      </c>
      <c r="I69" s="62" t="s">
        <v>13</v>
      </c>
      <c r="J69" s="118" t="s">
        <v>5708</v>
      </c>
      <c r="K69" s="130" t="s">
        <v>160</v>
      </c>
      <c r="L69" s="62">
        <v>0.0</v>
      </c>
      <c r="M69" s="132">
        <v>1.0</v>
      </c>
      <c r="N69" s="1">
        <v>0.0</v>
      </c>
      <c r="O69" s="1">
        <v>0.0</v>
      </c>
    </row>
    <row r="70" ht="15.75" hidden="1" customHeight="1">
      <c r="A70" s="127">
        <v>45665.0</v>
      </c>
      <c r="B70" s="125" t="s">
        <v>5711</v>
      </c>
      <c r="C70" s="128">
        <v>45724.0</v>
      </c>
      <c r="D70" s="123" t="s">
        <v>4</v>
      </c>
      <c r="E70" s="123">
        <v>1270458.0</v>
      </c>
      <c r="F70" s="124">
        <v>0.0</v>
      </c>
      <c r="G70" s="124" t="s">
        <v>5712</v>
      </c>
      <c r="H70" s="124" t="s">
        <v>5705</v>
      </c>
      <c r="I70" s="124" t="s">
        <v>13</v>
      </c>
      <c r="J70" s="124" t="s">
        <v>5708</v>
      </c>
      <c r="K70" s="125" t="s">
        <v>163</v>
      </c>
      <c r="L70" s="124">
        <v>8.0</v>
      </c>
      <c r="M70" s="126"/>
      <c r="N70" s="1">
        <v>8.0</v>
      </c>
      <c r="O70" s="1" t="s">
        <v>5713</v>
      </c>
    </row>
    <row r="71" ht="15.75" hidden="1" customHeight="1">
      <c r="A71" s="129">
        <v>45665.0</v>
      </c>
      <c r="B71" s="130" t="s">
        <v>5711</v>
      </c>
      <c r="C71" s="131">
        <v>45724.0</v>
      </c>
      <c r="D71" s="117" t="s">
        <v>4</v>
      </c>
      <c r="E71" s="117">
        <v>1270458.0</v>
      </c>
      <c r="F71" s="62">
        <v>0.0</v>
      </c>
      <c r="G71" s="62" t="s">
        <v>5712</v>
      </c>
      <c r="H71" s="62" t="s">
        <v>5705</v>
      </c>
      <c r="I71" s="62" t="s">
        <v>13</v>
      </c>
      <c r="J71" s="118" t="s">
        <v>5708</v>
      </c>
      <c r="K71" s="130" t="s">
        <v>147</v>
      </c>
      <c r="L71" s="130">
        <v>0.0</v>
      </c>
      <c r="M71" s="132">
        <v>2.0</v>
      </c>
      <c r="N71" s="1">
        <v>0.0</v>
      </c>
      <c r="O71" s="1">
        <v>0.0</v>
      </c>
    </row>
    <row r="72" ht="15.75" hidden="1" customHeight="1">
      <c r="A72" s="127">
        <v>45665.0</v>
      </c>
      <c r="B72" s="125" t="s">
        <v>5711</v>
      </c>
      <c r="C72" s="128">
        <v>45724.0</v>
      </c>
      <c r="D72" s="123" t="s">
        <v>4</v>
      </c>
      <c r="E72" s="123">
        <v>1270458.0</v>
      </c>
      <c r="F72" s="124">
        <v>0.0</v>
      </c>
      <c r="G72" s="124" t="s">
        <v>5712</v>
      </c>
      <c r="H72" s="124" t="s">
        <v>5705</v>
      </c>
      <c r="I72" s="124" t="s">
        <v>13</v>
      </c>
      <c r="J72" s="124" t="s">
        <v>5708</v>
      </c>
      <c r="K72" s="125" t="s">
        <v>163</v>
      </c>
      <c r="L72" s="125">
        <v>1.0</v>
      </c>
      <c r="M72" s="126"/>
      <c r="N72" s="1">
        <v>1.0</v>
      </c>
      <c r="O72" s="1" t="s">
        <v>5713</v>
      </c>
    </row>
    <row r="73" ht="15.75" hidden="1" customHeight="1">
      <c r="A73" s="129">
        <v>45665.0</v>
      </c>
      <c r="B73" s="130" t="s">
        <v>5711</v>
      </c>
      <c r="C73" s="131">
        <v>45724.0</v>
      </c>
      <c r="D73" s="117" t="s">
        <v>4</v>
      </c>
      <c r="E73" s="117">
        <v>1270458.0</v>
      </c>
      <c r="F73" s="62">
        <v>0.0</v>
      </c>
      <c r="G73" s="62" t="s">
        <v>5712</v>
      </c>
      <c r="H73" s="62" t="s">
        <v>5705</v>
      </c>
      <c r="I73" s="62" t="s">
        <v>13</v>
      </c>
      <c r="J73" s="118" t="s">
        <v>5708</v>
      </c>
      <c r="K73" s="130" t="s">
        <v>163</v>
      </c>
      <c r="L73" s="130">
        <v>1.0</v>
      </c>
      <c r="M73" s="132"/>
      <c r="N73" s="1">
        <v>1.0</v>
      </c>
      <c r="O73" s="1" t="s">
        <v>5713</v>
      </c>
    </row>
    <row r="74" ht="15.75" hidden="1" customHeight="1">
      <c r="A74" s="127">
        <v>45665.0</v>
      </c>
      <c r="B74" s="128">
        <v>45755.0</v>
      </c>
      <c r="C74" s="128">
        <v>45755.0</v>
      </c>
      <c r="D74" s="123" t="s">
        <v>4</v>
      </c>
      <c r="E74" s="123">
        <v>1270458.0</v>
      </c>
      <c r="F74" s="124">
        <v>0.0</v>
      </c>
      <c r="G74" s="124" t="s">
        <v>5712</v>
      </c>
      <c r="H74" s="124" t="s">
        <v>5705</v>
      </c>
      <c r="I74" s="124" t="s">
        <v>13</v>
      </c>
      <c r="J74" s="124" t="s">
        <v>5708</v>
      </c>
      <c r="K74" s="125" t="s">
        <v>160</v>
      </c>
      <c r="L74" s="125">
        <v>0.0</v>
      </c>
      <c r="M74" s="126">
        <v>1.0</v>
      </c>
      <c r="N74" s="1">
        <v>0.0</v>
      </c>
      <c r="O74" s="1">
        <v>0.0</v>
      </c>
    </row>
    <row r="75" ht="15.75" hidden="1" customHeight="1">
      <c r="A75" s="129">
        <v>45665.0</v>
      </c>
      <c r="B75" s="131">
        <v>45755.0</v>
      </c>
      <c r="C75" s="131">
        <v>45755.0</v>
      </c>
      <c r="D75" s="117" t="s">
        <v>4</v>
      </c>
      <c r="E75" s="117">
        <v>1270458.0</v>
      </c>
      <c r="F75" s="62">
        <v>0.0</v>
      </c>
      <c r="G75" s="62" t="s">
        <v>5712</v>
      </c>
      <c r="H75" s="62" t="s">
        <v>5705</v>
      </c>
      <c r="I75" s="62" t="s">
        <v>13</v>
      </c>
      <c r="J75" s="118" t="s">
        <v>5708</v>
      </c>
      <c r="K75" s="130" t="s">
        <v>158</v>
      </c>
      <c r="L75" s="130">
        <v>0.0</v>
      </c>
      <c r="M75" s="132">
        <v>35.0</v>
      </c>
      <c r="N75" s="1">
        <v>0.0</v>
      </c>
      <c r="O75" s="1">
        <v>0.0</v>
      </c>
    </row>
    <row r="76" ht="15.75" customHeight="1">
      <c r="A76" s="127">
        <v>45665.0</v>
      </c>
      <c r="B76" s="128">
        <v>45755.0</v>
      </c>
      <c r="C76" s="128">
        <v>45755.0</v>
      </c>
      <c r="D76" s="123" t="s">
        <v>4</v>
      </c>
      <c r="E76" s="123">
        <v>1270458.0</v>
      </c>
      <c r="F76" s="124">
        <v>0.0</v>
      </c>
      <c r="G76" s="124" t="s">
        <v>5712</v>
      </c>
      <c r="H76" s="124" t="s">
        <v>5705</v>
      </c>
      <c r="I76" s="124" t="s">
        <v>13</v>
      </c>
      <c r="J76" s="124" t="s">
        <v>5708</v>
      </c>
      <c r="K76" s="125" t="s">
        <v>139</v>
      </c>
      <c r="L76" s="125">
        <v>0.0</v>
      </c>
      <c r="M76" s="126">
        <v>0.010666667</v>
      </c>
      <c r="N76" s="1">
        <v>0.0</v>
      </c>
      <c r="O76" s="1">
        <v>0.0</v>
      </c>
    </row>
    <row r="77" ht="15.75" hidden="1" customHeight="1">
      <c r="A77" s="129">
        <v>45665.0</v>
      </c>
      <c r="B77" s="131">
        <v>45755.0</v>
      </c>
      <c r="C77" s="131">
        <v>45755.0</v>
      </c>
      <c r="D77" s="117" t="s">
        <v>4</v>
      </c>
      <c r="E77" s="117">
        <v>1270458.0</v>
      </c>
      <c r="F77" s="62">
        <v>0.0</v>
      </c>
      <c r="G77" s="62" t="s">
        <v>5712</v>
      </c>
      <c r="H77" s="62" t="s">
        <v>5705</v>
      </c>
      <c r="I77" s="62" t="s">
        <v>13</v>
      </c>
      <c r="J77" s="118" t="s">
        <v>5708</v>
      </c>
      <c r="K77" s="130" t="s">
        <v>160</v>
      </c>
      <c r="L77" s="62">
        <v>0.0</v>
      </c>
      <c r="M77" s="132">
        <v>2.0</v>
      </c>
      <c r="N77" s="1">
        <v>0.0</v>
      </c>
      <c r="O77" s="1">
        <v>0.0</v>
      </c>
    </row>
    <row r="78" ht="15.75" hidden="1" customHeight="1">
      <c r="A78" s="127">
        <v>45665.0</v>
      </c>
      <c r="B78" s="128">
        <v>45755.0</v>
      </c>
      <c r="C78" s="128">
        <v>45755.0</v>
      </c>
      <c r="D78" s="123" t="s">
        <v>4</v>
      </c>
      <c r="E78" s="123">
        <v>1270458.0</v>
      </c>
      <c r="F78" s="124">
        <v>0.0</v>
      </c>
      <c r="G78" s="124" t="s">
        <v>5712</v>
      </c>
      <c r="H78" s="124" t="s">
        <v>5705</v>
      </c>
      <c r="I78" s="124" t="s">
        <v>13</v>
      </c>
      <c r="J78" s="124" t="s">
        <v>5708</v>
      </c>
      <c r="K78" s="125" t="s">
        <v>158</v>
      </c>
      <c r="L78" s="125">
        <v>2400.0</v>
      </c>
      <c r="M78" s="126">
        <v>32.0</v>
      </c>
      <c r="N78" s="1">
        <v>75.0</v>
      </c>
      <c r="O78" s="1">
        <v>75.0</v>
      </c>
    </row>
    <row r="79" ht="15.75" hidden="1" customHeight="1">
      <c r="A79" s="129">
        <v>45665.0</v>
      </c>
      <c r="B79" s="131">
        <v>45755.0</v>
      </c>
      <c r="C79" s="131">
        <v>45755.0</v>
      </c>
      <c r="D79" s="117" t="s">
        <v>4</v>
      </c>
      <c r="E79" s="117">
        <v>1270458.0</v>
      </c>
      <c r="F79" s="62">
        <v>0.0</v>
      </c>
      <c r="G79" s="62" t="s">
        <v>5712</v>
      </c>
      <c r="H79" s="62" t="s">
        <v>5705</v>
      </c>
      <c r="I79" s="62" t="s">
        <v>13</v>
      </c>
      <c r="J79" s="118" t="s">
        <v>5708</v>
      </c>
      <c r="K79" s="130" t="s">
        <v>147</v>
      </c>
      <c r="L79" s="130">
        <v>0.0</v>
      </c>
      <c r="M79" s="132">
        <v>3.0</v>
      </c>
      <c r="N79" s="1">
        <v>0.0</v>
      </c>
      <c r="O79" s="1">
        <v>0.0</v>
      </c>
    </row>
    <row r="80" ht="15.75" hidden="1" customHeight="1">
      <c r="A80" s="127">
        <v>45665.0</v>
      </c>
      <c r="B80" s="128">
        <v>45755.0</v>
      </c>
      <c r="C80" s="128">
        <v>45755.0</v>
      </c>
      <c r="D80" s="123" t="s">
        <v>4</v>
      </c>
      <c r="E80" s="123">
        <v>1270458.0</v>
      </c>
      <c r="F80" s="124">
        <v>0.0</v>
      </c>
      <c r="G80" s="124" t="s">
        <v>5712</v>
      </c>
      <c r="H80" s="124" t="s">
        <v>5705</v>
      </c>
      <c r="I80" s="124" t="s">
        <v>13</v>
      </c>
      <c r="J80" s="124" t="s">
        <v>5708</v>
      </c>
      <c r="K80" s="125" t="s">
        <v>163</v>
      </c>
      <c r="L80" s="124">
        <v>3.0</v>
      </c>
      <c r="M80" s="126"/>
      <c r="N80" s="1">
        <v>3.0</v>
      </c>
      <c r="O80" s="1" t="s">
        <v>5713</v>
      </c>
    </row>
    <row r="81" ht="15.75" hidden="1" customHeight="1">
      <c r="A81" s="129">
        <v>45665.0</v>
      </c>
      <c r="B81" s="131">
        <v>45755.0</v>
      </c>
      <c r="C81" s="131">
        <v>45755.0</v>
      </c>
      <c r="D81" s="117" t="s">
        <v>4</v>
      </c>
      <c r="E81" s="117">
        <v>1270458.0</v>
      </c>
      <c r="F81" s="62">
        <v>0.0</v>
      </c>
      <c r="G81" s="62" t="s">
        <v>5712</v>
      </c>
      <c r="H81" s="62" t="s">
        <v>5705</v>
      </c>
      <c r="I81" s="62" t="s">
        <v>13</v>
      </c>
      <c r="J81" s="118" t="s">
        <v>5708</v>
      </c>
      <c r="K81" s="130" t="s">
        <v>158</v>
      </c>
      <c r="L81" s="130">
        <v>300.0</v>
      </c>
      <c r="M81" s="132">
        <v>32.0</v>
      </c>
      <c r="N81" s="1">
        <v>9.375</v>
      </c>
      <c r="O81" s="1">
        <v>9.375</v>
      </c>
    </row>
    <row r="82" ht="15.75" hidden="1" customHeight="1">
      <c r="A82" s="127">
        <v>45665.0</v>
      </c>
      <c r="B82" s="128">
        <v>45755.0</v>
      </c>
      <c r="C82" s="128">
        <v>45755.0</v>
      </c>
      <c r="D82" s="123" t="s">
        <v>4</v>
      </c>
      <c r="E82" s="123">
        <v>1270458.0</v>
      </c>
      <c r="F82" s="124">
        <v>0.0</v>
      </c>
      <c r="G82" s="124" t="s">
        <v>5712</v>
      </c>
      <c r="H82" s="124" t="s">
        <v>5705</v>
      </c>
      <c r="I82" s="124" t="s">
        <v>13</v>
      </c>
      <c r="J82" s="124" t="s">
        <v>5708</v>
      </c>
      <c r="K82" s="125" t="s">
        <v>147</v>
      </c>
      <c r="L82" s="124">
        <v>0.0</v>
      </c>
      <c r="M82" s="126">
        <v>1.0</v>
      </c>
      <c r="N82" s="1">
        <v>0.0</v>
      </c>
      <c r="O82" s="1">
        <v>0.0</v>
      </c>
    </row>
    <row r="83" ht="15.75" hidden="1" customHeight="1">
      <c r="A83" s="129">
        <v>45665.0</v>
      </c>
      <c r="B83" s="131">
        <v>45755.0</v>
      </c>
      <c r="C83" s="131">
        <v>45755.0</v>
      </c>
      <c r="D83" s="117" t="s">
        <v>4</v>
      </c>
      <c r="E83" s="117">
        <v>1270458.0</v>
      </c>
      <c r="F83" s="62">
        <v>0.0</v>
      </c>
      <c r="G83" s="62" t="s">
        <v>5712</v>
      </c>
      <c r="H83" s="62" t="s">
        <v>5705</v>
      </c>
      <c r="I83" s="62" t="s">
        <v>13</v>
      </c>
      <c r="J83" s="118" t="s">
        <v>5708</v>
      </c>
      <c r="K83" s="130" t="s">
        <v>163</v>
      </c>
      <c r="L83" s="130">
        <v>1.0</v>
      </c>
      <c r="M83" s="132"/>
      <c r="N83" s="1">
        <v>1.0</v>
      </c>
      <c r="O83" s="1" t="s">
        <v>5713</v>
      </c>
    </row>
    <row r="84" ht="15.75" hidden="1" customHeight="1">
      <c r="A84" s="127">
        <v>45665.0</v>
      </c>
      <c r="B84" s="128">
        <v>45755.0</v>
      </c>
      <c r="C84" s="128">
        <v>45755.0</v>
      </c>
      <c r="D84" s="123" t="s">
        <v>4</v>
      </c>
      <c r="E84" s="123">
        <v>1270458.0</v>
      </c>
      <c r="F84" s="124">
        <v>0.0</v>
      </c>
      <c r="G84" s="124" t="s">
        <v>5712</v>
      </c>
      <c r="H84" s="124" t="s">
        <v>5705</v>
      </c>
      <c r="I84" s="124" t="s">
        <v>13</v>
      </c>
      <c r="J84" s="124" t="s">
        <v>5708</v>
      </c>
      <c r="K84" s="125" t="s">
        <v>158</v>
      </c>
      <c r="L84" s="124">
        <v>4700.0</v>
      </c>
      <c r="M84" s="126">
        <v>102.0</v>
      </c>
      <c r="N84" s="1">
        <v>46.07843137</v>
      </c>
      <c r="O84" s="1">
        <v>46.07843137</v>
      </c>
    </row>
    <row r="85" ht="15.75" hidden="1" customHeight="1">
      <c r="A85" s="129">
        <v>45665.0</v>
      </c>
      <c r="B85" s="130" t="s">
        <v>5711</v>
      </c>
      <c r="C85" s="131">
        <v>45724.0</v>
      </c>
      <c r="D85" s="117" t="s">
        <v>4</v>
      </c>
      <c r="E85" s="117">
        <v>1270458.0</v>
      </c>
      <c r="F85" s="62">
        <v>0.0</v>
      </c>
      <c r="G85" s="62" t="s">
        <v>5712</v>
      </c>
      <c r="H85" s="62" t="s">
        <v>5705</v>
      </c>
      <c r="I85" s="62" t="s">
        <v>13</v>
      </c>
      <c r="J85" s="118" t="s">
        <v>5708</v>
      </c>
      <c r="K85" s="130" t="s">
        <v>163</v>
      </c>
      <c r="L85" s="130">
        <v>1.0</v>
      </c>
      <c r="M85" s="132"/>
      <c r="N85" s="1">
        <v>1.0</v>
      </c>
      <c r="O85" s="1" t="s">
        <v>5713</v>
      </c>
    </row>
    <row r="86" ht="15.75" hidden="1" customHeight="1">
      <c r="A86" s="127">
        <v>45665.0</v>
      </c>
      <c r="B86" s="125" t="s">
        <v>5711</v>
      </c>
      <c r="C86" s="128">
        <v>45724.0</v>
      </c>
      <c r="D86" s="123" t="s">
        <v>4</v>
      </c>
      <c r="E86" s="123">
        <v>1270458.0</v>
      </c>
      <c r="F86" s="124">
        <v>0.0</v>
      </c>
      <c r="G86" s="124" t="s">
        <v>5712</v>
      </c>
      <c r="H86" s="124" t="s">
        <v>5705</v>
      </c>
      <c r="I86" s="124" t="s">
        <v>13</v>
      </c>
      <c r="J86" s="124" t="s">
        <v>5708</v>
      </c>
      <c r="K86" s="125" t="s">
        <v>147</v>
      </c>
      <c r="L86" s="125">
        <v>0.0</v>
      </c>
      <c r="M86" s="126">
        <v>8.0</v>
      </c>
      <c r="N86" s="1">
        <v>0.0</v>
      </c>
      <c r="O86" s="1">
        <v>0.0</v>
      </c>
    </row>
    <row r="87" ht="15.75" hidden="1" customHeight="1">
      <c r="A87" s="129">
        <v>45665.0</v>
      </c>
      <c r="B87" s="130" t="s">
        <v>5711</v>
      </c>
      <c r="C87" s="131">
        <v>45724.0</v>
      </c>
      <c r="D87" s="117" t="s">
        <v>4</v>
      </c>
      <c r="E87" s="117">
        <v>1270458.0</v>
      </c>
      <c r="F87" s="62">
        <v>0.0</v>
      </c>
      <c r="G87" s="62" t="s">
        <v>5712</v>
      </c>
      <c r="H87" s="62" t="s">
        <v>5705</v>
      </c>
      <c r="I87" s="62" t="s">
        <v>13</v>
      </c>
      <c r="J87" s="118" t="s">
        <v>5708</v>
      </c>
      <c r="K87" s="130" t="s">
        <v>153</v>
      </c>
      <c r="L87" s="130">
        <v>0.58</v>
      </c>
      <c r="M87" s="132">
        <v>0.0</v>
      </c>
      <c r="N87" s="1"/>
      <c r="O87" s="1" t="s">
        <v>5713</v>
      </c>
    </row>
    <row r="88" ht="15.75" hidden="1" customHeight="1">
      <c r="A88" s="127">
        <v>45665.0</v>
      </c>
      <c r="B88" s="125" t="s">
        <v>5711</v>
      </c>
      <c r="C88" s="128">
        <v>45724.0</v>
      </c>
      <c r="D88" s="123" t="s">
        <v>4</v>
      </c>
      <c r="E88" s="123">
        <v>1270458.0</v>
      </c>
      <c r="F88" s="124">
        <v>0.0</v>
      </c>
      <c r="G88" s="124" t="s">
        <v>5712</v>
      </c>
      <c r="H88" s="124" t="s">
        <v>5705</v>
      </c>
      <c r="I88" s="124" t="s">
        <v>13</v>
      </c>
      <c r="J88" s="124" t="s">
        <v>5708</v>
      </c>
      <c r="K88" s="125" t="s">
        <v>160</v>
      </c>
      <c r="L88" s="125">
        <v>0.0</v>
      </c>
      <c r="M88" s="126">
        <v>2.0</v>
      </c>
      <c r="N88" s="1">
        <v>0.0</v>
      </c>
      <c r="O88" s="1">
        <v>0.0</v>
      </c>
    </row>
    <row r="89" ht="15.75" hidden="1" customHeight="1">
      <c r="A89" s="129">
        <v>45665.0</v>
      </c>
      <c r="B89" s="130" t="s">
        <v>5711</v>
      </c>
      <c r="C89" s="131">
        <v>45724.0</v>
      </c>
      <c r="D89" s="117" t="s">
        <v>4</v>
      </c>
      <c r="E89" s="117">
        <v>1270458.0</v>
      </c>
      <c r="F89" s="62">
        <v>0.0</v>
      </c>
      <c r="G89" s="62" t="s">
        <v>5712</v>
      </c>
      <c r="H89" s="62" t="s">
        <v>5705</v>
      </c>
      <c r="I89" s="62" t="s">
        <v>13</v>
      </c>
      <c r="J89" s="118" t="s">
        <v>5708</v>
      </c>
      <c r="K89" s="130" t="s">
        <v>11</v>
      </c>
      <c r="L89" s="130">
        <v>0.0</v>
      </c>
      <c r="M89" s="132">
        <v>7.0</v>
      </c>
      <c r="N89" s="1">
        <v>0.0</v>
      </c>
      <c r="O89" s="1">
        <v>0.0</v>
      </c>
    </row>
    <row r="90" ht="15.75" hidden="1" customHeight="1">
      <c r="A90" s="127">
        <v>45665.0</v>
      </c>
      <c r="B90" s="125" t="s">
        <v>5711</v>
      </c>
      <c r="C90" s="128">
        <v>45724.0</v>
      </c>
      <c r="D90" s="123" t="s">
        <v>4</v>
      </c>
      <c r="E90" s="123">
        <v>1270458.0</v>
      </c>
      <c r="F90" s="124">
        <v>0.0</v>
      </c>
      <c r="G90" s="124" t="s">
        <v>5712</v>
      </c>
      <c r="H90" s="124" t="s">
        <v>5705</v>
      </c>
      <c r="I90" s="124" t="s">
        <v>13</v>
      </c>
      <c r="J90" s="124" t="s">
        <v>5708</v>
      </c>
      <c r="K90" s="125" t="s">
        <v>142</v>
      </c>
      <c r="L90" s="125">
        <v>97.0</v>
      </c>
      <c r="M90" s="126"/>
      <c r="N90" s="1">
        <v>97.0</v>
      </c>
      <c r="O90" s="1" t="s">
        <v>5713</v>
      </c>
    </row>
    <row r="91" ht="15.75" hidden="1" customHeight="1">
      <c r="A91" s="129">
        <v>45665.0</v>
      </c>
      <c r="B91" s="130" t="s">
        <v>5711</v>
      </c>
      <c r="C91" s="131">
        <v>45724.0</v>
      </c>
      <c r="D91" s="117" t="s">
        <v>4</v>
      </c>
      <c r="E91" s="117">
        <v>1270458.0</v>
      </c>
      <c r="F91" s="62">
        <v>0.0</v>
      </c>
      <c r="G91" s="62" t="s">
        <v>5712</v>
      </c>
      <c r="H91" s="62" t="s">
        <v>5705</v>
      </c>
      <c r="I91" s="62" t="s">
        <v>13</v>
      </c>
      <c r="J91" s="118" t="s">
        <v>5708</v>
      </c>
      <c r="K91" s="130" t="s">
        <v>160</v>
      </c>
      <c r="L91" s="130">
        <v>0.0</v>
      </c>
      <c r="M91" s="132">
        <v>1.0</v>
      </c>
      <c r="N91" s="1">
        <v>0.0</v>
      </c>
      <c r="O91" s="1">
        <v>0.0</v>
      </c>
    </row>
    <row r="92" ht="15.75" hidden="1" customHeight="1">
      <c r="A92" s="127">
        <v>45665.0</v>
      </c>
      <c r="B92" s="125" t="s">
        <v>5711</v>
      </c>
      <c r="C92" s="128">
        <v>45724.0</v>
      </c>
      <c r="D92" s="123" t="s">
        <v>4</v>
      </c>
      <c r="E92" s="123">
        <v>1270458.0</v>
      </c>
      <c r="F92" s="124">
        <v>0.0</v>
      </c>
      <c r="G92" s="124" t="s">
        <v>5712</v>
      </c>
      <c r="H92" s="124" t="s">
        <v>5705</v>
      </c>
      <c r="I92" s="124" t="s">
        <v>13</v>
      </c>
      <c r="J92" s="124" t="s">
        <v>5708</v>
      </c>
      <c r="K92" s="125" t="s">
        <v>163</v>
      </c>
      <c r="L92" s="125">
        <v>2.0</v>
      </c>
      <c r="M92" s="126"/>
      <c r="N92" s="1">
        <v>2.0</v>
      </c>
      <c r="O92" s="1" t="s">
        <v>5713</v>
      </c>
    </row>
    <row r="93" ht="15.75" hidden="1" customHeight="1">
      <c r="A93" s="129">
        <v>45665.0</v>
      </c>
      <c r="B93" s="130" t="s">
        <v>5711</v>
      </c>
      <c r="C93" s="131">
        <v>45724.0</v>
      </c>
      <c r="D93" s="117" t="s">
        <v>4</v>
      </c>
      <c r="E93" s="117">
        <v>1270458.0</v>
      </c>
      <c r="F93" s="62">
        <v>0.0</v>
      </c>
      <c r="G93" s="62" t="s">
        <v>5712</v>
      </c>
      <c r="H93" s="62" t="s">
        <v>5705</v>
      </c>
      <c r="I93" s="62" t="s">
        <v>13</v>
      </c>
      <c r="J93" s="118" t="s">
        <v>5708</v>
      </c>
      <c r="K93" s="130" t="s">
        <v>160</v>
      </c>
      <c r="L93" s="62">
        <v>0.0</v>
      </c>
      <c r="M93" s="132">
        <v>1.0</v>
      </c>
      <c r="N93" s="1">
        <v>0.0</v>
      </c>
      <c r="O93" s="1">
        <v>0.0</v>
      </c>
    </row>
    <row r="94" ht="15.75" hidden="1" customHeight="1">
      <c r="A94" s="127">
        <v>45665.0</v>
      </c>
      <c r="B94" s="128">
        <v>45755.0</v>
      </c>
      <c r="C94" s="128">
        <v>45755.0</v>
      </c>
      <c r="D94" s="123" t="s">
        <v>4</v>
      </c>
      <c r="E94" s="123">
        <v>1270458.0</v>
      </c>
      <c r="F94" s="124">
        <v>0.0</v>
      </c>
      <c r="G94" s="124" t="s">
        <v>5712</v>
      </c>
      <c r="H94" s="124" t="s">
        <v>5705</v>
      </c>
      <c r="I94" s="124" t="s">
        <v>13</v>
      </c>
      <c r="J94" s="124" t="s">
        <v>5708</v>
      </c>
      <c r="K94" s="125" t="s">
        <v>163</v>
      </c>
      <c r="L94" s="125">
        <v>4.0</v>
      </c>
      <c r="M94" s="126"/>
      <c r="N94" s="1">
        <v>4.0</v>
      </c>
      <c r="O94" s="1" t="s">
        <v>5713</v>
      </c>
    </row>
    <row r="95" ht="15.75" hidden="1" customHeight="1">
      <c r="A95" s="129">
        <v>45665.0</v>
      </c>
      <c r="B95" s="131">
        <v>45755.0</v>
      </c>
      <c r="C95" s="131">
        <v>45755.0</v>
      </c>
      <c r="D95" s="117" t="s">
        <v>4</v>
      </c>
      <c r="E95" s="117">
        <v>1270458.0</v>
      </c>
      <c r="F95" s="62">
        <v>0.0</v>
      </c>
      <c r="G95" s="62" t="s">
        <v>5712</v>
      </c>
      <c r="H95" s="62" t="s">
        <v>5705</v>
      </c>
      <c r="I95" s="62" t="s">
        <v>13</v>
      </c>
      <c r="J95" s="118" t="s">
        <v>5708</v>
      </c>
      <c r="K95" s="130" t="s">
        <v>153</v>
      </c>
      <c r="L95" s="130">
        <v>0.64</v>
      </c>
      <c r="M95" s="132">
        <v>0.0</v>
      </c>
      <c r="N95" s="1"/>
      <c r="O95" s="1" t="s">
        <v>5713</v>
      </c>
    </row>
    <row r="96" ht="15.75" hidden="1" customHeight="1">
      <c r="A96" s="127">
        <v>45665.0</v>
      </c>
      <c r="B96" s="128">
        <v>45755.0</v>
      </c>
      <c r="C96" s="128">
        <v>45755.0</v>
      </c>
      <c r="D96" s="123" t="s">
        <v>4</v>
      </c>
      <c r="E96" s="123">
        <v>1270458.0</v>
      </c>
      <c r="F96" s="124">
        <v>0.0</v>
      </c>
      <c r="G96" s="124" t="s">
        <v>5712</v>
      </c>
      <c r="H96" s="124" t="s">
        <v>5705</v>
      </c>
      <c r="I96" s="124" t="s">
        <v>13</v>
      </c>
      <c r="J96" s="124" t="s">
        <v>5708</v>
      </c>
      <c r="K96" s="125" t="s">
        <v>160</v>
      </c>
      <c r="L96" s="125">
        <v>0.0</v>
      </c>
      <c r="M96" s="126">
        <v>104.0</v>
      </c>
      <c r="N96" s="1">
        <v>0.0</v>
      </c>
      <c r="O96" s="1">
        <v>0.0</v>
      </c>
    </row>
    <row r="97" ht="15.75" hidden="1" customHeight="1">
      <c r="A97" s="129">
        <v>45665.0</v>
      </c>
      <c r="B97" s="131">
        <v>45755.0</v>
      </c>
      <c r="C97" s="131">
        <v>45755.0</v>
      </c>
      <c r="D97" s="117" t="s">
        <v>4</v>
      </c>
      <c r="E97" s="117">
        <v>1270458.0</v>
      </c>
      <c r="F97" s="62">
        <v>0.0</v>
      </c>
      <c r="G97" s="62" t="s">
        <v>5712</v>
      </c>
      <c r="H97" s="62" t="s">
        <v>5705</v>
      </c>
      <c r="I97" s="62" t="s">
        <v>13</v>
      </c>
      <c r="J97" s="118" t="s">
        <v>5708</v>
      </c>
      <c r="K97" s="130" t="s">
        <v>142</v>
      </c>
      <c r="L97" s="130">
        <v>91.0</v>
      </c>
      <c r="M97" s="132"/>
      <c r="N97" s="1">
        <v>91.0</v>
      </c>
      <c r="O97" s="1" t="s">
        <v>5713</v>
      </c>
    </row>
    <row r="98" ht="15.75" hidden="1" customHeight="1">
      <c r="A98" s="127">
        <v>45665.0</v>
      </c>
      <c r="B98" s="128">
        <v>45755.0</v>
      </c>
      <c r="C98" s="128">
        <v>45755.0</v>
      </c>
      <c r="D98" s="123" t="s">
        <v>4</v>
      </c>
      <c r="E98" s="123">
        <v>1270458.0</v>
      </c>
      <c r="F98" s="124">
        <v>0.0</v>
      </c>
      <c r="G98" s="124" t="s">
        <v>5712</v>
      </c>
      <c r="H98" s="124" t="s">
        <v>5705</v>
      </c>
      <c r="I98" s="124" t="s">
        <v>13</v>
      </c>
      <c r="J98" s="124" t="s">
        <v>5708</v>
      </c>
      <c r="K98" s="125" t="s">
        <v>158</v>
      </c>
      <c r="L98" s="125">
        <v>2100.0</v>
      </c>
      <c r="M98" s="126">
        <v>21.0</v>
      </c>
      <c r="N98" s="1">
        <v>100.0</v>
      </c>
      <c r="O98" s="1">
        <v>100.0</v>
      </c>
    </row>
    <row r="99" ht="15.75" hidden="1" customHeight="1">
      <c r="A99" s="129">
        <v>45665.0</v>
      </c>
      <c r="B99" s="131">
        <v>45755.0</v>
      </c>
      <c r="C99" s="131">
        <v>45755.0</v>
      </c>
      <c r="D99" s="117" t="s">
        <v>4</v>
      </c>
      <c r="E99" s="117">
        <v>1270458.0</v>
      </c>
      <c r="F99" s="62">
        <v>0.0</v>
      </c>
      <c r="G99" s="62" t="s">
        <v>5712</v>
      </c>
      <c r="H99" s="62" t="s">
        <v>5705</v>
      </c>
      <c r="I99" s="62" t="s">
        <v>13</v>
      </c>
      <c r="J99" s="118" t="s">
        <v>5708</v>
      </c>
      <c r="K99" s="130" t="s">
        <v>147</v>
      </c>
      <c r="L99" s="130">
        <v>0.0</v>
      </c>
      <c r="M99" s="133">
        <v>1.0</v>
      </c>
      <c r="N99" s="1">
        <v>0.0</v>
      </c>
      <c r="O99" s="1">
        <v>0.0</v>
      </c>
    </row>
    <row r="100" ht="15.75" hidden="1" customHeight="1">
      <c r="A100" s="127">
        <v>45665.0</v>
      </c>
      <c r="B100" s="128">
        <v>45755.0</v>
      </c>
      <c r="C100" s="128">
        <v>45755.0</v>
      </c>
      <c r="D100" s="123" t="s">
        <v>4</v>
      </c>
      <c r="E100" s="123">
        <v>1270458.0</v>
      </c>
      <c r="F100" s="124">
        <v>0.0</v>
      </c>
      <c r="G100" s="124" t="s">
        <v>5712</v>
      </c>
      <c r="H100" s="124" t="s">
        <v>5705</v>
      </c>
      <c r="I100" s="124" t="s">
        <v>13</v>
      </c>
      <c r="J100" s="124" t="s">
        <v>5708</v>
      </c>
      <c r="K100" s="125" t="s">
        <v>147</v>
      </c>
      <c r="L100" s="125">
        <v>0.0</v>
      </c>
      <c r="M100" s="134">
        <v>1.0</v>
      </c>
      <c r="N100" s="1">
        <v>0.0</v>
      </c>
      <c r="O100" s="1">
        <v>0.0</v>
      </c>
    </row>
    <row r="101" ht="15.75" hidden="1" customHeight="1">
      <c r="A101" s="129">
        <v>45665.0</v>
      </c>
      <c r="B101" s="130" t="s">
        <v>5711</v>
      </c>
      <c r="C101" s="131">
        <v>45724.0</v>
      </c>
      <c r="D101" s="117" t="s">
        <v>4</v>
      </c>
      <c r="E101" s="117">
        <v>1270458.0</v>
      </c>
      <c r="F101" s="62">
        <v>0.0</v>
      </c>
      <c r="G101" s="62" t="s">
        <v>5712</v>
      </c>
      <c r="H101" s="62" t="s">
        <v>5705</v>
      </c>
      <c r="I101" s="62" t="s">
        <v>13</v>
      </c>
      <c r="J101" s="118" t="s">
        <v>5708</v>
      </c>
      <c r="K101" s="130" t="s">
        <v>160</v>
      </c>
      <c r="L101" s="62">
        <v>0.0</v>
      </c>
      <c r="M101" s="132">
        <v>8.0</v>
      </c>
      <c r="N101" s="1">
        <v>0.0</v>
      </c>
      <c r="O101" s="1">
        <v>0.0</v>
      </c>
    </row>
    <row r="102" ht="15.75" hidden="1" customHeight="1">
      <c r="A102" s="127">
        <v>45665.0</v>
      </c>
      <c r="B102" s="125" t="s">
        <v>5711</v>
      </c>
      <c r="C102" s="128">
        <v>45724.0</v>
      </c>
      <c r="D102" s="123" t="s">
        <v>4</v>
      </c>
      <c r="E102" s="123">
        <v>1270458.0</v>
      </c>
      <c r="F102" s="124">
        <v>0.0</v>
      </c>
      <c r="G102" s="124" t="s">
        <v>5712</v>
      </c>
      <c r="H102" s="124" t="s">
        <v>5705</v>
      </c>
      <c r="I102" s="124" t="s">
        <v>13</v>
      </c>
      <c r="J102" s="124" t="s">
        <v>5708</v>
      </c>
      <c r="K102" s="125" t="s">
        <v>147</v>
      </c>
      <c r="L102" s="125">
        <v>0.0</v>
      </c>
      <c r="M102" s="126">
        <v>2.0</v>
      </c>
      <c r="N102" s="1">
        <v>0.0</v>
      </c>
      <c r="O102" s="1">
        <v>0.0</v>
      </c>
    </row>
    <row r="103" ht="15.75" hidden="1" customHeight="1">
      <c r="A103" s="129">
        <v>45665.0</v>
      </c>
      <c r="B103" s="130" t="s">
        <v>5711</v>
      </c>
      <c r="C103" s="131">
        <v>45724.0</v>
      </c>
      <c r="D103" s="117" t="s">
        <v>4</v>
      </c>
      <c r="E103" s="117">
        <v>1270458.0</v>
      </c>
      <c r="F103" s="62">
        <v>0.0</v>
      </c>
      <c r="G103" s="62" t="s">
        <v>5712</v>
      </c>
      <c r="H103" s="62" t="s">
        <v>5705</v>
      </c>
      <c r="I103" s="62" t="s">
        <v>13</v>
      </c>
      <c r="J103" s="118" t="s">
        <v>5708</v>
      </c>
      <c r="K103" s="130" t="s">
        <v>156</v>
      </c>
      <c r="L103" s="62">
        <v>3300.0</v>
      </c>
      <c r="M103" s="132">
        <v>97.0</v>
      </c>
      <c r="N103" s="1">
        <v>34.02061856</v>
      </c>
      <c r="O103" s="1">
        <v>34.02061856</v>
      </c>
    </row>
    <row r="104" ht="15.75" hidden="1" customHeight="1">
      <c r="A104" s="127">
        <v>45665.0</v>
      </c>
      <c r="B104" s="125" t="s">
        <v>5711</v>
      </c>
      <c r="C104" s="128">
        <v>45724.0</v>
      </c>
      <c r="D104" s="123" t="s">
        <v>4</v>
      </c>
      <c r="E104" s="123">
        <v>1270458.0</v>
      </c>
      <c r="F104" s="124">
        <v>0.0</v>
      </c>
      <c r="G104" s="124" t="s">
        <v>5712</v>
      </c>
      <c r="H104" s="124" t="s">
        <v>5705</v>
      </c>
      <c r="I104" s="124" t="s">
        <v>13</v>
      </c>
      <c r="J104" s="124" t="s">
        <v>5708</v>
      </c>
      <c r="K104" s="125" t="s">
        <v>147</v>
      </c>
      <c r="L104" s="124">
        <v>0.0</v>
      </c>
      <c r="M104" s="126">
        <v>1.0</v>
      </c>
      <c r="N104" s="1">
        <v>0.0</v>
      </c>
      <c r="O104" s="1">
        <v>0.0</v>
      </c>
    </row>
    <row r="105" ht="15.75" hidden="1" customHeight="1">
      <c r="A105" s="129">
        <v>45665.0</v>
      </c>
      <c r="B105" s="131">
        <v>45755.0</v>
      </c>
      <c r="C105" s="131">
        <v>45755.0</v>
      </c>
      <c r="D105" s="117" t="s">
        <v>4</v>
      </c>
      <c r="E105" s="117">
        <v>1270458.0</v>
      </c>
      <c r="F105" s="62">
        <v>0.0</v>
      </c>
      <c r="G105" s="62" t="s">
        <v>5712</v>
      </c>
      <c r="H105" s="62" t="s">
        <v>5705</v>
      </c>
      <c r="I105" s="62" t="s">
        <v>13</v>
      </c>
      <c r="J105" s="118" t="s">
        <v>5708</v>
      </c>
      <c r="K105" s="130" t="s">
        <v>158</v>
      </c>
      <c r="L105" s="130">
        <v>1400.0</v>
      </c>
      <c r="M105" s="132">
        <v>14.0</v>
      </c>
      <c r="N105" s="1">
        <v>100.0</v>
      </c>
      <c r="O105" s="1">
        <v>100.0</v>
      </c>
    </row>
    <row r="106" ht="15.75" hidden="1" customHeight="1">
      <c r="A106" s="127">
        <v>45665.0</v>
      </c>
      <c r="B106" s="128">
        <v>45755.0</v>
      </c>
      <c r="C106" s="128">
        <v>45755.0</v>
      </c>
      <c r="D106" s="123" t="s">
        <v>4</v>
      </c>
      <c r="E106" s="123">
        <v>1270458.0</v>
      </c>
      <c r="F106" s="124">
        <v>0.0</v>
      </c>
      <c r="G106" s="124" t="s">
        <v>5712</v>
      </c>
      <c r="H106" s="124" t="s">
        <v>5705</v>
      </c>
      <c r="I106" s="124" t="s">
        <v>13</v>
      </c>
      <c r="J106" s="124" t="s">
        <v>5708</v>
      </c>
      <c r="K106" s="125" t="s">
        <v>160</v>
      </c>
      <c r="L106" s="125">
        <v>0.0</v>
      </c>
      <c r="M106" s="126">
        <v>4.0</v>
      </c>
      <c r="N106" s="1">
        <v>0.0</v>
      </c>
      <c r="O106" s="1">
        <v>0.0</v>
      </c>
    </row>
    <row r="107" ht="15.75" hidden="1" customHeight="1">
      <c r="A107" s="129">
        <v>45665.0</v>
      </c>
      <c r="B107" s="131">
        <v>45755.0</v>
      </c>
      <c r="C107" s="131">
        <v>45755.0</v>
      </c>
      <c r="D107" s="117" t="s">
        <v>4</v>
      </c>
      <c r="E107" s="117">
        <v>1270458.0</v>
      </c>
      <c r="F107" s="62">
        <v>0.0</v>
      </c>
      <c r="G107" s="62" t="s">
        <v>5712</v>
      </c>
      <c r="H107" s="62" t="s">
        <v>5705</v>
      </c>
      <c r="I107" s="62" t="s">
        <v>13</v>
      </c>
      <c r="J107" s="118" t="s">
        <v>5708</v>
      </c>
      <c r="K107" s="130" t="s">
        <v>163</v>
      </c>
      <c r="L107" s="130">
        <v>4.0</v>
      </c>
      <c r="M107" s="132"/>
      <c r="N107" s="1">
        <v>4.0</v>
      </c>
      <c r="O107" s="1" t="s">
        <v>5713</v>
      </c>
    </row>
    <row r="108" ht="15.75" hidden="1" customHeight="1">
      <c r="A108" s="127">
        <v>45665.0</v>
      </c>
      <c r="B108" s="128">
        <v>45755.0</v>
      </c>
      <c r="C108" s="128">
        <v>45755.0</v>
      </c>
      <c r="D108" s="123" t="s">
        <v>4</v>
      </c>
      <c r="E108" s="123">
        <v>1270458.0</v>
      </c>
      <c r="F108" s="124">
        <v>0.0</v>
      </c>
      <c r="G108" s="124" t="s">
        <v>5712</v>
      </c>
      <c r="H108" s="124" t="s">
        <v>5705</v>
      </c>
      <c r="I108" s="124" t="s">
        <v>13</v>
      </c>
      <c r="J108" s="124" t="s">
        <v>5708</v>
      </c>
      <c r="K108" s="125" t="s">
        <v>158</v>
      </c>
      <c r="L108" s="125">
        <v>1500.0</v>
      </c>
      <c r="M108" s="126">
        <v>15.0</v>
      </c>
      <c r="N108" s="1">
        <v>100.0</v>
      </c>
      <c r="O108" s="1">
        <v>100.0</v>
      </c>
    </row>
    <row r="109" ht="15.75" hidden="1" customHeight="1">
      <c r="A109" s="129">
        <v>45665.0</v>
      </c>
      <c r="B109" s="131">
        <v>45755.0</v>
      </c>
      <c r="C109" s="131">
        <v>45755.0</v>
      </c>
      <c r="D109" s="117" t="s">
        <v>4</v>
      </c>
      <c r="E109" s="117">
        <v>1270458.0</v>
      </c>
      <c r="F109" s="62">
        <v>0.0</v>
      </c>
      <c r="G109" s="62" t="s">
        <v>5712</v>
      </c>
      <c r="H109" s="62" t="s">
        <v>5705</v>
      </c>
      <c r="I109" s="62" t="s">
        <v>13</v>
      </c>
      <c r="J109" s="118" t="s">
        <v>5708</v>
      </c>
      <c r="K109" s="130" t="s">
        <v>158</v>
      </c>
      <c r="L109" s="62">
        <v>19100.0</v>
      </c>
      <c r="M109" s="132">
        <v>267.0</v>
      </c>
      <c r="N109" s="1">
        <v>71.53558052</v>
      </c>
      <c r="O109" s="1">
        <v>71.53558052</v>
      </c>
    </row>
    <row r="110" ht="15.75" hidden="1" customHeight="1">
      <c r="A110" s="127">
        <v>45665.0</v>
      </c>
      <c r="B110" s="128">
        <v>45755.0</v>
      </c>
      <c r="C110" s="128">
        <v>45755.0</v>
      </c>
      <c r="D110" s="123" t="s">
        <v>4</v>
      </c>
      <c r="E110" s="123">
        <v>1270458.0</v>
      </c>
      <c r="F110" s="124">
        <v>0.0</v>
      </c>
      <c r="G110" s="124" t="s">
        <v>5712</v>
      </c>
      <c r="H110" s="124" t="s">
        <v>5705</v>
      </c>
      <c r="I110" s="124" t="s">
        <v>13</v>
      </c>
      <c r="J110" s="124" t="s">
        <v>5708</v>
      </c>
      <c r="K110" s="125" t="s">
        <v>147</v>
      </c>
      <c r="L110" s="124">
        <v>1500.0</v>
      </c>
      <c r="M110" s="126">
        <v>104.0</v>
      </c>
      <c r="N110" s="1">
        <v>14.42307692</v>
      </c>
      <c r="O110" s="1">
        <v>14.42307692</v>
      </c>
    </row>
    <row r="111" ht="15.75" hidden="1" customHeight="1">
      <c r="A111" s="129">
        <v>45665.0</v>
      </c>
      <c r="B111" s="131">
        <v>45755.0</v>
      </c>
      <c r="C111" s="131">
        <v>45755.0</v>
      </c>
      <c r="D111" s="117" t="s">
        <v>4</v>
      </c>
      <c r="E111" s="117">
        <v>1270458.0</v>
      </c>
      <c r="F111" s="62">
        <v>0.0</v>
      </c>
      <c r="G111" s="62" t="s">
        <v>5712</v>
      </c>
      <c r="H111" s="62" t="s">
        <v>5705</v>
      </c>
      <c r="I111" s="62" t="s">
        <v>13</v>
      </c>
      <c r="J111" s="118" t="s">
        <v>5708</v>
      </c>
      <c r="K111" s="130" t="s">
        <v>154</v>
      </c>
      <c r="L111" s="62">
        <v>9400.0</v>
      </c>
      <c r="M111" s="132">
        <v>217.0</v>
      </c>
      <c r="N111" s="1">
        <v>43.31797235</v>
      </c>
      <c r="O111" s="1">
        <v>43.31797235</v>
      </c>
    </row>
    <row r="112" ht="15.75" customHeight="1">
      <c r="A112" s="127">
        <v>45665.0</v>
      </c>
      <c r="B112" s="128">
        <v>45755.0</v>
      </c>
      <c r="C112" s="128">
        <v>45755.0</v>
      </c>
      <c r="D112" s="123" t="s">
        <v>4</v>
      </c>
      <c r="E112" s="123">
        <v>1270458.0</v>
      </c>
      <c r="F112" s="124">
        <v>0.0</v>
      </c>
      <c r="G112" s="124" t="s">
        <v>5712</v>
      </c>
      <c r="H112" s="124" t="s">
        <v>5705</v>
      </c>
      <c r="I112" s="124" t="s">
        <v>13</v>
      </c>
      <c r="J112" s="124" t="s">
        <v>5708</v>
      </c>
      <c r="K112" s="125" t="s">
        <v>139</v>
      </c>
      <c r="L112" s="125">
        <v>91.0</v>
      </c>
      <c r="M112" s="126">
        <v>6.2085</v>
      </c>
      <c r="N112" s="1">
        <v>14.65732464</v>
      </c>
      <c r="O112" s="1">
        <v>14.65732464</v>
      </c>
    </row>
    <row r="113" ht="15.75" hidden="1" customHeight="1">
      <c r="A113" s="129">
        <v>45665.0</v>
      </c>
      <c r="B113" s="131">
        <v>45755.0</v>
      </c>
      <c r="C113" s="131">
        <v>45755.0</v>
      </c>
      <c r="D113" s="117" t="s">
        <v>4</v>
      </c>
      <c r="E113" s="117">
        <v>1270458.0</v>
      </c>
      <c r="F113" s="62">
        <v>0.0</v>
      </c>
      <c r="G113" s="62" t="s">
        <v>5712</v>
      </c>
      <c r="H113" s="62" t="s">
        <v>5705</v>
      </c>
      <c r="I113" s="62" t="s">
        <v>13</v>
      </c>
      <c r="J113" s="118" t="s">
        <v>5708</v>
      </c>
      <c r="K113" s="130" t="s">
        <v>160</v>
      </c>
      <c r="L113" s="62">
        <v>0.0</v>
      </c>
      <c r="M113" s="132">
        <v>1.0</v>
      </c>
      <c r="N113" s="1">
        <v>0.0</v>
      </c>
      <c r="O113" s="1">
        <v>0.0</v>
      </c>
    </row>
    <row r="114" ht="15.75" hidden="1" customHeight="1">
      <c r="A114" s="127">
        <v>45665.0</v>
      </c>
      <c r="B114" s="128">
        <v>45755.0</v>
      </c>
      <c r="C114" s="128">
        <v>45755.0</v>
      </c>
      <c r="D114" s="123" t="s">
        <v>4</v>
      </c>
      <c r="E114" s="123">
        <v>1270458.0</v>
      </c>
      <c r="F114" s="124">
        <v>0.0</v>
      </c>
      <c r="G114" s="124" t="s">
        <v>5712</v>
      </c>
      <c r="H114" s="124" t="s">
        <v>5705</v>
      </c>
      <c r="I114" s="124" t="s">
        <v>13</v>
      </c>
      <c r="J114" s="124" t="s">
        <v>5708</v>
      </c>
      <c r="K114" s="125" t="s">
        <v>158</v>
      </c>
      <c r="L114" s="125">
        <v>1200.0</v>
      </c>
      <c r="M114" s="126">
        <v>12.0</v>
      </c>
      <c r="N114" s="1">
        <v>100.0</v>
      </c>
      <c r="O114" s="1">
        <v>100.0</v>
      </c>
    </row>
    <row r="115" ht="15.75" hidden="1" customHeight="1">
      <c r="A115" s="129">
        <v>45665.0</v>
      </c>
      <c r="B115" s="131">
        <v>45755.0</v>
      </c>
      <c r="C115" s="131">
        <v>45785.0</v>
      </c>
      <c r="D115" s="117" t="s">
        <v>4</v>
      </c>
      <c r="E115" s="117">
        <v>1270458.0</v>
      </c>
      <c r="F115" s="62">
        <v>0.0</v>
      </c>
      <c r="G115" s="62" t="s">
        <v>5712</v>
      </c>
      <c r="H115" s="62" t="s">
        <v>5705</v>
      </c>
      <c r="I115" s="62" t="s">
        <v>13</v>
      </c>
      <c r="J115" s="118" t="s">
        <v>5708</v>
      </c>
      <c r="K115" s="130" t="s">
        <v>153</v>
      </c>
      <c r="L115" s="62">
        <v>0.0</v>
      </c>
      <c r="M115" s="132">
        <v>1.0</v>
      </c>
      <c r="N115" s="1">
        <v>0.0</v>
      </c>
      <c r="O115" s="1">
        <v>0.0</v>
      </c>
    </row>
    <row r="116" ht="15.75" hidden="1" customHeight="1">
      <c r="A116" s="127">
        <v>45665.0</v>
      </c>
      <c r="B116" s="128">
        <v>45755.0</v>
      </c>
      <c r="C116" s="128">
        <v>45785.0</v>
      </c>
      <c r="D116" s="123" t="s">
        <v>4</v>
      </c>
      <c r="E116" s="123">
        <v>1270458.0</v>
      </c>
      <c r="F116" s="124">
        <v>0.0</v>
      </c>
      <c r="G116" s="124" t="s">
        <v>5712</v>
      </c>
      <c r="H116" s="124" t="s">
        <v>5705</v>
      </c>
      <c r="I116" s="124" t="s">
        <v>13</v>
      </c>
      <c r="J116" s="124" t="s">
        <v>5708</v>
      </c>
      <c r="K116" s="125" t="s">
        <v>147</v>
      </c>
      <c r="L116" s="125">
        <v>0.0</v>
      </c>
      <c r="M116" s="126">
        <v>2.0</v>
      </c>
      <c r="N116" s="1">
        <v>0.0</v>
      </c>
      <c r="O116" s="1">
        <v>0.0</v>
      </c>
    </row>
    <row r="117" ht="15.75" hidden="1" customHeight="1">
      <c r="A117" s="129">
        <v>45665.0</v>
      </c>
      <c r="B117" s="131">
        <v>45755.0</v>
      </c>
      <c r="C117" s="131">
        <v>45785.0</v>
      </c>
      <c r="D117" s="117" t="s">
        <v>4</v>
      </c>
      <c r="E117" s="117">
        <v>1270458.0</v>
      </c>
      <c r="F117" s="62">
        <v>0.0</v>
      </c>
      <c r="G117" s="62" t="s">
        <v>5712</v>
      </c>
      <c r="H117" s="62" t="s">
        <v>5705</v>
      </c>
      <c r="I117" s="62" t="s">
        <v>13</v>
      </c>
      <c r="J117" s="118" t="s">
        <v>5708</v>
      </c>
      <c r="K117" s="130" t="s">
        <v>163</v>
      </c>
      <c r="L117" s="62">
        <v>2.0</v>
      </c>
      <c r="M117" s="132"/>
      <c r="N117" s="1">
        <v>2.0</v>
      </c>
      <c r="O117" s="1" t="s">
        <v>5713</v>
      </c>
    </row>
    <row r="118" ht="15.75" hidden="1" customHeight="1">
      <c r="A118" s="127">
        <v>45665.0</v>
      </c>
      <c r="B118" s="128">
        <v>45755.0</v>
      </c>
      <c r="C118" s="128">
        <v>45785.0</v>
      </c>
      <c r="D118" s="123" t="s">
        <v>4</v>
      </c>
      <c r="E118" s="123">
        <v>1270458.0</v>
      </c>
      <c r="F118" s="124">
        <v>0.0</v>
      </c>
      <c r="G118" s="124" t="s">
        <v>5712</v>
      </c>
      <c r="H118" s="124" t="s">
        <v>5705</v>
      </c>
      <c r="I118" s="124" t="s">
        <v>13</v>
      </c>
      <c r="J118" s="124" t="s">
        <v>5708</v>
      </c>
      <c r="K118" s="125" t="s">
        <v>163</v>
      </c>
      <c r="L118" s="124">
        <v>104.0</v>
      </c>
      <c r="M118" s="126"/>
      <c r="N118" s="1">
        <v>104.0</v>
      </c>
      <c r="O118" s="1" t="s">
        <v>5713</v>
      </c>
    </row>
    <row r="119" ht="15.75" hidden="1" customHeight="1">
      <c r="A119" s="129">
        <v>45665.0</v>
      </c>
      <c r="B119" s="131">
        <v>45755.0</v>
      </c>
      <c r="C119" s="131">
        <v>45755.0</v>
      </c>
      <c r="D119" s="117" t="s">
        <v>4</v>
      </c>
      <c r="E119" s="117">
        <v>1270458.0</v>
      </c>
      <c r="F119" s="62">
        <v>0.0</v>
      </c>
      <c r="G119" s="62" t="s">
        <v>5712</v>
      </c>
      <c r="H119" s="62" t="s">
        <v>5705</v>
      </c>
      <c r="I119" s="62" t="s">
        <v>13</v>
      </c>
      <c r="J119" s="118" t="s">
        <v>5708</v>
      </c>
      <c r="K119" s="130" t="s">
        <v>158</v>
      </c>
      <c r="L119" s="62">
        <v>1000.0</v>
      </c>
      <c r="M119" s="132">
        <v>19.0</v>
      </c>
      <c r="N119" s="1">
        <v>52.63157895</v>
      </c>
      <c r="O119" s="1">
        <v>52.63157895</v>
      </c>
    </row>
    <row r="120" ht="15.75" hidden="1" customHeight="1">
      <c r="A120" s="127">
        <v>45665.0</v>
      </c>
      <c r="B120" s="128">
        <v>45755.0</v>
      </c>
      <c r="C120" s="128">
        <v>45755.0</v>
      </c>
      <c r="D120" s="123" t="s">
        <v>4</v>
      </c>
      <c r="E120" s="123">
        <v>1270458.0</v>
      </c>
      <c r="F120" s="124">
        <v>0.0</v>
      </c>
      <c r="G120" s="124" t="s">
        <v>5712</v>
      </c>
      <c r="H120" s="124" t="s">
        <v>5705</v>
      </c>
      <c r="I120" s="124" t="s">
        <v>13</v>
      </c>
      <c r="J120" s="124" t="s">
        <v>5708</v>
      </c>
      <c r="K120" s="125" t="s">
        <v>158</v>
      </c>
      <c r="L120" s="125">
        <v>0.0</v>
      </c>
      <c r="M120" s="126">
        <v>36.0</v>
      </c>
      <c r="N120" s="1">
        <v>0.0</v>
      </c>
      <c r="O120" s="1">
        <v>0.0</v>
      </c>
    </row>
    <row r="121" ht="15.75" hidden="1" customHeight="1">
      <c r="A121" s="129">
        <v>45665.0</v>
      </c>
      <c r="B121" s="131">
        <v>45755.0</v>
      </c>
      <c r="C121" s="131">
        <v>45755.0</v>
      </c>
      <c r="D121" s="117" t="s">
        <v>4</v>
      </c>
      <c r="E121" s="117">
        <v>1270458.0</v>
      </c>
      <c r="F121" s="62">
        <v>0.0</v>
      </c>
      <c r="G121" s="62" t="s">
        <v>5712</v>
      </c>
      <c r="H121" s="62" t="s">
        <v>5705</v>
      </c>
      <c r="I121" s="62" t="s">
        <v>13</v>
      </c>
      <c r="J121" s="118" t="s">
        <v>5708</v>
      </c>
      <c r="K121" s="130" t="s">
        <v>147</v>
      </c>
      <c r="L121" s="130">
        <v>0.0</v>
      </c>
      <c r="M121" s="132">
        <v>4.0</v>
      </c>
      <c r="N121" s="1">
        <v>0.0</v>
      </c>
      <c r="O121" s="1">
        <v>0.0</v>
      </c>
    </row>
    <row r="122" ht="15.75" hidden="1" customHeight="1">
      <c r="A122" s="127">
        <v>45665.0</v>
      </c>
      <c r="B122" s="128">
        <v>45755.0</v>
      </c>
      <c r="C122" s="128">
        <v>45755.0</v>
      </c>
      <c r="D122" s="123" t="s">
        <v>4</v>
      </c>
      <c r="E122" s="123">
        <v>1270458.0</v>
      </c>
      <c r="F122" s="124">
        <v>0.0</v>
      </c>
      <c r="G122" s="124" t="s">
        <v>5712</v>
      </c>
      <c r="H122" s="124" t="s">
        <v>5705</v>
      </c>
      <c r="I122" s="124" t="s">
        <v>13</v>
      </c>
      <c r="J122" s="124" t="s">
        <v>5708</v>
      </c>
      <c r="K122" s="125" t="s">
        <v>158</v>
      </c>
      <c r="L122" s="125">
        <v>4800.0</v>
      </c>
      <c r="M122" s="126">
        <v>76.0</v>
      </c>
      <c r="N122" s="1">
        <v>63.15789474</v>
      </c>
      <c r="O122" s="1">
        <v>63.15789474</v>
      </c>
    </row>
    <row r="123" ht="15.75" hidden="1" customHeight="1">
      <c r="A123" s="129">
        <v>45665.0</v>
      </c>
      <c r="B123" s="131">
        <v>45755.0</v>
      </c>
      <c r="C123" s="131">
        <v>45755.0</v>
      </c>
      <c r="D123" s="117" t="s">
        <v>4</v>
      </c>
      <c r="E123" s="117">
        <v>1270458.0</v>
      </c>
      <c r="F123" s="62">
        <v>0.0</v>
      </c>
      <c r="G123" s="62" t="s">
        <v>5712</v>
      </c>
      <c r="H123" s="62" t="s">
        <v>5705</v>
      </c>
      <c r="I123" s="118" t="s">
        <v>5708</v>
      </c>
      <c r="J123" s="118" t="s">
        <v>5708</v>
      </c>
      <c r="K123" s="130" t="s">
        <v>7</v>
      </c>
      <c r="L123" s="62">
        <v>100.0</v>
      </c>
      <c r="M123" s="132">
        <v>23.0</v>
      </c>
      <c r="N123" s="1">
        <v>4.347826087</v>
      </c>
      <c r="O123" s="1">
        <v>4.347826087</v>
      </c>
    </row>
    <row r="124" ht="15.75" hidden="1" customHeight="1">
      <c r="A124" s="127">
        <v>45665.0</v>
      </c>
      <c r="B124" s="128">
        <v>45755.0</v>
      </c>
      <c r="C124" s="128">
        <v>45755.0</v>
      </c>
      <c r="D124" s="123" t="s">
        <v>4</v>
      </c>
      <c r="E124" s="123">
        <v>1270458.0</v>
      </c>
      <c r="F124" s="124">
        <v>0.0</v>
      </c>
      <c r="G124" s="124" t="s">
        <v>5712</v>
      </c>
      <c r="H124" s="124" t="s">
        <v>5705</v>
      </c>
      <c r="I124" s="124" t="s">
        <v>13</v>
      </c>
      <c r="J124" s="124" t="s">
        <v>5708</v>
      </c>
      <c r="K124" s="125" t="s">
        <v>160</v>
      </c>
      <c r="L124" s="124">
        <v>0.0</v>
      </c>
      <c r="M124" s="126">
        <v>3.0</v>
      </c>
      <c r="N124" s="1">
        <v>0.0</v>
      </c>
      <c r="O124" s="1">
        <v>0.0</v>
      </c>
    </row>
    <row r="125" ht="15.75" hidden="1" customHeight="1">
      <c r="A125" s="129">
        <v>45665.0</v>
      </c>
      <c r="B125" s="131">
        <v>45755.0</v>
      </c>
      <c r="C125" s="131">
        <v>45755.0</v>
      </c>
      <c r="D125" s="117" t="s">
        <v>4</v>
      </c>
      <c r="E125" s="117">
        <v>1270458.0</v>
      </c>
      <c r="F125" s="62">
        <v>0.0</v>
      </c>
      <c r="G125" s="62" t="s">
        <v>5712</v>
      </c>
      <c r="H125" s="62" t="s">
        <v>5705</v>
      </c>
      <c r="I125" s="62" t="s">
        <v>13</v>
      </c>
      <c r="J125" s="118" t="s">
        <v>5708</v>
      </c>
      <c r="K125" s="130" t="s">
        <v>153</v>
      </c>
      <c r="L125" s="62">
        <v>0.07</v>
      </c>
      <c r="M125" s="132">
        <v>0.0</v>
      </c>
      <c r="N125" s="1"/>
      <c r="O125" s="1" t="s">
        <v>5713</v>
      </c>
    </row>
    <row r="126" ht="15.75" customHeight="1">
      <c r="A126" s="127">
        <v>45665.0</v>
      </c>
      <c r="B126" s="128">
        <v>45755.0</v>
      </c>
      <c r="C126" s="128">
        <v>45755.0</v>
      </c>
      <c r="D126" s="123" t="s">
        <v>4</v>
      </c>
      <c r="E126" s="123">
        <v>1270458.0</v>
      </c>
      <c r="F126" s="124">
        <v>0.0</v>
      </c>
      <c r="G126" s="124" t="s">
        <v>5712</v>
      </c>
      <c r="H126" s="124" t="s">
        <v>5705</v>
      </c>
      <c r="I126" s="124" t="s">
        <v>13</v>
      </c>
      <c r="J126" s="124" t="s">
        <v>5708</v>
      </c>
      <c r="K126" s="125" t="s">
        <v>139</v>
      </c>
      <c r="L126" s="125">
        <v>0.0</v>
      </c>
      <c r="M126" s="126">
        <v>0.001166667</v>
      </c>
      <c r="N126" s="1">
        <v>0.0</v>
      </c>
      <c r="O126" s="1">
        <v>0.0</v>
      </c>
    </row>
    <row r="127" ht="15.75" hidden="1" customHeight="1">
      <c r="A127" s="129">
        <v>45665.0</v>
      </c>
      <c r="B127" s="131">
        <v>45755.0</v>
      </c>
      <c r="C127" s="131">
        <v>45755.0</v>
      </c>
      <c r="D127" s="117" t="s">
        <v>4</v>
      </c>
      <c r="E127" s="117">
        <v>1270458.0</v>
      </c>
      <c r="F127" s="62">
        <v>0.0</v>
      </c>
      <c r="G127" s="62" t="s">
        <v>5712</v>
      </c>
      <c r="H127" s="62" t="s">
        <v>5705</v>
      </c>
      <c r="I127" s="62" t="s">
        <v>13</v>
      </c>
      <c r="J127" s="118" t="s">
        <v>5708</v>
      </c>
      <c r="K127" s="130" t="s">
        <v>163</v>
      </c>
      <c r="L127" s="130">
        <v>2.0</v>
      </c>
      <c r="M127" s="132"/>
      <c r="N127" s="1">
        <v>2.0</v>
      </c>
      <c r="O127" s="1" t="s">
        <v>5713</v>
      </c>
    </row>
    <row r="128" ht="15.75" hidden="1" customHeight="1">
      <c r="A128" s="127">
        <v>45665.0</v>
      </c>
      <c r="B128" s="128">
        <v>45755.0</v>
      </c>
      <c r="C128" s="128">
        <v>45755.0</v>
      </c>
      <c r="D128" s="123" t="s">
        <v>4</v>
      </c>
      <c r="E128" s="123">
        <v>1270458.0</v>
      </c>
      <c r="F128" s="124">
        <v>0.0</v>
      </c>
      <c r="G128" s="124" t="s">
        <v>5712</v>
      </c>
      <c r="H128" s="124" t="s">
        <v>5705</v>
      </c>
      <c r="I128" s="124" t="s">
        <v>13</v>
      </c>
      <c r="J128" s="124" t="s">
        <v>5708</v>
      </c>
      <c r="K128" s="125" t="s">
        <v>11</v>
      </c>
      <c r="L128" s="125">
        <v>0.0</v>
      </c>
      <c r="M128" s="126">
        <v>7.5</v>
      </c>
      <c r="N128" s="1">
        <v>0.0</v>
      </c>
      <c r="O128" s="1">
        <v>0.0</v>
      </c>
    </row>
    <row r="129" ht="15.75" hidden="1" customHeight="1">
      <c r="A129" s="129">
        <v>45665.0</v>
      </c>
      <c r="B129" s="131">
        <v>45755.0</v>
      </c>
      <c r="C129" s="131">
        <v>45755.0</v>
      </c>
      <c r="D129" s="117" t="s">
        <v>4</v>
      </c>
      <c r="E129" s="117">
        <v>1270458.0</v>
      </c>
      <c r="F129" s="62">
        <v>0.0</v>
      </c>
      <c r="G129" s="62" t="s">
        <v>5712</v>
      </c>
      <c r="H129" s="62" t="s">
        <v>5705</v>
      </c>
      <c r="I129" s="62" t="s">
        <v>13</v>
      </c>
      <c r="J129" s="118" t="s">
        <v>5708</v>
      </c>
      <c r="K129" s="130" t="s">
        <v>153</v>
      </c>
      <c r="L129" s="130">
        <v>372.51</v>
      </c>
      <c r="M129" s="132">
        <v>91.0</v>
      </c>
      <c r="N129" s="1">
        <v>4.093516484</v>
      </c>
      <c r="O129" s="1">
        <v>4.093516484</v>
      </c>
    </row>
    <row r="130" ht="15.75" hidden="1" customHeight="1">
      <c r="A130" s="127">
        <v>45665.0</v>
      </c>
      <c r="B130" s="128">
        <v>45755.0</v>
      </c>
      <c r="C130" s="128">
        <v>45755.0</v>
      </c>
      <c r="D130" s="123" t="s">
        <v>4</v>
      </c>
      <c r="E130" s="123">
        <v>1270458.0</v>
      </c>
      <c r="F130" s="124">
        <v>0.0</v>
      </c>
      <c r="G130" s="124" t="s">
        <v>5712</v>
      </c>
      <c r="H130" s="124" t="s">
        <v>5705</v>
      </c>
      <c r="I130" s="124" t="s">
        <v>13</v>
      </c>
      <c r="J130" s="124" t="s">
        <v>5708</v>
      </c>
      <c r="K130" s="125" t="s">
        <v>160</v>
      </c>
      <c r="L130" s="125">
        <v>0.0</v>
      </c>
      <c r="M130" s="126">
        <v>1.0</v>
      </c>
      <c r="N130" s="1">
        <v>0.0</v>
      </c>
      <c r="O130" s="1">
        <v>0.0</v>
      </c>
    </row>
    <row r="131" ht="15.75" hidden="1" customHeight="1">
      <c r="A131" s="129">
        <v>45665.0</v>
      </c>
      <c r="B131" s="131">
        <v>45755.0</v>
      </c>
      <c r="C131" s="131">
        <v>45755.0</v>
      </c>
      <c r="D131" s="117" t="s">
        <v>4</v>
      </c>
      <c r="E131" s="117">
        <v>1270458.0</v>
      </c>
      <c r="F131" s="62">
        <v>0.0</v>
      </c>
      <c r="G131" s="62" t="s">
        <v>5712</v>
      </c>
      <c r="H131" s="62" t="s">
        <v>5705</v>
      </c>
      <c r="I131" s="62" t="s">
        <v>13</v>
      </c>
      <c r="J131" s="118" t="s">
        <v>5708</v>
      </c>
      <c r="K131" s="130" t="s">
        <v>160</v>
      </c>
      <c r="L131" s="130">
        <v>0.0</v>
      </c>
      <c r="M131" s="132">
        <v>1.0</v>
      </c>
      <c r="N131" s="1">
        <v>0.0</v>
      </c>
      <c r="O131" s="1">
        <v>0.0</v>
      </c>
    </row>
    <row r="132" ht="15.75" hidden="1" customHeight="1">
      <c r="A132" s="127">
        <v>45665.0</v>
      </c>
      <c r="B132" s="128">
        <v>45755.0</v>
      </c>
      <c r="C132" s="128">
        <v>45755.0</v>
      </c>
      <c r="D132" s="123" t="s">
        <v>4</v>
      </c>
      <c r="E132" s="123">
        <v>1270458.0</v>
      </c>
      <c r="F132" s="124">
        <v>0.0</v>
      </c>
      <c r="G132" s="124" t="s">
        <v>5712</v>
      </c>
      <c r="H132" s="124" t="s">
        <v>5705</v>
      </c>
      <c r="I132" s="124" t="s">
        <v>13</v>
      </c>
      <c r="J132" s="124" t="s">
        <v>5708</v>
      </c>
      <c r="K132" s="125" t="s">
        <v>158</v>
      </c>
      <c r="L132" s="124">
        <v>700.0</v>
      </c>
      <c r="M132" s="126">
        <v>7.0</v>
      </c>
      <c r="N132" s="1">
        <v>100.0</v>
      </c>
      <c r="O132" s="1">
        <v>100.0</v>
      </c>
    </row>
    <row r="133" ht="15.75" hidden="1" customHeight="1">
      <c r="A133" s="129">
        <v>45665.0</v>
      </c>
      <c r="B133" s="131">
        <v>45755.0</v>
      </c>
      <c r="C133" s="131">
        <v>45755.0</v>
      </c>
      <c r="D133" s="117" t="s">
        <v>4</v>
      </c>
      <c r="E133" s="117">
        <v>1270458.0</v>
      </c>
      <c r="F133" s="62">
        <v>0.0</v>
      </c>
      <c r="G133" s="62" t="s">
        <v>5712</v>
      </c>
      <c r="H133" s="62" t="s">
        <v>5705</v>
      </c>
      <c r="I133" s="62" t="s">
        <v>13</v>
      </c>
      <c r="J133" s="118" t="s">
        <v>5708</v>
      </c>
      <c r="K133" s="130" t="s">
        <v>147</v>
      </c>
      <c r="L133" s="130">
        <v>0.0</v>
      </c>
      <c r="M133" s="132">
        <v>1.0</v>
      </c>
      <c r="N133" s="1">
        <v>0.0</v>
      </c>
      <c r="O133" s="1">
        <v>0.0</v>
      </c>
    </row>
    <row r="134" ht="15.75" hidden="1" customHeight="1">
      <c r="A134" s="127">
        <v>45665.0</v>
      </c>
      <c r="B134" s="128">
        <v>45755.0</v>
      </c>
      <c r="C134" s="128">
        <v>45755.0</v>
      </c>
      <c r="D134" s="123" t="s">
        <v>4</v>
      </c>
      <c r="E134" s="123">
        <v>1270458.0</v>
      </c>
      <c r="F134" s="124">
        <v>0.0</v>
      </c>
      <c r="G134" s="124" t="s">
        <v>5712</v>
      </c>
      <c r="H134" s="124" t="s">
        <v>5705</v>
      </c>
      <c r="I134" s="124" t="s">
        <v>13</v>
      </c>
      <c r="J134" s="124" t="s">
        <v>5708</v>
      </c>
      <c r="K134" s="125" t="s">
        <v>163</v>
      </c>
      <c r="L134" s="125">
        <v>1.0</v>
      </c>
      <c r="M134" s="126"/>
      <c r="N134" s="1">
        <v>1.0</v>
      </c>
      <c r="O134" s="1" t="s">
        <v>5713</v>
      </c>
    </row>
    <row r="135" ht="15.75" hidden="1" customHeight="1">
      <c r="A135" s="129">
        <v>45665.0</v>
      </c>
      <c r="B135" s="131">
        <v>45755.0</v>
      </c>
      <c r="C135" s="131">
        <v>45755.0</v>
      </c>
      <c r="D135" s="117" t="s">
        <v>4</v>
      </c>
      <c r="E135" s="117">
        <v>1270458.0</v>
      </c>
      <c r="F135" s="62">
        <v>0.0</v>
      </c>
      <c r="G135" s="62" t="s">
        <v>5712</v>
      </c>
      <c r="H135" s="62" t="s">
        <v>5705</v>
      </c>
      <c r="I135" s="62" t="s">
        <v>13</v>
      </c>
      <c r="J135" s="118" t="s">
        <v>5708</v>
      </c>
      <c r="K135" s="130" t="s">
        <v>155</v>
      </c>
      <c r="L135" s="130">
        <v>104.0</v>
      </c>
      <c r="M135" s="132">
        <v>23.0</v>
      </c>
      <c r="N135" s="1">
        <v>4.52173913</v>
      </c>
      <c r="O135" s="1">
        <v>4.52173913</v>
      </c>
    </row>
    <row r="136" ht="15.75" hidden="1" customHeight="1">
      <c r="A136" s="127">
        <v>45665.0</v>
      </c>
      <c r="B136" s="128">
        <v>45755.0</v>
      </c>
      <c r="C136" s="128">
        <v>45755.0</v>
      </c>
      <c r="D136" s="123" t="s">
        <v>4</v>
      </c>
      <c r="E136" s="123">
        <v>1270458.0</v>
      </c>
      <c r="F136" s="124">
        <v>0.0</v>
      </c>
      <c r="G136" s="124" t="s">
        <v>5712</v>
      </c>
      <c r="H136" s="124" t="s">
        <v>5705</v>
      </c>
      <c r="I136" s="124" t="s">
        <v>13</v>
      </c>
      <c r="J136" s="124" t="s">
        <v>5708</v>
      </c>
      <c r="K136" s="125" t="s">
        <v>158</v>
      </c>
      <c r="L136" s="125">
        <v>38300.0</v>
      </c>
      <c r="M136" s="126">
        <v>724.0</v>
      </c>
      <c r="N136" s="1">
        <v>52.90055249</v>
      </c>
      <c r="O136" s="1">
        <v>52.90055249</v>
      </c>
    </row>
    <row r="137" ht="15.75" customHeight="1">
      <c r="A137" s="129">
        <v>45665.0</v>
      </c>
      <c r="B137" s="131">
        <v>45755.0</v>
      </c>
      <c r="C137" s="131">
        <v>45785.0</v>
      </c>
      <c r="D137" s="117" t="s">
        <v>4</v>
      </c>
      <c r="E137" s="117">
        <v>1270458.0</v>
      </c>
      <c r="F137" s="62">
        <v>0.0</v>
      </c>
      <c r="G137" s="62" t="s">
        <v>5712</v>
      </c>
      <c r="H137" s="62" t="s">
        <v>5705</v>
      </c>
      <c r="I137" s="62" t="s">
        <v>13</v>
      </c>
      <c r="J137" s="118" t="s">
        <v>5708</v>
      </c>
      <c r="K137" s="130" t="s">
        <v>139</v>
      </c>
      <c r="L137" s="135">
        <v>1.0</v>
      </c>
      <c r="M137" s="136">
        <v>0.0</v>
      </c>
      <c r="N137" s="1"/>
      <c r="O137" s="1" t="s">
        <v>5713</v>
      </c>
    </row>
    <row r="138" ht="15.75" hidden="1" customHeight="1">
      <c r="A138" s="127">
        <v>45665.0</v>
      </c>
      <c r="B138" s="128">
        <v>45755.0</v>
      </c>
      <c r="C138" s="128">
        <v>45785.0</v>
      </c>
      <c r="D138" s="123" t="s">
        <v>4</v>
      </c>
      <c r="E138" s="123">
        <v>1270458.0</v>
      </c>
      <c r="F138" s="124">
        <v>0.0</v>
      </c>
      <c r="G138" s="124" t="s">
        <v>5712</v>
      </c>
      <c r="H138" s="124" t="s">
        <v>5705</v>
      </c>
      <c r="I138" s="124" t="s">
        <v>13</v>
      </c>
      <c r="J138" s="124" t="s">
        <v>5708</v>
      </c>
      <c r="K138" s="125" t="s">
        <v>160</v>
      </c>
      <c r="L138" s="125">
        <v>0.0</v>
      </c>
      <c r="M138" s="126">
        <v>4.0</v>
      </c>
      <c r="N138" s="1">
        <v>0.0</v>
      </c>
      <c r="O138" s="1">
        <v>0.0</v>
      </c>
    </row>
    <row r="139" ht="15.75" hidden="1" customHeight="1">
      <c r="A139" s="129">
        <v>45665.0</v>
      </c>
      <c r="B139" s="131">
        <v>45755.0</v>
      </c>
      <c r="C139" s="131">
        <v>45785.0</v>
      </c>
      <c r="D139" s="117" t="s">
        <v>4</v>
      </c>
      <c r="E139" s="117">
        <v>1270458.0</v>
      </c>
      <c r="F139" s="62">
        <v>0.0</v>
      </c>
      <c r="G139" s="62" t="s">
        <v>5712</v>
      </c>
      <c r="H139" s="62" t="s">
        <v>5705</v>
      </c>
      <c r="I139" s="62" t="s">
        <v>13</v>
      </c>
      <c r="J139" s="118" t="s">
        <v>5708</v>
      </c>
      <c r="K139" s="130" t="s">
        <v>153</v>
      </c>
      <c r="L139" s="62">
        <v>0.1</v>
      </c>
      <c r="M139" s="132">
        <v>0.0</v>
      </c>
      <c r="N139" s="1"/>
      <c r="O139" s="1" t="s">
        <v>5713</v>
      </c>
    </row>
    <row r="140" ht="15.75" hidden="1" customHeight="1">
      <c r="A140" s="127">
        <v>45665.0</v>
      </c>
      <c r="B140" s="128">
        <v>45755.0</v>
      </c>
      <c r="C140" s="128">
        <v>45816.0</v>
      </c>
      <c r="D140" s="123" t="s">
        <v>4</v>
      </c>
      <c r="E140" s="123">
        <v>1270458.0</v>
      </c>
      <c r="F140" s="124">
        <v>0.0</v>
      </c>
      <c r="G140" s="124" t="s">
        <v>5712</v>
      </c>
      <c r="H140" s="124" t="s">
        <v>5705</v>
      </c>
      <c r="I140" s="124" t="s">
        <v>13</v>
      </c>
      <c r="J140" s="124" t="s">
        <v>5708</v>
      </c>
      <c r="K140" s="125" t="s">
        <v>147</v>
      </c>
      <c r="L140" s="125">
        <v>0.0</v>
      </c>
      <c r="M140" s="126">
        <v>1.0</v>
      </c>
      <c r="N140" s="1">
        <v>0.0</v>
      </c>
      <c r="O140" s="1">
        <v>0.0</v>
      </c>
    </row>
    <row r="141" ht="15.75" hidden="1" customHeight="1">
      <c r="A141" s="129">
        <v>45665.0</v>
      </c>
      <c r="B141" s="131">
        <v>45755.0</v>
      </c>
      <c r="C141" s="131">
        <v>45816.0</v>
      </c>
      <c r="D141" s="117" t="s">
        <v>4</v>
      </c>
      <c r="E141" s="117">
        <v>1270458.0</v>
      </c>
      <c r="F141" s="62">
        <v>0.0</v>
      </c>
      <c r="G141" s="62" t="s">
        <v>5712</v>
      </c>
      <c r="H141" s="62" t="s">
        <v>5705</v>
      </c>
      <c r="I141" s="62" t="s">
        <v>13</v>
      </c>
      <c r="J141" s="118" t="s">
        <v>5708</v>
      </c>
      <c r="K141" s="130" t="s">
        <v>147</v>
      </c>
      <c r="L141" s="130">
        <v>0.0</v>
      </c>
      <c r="M141" s="132">
        <v>2.0</v>
      </c>
      <c r="N141" s="1">
        <v>0.0</v>
      </c>
      <c r="O141" s="1">
        <v>0.0</v>
      </c>
    </row>
    <row r="142" ht="15.75" hidden="1" customHeight="1">
      <c r="A142" s="127">
        <v>45665.0</v>
      </c>
      <c r="B142" s="128">
        <v>45755.0</v>
      </c>
      <c r="C142" s="128">
        <v>45816.0</v>
      </c>
      <c r="D142" s="123" t="s">
        <v>4</v>
      </c>
      <c r="E142" s="123">
        <v>1270458.0</v>
      </c>
      <c r="F142" s="124">
        <v>0.0</v>
      </c>
      <c r="G142" s="124" t="s">
        <v>5712</v>
      </c>
      <c r="H142" s="124" t="s">
        <v>5705</v>
      </c>
      <c r="I142" s="124" t="s">
        <v>13</v>
      </c>
      <c r="J142" s="124" t="s">
        <v>5708</v>
      </c>
      <c r="K142" s="125" t="s">
        <v>163</v>
      </c>
      <c r="L142" s="124">
        <v>2.0</v>
      </c>
      <c r="M142" s="126"/>
      <c r="N142" s="1">
        <v>2.0</v>
      </c>
      <c r="O142" s="1" t="s">
        <v>5713</v>
      </c>
    </row>
    <row r="143" ht="15.75" hidden="1" customHeight="1">
      <c r="A143" s="129">
        <v>45665.0</v>
      </c>
      <c r="B143" s="131">
        <v>45755.0</v>
      </c>
      <c r="C143" s="131">
        <v>45816.0</v>
      </c>
      <c r="D143" s="117" t="s">
        <v>4</v>
      </c>
      <c r="E143" s="117">
        <v>1270458.0</v>
      </c>
      <c r="F143" s="62">
        <v>0.0</v>
      </c>
      <c r="G143" s="62" t="s">
        <v>5712</v>
      </c>
      <c r="H143" s="62" t="s">
        <v>5705</v>
      </c>
      <c r="I143" s="62" t="s">
        <v>13</v>
      </c>
      <c r="J143" s="118" t="s">
        <v>5708</v>
      </c>
      <c r="K143" s="130" t="s">
        <v>153</v>
      </c>
      <c r="L143" s="62">
        <v>358.52</v>
      </c>
      <c r="M143" s="132">
        <v>86.0</v>
      </c>
      <c r="N143" s="1">
        <v>4.168837209</v>
      </c>
      <c r="O143" s="1">
        <v>4.168837209</v>
      </c>
    </row>
    <row r="144" ht="15.75" hidden="1" customHeight="1">
      <c r="A144" s="127">
        <v>45665.0</v>
      </c>
      <c r="B144" s="128">
        <v>45755.0</v>
      </c>
      <c r="C144" s="128">
        <v>45816.0</v>
      </c>
      <c r="D144" s="123" t="s">
        <v>4</v>
      </c>
      <c r="E144" s="123">
        <v>1270458.0</v>
      </c>
      <c r="F144" s="124">
        <v>0.0</v>
      </c>
      <c r="G144" s="124" t="s">
        <v>5712</v>
      </c>
      <c r="H144" s="124" t="s">
        <v>5705</v>
      </c>
      <c r="I144" s="124" t="s">
        <v>13</v>
      </c>
      <c r="J144" s="124" t="s">
        <v>5708</v>
      </c>
      <c r="K144" s="125" t="s">
        <v>155</v>
      </c>
      <c r="L144" s="125">
        <v>70.0</v>
      </c>
      <c r="M144" s="126">
        <v>15.0</v>
      </c>
      <c r="N144" s="1">
        <v>4.666666667</v>
      </c>
      <c r="O144" s="1">
        <v>4.666666667</v>
      </c>
    </row>
    <row r="145" ht="15.75" hidden="1" customHeight="1">
      <c r="A145" s="129">
        <v>45665.0</v>
      </c>
      <c r="B145" s="131">
        <v>45755.0</v>
      </c>
      <c r="C145" s="131">
        <v>45816.0</v>
      </c>
      <c r="D145" s="117" t="s">
        <v>4</v>
      </c>
      <c r="E145" s="117">
        <v>1270458.0</v>
      </c>
      <c r="F145" s="62">
        <v>0.0</v>
      </c>
      <c r="G145" s="62" t="s">
        <v>5712</v>
      </c>
      <c r="H145" s="62" t="s">
        <v>5705</v>
      </c>
      <c r="I145" s="62" t="s">
        <v>13</v>
      </c>
      <c r="J145" s="118" t="s">
        <v>5708</v>
      </c>
      <c r="K145" s="130" t="s">
        <v>163</v>
      </c>
      <c r="L145" s="62">
        <v>2.0</v>
      </c>
      <c r="M145" s="132"/>
      <c r="N145" s="1">
        <v>2.0</v>
      </c>
      <c r="O145" s="1" t="s">
        <v>5713</v>
      </c>
    </row>
    <row r="146" ht="15.75" hidden="1" customHeight="1">
      <c r="A146" s="127">
        <v>45665.0</v>
      </c>
      <c r="B146" s="128">
        <v>45755.0</v>
      </c>
      <c r="C146" s="128">
        <v>45816.0</v>
      </c>
      <c r="D146" s="123" t="s">
        <v>4</v>
      </c>
      <c r="E146" s="123">
        <v>1270458.0</v>
      </c>
      <c r="F146" s="124">
        <v>0.0</v>
      </c>
      <c r="G146" s="124" t="s">
        <v>5712</v>
      </c>
      <c r="H146" s="124" t="s">
        <v>5705</v>
      </c>
      <c r="I146" s="124" t="s">
        <v>13</v>
      </c>
      <c r="J146" s="124" t="s">
        <v>5708</v>
      </c>
      <c r="K146" s="125" t="s">
        <v>154</v>
      </c>
      <c r="L146" s="125">
        <v>0.0</v>
      </c>
      <c r="M146" s="126">
        <v>1.0</v>
      </c>
      <c r="N146" s="1">
        <v>0.0</v>
      </c>
      <c r="O146" s="1">
        <v>0.0</v>
      </c>
    </row>
    <row r="147" ht="15.75" hidden="1" customHeight="1">
      <c r="A147" s="129">
        <v>45665.0</v>
      </c>
      <c r="B147" s="131">
        <v>45755.0</v>
      </c>
      <c r="C147" s="131">
        <v>45816.0</v>
      </c>
      <c r="D147" s="117" t="s">
        <v>4</v>
      </c>
      <c r="E147" s="117">
        <v>1270458.0</v>
      </c>
      <c r="F147" s="62">
        <v>0.0</v>
      </c>
      <c r="G147" s="62" t="s">
        <v>5712</v>
      </c>
      <c r="H147" s="62" t="s">
        <v>5705</v>
      </c>
      <c r="I147" s="62" t="s">
        <v>13</v>
      </c>
      <c r="J147" s="118" t="s">
        <v>5708</v>
      </c>
      <c r="K147" s="130" t="s">
        <v>160</v>
      </c>
      <c r="L147" s="62">
        <v>0.0</v>
      </c>
      <c r="M147" s="132">
        <v>107.0</v>
      </c>
      <c r="N147" s="1">
        <v>0.0</v>
      </c>
      <c r="O147" s="1">
        <v>0.0</v>
      </c>
    </row>
    <row r="148" ht="15.75" customHeight="1">
      <c r="A148" s="127">
        <v>45665.0</v>
      </c>
      <c r="B148" s="128">
        <v>45755.0</v>
      </c>
      <c r="C148" s="128">
        <v>45816.0</v>
      </c>
      <c r="D148" s="123" t="s">
        <v>4</v>
      </c>
      <c r="E148" s="123">
        <v>1270458.0</v>
      </c>
      <c r="F148" s="124">
        <v>0.0</v>
      </c>
      <c r="G148" s="124" t="s">
        <v>5712</v>
      </c>
      <c r="H148" s="124" t="s">
        <v>5705</v>
      </c>
      <c r="I148" s="124" t="s">
        <v>13</v>
      </c>
      <c r="J148" s="124" t="s">
        <v>5708</v>
      </c>
      <c r="K148" s="125" t="s">
        <v>139</v>
      </c>
      <c r="L148" s="124">
        <v>86.0</v>
      </c>
      <c r="M148" s="126">
        <v>5.975333333</v>
      </c>
      <c r="N148" s="1">
        <v>14.39250251</v>
      </c>
      <c r="O148" s="1">
        <v>14.39250251</v>
      </c>
    </row>
    <row r="149" ht="15.75" hidden="1" customHeight="1">
      <c r="A149" s="129">
        <v>45665.0</v>
      </c>
      <c r="B149" s="131">
        <v>45755.0</v>
      </c>
      <c r="C149" s="131">
        <v>45816.0</v>
      </c>
      <c r="D149" s="117" t="s">
        <v>4</v>
      </c>
      <c r="E149" s="117">
        <v>1270458.0</v>
      </c>
      <c r="F149" s="62">
        <v>0.0</v>
      </c>
      <c r="G149" s="62" t="s">
        <v>5712</v>
      </c>
      <c r="H149" s="62" t="s">
        <v>5705</v>
      </c>
      <c r="I149" s="62" t="s">
        <v>13</v>
      </c>
      <c r="J149" s="118" t="s">
        <v>5708</v>
      </c>
      <c r="K149" s="130" t="s">
        <v>163</v>
      </c>
      <c r="L149" s="130">
        <v>2.0</v>
      </c>
      <c r="M149" s="132"/>
      <c r="N149" s="1">
        <v>2.0</v>
      </c>
      <c r="O149" s="1" t="s">
        <v>5713</v>
      </c>
    </row>
    <row r="150" ht="15.75" hidden="1" customHeight="1">
      <c r="A150" s="127">
        <v>45665.0</v>
      </c>
      <c r="B150" s="128">
        <v>45755.0</v>
      </c>
      <c r="C150" s="128">
        <v>45816.0</v>
      </c>
      <c r="D150" s="123" t="s">
        <v>4</v>
      </c>
      <c r="E150" s="123">
        <v>1270458.0</v>
      </c>
      <c r="F150" s="124">
        <v>0.0</v>
      </c>
      <c r="G150" s="124" t="s">
        <v>5712</v>
      </c>
      <c r="H150" s="124" t="s">
        <v>5705</v>
      </c>
      <c r="I150" s="124" t="s">
        <v>13</v>
      </c>
      <c r="J150" s="124" t="s">
        <v>5708</v>
      </c>
      <c r="K150" s="125" t="s">
        <v>147</v>
      </c>
      <c r="L150" s="124">
        <v>0.0</v>
      </c>
      <c r="M150" s="126">
        <v>1.0</v>
      </c>
      <c r="N150" s="1">
        <v>0.0</v>
      </c>
      <c r="O150" s="1">
        <v>0.0</v>
      </c>
    </row>
    <row r="151" ht="15.75" hidden="1" customHeight="1">
      <c r="A151" s="129">
        <v>45665.0</v>
      </c>
      <c r="B151" s="131">
        <v>45755.0</v>
      </c>
      <c r="C151" s="131">
        <v>45816.0</v>
      </c>
      <c r="D151" s="117" t="s">
        <v>4</v>
      </c>
      <c r="E151" s="117">
        <v>1270458.0</v>
      </c>
      <c r="F151" s="62">
        <v>0.0</v>
      </c>
      <c r="G151" s="62" t="s">
        <v>5712</v>
      </c>
      <c r="H151" s="62" t="s">
        <v>5705</v>
      </c>
      <c r="I151" s="62" t="s">
        <v>13</v>
      </c>
      <c r="J151" s="118" t="s">
        <v>5708</v>
      </c>
      <c r="K151" s="130" t="s">
        <v>147</v>
      </c>
      <c r="L151" s="130">
        <v>0.0</v>
      </c>
      <c r="M151" s="132">
        <v>2.0</v>
      </c>
      <c r="N151" s="1">
        <v>0.0</v>
      </c>
      <c r="O151" s="1">
        <v>0.0</v>
      </c>
    </row>
    <row r="152" ht="15.75" customHeight="1">
      <c r="A152" s="127">
        <v>45665.0</v>
      </c>
      <c r="B152" s="128">
        <v>45755.0</v>
      </c>
      <c r="C152" s="128">
        <v>45816.0</v>
      </c>
      <c r="D152" s="123" t="s">
        <v>4</v>
      </c>
      <c r="E152" s="123">
        <v>1270458.0</v>
      </c>
      <c r="F152" s="124">
        <v>0.0</v>
      </c>
      <c r="G152" s="124" t="s">
        <v>5712</v>
      </c>
      <c r="H152" s="124" t="s">
        <v>5705</v>
      </c>
      <c r="I152" s="124" t="s">
        <v>13</v>
      </c>
      <c r="J152" s="124" t="s">
        <v>5708</v>
      </c>
      <c r="K152" s="125" t="s">
        <v>139</v>
      </c>
      <c r="L152" s="125">
        <v>0.0</v>
      </c>
      <c r="M152" s="126">
        <v>0.116333333</v>
      </c>
      <c r="N152" s="1">
        <v>0.0</v>
      </c>
      <c r="O152" s="1">
        <v>0.0</v>
      </c>
    </row>
    <row r="153" ht="15.75" hidden="1" customHeight="1">
      <c r="A153" s="129">
        <v>45665.0</v>
      </c>
      <c r="B153" s="131">
        <v>45755.0</v>
      </c>
      <c r="C153" s="131">
        <v>45755.0</v>
      </c>
      <c r="D153" s="117" t="s">
        <v>4</v>
      </c>
      <c r="E153" s="117">
        <v>1270458.0</v>
      </c>
      <c r="F153" s="62">
        <v>0.0</v>
      </c>
      <c r="G153" s="62" t="s">
        <v>5712</v>
      </c>
      <c r="H153" s="62" t="s">
        <v>5705</v>
      </c>
      <c r="I153" s="62" t="s">
        <v>13</v>
      </c>
      <c r="J153" s="118" t="s">
        <v>5708</v>
      </c>
      <c r="K153" s="130" t="s">
        <v>158</v>
      </c>
      <c r="L153" s="130">
        <v>0.0</v>
      </c>
      <c r="M153" s="133">
        <v>22.0</v>
      </c>
      <c r="N153" s="1">
        <v>0.0</v>
      </c>
      <c r="O153" s="1">
        <v>0.0</v>
      </c>
    </row>
    <row r="154" ht="15.75" hidden="1" customHeight="1">
      <c r="A154" s="127">
        <v>45665.0</v>
      </c>
      <c r="B154" s="128">
        <v>45755.0</v>
      </c>
      <c r="C154" s="128">
        <v>45755.0</v>
      </c>
      <c r="D154" s="123" t="s">
        <v>4</v>
      </c>
      <c r="E154" s="123">
        <v>1270458.0</v>
      </c>
      <c r="F154" s="124">
        <v>0.0</v>
      </c>
      <c r="G154" s="124" t="s">
        <v>5712</v>
      </c>
      <c r="H154" s="124" t="s">
        <v>5705</v>
      </c>
      <c r="I154" s="124" t="s">
        <v>13</v>
      </c>
      <c r="J154" s="124" t="s">
        <v>5708</v>
      </c>
      <c r="K154" s="125" t="s">
        <v>158</v>
      </c>
      <c r="L154" s="125">
        <v>1100.0</v>
      </c>
      <c r="M154" s="126">
        <v>11.0</v>
      </c>
      <c r="N154" s="1">
        <v>100.0</v>
      </c>
      <c r="O154" s="1">
        <v>100.0</v>
      </c>
    </row>
    <row r="155" ht="15.75" hidden="1" customHeight="1">
      <c r="A155" s="129">
        <v>45665.0</v>
      </c>
      <c r="B155" s="131">
        <v>45755.0</v>
      </c>
      <c r="C155" s="131">
        <v>45755.0</v>
      </c>
      <c r="D155" s="117" t="s">
        <v>4</v>
      </c>
      <c r="E155" s="117">
        <v>1270458.0</v>
      </c>
      <c r="F155" s="62">
        <v>0.0</v>
      </c>
      <c r="G155" s="62" t="s">
        <v>5712</v>
      </c>
      <c r="H155" s="62" t="s">
        <v>5705</v>
      </c>
      <c r="I155" s="62" t="s">
        <v>13</v>
      </c>
      <c r="J155" s="118" t="s">
        <v>5708</v>
      </c>
      <c r="K155" s="130" t="s">
        <v>163</v>
      </c>
      <c r="L155" s="130">
        <v>1.0</v>
      </c>
      <c r="M155" s="132"/>
      <c r="N155" s="1">
        <v>1.0</v>
      </c>
      <c r="O155" s="1" t="s">
        <v>5713</v>
      </c>
    </row>
    <row r="156" ht="15.75" hidden="1" customHeight="1">
      <c r="A156" s="127">
        <v>45665.0</v>
      </c>
      <c r="B156" s="128">
        <v>45755.0</v>
      </c>
      <c r="C156" s="128">
        <v>45755.0</v>
      </c>
      <c r="D156" s="123" t="s">
        <v>4</v>
      </c>
      <c r="E156" s="123">
        <v>1270458.0</v>
      </c>
      <c r="F156" s="124">
        <v>0.0</v>
      </c>
      <c r="G156" s="124" t="s">
        <v>5712</v>
      </c>
      <c r="H156" s="124" t="s">
        <v>5705</v>
      </c>
      <c r="I156" s="124" t="s">
        <v>13</v>
      </c>
      <c r="J156" s="124" t="s">
        <v>5708</v>
      </c>
      <c r="K156" s="125" t="s">
        <v>158</v>
      </c>
      <c r="L156" s="125">
        <v>1000.0</v>
      </c>
      <c r="M156" s="126">
        <v>73.0</v>
      </c>
      <c r="N156" s="1">
        <v>13.69863014</v>
      </c>
      <c r="O156" s="1">
        <v>13.69863014</v>
      </c>
    </row>
    <row r="157" ht="15.75" hidden="1" customHeight="1">
      <c r="A157" s="129">
        <v>45665.0</v>
      </c>
      <c r="B157" s="131">
        <v>45755.0</v>
      </c>
      <c r="C157" s="131">
        <v>45785.0</v>
      </c>
      <c r="D157" s="117" t="s">
        <v>4</v>
      </c>
      <c r="E157" s="117">
        <v>1270458.0</v>
      </c>
      <c r="F157" s="62">
        <v>0.0</v>
      </c>
      <c r="G157" s="62" t="s">
        <v>5712</v>
      </c>
      <c r="H157" s="62" t="s">
        <v>5705</v>
      </c>
      <c r="I157" s="62" t="s">
        <v>13</v>
      </c>
      <c r="J157" s="118" t="s">
        <v>5708</v>
      </c>
      <c r="K157" s="130" t="s">
        <v>155</v>
      </c>
      <c r="L157" s="130">
        <v>5.0</v>
      </c>
      <c r="M157" s="132">
        <v>1.0</v>
      </c>
      <c r="N157" s="1">
        <v>5.0</v>
      </c>
      <c r="O157" s="1">
        <v>5.0</v>
      </c>
    </row>
    <row r="158" ht="15.75" hidden="1" customHeight="1">
      <c r="A158" s="127">
        <v>45665.0</v>
      </c>
      <c r="B158" s="128">
        <v>45755.0</v>
      </c>
      <c r="C158" s="128">
        <v>45785.0</v>
      </c>
      <c r="D158" s="123" t="s">
        <v>4</v>
      </c>
      <c r="E158" s="123">
        <v>1270458.0</v>
      </c>
      <c r="F158" s="124">
        <v>0.0</v>
      </c>
      <c r="G158" s="124" t="s">
        <v>5712</v>
      </c>
      <c r="H158" s="124" t="s">
        <v>5705</v>
      </c>
      <c r="I158" s="124" t="s">
        <v>13</v>
      </c>
      <c r="J158" s="124" t="s">
        <v>5708</v>
      </c>
      <c r="K158" s="125" t="s">
        <v>142</v>
      </c>
      <c r="L158" s="124">
        <v>1.0</v>
      </c>
      <c r="M158" s="126"/>
      <c r="N158" s="1">
        <v>1.0</v>
      </c>
      <c r="O158" s="1" t="s">
        <v>5713</v>
      </c>
    </row>
    <row r="159" ht="15.75" hidden="1" customHeight="1">
      <c r="A159" s="129">
        <v>45665.0</v>
      </c>
      <c r="B159" s="131">
        <v>45755.0</v>
      </c>
      <c r="C159" s="131">
        <v>45785.0</v>
      </c>
      <c r="D159" s="117" t="s">
        <v>4</v>
      </c>
      <c r="E159" s="117">
        <v>1270458.0</v>
      </c>
      <c r="F159" s="62">
        <v>0.0</v>
      </c>
      <c r="G159" s="62" t="s">
        <v>5712</v>
      </c>
      <c r="H159" s="62" t="s">
        <v>5705</v>
      </c>
      <c r="I159" s="62" t="s">
        <v>13</v>
      </c>
      <c r="J159" s="118" t="s">
        <v>5708</v>
      </c>
      <c r="K159" s="130" t="s">
        <v>163</v>
      </c>
      <c r="L159" s="130">
        <v>4.0</v>
      </c>
      <c r="M159" s="132"/>
      <c r="N159" s="1">
        <v>4.0</v>
      </c>
      <c r="O159" s="1" t="s">
        <v>5713</v>
      </c>
    </row>
    <row r="160" ht="15.75" customHeight="1">
      <c r="A160" s="127">
        <v>45665.0</v>
      </c>
      <c r="B160" s="128">
        <v>45755.0</v>
      </c>
      <c r="C160" s="128">
        <v>45785.0</v>
      </c>
      <c r="D160" s="123" t="s">
        <v>4</v>
      </c>
      <c r="E160" s="123">
        <v>1270458.0</v>
      </c>
      <c r="F160" s="124">
        <v>0.0</v>
      </c>
      <c r="G160" s="124" t="s">
        <v>5712</v>
      </c>
      <c r="H160" s="124" t="s">
        <v>5705</v>
      </c>
      <c r="I160" s="124" t="s">
        <v>13</v>
      </c>
      <c r="J160" s="124" t="s">
        <v>5708</v>
      </c>
      <c r="K160" s="125" t="s">
        <v>139</v>
      </c>
      <c r="L160" s="125">
        <v>0.0</v>
      </c>
      <c r="M160" s="134">
        <v>0.061666667</v>
      </c>
      <c r="N160" s="1">
        <v>0.0</v>
      </c>
      <c r="O160" s="1">
        <v>0.0</v>
      </c>
    </row>
    <row r="161" ht="15.75" hidden="1" customHeight="1">
      <c r="A161" s="129">
        <v>45665.0</v>
      </c>
      <c r="B161" s="131">
        <v>45755.0</v>
      </c>
      <c r="C161" s="131">
        <v>45785.0</v>
      </c>
      <c r="D161" s="117" t="s">
        <v>4</v>
      </c>
      <c r="E161" s="117">
        <v>1270458.0</v>
      </c>
      <c r="F161" s="62">
        <v>0.0</v>
      </c>
      <c r="G161" s="62" t="s">
        <v>5712</v>
      </c>
      <c r="H161" s="62" t="s">
        <v>5705</v>
      </c>
      <c r="I161" s="62" t="s">
        <v>13</v>
      </c>
      <c r="J161" s="118" t="s">
        <v>5708</v>
      </c>
      <c r="K161" s="130" t="s">
        <v>160</v>
      </c>
      <c r="L161" s="130">
        <v>0.0</v>
      </c>
      <c r="M161" s="132">
        <v>1.0</v>
      </c>
      <c r="N161" s="1">
        <v>0.0</v>
      </c>
      <c r="O161" s="1">
        <v>0.0</v>
      </c>
    </row>
    <row r="162" ht="15.75" hidden="1" customHeight="1">
      <c r="A162" s="127">
        <v>45665.0</v>
      </c>
      <c r="B162" s="128">
        <v>45755.0</v>
      </c>
      <c r="C162" s="128">
        <v>45785.0</v>
      </c>
      <c r="D162" s="123" t="s">
        <v>4</v>
      </c>
      <c r="E162" s="123">
        <v>1270458.0</v>
      </c>
      <c r="F162" s="124">
        <v>0.0</v>
      </c>
      <c r="G162" s="124" t="s">
        <v>5712</v>
      </c>
      <c r="H162" s="124" t="s">
        <v>5705</v>
      </c>
      <c r="I162" s="124" t="s">
        <v>13</v>
      </c>
      <c r="J162" s="124" t="s">
        <v>5708</v>
      </c>
      <c r="K162" s="125" t="s">
        <v>163</v>
      </c>
      <c r="L162" s="125">
        <v>1.0</v>
      </c>
      <c r="M162" s="126"/>
      <c r="N162" s="1">
        <v>1.0</v>
      </c>
      <c r="O162" s="1" t="s">
        <v>5713</v>
      </c>
    </row>
    <row r="163" ht="15.75" hidden="1" customHeight="1">
      <c r="A163" s="129">
        <v>45665.0</v>
      </c>
      <c r="B163" s="131">
        <v>45755.0</v>
      </c>
      <c r="C163" s="131">
        <v>45785.0</v>
      </c>
      <c r="D163" s="117" t="s">
        <v>4</v>
      </c>
      <c r="E163" s="117">
        <v>1270458.0</v>
      </c>
      <c r="F163" s="62">
        <v>0.0</v>
      </c>
      <c r="G163" s="62" t="s">
        <v>5712</v>
      </c>
      <c r="H163" s="62" t="s">
        <v>5705</v>
      </c>
      <c r="I163" s="118" t="s">
        <v>5708</v>
      </c>
      <c r="J163" s="118" t="s">
        <v>5708</v>
      </c>
      <c r="K163" s="130" t="s">
        <v>7</v>
      </c>
      <c r="L163" s="62">
        <v>100.0</v>
      </c>
      <c r="M163" s="132">
        <v>23.0</v>
      </c>
      <c r="N163" s="1">
        <v>4.347826087</v>
      </c>
      <c r="O163" s="1">
        <v>4.347826087</v>
      </c>
    </row>
    <row r="164" ht="15.75" hidden="1" customHeight="1">
      <c r="A164" s="127">
        <v>45665.0</v>
      </c>
      <c r="B164" s="128">
        <v>45755.0</v>
      </c>
      <c r="C164" s="128">
        <v>45785.0</v>
      </c>
      <c r="D164" s="123" t="s">
        <v>4</v>
      </c>
      <c r="E164" s="123">
        <v>1270458.0</v>
      </c>
      <c r="F164" s="124">
        <v>0.0</v>
      </c>
      <c r="G164" s="124" t="s">
        <v>5712</v>
      </c>
      <c r="H164" s="124" t="s">
        <v>5705</v>
      </c>
      <c r="I164" s="123" t="s">
        <v>13</v>
      </c>
      <c r="J164" s="124" t="s">
        <v>5708</v>
      </c>
      <c r="K164" s="125" t="s">
        <v>155</v>
      </c>
      <c r="L164" s="124">
        <v>94.0</v>
      </c>
      <c r="M164" s="126">
        <v>23.0</v>
      </c>
      <c r="N164" s="1">
        <v>4.086956522</v>
      </c>
      <c r="O164" s="1">
        <v>4.086956522</v>
      </c>
    </row>
    <row r="165" ht="15.75" hidden="1" customHeight="1">
      <c r="A165" s="129">
        <v>45665.0</v>
      </c>
      <c r="B165" s="131">
        <v>45755.0</v>
      </c>
      <c r="C165" s="131">
        <v>45785.0</v>
      </c>
      <c r="D165" s="117" t="s">
        <v>4</v>
      </c>
      <c r="E165" s="117">
        <v>1270458.0</v>
      </c>
      <c r="F165" s="62">
        <v>0.0</v>
      </c>
      <c r="G165" s="62" t="s">
        <v>5712</v>
      </c>
      <c r="H165" s="62" t="s">
        <v>5705</v>
      </c>
      <c r="I165" s="62" t="s">
        <v>13</v>
      </c>
      <c r="J165" s="118" t="s">
        <v>5708</v>
      </c>
      <c r="K165" s="130" t="s">
        <v>142</v>
      </c>
      <c r="L165" s="130">
        <v>118.0</v>
      </c>
      <c r="M165" s="132"/>
      <c r="N165" s="1">
        <v>118.0</v>
      </c>
      <c r="O165" s="1" t="s">
        <v>5713</v>
      </c>
    </row>
    <row r="166" ht="15.75" customHeight="1">
      <c r="A166" s="127">
        <v>45665.0</v>
      </c>
      <c r="B166" s="128">
        <v>45755.0</v>
      </c>
      <c r="C166" s="128">
        <v>45785.0</v>
      </c>
      <c r="D166" s="123" t="s">
        <v>4</v>
      </c>
      <c r="E166" s="123">
        <v>1270458.0</v>
      </c>
      <c r="F166" s="124">
        <v>0.0</v>
      </c>
      <c r="G166" s="124" t="s">
        <v>5712</v>
      </c>
      <c r="H166" s="124" t="s">
        <v>5705</v>
      </c>
      <c r="I166" s="124" t="s">
        <v>13</v>
      </c>
      <c r="J166" s="124" t="s">
        <v>5708</v>
      </c>
      <c r="K166" s="125" t="s">
        <v>139</v>
      </c>
      <c r="L166" s="124">
        <v>0.0</v>
      </c>
      <c r="M166" s="126">
        <v>0.001666667</v>
      </c>
      <c r="N166" s="1">
        <v>0.0</v>
      </c>
      <c r="O166" s="1">
        <v>0.0</v>
      </c>
    </row>
    <row r="167" ht="15.75" hidden="1" customHeight="1">
      <c r="A167" s="129">
        <v>45665.0</v>
      </c>
      <c r="B167" s="131">
        <v>45755.0</v>
      </c>
      <c r="C167" s="131">
        <v>45785.0</v>
      </c>
      <c r="D167" s="117" t="s">
        <v>4</v>
      </c>
      <c r="E167" s="117">
        <v>1270458.0</v>
      </c>
      <c r="F167" s="62">
        <v>0.0</v>
      </c>
      <c r="G167" s="62" t="s">
        <v>5712</v>
      </c>
      <c r="H167" s="62" t="s">
        <v>5705</v>
      </c>
      <c r="I167" s="62" t="s">
        <v>13</v>
      </c>
      <c r="J167" s="118" t="s">
        <v>5708</v>
      </c>
      <c r="K167" s="130" t="s">
        <v>156</v>
      </c>
      <c r="L167" s="130">
        <v>7400.0</v>
      </c>
      <c r="M167" s="132">
        <v>118.0</v>
      </c>
      <c r="N167" s="1">
        <v>62.71186441</v>
      </c>
      <c r="O167" s="1">
        <v>62.71186441</v>
      </c>
    </row>
    <row r="168" ht="15.75" customHeight="1">
      <c r="A168" s="127">
        <v>45665.0</v>
      </c>
      <c r="B168" s="128">
        <v>45755.0</v>
      </c>
      <c r="C168" s="128">
        <v>45785.0</v>
      </c>
      <c r="D168" s="123" t="s">
        <v>4</v>
      </c>
      <c r="E168" s="123">
        <v>1270458.0</v>
      </c>
      <c r="F168" s="124">
        <v>0.0</v>
      </c>
      <c r="G168" s="124" t="s">
        <v>5712</v>
      </c>
      <c r="H168" s="124" t="s">
        <v>5705</v>
      </c>
      <c r="I168" s="124" t="s">
        <v>13</v>
      </c>
      <c r="J168" s="124" t="s">
        <v>5708</v>
      </c>
      <c r="K168" s="125" t="s">
        <v>139</v>
      </c>
      <c r="L168" s="124">
        <v>118.0</v>
      </c>
      <c r="M168" s="126">
        <v>6.957</v>
      </c>
      <c r="N168" s="1">
        <v>16.96133391</v>
      </c>
      <c r="O168" s="1">
        <v>16.96133391</v>
      </c>
    </row>
    <row r="169" ht="15.75" hidden="1" customHeight="1">
      <c r="A169" s="129">
        <v>45665.0</v>
      </c>
      <c r="B169" s="131">
        <v>45755.0</v>
      </c>
      <c r="C169" s="131">
        <v>45785.0</v>
      </c>
      <c r="D169" s="117" t="s">
        <v>4</v>
      </c>
      <c r="E169" s="117">
        <v>1270458.0</v>
      </c>
      <c r="F169" s="62">
        <v>0.0</v>
      </c>
      <c r="G169" s="62" t="s">
        <v>5712</v>
      </c>
      <c r="H169" s="62" t="s">
        <v>5705</v>
      </c>
      <c r="I169" s="62" t="s">
        <v>13</v>
      </c>
      <c r="J169" s="118" t="s">
        <v>5708</v>
      </c>
      <c r="K169" s="130" t="s">
        <v>147</v>
      </c>
      <c r="L169" s="130">
        <v>0.0</v>
      </c>
      <c r="M169" s="132">
        <v>4.0</v>
      </c>
      <c r="N169" s="1">
        <v>0.0</v>
      </c>
      <c r="O169" s="1">
        <v>0.0</v>
      </c>
    </row>
    <row r="170" ht="15.75" hidden="1" customHeight="1">
      <c r="A170" s="127">
        <v>45665.0</v>
      </c>
      <c r="B170" s="128">
        <v>45755.0</v>
      </c>
      <c r="C170" s="128">
        <v>45785.0</v>
      </c>
      <c r="D170" s="123" t="s">
        <v>4</v>
      </c>
      <c r="E170" s="123">
        <v>1270458.0</v>
      </c>
      <c r="F170" s="124">
        <v>0.0</v>
      </c>
      <c r="G170" s="124" t="s">
        <v>5712</v>
      </c>
      <c r="H170" s="124" t="s">
        <v>5705</v>
      </c>
      <c r="I170" s="124" t="s">
        <v>13</v>
      </c>
      <c r="J170" s="124" t="s">
        <v>5708</v>
      </c>
      <c r="K170" s="125" t="s">
        <v>160</v>
      </c>
      <c r="L170" s="125">
        <v>0.0</v>
      </c>
      <c r="M170" s="126">
        <v>1.0</v>
      </c>
      <c r="N170" s="1">
        <v>0.0</v>
      </c>
      <c r="O170" s="1">
        <v>0.0</v>
      </c>
    </row>
    <row r="171" ht="15.75" hidden="1" customHeight="1">
      <c r="A171" s="129">
        <v>45665.0</v>
      </c>
      <c r="B171" s="131">
        <v>45755.0</v>
      </c>
      <c r="C171" s="131">
        <v>45785.0</v>
      </c>
      <c r="D171" s="117" t="s">
        <v>4</v>
      </c>
      <c r="E171" s="117">
        <v>1270458.0</v>
      </c>
      <c r="F171" s="62">
        <v>0.0</v>
      </c>
      <c r="G171" s="62" t="s">
        <v>5712</v>
      </c>
      <c r="H171" s="62" t="s">
        <v>5705</v>
      </c>
      <c r="I171" s="62" t="s">
        <v>13</v>
      </c>
      <c r="J171" s="118" t="s">
        <v>5708</v>
      </c>
      <c r="K171" s="130" t="s">
        <v>163</v>
      </c>
      <c r="L171" s="130">
        <v>1.0</v>
      </c>
      <c r="M171" s="132"/>
      <c r="N171" s="1">
        <v>1.0</v>
      </c>
      <c r="O171" s="1" t="s">
        <v>5713</v>
      </c>
    </row>
    <row r="172" ht="15.75" hidden="1" customHeight="1">
      <c r="A172" s="127">
        <v>45665.0</v>
      </c>
      <c r="B172" s="128">
        <v>45755.0</v>
      </c>
      <c r="C172" s="128">
        <v>45785.0</v>
      </c>
      <c r="D172" s="123" t="s">
        <v>4</v>
      </c>
      <c r="E172" s="123">
        <v>1270458.0</v>
      </c>
      <c r="F172" s="124">
        <v>0.0</v>
      </c>
      <c r="G172" s="124" t="s">
        <v>5712</v>
      </c>
      <c r="H172" s="124" t="s">
        <v>5705</v>
      </c>
      <c r="I172" s="124" t="s">
        <v>5708</v>
      </c>
      <c r="J172" s="124" t="s">
        <v>5708</v>
      </c>
      <c r="K172" s="125" t="s">
        <v>7</v>
      </c>
      <c r="L172" s="125">
        <v>0.0</v>
      </c>
      <c r="M172" s="126">
        <v>1.0</v>
      </c>
      <c r="N172" s="1">
        <v>0.0</v>
      </c>
      <c r="O172" s="1">
        <v>0.0</v>
      </c>
    </row>
    <row r="173" ht="15.75" customHeight="1">
      <c r="A173" s="129">
        <v>45665.0</v>
      </c>
      <c r="B173" s="131">
        <v>45755.0</v>
      </c>
      <c r="C173" s="131">
        <v>45785.0</v>
      </c>
      <c r="D173" s="117" t="s">
        <v>4</v>
      </c>
      <c r="E173" s="117">
        <v>1270458.0</v>
      </c>
      <c r="F173" s="62">
        <v>0.0</v>
      </c>
      <c r="G173" s="62" t="s">
        <v>5712</v>
      </c>
      <c r="H173" s="62" t="s">
        <v>5705</v>
      </c>
      <c r="I173" s="62" t="s">
        <v>13</v>
      </c>
      <c r="J173" s="118" t="s">
        <v>5708</v>
      </c>
      <c r="K173" s="130" t="s">
        <v>139</v>
      </c>
      <c r="L173" s="62">
        <v>0.0</v>
      </c>
      <c r="M173" s="132">
        <v>0.006166667</v>
      </c>
      <c r="N173" s="1">
        <v>0.0</v>
      </c>
      <c r="O173" s="1">
        <v>0.0</v>
      </c>
    </row>
    <row r="174" ht="15.75" hidden="1" customHeight="1">
      <c r="A174" s="127">
        <v>45665.0</v>
      </c>
      <c r="B174" s="128">
        <v>45755.0</v>
      </c>
      <c r="C174" s="128">
        <v>45785.0</v>
      </c>
      <c r="D174" s="123" t="s">
        <v>4</v>
      </c>
      <c r="E174" s="123">
        <v>1270458.0</v>
      </c>
      <c r="F174" s="124">
        <v>0.0</v>
      </c>
      <c r="G174" s="124" t="s">
        <v>5712</v>
      </c>
      <c r="H174" s="124" t="s">
        <v>5705</v>
      </c>
      <c r="I174" s="124" t="s">
        <v>13</v>
      </c>
      <c r="J174" s="124" t="s">
        <v>5708</v>
      </c>
      <c r="K174" s="125" t="s">
        <v>11</v>
      </c>
      <c r="L174" s="124">
        <v>0.0</v>
      </c>
      <c r="M174" s="126">
        <v>7.5</v>
      </c>
      <c r="N174" s="1">
        <v>0.0</v>
      </c>
      <c r="O174" s="1">
        <v>0.0</v>
      </c>
    </row>
    <row r="175" ht="15.75" hidden="1" customHeight="1">
      <c r="A175" s="129">
        <v>45665.0</v>
      </c>
      <c r="B175" s="131">
        <v>45755.0</v>
      </c>
      <c r="C175" s="131">
        <v>45785.0</v>
      </c>
      <c r="D175" s="117" t="s">
        <v>4</v>
      </c>
      <c r="E175" s="117">
        <v>1270458.0</v>
      </c>
      <c r="F175" s="62">
        <v>0.0</v>
      </c>
      <c r="G175" s="62" t="s">
        <v>5712</v>
      </c>
      <c r="H175" s="62" t="s">
        <v>5705</v>
      </c>
      <c r="I175" s="62" t="s">
        <v>13</v>
      </c>
      <c r="J175" s="118" t="s">
        <v>5708</v>
      </c>
      <c r="K175" s="130" t="s">
        <v>153</v>
      </c>
      <c r="L175" s="130">
        <v>417.42</v>
      </c>
      <c r="M175" s="132">
        <v>118.0</v>
      </c>
      <c r="N175" s="1">
        <v>3.537457627</v>
      </c>
      <c r="O175" s="1">
        <v>3.537457627</v>
      </c>
    </row>
    <row r="176" ht="15.75" hidden="1" customHeight="1">
      <c r="A176" s="127">
        <v>45665.0</v>
      </c>
      <c r="B176" s="128">
        <v>45755.0</v>
      </c>
      <c r="C176" s="128">
        <v>45785.0</v>
      </c>
      <c r="D176" s="123" t="s">
        <v>4</v>
      </c>
      <c r="E176" s="123">
        <v>1270458.0</v>
      </c>
      <c r="F176" s="124">
        <v>0.0</v>
      </c>
      <c r="G176" s="124" t="s">
        <v>5712</v>
      </c>
      <c r="H176" s="124" t="s">
        <v>5705</v>
      </c>
      <c r="I176" s="124" t="s">
        <v>13</v>
      </c>
      <c r="J176" s="124" t="s">
        <v>5708</v>
      </c>
      <c r="K176" s="125" t="s">
        <v>154</v>
      </c>
      <c r="L176" s="125">
        <v>8300.0</v>
      </c>
      <c r="M176" s="126">
        <v>142.0</v>
      </c>
      <c r="N176" s="1">
        <v>58.45070423</v>
      </c>
      <c r="O176" s="1">
        <v>58.45070423</v>
      </c>
    </row>
    <row r="177" ht="15.75" hidden="1" customHeight="1">
      <c r="A177" s="129">
        <v>45665.0</v>
      </c>
      <c r="B177" s="131">
        <v>45755.0</v>
      </c>
      <c r="C177" s="131">
        <v>45816.0</v>
      </c>
      <c r="D177" s="117" t="s">
        <v>4</v>
      </c>
      <c r="E177" s="117">
        <v>1270458.0</v>
      </c>
      <c r="F177" s="62">
        <v>0.0</v>
      </c>
      <c r="G177" s="62" t="s">
        <v>5712</v>
      </c>
      <c r="H177" s="62" t="s">
        <v>5705</v>
      </c>
      <c r="I177" s="62" t="s">
        <v>13</v>
      </c>
      <c r="J177" s="118" t="s">
        <v>5708</v>
      </c>
      <c r="K177" s="130" t="s">
        <v>160</v>
      </c>
      <c r="L177" s="130">
        <v>0.0</v>
      </c>
      <c r="M177" s="132">
        <v>3.0</v>
      </c>
      <c r="N177" s="1">
        <v>0.0</v>
      </c>
      <c r="O177" s="1">
        <v>0.0</v>
      </c>
    </row>
    <row r="178" ht="15.75" hidden="1" customHeight="1">
      <c r="A178" s="127">
        <v>45665.0</v>
      </c>
      <c r="B178" s="128">
        <v>45755.0</v>
      </c>
      <c r="C178" s="128">
        <v>45846.0</v>
      </c>
      <c r="D178" s="123" t="s">
        <v>4</v>
      </c>
      <c r="E178" s="123">
        <v>1270458.0</v>
      </c>
      <c r="F178" s="124">
        <v>0.0</v>
      </c>
      <c r="G178" s="124" t="s">
        <v>5712</v>
      </c>
      <c r="H178" s="124" t="s">
        <v>5705</v>
      </c>
      <c r="I178" s="124" t="s">
        <v>13</v>
      </c>
      <c r="J178" s="124" t="s">
        <v>5708</v>
      </c>
      <c r="K178" s="125" t="s">
        <v>147</v>
      </c>
      <c r="L178" s="125">
        <v>300.0</v>
      </c>
      <c r="M178" s="126">
        <v>20.0</v>
      </c>
      <c r="N178" s="1">
        <v>15.0</v>
      </c>
      <c r="O178" s="1">
        <v>15.0</v>
      </c>
    </row>
    <row r="179" ht="15.75" hidden="1" customHeight="1">
      <c r="A179" s="129">
        <v>45665.0</v>
      </c>
      <c r="B179" s="131">
        <v>45755.0</v>
      </c>
      <c r="C179" s="131">
        <v>45846.0</v>
      </c>
      <c r="D179" s="117" t="s">
        <v>4</v>
      </c>
      <c r="E179" s="117">
        <v>1270458.0</v>
      </c>
      <c r="F179" s="62">
        <v>0.0</v>
      </c>
      <c r="G179" s="62" t="s">
        <v>5712</v>
      </c>
      <c r="H179" s="62" t="s">
        <v>5705</v>
      </c>
      <c r="I179" s="62" t="s">
        <v>13</v>
      </c>
      <c r="J179" s="118" t="s">
        <v>5708</v>
      </c>
      <c r="K179" s="130" t="s">
        <v>156</v>
      </c>
      <c r="L179" s="130">
        <v>3000.0</v>
      </c>
      <c r="M179" s="132">
        <v>52.0</v>
      </c>
      <c r="N179" s="1">
        <v>57.69230769</v>
      </c>
      <c r="O179" s="1">
        <v>57.69230769</v>
      </c>
    </row>
    <row r="180" ht="15.75" customHeight="1">
      <c r="A180" s="127">
        <v>45665.0</v>
      </c>
      <c r="B180" s="128">
        <v>45755.0</v>
      </c>
      <c r="C180" s="128">
        <v>45846.0</v>
      </c>
      <c r="D180" s="123" t="s">
        <v>4</v>
      </c>
      <c r="E180" s="123">
        <v>1270458.0</v>
      </c>
      <c r="F180" s="124">
        <v>0.0</v>
      </c>
      <c r="G180" s="124" t="s">
        <v>5712</v>
      </c>
      <c r="H180" s="124" t="s">
        <v>5705</v>
      </c>
      <c r="I180" s="124" t="s">
        <v>13</v>
      </c>
      <c r="J180" s="124" t="s">
        <v>5708</v>
      </c>
      <c r="K180" s="125" t="s">
        <v>139</v>
      </c>
      <c r="L180" s="124">
        <v>52.0</v>
      </c>
      <c r="M180" s="126">
        <v>2.814</v>
      </c>
      <c r="N180" s="1">
        <v>18.4790334</v>
      </c>
      <c r="O180" s="1">
        <v>18.4790334</v>
      </c>
    </row>
    <row r="181" ht="15.75" hidden="1" customHeight="1">
      <c r="A181" s="129">
        <v>45665.0</v>
      </c>
      <c r="B181" s="131">
        <v>45755.0</v>
      </c>
      <c r="C181" s="131">
        <v>45846.0</v>
      </c>
      <c r="D181" s="117" t="s">
        <v>4</v>
      </c>
      <c r="E181" s="117">
        <v>1270458.0</v>
      </c>
      <c r="F181" s="62">
        <v>0.0</v>
      </c>
      <c r="G181" s="62" t="s">
        <v>5712</v>
      </c>
      <c r="H181" s="62" t="s">
        <v>5705</v>
      </c>
      <c r="I181" s="62" t="s">
        <v>13</v>
      </c>
      <c r="J181" s="118" t="s">
        <v>5708</v>
      </c>
      <c r="K181" s="130" t="s">
        <v>160</v>
      </c>
      <c r="L181" s="62">
        <v>0.0</v>
      </c>
      <c r="M181" s="132">
        <v>1.0</v>
      </c>
      <c r="N181" s="1">
        <v>0.0</v>
      </c>
      <c r="O181" s="1">
        <v>0.0</v>
      </c>
    </row>
    <row r="182" ht="15.75" hidden="1" customHeight="1">
      <c r="A182" s="127">
        <v>45665.0</v>
      </c>
      <c r="B182" s="128">
        <v>45755.0</v>
      </c>
      <c r="C182" s="128">
        <v>45785.0</v>
      </c>
      <c r="D182" s="123" t="s">
        <v>4</v>
      </c>
      <c r="E182" s="123">
        <v>1270458.0</v>
      </c>
      <c r="F182" s="124">
        <v>0.0</v>
      </c>
      <c r="G182" s="124" t="s">
        <v>5712</v>
      </c>
      <c r="H182" s="124" t="s">
        <v>5705</v>
      </c>
      <c r="I182" s="124" t="s">
        <v>13</v>
      </c>
      <c r="J182" s="124" t="s">
        <v>5708</v>
      </c>
      <c r="K182" s="125" t="s">
        <v>147</v>
      </c>
      <c r="L182" s="125">
        <v>400.0</v>
      </c>
      <c r="M182" s="126">
        <v>108.0</v>
      </c>
      <c r="N182" s="1">
        <v>3.703703704</v>
      </c>
      <c r="O182" s="1">
        <v>3.703703704</v>
      </c>
    </row>
    <row r="183" ht="15.75" hidden="1" customHeight="1">
      <c r="A183" s="129">
        <v>45665.0</v>
      </c>
      <c r="B183" s="131">
        <v>45755.0</v>
      </c>
      <c r="C183" s="131">
        <v>45785.0</v>
      </c>
      <c r="D183" s="117" t="s">
        <v>4</v>
      </c>
      <c r="E183" s="117">
        <v>1270458.0</v>
      </c>
      <c r="F183" s="62">
        <v>0.0</v>
      </c>
      <c r="G183" s="62" t="s">
        <v>5712</v>
      </c>
      <c r="H183" s="62" t="s">
        <v>5705</v>
      </c>
      <c r="I183" s="62" t="s">
        <v>13</v>
      </c>
      <c r="J183" s="118" t="s">
        <v>5708</v>
      </c>
      <c r="K183" s="130" t="s">
        <v>160</v>
      </c>
      <c r="L183" s="62">
        <v>0.0</v>
      </c>
      <c r="M183" s="132">
        <v>108.0</v>
      </c>
      <c r="N183" s="1">
        <v>0.0</v>
      </c>
      <c r="O183" s="1">
        <v>0.0</v>
      </c>
    </row>
    <row r="184" ht="15.75" hidden="1" customHeight="1">
      <c r="A184" s="127">
        <v>45665.0</v>
      </c>
      <c r="B184" s="128">
        <v>45755.0</v>
      </c>
      <c r="C184" s="128">
        <v>45785.0</v>
      </c>
      <c r="D184" s="123" t="s">
        <v>4</v>
      </c>
      <c r="E184" s="123">
        <v>1270458.0</v>
      </c>
      <c r="F184" s="124">
        <v>0.0</v>
      </c>
      <c r="G184" s="124" t="s">
        <v>5712</v>
      </c>
      <c r="H184" s="124" t="s">
        <v>5705</v>
      </c>
      <c r="I184" s="124" t="s">
        <v>13</v>
      </c>
      <c r="J184" s="124" t="s">
        <v>5708</v>
      </c>
      <c r="K184" s="125" t="s">
        <v>147</v>
      </c>
      <c r="L184" s="125">
        <v>0.0</v>
      </c>
      <c r="M184" s="126">
        <v>2.0</v>
      </c>
      <c r="N184" s="1">
        <v>0.0</v>
      </c>
      <c r="O184" s="1">
        <v>0.0</v>
      </c>
    </row>
    <row r="185" ht="15.75" hidden="1" customHeight="1">
      <c r="A185" s="129">
        <v>45665.0</v>
      </c>
      <c r="B185" s="131">
        <v>45755.0</v>
      </c>
      <c r="C185" s="131">
        <v>45785.0</v>
      </c>
      <c r="D185" s="117" t="s">
        <v>4</v>
      </c>
      <c r="E185" s="117">
        <v>1270458.0</v>
      </c>
      <c r="F185" s="62">
        <v>0.0</v>
      </c>
      <c r="G185" s="62" t="s">
        <v>5712</v>
      </c>
      <c r="H185" s="62" t="s">
        <v>5705</v>
      </c>
      <c r="I185" s="62" t="s">
        <v>13</v>
      </c>
      <c r="J185" s="118" t="s">
        <v>5708</v>
      </c>
      <c r="K185" s="130" t="s">
        <v>160</v>
      </c>
      <c r="L185" s="130">
        <v>0.0</v>
      </c>
      <c r="M185" s="132">
        <v>2.0</v>
      </c>
      <c r="N185" s="1">
        <v>0.0</v>
      </c>
      <c r="O185" s="1">
        <v>0.0</v>
      </c>
    </row>
    <row r="186" ht="15.75" hidden="1" customHeight="1">
      <c r="A186" s="127">
        <v>45665.0</v>
      </c>
      <c r="B186" s="128">
        <v>45755.0</v>
      </c>
      <c r="C186" s="128">
        <v>45785.0</v>
      </c>
      <c r="D186" s="123" t="s">
        <v>4</v>
      </c>
      <c r="E186" s="123">
        <v>1270458.0</v>
      </c>
      <c r="F186" s="124">
        <v>0.0</v>
      </c>
      <c r="G186" s="124" t="s">
        <v>5712</v>
      </c>
      <c r="H186" s="124" t="s">
        <v>5705</v>
      </c>
      <c r="I186" s="124" t="s">
        <v>13</v>
      </c>
      <c r="J186" s="124" t="s">
        <v>5708</v>
      </c>
      <c r="K186" s="125" t="s">
        <v>163</v>
      </c>
      <c r="L186" s="125">
        <v>2.0</v>
      </c>
      <c r="M186" s="126"/>
      <c r="N186" s="1">
        <v>2.0</v>
      </c>
      <c r="O186" s="1" t="s">
        <v>5713</v>
      </c>
    </row>
    <row r="187" ht="15.75" hidden="1" customHeight="1">
      <c r="A187" s="129">
        <v>45665.0</v>
      </c>
      <c r="B187" s="131">
        <v>45755.0</v>
      </c>
      <c r="C187" s="131">
        <v>45816.0</v>
      </c>
      <c r="D187" s="117" t="s">
        <v>4</v>
      </c>
      <c r="E187" s="117">
        <v>1270458.0</v>
      </c>
      <c r="F187" s="62">
        <v>0.0</v>
      </c>
      <c r="G187" s="62" t="s">
        <v>5712</v>
      </c>
      <c r="H187" s="62" t="s">
        <v>5705</v>
      </c>
      <c r="I187" s="62" t="s">
        <v>13</v>
      </c>
      <c r="J187" s="118" t="s">
        <v>5708</v>
      </c>
      <c r="K187" s="130" t="s">
        <v>11</v>
      </c>
      <c r="L187" s="62">
        <v>0.0</v>
      </c>
      <c r="M187" s="132">
        <v>7.0</v>
      </c>
      <c r="N187" s="1">
        <v>0.0</v>
      </c>
      <c r="O187" s="1">
        <v>0.0</v>
      </c>
    </row>
    <row r="188" ht="15.75" hidden="1" customHeight="1">
      <c r="A188" s="127">
        <v>45665.0</v>
      </c>
      <c r="B188" s="128">
        <v>45755.0</v>
      </c>
      <c r="C188" s="128">
        <v>45816.0</v>
      </c>
      <c r="D188" s="123" t="s">
        <v>4</v>
      </c>
      <c r="E188" s="123">
        <v>1270458.0</v>
      </c>
      <c r="F188" s="124">
        <v>0.0</v>
      </c>
      <c r="G188" s="124" t="s">
        <v>5712</v>
      </c>
      <c r="H188" s="124" t="s">
        <v>5705</v>
      </c>
      <c r="I188" s="124" t="s">
        <v>13</v>
      </c>
      <c r="J188" s="124" t="s">
        <v>5708</v>
      </c>
      <c r="K188" s="125" t="s">
        <v>160</v>
      </c>
      <c r="L188" s="125">
        <v>0.0</v>
      </c>
      <c r="M188" s="126">
        <v>1.0</v>
      </c>
      <c r="N188" s="1">
        <v>0.0</v>
      </c>
      <c r="O188" s="1">
        <v>0.0</v>
      </c>
    </row>
    <row r="189" ht="15.75" hidden="1" customHeight="1">
      <c r="A189" s="129">
        <v>45665.0</v>
      </c>
      <c r="B189" s="131">
        <v>45755.0</v>
      </c>
      <c r="C189" s="131">
        <v>45816.0</v>
      </c>
      <c r="D189" s="117" t="s">
        <v>4</v>
      </c>
      <c r="E189" s="117">
        <v>1270458.0</v>
      </c>
      <c r="F189" s="62">
        <v>0.0</v>
      </c>
      <c r="G189" s="62" t="s">
        <v>5712</v>
      </c>
      <c r="H189" s="62" t="s">
        <v>5705</v>
      </c>
      <c r="I189" s="62" t="s">
        <v>13</v>
      </c>
      <c r="J189" s="118" t="s">
        <v>5708</v>
      </c>
      <c r="K189" s="130" t="s">
        <v>147</v>
      </c>
      <c r="L189" s="130">
        <v>0.0</v>
      </c>
      <c r="M189" s="132">
        <v>3.0</v>
      </c>
      <c r="N189" s="1">
        <v>0.0</v>
      </c>
      <c r="O189" s="1">
        <v>0.0</v>
      </c>
    </row>
    <row r="190" ht="15.75" hidden="1" customHeight="1">
      <c r="A190" s="127">
        <v>45665.0</v>
      </c>
      <c r="B190" s="128">
        <v>45755.0</v>
      </c>
      <c r="C190" s="128">
        <v>45816.0</v>
      </c>
      <c r="D190" s="123" t="s">
        <v>4</v>
      </c>
      <c r="E190" s="123">
        <v>1270458.0</v>
      </c>
      <c r="F190" s="124">
        <v>0.0</v>
      </c>
      <c r="G190" s="124" t="s">
        <v>5712</v>
      </c>
      <c r="H190" s="124" t="s">
        <v>5705</v>
      </c>
      <c r="I190" s="124" t="s">
        <v>13</v>
      </c>
      <c r="J190" s="124" t="s">
        <v>5708</v>
      </c>
      <c r="K190" s="125" t="s">
        <v>160</v>
      </c>
      <c r="L190" s="125">
        <v>0.0</v>
      </c>
      <c r="M190" s="126">
        <v>2.0</v>
      </c>
      <c r="N190" s="1">
        <v>0.0</v>
      </c>
      <c r="O190" s="1">
        <v>0.0</v>
      </c>
    </row>
    <row r="191" ht="15.75" hidden="1" customHeight="1">
      <c r="A191" s="129">
        <v>45665.0</v>
      </c>
      <c r="B191" s="131">
        <v>45755.0</v>
      </c>
      <c r="C191" s="131">
        <v>45816.0</v>
      </c>
      <c r="D191" s="117" t="s">
        <v>4</v>
      </c>
      <c r="E191" s="117">
        <v>1270458.0</v>
      </c>
      <c r="F191" s="62">
        <v>0.0</v>
      </c>
      <c r="G191" s="62" t="s">
        <v>5712</v>
      </c>
      <c r="H191" s="62" t="s">
        <v>5705</v>
      </c>
      <c r="I191" s="62" t="s">
        <v>13</v>
      </c>
      <c r="J191" s="118" t="s">
        <v>5708</v>
      </c>
      <c r="K191" s="130" t="s">
        <v>142</v>
      </c>
      <c r="L191" s="130">
        <v>1.0</v>
      </c>
      <c r="M191" s="132"/>
      <c r="N191" s="1">
        <v>1.0</v>
      </c>
      <c r="O191" s="1" t="s">
        <v>5713</v>
      </c>
    </row>
    <row r="192" ht="15.75" customHeight="1">
      <c r="A192" s="127">
        <v>45665.0</v>
      </c>
      <c r="B192" s="128">
        <v>45755.0</v>
      </c>
      <c r="C192" s="128">
        <v>45816.0</v>
      </c>
      <c r="D192" s="123" t="s">
        <v>4</v>
      </c>
      <c r="E192" s="123">
        <v>1270458.0</v>
      </c>
      <c r="F192" s="124">
        <v>0.0</v>
      </c>
      <c r="G192" s="124" t="s">
        <v>5712</v>
      </c>
      <c r="H192" s="124" t="s">
        <v>5705</v>
      </c>
      <c r="I192" s="124" t="s">
        <v>13</v>
      </c>
      <c r="J192" s="124" t="s">
        <v>5708</v>
      </c>
      <c r="K192" s="125" t="s">
        <v>139</v>
      </c>
      <c r="L192" s="125">
        <v>1.0</v>
      </c>
      <c r="M192" s="126">
        <v>0.015333333</v>
      </c>
      <c r="N192" s="1">
        <v>65.2173913</v>
      </c>
      <c r="O192" s="1">
        <v>65.2173913</v>
      </c>
    </row>
    <row r="193" ht="15.75" hidden="1" customHeight="1">
      <c r="A193" s="129">
        <v>45665.0</v>
      </c>
      <c r="B193" s="131">
        <v>45755.0</v>
      </c>
      <c r="C193" s="131">
        <v>45816.0</v>
      </c>
      <c r="D193" s="117" t="s">
        <v>4</v>
      </c>
      <c r="E193" s="117">
        <v>1270458.0</v>
      </c>
      <c r="F193" s="62">
        <v>0.0</v>
      </c>
      <c r="G193" s="62" t="s">
        <v>5712</v>
      </c>
      <c r="H193" s="62" t="s">
        <v>5705</v>
      </c>
      <c r="I193" s="62" t="s">
        <v>13</v>
      </c>
      <c r="J193" s="118" t="s">
        <v>5708</v>
      </c>
      <c r="K193" s="130" t="s">
        <v>154</v>
      </c>
      <c r="L193" s="130">
        <v>9800.0</v>
      </c>
      <c r="M193" s="132">
        <v>181.0</v>
      </c>
      <c r="N193" s="1">
        <v>54.14364641</v>
      </c>
      <c r="O193" s="1">
        <v>54.14364641</v>
      </c>
    </row>
    <row r="194" ht="15.75" hidden="1" customHeight="1">
      <c r="A194" s="127">
        <v>45665.0</v>
      </c>
      <c r="B194" s="128">
        <v>45755.0</v>
      </c>
      <c r="C194" s="128">
        <v>45816.0</v>
      </c>
      <c r="D194" s="123" t="s">
        <v>4</v>
      </c>
      <c r="E194" s="123">
        <v>1270458.0</v>
      </c>
      <c r="F194" s="124">
        <v>0.0</v>
      </c>
      <c r="G194" s="124" t="s">
        <v>5712</v>
      </c>
      <c r="H194" s="124" t="s">
        <v>5705</v>
      </c>
      <c r="I194" s="124" t="s">
        <v>13</v>
      </c>
      <c r="J194" s="124" t="s">
        <v>5708</v>
      </c>
      <c r="K194" s="125" t="s">
        <v>12</v>
      </c>
      <c r="L194" s="125">
        <v>77.78</v>
      </c>
      <c r="M194" s="126">
        <v>1.0</v>
      </c>
      <c r="N194" s="1">
        <v>77.78</v>
      </c>
      <c r="O194" s="1">
        <v>77.78</v>
      </c>
    </row>
    <row r="195" ht="15.75" hidden="1" customHeight="1">
      <c r="A195" s="129">
        <v>45665.0</v>
      </c>
      <c r="B195" s="131">
        <v>45755.0</v>
      </c>
      <c r="C195" s="131">
        <v>45816.0</v>
      </c>
      <c r="D195" s="117" t="s">
        <v>4</v>
      </c>
      <c r="E195" s="117">
        <v>1270458.0</v>
      </c>
      <c r="F195" s="62">
        <v>0.0</v>
      </c>
      <c r="G195" s="62" t="s">
        <v>5712</v>
      </c>
      <c r="H195" s="62" t="s">
        <v>5705</v>
      </c>
      <c r="I195" s="62" t="s">
        <v>13</v>
      </c>
      <c r="J195" s="118" t="s">
        <v>5708</v>
      </c>
      <c r="K195" s="130" t="s">
        <v>147</v>
      </c>
      <c r="L195" s="62">
        <v>0.0</v>
      </c>
      <c r="M195" s="132">
        <v>1.0</v>
      </c>
      <c r="N195" s="1">
        <v>0.0</v>
      </c>
      <c r="O195" s="1">
        <v>0.0</v>
      </c>
    </row>
    <row r="196" ht="15.75" hidden="1" customHeight="1">
      <c r="A196" s="127">
        <v>45665.0</v>
      </c>
      <c r="B196" s="128">
        <v>45755.0</v>
      </c>
      <c r="C196" s="128">
        <v>45816.0</v>
      </c>
      <c r="D196" s="123" t="s">
        <v>4</v>
      </c>
      <c r="E196" s="123">
        <v>1270458.0</v>
      </c>
      <c r="F196" s="124">
        <v>0.0</v>
      </c>
      <c r="G196" s="124" t="s">
        <v>5712</v>
      </c>
      <c r="H196" s="124" t="s">
        <v>5705</v>
      </c>
      <c r="I196" s="124" t="s">
        <v>13</v>
      </c>
      <c r="J196" s="124" t="s">
        <v>5708</v>
      </c>
      <c r="K196" s="125" t="s">
        <v>160</v>
      </c>
      <c r="L196" s="124">
        <v>0.0</v>
      </c>
      <c r="M196" s="126">
        <v>2.0</v>
      </c>
      <c r="N196" s="1">
        <v>0.0</v>
      </c>
      <c r="O196" s="1">
        <v>0.0</v>
      </c>
    </row>
    <row r="197" ht="15.75" hidden="1" customHeight="1">
      <c r="A197" s="129">
        <v>45665.0</v>
      </c>
      <c r="B197" s="131">
        <v>45755.0</v>
      </c>
      <c r="C197" s="131">
        <v>45816.0</v>
      </c>
      <c r="D197" s="117" t="s">
        <v>4</v>
      </c>
      <c r="E197" s="117">
        <v>1270458.0</v>
      </c>
      <c r="F197" s="62">
        <v>0.0</v>
      </c>
      <c r="G197" s="62" t="s">
        <v>5712</v>
      </c>
      <c r="H197" s="62" t="s">
        <v>5705</v>
      </c>
      <c r="I197" s="62" t="s">
        <v>13</v>
      </c>
      <c r="J197" s="118" t="s">
        <v>5708</v>
      </c>
      <c r="K197" s="130" t="s">
        <v>153</v>
      </c>
      <c r="L197" s="130">
        <v>6.98</v>
      </c>
      <c r="M197" s="132">
        <v>0.0</v>
      </c>
      <c r="N197" s="1"/>
      <c r="O197" s="1" t="s">
        <v>5713</v>
      </c>
    </row>
    <row r="198" ht="15.75" hidden="1" customHeight="1">
      <c r="A198" s="127">
        <v>45665.0</v>
      </c>
      <c r="B198" s="128">
        <v>45755.0</v>
      </c>
      <c r="C198" s="128">
        <v>45816.0</v>
      </c>
      <c r="D198" s="123" t="s">
        <v>4</v>
      </c>
      <c r="E198" s="123">
        <v>1270458.0</v>
      </c>
      <c r="F198" s="124">
        <v>0.0</v>
      </c>
      <c r="G198" s="124" t="s">
        <v>5712</v>
      </c>
      <c r="H198" s="124" t="s">
        <v>5705</v>
      </c>
      <c r="I198" s="124" t="s">
        <v>13</v>
      </c>
      <c r="J198" s="124" t="s">
        <v>5708</v>
      </c>
      <c r="K198" s="125" t="s">
        <v>160</v>
      </c>
      <c r="L198" s="125">
        <v>0.0</v>
      </c>
      <c r="M198" s="126">
        <v>2.0</v>
      </c>
      <c r="N198" s="1">
        <v>0.0</v>
      </c>
      <c r="O198" s="1">
        <v>0.0</v>
      </c>
    </row>
    <row r="199" ht="15.75" hidden="1" customHeight="1">
      <c r="A199" s="129">
        <v>45665.0</v>
      </c>
      <c r="B199" s="131">
        <v>45755.0</v>
      </c>
      <c r="C199" s="131">
        <v>45816.0</v>
      </c>
      <c r="D199" s="117" t="s">
        <v>4</v>
      </c>
      <c r="E199" s="117">
        <v>1270458.0</v>
      </c>
      <c r="F199" s="62">
        <v>0.0</v>
      </c>
      <c r="G199" s="62" t="s">
        <v>5712</v>
      </c>
      <c r="H199" s="62" t="s">
        <v>5705</v>
      </c>
      <c r="I199" s="62" t="s">
        <v>13</v>
      </c>
      <c r="J199" s="118" t="s">
        <v>5708</v>
      </c>
      <c r="K199" s="130" t="s">
        <v>160</v>
      </c>
      <c r="L199" s="62">
        <v>0.0</v>
      </c>
      <c r="M199" s="132">
        <v>1.0</v>
      </c>
      <c r="N199" s="1">
        <v>0.0</v>
      </c>
      <c r="O199" s="1">
        <v>0.0</v>
      </c>
    </row>
    <row r="200" ht="15.75" hidden="1" customHeight="1">
      <c r="A200" s="127">
        <v>45665.0</v>
      </c>
      <c r="B200" s="128">
        <v>45755.0</v>
      </c>
      <c r="C200" s="128">
        <v>45816.0</v>
      </c>
      <c r="D200" s="123" t="s">
        <v>4</v>
      </c>
      <c r="E200" s="123">
        <v>1270458.0</v>
      </c>
      <c r="F200" s="124">
        <v>0.0</v>
      </c>
      <c r="G200" s="124" t="s">
        <v>5712</v>
      </c>
      <c r="H200" s="124" t="s">
        <v>5705</v>
      </c>
      <c r="I200" s="124" t="s">
        <v>13</v>
      </c>
      <c r="J200" s="124" t="s">
        <v>5708</v>
      </c>
      <c r="K200" s="125" t="s">
        <v>153</v>
      </c>
      <c r="L200" s="124">
        <v>0.92</v>
      </c>
      <c r="M200" s="126">
        <v>1.0</v>
      </c>
      <c r="N200" s="1">
        <v>0.92</v>
      </c>
      <c r="O200" s="1">
        <v>0.92</v>
      </c>
    </row>
    <row r="201" ht="15.75" hidden="1" customHeight="1">
      <c r="A201" s="129">
        <v>45665.0</v>
      </c>
      <c r="B201" s="131">
        <v>45755.0</v>
      </c>
      <c r="C201" s="131">
        <v>45816.0</v>
      </c>
      <c r="D201" s="117" t="s">
        <v>4</v>
      </c>
      <c r="E201" s="117">
        <v>1270458.0</v>
      </c>
      <c r="F201" s="62">
        <v>0.0</v>
      </c>
      <c r="G201" s="62" t="s">
        <v>5712</v>
      </c>
      <c r="H201" s="62" t="s">
        <v>5705</v>
      </c>
      <c r="I201" s="62" t="s">
        <v>13</v>
      </c>
      <c r="J201" s="118" t="s">
        <v>5708</v>
      </c>
      <c r="K201" s="130" t="s">
        <v>156</v>
      </c>
      <c r="L201" s="130">
        <v>0.0</v>
      </c>
      <c r="M201" s="132">
        <v>1.0</v>
      </c>
      <c r="N201" s="1">
        <v>0.0</v>
      </c>
      <c r="O201" s="1">
        <v>0.0</v>
      </c>
    </row>
    <row r="202" ht="15.75" hidden="1" customHeight="1">
      <c r="A202" s="127">
        <v>45665.0</v>
      </c>
      <c r="B202" s="128">
        <v>45755.0</v>
      </c>
      <c r="C202" s="128">
        <v>45816.0</v>
      </c>
      <c r="D202" s="123" t="s">
        <v>4</v>
      </c>
      <c r="E202" s="123">
        <v>1270458.0</v>
      </c>
      <c r="F202" s="124">
        <v>0.0</v>
      </c>
      <c r="G202" s="124" t="s">
        <v>5712</v>
      </c>
      <c r="H202" s="124" t="s">
        <v>5705</v>
      </c>
      <c r="I202" s="124" t="s">
        <v>13</v>
      </c>
      <c r="J202" s="124" t="s">
        <v>5708</v>
      </c>
      <c r="K202" s="125" t="s">
        <v>147</v>
      </c>
      <c r="L202" s="125">
        <v>300.0</v>
      </c>
      <c r="M202" s="134">
        <v>107.0</v>
      </c>
      <c r="N202" s="1">
        <v>2.803738318</v>
      </c>
      <c r="O202" s="1">
        <v>2.803738318</v>
      </c>
    </row>
    <row r="203" ht="15.75" hidden="1" customHeight="1">
      <c r="A203" s="129">
        <v>45665.0</v>
      </c>
      <c r="B203" s="137">
        <v>45755.0</v>
      </c>
      <c r="C203" s="131">
        <v>45816.0</v>
      </c>
      <c r="D203" s="117" t="s">
        <v>4</v>
      </c>
      <c r="E203" s="117">
        <v>1270458.0</v>
      </c>
      <c r="F203" s="62">
        <v>0.0</v>
      </c>
      <c r="G203" s="62" t="s">
        <v>5712</v>
      </c>
      <c r="H203" s="62" t="s">
        <v>5705</v>
      </c>
      <c r="I203" s="62" t="s">
        <v>13</v>
      </c>
      <c r="J203" s="118" t="s">
        <v>5708</v>
      </c>
      <c r="K203" s="130" t="s">
        <v>163</v>
      </c>
      <c r="L203" s="62">
        <v>104.0</v>
      </c>
      <c r="M203" s="132"/>
      <c r="N203" s="1">
        <v>104.0</v>
      </c>
      <c r="O203" s="1" t="s">
        <v>5713</v>
      </c>
    </row>
    <row r="204" ht="15.75" hidden="1" customHeight="1">
      <c r="A204" s="127">
        <v>45665.0</v>
      </c>
      <c r="B204" s="138">
        <v>45755.0</v>
      </c>
      <c r="C204" s="128">
        <v>45816.0</v>
      </c>
      <c r="D204" s="123" t="s">
        <v>4</v>
      </c>
      <c r="E204" s="123">
        <v>1270458.0</v>
      </c>
      <c r="F204" s="124">
        <v>0.0</v>
      </c>
      <c r="G204" s="124" t="s">
        <v>5712</v>
      </c>
      <c r="H204" s="124" t="s">
        <v>5705</v>
      </c>
      <c r="I204" s="123" t="s">
        <v>13</v>
      </c>
      <c r="J204" s="124" t="s">
        <v>5708</v>
      </c>
      <c r="K204" s="125" t="s">
        <v>160</v>
      </c>
      <c r="L204" s="124">
        <v>0.0</v>
      </c>
      <c r="M204" s="126">
        <v>2.0</v>
      </c>
      <c r="N204" s="1">
        <v>0.0</v>
      </c>
      <c r="O204" s="1">
        <v>0.0</v>
      </c>
    </row>
    <row r="205" ht="15.75" hidden="1" customHeight="1">
      <c r="A205" s="129">
        <v>45665.0</v>
      </c>
      <c r="B205" s="137">
        <v>45755.0</v>
      </c>
      <c r="C205" s="131">
        <v>45816.0</v>
      </c>
      <c r="D205" s="117" t="s">
        <v>4</v>
      </c>
      <c r="E205" s="117">
        <v>1270458.0</v>
      </c>
      <c r="F205" s="62">
        <v>0.0</v>
      </c>
      <c r="G205" s="62" t="s">
        <v>5712</v>
      </c>
      <c r="H205" s="62" t="s">
        <v>5705</v>
      </c>
      <c r="I205" s="62" t="s">
        <v>13</v>
      </c>
      <c r="J205" s="118" t="s">
        <v>5708</v>
      </c>
      <c r="K205" s="130" t="s">
        <v>147</v>
      </c>
      <c r="L205" s="130">
        <v>0.0</v>
      </c>
      <c r="M205" s="132">
        <v>2.0</v>
      </c>
      <c r="N205" s="1">
        <v>0.0</v>
      </c>
      <c r="O205" s="1">
        <v>0.0</v>
      </c>
    </row>
    <row r="206" ht="15.75" hidden="1" customHeight="1">
      <c r="A206" s="127">
        <v>45665.0</v>
      </c>
      <c r="B206" s="138">
        <v>45755.0</v>
      </c>
      <c r="C206" s="128">
        <v>45816.0</v>
      </c>
      <c r="D206" s="123" t="s">
        <v>4</v>
      </c>
      <c r="E206" s="123">
        <v>1270458.0</v>
      </c>
      <c r="F206" s="124">
        <v>0.0</v>
      </c>
      <c r="G206" s="124" t="s">
        <v>5712</v>
      </c>
      <c r="H206" s="124" t="s">
        <v>5705</v>
      </c>
      <c r="I206" s="124" t="s">
        <v>13</v>
      </c>
      <c r="J206" s="124" t="s">
        <v>5708</v>
      </c>
      <c r="K206" s="125" t="s">
        <v>147</v>
      </c>
      <c r="L206" s="125">
        <v>0.0</v>
      </c>
      <c r="M206" s="126">
        <v>2.0</v>
      </c>
      <c r="N206" s="1">
        <v>0.0</v>
      </c>
      <c r="O206" s="1">
        <v>0.0</v>
      </c>
    </row>
    <row r="207" ht="15.75" hidden="1" customHeight="1">
      <c r="A207" s="129">
        <v>45665.0</v>
      </c>
      <c r="B207" s="137">
        <v>45755.0</v>
      </c>
      <c r="C207" s="131">
        <v>45846.0</v>
      </c>
      <c r="D207" s="117" t="s">
        <v>4</v>
      </c>
      <c r="E207" s="117">
        <v>1270458.0</v>
      </c>
      <c r="F207" s="62">
        <v>0.0</v>
      </c>
      <c r="G207" s="62" t="s">
        <v>5712</v>
      </c>
      <c r="H207" s="62" t="s">
        <v>5705</v>
      </c>
      <c r="I207" s="62" t="s">
        <v>13</v>
      </c>
      <c r="J207" s="118" t="s">
        <v>5708</v>
      </c>
      <c r="K207" s="130" t="s">
        <v>160</v>
      </c>
      <c r="L207" s="130">
        <v>0.0</v>
      </c>
      <c r="M207" s="132">
        <v>20.0</v>
      </c>
      <c r="N207" s="1">
        <v>0.0</v>
      </c>
      <c r="O207" s="1">
        <v>0.0</v>
      </c>
    </row>
    <row r="208" ht="15.75" hidden="1" customHeight="1">
      <c r="A208" s="127">
        <v>45665.0</v>
      </c>
      <c r="B208" s="128">
        <v>45755.0</v>
      </c>
      <c r="C208" s="128">
        <v>45846.0</v>
      </c>
      <c r="D208" s="123" t="s">
        <v>4</v>
      </c>
      <c r="E208" s="123">
        <v>1270458.0</v>
      </c>
      <c r="F208" s="124">
        <v>0.0</v>
      </c>
      <c r="G208" s="124" t="s">
        <v>5712</v>
      </c>
      <c r="H208" s="124" t="s">
        <v>5705</v>
      </c>
      <c r="I208" s="124" t="s">
        <v>13</v>
      </c>
      <c r="J208" s="124" t="s">
        <v>5708</v>
      </c>
      <c r="K208" s="125" t="s">
        <v>142</v>
      </c>
      <c r="L208" s="125">
        <v>52.0</v>
      </c>
      <c r="M208" s="126"/>
      <c r="N208" s="1">
        <v>52.0</v>
      </c>
      <c r="O208" s="1" t="s">
        <v>5713</v>
      </c>
    </row>
    <row r="209" ht="15.75" hidden="1" customHeight="1">
      <c r="A209" s="129">
        <v>45665.0</v>
      </c>
      <c r="B209" s="131">
        <v>45755.0</v>
      </c>
      <c r="C209" s="131">
        <v>45846.0</v>
      </c>
      <c r="D209" s="117" t="s">
        <v>4</v>
      </c>
      <c r="E209" s="117">
        <v>1270458.0</v>
      </c>
      <c r="F209" s="62">
        <v>0.0</v>
      </c>
      <c r="G209" s="62" t="s">
        <v>5712</v>
      </c>
      <c r="H209" s="62" t="s">
        <v>5705</v>
      </c>
      <c r="I209" s="62" t="s">
        <v>13</v>
      </c>
      <c r="J209" s="118" t="s">
        <v>5708</v>
      </c>
      <c r="K209" s="130" t="s">
        <v>147</v>
      </c>
      <c r="L209" s="130">
        <v>0.0</v>
      </c>
      <c r="M209" s="132">
        <v>1.0</v>
      </c>
      <c r="N209" s="1">
        <v>0.0</v>
      </c>
      <c r="O209" s="1">
        <v>0.0</v>
      </c>
    </row>
    <row r="210" ht="15.75" hidden="1" customHeight="1">
      <c r="A210" s="127">
        <v>45665.0</v>
      </c>
      <c r="B210" s="128">
        <v>45755.0</v>
      </c>
      <c r="C210" s="128">
        <v>45846.0</v>
      </c>
      <c r="D210" s="123" t="s">
        <v>4</v>
      </c>
      <c r="E210" s="123">
        <v>1270458.0</v>
      </c>
      <c r="F210" s="124">
        <v>0.0</v>
      </c>
      <c r="G210" s="124" t="s">
        <v>5712</v>
      </c>
      <c r="H210" s="124" t="s">
        <v>5705</v>
      </c>
      <c r="I210" s="124" t="s">
        <v>13</v>
      </c>
      <c r="J210" s="124" t="s">
        <v>5708</v>
      </c>
      <c r="K210" s="125" t="s">
        <v>153</v>
      </c>
      <c r="L210" s="124">
        <v>168.84</v>
      </c>
      <c r="M210" s="126">
        <v>52.0</v>
      </c>
      <c r="N210" s="1">
        <v>3.246923077</v>
      </c>
      <c r="O210" s="1">
        <v>3.246923077</v>
      </c>
    </row>
    <row r="211" ht="15.75" hidden="1" customHeight="1">
      <c r="A211" s="129">
        <v>45665.0</v>
      </c>
      <c r="B211" s="131">
        <v>45755.0</v>
      </c>
      <c r="C211" s="131">
        <v>45846.0</v>
      </c>
      <c r="D211" s="117" t="s">
        <v>4</v>
      </c>
      <c r="E211" s="117">
        <v>1270458.0</v>
      </c>
      <c r="F211" s="62">
        <v>0.0</v>
      </c>
      <c r="G211" s="62" t="s">
        <v>5712</v>
      </c>
      <c r="H211" s="62" t="s">
        <v>5705</v>
      </c>
      <c r="I211" s="62" t="s">
        <v>13</v>
      </c>
      <c r="J211" s="118" t="s">
        <v>5708</v>
      </c>
      <c r="K211" s="130" t="s">
        <v>154</v>
      </c>
      <c r="L211" s="62">
        <v>5100.0</v>
      </c>
      <c r="M211" s="132">
        <v>95.0</v>
      </c>
      <c r="N211" s="1">
        <v>53.68421053</v>
      </c>
      <c r="O211" s="1">
        <v>53.68421053</v>
      </c>
    </row>
    <row r="212" ht="15.75" hidden="1" customHeight="1">
      <c r="A212" s="127">
        <v>45665.0</v>
      </c>
      <c r="B212" s="128">
        <v>45755.0</v>
      </c>
      <c r="C212" s="128">
        <v>45816.0</v>
      </c>
      <c r="D212" s="123" t="s">
        <v>4</v>
      </c>
      <c r="E212" s="123">
        <v>1270458.0</v>
      </c>
      <c r="F212" s="124">
        <v>0.0</v>
      </c>
      <c r="G212" s="124" t="s">
        <v>5712</v>
      </c>
      <c r="H212" s="124" t="s">
        <v>5705</v>
      </c>
      <c r="I212" s="124" t="s">
        <v>13</v>
      </c>
      <c r="J212" s="124" t="s">
        <v>5708</v>
      </c>
      <c r="K212" s="125" t="s">
        <v>163</v>
      </c>
      <c r="L212" s="125">
        <v>1.0</v>
      </c>
      <c r="M212" s="126"/>
      <c r="N212" s="1">
        <v>1.0</v>
      </c>
      <c r="O212" s="1" t="s">
        <v>5713</v>
      </c>
    </row>
    <row r="213" ht="15.75" hidden="1" customHeight="1">
      <c r="A213" s="129">
        <v>45665.0</v>
      </c>
      <c r="B213" s="131">
        <v>45755.0</v>
      </c>
      <c r="C213" s="131">
        <v>45816.0</v>
      </c>
      <c r="D213" s="117" t="s">
        <v>4</v>
      </c>
      <c r="E213" s="117">
        <v>1270458.0</v>
      </c>
      <c r="F213" s="62">
        <v>0.0</v>
      </c>
      <c r="G213" s="62" t="s">
        <v>5712</v>
      </c>
      <c r="H213" s="62" t="s">
        <v>5705</v>
      </c>
      <c r="I213" s="62" t="s">
        <v>13</v>
      </c>
      <c r="J213" s="118" t="s">
        <v>5708</v>
      </c>
      <c r="K213" s="130" t="s">
        <v>156</v>
      </c>
      <c r="L213" s="130">
        <v>4500.0</v>
      </c>
      <c r="M213" s="132">
        <v>86.0</v>
      </c>
      <c r="N213" s="1">
        <v>52.3255814</v>
      </c>
      <c r="O213" s="1">
        <v>52.3255814</v>
      </c>
    </row>
    <row r="214" ht="15.75" customHeight="1">
      <c r="A214" s="127">
        <v>45665.0</v>
      </c>
      <c r="B214" s="128">
        <v>45755.0</v>
      </c>
      <c r="C214" s="128">
        <v>45816.0</v>
      </c>
      <c r="D214" s="123" t="s">
        <v>4</v>
      </c>
      <c r="E214" s="123">
        <v>1270458.0</v>
      </c>
      <c r="F214" s="124">
        <v>0.0</v>
      </c>
      <c r="G214" s="124" t="s">
        <v>5712</v>
      </c>
      <c r="H214" s="124" t="s">
        <v>5705</v>
      </c>
      <c r="I214" s="123" t="s">
        <v>13</v>
      </c>
      <c r="J214" s="124" t="s">
        <v>5708</v>
      </c>
      <c r="K214" s="125" t="s">
        <v>139</v>
      </c>
      <c r="L214" s="125">
        <v>0.0</v>
      </c>
      <c r="M214" s="126">
        <v>0.001166667</v>
      </c>
      <c r="N214" s="1">
        <v>0.0</v>
      </c>
      <c r="O214" s="1">
        <v>0.0</v>
      </c>
    </row>
    <row r="215" ht="15.75" hidden="1" customHeight="1">
      <c r="A215" s="129">
        <v>45665.0</v>
      </c>
      <c r="B215" s="131">
        <v>45755.0</v>
      </c>
      <c r="C215" s="131">
        <v>45816.0</v>
      </c>
      <c r="D215" s="117" t="s">
        <v>4</v>
      </c>
      <c r="E215" s="117">
        <v>1270458.0</v>
      </c>
      <c r="F215" s="62">
        <v>0.0</v>
      </c>
      <c r="G215" s="62" t="s">
        <v>5712</v>
      </c>
      <c r="H215" s="62" t="s">
        <v>5705</v>
      </c>
      <c r="I215" s="118" t="s">
        <v>5708</v>
      </c>
      <c r="J215" s="118" t="s">
        <v>5708</v>
      </c>
      <c r="K215" s="130" t="s">
        <v>7</v>
      </c>
      <c r="L215" s="130">
        <v>100.0</v>
      </c>
      <c r="M215" s="132">
        <v>15.0</v>
      </c>
      <c r="N215" s="1">
        <v>6.666666667</v>
      </c>
      <c r="O215" s="1">
        <v>6.666666667</v>
      </c>
    </row>
    <row r="216" ht="15.75" hidden="1" customHeight="1">
      <c r="A216" s="127">
        <v>45665.0</v>
      </c>
      <c r="B216" s="128">
        <v>45755.0</v>
      </c>
      <c r="C216" s="128">
        <v>45816.0</v>
      </c>
      <c r="D216" s="123" t="s">
        <v>4</v>
      </c>
      <c r="E216" s="123">
        <v>1270458.0</v>
      </c>
      <c r="F216" s="124">
        <v>0.0</v>
      </c>
      <c r="G216" s="124" t="s">
        <v>5712</v>
      </c>
      <c r="H216" s="124" t="s">
        <v>5705</v>
      </c>
      <c r="I216" s="124" t="s">
        <v>13</v>
      </c>
      <c r="J216" s="124" t="s">
        <v>5708</v>
      </c>
      <c r="K216" s="125" t="s">
        <v>147</v>
      </c>
      <c r="L216" s="125">
        <v>0.0</v>
      </c>
      <c r="M216" s="126">
        <v>2.0</v>
      </c>
      <c r="N216" s="1">
        <v>0.0</v>
      </c>
      <c r="O216" s="1">
        <v>0.0</v>
      </c>
    </row>
    <row r="217" ht="15.75" hidden="1" customHeight="1">
      <c r="A217" s="129">
        <v>45665.0</v>
      </c>
      <c r="B217" s="131">
        <v>45755.0</v>
      </c>
      <c r="C217" s="131">
        <v>45816.0</v>
      </c>
      <c r="D217" s="117" t="s">
        <v>4</v>
      </c>
      <c r="E217" s="117">
        <v>1270458.0</v>
      </c>
      <c r="F217" s="62">
        <v>0.0</v>
      </c>
      <c r="G217" s="62" t="s">
        <v>5712</v>
      </c>
      <c r="H217" s="62" t="s">
        <v>5705</v>
      </c>
      <c r="I217" s="62" t="s">
        <v>13</v>
      </c>
      <c r="J217" s="118" t="s">
        <v>5708</v>
      </c>
      <c r="K217" s="130" t="s">
        <v>160</v>
      </c>
      <c r="L217" s="62">
        <v>0.0</v>
      </c>
      <c r="M217" s="132">
        <v>1.0</v>
      </c>
      <c r="N217" s="1">
        <v>0.0</v>
      </c>
      <c r="O217" s="1">
        <v>0.0</v>
      </c>
    </row>
    <row r="218" ht="15.75" hidden="1" customHeight="1">
      <c r="A218" s="127">
        <v>45665.0</v>
      </c>
      <c r="B218" s="128">
        <v>45755.0</v>
      </c>
      <c r="C218" s="128">
        <v>45816.0</v>
      </c>
      <c r="D218" s="123" t="s">
        <v>4</v>
      </c>
      <c r="E218" s="123">
        <v>1270458.0</v>
      </c>
      <c r="F218" s="124">
        <v>0.0</v>
      </c>
      <c r="G218" s="124" t="s">
        <v>5712</v>
      </c>
      <c r="H218" s="124" t="s">
        <v>5705</v>
      </c>
      <c r="I218" s="124" t="s">
        <v>13</v>
      </c>
      <c r="J218" s="124" t="s">
        <v>5708</v>
      </c>
      <c r="K218" s="125" t="s">
        <v>163</v>
      </c>
      <c r="L218" s="125">
        <v>1.0</v>
      </c>
      <c r="M218" s="126"/>
      <c r="N218" s="1">
        <v>1.0</v>
      </c>
      <c r="O218" s="1" t="s">
        <v>5713</v>
      </c>
    </row>
    <row r="219" ht="15.75" hidden="1" customHeight="1">
      <c r="A219" s="129">
        <v>45665.0</v>
      </c>
      <c r="B219" s="137">
        <v>45755.0</v>
      </c>
      <c r="C219" s="131">
        <v>45816.0</v>
      </c>
      <c r="D219" s="117" t="s">
        <v>4</v>
      </c>
      <c r="E219" s="117">
        <v>1270458.0</v>
      </c>
      <c r="F219" s="62">
        <v>0.0</v>
      </c>
      <c r="G219" s="62" t="s">
        <v>5712</v>
      </c>
      <c r="H219" s="62" t="s">
        <v>5705</v>
      </c>
      <c r="I219" s="62" t="s">
        <v>13</v>
      </c>
      <c r="J219" s="118" t="s">
        <v>5708</v>
      </c>
      <c r="K219" s="130" t="s">
        <v>160</v>
      </c>
      <c r="L219" s="130">
        <v>0.0</v>
      </c>
      <c r="M219" s="132">
        <v>2.0</v>
      </c>
      <c r="N219" s="1">
        <v>0.0</v>
      </c>
      <c r="O219" s="1">
        <v>0.0</v>
      </c>
    </row>
    <row r="220" ht="15.75" hidden="1" customHeight="1">
      <c r="A220" s="127">
        <v>45665.0</v>
      </c>
      <c r="B220" s="138">
        <v>45755.0</v>
      </c>
      <c r="C220" s="128">
        <v>45816.0</v>
      </c>
      <c r="D220" s="123" t="s">
        <v>4</v>
      </c>
      <c r="E220" s="123">
        <v>1270458.0</v>
      </c>
      <c r="F220" s="124">
        <v>0.0</v>
      </c>
      <c r="G220" s="124" t="s">
        <v>5712</v>
      </c>
      <c r="H220" s="124" t="s">
        <v>5705</v>
      </c>
      <c r="I220" s="124" t="s">
        <v>13</v>
      </c>
      <c r="J220" s="124" t="s">
        <v>5708</v>
      </c>
      <c r="K220" s="125" t="s">
        <v>163</v>
      </c>
      <c r="L220" s="125">
        <v>2.0</v>
      </c>
      <c r="M220" s="126"/>
      <c r="N220" s="1">
        <v>2.0</v>
      </c>
      <c r="O220" s="1" t="s">
        <v>5713</v>
      </c>
    </row>
    <row r="221" ht="15.75" hidden="1" customHeight="1">
      <c r="A221" s="129">
        <v>45665.0</v>
      </c>
      <c r="B221" s="137">
        <v>45755.0</v>
      </c>
      <c r="C221" s="131">
        <v>45816.0</v>
      </c>
      <c r="D221" s="117" t="s">
        <v>4</v>
      </c>
      <c r="E221" s="117">
        <v>1270458.0</v>
      </c>
      <c r="F221" s="62">
        <v>0.0</v>
      </c>
      <c r="G221" s="62" t="s">
        <v>5712</v>
      </c>
      <c r="H221" s="62" t="s">
        <v>5705</v>
      </c>
      <c r="I221" s="62" t="s">
        <v>13</v>
      </c>
      <c r="J221" s="118" t="s">
        <v>5708</v>
      </c>
      <c r="K221" s="130" t="s">
        <v>163</v>
      </c>
      <c r="L221" s="62">
        <v>2.0</v>
      </c>
      <c r="M221" s="132"/>
      <c r="N221" s="1">
        <v>2.0</v>
      </c>
      <c r="O221" s="1" t="s">
        <v>5713</v>
      </c>
    </row>
    <row r="222" ht="15.75" hidden="1" customHeight="1">
      <c r="A222" s="127">
        <v>45665.0</v>
      </c>
      <c r="B222" s="138">
        <v>45755.0</v>
      </c>
      <c r="C222" s="128">
        <v>45877.0</v>
      </c>
      <c r="D222" s="123" t="s">
        <v>4</v>
      </c>
      <c r="E222" s="123">
        <v>1270458.0</v>
      </c>
      <c r="F222" s="124">
        <v>0.0</v>
      </c>
      <c r="G222" s="124" t="s">
        <v>5712</v>
      </c>
      <c r="H222" s="124" t="s">
        <v>5705</v>
      </c>
      <c r="I222" s="124" t="s">
        <v>13</v>
      </c>
      <c r="J222" s="124" t="s">
        <v>5708</v>
      </c>
      <c r="K222" s="125" t="s">
        <v>12</v>
      </c>
      <c r="L222" s="125">
        <v>100.0</v>
      </c>
      <c r="M222" s="126">
        <v>1.0</v>
      </c>
      <c r="N222" s="1">
        <v>100.0</v>
      </c>
      <c r="O222" s="1">
        <v>100.0</v>
      </c>
    </row>
    <row r="223" ht="15.75" hidden="1" customHeight="1">
      <c r="A223" s="129">
        <v>45665.0</v>
      </c>
      <c r="B223" s="137">
        <v>45755.0</v>
      </c>
      <c r="C223" s="131">
        <v>45846.0</v>
      </c>
      <c r="D223" s="117" t="s">
        <v>4</v>
      </c>
      <c r="E223" s="117">
        <v>1270458.0</v>
      </c>
      <c r="F223" s="62">
        <v>0.0</v>
      </c>
      <c r="G223" s="62" t="s">
        <v>5712</v>
      </c>
      <c r="H223" s="62" t="s">
        <v>5705</v>
      </c>
      <c r="I223" s="118" t="s">
        <v>5708</v>
      </c>
      <c r="J223" s="118" t="s">
        <v>5708</v>
      </c>
      <c r="K223" s="130" t="s">
        <v>7</v>
      </c>
      <c r="L223" s="130">
        <v>0.0</v>
      </c>
      <c r="M223" s="132">
        <v>4.0</v>
      </c>
      <c r="N223" s="1">
        <v>0.0</v>
      </c>
      <c r="O223" s="1">
        <v>0.0</v>
      </c>
    </row>
    <row r="224" ht="15.75" hidden="1" customHeight="1">
      <c r="A224" s="127">
        <v>45665.0</v>
      </c>
      <c r="B224" s="138">
        <v>45755.0</v>
      </c>
      <c r="C224" s="128">
        <v>45846.0</v>
      </c>
      <c r="D224" s="123" t="s">
        <v>4</v>
      </c>
      <c r="E224" s="123">
        <v>1270458.0</v>
      </c>
      <c r="F224" s="124">
        <v>0.0</v>
      </c>
      <c r="G224" s="124" t="s">
        <v>5712</v>
      </c>
      <c r="H224" s="124" t="s">
        <v>5705</v>
      </c>
      <c r="I224" s="124" t="s">
        <v>13</v>
      </c>
      <c r="J224" s="124" t="s">
        <v>5708</v>
      </c>
      <c r="K224" s="125" t="s">
        <v>11</v>
      </c>
      <c r="L224" s="125">
        <v>0.0</v>
      </c>
      <c r="M224" s="126">
        <v>7.0</v>
      </c>
      <c r="N224" s="1">
        <v>0.0</v>
      </c>
      <c r="O224" s="1">
        <v>0.0</v>
      </c>
    </row>
    <row r="225" ht="15.75" hidden="1" customHeight="1">
      <c r="A225" s="129">
        <v>45665.0</v>
      </c>
      <c r="B225" s="137">
        <v>45755.0</v>
      </c>
      <c r="C225" s="131">
        <v>45846.0</v>
      </c>
      <c r="D225" s="117" t="s">
        <v>4</v>
      </c>
      <c r="E225" s="117">
        <v>1270458.0</v>
      </c>
      <c r="F225" s="62">
        <v>0.0</v>
      </c>
      <c r="G225" s="62" t="s">
        <v>5712</v>
      </c>
      <c r="H225" s="62" t="s">
        <v>5705</v>
      </c>
      <c r="I225" s="62" t="s">
        <v>13</v>
      </c>
      <c r="J225" s="118" t="s">
        <v>5708</v>
      </c>
      <c r="K225" s="130" t="s">
        <v>163</v>
      </c>
      <c r="L225" s="130">
        <v>2.0</v>
      </c>
      <c r="M225" s="133"/>
      <c r="N225" s="1">
        <v>2.0</v>
      </c>
      <c r="O225" s="1" t="s">
        <v>5713</v>
      </c>
    </row>
    <row r="226" ht="15.75" hidden="1" customHeight="1">
      <c r="A226" s="127">
        <v>45665.0</v>
      </c>
      <c r="B226" s="138">
        <v>45755.0</v>
      </c>
      <c r="C226" s="128">
        <v>45908.0</v>
      </c>
      <c r="D226" s="123" t="s">
        <v>4</v>
      </c>
      <c r="E226" s="123">
        <v>1270458.0</v>
      </c>
      <c r="F226" s="124">
        <v>0.0</v>
      </c>
      <c r="G226" s="124" t="s">
        <v>5712</v>
      </c>
      <c r="H226" s="124" t="s">
        <v>5705</v>
      </c>
      <c r="I226" s="124" t="s">
        <v>13</v>
      </c>
      <c r="J226" s="124" t="s">
        <v>5708</v>
      </c>
      <c r="K226" s="125" t="s">
        <v>147</v>
      </c>
      <c r="L226" s="124">
        <v>0.0</v>
      </c>
      <c r="M226" s="126">
        <v>2.0</v>
      </c>
      <c r="N226" s="1">
        <v>0.0</v>
      </c>
      <c r="O226" s="1">
        <v>0.0</v>
      </c>
    </row>
    <row r="227" ht="15.75" hidden="1" customHeight="1">
      <c r="A227" s="129">
        <v>45665.0</v>
      </c>
      <c r="B227" s="137">
        <v>45755.0</v>
      </c>
      <c r="C227" s="131">
        <v>45908.0</v>
      </c>
      <c r="D227" s="117" t="s">
        <v>4</v>
      </c>
      <c r="E227" s="117">
        <v>1270458.0</v>
      </c>
      <c r="F227" s="62">
        <v>0.0</v>
      </c>
      <c r="G227" s="62" t="s">
        <v>5712</v>
      </c>
      <c r="H227" s="62" t="s">
        <v>5705</v>
      </c>
      <c r="I227" s="62" t="s">
        <v>13</v>
      </c>
      <c r="J227" s="118" t="s">
        <v>5708</v>
      </c>
      <c r="K227" s="130" t="s">
        <v>153</v>
      </c>
      <c r="L227" s="62">
        <v>0.02</v>
      </c>
      <c r="M227" s="132">
        <v>0.0</v>
      </c>
      <c r="N227" s="1"/>
      <c r="O227" s="1" t="s">
        <v>5713</v>
      </c>
    </row>
    <row r="228" ht="15.75" hidden="1" customHeight="1">
      <c r="A228" s="127">
        <v>45665.0</v>
      </c>
      <c r="B228" s="138">
        <v>45755.0</v>
      </c>
      <c r="C228" s="128">
        <v>45908.0</v>
      </c>
      <c r="D228" s="123" t="s">
        <v>4</v>
      </c>
      <c r="E228" s="123">
        <v>1270458.0</v>
      </c>
      <c r="F228" s="124">
        <v>0.0</v>
      </c>
      <c r="G228" s="124" t="s">
        <v>5712</v>
      </c>
      <c r="H228" s="124" t="s">
        <v>5705</v>
      </c>
      <c r="I228" s="124" t="s">
        <v>13</v>
      </c>
      <c r="J228" s="124" t="s">
        <v>5708</v>
      </c>
      <c r="K228" s="125" t="s">
        <v>160</v>
      </c>
      <c r="L228" s="125">
        <v>0.0</v>
      </c>
      <c r="M228" s="126">
        <v>3.0</v>
      </c>
      <c r="N228" s="1">
        <v>0.0</v>
      </c>
      <c r="O228" s="1">
        <v>0.0</v>
      </c>
    </row>
    <row r="229" ht="15.75" hidden="1" customHeight="1">
      <c r="A229" s="129">
        <v>45665.0</v>
      </c>
      <c r="B229" s="137">
        <v>45755.0</v>
      </c>
      <c r="C229" s="131">
        <v>45908.0</v>
      </c>
      <c r="D229" s="117" t="s">
        <v>4</v>
      </c>
      <c r="E229" s="117">
        <v>1270458.0</v>
      </c>
      <c r="F229" s="62">
        <v>0.0</v>
      </c>
      <c r="G229" s="62" t="s">
        <v>5712</v>
      </c>
      <c r="H229" s="62" t="s">
        <v>5705</v>
      </c>
      <c r="I229" s="62" t="s">
        <v>13</v>
      </c>
      <c r="J229" s="118" t="s">
        <v>5708</v>
      </c>
      <c r="K229" s="130" t="s">
        <v>163</v>
      </c>
      <c r="L229" s="130">
        <v>3.0</v>
      </c>
      <c r="M229" s="132"/>
      <c r="N229" s="1">
        <v>3.0</v>
      </c>
      <c r="O229" s="1" t="s">
        <v>5713</v>
      </c>
    </row>
    <row r="230" ht="15.75" hidden="1" customHeight="1">
      <c r="A230" s="127">
        <v>45665.0</v>
      </c>
      <c r="B230" s="138">
        <v>45755.0</v>
      </c>
      <c r="C230" s="128">
        <v>45938.0</v>
      </c>
      <c r="D230" s="123" t="s">
        <v>4</v>
      </c>
      <c r="E230" s="123">
        <v>1270458.0</v>
      </c>
      <c r="F230" s="124">
        <v>0.0</v>
      </c>
      <c r="G230" s="124" t="s">
        <v>5712</v>
      </c>
      <c r="H230" s="124" t="s">
        <v>5705</v>
      </c>
      <c r="I230" s="124" t="s">
        <v>13</v>
      </c>
      <c r="J230" s="124" t="s">
        <v>5708</v>
      </c>
      <c r="K230" s="125" t="s">
        <v>156</v>
      </c>
      <c r="L230" s="125">
        <v>100.0</v>
      </c>
      <c r="M230" s="126">
        <v>1.0</v>
      </c>
      <c r="N230" s="1">
        <v>100.0</v>
      </c>
      <c r="O230" s="1">
        <v>100.0</v>
      </c>
    </row>
    <row r="231" ht="15.75" hidden="1" customHeight="1">
      <c r="A231" s="129">
        <v>45665.0</v>
      </c>
      <c r="B231" s="137">
        <v>45755.0</v>
      </c>
      <c r="C231" s="131">
        <v>45938.0</v>
      </c>
      <c r="D231" s="117" t="s">
        <v>4</v>
      </c>
      <c r="E231" s="117">
        <v>1270458.0</v>
      </c>
      <c r="F231" s="62">
        <v>0.0</v>
      </c>
      <c r="G231" s="62" t="s">
        <v>5712</v>
      </c>
      <c r="H231" s="62" t="s">
        <v>5705</v>
      </c>
      <c r="I231" s="62" t="s">
        <v>13</v>
      </c>
      <c r="J231" s="118" t="s">
        <v>5708</v>
      </c>
      <c r="K231" s="130" t="s">
        <v>147</v>
      </c>
      <c r="L231" s="62">
        <v>500.0</v>
      </c>
      <c r="M231" s="132">
        <v>66.0</v>
      </c>
      <c r="N231" s="1">
        <v>7.575757576</v>
      </c>
      <c r="O231" s="1">
        <v>7.575757576</v>
      </c>
    </row>
    <row r="232" ht="15.75" hidden="1" customHeight="1">
      <c r="A232" s="127">
        <v>45665.0</v>
      </c>
      <c r="B232" s="138">
        <v>45755.0</v>
      </c>
      <c r="C232" s="128">
        <v>45938.0</v>
      </c>
      <c r="D232" s="123" t="s">
        <v>4</v>
      </c>
      <c r="E232" s="123">
        <v>1270458.0</v>
      </c>
      <c r="F232" s="124">
        <v>0.0</v>
      </c>
      <c r="G232" s="124" t="s">
        <v>5712</v>
      </c>
      <c r="H232" s="124" t="s">
        <v>5705</v>
      </c>
      <c r="I232" s="124" t="s">
        <v>13</v>
      </c>
      <c r="J232" s="124" t="s">
        <v>5708</v>
      </c>
      <c r="K232" s="125" t="s">
        <v>155</v>
      </c>
      <c r="L232" s="125">
        <v>74.0</v>
      </c>
      <c r="M232" s="126">
        <v>16.0</v>
      </c>
      <c r="N232" s="1">
        <v>4.625</v>
      </c>
      <c r="O232" s="1">
        <v>4.625</v>
      </c>
    </row>
    <row r="233" ht="15.75" hidden="1" customHeight="1">
      <c r="A233" s="129">
        <v>45665.0</v>
      </c>
      <c r="B233" s="137">
        <v>45755.0</v>
      </c>
      <c r="C233" s="131">
        <v>45938.0</v>
      </c>
      <c r="D233" s="117" t="s">
        <v>4</v>
      </c>
      <c r="E233" s="117">
        <v>1270458.0</v>
      </c>
      <c r="F233" s="62">
        <v>0.0</v>
      </c>
      <c r="G233" s="62" t="s">
        <v>5712</v>
      </c>
      <c r="H233" s="62" t="s">
        <v>5705</v>
      </c>
      <c r="I233" s="62" t="s">
        <v>13</v>
      </c>
      <c r="J233" s="118" t="s">
        <v>5708</v>
      </c>
      <c r="K233" s="130" t="s">
        <v>153</v>
      </c>
      <c r="L233" s="130">
        <v>0.27</v>
      </c>
      <c r="M233" s="132">
        <v>0.0</v>
      </c>
      <c r="N233" s="1"/>
      <c r="O233" s="1" t="s">
        <v>5713</v>
      </c>
    </row>
    <row r="234" ht="15.75" hidden="1" customHeight="1">
      <c r="A234" s="127">
        <v>45665.0</v>
      </c>
      <c r="B234" s="138">
        <v>45755.0</v>
      </c>
      <c r="C234" s="128">
        <v>45938.0</v>
      </c>
      <c r="D234" s="123" t="s">
        <v>4</v>
      </c>
      <c r="E234" s="123">
        <v>1270458.0</v>
      </c>
      <c r="F234" s="124">
        <v>0.0</v>
      </c>
      <c r="G234" s="124" t="s">
        <v>5712</v>
      </c>
      <c r="H234" s="124" t="s">
        <v>5705</v>
      </c>
      <c r="I234" s="124" t="s">
        <v>13</v>
      </c>
      <c r="J234" s="124" t="s">
        <v>5708</v>
      </c>
      <c r="K234" s="125" t="s">
        <v>160</v>
      </c>
      <c r="L234" s="125">
        <v>0.0</v>
      </c>
      <c r="M234" s="126">
        <v>1.0</v>
      </c>
      <c r="N234" s="1">
        <v>0.0</v>
      </c>
      <c r="O234" s="1">
        <v>0.0</v>
      </c>
    </row>
    <row r="235" ht="15.75" hidden="1" customHeight="1">
      <c r="A235" s="129">
        <v>45665.0</v>
      </c>
      <c r="B235" s="137">
        <v>45755.0</v>
      </c>
      <c r="C235" s="131">
        <v>45908.0</v>
      </c>
      <c r="D235" s="117" t="s">
        <v>4</v>
      </c>
      <c r="E235" s="117">
        <v>1270458.0</v>
      </c>
      <c r="F235" s="62">
        <v>0.0</v>
      </c>
      <c r="G235" s="62" t="s">
        <v>5712</v>
      </c>
      <c r="H235" s="62" t="s">
        <v>5705</v>
      </c>
      <c r="I235" s="62" t="s">
        <v>13</v>
      </c>
      <c r="J235" s="118" t="s">
        <v>5708</v>
      </c>
      <c r="K235" s="130" t="s">
        <v>153</v>
      </c>
      <c r="L235" s="130">
        <v>0.35</v>
      </c>
      <c r="M235" s="132">
        <v>0.0</v>
      </c>
      <c r="N235" s="1"/>
      <c r="O235" s="1" t="s">
        <v>5713</v>
      </c>
    </row>
    <row r="236" ht="15.75" hidden="1" customHeight="1">
      <c r="A236" s="127">
        <v>45665.0</v>
      </c>
      <c r="B236" s="138">
        <v>45755.0</v>
      </c>
      <c r="C236" s="128">
        <v>45908.0</v>
      </c>
      <c r="D236" s="123" t="s">
        <v>4</v>
      </c>
      <c r="E236" s="123">
        <v>1270458.0</v>
      </c>
      <c r="F236" s="124">
        <v>0.0</v>
      </c>
      <c r="G236" s="124" t="s">
        <v>5712</v>
      </c>
      <c r="H236" s="124" t="s">
        <v>5705</v>
      </c>
      <c r="I236" s="124" t="s">
        <v>13</v>
      </c>
      <c r="J236" s="124" t="s">
        <v>5708</v>
      </c>
      <c r="K236" s="125" t="s">
        <v>154</v>
      </c>
      <c r="L236" s="124">
        <v>0.0</v>
      </c>
      <c r="M236" s="126">
        <v>1.0</v>
      </c>
      <c r="N236" s="1">
        <v>0.0</v>
      </c>
      <c r="O236" s="1">
        <v>0.0</v>
      </c>
    </row>
    <row r="237" ht="15.75" hidden="1" customHeight="1">
      <c r="A237" s="129">
        <v>45665.0</v>
      </c>
      <c r="B237" s="137">
        <v>45755.0</v>
      </c>
      <c r="C237" s="131">
        <v>45908.0</v>
      </c>
      <c r="D237" s="117" t="s">
        <v>4</v>
      </c>
      <c r="E237" s="117">
        <v>1270458.0</v>
      </c>
      <c r="F237" s="62">
        <v>0.0</v>
      </c>
      <c r="G237" s="62" t="s">
        <v>5712</v>
      </c>
      <c r="H237" s="62" t="s">
        <v>5705</v>
      </c>
      <c r="I237" s="62" t="s">
        <v>13</v>
      </c>
      <c r="J237" s="118" t="s">
        <v>5708</v>
      </c>
      <c r="K237" s="130" t="s">
        <v>163</v>
      </c>
      <c r="L237" s="62">
        <v>2.0</v>
      </c>
      <c r="M237" s="132"/>
      <c r="N237" s="1">
        <v>2.0</v>
      </c>
      <c r="O237" s="1" t="s">
        <v>5713</v>
      </c>
    </row>
    <row r="238" ht="15.75" hidden="1" customHeight="1">
      <c r="A238" s="127">
        <v>45665.0</v>
      </c>
      <c r="B238" s="138">
        <v>45755.0</v>
      </c>
      <c r="C238" s="128">
        <v>45908.0</v>
      </c>
      <c r="D238" s="123" t="s">
        <v>4</v>
      </c>
      <c r="E238" s="123">
        <v>1270458.0</v>
      </c>
      <c r="F238" s="124">
        <v>0.0</v>
      </c>
      <c r="G238" s="124" t="s">
        <v>5712</v>
      </c>
      <c r="H238" s="124" t="s">
        <v>5705</v>
      </c>
      <c r="I238" s="124" t="s">
        <v>13</v>
      </c>
      <c r="J238" s="124" t="s">
        <v>5708</v>
      </c>
      <c r="K238" s="125" t="s">
        <v>163</v>
      </c>
      <c r="L238" s="124">
        <v>2.0</v>
      </c>
      <c r="M238" s="126"/>
      <c r="N238" s="1">
        <v>2.0</v>
      </c>
      <c r="O238" s="1" t="s">
        <v>5713</v>
      </c>
    </row>
    <row r="239" ht="15.75" customHeight="1">
      <c r="A239" s="129">
        <v>45665.0</v>
      </c>
      <c r="B239" s="137">
        <v>45755.0</v>
      </c>
      <c r="C239" s="131">
        <v>45908.0</v>
      </c>
      <c r="D239" s="117" t="s">
        <v>4</v>
      </c>
      <c r="E239" s="117">
        <v>1270458.0</v>
      </c>
      <c r="F239" s="62">
        <v>0.0</v>
      </c>
      <c r="G239" s="62" t="s">
        <v>5712</v>
      </c>
      <c r="H239" s="62" t="s">
        <v>5705</v>
      </c>
      <c r="I239" s="62" t="s">
        <v>13</v>
      </c>
      <c r="J239" s="118" t="s">
        <v>5708</v>
      </c>
      <c r="K239" s="130" t="s">
        <v>139</v>
      </c>
      <c r="L239" s="130">
        <v>0.0</v>
      </c>
      <c r="M239" s="132">
        <v>0.017166667</v>
      </c>
      <c r="N239" s="1">
        <v>0.0</v>
      </c>
      <c r="O239" s="1">
        <v>0.0</v>
      </c>
    </row>
    <row r="240" ht="15.75" hidden="1" customHeight="1">
      <c r="A240" s="127">
        <v>45665.0</v>
      </c>
      <c r="B240" s="138">
        <v>45755.0</v>
      </c>
      <c r="C240" s="128">
        <v>45908.0</v>
      </c>
      <c r="D240" s="123" t="s">
        <v>4</v>
      </c>
      <c r="E240" s="123">
        <v>1270458.0</v>
      </c>
      <c r="F240" s="124">
        <v>0.0</v>
      </c>
      <c r="G240" s="124" t="s">
        <v>5712</v>
      </c>
      <c r="H240" s="124" t="s">
        <v>5705</v>
      </c>
      <c r="I240" s="124" t="s">
        <v>13</v>
      </c>
      <c r="J240" s="124" t="s">
        <v>5708</v>
      </c>
      <c r="K240" s="125" t="s">
        <v>160</v>
      </c>
      <c r="L240" s="125">
        <v>0.0</v>
      </c>
      <c r="M240" s="126">
        <v>2.0</v>
      </c>
      <c r="N240" s="1">
        <v>0.0</v>
      </c>
      <c r="O240" s="1">
        <v>0.0</v>
      </c>
    </row>
    <row r="241" ht="15.75" hidden="1" customHeight="1">
      <c r="A241" s="129">
        <v>45665.0</v>
      </c>
      <c r="B241" s="131">
        <v>45755.0</v>
      </c>
      <c r="C241" s="131">
        <v>45908.0</v>
      </c>
      <c r="D241" s="117" t="s">
        <v>4</v>
      </c>
      <c r="E241" s="117">
        <v>1270458.0</v>
      </c>
      <c r="F241" s="62">
        <v>0.0</v>
      </c>
      <c r="G241" s="62" t="s">
        <v>5712</v>
      </c>
      <c r="H241" s="62" t="s">
        <v>5705</v>
      </c>
      <c r="I241" s="62" t="s">
        <v>13</v>
      </c>
      <c r="J241" s="118" t="s">
        <v>5708</v>
      </c>
      <c r="K241" s="130" t="s">
        <v>142</v>
      </c>
      <c r="L241" s="130">
        <v>1.0</v>
      </c>
      <c r="M241" s="132"/>
      <c r="N241" s="1">
        <v>1.0</v>
      </c>
      <c r="O241" s="1" t="s">
        <v>5713</v>
      </c>
    </row>
    <row r="242" ht="15.75" hidden="1" customHeight="1">
      <c r="A242" s="127">
        <v>45665.0</v>
      </c>
      <c r="B242" s="128">
        <v>45755.0</v>
      </c>
      <c r="C242" s="128">
        <v>45908.0</v>
      </c>
      <c r="D242" s="123" t="s">
        <v>4</v>
      </c>
      <c r="E242" s="123">
        <v>1270458.0</v>
      </c>
      <c r="F242" s="124">
        <v>0.0</v>
      </c>
      <c r="G242" s="124" t="s">
        <v>5712</v>
      </c>
      <c r="H242" s="124" t="s">
        <v>5705</v>
      </c>
      <c r="I242" s="124" t="s">
        <v>13</v>
      </c>
      <c r="J242" s="124" t="s">
        <v>5708</v>
      </c>
      <c r="K242" s="125" t="s">
        <v>153</v>
      </c>
      <c r="L242" s="124">
        <v>1.03</v>
      </c>
      <c r="M242" s="126">
        <v>0.0</v>
      </c>
      <c r="N242" s="1"/>
      <c r="O242" s="1" t="s">
        <v>5713</v>
      </c>
    </row>
    <row r="243" ht="15.75" hidden="1" customHeight="1">
      <c r="A243" s="129">
        <v>45665.0</v>
      </c>
      <c r="B243" s="137">
        <v>45755.0</v>
      </c>
      <c r="C243" s="131">
        <v>45908.0</v>
      </c>
      <c r="D243" s="117" t="s">
        <v>4</v>
      </c>
      <c r="E243" s="117">
        <v>1270458.0</v>
      </c>
      <c r="F243" s="62">
        <v>0.0</v>
      </c>
      <c r="G243" s="62" t="s">
        <v>5712</v>
      </c>
      <c r="H243" s="62" t="s">
        <v>5705</v>
      </c>
      <c r="I243" s="62" t="s">
        <v>13</v>
      </c>
      <c r="J243" s="118" t="s">
        <v>5708</v>
      </c>
      <c r="K243" s="130" t="s">
        <v>11</v>
      </c>
      <c r="L243" s="130">
        <v>0.0</v>
      </c>
      <c r="M243" s="132">
        <v>7.0</v>
      </c>
      <c r="N243" s="1">
        <v>0.0</v>
      </c>
      <c r="O243" s="1">
        <v>0.0</v>
      </c>
    </row>
    <row r="244" ht="15.75" hidden="1" customHeight="1">
      <c r="A244" s="127">
        <v>45665.0</v>
      </c>
      <c r="B244" s="138">
        <v>45755.0</v>
      </c>
      <c r="C244" s="128">
        <v>45908.0</v>
      </c>
      <c r="D244" s="123" t="s">
        <v>4</v>
      </c>
      <c r="E244" s="123">
        <v>1270458.0</v>
      </c>
      <c r="F244" s="124">
        <v>0.0</v>
      </c>
      <c r="G244" s="124" t="s">
        <v>5712</v>
      </c>
      <c r="H244" s="124" t="s">
        <v>5705</v>
      </c>
      <c r="I244" s="124" t="s">
        <v>13</v>
      </c>
      <c r="J244" s="124" t="s">
        <v>5708</v>
      </c>
      <c r="K244" s="125" t="s">
        <v>155</v>
      </c>
      <c r="L244" s="124">
        <v>37.0</v>
      </c>
      <c r="M244" s="126">
        <v>10.0</v>
      </c>
      <c r="N244" s="1">
        <v>3.7</v>
      </c>
      <c r="O244" s="1">
        <v>3.7</v>
      </c>
    </row>
    <row r="245" ht="15.75" hidden="1" customHeight="1">
      <c r="A245" s="129">
        <v>45665.0</v>
      </c>
      <c r="B245" s="137">
        <v>45755.0</v>
      </c>
      <c r="C245" s="131">
        <v>45908.0</v>
      </c>
      <c r="D245" s="117" t="s">
        <v>4</v>
      </c>
      <c r="E245" s="117">
        <v>1270458.0</v>
      </c>
      <c r="F245" s="62">
        <v>0.0</v>
      </c>
      <c r="G245" s="62" t="s">
        <v>5712</v>
      </c>
      <c r="H245" s="62" t="s">
        <v>5705</v>
      </c>
      <c r="I245" s="62" t="s">
        <v>13</v>
      </c>
      <c r="J245" s="118" t="s">
        <v>5708</v>
      </c>
      <c r="K245" s="130" t="s">
        <v>163</v>
      </c>
      <c r="L245" s="62">
        <v>6.0</v>
      </c>
      <c r="M245" s="132"/>
      <c r="N245" s="1">
        <v>6.0</v>
      </c>
      <c r="O245" s="1" t="s">
        <v>5713</v>
      </c>
    </row>
    <row r="246" ht="15.75" customHeight="1">
      <c r="A246" s="127">
        <v>45665.0</v>
      </c>
      <c r="B246" s="138">
        <v>45755.0</v>
      </c>
      <c r="C246" s="128">
        <v>45908.0</v>
      </c>
      <c r="D246" s="123" t="s">
        <v>4</v>
      </c>
      <c r="E246" s="123">
        <v>1270458.0</v>
      </c>
      <c r="F246" s="124">
        <v>0.0</v>
      </c>
      <c r="G246" s="124" t="s">
        <v>5712</v>
      </c>
      <c r="H246" s="124" t="s">
        <v>5705</v>
      </c>
      <c r="I246" s="124" t="s">
        <v>13</v>
      </c>
      <c r="J246" s="124" t="s">
        <v>5708</v>
      </c>
      <c r="K246" s="125" t="s">
        <v>139</v>
      </c>
      <c r="L246" s="124">
        <v>1.0</v>
      </c>
      <c r="M246" s="126">
        <v>0.066166667</v>
      </c>
      <c r="N246" s="1">
        <v>15.11335013</v>
      </c>
      <c r="O246" s="1">
        <v>15.11335013</v>
      </c>
    </row>
    <row r="247" ht="15.75" hidden="1" customHeight="1">
      <c r="A247" s="129">
        <v>45665.0</v>
      </c>
      <c r="B247" s="137">
        <v>45755.0</v>
      </c>
      <c r="C247" s="131">
        <v>45846.0</v>
      </c>
      <c r="D247" s="117" t="s">
        <v>4</v>
      </c>
      <c r="E247" s="117">
        <v>1270458.0</v>
      </c>
      <c r="F247" s="62">
        <v>0.0</v>
      </c>
      <c r="G247" s="62" t="s">
        <v>5712</v>
      </c>
      <c r="H247" s="62" t="s">
        <v>5705</v>
      </c>
      <c r="I247" s="62" t="s">
        <v>13</v>
      </c>
      <c r="J247" s="118" t="s">
        <v>5708</v>
      </c>
      <c r="K247" s="130" t="s">
        <v>147</v>
      </c>
      <c r="L247" s="130">
        <v>0.0</v>
      </c>
      <c r="M247" s="132">
        <v>2.0</v>
      </c>
      <c r="N247" s="1">
        <v>0.0</v>
      </c>
      <c r="O247" s="1">
        <v>0.0</v>
      </c>
    </row>
    <row r="248" ht="15.75" hidden="1" customHeight="1">
      <c r="A248" s="127">
        <v>45665.0</v>
      </c>
      <c r="B248" s="138">
        <v>45755.0</v>
      </c>
      <c r="C248" s="128">
        <v>45846.0</v>
      </c>
      <c r="D248" s="123" t="s">
        <v>4</v>
      </c>
      <c r="E248" s="123">
        <v>1270458.0</v>
      </c>
      <c r="F248" s="124">
        <v>0.0</v>
      </c>
      <c r="G248" s="124" t="s">
        <v>5712</v>
      </c>
      <c r="H248" s="124" t="s">
        <v>5705</v>
      </c>
      <c r="I248" s="124" t="s">
        <v>13</v>
      </c>
      <c r="J248" s="124" t="s">
        <v>5708</v>
      </c>
      <c r="K248" s="125" t="s">
        <v>153</v>
      </c>
      <c r="L248" s="124">
        <v>6.7</v>
      </c>
      <c r="M248" s="126">
        <v>0.0</v>
      </c>
      <c r="N248" s="1"/>
      <c r="O248" s="1" t="s">
        <v>5713</v>
      </c>
    </row>
    <row r="249" ht="15.75" customHeight="1">
      <c r="A249" s="129">
        <v>45665.0</v>
      </c>
      <c r="B249" s="137">
        <v>45755.0</v>
      </c>
      <c r="C249" s="131">
        <v>45846.0</v>
      </c>
      <c r="D249" s="117" t="s">
        <v>4</v>
      </c>
      <c r="E249" s="117">
        <v>1270458.0</v>
      </c>
      <c r="F249" s="62">
        <v>0.0</v>
      </c>
      <c r="G249" s="62" t="s">
        <v>5712</v>
      </c>
      <c r="H249" s="62" t="s">
        <v>5705</v>
      </c>
      <c r="I249" s="62" t="s">
        <v>13</v>
      </c>
      <c r="J249" s="118" t="s">
        <v>5708</v>
      </c>
      <c r="K249" s="130" t="s">
        <v>139</v>
      </c>
      <c r="L249" s="130">
        <v>0.0</v>
      </c>
      <c r="M249" s="132">
        <v>0.111666667</v>
      </c>
      <c r="N249" s="1">
        <v>0.0</v>
      </c>
      <c r="O249" s="1">
        <v>0.0</v>
      </c>
    </row>
    <row r="250" ht="15.75" hidden="1" customHeight="1">
      <c r="A250" s="127">
        <v>45665.0</v>
      </c>
      <c r="B250" s="138">
        <v>45755.0</v>
      </c>
      <c r="C250" s="128">
        <v>45938.0</v>
      </c>
      <c r="D250" s="123" t="s">
        <v>4</v>
      </c>
      <c r="E250" s="123">
        <v>1270458.0</v>
      </c>
      <c r="F250" s="124">
        <v>0.0</v>
      </c>
      <c r="G250" s="124" t="s">
        <v>5712</v>
      </c>
      <c r="H250" s="124" t="s">
        <v>5705</v>
      </c>
      <c r="I250" s="124" t="s">
        <v>13</v>
      </c>
      <c r="J250" s="124" t="s">
        <v>5708</v>
      </c>
      <c r="K250" s="125" t="s">
        <v>163</v>
      </c>
      <c r="L250" s="125">
        <v>2.0</v>
      </c>
      <c r="M250" s="126"/>
      <c r="N250" s="1">
        <v>2.0</v>
      </c>
      <c r="O250" s="1" t="s">
        <v>5713</v>
      </c>
    </row>
    <row r="251" ht="15.75" hidden="1" customHeight="1">
      <c r="A251" s="129">
        <v>45665.0</v>
      </c>
      <c r="B251" s="137">
        <v>45755.0</v>
      </c>
      <c r="C251" s="131">
        <v>45938.0</v>
      </c>
      <c r="D251" s="117" t="s">
        <v>4</v>
      </c>
      <c r="E251" s="117">
        <v>1270458.0</v>
      </c>
      <c r="F251" s="62">
        <v>0.0</v>
      </c>
      <c r="G251" s="62" t="s">
        <v>5712</v>
      </c>
      <c r="H251" s="62" t="s">
        <v>5705</v>
      </c>
      <c r="I251" s="62" t="s">
        <v>13</v>
      </c>
      <c r="J251" s="118" t="s">
        <v>5708</v>
      </c>
      <c r="K251" s="130" t="s">
        <v>163</v>
      </c>
      <c r="L251" s="130">
        <v>1.0</v>
      </c>
      <c r="M251" s="132"/>
      <c r="N251" s="1">
        <v>1.0</v>
      </c>
      <c r="O251" s="1" t="s">
        <v>5713</v>
      </c>
    </row>
    <row r="252" ht="15.75" hidden="1" customHeight="1">
      <c r="A252" s="127">
        <v>45665.0</v>
      </c>
      <c r="B252" s="138">
        <v>45755.0</v>
      </c>
      <c r="C252" s="128">
        <v>45938.0</v>
      </c>
      <c r="D252" s="123" t="s">
        <v>4</v>
      </c>
      <c r="E252" s="123">
        <v>1270458.0</v>
      </c>
      <c r="F252" s="124">
        <v>0.0</v>
      </c>
      <c r="G252" s="124" t="s">
        <v>5712</v>
      </c>
      <c r="H252" s="124" t="s">
        <v>5705</v>
      </c>
      <c r="I252" s="124" t="s">
        <v>13</v>
      </c>
      <c r="J252" s="124" t="s">
        <v>5708</v>
      </c>
      <c r="K252" s="125" t="s">
        <v>147</v>
      </c>
      <c r="L252" s="124">
        <v>0.0</v>
      </c>
      <c r="M252" s="126">
        <v>1.0</v>
      </c>
      <c r="N252" s="1">
        <v>0.0</v>
      </c>
      <c r="O252" s="1">
        <v>0.0</v>
      </c>
    </row>
    <row r="253" ht="15.75" hidden="1" customHeight="1">
      <c r="A253" s="129">
        <v>45665.0</v>
      </c>
      <c r="B253" s="137">
        <v>45755.0</v>
      </c>
      <c r="C253" s="131">
        <v>45938.0</v>
      </c>
      <c r="D253" s="117" t="s">
        <v>4</v>
      </c>
      <c r="E253" s="117">
        <v>1270458.0</v>
      </c>
      <c r="F253" s="62">
        <v>0.0</v>
      </c>
      <c r="G253" s="62" t="s">
        <v>5712</v>
      </c>
      <c r="H253" s="62" t="s">
        <v>5705</v>
      </c>
      <c r="I253" s="62" t="s">
        <v>13</v>
      </c>
      <c r="J253" s="118" t="s">
        <v>5708</v>
      </c>
      <c r="K253" s="130" t="s">
        <v>163</v>
      </c>
      <c r="L253" s="62">
        <v>2.0</v>
      </c>
      <c r="M253" s="132"/>
      <c r="N253" s="1">
        <v>2.0</v>
      </c>
      <c r="O253" s="1" t="s">
        <v>5713</v>
      </c>
    </row>
    <row r="254" ht="15.75" hidden="1" customHeight="1">
      <c r="A254" s="127">
        <v>45665.0</v>
      </c>
      <c r="B254" s="138">
        <v>45755.0</v>
      </c>
      <c r="C254" s="128">
        <v>45938.0</v>
      </c>
      <c r="D254" s="123" t="s">
        <v>4</v>
      </c>
      <c r="E254" s="123">
        <v>1270458.0</v>
      </c>
      <c r="F254" s="124">
        <v>0.0</v>
      </c>
      <c r="G254" s="124" t="s">
        <v>5712</v>
      </c>
      <c r="H254" s="124" t="s">
        <v>5705</v>
      </c>
      <c r="I254" s="124" t="s">
        <v>5708</v>
      </c>
      <c r="J254" s="124" t="s">
        <v>5708</v>
      </c>
      <c r="K254" s="125" t="s">
        <v>7</v>
      </c>
      <c r="L254" s="125">
        <v>0.0</v>
      </c>
      <c r="M254" s="126">
        <v>16.0</v>
      </c>
      <c r="N254" s="1">
        <v>0.0</v>
      </c>
      <c r="O254" s="1">
        <v>0.0</v>
      </c>
    </row>
    <row r="255" ht="15.75" customHeight="1">
      <c r="A255" s="129">
        <v>45665.0</v>
      </c>
      <c r="B255" s="137">
        <v>45755.0</v>
      </c>
      <c r="C255" s="131">
        <v>45908.0</v>
      </c>
      <c r="D255" s="117" t="s">
        <v>4</v>
      </c>
      <c r="E255" s="117">
        <v>1270458.0</v>
      </c>
      <c r="F255" s="62">
        <v>0.0</v>
      </c>
      <c r="G255" s="62" t="s">
        <v>5712</v>
      </c>
      <c r="H255" s="62" t="s">
        <v>5705</v>
      </c>
      <c r="I255" s="62" t="s">
        <v>13</v>
      </c>
      <c r="J255" s="118" t="s">
        <v>5708</v>
      </c>
      <c r="K255" s="130" t="s">
        <v>139</v>
      </c>
      <c r="L255" s="62">
        <v>0.0</v>
      </c>
      <c r="M255" s="132">
        <v>0.005833333</v>
      </c>
      <c r="N255" s="1">
        <v>0.0</v>
      </c>
      <c r="O255" s="1">
        <v>0.0</v>
      </c>
    </row>
    <row r="256" ht="15.75" hidden="1" customHeight="1">
      <c r="A256" s="127">
        <v>45665.0</v>
      </c>
      <c r="B256" s="138">
        <v>45755.0</v>
      </c>
      <c r="C256" s="128">
        <v>45908.0</v>
      </c>
      <c r="D256" s="123" t="s">
        <v>4</v>
      </c>
      <c r="E256" s="123">
        <v>1270458.0</v>
      </c>
      <c r="F256" s="124">
        <v>0.0</v>
      </c>
      <c r="G256" s="124" t="s">
        <v>5712</v>
      </c>
      <c r="H256" s="124" t="s">
        <v>5705</v>
      </c>
      <c r="I256" s="124" t="s">
        <v>13</v>
      </c>
      <c r="J256" s="124" t="s">
        <v>5708</v>
      </c>
      <c r="K256" s="125" t="s">
        <v>160</v>
      </c>
      <c r="L256" s="125">
        <v>0.0</v>
      </c>
      <c r="M256" s="134">
        <v>6.0</v>
      </c>
      <c r="N256" s="1">
        <v>0.0</v>
      </c>
      <c r="O256" s="1">
        <v>0.0</v>
      </c>
    </row>
    <row r="257" ht="15.75" hidden="1" customHeight="1">
      <c r="A257" s="129">
        <v>45665.0</v>
      </c>
      <c r="B257" s="131">
        <v>45755.0</v>
      </c>
      <c r="C257" s="131">
        <v>45908.0</v>
      </c>
      <c r="D257" s="117" t="s">
        <v>4</v>
      </c>
      <c r="E257" s="117">
        <v>1270458.0</v>
      </c>
      <c r="F257" s="62">
        <v>0.0</v>
      </c>
      <c r="G257" s="62" t="s">
        <v>5712</v>
      </c>
      <c r="H257" s="62" t="s">
        <v>5705</v>
      </c>
      <c r="I257" s="62" t="s">
        <v>13</v>
      </c>
      <c r="J257" s="118" t="s">
        <v>5708</v>
      </c>
      <c r="K257" s="130" t="s">
        <v>163</v>
      </c>
      <c r="L257" s="130">
        <v>1.0</v>
      </c>
      <c r="M257" s="132"/>
      <c r="N257" s="1">
        <v>1.0</v>
      </c>
      <c r="O257" s="1" t="s">
        <v>5713</v>
      </c>
    </row>
    <row r="258" ht="15.75" hidden="1" customHeight="1">
      <c r="A258" s="127">
        <v>45665.0</v>
      </c>
      <c r="B258" s="128">
        <v>45755.0</v>
      </c>
      <c r="C258" s="128">
        <v>45938.0</v>
      </c>
      <c r="D258" s="123" t="s">
        <v>4</v>
      </c>
      <c r="E258" s="123">
        <v>1270458.0</v>
      </c>
      <c r="F258" s="124">
        <v>0.0</v>
      </c>
      <c r="G258" s="124" t="s">
        <v>5712</v>
      </c>
      <c r="H258" s="124" t="s">
        <v>5705</v>
      </c>
      <c r="I258" s="124" t="s">
        <v>13</v>
      </c>
      <c r="J258" s="124" t="s">
        <v>5708</v>
      </c>
      <c r="K258" s="125" t="s">
        <v>153</v>
      </c>
      <c r="L258" s="124">
        <v>0.32</v>
      </c>
      <c r="M258" s="126">
        <v>0.0</v>
      </c>
      <c r="N258" s="1"/>
      <c r="O258" s="1" t="s">
        <v>5713</v>
      </c>
    </row>
    <row r="259" ht="15.75" hidden="1" customHeight="1">
      <c r="A259" s="129">
        <v>45665.0</v>
      </c>
      <c r="B259" s="131">
        <v>45755.0</v>
      </c>
      <c r="C259" s="131">
        <v>45938.0</v>
      </c>
      <c r="D259" s="117" t="s">
        <v>4</v>
      </c>
      <c r="E259" s="117">
        <v>1270458.0</v>
      </c>
      <c r="F259" s="62">
        <v>0.0</v>
      </c>
      <c r="G259" s="62" t="s">
        <v>5712</v>
      </c>
      <c r="H259" s="62" t="s">
        <v>5705</v>
      </c>
      <c r="I259" s="62" t="s">
        <v>13</v>
      </c>
      <c r="J259" s="118" t="s">
        <v>5708</v>
      </c>
      <c r="K259" s="130" t="s">
        <v>147</v>
      </c>
      <c r="L259" s="130">
        <v>0.0</v>
      </c>
      <c r="M259" s="132">
        <v>2.0</v>
      </c>
      <c r="N259" s="1">
        <v>0.0</v>
      </c>
      <c r="O259" s="1">
        <v>0.0</v>
      </c>
    </row>
    <row r="260" ht="15.75" customHeight="1">
      <c r="A260" s="127">
        <v>45665.0</v>
      </c>
      <c r="B260" s="128">
        <v>45755.0</v>
      </c>
      <c r="C260" s="128">
        <v>45938.0</v>
      </c>
      <c r="D260" s="123" t="s">
        <v>4</v>
      </c>
      <c r="E260" s="123">
        <v>1270458.0</v>
      </c>
      <c r="F260" s="124">
        <v>0.0</v>
      </c>
      <c r="G260" s="124" t="s">
        <v>5712</v>
      </c>
      <c r="H260" s="124" t="s">
        <v>5705</v>
      </c>
      <c r="I260" s="124" t="s">
        <v>13</v>
      </c>
      <c r="J260" s="124" t="s">
        <v>5708</v>
      </c>
      <c r="K260" s="125" t="s">
        <v>139</v>
      </c>
      <c r="L260" s="125">
        <v>0.0</v>
      </c>
      <c r="M260" s="126">
        <v>0.002166667</v>
      </c>
      <c r="N260" s="1">
        <v>0.0</v>
      </c>
      <c r="O260" s="1">
        <v>0.0</v>
      </c>
    </row>
    <row r="261" ht="15.75" hidden="1" customHeight="1">
      <c r="A261" s="129">
        <v>45665.0</v>
      </c>
      <c r="B261" s="131">
        <v>45755.0</v>
      </c>
      <c r="C261" s="131">
        <v>45846.0</v>
      </c>
      <c r="D261" s="117" t="s">
        <v>4</v>
      </c>
      <c r="E261" s="117">
        <v>1270458.0</v>
      </c>
      <c r="F261" s="62">
        <v>0.0</v>
      </c>
      <c r="G261" s="62" t="s">
        <v>5712</v>
      </c>
      <c r="H261" s="62" t="s">
        <v>5705</v>
      </c>
      <c r="I261" s="62" t="s">
        <v>13</v>
      </c>
      <c r="J261" s="118" t="s">
        <v>5708</v>
      </c>
      <c r="K261" s="130" t="s">
        <v>160</v>
      </c>
      <c r="L261" s="130">
        <v>0.0</v>
      </c>
      <c r="M261" s="132">
        <v>1.0</v>
      </c>
      <c r="N261" s="1">
        <v>0.0</v>
      </c>
      <c r="O261" s="1">
        <v>0.0</v>
      </c>
    </row>
    <row r="262" ht="15.75" hidden="1" customHeight="1">
      <c r="A262" s="127">
        <v>45665.0</v>
      </c>
      <c r="B262" s="128">
        <v>45755.0</v>
      </c>
      <c r="C262" s="128">
        <v>45846.0</v>
      </c>
      <c r="D262" s="123" t="s">
        <v>4</v>
      </c>
      <c r="E262" s="123">
        <v>1270458.0</v>
      </c>
      <c r="F262" s="124">
        <v>0.0</v>
      </c>
      <c r="G262" s="124" t="s">
        <v>5712</v>
      </c>
      <c r="H262" s="124" t="s">
        <v>5705</v>
      </c>
      <c r="I262" s="124" t="s">
        <v>13</v>
      </c>
      <c r="J262" s="124" t="s">
        <v>5708</v>
      </c>
      <c r="K262" s="125" t="s">
        <v>163</v>
      </c>
      <c r="L262" s="125">
        <v>1.0</v>
      </c>
      <c r="M262" s="126"/>
      <c r="N262" s="1">
        <v>1.0</v>
      </c>
      <c r="O262" s="1" t="s">
        <v>5713</v>
      </c>
    </row>
    <row r="263" ht="15.75" hidden="1" customHeight="1">
      <c r="A263" s="129">
        <v>45665.0</v>
      </c>
      <c r="B263" s="137">
        <v>45755.0</v>
      </c>
      <c r="C263" s="131">
        <v>45846.0</v>
      </c>
      <c r="D263" s="117" t="s">
        <v>4</v>
      </c>
      <c r="E263" s="117">
        <v>1270458.0</v>
      </c>
      <c r="F263" s="62">
        <v>0.0</v>
      </c>
      <c r="G263" s="62" t="s">
        <v>5712</v>
      </c>
      <c r="H263" s="62" t="s">
        <v>5705</v>
      </c>
      <c r="I263" s="62" t="s">
        <v>13</v>
      </c>
      <c r="J263" s="118" t="s">
        <v>5708</v>
      </c>
      <c r="K263" s="130" t="s">
        <v>160</v>
      </c>
      <c r="L263" s="130">
        <v>0.0</v>
      </c>
      <c r="M263" s="132">
        <v>2.0</v>
      </c>
      <c r="N263" s="1">
        <v>0.0</v>
      </c>
      <c r="O263" s="1">
        <v>0.0</v>
      </c>
    </row>
    <row r="264" ht="15.75" hidden="1" customHeight="1">
      <c r="A264" s="127">
        <v>45665.0</v>
      </c>
      <c r="B264" s="138">
        <v>45755.0</v>
      </c>
      <c r="C264" s="128">
        <v>45846.0</v>
      </c>
      <c r="D264" s="123" t="s">
        <v>4</v>
      </c>
      <c r="E264" s="123">
        <v>1270458.0</v>
      </c>
      <c r="F264" s="124">
        <v>0.0</v>
      </c>
      <c r="G264" s="124" t="s">
        <v>5712</v>
      </c>
      <c r="H264" s="124" t="s">
        <v>5705</v>
      </c>
      <c r="I264" s="124" t="s">
        <v>13</v>
      </c>
      <c r="J264" s="124" t="s">
        <v>5708</v>
      </c>
      <c r="K264" s="125" t="s">
        <v>163</v>
      </c>
      <c r="L264" s="125">
        <v>17.0</v>
      </c>
      <c r="M264" s="126"/>
      <c r="N264" s="1">
        <v>17.0</v>
      </c>
      <c r="O264" s="1" t="s">
        <v>5713</v>
      </c>
    </row>
    <row r="265" ht="15.75" hidden="1" customHeight="1">
      <c r="A265" s="129">
        <v>45665.0</v>
      </c>
      <c r="B265" s="137">
        <v>45755.0</v>
      </c>
      <c r="C265" s="131">
        <v>45846.0</v>
      </c>
      <c r="D265" s="117" t="s">
        <v>4</v>
      </c>
      <c r="E265" s="117">
        <v>1270458.0</v>
      </c>
      <c r="F265" s="62">
        <v>0.0</v>
      </c>
      <c r="G265" s="62" t="s">
        <v>5712</v>
      </c>
      <c r="H265" s="62" t="s">
        <v>5705</v>
      </c>
      <c r="I265" s="62" t="s">
        <v>13</v>
      </c>
      <c r="J265" s="118" t="s">
        <v>5708</v>
      </c>
      <c r="K265" s="130" t="s">
        <v>147</v>
      </c>
      <c r="L265" s="130">
        <v>0.0</v>
      </c>
      <c r="M265" s="132">
        <v>1.0</v>
      </c>
      <c r="N265" s="1">
        <v>0.0</v>
      </c>
      <c r="O265" s="1">
        <v>0.0</v>
      </c>
    </row>
    <row r="266" ht="15.75" hidden="1" customHeight="1">
      <c r="A266" s="127">
        <v>45665.0</v>
      </c>
      <c r="B266" s="138">
        <v>45755.0</v>
      </c>
      <c r="C266" s="128">
        <v>45846.0</v>
      </c>
      <c r="D266" s="123" t="s">
        <v>4</v>
      </c>
      <c r="E266" s="123">
        <v>1270458.0</v>
      </c>
      <c r="F266" s="124">
        <v>0.0</v>
      </c>
      <c r="G266" s="124" t="s">
        <v>5712</v>
      </c>
      <c r="H266" s="124" t="s">
        <v>5705</v>
      </c>
      <c r="I266" s="124" t="s">
        <v>13</v>
      </c>
      <c r="J266" s="124" t="s">
        <v>5708</v>
      </c>
      <c r="K266" s="125" t="s">
        <v>163</v>
      </c>
      <c r="L266" s="125">
        <v>1.0</v>
      </c>
      <c r="M266" s="126"/>
      <c r="N266" s="1">
        <v>1.0</v>
      </c>
      <c r="O266" s="1" t="s">
        <v>5713</v>
      </c>
    </row>
    <row r="267" ht="15.75" hidden="1" customHeight="1">
      <c r="A267" s="129">
        <v>45665.0</v>
      </c>
      <c r="B267" s="137">
        <v>45755.0</v>
      </c>
      <c r="C267" s="131">
        <v>45908.0</v>
      </c>
      <c r="D267" s="117" t="s">
        <v>4</v>
      </c>
      <c r="E267" s="117">
        <v>1270458.0</v>
      </c>
      <c r="F267" s="62">
        <v>0.0</v>
      </c>
      <c r="G267" s="62" t="s">
        <v>5712</v>
      </c>
      <c r="H267" s="62" t="s">
        <v>5705</v>
      </c>
      <c r="I267" s="62" t="s">
        <v>13</v>
      </c>
      <c r="J267" s="118" t="s">
        <v>5708</v>
      </c>
      <c r="K267" s="130" t="s">
        <v>147</v>
      </c>
      <c r="L267" s="130">
        <v>200.0</v>
      </c>
      <c r="M267" s="132">
        <v>85.0</v>
      </c>
      <c r="N267" s="1">
        <v>2.352941176</v>
      </c>
      <c r="O267" s="1">
        <v>2.352941176</v>
      </c>
    </row>
    <row r="268" ht="15.75" hidden="1" customHeight="1">
      <c r="A268" s="127">
        <v>45665.0</v>
      </c>
      <c r="B268" s="138">
        <v>45755.0</v>
      </c>
      <c r="C268" s="128">
        <v>45908.0</v>
      </c>
      <c r="D268" s="123" t="s">
        <v>4</v>
      </c>
      <c r="E268" s="123">
        <v>1270458.0</v>
      </c>
      <c r="F268" s="124">
        <v>0.0</v>
      </c>
      <c r="G268" s="124" t="s">
        <v>5712</v>
      </c>
      <c r="H268" s="124" t="s">
        <v>5705</v>
      </c>
      <c r="I268" s="124" t="s">
        <v>13</v>
      </c>
      <c r="J268" s="124" t="s">
        <v>5708</v>
      </c>
      <c r="K268" s="125" t="s">
        <v>147</v>
      </c>
      <c r="L268" s="124">
        <v>0.0</v>
      </c>
      <c r="M268" s="126">
        <v>6.0</v>
      </c>
      <c r="N268" s="1">
        <v>0.0</v>
      </c>
      <c r="O268" s="1">
        <v>0.0</v>
      </c>
    </row>
    <row r="269" ht="15.75" hidden="1" customHeight="1">
      <c r="A269" s="129">
        <v>45665.0</v>
      </c>
      <c r="B269" s="137">
        <v>45755.0</v>
      </c>
      <c r="C269" s="131">
        <v>45938.0</v>
      </c>
      <c r="D269" s="117" t="s">
        <v>4</v>
      </c>
      <c r="E269" s="117">
        <v>1270458.0</v>
      </c>
      <c r="F269" s="62">
        <v>0.0</v>
      </c>
      <c r="G269" s="62" t="s">
        <v>5712</v>
      </c>
      <c r="H269" s="62" t="s">
        <v>5705</v>
      </c>
      <c r="I269" s="62" t="s">
        <v>13</v>
      </c>
      <c r="J269" s="118" t="s">
        <v>5708</v>
      </c>
      <c r="K269" s="130" t="s">
        <v>147</v>
      </c>
      <c r="L269" s="62">
        <v>0.0</v>
      </c>
      <c r="M269" s="132">
        <v>1.0</v>
      </c>
      <c r="N269" s="1">
        <v>0.0</v>
      </c>
      <c r="O269" s="1">
        <v>0.0</v>
      </c>
    </row>
    <row r="270" ht="15.75" hidden="1" customHeight="1">
      <c r="A270" s="127">
        <v>45665.0</v>
      </c>
      <c r="B270" s="138">
        <v>45755.0</v>
      </c>
      <c r="C270" s="128">
        <v>45938.0</v>
      </c>
      <c r="D270" s="123" t="s">
        <v>4</v>
      </c>
      <c r="E270" s="123">
        <v>1270458.0</v>
      </c>
      <c r="F270" s="124">
        <v>0.0</v>
      </c>
      <c r="G270" s="124" t="s">
        <v>5712</v>
      </c>
      <c r="H270" s="124" t="s">
        <v>5705</v>
      </c>
      <c r="I270" s="124" t="s">
        <v>13</v>
      </c>
      <c r="J270" s="124" t="s">
        <v>5708</v>
      </c>
      <c r="K270" s="125" t="s">
        <v>160</v>
      </c>
      <c r="L270" s="124">
        <v>0.0</v>
      </c>
      <c r="M270" s="126">
        <v>1.0</v>
      </c>
      <c r="N270" s="1">
        <v>0.0</v>
      </c>
      <c r="O270" s="1">
        <v>0.0</v>
      </c>
    </row>
    <row r="271" ht="15.75" hidden="1" customHeight="1">
      <c r="A271" s="129">
        <v>45665.0</v>
      </c>
      <c r="B271" s="137">
        <v>45755.0</v>
      </c>
      <c r="C271" s="131">
        <v>45938.0</v>
      </c>
      <c r="D271" s="117" t="s">
        <v>4</v>
      </c>
      <c r="E271" s="117">
        <v>1270458.0</v>
      </c>
      <c r="F271" s="62">
        <v>0.0</v>
      </c>
      <c r="G271" s="62" t="s">
        <v>5712</v>
      </c>
      <c r="H271" s="62" t="s">
        <v>5705</v>
      </c>
      <c r="I271" s="62" t="s">
        <v>13</v>
      </c>
      <c r="J271" s="118" t="s">
        <v>5708</v>
      </c>
      <c r="K271" s="130" t="s">
        <v>163</v>
      </c>
      <c r="L271" s="62">
        <v>1.0</v>
      </c>
      <c r="M271" s="132"/>
      <c r="N271" s="1">
        <v>1.0</v>
      </c>
      <c r="O271" s="1" t="s">
        <v>5713</v>
      </c>
    </row>
    <row r="272" ht="15.75" hidden="1" customHeight="1">
      <c r="A272" s="127">
        <v>45665.0</v>
      </c>
      <c r="B272" s="138">
        <v>45755.0</v>
      </c>
      <c r="C272" s="128">
        <v>45908.0</v>
      </c>
      <c r="D272" s="123" t="s">
        <v>4</v>
      </c>
      <c r="E272" s="123">
        <v>1270458.0</v>
      </c>
      <c r="F272" s="124">
        <v>0.0</v>
      </c>
      <c r="G272" s="124" t="s">
        <v>5712</v>
      </c>
      <c r="H272" s="124" t="s">
        <v>5705</v>
      </c>
      <c r="I272" s="124" t="s">
        <v>13</v>
      </c>
      <c r="J272" s="124" t="s">
        <v>5708</v>
      </c>
      <c r="K272" s="125" t="s">
        <v>160</v>
      </c>
      <c r="L272" s="124">
        <v>0.0</v>
      </c>
      <c r="M272" s="126">
        <v>2.0</v>
      </c>
      <c r="N272" s="1">
        <v>0.0</v>
      </c>
      <c r="O272" s="1">
        <v>0.0</v>
      </c>
    </row>
    <row r="273" ht="15.75" hidden="1" customHeight="1">
      <c r="A273" s="129">
        <v>45665.0</v>
      </c>
      <c r="B273" s="137">
        <v>45755.0</v>
      </c>
      <c r="C273" s="131">
        <v>45908.0</v>
      </c>
      <c r="D273" s="117" t="s">
        <v>4</v>
      </c>
      <c r="E273" s="117">
        <v>1270458.0</v>
      </c>
      <c r="F273" s="62">
        <v>0.0</v>
      </c>
      <c r="G273" s="62" t="s">
        <v>5712</v>
      </c>
      <c r="H273" s="62" t="s">
        <v>5705</v>
      </c>
      <c r="I273" s="62" t="s">
        <v>13</v>
      </c>
      <c r="J273" s="118" t="s">
        <v>5708</v>
      </c>
      <c r="K273" s="130" t="s">
        <v>160</v>
      </c>
      <c r="L273" s="130">
        <v>0.0</v>
      </c>
      <c r="M273" s="132">
        <v>2.0</v>
      </c>
      <c r="N273" s="1">
        <v>0.0</v>
      </c>
      <c r="O273" s="1">
        <v>0.0</v>
      </c>
    </row>
    <row r="274" ht="15.75" customHeight="1">
      <c r="A274" s="127">
        <v>45665.0</v>
      </c>
      <c r="B274" s="138">
        <v>45755.0</v>
      </c>
      <c r="C274" s="128">
        <v>45908.0</v>
      </c>
      <c r="D274" s="123" t="s">
        <v>4</v>
      </c>
      <c r="E274" s="123">
        <v>1270458.0</v>
      </c>
      <c r="F274" s="124">
        <v>0.0</v>
      </c>
      <c r="G274" s="124" t="s">
        <v>5712</v>
      </c>
      <c r="H274" s="124" t="s">
        <v>5705</v>
      </c>
      <c r="I274" s="124" t="s">
        <v>13</v>
      </c>
      <c r="J274" s="124" t="s">
        <v>5708</v>
      </c>
      <c r="K274" s="125" t="s">
        <v>139</v>
      </c>
      <c r="L274" s="125">
        <v>0.0</v>
      </c>
      <c r="M274" s="126">
        <v>3.33333E-4</v>
      </c>
      <c r="N274" s="1">
        <v>0.0</v>
      </c>
      <c r="O274" s="1">
        <v>0.0</v>
      </c>
    </row>
    <row r="275" ht="15.75" hidden="1" customHeight="1">
      <c r="A275" s="129">
        <v>45665.0</v>
      </c>
      <c r="B275" s="137">
        <v>45755.0</v>
      </c>
      <c r="C275" s="131">
        <v>45908.0</v>
      </c>
      <c r="D275" s="117" t="s">
        <v>4</v>
      </c>
      <c r="E275" s="117">
        <v>1270458.0</v>
      </c>
      <c r="F275" s="62">
        <v>0.0</v>
      </c>
      <c r="G275" s="62" t="s">
        <v>5712</v>
      </c>
      <c r="H275" s="62" t="s">
        <v>5705</v>
      </c>
      <c r="I275" s="62" t="s">
        <v>13</v>
      </c>
      <c r="J275" s="118" t="s">
        <v>5708</v>
      </c>
      <c r="K275" s="130" t="s">
        <v>154</v>
      </c>
      <c r="L275" s="62">
        <v>8100.0</v>
      </c>
      <c r="M275" s="132">
        <v>136.0</v>
      </c>
      <c r="N275" s="1">
        <v>59.55882353</v>
      </c>
      <c r="O275" s="1">
        <v>59.55882353</v>
      </c>
    </row>
    <row r="276" ht="15.75" hidden="1" customHeight="1">
      <c r="A276" s="127">
        <v>45665.0</v>
      </c>
      <c r="B276" s="138">
        <v>45755.0</v>
      </c>
      <c r="C276" s="128">
        <v>45908.0</v>
      </c>
      <c r="D276" s="123" t="s">
        <v>4</v>
      </c>
      <c r="E276" s="123">
        <v>1270458.0</v>
      </c>
      <c r="F276" s="124">
        <v>0.0</v>
      </c>
      <c r="G276" s="124" t="s">
        <v>5712</v>
      </c>
      <c r="H276" s="124" t="s">
        <v>5705</v>
      </c>
      <c r="I276" s="124" t="s">
        <v>13</v>
      </c>
      <c r="J276" s="124" t="s">
        <v>5708</v>
      </c>
      <c r="K276" s="125" t="s">
        <v>156</v>
      </c>
      <c r="L276" s="125">
        <v>3700.0</v>
      </c>
      <c r="M276" s="126">
        <v>70.0</v>
      </c>
      <c r="N276" s="1">
        <v>52.85714286</v>
      </c>
      <c r="O276" s="1">
        <v>52.85714286</v>
      </c>
    </row>
    <row r="277" ht="15.75" hidden="1" customHeight="1">
      <c r="A277" s="129">
        <v>45665.0</v>
      </c>
      <c r="B277" s="137">
        <v>45755.0</v>
      </c>
      <c r="C277" s="131">
        <v>45908.0</v>
      </c>
      <c r="D277" s="117" t="s">
        <v>4</v>
      </c>
      <c r="E277" s="117">
        <v>1270458.0</v>
      </c>
      <c r="F277" s="62">
        <v>0.0</v>
      </c>
      <c r="G277" s="62" t="s">
        <v>5712</v>
      </c>
      <c r="H277" s="62" t="s">
        <v>5705</v>
      </c>
      <c r="I277" s="62" t="s">
        <v>13</v>
      </c>
      <c r="J277" s="118" t="s">
        <v>5708</v>
      </c>
      <c r="K277" s="130" t="s">
        <v>163</v>
      </c>
      <c r="L277" s="130">
        <v>2.0</v>
      </c>
      <c r="M277" s="132"/>
      <c r="N277" s="1">
        <v>2.0</v>
      </c>
      <c r="O277" s="1" t="s">
        <v>5713</v>
      </c>
    </row>
    <row r="278" ht="15.75" hidden="1" customHeight="1">
      <c r="A278" s="127">
        <v>45665.0</v>
      </c>
      <c r="B278" s="138">
        <v>45755.0</v>
      </c>
      <c r="C278" s="128">
        <v>45938.0</v>
      </c>
      <c r="D278" s="123" t="s">
        <v>4</v>
      </c>
      <c r="E278" s="123">
        <v>1270458.0</v>
      </c>
      <c r="F278" s="124">
        <v>0.0</v>
      </c>
      <c r="G278" s="124" t="s">
        <v>5712</v>
      </c>
      <c r="H278" s="124" t="s">
        <v>5705</v>
      </c>
      <c r="I278" s="124" t="s">
        <v>13</v>
      </c>
      <c r="J278" s="124" t="s">
        <v>5708</v>
      </c>
      <c r="K278" s="125" t="s">
        <v>153</v>
      </c>
      <c r="L278" s="125">
        <v>1.25</v>
      </c>
      <c r="M278" s="134">
        <v>0.0</v>
      </c>
      <c r="N278" s="1"/>
      <c r="O278" s="1" t="s">
        <v>5713</v>
      </c>
    </row>
    <row r="279" ht="15.75" customHeight="1">
      <c r="A279" s="129">
        <v>45665.0</v>
      </c>
      <c r="B279" s="137">
        <v>45755.0</v>
      </c>
      <c r="C279" s="131">
        <v>45938.0</v>
      </c>
      <c r="D279" s="117" t="s">
        <v>4</v>
      </c>
      <c r="E279" s="117">
        <v>1270458.0</v>
      </c>
      <c r="F279" s="62">
        <v>0.0</v>
      </c>
      <c r="G279" s="62" t="s">
        <v>5712</v>
      </c>
      <c r="H279" s="62" t="s">
        <v>5705</v>
      </c>
      <c r="I279" s="62" t="s">
        <v>13</v>
      </c>
      <c r="J279" s="118" t="s">
        <v>5708</v>
      </c>
      <c r="K279" s="130" t="s">
        <v>139</v>
      </c>
      <c r="L279" s="62">
        <v>1.0</v>
      </c>
      <c r="M279" s="132">
        <v>0.035833333</v>
      </c>
      <c r="N279" s="1">
        <v>27.90697674</v>
      </c>
      <c r="O279" s="1">
        <v>27.90697674</v>
      </c>
    </row>
    <row r="280" ht="15.75" hidden="1" customHeight="1">
      <c r="A280" s="127">
        <v>45665.0</v>
      </c>
      <c r="B280" s="138">
        <v>45755.0</v>
      </c>
      <c r="C280" s="128">
        <v>45938.0</v>
      </c>
      <c r="D280" s="123" t="s">
        <v>4</v>
      </c>
      <c r="E280" s="123">
        <v>1270458.0</v>
      </c>
      <c r="F280" s="124">
        <v>0.0</v>
      </c>
      <c r="G280" s="124" t="s">
        <v>5712</v>
      </c>
      <c r="H280" s="124" t="s">
        <v>5705</v>
      </c>
      <c r="I280" s="124" t="s">
        <v>13</v>
      </c>
      <c r="J280" s="124" t="s">
        <v>5708</v>
      </c>
      <c r="K280" s="125" t="s">
        <v>153</v>
      </c>
      <c r="L280" s="124">
        <v>333.46</v>
      </c>
      <c r="M280" s="126">
        <v>101.0</v>
      </c>
      <c r="N280" s="1">
        <v>3.301584158</v>
      </c>
      <c r="O280" s="1">
        <v>3.301584158</v>
      </c>
    </row>
    <row r="281" ht="15.75" hidden="1" customHeight="1">
      <c r="A281" s="129">
        <v>45665.0</v>
      </c>
      <c r="B281" s="137">
        <v>45755.0</v>
      </c>
      <c r="C281" s="131">
        <v>45938.0</v>
      </c>
      <c r="D281" s="117" t="s">
        <v>4</v>
      </c>
      <c r="E281" s="117">
        <v>1270458.0</v>
      </c>
      <c r="F281" s="62">
        <v>0.0</v>
      </c>
      <c r="G281" s="62" t="s">
        <v>5712</v>
      </c>
      <c r="H281" s="62" t="s">
        <v>5705</v>
      </c>
      <c r="I281" s="62" t="s">
        <v>13</v>
      </c>
      <c r="J281" s="118" t="s">
        <v>5708</v>
      </c>
      <c r="K281" s="130" t="s">
        <v>142</v>
      </c>
      <c r="L281" s="62">
        <v>101.0</v>
      </c>
      <c r="M281" s="132"/>
      <c r="N281" s="1">
        <v>101.0</v>
      </c>
      <c r="O281" s="1" t="s">
        <v>5713</v>
      </c>
    </row>
    <row r="282" ht="15.75" hidden="1" customHeight="1">
      <c r="A282" s="127">
        <v>45665.0</v>
      </c>
      <c r="B282" s="138">
        <v>45755.0</v>
      </c>
      <c r="C282" s="128">
        <v>45938.0</v>
      </c>
      <c r="D282" s="123" t="s">
        <v>4</v>
      </c>
      <c r="E282" s="123">
        <v>1270458.0</v>
      </c>
      <c r="F282" s="124">
        <v>0.0</v>
      </c>
      <c r="G282" s="124" t="s">
        <v>5712</v>
      </c>
      <c r="H282" s="124" t="s">
        <v>5705</v>
      </c>
      <c r="I282" s="124" t="s">
        <v>13</v>
      </c>
      <c r="J282" s="124" t="s">
        <v>5708</v>
      </c>
      <c r="K282" s="125" t="s">
        <v>160</v>
      </c>
      <c r="L282" s="125">
        <v>0.0</v>
      </c>
      <c r="M282" s="126">
        <v>2.0</v>
      </c>
      <c r="N282" s="1">
        <v>0.0</v>
      </c>
      <c r="O282" s="1">
        <v>0.0</v>
      </c>
    </row>
    <row r="283" ht="15.75" hidden="1" customHeight="1">
      <c r="A283" s="129">
        <v>45665.0</v>
      </c>
      <c r="B283" s="137">
        <v>45755.0</v>
      </c>
      <c r="C283" s="131">
        <v>45938.0</v>
      </c>
      <c r="D283" s="117" t="s">
        <v>4</v>
      </c>
      <c r="E283" s="117">
        <v>1270458.0</v>
      </c>
      <c r="F283" s="62">
        <v>0.0</v>
      </c>
      <c r="G283" s="62" t="s">
        <v>5712</v>
      </c>
      <c r="H283" s="62" t="s">
        <v>5705</v>
      </c>
      <c r="I283" s="62" t="s">
        <v>13</v>
      </c>
      <c r="J283" s="118" t="s">
        <v>5708</v>
      </c>
      <c r="K283" s="130" t="s">
        <v>160</v>
      </c>
      <c r="L283" s="130">
        <v>0.0</v>
      </c>
      <c r="M283" s="133">
        <v>1.0</v>
      </c>
      <c r="N283" s="1">
        <v>0.0</v>
      </c>
      <c r="O283" s="1">
        <v>0.0</v>
      </c>
    </row>
    <row r="284" ht="15.75" hidden="1" customHeight="1">
      <c r="A284" s="127">
        <v>45665.0</v>
      </c>
      <c r="B284" s="138">
        <v>45755.0</v>
      </c>
      <c r="C284" s="128">
        <v>45938.0</v>
      </c>
      <c r="D284" s="123" t="s">
        <v>4</v>
      </c>
      <c r="E284" s="123">
        <v>1270458.0</v>
      </c>
      <c r="F284" s="124">
        <v>0.0</v>
      </c>
      <c r="G284" s="124" t="s">
        <v>5712</v>
      </c>
      <c r="H284" s="124" t="s">
        <v>5705</v>
      </c>
      <c r="I284" s="124" t="s">
        <v>13</v>
      </c>
      <c r="J284" s="124" t="s">
        <v>5708</v>
      </c>
      <c r="K284" s="125" t="s">
        <v>147</v>
      </c>
      <c r="L284" s="124">
        <v>0.0</v>
      </c>
      <c r="M284" s="126">
        <v>1.0</v>
      </c>
      <c r="N284" s="1">
        <v>0.0</v>
      </c>
      <c r="O284" s="1">
        <v>0.0</v>
      </c>
    </row>
    <row r="285" ht="15.75" hidden="1" customHeight="1">
      <c r="A285" s="129">
        <v>45665.0</v>
      </c>
      <c r="B285" s="137">
        <v>45969.0</v>
      </c>
      <c r="C285" s="131">
        <v>45969.0</v>
      </c>
      <c r="D285" s="117" t="s">
        <v>4</v>
      </c>
      <c r="E285" s="117">
        <v>1270458.0</v>
      </c>
      <c r="F285" s="62">
        <v>0.0</v>
      </c>
      <c r="G285" s="62" t="s">
        <v>5712</v>
      </c>
      <c r="H285" s="62" t="s">
        <v>5705</v>
      </c>
      <c r="I285" s="62" t="s">
        <v>13</v>
      </c>
      <c r="J285" s="118" t="s">
        <v>5708</v>
      </c>
      <c r="K285" s="130" t="s">
        <v>160</v>
      </c>
      <c r="L285" s="62">
        <v>0.0</v>
      </c>
      <c r="M285" s="132">
        <v>1.0</v>
      </c>
      <c r="N285" s="1">
        <v>0.0</v>
      </c>
      <c r="O285" s="1">
        <v>0.0</v>
      </c>
    </row>
    <row r="286" ht="15.75" hidden="1" customHeight="1">
      <c r="A286" s="127">
        <v>45665.0</v>
      </c>
      <c r="B286" s="138">
        <v>45969.0</v>
      </c>
      <c r="C286" s="128">
        <v>45969.0</v>
      </c>
      <c r="D286" s="123" t="s">
        <v>4</v>
      </c>
      <c r="E286" s="123">
        <v>1270458.0</v>
      </c>
      <c r="F286" s="124">
        <v>0.0</v>
      </c>
      <c r="G286" s="124" t="s">
        <v>5712</v>
      </c>
      <c r="H286" s="124" t="s">
        <v>5705</v>
      </c>
      <c r="I286" s="124" t="s">
        <v>13</v>
      </c>
      <c r="J286" s="124" t="s">
        <v>5708</v>
      </c>
      <c r="K286" s="125" t="s">
        <v>158</v>
      </c>
      <c r="L286" s="124">
        <v>9000.0</v>
      </c>
      <c r="M286" s="126">
        <v>90.0</v>
      </c>
      <c r="N286" s="1">
        <v>100.0</v>
      </c>
      <c r="O286" s="1">
        <v>100.0</v>
      </c>
    </row>
    <row r="287" ht="15.75" customHeight="1">
      <c r="A287" s="129">
        <v>45665.0</v>
      </c>
      <c r="B287" s="137">
        <v>45969.0</v>
      </c>
      <c r="C287" s="131">
        <v>45969.0</v>
      </c>
      <c r="D287" s="117" t="s">
        <v>4</v>
      </c>
      <c r="E287" s="117">
        <v>1270458.0</v>
      </c>
      <c r="F287" s="62">
        <v>0.0</v>
      </c>
      <c r="G287" s="62" t="s">
        <v>5712</v>
      </c>
      <c r="H287" s="62" t="s">
        <v>5705</v>
      </c>
      <c r="I287" s="62" t="s">
        <v>13</v>
      </c>
      <c r="J287" s="118" t="s">
        <v>5708</v>
      </c>
      <c r="K287" s="130" t="s">
        <v>139</v>
      </c>
      <c r="L287" s="130">
        <v>0.0</v>
      </c>
      <c r="M287" s="132">
        <v>5.0E-4</v>
      </c>
      <c r="N287" s="1">
        <v>0.0</v>
      </c>
      <c r="O287" s="1">
        <v>0.0</v>
      </c>
    </row>
    <row r="288" ht="15.75" hidden="1" customHeight="1">
      <c r="A288" s="127">
        <v>45665.0</v>
      </c>
      <c r="B288" s="138">
        <v>45969.0</v>
      </c>
      <c r="C288" s="128">
        <v>45969.0</v>
      </c>
      <c r="D288" s="123" t="s">
        <v>4</v>
      </c>
      <c r="E288" s="123">
        <v>1270458.0</v>
      </c>
      <c r="F288" s="124">
        <v>0.0</v>
      </c>
      <c r="G288" s="124" t="s">
        <v>5712</v>
      </c>
      <c r="H288" s="124" t="s">
        <v>5705</v>
      </c>
      <c r="I288" s="124" t="s">
        <v>13</v>
      </c>
      <c r="J288" s="124" t="s">
        <v>5708</v>
      </c>
      <c r="K288" s="125" t="s">
        <v>163</v>
      </c>
      <c r="L288" s="125">
        <v>4.0</v>
      </c>
      <c r="M288" s="126"/>
      <c r="N288" s="1">
        <v>4.0</v>
      </c>
      <c r="O288" s="1" t="s">
        <v>5713</v>
      </c>
    </row>
    <row r="289" ht="15.75" hidden="1" customHeight="1">
      <c r="A289" s="139">
        <v>45665.0</v>
      </c>
      <c r="B289" s="140">
        <v>45969.0</v>
      </c>
      <c r="C289" s="141">
        <v>45969.0</v>
      </c>
      <c r="D289" s="117" t="s">
        <v>4</v>
      </c>
      <c r="E289" s="117">
        <v>1270458.0</v>
      </c>
      <c r="F289" s="118">
        <v>0.0</v>
      </c>
      <c r="G289" s="118" t="s">
        <v>5712</v>
      </c>
      <c r="H289" s="118" t="s">
        <v>5705</v>
      </c>
      <c r="I289" s="118" t="s">
        <v>13</v>
      </c>
      <c r="J289" s="118" t="s">
        <v>5708</v>
      </c>
      <c r="K289" s="120" t="s">
        <v>158</v>
      </c>
      <c r="L289" s="120">
        <v>0.0</v>
      </c>
      <c r="M289" s="121">
        <v>6.0</v>
      </c>
      <c r="N289" s="1">
        <v>0.0</v>
      </c>
      <c r="O289" s="1">
        <v>0.0</v>
      </c>
    </row>
    <row r="290" ht="15.75" hidden="1" customHeight="1">
      <c r="A290" s="127">
        <v>45665.0</v>
      </c>
      <c r="B290" s="138">
        <v>45969.0</v>
      </c>
      <c r="C290" s="128">
        <v>45969.0</v>
      </c>
      <c r="D290" s="123" t="s">
        <v>4</v>
      </c>
      <c r="E290" s="123">
        <v>1270458.0</v>
      </c>
      <c r="F290" s="124">
        <v>0.0</v>
      </c>
      <c r="G290" s="124" t="s">
        <v>5712</v>
      </c>
      <c r="H290" s="124" t="s">
        <v>5705</v>
      </c>
      <c r="I290" s="124" t="s">
        <v>13</v>
      </c>
      <c r="J290" s="124" t="s">
        <v>5708</v>
      </c>
      <c r="K290" s="125" t="s">
        <v>153</v>
      </c>
      <c r="L290" s="125">
        <v>0.02</v>
      </c>
      <c r="M290" s="126">
        <v>0.0</v>
      </c>
      <c r="N290" s="1"/>
      <c r="O290" s="1" t="s">
        <v>5713</v>
      </c>
    </row>
    <row r="291" ht="15.75" hidden="1" customHeight="1">
      <c r="A291" s="129">
        <v>45665.0</v>
      </c>
      <c r="B291" s="137">
        <v>45969.0</v>
      </c>
      <c r="C291" s="131">
        <v>45969.0</v>
      </c>
      <c r="D291" s="117" t="s">
        <v>4</v>
      </c>
      <c r="E291" s="117">
        <v>1270458.0</v>
      </c>
      <c r="F291" s="62">
        <v>0.0</v>
      </c>
      <c r="G291" s="62" t="s">
        <v>5712</v>
      </c>
      <c r="H291" s="62" t="s">
        <v>5705</v>
      </c>
      <c r="I291" s="117" t="s">
        <v>13</v>
      </c>
      <c r="J291" s="118" t="s">
        <v>5708</v>
      </c>
      <c r="K291" s="130" t="s">
        <v>147</v>
      </c>
      <c r="L291" s="62">
        <v>0.0</v>
      </c>
      <c r="M291" s="132">
        <v>1.0</v>
      </c>
      <c r="N291" s="1">
        <v>0.0</v>
      </c>
      <c r="O291" s="1">
        <v>0.0</v>
      </c>
    </row>
    <row r="292" ht="15.75" hidden="1" customHeight="1">
      <c r="A292" s="127">
        <v>45665.0</v>
      </c>
      <c r="B292" s="138">
        <v>45969.0</v>
      </c>
      <c r="C292" s="128">
        <v>45969.0</v>
      </c>
      <c r="D292" s="123" t="s">
        <v>4</v>
      </c>
      <c r="E292" s="123">
        <v>1270458.0</v>
      </c>
      <c r="F292" s="124">
        <v>0.0</v>
      </c>
      <c r="G292" s="124" t="s">
        <v>5712</v>
      </c>
      <c r="H292" s="124" t="s">
        <v>5705</v>
      </c>
      <c r="I292" s="124" t="s">
        <v>13</v>
      </c>
      <c r="J292" s="124" t="s">
        <v>5708</v>
      </c>
      <c r="K292" s="125" t="s">
        <v>147</v>
      </c>
      <c r="L292" s="125">
        <v>0.0</v>
      </c>
      <c r="M292" s="126">
        <v>1.0</v>
      </c>
      <c r="N292" s="1">
        <v>0.0</v>
      </c>
      <c r="O292" s="1">
        <v>0.0</v>
      </c>
    </row>
    <row r="293" ht="15.75" hidden="1" customHeight="1">
      <c r="A293" s="129">
        <v>45665.0</v>
      </c>
      <c r="B293" s="137">
        <v>45969.0</v>
      </c>
      <c r="C293" s="131">
        <v>45999.0</v>
      </c>
      <c r="D293" s="117" t="s">
        <v>4</v>
      </c>
      <c r="E293" s="117">
        <v>1270458.0</v>
      </c>
      <c r="F293" s="62">
        <v>0.0</v>
      </c>
      <c r="G293" s="62" t="s">
        <v>5712</v>
      </c>
      <c r="H293" s="62" t="s">
        <v>5705</v>
      </c>
      <c r="I293" s="62" t="s">
        <v>13</v>
      </c>
      <c r="J293" s="118" t="s">
        <v>5708</v>
      </c>
      <c r="K293" s="130" t="s">
        <v>163</v>
      </c>
      <c r="L293" s="130">
        <v>3.0</v>
      </c>
      <c r="M293" s="132"/>
      <c r="N293" s="1">
        <v>3.0</v>
      </c>
      <c r="O293" s="1" t="s">
        <v>5713</v>
      </c>
    </row>
    <row r="294" ht="15.75" hidden="1" customHeight="1">
      <c r="A294" s="127">
        <v>45665.0</v>
      </c>
      <c r="B294" s="128">
        <v>45969.0</v>
      </c>
      <c r="C294" s="128">
        <v>45999.0</v>
      </c>
      <c r="D294" s="123" t="s">
        <v>4</v>
      </c>
      <c r="E294" s="123">
        <v>1270458.0</v>
      </c>
      <c r="F294" s="124">
        <v>0.0</v>
      </c>
      <c r="G294" s="124" t="s">
        <v>5712</v>
      </c>
      <c r="H294" s="124" t="s">
        <v>5705</v>
      </c>
      <c r="I294" s="124" t="s">
        <v>13</v>
      </c>
      <c r="J294" s="124" t="s">
        <v>5708</v>
      </c>
      <c r="K294" s="125" t="s">
        <v>156</v>
      </c>
      <c r="L294" s="125">
        <v>6300.0</v>
      </c>
      <c r="M294" s="126">
        <v>131.0</v>
      </c>
      <c r="N294" s="1">
        <v>48.09160305</v>
      </c>
      <c r="O294" s="1">
        <v>48.09160305</v>
      </c>
    </row>
    <row r="295" ht="15.75" hidden="1" customHeight="1">
      <c r="A295" s="129">
        <v>45665.0</v>
      </c>
      <c r="B295" s="131">
        <v>45969.0</v>
      </c>
      <c r="C295" s="131">
        <v>45999.0</v>
      </c>
      <c r="D295" s="117" t="s">
        <v>4</v>
      </c>
      <c r="E295" s="117">
        <v>1270458.0</v>
      </c>
      <c r="F295" s="62">
        <v>0.0</v>
      </c>
      <c r="G295" s="62" t="s">
        <v>5712</v>
      </c>
      <c r="H295" s="62" t="s">
        <v>5705</v>
      </c>
      <c r="I295" s="62" t="s">
        <v>13</v>
      </c>
      <c r="J295" s="118" t="s">
        <v>5708</v>
      </c>
      <c r="K295" s="130" t="s">
        <v>163</v>
      </c>
      <c r="L295" s="130">
        <v>8.0</v>
      </c>
      <c r="M295" s="132"/>
      <c r="N295" s="1">
        <v>8.0</v>
      </c>
      <c r="O295" s="1" t="s">
        <v>5713</v>
      </c>
    </row>
    <row r="296" ht="15.75" hidden="1" customHeight="1">
      <c r="A296" s="127">
        <v>45665.0</v>
      </c>
      <c r="B296" s="128">
        <v>45969.0</v>
      </c>
      <c r="C296" s="128">
        <v>45999.0</v>
      </c>
      <c r="D296" s="123" t="s">
        <v>4</v>
      </c>
      <c r="E296" s="123">
        <v>1270458.0</v>
      </c>
      <c r="F296" s="124">
        <v>0.0</v>
      </c>
      <c r="G296" s="124" t="s">
        <v>5712</v>
      </c>
      <c r="H296" s="124" t="s">
        <v>5705</v>
      </c>
      <c r="I296" s="124" t="s">
        <v>13</v>
      </c>
      <c r="J296" s="124" t="s">
        <v>5708</v>
      </c>
      <c r="K296" s="125" t="s">
        <v>147</v>
      </c>
      <c r="L296" s="125">
        <v>0.0</v>
      </c>
      <c r="M296" s="126">
        <v>1.0</v>
      </c>
      <c r="N296" s="1">
        <v>0.0</v>
      </c>
      <c r="O296" s="1">
        <v>0.0</v>
      </c>
    </row>
    <row r="297" ht="15.75" hidden="1" customHeight="1">
      <c r="A297" s="129">
        <v>45665.0</v>
      </c>
      <c r="B297" s="131">
        <v>45755.0</v>
      </c>
      <c r="C297" s="131">
        <v>45938.0</v>
      </c>
      <c r="D297" s="117" t="s">
        <v>4</v>
      </c>
      <c r="E297" s="117">
        <v>1270458.0</v>
      </c>
      <c r="F297" s="62">
        <v>0.0</v>
      </c>
      <c r="G297" s="62" t="s">
        <v>5712</v>
      </c>
      <c r="H297" s="62" t="s">
        <v>5705</v>
      </c>
      <c r="I297" s="62" t="s">
        <v>13</v>
      </c>
      <c r="J297" s="118" t="s">
        <v>5708</v>
      </c>
      <c r="K297" s="130" t="s">
        <v>160</v>
      </c>
      <c r="L297" s="130">
        <v>0.0</v>
      </c>
      <c r="M297" s="132">
        <v>2.0</v>
      </c>
      <c r="N297" s="1">
        <v>0.0</v>
      </c>
      <c r="O297" s="1">
        <v>0.0</v>
      </c>
    </row>
    <row r="298" ht="15.75" hidden="1" customHeight="1">
      <c r="A298" s="127">
        <v>45665.0</v>
      </c>
      <c r="B298" s="138">
        <v>45755.0</v>
      </c>
      <c r="C298" s="128">
        <v>45938.0</v>
      </c>
      <c r="D298" s="123" t="s">
        <v>4</v>
      </c>
      <c r="E298" s="123">
        <v>1270458.0</v>
      </c>
      <c r="F298" s="124">
        <v>0.0</v>
      </c>
      <c r="G298" s="124" t="s">
        <v>5712</v>
      </c>
      <c r="H298" s="124" t="s">
        <v>5705</v>
      </c>
      <c r="I298" s="124" t="s">
        <v>13</v>
      </c>
      <c r="J298" s="124" t="s">
        <v>5708</v>
      </c>
      <c r="K298" s="125" t="s">
        <v>156</v>
      </c>
      <c r="L298" s="125">
        <v>6400.0</v>
      </c>
      <c r="M298" s="126">
        <v>101.0</v>
      </c>
      <c r="N298" s="1">
        <v>63.36633663</v>
      </c>
      <c r="O298" s="1">
        <v>63.36633663</v>
      </c>
    </row>
    <row r="299" ht="15.75" hidden="1" customHeight="1">
      <c r="A299" s="129">
        <v>45665.0</v>
      </c>
      <c r="B299" s="137">
        <v>45755.0</v>
      </c>
      <c r="C299" s="131">
        <v>45938.0</v>
      </c>
      <c r="D299" s="117" t="s">
        <v>4</v>
      </c>
      <c r="E299" s="117">
        <v>1270458.0</v>
      </c>
      <c r="F299" s="62">
        <v>0.0</v>
      </c>
      <c r="G299" s="62" t="s">
        <v>5712</v>
      </c>
      <c r="H299" s="62" t="s">
        <v>5705</v>
      </c>
      <c r="I299" s="62" t="s">
        <v>13</v>
      </c>
      <c r="J299" s="118" t="s">
        <v>5708</v>
      </c>
      <c r="K299" s="130" t="s">
        <v>163</v>
      </c>
      <c r="L299" s="62">
        <v>1.0</v>
      </c>
      <c r="M299" s="132"/>
      <c r="N299" s="1">
        <v>1.0</v>
      </c>
      <c r="O299" s="1" t="s">
        <v>5713</v>
      </c>
    </row>
    <row r="300" ht="15.75" hidden="1" customHeight="1">
      <c r="A300" s="127">
        <v>45665.0</v>
      </c>
      <c r="B300" s="138">
        <v>45755.0</v>
      </c>
      <c r="C300" s="128">
        <v>45938.0</v>
      </c>
      <c r="D300" s="123" t="s">
        <v>4</v>
      </c>
      <c r="E300" s="123">
        <v>1270458.0</v>
      </c>
      <c r="F300" s="124">
        <v>0.0</v>
      </c>
      <c r="G300" s="124" t="s">
        <v>5712</v>
      </c>
      <c r="H300" s="124" t="s">
        <v>5705</v>
      </c>
      <c r="I300" s="124" t="s">
        <v>13</v>
      </c>
      <c r="J300" s="124" t="s">
        <v>5708</v>
      </c>
      <c r="K300" s="125" t="s">
        <v>160</v>
      </c>
      <c r="L300" s="124">
        <v>0.0</v>
      </c>
      <c r="M300" s="126">
        <v>1.0</v>
      </c>
      <c r="N300" s="1">
        <v>0.0</v>
      </c>
      <c r="O300" s="1">
        <v>0.0</v>
      </c>
    </row>
    <row r="301" ht="15.75" customHeight="1">
      <c r="A301" s="129">
        <v>45665.0</v>
      </c>
      <c r="B301" s="137">
        <v>45755.0</v>
      </c>
      <c r="C301" s="131">
        <v>45938.0</v>
      </c>
      <c r="D301" s="117" t="s">
        <v>4</v>
      </c>
      <c r="E301" s="117">
        <v>1270458.0</v>
      </c>
      <c r="F301" s="62">
        <v>0.0</v>
      </c>
      <c r="G301" s="62" t="s">
        <v>5712</v>
      </c>
      <c r="H301" s="62" t="s">
        <v>5705</v>
      </c>
      <c r="I301" s="62" t="s">
        <v>13</v>
      </c>
      <c r="J301" s="118" t="s">
        <v>5708</v>
      </c>
      <c r="K301" s="130" t="s">
        <v>139</v>
      </c>
      <c r="L301" s="62">
        <v>0.0</v>
      </c>
      <c r="M301" s="132">
        <v>0.005333333</v>
      </c>
      <c r="N301" s="1">
        <v>0.0</v>
      </c>
      <c r="O301" s="1">
        <v>0.0</v>
      </c>
    </row>
    <row r="302" ht="15.75" hidden="1" customHeight="1">
      <c r="A302" s="127">
        <v>45665.0</v>
      </c>
      <c r="B302" s="138">
        <v>45755.0</v>
      </c>
      <c r="C302" s="128">
        <v>45938.0</v>
      </c>
      <c r="D302" s="123" t="s">
        <v>4</v>
      </c>
      <c r="E302" s="123">
        <v>1270458.0</v>
      </c>
      <c r="F302" s="124">
        <v>0.0</v>
      </c>
      <c r="G302" s="124" t="s">
        <v>5712</v>
      </c>
      <c r="H302" s="124" t="s">
        <v>5705</v>
      </c>
      <c r="I302" s="124" t="s">
        <v>13</v>
      </c>
      <c r="J302" s="124" t="s">
        <v>5708</v>
      </c>
      <c r="K302" s="125" t="s">
        <v>160</v>
      </c>
      <c r="L302" s="124">
        <v>0.0</v>
      </c>
      <c r="M302" s="126">
        <v>66.0</v>
      </c>
      <c r="N302" s="1">
        <v>0.0</v>
      </c>
      <c r="O302" s="1">
        <v>0.0</v>
      </c>
    </row>
    <row r="303" ht="15.75" hidden="1" customHeight="1">
      <c r="A303" s="129">
        <v>45665.0</v>
      </c>
      <c r="B303" s="137">
        <v>45755.0</v>
      </c>
      <c r="C303" s="131">
        <v>45938.0</v>
      </c>
      <c r="D303" s="117" t="s">
        <v>4</v>
      </c>
      <c r="E303" s="117">
        <v>1270458.0</v>
      </c>
      <c r="F303" s="62">
        <v>0.0</v>
      </c>
      <c r="G303" s="62" t="s">
        <v>5712</v>
      </c>
      <c r="H303" s="62" t="s">
        <v>5705</v>
      </c>
      <c r="I303" s="62" t="s">
        <v>13</v>
      </c>
      <c r="J303" s="118" t="s">
        <v>5708</v>
      </c>
      <c r="K303" s="130" t="s">
        <v>147</v>
      </c>
      <c r="L303" s="130">
        <v>0.0</v>
      </c>
      <c r="M303" s="132">
        <v>1.0</v>
      </c>
      <c r="N303" s="1">
        <v>0.0</v>
      </c>
      <c r="O303" s="1">
        <v>0.0</v>
      </c>
    </row>
    <row r="304" ht="15.75" hidden="1" customHeight="1">
      <c r="A304" s="127">
        <v>45665.0</v>
      </c>
      <c r="B304" s="138">
        <v>45755.0</v>
      </c>
      <c r="C304" s="128">
        <v>45938.0</v>
      </c>
      <c r="D304" s="123" t="s">
        <v>4</v>
      </c>
      <c r="E304" s="123">
        <v>1270458.0</v>
      </c>
      <c r="F304" s="124">
        <v>0.0</v>
      </c>
      <c r="G304" s="124" t="s">
        <v>5712</v>
      </c>
      <c r="H304" s="124" t="s">
        <v>5705</v>
      </c>
      <c r="I304" s="124" t="s">
        <v>13</v>
      </c>
      <c r="J304" s="124" t="s">
        <v>5708</v>
      </c>
      <c r="K304" s="125" t="s">
        <v>154</v>
      </c>
      <c r="L304" s="125">
        <v>0.0</v>
      </c>
      <c r="M304" s="126">
        <v>1.0</v>
      </c>
      <c r="N304" s="1">
        <v>0.0</v>
      </c>
      <c r="O304" s="1">
        <v>0.0</v>
      </c>
    </row>
    <row r="305" ht="15.75" hidden="1" customHeight="1">
      <c r="A305" s="129">
        <v>45665.0</v>
      </c>
      <c r="B305" s="137">
        <v>45755.0</v>
      </c>
      <c r="C305" s="131">
        <v>45938.0</v>
      </c>
      <c r="D305" s="117" t="s">
        <v>4</v>
      </c>
      <c r="E305" s="117">
        <v>1270458.0</v>
      </c>
      <c r="F305" s="62">
        <v>0.0</v>
      </c>
      <c r="G305" s="62" t="s">
        <v>5712</v>
      </c>
      <c r="H305" s="62" t="s">
        <v>5705</v>
      </c>
      <c r="I305" s="62" t="s">
        <v>13</v>
      </c>
      <c r="J305" s="118" t="s">
        <v>5708</v>
      </c>
      <c r="K305" s="130" t="s">
        <v>163</v>
      </c>
      <c r="L305" s="62">
        <v>1.0</v>
      </c>
      <c r="M305" s="132"/>
      <c r="N305" s="1">
        <v>1.0</v>
      </c>
      <c r="O305" s="1" t="s">
        <v>5713</v>
      </c>
    </row>
    <row r="306" ht="15.75" hidden="1" customHeight="1">
      <c r="A306" s="127">
        <v>45665.0</v>
      </c>
      <c r="B306" s="138">
        <v>45755.0</v>
      </c>
      <c r="C306" s="128">
        <v>45908.0</v>
      </c>
      <c r="D306" s="123" t="s">
        <v>4</v>
      </c>
      <c r="E306" s="123">
        <v>1270458.0</v>
      </c>
      <c r="F306" s="124">
        <v>0.0</v>
      </c>
      <c r="G306" s="124" t="s">
        <v>5712</v>
      </c>
      <c r="H306" s="124" t="s">
        <v>5705</v>
      </c>
      <c r="I306" s="124" t="s">
        <v>5708</v>
      </c>
      <c r="J306" s="124" t="s">
        <v>5708</v>
      </c>
      <c r="K306" s="125" t="s">
        <v>7</v>
      </c>
      <c r="L306" s="125">
        <v>300.0</v>
      </c>
      <c r="M306" s="126">
        <v>10.0</v>
      </c>
      <c r="N306" s="1">
        <v>30.0</v>
      </c>
      <c r="O306" s="1">
        <v>30.0</v>
      </c>
    </row>
    <row r="307" ht="15.75" hidden="1" customHeight="1">
      <c r="A307" s="129">
        <v>45665.0</v>
      </c>
      <c r="B307" s="137">
        <v>45755.0</v>
      </c>
      <c r="C307" s="131">
        <v>45908.0</v>
      </c>
      <c r="D307" s="117" t="s">
        <v>4</v>
      </c>
      <c r="E307" s="117">
        <v>1270458.0</v>
      </c>
      <c r="F307" s="62">
        <v>0.0</v>
      </c>
      <c r="G307" s="62" t="s">
        <v>5712</v>
      </c>
      <c r="H307" s="62" t="s">
        <v>5705</v>
      </c>
      <c r="I307" s="62" t="s">
        <v>13</v>
      </c>
      <c r="J307" s="118" t="s">
        <v>5708</v>
      </c>
      <c r="K307" s="130" t="s">
        <v>163</v>
      </c>
      <c r="L307" s="62">
        <v>83.0</v>
      </c>
      <c r="M307" s="132"/>
      <c r="N307" s="1">
        <v>83.0</v>
      </c>
      <c r="O307" s="1" t="s">
        <v>5713</v>
      </c>
    </row>
    <row r="308" ht="15.75" hidden="1" customHeight="1">
      <c r="A308" s="127">
        <v>45665.0</v>
      </c>
      <c r="B308" s="138">
        <v>45755.0</v>
      </c>
      <c r="C308" s="128">
        <v>45908.0</v>
      </c>
      <c r="D308" s="123" t="s">
        <v>4</v>
      </c>
      <c r="E308" s="123">
        <v>1270458.0</v>
      </c>
      <c r="F308" s="124">
        <v>0.0</v>
      </c>
      <c r="G308" s="124" t="s">
        <v>5712</v>
      </c>
      <c r="H308" s="124" t="s">
        <v>5705</v>
      </c>
      <c r="I308" s="124" t="s">
        <v>13</v>
      </c>
      <c r="J308" s="124" t="s">
        <v>5708</v>
      </c>
      <c r="K308" s="125" t="s">
        <v>147</v>
      </c>
      <c r="L308" s="124">
        <v>0.0</v>
      </c>
      <c r="M308" s="126">
        <v>2.0</v>
      </c>
      <c r="N308" s="1">
        <v>0.0</v>
      </c>
      <c r="O308" s="1">
        <v>0.0</v>
      </c>
    </row>
    <row r="309" ht="15.75" hidden="1" customHeight="1">
      <c r="A309" s="129">
        <v>45665.0</v>
      </c>
      <c r="B309" s="137">
        <v>45755.0</v>
      </c>
      <c r="C309" s="131">
        <v>45908.0</v>
      </c>
      <c r="D309" s="117" t="s">
        <v>4</v>
      </c>
      <c r="E309" s="117">
        <v>1270458.0</v>
      </c>
      <c r="F309" s="62">
        <v>0.0</v>
      </c>
      <c r="G309" s="62" t="s">
        <v>5712</v>
      </c>
      <c r="H309" s="62" t="s">
        <v>5705</v>
      </c>
      <c r="I309" s="62" t="s">
        <v>13</v>
      </c>
      <c r="J309" s="118" t="s">
        <v>5708</v>
      </c>
      <c r="K309" s="130" t="s">
        <v>153</v>
      </c>
      <c r="L309" s="62">
        <v>3.97</v>
      </c>
      <c r="M309" s="132">
        <v>1.0</v>
      </c>
      <c r="N309" s="1">
        <v>3.97</v>
      </c>
      <c r="O309" s="1">
        <v>3.97</v>
      </c>
    </row>
    <row r="310" ht="15.75" hidden="1" customHeight="1">
      <c r="A310" s="127">
        <v>45665.0</v>
      </c>
      <c r="B310" s="138">
        <v>45755.0</v>
      </c>
      <c r="C310" s="128">
        <v>45908.0</v>
      </c>
      <c r="D310" s="123" t="s">
        <v>4</v>
      </c>
      <c r="E310" s="123">
        <v>1270458.0</v>
      </c>
      <c r="F310" s="124">
        <v>0.0</v>
      </c>
      <c r="G310" s="124" t="s">
        <v>5712</v>
      </c>
      <c r="H310" s="124" t="s">
        <v>5705</v>
      </c>
      <c r="I310" s="124" t="s">
        <v>13</v>
      </c>
      <c r="J310" s="124" t="s">
        <v>5708</v>
      </c>
      <c r="K310" s="125" t="s">
        <v>156</v>
      </c>
      <c r="L310" s="125">
        <v>0.0</v>
      </c>
      <c r="M310" s="134">
        <v>1.0</v>
      </c>
      <c r="N310" s="1">
        <v>0.0</v>
      </c>
      <c r="O310" s="1">
        <v>0.0</v>
      </c>
    </row>
    <row r="311" ht="15.75" hidden="1" customHeight="1">
      <c r="A311" s="129">
        <v>45665.0</v>
      </c>
      <c r="B311" s="137">
        <v>45969.0</v>
      </c>
      <c r="C311" s="130" t="s">
        <v>5714</v>
      </c>
      <c r="D311" s="117" t="s">
        <v>4</v>
      </c>
      <c r="E311" s="117">
        <v>1270458.0</v>
      </c>
      <c r="F311" s="62">
        <v>0.0</v>
      </c>
      <c r="G311" s="62" t="s">
        <v>5712</v>
      </c>
      <c r="H311" s="62" t="s">
        <v>5705</v>
      </c>
      <c r="I311" s="62" t="s">
        <v>13</v>
      </c>
      <c r="J311" s="118" t="s">
        <v>5708</v>
      </c>
      <c r="K311" s="130" t="s">
        <v>147</v>
      </c>
      <c r="L311" s="130">
        <v>0.0</v>
      </c>
      <c r="M311" s="132">
        <v>4.0</v>
      </c>
      <c r="N311" s="1">
        <v>0.0</v>
      </c>
      <c r="O311" s="1">
        <v>0.0</v>
      </c>
    </row>
    <row r="312" ht="15.75" hidden="1" customHeight="1">
      <c r="A312" s="127">
        <v>45665.0</v>
      </c>
      <c r="B312" s="138">
        <v>45969.0</v>
      </c>
      <c r="C312" s="125" t="s">
        <v>5714</v>
      </c>
      <c r="D312" s="123" t="s">
        <v>4</v>
      </c>
      <c r="E312" s="123">
        <v>1270458.0</v>
      </c>
      <c r="F312" s="124">
        <v>0.0</v>
      </c>
      <c r="G312" s="124" t="s">
        <v>5712</v>
      </c>
      <c r="H312" s="124" t="s">
        <v>5705</v>
      </c>
      <c r="I312" s="124" t="s">
        <v>13</v>
      </c>
      <c r="J312" s="124" t="s">
        <v>5708</v>
      </c>
      <c r="K312" s="125" t="s">
        <v>153</v>
      </c>
      <c r="L312" s="124">
        <v>0.13</v>
      </c>
      <c r="M312" s="126">
        <v>0.0</v>
      </c>
      <c r="O312" s="1" t="s">
        <v>5713</v>
      </c>
    </row>
    <row r="313" ht="15.75" hidden="1" customHeight="1">
      <c r="A313" s="129">
        <v>45665.0</v>
      </c>
      <c r="B313" s="137">
        <v>45969.0</v>
      </c>
      <c r="C313" s="130" t="s">
        <v>5714</v>
      </c>
      <c r="D313" s="117" t="s">
        <v>4</v>
      </c>
      <c r="E313" s="117">
        <v>1270458.0</v>
      </c>
      <c r="F313" s="62">
        <v>0.0</v>
      </c>
      <c r="G313" s="62" t="s">
        <v>5712</v>
      </c>
      <c r="H313" s="62" t="s">
        <v>5705</v>
      </c>
      <c r="I313" s="118" t="s">
        <v>5708</v>
      </c>
      <c r="J313" s="118" t="s">
        <v>5708</v>
      </c>
      <c r="K313" s="130" t="s">
        <v>7</v>
      </c>
      <c r="L313" s="130">
        <v>300.0</v>
      </c>
      <c r="M313" s="132">
        <v>22.0</v>
      </c>
      <c r="N313" s="1">
        <v>13.63636364</v>
      </c>
      <c r="O313" s="1">
        <v>13.63636364</v>
      </c>
    </row>
    <row r="314" ht="15.75" hidden="1" customHeight="1">
      <c r="A314" s="127">
        <v>45665.0</v>
      </c>
      <c r="B314" s="138">
        <v>45969.0</v>
      </c>
      <c r="C314" s="125" t="s">
        <v>5714</v>
      </c>
      <c r="D314" s="123" t="s">
        <v>4</v>
      </c>
      <c r="E314" s="123">
        <v>1270458.0</v>
      </c>
      <c r="F314" s="124">
        <v>0.0</v>
      </c>
      <c r="G314" s="124" t="s">
        <v>5712</v>
      </c>
      <c r="H314" s="124" t="s">
        <v>5705</v>
      </c>
      <c r="I314" s="124" t="s">
        <v>13</v>
      </c>
      <c r="J314" s="124" t="s">
        <v>5708</v>
      </c>
      <c r="K314" s="125" t="s">
        <v>147</v>
      </c>
      <c r="L314" s="125">
        <v>0.0</v>
      </c>
      <c r="M314" s="134">
        <v>2.0</v>
      </c>
      <c r="N314" s="1">
        <v>0.0</v>
      </c>
      <c r="O314" s="1">
        <v>0.0</v>
      </c>
    </row>
    <row r="315" ht="15.75" hidden="1" customHeight="1">
      <c r="A315" s="129">
        <v>45665.0</v>
      </c>
      <c r="B315" s="137">
        <v>45969.0</v>
      </c>
      <c r="C315" s="131">
        <v>45969.0</v>
      </c>
      <c r="D315" s="117" t="s">
        <v>4</v>
      </c>
      <c r="E315" s="117">
        <v>1270458.0</v>
      </c>
      <c r="F315" s="62">
        <v>0.0</v>
      </c>
      <c r="G315" s="62" t="s">
        <v>5712</v>
      </c>
      <c r="H315" s="62" t="s">
        <v>5705</v>
      </c>
      <c r="I315" s="62" t="s">
        <v>13</v>
      </c>
      <c r="J315" s="118" t="s">
        <v>5708</v>
      </c>
      <c r="K315" s="130" t="s">
        <v>160</v>
      </c>
      <c r="L315" s="62">
        <v>0.0</v>
      </c>
      <c r="M315" s="132">
        <v>1.0</v>
      </c>
      <c r="N315" s="1">
        <v>0.0</v>
      </c>
      <c r="O315" s="1">
        <v>0.0</v>
      </c>
    </row>
    <row r="316" ht="15.75" hidden="1" customHeight="1">
      <c r="A316" s="127">
        <v>45665.0</v>
      </c>
      <c r="B316" s="138">
        <v>45969.0</v>
      </c>
      <c r="C316" s="128">
        <v>45969.0</v>
      </c>
      <c r="D316" s="123" t="s">
        <v>4</v>
      </c>
      <c r="E316" s="123">
        <v>1270458.0</v>
      </c>
      <c r="F316" s="124">
        <v>0.0</v>
      </c>
      <c r="G316" s="124" t="s">
        <v>5712</v>
      </c>
      <c r="H316" s="124" t="s">
        <v>5705</v>
      </c>
      <c r="I316" s="124" t="s">
        <v>13</v>
      </c>
      <c r="J316" s="124" t="s">
        <v>5708</v>
      </c>
      <c r="K316" s="125" t="s">
        <v>163</v>
      </c>
      <c r="L316" s="125">
        <v>1.0</v>
      </c>
      <c r="M316" s="126"/>
      <c r="N316" s="1">
        <v>1.0</v>
      </c>
      <c r="O316" s="1" t="s">
        <v>5713</v>
      </c>
    </row>
    <row r="317" ht="15.75" hidden="1" customHeight="1">
      <c r="A317" s="129">
        <v>45665.0</v>
      </c>
      <c r="B317" s="137">
        <v>45969.0</v>
      </c>
      <c r="C317" s="131">
        <v>45969.0</v>
      </c>
      <c r="D317" s="117" t="s">
        <v>4</v>
      </c>
      <c r="E317" s="117">
        <v>1270458.0</v>
      </c>
      <c r="F317" s="62">
        <v>0.0</v>
      </c>
      <c r="G317" s="62" t="s">
        <v>5712</v>
      </c>
      <c r="H317" s="62" t="s">
        <v>5705</v>
      </c>
      <c r="I317" s="62" t="s">
        <v>13</v>
      </c>
      <c r="J317" s="118" t="s">
        <v>5708</v>
      </c>
      <c r="K317" s="130" t="s">
        <v>156</v>
      </c>
      <c r="L317" s="130">
        <v>8200.0</v>
      </c>
      <c r="M317" s="133">
        <v>138.0</v>
      </c>
      <c r="N317" s="1">
        <v>59.42028986</v>
      </c>
      <c r="O317" s="1">
        <v>59.42028986</v>
      </c>
    </row>
    <row r="318" ht="15.75" hidden="1" customHeight="1">
      <c r="A318" s="127">
        <v>45665.0</v>
      </c>
      <c r="B318" s="138">
        <v>45969.0</v>
      </c>
      <c r="C318" s="128">
        <v>45969.0</v>
      </c>
      <c r="D318" s="123" t="s">
        <v>4</v>
      </c>
      <c r="E318" s="123">
        <v>1270458.0</v>
      </c>
      <c r="F318" s="124">
        <v>0.0</v>
      </c>
      <c r="G318" s="124" t="s">
        <v>5712</v>
      </c>
      <c r="H318" s="124" t="s">
        <v>5705</v>
      </c>
      <c r="I318" s="124" t="s">
        <v>13</v>
      </c>
      <c r="J318" s="124" t="s">
        <v>5708</v>
      </c>
      <c r="K318" s="125" t="s">
        <v>163</v>
      </c>
      <c r="L318" s="125">
        <v>1.0</v>
      </c>
      <c r="M318" s="126"/>
      <c r="N318" s="1">
        <v>1.0</v>
      </c>
      <c r="O318" s="1" t="s">
        <v>5713</v>
      </c>
    </row>
    <row r="319" ht="15.75" hidden="1" customHeight="1">
      <c r="A319" s="129">
        <v>45665.0</v>
      </c>
      <c r="B319" s="137">
        <v>45969.0</v>
      </c>
      <c r="C319" s="131">
        <v>45969.0</v>
      </c>
      <c r="D319" s="117" t="s">
        <v>4</v>
      </c>
      <c r="E319" s="117">
        <v>1270458.0</v>
      </c>
      <c r="F319" s="62">
        <v>0.0</v>
      </c>
      <c r="G319" s="62" t="s">
        <v>5712</v>
      </c>
      <c r="H319" s="62" t="s">
        <v>5705</v>
      </c>
      <c r="I319" s="62" t="s">
        <v>13</v>
      </c>
      <c r="J319" s="118" t="s">
        <v>5708</v>
      </c>
      <c r="K319" s="130" t="s">
        <v>153</v>
      </c>
      <c r="L319" s="130">
        <v>0.42</v>
      </c>
      <c r="M319" s="132">
        <v>0.0</v>
      </c>
      <c r="N319" s="1"/>
      <c r="O319" s="1" t="s">
        <v>5713</v>
      </c>
    </row>
    <row r="320" ht="15.75" hidden="1" customHeight="1">
      <c r="A320" s="127">
        <v>45665.0</v>
      </c>
      <c r="B320" s="138">
        <v>45969.0</v>
      </c>
      <c r="C320" s="128">
        <v>45969.0</v>
      </c>
      <c r="D320" s="123" t="s">
        <v>4</v>
      </c>
      <c r="E320" s="123">
        <v>1270458.0</v>
      </c>
      <c r="F320" s="124">
        <v>0.0</v>
      </c>
      <c r="G320" s="124" t="s">
        <v>5712</v>
      </c>
      <c r="H320" s="124" t="s">
        <v>5705</v>
      </c>
      <c r="I320" s="124" t="s">
        <v>13</v>
      </c>
      <c r="J320" s="124" t="s">
        <v>5708</v>
      </c>
      <c r="K320" s="125" t="s">
        <v>158</v>
      </c>
      <c r="L320" s="125">
        <v>2000.0</v>
      </c>
      <c r="M320" s="126">
        <v>20.0</v>
      </c>
      <c r="N320" s="1">
        <v>100.0</v>
      </c>
      <c r="O320" s="1">
        <v>100.0</v>
      </c>
    </row>
    <row r="321" ht="15.75" hidden="1" customHeight="1">
      <c r="A321" s="129">
        <v>45665.0</v>
      </c>
      <c r="B321" s="137">
        <v>45969.0</v>
      </c>
      <c r="C321" s="131">
        <v>45969.0</v>
      </c>
      <c r="D321" s="117" t="s">
        <v>4</v>
      </c>
      <c r="E321" s="117">
        <v>1270458.0</v>
      </c>
      <c r="F321" s="62">
        <v>0.0</v>
      </c>
      <c r="G321" s="62" t="s">
        <v>5712</v>
      </c>
      <c r="H321" s="62" t="s">
        <v>5705</v>
      </c>
      <c r="I321" s="62" t="s">
        <v>13</v>
      </c>
      <c r="J321" s="118" t="s">
        <v>5708</v>
      </c>
      <c r="K321" s="130" t="s">
        <v>158</v>
      </c>
      <c r="L321" s="130">
        <v>0.0</v>
      </c>
      <c r="M321" s="132">
        <v>25.0</v>
      </c>
      <c r="N321" s="1">
        <v>0.0</v>
      </c>
      <c r="O321" s="1">
        <v>0.0</v>
      </c>
    </row>
    <row r="322" ht="15.75" customHeight="1">
      <c r="A322" s="127">
        <v>45665.0</v>
      </c>
      <c r="B322" s="138">
        <v>45969.0</v>
      </c>
      <c r="C322" s="128">
        <v>45969.0</v>
      </c>
      <c r="D322" s="123" t="s">
        <v>4</v>
      </c>
      <c r="E322" s="123">
        <v>1270458.0</v>
      </c>
      <c r="F322" s="124">
        <v>0.0</v>
      </c>
      <c r="G322" s="124" t="s">
        <v>5712</v>
      </c>
      <c r="H322" s="124" t="s">
        <v>5705</v>
      </c>
      <c r="I322" s="124" t="s">
        <v>13</v>
      </c>
      <c r="J322" s="124" t="s">
        <v>5708</v>
      </c>
      <c r="K322" s="125" t="s">
        <v>139</v>
      </c>
      <c r="L322" s="125">
        <v>0.0</v>
      </c>
      <c r="M322" s="126">
        <v>0.039</v>
      </c>
      <c r="N322" s="1">
        <v>0.0</v>
      </c>
      <c r="O322" s="1">
        <v>0.0</v>
      </c>
    </row>
    <row r="323" ht="15.75" hidden="1" customHeight="1">
      <c r="A323" s="129">
        <v>45665.0</v>
      </c>
      <c r="B323" s="137">
        <v>45969.0</v>
      </c>
      <c r="C323" s="131">
        <v>45969.0</v>
      </c>
      <c r="D323" s="117" t="s">
        <v>4</v>
      </c>
      <c r="E323" s="117">
        <v>1270458.0</v>
      </c>
      <c r="F323" s="62">
        <v>0.0</v>
      </c>
      <c r="G323" s="62" t="s">
        <v>5712</v>
      </c>
      <c r="H323" s="62" t="s">
        <v>5705</v>
      </c>
      <c r="I323" s="62" t="s">
        <v>13</v>
      </c>
      <c r="J323" s="118" t="s">
        <v>5708</v>
      </c>
      <c r="K323" s="130" t="s">
        <v>147</v>
      </c>
      <c r="L323" s="130">
        <v>0.0</v>
      </c>
      <c r="M323" s="133">
        <v>2.0</v>
      </c>
      <c r="N323" s="1">
        <v>0.0</v>
      </c>
      <c r="O323" s="1">
        <v>0.0</v>
      </c>
    </row>
    <row r="324" ht="15.75" hidden="1" customHeight="1">
      <c r="A324" s="127">
        <v>45665.0</v>
      </c>
      <c r="B324" s="138">
        <v>45969.0</v>
      </c>
      <c r="C324" s="128">
        <v>45969.0</v>
      </c>
      <c r="D324" s="123" t="s">
        <v>4</v>
      </c>
      <c r="E324" s="123">
        <v>1270458.0</v>
      </c>
      <c r="F324" s="124">
        <v>0.0</v>
      </c>
      <c r="G324" s="124" t="s">
        <v>5712</v>
      </c>
      <c r="H324" s="124" t="s">
        <v>5705</v>
      </c>
      <c r="I324" s="124" t="s">
        <v>13</v>
      </c>
      <c r="J324" s="124" t="s">
        <v>5708</v>
      </c>
      <c r="K324" s="125" t="s">
        <v>163</v>
      </c>
      <c r="L324" s="125">
        <v>2.0</v>
      </c>
      <c r="M324" s="126"/>
      <c r="N324" s="1">
        <v>2.0</v>
      </c>
      <c r="O324" s="1" t="s">
        <v>5713</v>
      </c>
    </row>
    <row r="325" ht="15.75" hidden="1" customHeight="1">
      <c r="A325" s="129">
        <v>45665.0</v>
      </c>
      <c r="B325" s="137">
        <v>45969.0</v>
      </c>
      <c r="C325" s="131">
        <v>45969.0</v>
      </c>
      <c r="D325" s="117" t="s">
        <v>4</v>
      </c>
      <c r="E325" s="117">
        <v>1270458.0</v>
      </c>
      <c r="F325" s="62">
        <v>0.0</v>
      </c>
      <c r="G325" s="62" t="s">
        <v>5712</v>
      </c>
      <c r="H325" s="62" t="s">
        <v>5705</v>
      </c>
      <c r="I325" s="62" t="s">
        <v>13</v>
      </c>
      <c r="J325" s="118" t="s">
        <v>5708</v>
      </c>
      <c r="K325" s="130" t="s">
        <v>153</v>
      </c>
      <c r="L325" s="130">
        <v>480.76</v>
      </c>
      <c r="M325" s="132">
        <v>138.0</v>
      </c>
      <c r="N325" s="1">
        <v>3.483768116</v>
      </c>
      <c r="O325" s="1">
        <v>3.483768116</v>
      </c>
    </row>
    <row r="326" ht="15.75" hidden="1" customHeight="1">
      <c r="A326" s="127">
        <v>45665.0</v>
      </c>
      <c r="B326" s="138">
        <v>45969.0</v>
      </c>
      <c r="C326" s="128">
        <v>45969.0</v>
      </c>
      <c r="D326" s="123" t="s">
        <v>4</v>
      </c>
      <c r="E326" s="123">
        <v>1270458.0</v>
      </c>
      <c r="F326" s="124">
        <v>0.0</v>
      </c>
      <c r="G326" s="124" t="s">
        <v>5712</v>
      </c>
      <c r="H326" s="124" t="s">
        <v>5705</v>
      </c>
      <c r="I326" s="124" t="s">
        <v>13</v>
      </c>
      <c r="J326" s="124" t="s">
        <v>5708</v>
      </c>
      <c r="K326" s="125" t="s">
        <v>147</v>
      </c>
      <c r="L326" s="125">
        <v>100.0</v>
      </c>
      <c r="M326" s="126">
        <v>2.0</v>
      </c>
      <c r="N326" s="1">
        <v>50.0</v>
      </c>
      <c r="O326" s="1">
        <v>50.0</v>
      </c>
    </row>
    <row r="327" ht="15.75" hidden="1" customHeight="1">
      <c r="A327" s="129">
        <v>45665.0</v>
      </c>
      <c r="B327" s="137">
        <v>45969.0</v>
      </c>
      <c r="C327" s="131">
        <v>45969.0</v>
      </c>
      <c r="D327" s="117" t="s">
        <v>4</v>
      </c>
      <c r="E327" s="117">
        <v>1270458.0</v>
      </c>
      <c r="F327" s="62">
        <v>0.0</v>
      </c>
      <c r="G327" s="62" t="s">
        <v>5712</v>
      </c>
      <c r="H327" s="62" t="s">
        <v>5705</v>
      </c>
      <c r="I327" s="62" t="s">
        <v>13</v>
      </c>
      <c r="J327" s="118" t="s">
        <v>5708</v>
      </c>
      <c r="K327" s="130" t="s">
        <v>158</v>
      </c>
      <c r="L327" s="130">
        <v>5600.0</v>
      </c>
      <c r="M327" s="132">
        <v>84.0</v>
      </c>
      <c r="N327" s="1">
        <v>66.66666667</v>
      </c>
      <c r="O327" s="1">
        <v>66.66666667</v>
      </c>
    </row>
    <row r="328" ht="15.75" hidden="1" customHeight="1">
      <c r="A328" s="127">
        <v>45665.0</v>
      </c>
      <c r="B328" s="138">
        <v>45969.0</v>
      </c>
      <c r="C328" s="128">
        <v>45969.0</v>
      </c>
      <c r="D328" s="123" t="s">
        <v>4</v>
      </c>
      <c r="E328" s="123">
        <v>1270458.0</v>
      </c>
      <c r="F328" s="124">
        <v>0.0</v>
      </c>
      <c r="G328" s="124" t="s">
        <v>5712</v>
      </c>
      <c r="H328" s="124" t="s">
        <v>5705</v>
      </c>
      <c r="I328" s="124" t="s">
        <v>13</v>
      </c>
      <c r="J328" s="124" t="s">
        <v>5708</v>
      </c>
      <c r="K328" s="125" t="s">
        <v>158</v>
      </c>
      <c r="L328" s="125">
        <v>2600.0</v>
      </c>
      <c r="M328" s="126">
        <v>26.0</v>
      </c>
      <c r="N328" s="1">
        <v>100.0</v>
      </c>
      <c r="O328" s="1">
        <v>100.0</v>
      </c>
    </row>
    <row r="329" ht="15.75" hidden="1" customHeight="1">
      <c r="A329" s="129">
        <v>45665.0</v>
      </c>
      <c r="B329" s="137">
        <v>45969.0</v>
      </c>
      <c r="C329" s="131">
        <v>45969.0</v>
      </c>
      <c r="D329" s="117" t="s">
        <v>4</v>
      </c>
      <c r="E329" s="117">
        <v>1270458.0</v>
      </c>
      <c r="F329" s="62">
        <v>0.0</v>
      </c>
      <c r="G329" s="62" t="s">
        <v>5712</v>
      </c>
      <c r="H329" s="62" t="s">
        <v>5705</v>
      </c>
      <c r="I329" s="62" t="s">
        <v>13</v>
      </c>
      <c r="J329" s="118" t="s">
        <v>5708</v>
      </c>
      <c r="K329" s="130" t="s">
        <v>154</v>
      </c>
      <c r="L329" s="130">
        <v>14900.0</v>
      </c>
      <c r="M329" s="132">
        <v>256.0</v>
      </c>
      <c r="N329" s="1">
        <v>58.203125</v>
      </c>
      <c r="O329" s="1">
        <v>58.203125</v>
      </c>
    </row>
    <row r="330" ht="15.75" hidden="1" customHeight="1">
      <c r="A330" s="127">
        <v>45665.0</v>
      </c>
      <c r="B330" s="138">
        <v>45755.0</v>
      </c>
      <c r="C330" s="128">
        <v>45938.0</v>
      </c>
      <c r="D330" s="123" t="s">
        <v>4</v>
      </c>
      <c r="E330" s="123">
        <v>1270458.0</v>
      </c>
      <c r="F330" s="124">
        <v>0.0</v>
      </c>
      <c r="G330" s="124" t="s">
        <v>5712</v>
      </c>
      <c r="H330" s="124" t="s">
        <v>5705</v>
      </c>
      <c r="I330" s="124" t="s">
        <v>13</v>
      </c>
      <c r="J330" s="124" t="s">
        <v>5708</v>
      </c>
      <c r="K330" s="125" t="s">
        <v>147</v>
      </c>
      <c r="L330" s="125">
        <v>0.0</v>
      </c>
      <c r="M330" s="126">
        <v>2.0</v>
      </c>
      <c r="N330" s="1">
        <v>0.0</v>
      </c>
      <c r="O330" s="1">
        <v>0.0</v>
      </c>
    </row>
    <row r="331" ht="15.75" customHeight="1">
      <c r="A331" s="129">
        <v>45665.0</v>
      </c>
      <c r="B331" s="137">
        <v>45755.0</v>
      </c>
      <c r="C331" s="131">
        <v>45938.0</v>
      </c>
      <c r="D331" s="117" t="s">
        <v>4</v>
      </c>
      <c r="E331" s="117">
        <v>1270458.0</v>
      </c>
      <c r="F331" s="62">
        <v>0.0</v>
      </c>
      <c r="G331" s="62" t="s">
        <v>5712</v>
      </c>
      <c r="H331" s="62" t="s">
        <v>5705</v>
      </c>
      <c r="I331" s="62" t="s">
        <v>13</v>
      </c>
      <c r="J331" s="118" t="s">
        <v>5708</v>
      </c>
      <c r="K331" s="130" t="s">
        <v>139</v>
      </c>
      <c r="L331" s="130">
        <v>0.0</v>
      </c>
      <c r="M331" s="132">
        <v>0.020833333</v>
      </c>
      <c r="N331" s="1">
        <v>0.0</v>
      </c>
      <c r="O331" s="1">
        <v>0.0</v>
      </c>
    </row>
    <row r="332" ht="15.75" hidden="1" customHeight="1">
      <c r="A332" s="127">
        <v>45665.0</v>
      </c>
      <c r="B332" s="138">
        <v>45755.0</v>
      </c>
      <c r="C332" s="128">
        <v>45938.0</v>
      </c>
      <c r="D332" s="123" t="s">
        <v>4</v>
      </c>
      <c r="E332" s="123">
        <v>1270458.0</v>
      </c>
      <c r="F332" s="124">
        <v>0.0</v>
      </c>
      <c r="G332" s="124" t="s">
        <v>5712</v>
      </c>
      <c r="H332" s="124" t="s">
        <v>5705</v>
      </c>
      <c r="I332" s="124" t="s">
        <v>13</v>
      </c>
      <c r="J332" s="124" t="s">
        <v>5708</v>
      </c>
      <c r="K332" s="125" t="s">
        <v>147</v>
      </c>
      <c r="L332" s="125">
        <v>0.0</v>
      </c>
      <c r="M332" s="126">
        <v>2.0</v>
      </c>
      <c r="N332" s="1">
        <v>0.0</v>
      </c>
      <c r="O332" s="1">
        <v>0.0</v>
      </c>
    </row>
    <row r="333" ht="15.75" hidden="1" customHeight="1">
      <c r="A333" s="129">
        <v>45665.0</v>
      </c>
      <c r="B333" s="137">
        <v>45755.0</v>
      </c>
      <c r="C333" s="131">
        <v>45938.0</v>
      </c>
      <c r="D333" s="117" t="s">
        <v>4</v>
      </c>
      <c r="E333" s="117">
        <v>1270458.0</v>
      </c>
      <c r="F333" s="62">
        <v>0.0</v>
      </c>
      <c r="G333" s="62" t="s">
        <v>5712</v>
      </c>
      <c r="H333" s="62" t="s">
        <v>5705</v>
      </c>
      <c r="I333" s="62" t="s">
        <v>13</v>
      </c>
      <c r="J333" s="118" t="s">
        <v>5708</v>
      </c>
      <c r="K333" s="130" t="s">
        <v>153</v>
      </c>
      <c r="L333" s="130">
        <v>2.15</v>
      </c>
      <c r="M333" s="132">
        <v>1.0</v>
      </c>
      <c r="N333" s="1">
        <v>2.15</v>
      </c>
      <c r="O333" s="1">
        <v>2.15</v>
      </c>
    </row>
    <row r="334" ht="15.75" hidden="1" customHeight="1">
      <c r="A334" s="127">
        <v>45665.0</v>
      </c>
      <c r="B334" s="138">
        <v>45755.0</v>
      </c>
      <c r="C334" s="128">
        <v>45938.0</v>
      </c>
      <c r="D334" s="123" t="s">
        <v>4</v>
      </c>
      <c r="E334" s="123">
        <v>1270458.0</v>
      </c>
      <c r="F334" s="124">
        <v>0.0</v>
      </c>
      <c r="G334" s="124" t="s">
        <v>5712</v>
      </c>
      <c r="H334" s="124" t="s">
        <v>5705</v>
      </c>
      <c r="I334" s="124" t="s">
        <v>13</v>
      </c>
      <c r="J334" s="124" t="s">
        <v>5708</v>
      </c>
      <c r="K334" s="125" t="s">
        <v>163</v>
      </c>
      <c r="L334" s="125">
        <v>61.0</v>
      </c>
      <c r="M334" s="126"/>
      <c r="N334" s="1">
        <v>61.0</v>
      </c>
      <c r="O334" s="1" t="s">
        <v>5713</v>
      </c>
    </row>
    <row r="335" ht="15.75" customHeight="1">
      <c r="A335" s="129">
        <v>45665.0</v>
      </c>
      <c r="B335" s="137">
        <v>45755.0</v>
      </c>
      <c r="C335" s="131">
        <v>45938.0</v>
      </c>
      <c r="D335" s="117" t="s">
        <v>4</v>
      </c>
      <c r="E335" s="117">
        <v>1270458.0</v>
      </c>
      <c r="F335" s="62">
        <v>0.0</v>
      </c>
      <c r="G335" s="62" t="s">
        <v>5712</v>
      </c>
      <c r="H335" s="62" t="s">
        <v>5705</v>
      </c>
      <c r="I335" s="62" t="s">
        <v>13</v>
      </c>
      <c r="J335" s="118" t="s">
        <v>5708</v>
      </c>
      <c r="K335" s="130" t="s">
        <v>139</v>
      </c>
      <c r="L335" s="130">
        <v>0.0</v>
      </c>
      <c r="M335" s="132">
        <v>0.0045</v>
      </c>
      <c r="N335" s="1">
        <v>0.0</v>
      </c>
      <c r="O335" s="1">
        <v>0.0</v>
      </c>
    </row>
    <row r="336" ht="15.75" hidden="1" customHeight="1">
      <c r="A336" s="127">
        <v>45665.0</v>
      </c>
      <c r="B336" s="138">
        <v>45755.0</v>
      </c>
      <c r="C336" s="128">
        <v>45938.0</v>
      </c>
      <c r="D336" s="123" t="s">
        <v>4</v>
      </c>
      <c r="E336" s="123">
        <v>1270458.0</v>
      </c>
      <c r="F336" s="124">
        <v>0.0</v>
      </c>
      <c r="G336" s="124" t="s">
        <v>5712</v>
      </c>
      <c r="H336" s="124" t="s">
        <v>5705</v>
      </c>
      <c r="I336" s="124" t="s">
        <v>13</v>
      </c>
      <c r="J336" s="124" t="s">
        <v>5708</v>
      </c>
      <c r="K336" s="125" t="s">
        <v>153</v>
      </c>
      <c r="L336" s="125">
        <v>0.13</v>
      </c>
      <c r="M336" s="126">
        <v>0.0</v>
      </c>
      <c r="N336" s="1"/>
      <c r="O336" s="1" t="s">
        <v>5713</v>
      </c>
    </row>
    <row r="337" ht="15.75" hidden="1" customHeight="1">
      <c r="A337" s="129">
        <v>45665.0</v>
      </c>
      <c r="B337" s="137">
        <v>45969.0</v>
      </c>
      <c r="C337" s="131">
        <v>45969.0</v>
      </c>
      <c r="D337" s="117" t="s">
        <v>4</v>
      </c>
      <c r="E337" s="117">
        <v>1270458.0</v>
      </c>
      <c r="F337" s="62">
        <v>0.0</v>
      </c>
      <c r="G337" s="62" t="s">
        <v>5712</v>
      </c>
      <c r="H337" s="62" t="s">
        <v>5705</v>
      </c>
      <c r="I337" s="62" t="s">
        <v>13</v>
      </c>
      <c r="J337" s="118" t="s">
        <v>5708</v>
      </c>
      <c r="K337" s="130" t="s">
        <v>158</v>
      </c>
      <c r="L337" s="130">
        <v>37500.0</v>
      </c>
      <c r="M337" s="132">
        <v>863.0</v>
      </c>
      <c r="N337" s="1">
        <v>43.45307068</v>
      </c>
      <c r="O337" s="1">
        <v>43.45307068</v>
      </c>
    </row>
    <row r="338" ht="15.75" customHeight="1">
      <c r="A338" s="127">
        <v>45665.0</v>
      </c>
      <c r="B338" s="138">
        <v>45969.0</v>
      </c>
      <c r="C338" s="128">
        <v>45969.0</v>
      </c>
      <c r="D338" s="123" t="s">
        <v>4</v>
      </c>
      <c r="E338" s="123">
        <v>1270458.0</v>
      </c>
      <c r="F338" s="124">
        <v>0.0</v>
      </c>
      <c r="G338" s="124" t="s">
        <v>5712</v>
      </c>
      <c r="H338" s="124" t="s">
        <v>5705</v>
      </c>
      <c r="I338" s="124" t="s">
        <v>13</v>
      </c>
      <c r="J338" s="124" t="s">
        <v>5708</v>
      </c>
      <c r="K338" s="125" t="s">
        <v>139</v>
      </c>
      <c r="L338" s="125">
        <v>138.0</v>
      </c>
      <c r="M338" s="126">
        <v>8.012666667</v>
      </c>
      <c r="N338" s="1">
        <v>17.22273068</v>
      </c>
      <c r="O338" s="1">
        <v>17.22273068</v>
      </c>
    </row>
    <row r="339" ht="15.75" customHeight="1">
      <c r="A339" s="129">
        <v>45665.0</v>
      </c>
      <c r="B339" s="137">
        <v>45969.0</v>
      </c>
      <c r="C339" s="131">
        <v>45969.0</v>
      </c>
      <c r="D339" s="117" t="s">
        <v>4</v>
      </c>
      <c r="E339" s="117">
        <v>1270458.0</v>
      </c>
      <c r="F339" s="62">
        <v>0.0</v>
      </c>
      <c r="G339" s="62" t="s">
        <v>5712</v>
      </c>
      <c r="H339" s="62" t="s">
        <v>5705</v>
      </c>
      <c r="I339" s="62" t="s">
        <v>13</v>
      </c>
      <c r="J339" s="118" t="s">
        <v>5708</v>
      </c>
      <c r="K339" s="130" t="s">
        <v>139</v>
      </c>
      <c r="L339" s="130">
        <v>0.0</v>
      </c>
      <c r="M339" s="132">
        <v>3.33333E-4</v>
      </c>
      <c r="N339" s="1">
        <v>0.0</v>
      </c>
      <c r="O339" s="1">
        <v>0.0</v>
      </c>
    </row>
    <row r="340" ht="15.75" hidden="1" customHeight="1">
      <c r="A340" s="127">
        <v>45665.0</v>
      </c>
      <c r="B340" s="138">
        <v>45969.0</v>
      </c>
      <c r="C340" s="128">
        <v>45969.0</v>
      </c>
      <c r="D340" s="123" t="s">
        <v>4</v>
      </c>
      <c r="E340" s="123">
        <v>1270458.0</v>
      </c>
      <c r="F340" s="124">
        <v>0.0</v>
      </c>
      <c r="G340" s="124" t="s">
        <v>5712</v>
      </c>
      <c r="H340" s="124" t="s">
        <v>5705</v>
      </c>
      <c r="I340" s="124" t="s">
        <v>13</v>
      </c>
      <c r="J340" s="124" t="s">
        <v>5708</v>
      </c>
      <c r="K340" s="125" t="s">
        <v>147</v>
      </c>
      <c r="L340" s="125">
        <v>0.0</v>
      </c>
      <c r="M340" s="126">
        <v>1.0</v>
      </c>
      <c r="N340" s="1">
        <v>0.0</v>
      </c>
      <c r="O340" s="1">
        <v>0.0</v>
      </c>
    </row>
    <row r="341" ht="15.75" hidden="1" customHeight="1">
      <c r="A341" s="129">
        <v>45665.0</v>
      </c>
      <c r="B341" s="137">
        <v>45969.0</v>
      </c>
      <c r="C341" s="131">
        <v>45969.0</v>
      </c>
      <c r="D341" s="117" t="s">
        <v>4</v>
      </c>
      <c r="E341" s="117">
        <v>1270458.0</v>
      </c>
      <c r="F341" s="62">
        <v>0.0</v>
      </c>
      <c r="G341" s="62" t="s">
        <v>5712</v>
      </c>
      <c r="H341" s="62" t="s">
        <v>5705</v>
      </c>
      <c r="I341" s="62" t="s">
        <v>13</v>
      </c>
      <c r="J341" s="118" t="s">
        <v>5708</v>
      </c>
      <c r="K341" s="130" t="s">
        <v>158</v>
      </c>
      <c r="L341" s="130">
        <v>2500.0</v>
      </c>
      <c r="M341" s="132">
        <v>49.0</v>
      </c>
      <c r="N341" s="1">
        <v>51.02040816</v>
      </c>
      <c r="O341" s="1">
        <v>51.02040816</v>
      </c>
    </row>
    <row r="342" ht="15.75" hidden="1" customHeight="1">
      <c r="A342" s="127">
        <v>45665.0</v>
      </c>
      <c r="B342" s="138">
        <v>45969.0</v>
      </c>
      <c r="C342" s="128">
        <v>45969.0</v>
      </c>
      <c r="D342" s="123" t="s">
        <v>4</v>
      </c>
      <c r="E342" s="123">
        <v>1270458.0</v>
      </c>
      <c r="F342" s="124">
        <v>0.0</v>
      </c>
      <c r="G342" s="124" t="s">
        <v>5712</v>
      </c>
      <c r="H342" s="124" t="s">
        <v>5705</v>
      </c>
      <c r="I342" s="124" t="s">
        <v>13</v>
      </c>
      <c r="J342" s="124" t="s">
        <v>5708</v>
      </c>
      <c r="K342" s="125" t="s">
        <v>147</v>
      </c>
      <c r="L342" s="125">
        <v>0.0</v>
      </c>
      <c r="M342" s="126">
        <v>1.0</v>
      </c>
      <c r="N342" s="1">
        <v>0.0</v>
      </c>
      <c r="O342" s="1">
        <v>0.0</v>
      </c>
    </row>
    <row r="343" ht="15.75" hidden="1" customHeight="1">
      <c r="A343" s="129">
        <v>45665.0</v>
      </c>
      <c r="B343" s="137">
        <v>45969.0</v>
      </c>
      <c r="C343" s="131">
        <v>45969.0</v>
      </c>
      <c r="D343" s="117" t="s">
        <v>4</v>
      </c>
      <c r="E343" s="117">
        <v>1270458.0</v>
      </c>
      <c r="F343" s="62">
        <v>0.0</v>
      </c>
      <c r="G343" s="62" t="s">
        <v>5712</v>
      </c>
      <c r="H343" s="62" t="s">
        <v>5705</v>
      </c>
      <c r="I343" s="62" t="s">
        <v>13</v>
      </c>
      <c r="J343" s="118" t="s">
        <v>5708</v>
      </c>
      <c r="K343" s="130" t="s">
        <v>153</v>
      </c>
      <c r="L343" s="130">
        <v>2.34</v>
      </c>
      <c r="M343" s="132">
        <v>0.0</v>
      </c>
      <c r="N343" s="1"/>
      <c r="O343" s="1" t="s">
        <v>5713</v>
      </c>
    </row>
    <row r="344" ht="15.75" hidden="1" customHeight="1">
      <c r="A344" s="127">
        <v>45665.0</v>
      </c>
      <c r="B344" s="138">
        <v>45969.0</v>
      </c>
      <c r="C344" s="128">
        <v>45969.0</v>
      </c>
      <c r="D344" s="123" t="s">
        <v>4</v>
      </c>
      <c r="E344" s="123">
        <v>1270458.0</v>
      </c>
      <c r="F344" s="124">
        <v>0.0</v>
      </c>
      <c r="G344" s="124" t="s">
        <v>5712</v>
      </c>
      <c r="H344" s="124" t="s">
        <v>5705</v>
      </c>
      <c r="I344" s="124" t="s">
        <v>13</v>
      </c>
      <c r="J344" s="124" t="s">
        <v>5708</v>
      </c>
      <c r="K344" s="125" t="s">
        <v>160</v>
      </c>
      <c r="L344" s="125">
        <v>0.0</v>
      </c>
      <c r="M344" s="126">
        <v>2.0</v>
      </c>
      <c r="N344" s="1">
        <v>0.0</v>
      </c>
      <c r="O344" s="1">
        <v>0.0</v>
      </c>
    </row>
    <row r="345" ht="15.75" hidden="1" customHeight="1">
      <c r="A345" s="129">
        <v>45665.0</v>
      </c>
      <c r="B345" s="137">
        <v>45969.0</v>
      </c>
      <c r="C345" s="131">
        <v>45969.0</v>
      </c>
      <c r="D345" s="117" t="s">
        <v>4</v>
      </c>
      <c r="E345" s="117">
        <v>1270458.0</v>
      </c>
      <c r="F345" s="62">
        <v>0.0</v>
      </c>
      <c r="G345" s="62" t="s">
        <v>5712</v>
      </c>
      <c r="H345" s="62" t="s">
        <v>5705</v>
      </c>
      <c r="I345" s="118" t="s">
        <v>5708</v>
      </c>
      <c r="J345" s="118" t="s">
        <v>5708</v>
      </c>
      <c r="K345" s="130" t="s">
        <v>7</v>
      </c>
      <c r="L345" s="130">
        <v>300.0</v>
      </c>
      <c r="M345" s="132">
        <v>24.0</v>
      </c>
      <c r="N345" s="1">
        <v>12.5</v>
      </c>
      <c r="O345" s="1">
        <v>12.5</v>
      </c>
    </row>
    <row r="346" ht="15.75" hidden="1" customHeight="1">
      <c r="A346" s="129">
        <v>45665.0</v>
      </c>
      <c r="B346" s="137">
        <v>45969.0</v>
      </c>
      <c r="C346" s="131">
        <v>45969.0</v>
      </c>
      <c r="D346" s="123" t="s">
        <v>4</v>
      </c>
      <c r="E346" s="123">
        <v>1270458.0</v>
      </c>
      <c r="F346" s="62">
        <v>0.0</v>
      </c>
      <c r="G346" s="62" t="s">
        <v>5712</v>
      </c>
      <c r="H346" s="62" t="s">
        <v>5705</v>
      </c>
      <c r="I346" s="62" t="s">
        <v>13</v>
      </c>
      <c r="J346" s="124" t="s">
        <v>5708</v>
      </c>
      <c r="K346" s="130" t="s">
        <v>142</v>
      </c>
      <c r="L346" s="130">
        <v>138.0</v>
      </c>
      <c r="M346" s="132"/>
      <c r="N346" s="1">
        <v>138.0</v>
      </c>
      <c r="O346" s="1" t="s">
        <v>5713</v>
      </c>
    </row>
    <row r="347" ht="15.75" customHeight="1">
      <c r="A347" s="129">
        <v>45665.0</v>
      </c>
      <c r="B347" s="137">
        <v>45969.0</v>
      </c>
      <c r="C347" s="131">
        <v>45969.0</v>
      </c>
      <c r="D347" s="117" t="s">
        <v>4</v>
      </c>
      <c r="E347" s="117">
        <v>1270458.0</v>
      </c>
      <c r="F347" s="62">
        <v>0.0</v>
      </c>
      <c r="G347" s="62" t="s">
        <v>5712</v>
      </c>
      <c r="H347" s="62" t="s">
        <v>5705</v>
      </c>
      <c r="I347" s="62" t="s">
        <v>13</v>
      </c>
      <c r="J347" s="118" t="s">
        <v>5708</v>
      </c>
      <c r="K347" s="130" t="s">
        <v>139</v>
      </c>
      <c r="L347" s="130">
        <v>0.0</v>
      </c>
      <c r="M347" s="132">
        <v>0.02</v>
      </c>
      <c r="N347" s="1">
        <v>0.0</v>
      </c>
      <c r="O347" s="1">
        <v>0.0</v>
      </c>
    </row>
    <row r="348" ht="15.75" hidden="1" customHeight="1">
      <c r="A348" s="127">
        <v>45665.0</v>
      </c>
      <c r="B348" s="138">
        <v>45969.0</v>
      </c>
      <c r="C348" s="128">
        <v>45969.0</v>
      </c>
      <c r="D348" s="123" t="s">
        <v>4</v>
      </c>
      <c r="E348" s="123">
        <v>1270458.0</v>
      </c>
      <c r="F348" s="124">
        <v>0.0</v>
      </c>
      <c r="G348" s="124" t="s">
        <v>5712</v>
      </c>
      <c r="H348" s="124" t="s">
        <v>5705</v>
      </c>
      <c r="I348" s="124" t="s">
        <v>13</v>
      </c>
      <c r="J348" s="124" t="s">
        <v>5708</v>
      </c>
      <c r="K348" s="125" t="s">
        <v>160</v>
      </c>
      <c r="L348" s="125">
        <v>0.0</v>
      </c>
      <c r="M348" s="126">
        <v>1.0</v>
      </c>
      <c r="N348" s="1">
        <v>0.0</v>
      </c>
      <c r="O348" s="1">
        <v>0.0</v>
      </c>
    </row>
    <row r="349" ht="15.75" hidden="1" customHeight="1">
      <c r="A349" s="129">
        <v>45665.0</v>
      </c>
      <c r="B349" s="137">
        <v>45969.0</v>
      </c>
      <c r="C349" s="131">
        <v>45969.0</v>
      </c>
      <c r="D349" s="117" t="s">
        <v>4</v>
      </c>
      <c r="E349" s="117">
        <v>1270458.0</v>
      </c>
      <c r="F349" s="62">
        <v>0.0</v>
      </c>
      <c r="G349" s="62" t="s">
        <v>5712</v>
      </c>
      <c r="H349" s="62" t="s">
        <v>5705</v>
      </c>
      <c r="I349" s="62" t="s">
        <v>13</v>
      </c>
      <c r="J349" s="118" t="s">
        <v>5708</v>
      </c>
      <c r="K349" s="130" t="s">
        <v>160</v>
      </c>
      <c r="L349" s="130">
        <v>0.0</v>
      </c>
      <c r="M349" s="132">
        <v>1.0</v>
      </c>
      <c r="N349" s="1">
        <v>0.0</v>
      </c>
      <c r="O349" s="1">
        <v>0.0</v>
      </c>
    </row>
    <row r="350" ht="15.75" hidden="1" customHeight="1">
      <c r="A350" s="127">
        <v>45665.0</v>
      </c>
      <c r="B350" s="138">
        <v>45969.0</v>
      </c>
      <c r="C350" s="128">
        <v>45969.0</v>
      </c>
      <c r="D350" s="123" t="s">
        <v>4</v>
      </c>
      <c r="E350" s="123">
        <v>1270458.0</v>
      </c>
      <c r="F350" s="124">
        <v>0.0</v>
      </c>
      <c r="G350" s="124" t="s">
        <v>5712</v>
      </c>
      <c r="H350" s="124" t="s">
        <v>5705</v>
      </c>
      <c r="I350" s="124" t="s">
        <v>13</v>
      </c>
      <c r="J350" s="124" t="s">
        <v>5708</v>
      </c>
      <c r="K350" s="125" t="s">
        <v>163</v>
      </c>
      <c r="L350" s="125">
        <v>1.0</v>
      </c>
      <c r="M350" s="126"/>
      <c r="N350" s="1">
        <v>1.0</v>
      </c>
      <c r="O350" s="1" t="s">
        <v>5713</v>
      </c>
    </row>
    <row r="351" ht="15.75" hidden="1" customHeight="1">
      <c r="A351" s="129">
        <v>45665.0</v>
      </c>
      <c r="B351" s="137">
        <v>45969.0</v>
      </c>
      <c r="C351" s="131">
        <v>45969.0</v>
      </c>
      <c r="D351" s="117" t="s">
        <v>4</v>
      </c>
      <c r="E351" s="117">
        <v>1270458.0</v>
      </c>
      <c r="F351" s="62">
        <v>0.0</v>
      </c>
      <c r="G351" s="62" t="s">
        <v>5712</v>
      </c>
      <c r="H351" s="62" t="s">
        <v>5705</v>
      </c>
      <c r="I351" s="62" t="s">
        <v>13</v>
      </c>
      <c r="J351" s="118" t="s">
        <v>5708</v>
      </c>
      <c r="K351" s="130" t="s">
        <v>11</v>
      </c>
      <c r="L351" s="130">
        <v>0.0</v>
      </c>
      <c r="M351" s="132">
        <v>9.0</v>
      </c>
      <c r="N351" s="1">
        <v>0.0</v>
      </c>
      <c r="O351" s="1">
        <v>0.0</v>
      </c>
    </row>
    <row r="352" ht="15.75" hidden="1" customHeight="1">
      <c r="A352" s="127">
        <v>45665.0</v>
      </c>
      <c r="B352" s="138">
        <v>45969.0</v>
      </c>
      <c r="C352" s="128">
        <v>45969.0</v>
      </c>
      <c r="D352" s="123" t="s">
        <v>4</v>
      </c>
      <c r="E352" s="123">
        <v>1270458.0</v>
      </c>
      <c r="F352" s="124">
        <v>0.0</v>
      </c>
      <c r="G352" s="124" t="s">
        <v>5712</v>
      </c>
      <c r="H352" s="124" t="s">
        <v>5705</v>
      </c>
      <c r="I352" s="124" t="s">
        <v>13</v>
      </c>
      <c r="J352" s="124" t="s">
        <v>5708</v>
      </c>
      <c r="K352" s="125" t="s">
        <v>147</v>
      </c>
      <c r="L352" s="125">
        <v>0.0</v>
      </c>
      <c r="M352" s="126">
        <v>3.0</v>
      </c>
      <c r="N352" s="1">
        <v>0.0</v>
      </c>
      <c r="O352" s="1">
        <v>0.0</v>
      </c>
    </row>
    <row r="353" ht="15.75" hidden="1" customHeight="1">
      <c r="A353" s="129">
        <v>45665.0</v>
      </c>
      <c r="B353" s="137">
        <v>45969.0</v>
      </c>
      <c r="C353" s="131">
        <v>45969.0</v>
      </c>
      <c r="D353" s="117" t="s">
        <v>4</v>
      </c>
      <c r="E353" s="117">
        <v>1270458.0</v>
      </c>
      <c r="F353" s="62">
        <v>0.0</v>
      </c>
      <c r="G353" s="62" t="s">
        <v>5712</v>
      </c>
      <c r="H353" s="62" t="s">
        <v>5705</v>
      </c>
      <c r="I353" s="62" t="s">
        <v>13</v>
      </c>
      <c r="J353" s="118" t="s">
        <v>5708</v>
      </c>
      <c r="K353" s="130" t="s">
        <v>163</v>
      </c>
      <c r="L353" s="130">
        <v>3.0</v>
      </c>
      <c r="M353" s="132"/>
      <c r="N353" s="1">
        <v>3.0</v>
      </c>
      <c r="O353" s="1" t="s">
        <v>5713</v>
      </c>
    </row>
    <row r="354" ht="15.75" hidden="1" customHeight="1">
      <c r="A354" s="127">
        <v>45665.0</v>
      </c>
      <c r="B354" s="138">
        <v>45969.0</v>
      </c>
      <c r="C354" s="128">
        <v>45969.0</v>
      </c>
      <c r="D354" s="123" t="s">
        <v>4</v>
      </c>
      <c r="E354" s="123">
        <v>1270458.0</v>
      </c>
      <c r="F354" s="124">
        <v>0.0</v>
      </c>
      <c r="G354" s="124" t="s">
        <v>5712</v>
      </c>
      <c r="H354" s="124" t="s">
        <v>5705</v>
      </c>
      <c r="I354" s="124" t="s">
        <v>13</v>
      </c>
      <c r="J354" s="124" t="s">
        <v>5708</v>
      </c>
      <c r="K354" s="125" t="s">
        <v>160</v>
      </c>
      <c r="L354" s="125">
        <v>0.0</v>
      </c>
      <c r="M354" s="134">
        <v>4.0</v>
      </c>
      <c r="N354" s="1">
        <v>0.0</v>
      </c>
      <c r="O354" s="1">
        <v>0.0</v>
      </c>
    </row>
    <row r="355" ht="15.75" hidden="1" customHeight="1">
      <c r="A355" s="129">
        <v>45665.0</v>
      </c>
      <c r="B355" s="137">
        <v>45969.0</v>
      </c>
      <c r="C355" s="131">
        <v>45969.0</v>
      </c>
      <c r="D355" s="117" t="s">
        <v>4</v>
      </c>
      <c r="E355" s="117">
        <v>1270458.0</v>
      </c>
      <c r="F355" s="62">
        <v>0.0</v>
      </c>
      <c r="G355" s="62" t="s">
        <v>5712</v>
      </c>
      <c r="H355" s="62" t="s">
        <v>5705</v>
      </c>
      <c r="I355" s="62" t="s">
        <v>13</v>
      </c>
      <c r="J355" s="118" t="s">
        <v>5708</v>
      </c>
      <c r="K355" s="130" t="s">
        <v>163</v>
      </c>
      <c r="L355" s="62">
        <v>1.0</v>
      </c>
      <c r="M355" s="132"/>
      <c r="N355" s="1">
        <v>1.0</v>
      </c>
      <c r="O355" s="1" t="s">
        <v>5713</v>
      </c>
    </row>
    <row r="356" ht="15.75" hidden="1" customHeight="1">
      <c r="A356" s="127">
        <v>45665.0</v>
      </c>
      <c r="B356" s="138">
        <v>45969.0</v>
      </c>
      <c r="C356" s="128">
        <v>45969.0</v>
      </c>
      <c r="D356" s="123" t="s">
        <v>4</v>
      </c>
      <c r="E356" s="123">
        <v>1270458.0</v>
      </c>
      <c r="F356" s="124">
        <v>0.0</v>
      </c>
      <c r="G356" s="124" t="s">
        <v>5712</v>
      </c>
      <c r="H356" s="124" t="s">
        <v>5705</v>
      </c>
      <c r="I356" s="124" t="s">
        <v>13</v>
      </c>
      <c r="J356" s="124" t="s">
        <v>5708</v>
      </c>
      <c r="K356" s="125" t="s">
        <v>153</v>
      </c>
      <c r="L356" s="125">
        <v>1.2</v>
      </c>
      <c r="M356" s="126">
        <v>0.0</v>
      </c>
      <c r="N356" s="1"/>
      <c r="O356" s="1" t="s">
        <v>5713</v>
      </c>
    </row>
    <row r="357" ht="15.75" hidden="1" customHeight="1">
      <c r="A357" s="129">
        <v>45665.0</v>
      </c>
      <c r="B357" s="137">
        <v>45969.0</v>
      </c>
      <c r="C357" s="131">
        <v>45969.0</v>
      </c>
      <c r="D357" s="117" t="s">
        <v>4</v>
      </c>
      <c r="E357" s="117">
        <v>1270458.0</v>
      </c>
      <c r="F357" s="62">
        <v>0.0</v>
      </c>
      <c r="G357" s="62" t="s">
        <v>5712</v>
      </c>
      <c r="H357" s="62" t="s">
        <v>5705</v>
      </c>
      <c r="I357" s="62" t="s">
        <v>13</v>
      </c>
      <c r="J357" s="118" t="s">
        <v>5708</v>
      </c>
      <c r="K357" s="130" t="s">
        <v>160</v>
      </c>
      <c r="L357" s="130">
        <v>0.0</v>
      </c>
      <c r="M357" s="132">
        <v>2.0</v>
      </c>
      <c r="N357" s="1">
        <v>0.0</v>
      </c>
      <c r="O357" s="1">
        <v>0.0</v>
      </c>
    </row>
    <row r="358" ht="15.75" hidden="1" customHeight="1">
      <c r="A358" s="127">
        <v>45665.0</v>
      </c>
      <c r="B358" s="138">
        <v>45969.0</v>
      </c>
      <c r="C358" s="128">
        <v>45969.0</v>
      </c>
      <c r="D358" s="123" t="s">
        <v>4</v>
      </c>
      <c r="E358" s="123">
        <v>1270458.0</v>
      </c>
      <c r="F358" s="124">
        <v>0.0</v>
      </c>
      <c r="G358" s="124" t="s">
        <v>5712</v>
      </c>
      <c r="H358" s="124" t="s">
        <v>5705</v>
      </c>
      <c r="I358" s="124" t="s">
        <v>13</v>
      </c>
      <c r="J358" s="124" t="s">
        <v>5708</v>
      </c>
      <c r="K358" s="125" t="s">
        <v>153</v>
      </c>
      <c r="L358" s="125">
        <v>11.07</v>
      </c>
      <c r="M358" s="126">
        <v>0.0</v>
      </c>
      <c r="N358" s="1"/>
      <c r="O358" s="1" t="s">
        <v>5713</v>
      </c>
    </row>
    <row r="359" ht="15.75" hidden="1" customHeight="1">
      <c r="A359" s="129">
        <v>45665.0</v>
      </c>
      <c r="B359" s="137">
        <v>45969.0</v>
      </c>
      <c r="C359" s="130" t="s">
        <v>5715</v>
      </c>
      <c r="D359" s="117" t="s">
        <v>4</v>
      </c>
      <c r="E359" s="117">
        <v>1270458.0</v>
      </c>
      <c r="F359" s="62">
        <v>0.0</v>
      </c>
      <c r="G359" s="62" t="s">
        <v>5712</v>
      </c>
      <c r="H359" s="62" t="s">
        <v>5705</v>
      </c>
      <c r="I359" s="62" t="s">
        <v>13</v>
      </c>
      <c r="J359" s="118" t="s">
        <v>5708</v>
      </c>
      <c r="K359" s="130" t="s">
        <v>160</v>
      </c>
      <c r="L359" s="130">
        <v>0.0</v>
      </c>
      <c r="M359" s="132">
        <v>1.0</v>
      </c>
      <c r="N359" s="1">
        <v>0.0</v>
      </c>
      <c r="O359" s="1">
        <v>0.0</v>
      </c>
    </row>
    <row r="360" ht="15.75" hidden="1" customHeight="1">
      <c r="A360" s="127">
        <v>45665.0</v>
      </c>
      <c r="B360" s="138">
        <v>45969.0</v>
      </c>
      <c r="C360" s="125" t="s">
        <v>5715</v>
      </c>
      <c r="D360" s="123" t="s">
        <v>4</v>
      </c>
      <c r="E360" s="123">
        <v>1270458.0</v>
      </c>
      <c r="F360" s="124">
        <v>0.0</v>
      </c>
      <c r="G360" s="124" t="s">
        <v>5712</v>
      </c>
      <c r="H360" s="124" t="s">
        <v>5705</v>
      </c>
      <c r="I360" s="124" t="s">
        <v>13</v>
      </c>
      <c r="J360" s="124" t="s">
        <v>5708</v>
      </c>
      <c r="K360" s="125" t="s">
        <v>147</v>
      </c>
      <c r="L360" s="125">
        <v>0.0</v>
      </c>
      <c r="M360" s="126">
        <v>1.0</v>
      </c>
      <c r="N360" s="1">
        <v>0.0</v>
      </c>
      <c r="O360" s="1">
        <v>0.0</v>
      </c>
    </row>
    <row r="361" ht="15.75" hidden="1" customHeight="1">
      <c r="A361" s="129">
        <v>45665.0</v>
      </c>
      <c r="B361" s="137">
        <v>45969.0</v>
      </c>
      <c r="C361" s="131">
        <v>45969.0</v>
      </c>
      <c r="D361" s="117" t="s">
        <v>4</v>
      </c>
      <c r="E361" s="117">
        <v>1270458.0</v>
      </c>
      <c r="F361" s="62">
        <v>0.0</v>
      </c>
      <c r="G361" s="62" t="s">
        <v>5712</v>
      </c>
      <c r="H361" s="62" t="s">
        <v>5705</v>
      </c>
      <c r="I361" s="62" t="s">
        <v>13</v>
      </c>
      <c r="J361" s="118" t="s">
        <v>5708</v>
      </c>
      <c r="K361" s="130" t="s">
        <v>158</v>
      </c>
      <c r="L361" s="130">
        <v>600.0</v>
      </c>
      <c r="M361" s="132">
        <v>6.0</v>
      </c>
      <c r="N361" s="1">
        <v>100.0</v>
      </c>
      <c r="O361" s="1">
        <v>100.0</v>
      </c>
    </row>
    <row r="362" ht="15.75" hidden="1" customHeight="1">
      <c r="A362" s="127">
        <v>45665.0</v>
      </c>
      <c r="B362" s="138">
        <v>45969.0</v>
      </c>
      <c r="C362" s="128">
        <v>45969.0</v>
      </c>
      <c r="D362" s="123" t="s">
        <v>4</v>
      </c>
      <c r="E362" s="123">
        <v>1270458.0</v>
      </c>
      <c r="F362" s="124">
        <v>0.0</v>
      </c>
      <c r="G362" s="124" t="s">
        <v>5712</v>
      </c>
      <c r="H362" s="124" t="s">
        <v>5705</v>
      </c>
      <c r="I362" s="124" t="s">
        <v>13</v>
      </c>
      <c r="J362" s="124" t="s">
        <v>5708</v>
      </c>
      <c r="K362" s="125" t="s">
        <v>155</v>
      </c>
      <c r="L362" s="125">
        <v>102.0</v>
      </c>
      <c r="M362" s="126">
        <v>24.0</v>
      </c>
      <c r="N362" s="1">
        <v>4.25</v>
      </c>
      <c r="O362" s="1">
        <v>4.25</v>
      </c>
    </row>
    <row r="363" ht="15.75" hidden="1" customHeight="1">
      <c r="A363" s="129">
        <v>45665.0</v>
      </c>
      <c r="B363" s="137">
        <v>45969.0</v>
      </c>
      <c r="C363" s="131">
        <v>45969.0</v>
      </c>
      <c r="D363" s="117" t="s">
        <v>4</v>
      </c>
      <c r="E363" s="117">
        <v>1270458.0</v>
      </c>
      <c r="F363" s="62">
        <v>0.0</v>
      </c>
      <c r="G363" s="62" t="s">
        <v>5712</v>
      </c>
      <c r="H363" s="62" t="s">
        <v>5705</v>
      </c>
      <c r="I363" s="62" t="s">
        <v>13</v>
      </c>
      <c r="J363" s="118" t="s">
        <v>5708</v>
      </c>
      <c r="K363" s="130" t="s">
        <v>163</v>
      </c>
      <c r="L363" s="130">
        <v>139.0</v>
      </c>
      <c r="M363" s="132"/>
      <c r="N363" s="1">
        <v>139.0</v>
      </c>
      <c r="O363" s="1" t="s">
        <v>5713</v>
      </c>
    </row>
    <row r="364" ht="15.75" hidden="1" customHeight="1">
      <c r="A364" s="127">
        <v>45665.0</v>
      </c>
      <c r="B364" s="138">
        <v>45969.0</v>
      </c>
      <c r="C364" s="128">
        <v>45969.0</v>
      </c>
      <c r="D364" s="123" t="s">
        <v>4</v>
      </c>
      <c r="E364" s="123">
        <v>1270458.0</v>
      </c>
      <c r="F364" s="124">
        <v>0.0</v>
      </c>
      <c r="G364" s="124" t="s">
        <v>5712</v>
      </c>
      <c r="H364" s="124" t="s">
        <v>5705</v>
      </c>
      <c r="I364" s="124" t="s">
        <v>13</v>
      </c>
      <c r="J364" s="124" t="s">
        <v>5708</v>
      </c>
      <c r="K364" s="125" t="s">
        <v>160</v>
      </c>
      <c r="L364" s="125">
        <v>0.0</v>
      </c>
      <c r="M364" s="126">
        <v>3.0</v>
      </c>
      <c r="N364" s="1">
        <v>0.0</v>
      </c>
      <c r="O364" s="1">
        <v>0.0</v>
      </c>
    </row>
    <row r="365" ht="15.75" hidden="1" customHeight="1">
      <c r="A365" s="129">
        <v>45665.0</v>
      </c>
      <c r="B365" s="137">
        <v>45969.0</v>
      </c>
      <c r="C365" s="131">
        <v>45969.0</v>
      </c>
      <c r="D365" s="117" t="s">
        <v>4</v>
      </c>
      <c r="E365" s="117">
        <v>1270458.0</v>
      </c>
      <c r="F365" s="62">
        <v>0.0</v>
      </c>
      <c r="G365" s="62" t="s">
        <v>5712</v>
      </c>
      <c r="H365" s="62" t="s">
        <v>5705</v>
      </c>
      <c r="I365" s="62" t="s">
        <v>13</v>
      </c>
      <c r="J365" s="118" t="s">
        <v>5708</v>
      </c>
      <c r="K365" s="130" t="s">
        <v>147</v>
      </c>
      <c r="L365" s="130">
        <v>0.0</v>
      </c>
      <c r="M365" s="132">
        <v>4.0</v>
      </c>
      <c r="N365" s="1">
        <v>0.0</v>
      </c>
      <c r="O365" s="1">
        <v>0.0</v>
      </c>
    </row>
    <row r="366" ht="15.75" hidden="1" customHeight="1">
      <c r="A366" s="127">
        <v>45665.0</v>
      </c>
      <c r="B366" s="138">
        <v>45969.0</v>
      </c>
      <c r="C366" s="128">
        <v>45969.0</v>
      </c>
      <c r="D366" s="123" t="s">
        <v>4</v>
      </c>
      <c r="E366" s="123">
        <v>1270458.0</v>
      </c>
      <c r="F366" s="124">
        <v>0.0</v>
      </c>
      <c r="G366" s="124" t="s">
        <v>5712</v>
      </c>
      <c r="H366" s="124" t="s">
        <v>5705</v>
      </c>
      <c r="I366" s="123" t="s">
        <v>13</v>
      </c>
      <c r="J366" s="124" t="s">
        <v>5708</v>
      </c>
      <c r="K366" s="125" t="s">
        <v>160</v>
      </c>
      <c r="L366" s="125">
        <v>0.0</v>
      </c>
      <c r="M366" s="126">
        <v>1.0</v>
      </c>
      <c r="N366" s="1">
        <v>0.0</v>
      </c>
      <c r="O366" s="1">
        <v>0.0</v>
      </c>
    </row>
    <row r="367" ht="15.75" customHeight="1">
      <c r="A367" s="129">
        <v>45665.0</v>
      </c>
      <c r="B367" s="137">
        <v>45969.0</v>
      </c>
      <c r="C367" s="131">
        <v>45969.0</v>
      </c>
      <c r="D367" s="117" t="s">
        <v>4</v>
      </c>
      <c r="E367" s="117">
        <v>1270458.0</v>
      </c>
      <c r="F367" s="62">
        <v>0.0</v>
      </c>
      <c r="G367" s="62" t="s">
        <v>5712</v>
      </c>
      <c r="H367" s="62" t="s">
        <v>5705</v>
      </c>
      <c r="I367" s="62" t="s">
        <v>13</v>
      </c>
      <c r="J367" s="118" t="s">
        <v>5708</v>
      </c>
      <c r="K367" s="130" t="s">
        <v>139</v>
      </c>
      <c r="L367" s="62">
        <v>0.0</v>
      </c>
      <c r="M367" s="132">
        <v>0.007</v>
      </c>
      <c r="N367" s="1">
        <v>0.0</v>
      </c>
      <c r="O367" s="1">
        <v>0.0</v>
      </c>
    </row>
    <row r="368" ht="15.75" hidden="1" customHeight="1">
      <c r="A368" s="127">
        <v>45665.0</v>
      </c>
      <c r="B368" s="138">
        <v>45969.0</v>
      </c>
      <c r="C368" s="128">
        <v>45969.0</v>
      </c>
      <c r="D368" s="123" t="s">
        <v>4</v>
      </c>
      <c r="E368" s="123">
        <v>1270458.0</v>
      </c>
      <c r="F368" s="124">
        <v>0.0</v>
      </c>
      <c r="G368" s="124" t="s">
        <v>5712</v>
      </c>
      <c r="H368" s="124" t="s">
        <v>5705</v>
      </c>
      <c r="I368" s="124" t="s">
        <v>13</v>
      </c>
      <c r="J368" s="124" t="s">
        <v>5708</v>
      </c>
      <c r="K368" s="125" t="s">
        <v>163</v>
      </c>
      <c r="L368" s="125">
        <v>1.0</v>
      </c>
      <c r="M368" s="126"/>
      <c r="N368" s="1">
        <v>1.0</v>
      </c>
      <c r="O368" s="1" t="s">
        <v>5713</v>
      </c>
    </row>
    <row r="369" ht="15.75" customHeight="1">
      <c r="A369" s="129">
        <v>45665.0</v>
      </c>
      <c r="B369" s="137">
        <v>45969.0</v>
      </c>
      <c r="C369" s="131">
        <v>45969.0</v>
      </c>
      <c r="D369" s="117" t="s">
        <v>4</v>
      </c>
      <c r="E369" s="117">
        <v>1270458.0</v>
      </c>
      <c r="F369" s="62">
        <v>0.0</v>
      </c>
      <c r="G369" s="62" t="s">
        <v>5712</v>
      </c>
      <c r="H369" s="62" t="s">
        <v>5705</v>
      </c>
      <c r="I369" s="62" t="s">
        <v>13</v>
      </c>
      <c r="J369" s="118" t="s">
        <v>5708</v>
      </c>
      <c r="K369" s="130" t="s">
        <v>139</v>
      </c>
      <c r="L369" s="130">
        <v>0.0</v>
      </c>
      <c r="M369" s="132">
        <v>0.1845</v>
      </c>
      <c r="N369" s="1">
        <v>0.0</v>
      </c>
      <c r="O369" s="1">
        <v>0.0</v>
      </c>
    </row>
    <row r="370" ht="15.75" hidden="1" customHeight="1">
      <c r="A370" s="127">
        <v>45665.0</v>
      </c>
      <c r="B370" s="138">
        <v>45969.0</v>
      </c>
      <c r="C370" s="128">
        <v>45969.0</v>
      </c>
      <c r="D370" s="123" t="s">
        <v>4</v>
      </c>
      <c r="E370" s="123">
        <v>1270458.0</v>
      </c>
      <c r="F370" s="124">
        <v>0.0</v>
      </c>
      <c r="G370" s="124" t="s">
        <v>5712</v>
      </c>
      <c r="H370" s="124" t="s">
        <v>5705</v>
      </c>
      <c r="I370" s="124" t="s">
        <v>13</v>
      </c>
      <c r="J370" s="124" t="s">
        <v>5708</v>
      </c>
      <c r="K370" s="125" t="s">
        <v>158</v>
      </c>
      <c r="L370" s="125">
        <v>4600.0</v>
      </c>
      <c r="M370" s="126">
        <v>106.0</v>
      </c>
      <c r="N370" s="1">
        <v>43.39622642</v>
      </c>
      <c r="O370" s="1">
        <v>43.39622642</v>
      </c>
    </row>
    <row r="371" ht="15.75" hidden="1" customHeight="1">
      <c r="A371" s="129">
        <v>45665.0</v>
      </c>
      <c r="B371" s="137">
        <v>45969.0</v>
      </c>
      <c r="C371" s="131">
        <v>45999.0</v>
      </c>
      <c r="D371" s="117" t="s">
        <v>4</v>
      </c>
      <c r="E371" s="117">
        <v>1270458.0</v>
      </c>
      <c r="F371" s="62">
        <v>0.0</v>
      </c>
      <c r="G371" s="62" t="s">
        <v>5712</v>
      </c>
      <c r="H371" s="62" t="s">
        <v>5705</v>
      </c>
      <c r="I371" s="62" t="s">
        <v>13</v>
      </c>
      <c r="J371" s="118" t="s">
        <v>5708</v>
      </c>
      <c r="K371" s="130" t="s">
        <v>11</v>
      </c>
      <c r="L371" s="130">
        <v>0.0</v>
      </c>
      <c r="M371" s="132">
        <v>9.0</v>
      </c>
      <c r="N371" s="1">
        <v>0.0</v>
      </c>
      <c r="O371" s="1">
        <v>0.0</v>
      </c>
    </row>
    <row r="372" ht="15.75" hidden="1" customHeight="1">
      <c r="A372" s="127">
        <v>45665.0</v>
      </c>
      <c r="B372" s="138">
        <v>45969.0</v>
      </c>
      <c r="C372" s="128">
        <v>45999.0</v>
      </c>
      <c r="D372" s="123" t="s">
        <v>4</v>
      </c>
      <c r="E372" s="123">
        <v>1270458.0</v>
      </c>
      <c r="F372" s="124">
        <v>0.0</v>
      </c>
      <c r="G372" s="124" t="s">
        <v>5712</v>
      </c>
      <c r="H372" s="124" t="s">
        <v>5705</v>
      </c>
      <c r="I372" s="124" t="s">
        <v>13</v>
      </c>
      <c r="J372" s="124" t="s">
        <v>5708</v>
      </c>
      <c r="K372" s="125" t="s">
        <v>153</v>
      </c>
      <c r="L372" s="125">
        <v>520.32</v>
      </c>
      <c r="M372" s="126">
        <v>131.0</v>
      </c>
      <c r="N372" s="1">
        <v>3.971908397</v>
      </c>
      <c r="O372" s="1">
        <v>3.971908397</v>
      </c>
    </row>
    <row r="373" ht="15.75" hidden="1" customHeight="1">
      <c r="A373" s="129">
        <v>45665.0</v>
      </c>
      <c r="B373" s="137">
        <v>45969.0</v>
      </c>
      <c r="C373" s="131">
        <v>45999.0</v>
      </c>
      <c r="D373" s="117" t="s">
        <v>4</v>
      </c>
      <c r="E373" s="117">
        <v>1270458.0</v>
      </c>
      <c r="F373" s="62">
        <v>0.0</v>
      </c>
      <c r="G373" s="62" t="s">
        <v>5712</v>
      </c>
      <c r="H373" s="62" t="s">
        <v>5705</v>
      </c>
      <c r="I373" s="62" t="s">
        <v>13</v>
      </c>
      <c r="J373" s="118" t="s">
        <v>5708</v>
      </c>
      <c r="K373" s="130" t="s">
        <v>160</v>
      </c>
      <c r="L373" s="62">
        <v>0.0</v>
      </c>
      <c r="M373" s="132">
        <v>1.0</v>
      </c>
      <c r="N373" s="1">
        <v>0.0</v>
      </c>
      <c r="O373" s="1">
        <v>0.0</v>
      </c>
    </row>
    <row r="374" ht="15.75" hidden="1" customHeight="1">
      <c r="A374" s="127">
        <v>45665.0</v>
      </c>
      <c r="B374" s="138">
        <v>45969.0</v>
      </c>
      <c r="C374" s="128">
        <v>45999.0</v>
      </c>
      <c r="D374" s="123" t="s">
        <v>4</v>
      </c>
      <c r="E374" s="123">
        <v>1270458.0</v>
      </c>
      <c r="F374" s="124">
        <v>0.0</v>
      </c>
      <c r="G374" s="124" t="s">
        <v>5712</v>
      </c>
      <c r="H374" s="124" t="s">
        <v>5705</v>
      </c>
      <c r="I374" s="124" t="s">
        <v>13</v>
      </c>
      <c r="J374" s="124" t="s">
        <v>5708</v>
      </c>
      <c r="K374" s="125" t="s">
        <v>163</v>
      </c>
      <c r="L374" s="124">
        <v>1.0</v>
      </c>
      <c r="M374" s="126"/>
      <c r="N374" s="1">
        <v>1.0</v>
      </c>
      <c r="O374" s="1" t="s">
        <v>5713</v>
      </c>
    </row>
    <row r="375" ht="15.75" hidden="1" customHeight="1">
      <c r="A375" s="129">
        <v>45665.0</v>
      </c>
      <c r="B375" s="137">
        <v>45969.0</v>
      </c>
      <c r="C375" s="131">
        <v>45999.0</v>
      </c>
      <c r="D375" s="117" t="s">
        <v>4</v>
      </c>
      <c r="E375" s="117">
        <v>1270458.0</v>
      </c>
      <c r="F375" s="62">
        <v>0.0</v>
      </c>
      <c r="G375" s="62" t="s">
        <v>5712</v>
      </c>
      <c r="H375" s="62" t="s">
        <v>5705</v>
      </c>
      <c r="I375" s="62" t="s">
        <v>13</v>
      </c>
      <c r="J375" s="118" t="s">
        <v>5708</v>
      </c>
      <c r="K375" s="130" t="s">
        <v>160</v>
      </c>
      <c r="L375" s="130">
        <v>0.0</v>
      </c>
      <c r="M375" s="132">
        <v>1.0</v>
      </c>
      <c r="N375" s="1">
        <v>0.0</v>
      </c>
      <c r="O375" s="1">
        <v>0.0</v>
      </c>
    </row>
    <row r="376" ht="15.75" hidden="1" customHeight="1">
      <c r="A376" s="127">
        <v>45665.0</v>
      </c>
      <c r="B376" s="138">
        <v>45969.0</v>
      </c>
      <c r="C376" s="128">
        <v>45999.0</v>
      </c>
      <c r="D376" s="123" t="s">
        <v>4</v>
      </c>
      <c r="E376" s="123">
        <v>1270458.0</v>
      </c>
      <c r="F376" s="124">
        <v>0.0</v>
      </c>
      <c r="G376" s="124" t="s">
        <v>5712</v>
      </c>
      <c r="H376" s="124" t="s">
        <v>5705</v>
      </c>
      <c r="I376" s="124" t="s">
        <v>13</v>
      </c>
      <c r="J376" s="124" t="s">
        <v>5708</v>
      </c>
      <c r="K376" s="125" t="s">
        <v>163</v>
      </c>
      <c r="L376" s="125">
        <v>1.0</v>
      </c>
      <c r="M376" s="126"/>
      <c r="N376" s="1">
        <v>1.0</v>
      </c>
      <c r="O376" s="1" t="s">
        <v>5713</v>
      </c>
    </row>
    <row r="377" ht="15.75" hidden="1" customHeight="1">
      <c r="A377" s="129">
        <v>45665.0</v>
      </c>
      <c r="B377" s="137">
        <v>45969.0</v>
      </c>
      <c r="C377" s="131">
        <v>45999.0</v>
      </c>
      <c r="D377" s="117" t="s">
        <v>4</v>
      </c>
      <c r="E377" s="117">
        <v>1270458.0</v>
      </c>
      <c r="F377" s="62">
        <v>0.0</v>
      </c>
      <c r="G377" s="62" t="s">
        <v>5712</v>
      </c>
      <c r="H377" s="62" t="s">
        <v>5705</v>
      </c>
      <c r="I377" s="62" t="s">
        <v>13</v>
      </c>
      <c r="J377" s="118" t="s">
        <v>5708</v>
      </c>
      <c r="K377" s="130" t="s">
        <v>147</v>
      </c>
      <c r="L377" s="62">
        <v>0.0</v>
      </c>
      <c r="M377" s="132">
        <v>2.0</v>
      </c>
      <c r="N377" s="1">
        <v>0.0</v>
      </c>
      <c r="O377" s="1">
        <v>0.0</v>
      </c>
    </row>
    <row r="378" ht="15.75" hidden="1" customHeight="1">
      <c r="A378" s="127">
        <v>45665.0</v>
      </c>
      <c r="B378" s="138">
        <v>45969.0</v>
      </c>
      <c r="C378" s="128">
        <v>45999.0</v>
      </c>
      <c r="D378" s="123" t="s">
        <v>4</v>
      </c>
      <c r="E378" s="123">
        <v>1270458.0</v>
      </c>
      <c r="F378" s="124">
        <v>0.0</v>
      </c>
      <c r="G378" s="124" t="s">
        <v>5712</v>
      </c>
      <c r="H378" s="124" t="s">
        <v>5705</v>
      </c>
      <c r="I378" s="124" t="s">
        <v>13</v>
      </c>
      <c r="J378" s="124" t="s">
        <v>5708</v>
      </c>
      <c r="K378" s="125" t="s">
        <v>163</v>
      </c>
      <c r="L378" s="125">
        <v>2.0</v>
      </c>
      <c r="M378" s="126"/>
      <c r="N378" s="1">
        <v>2.0</v>
      </c>
      <c r="O378" s="1" t="s">
        <v>5713</v>
      </c>
    </row>
    <row r="379" ht="15.75" hidden="1" customHeight="1">
      <c r="A379" s="129">
        <v>45665.0</v>
      </c>
      <c r="B379" s="137">
        <v>45969.0</v>
      </c>
      <c r="C379" s="131">
        <v>45999.0</v>
      </c>
      <c r="D379" s="117" t="s">
        <v>4</v>
      </c>
      <c r="E379" s="117">
        <v>1270458.0</v>
      </c>
      <c r="F379" s="62">
        <v>0.0</v>
      </c>
      <c r="G379" s="62" t="s">
        <v>5712</v>
      </c>
      <c r="H379" s="62" t="s">
        <v>5705</v>
      </c>
      <c r="I379" s="62" t="s">
        <v>13</v>
      </c>
      <c r="J379" s="118" t="s">
        <v>5708</v>
      </c>
      <c r="K379" s="130" t="s">
        <v>160</v>
      </c>
      <c r="L379" s="130">
        <v>0.0</v>
      </c>
      <c r="M379" s="132">
        <v>3.0</v>
      </c>
      <c r="N379" s="1">
        <v>0.0</v>
      </c>
      <c r="O379" s="1">
        <v>0.0</v>
      </c>
    </row>
    <row r="380" ht="15.75" customHeight="1">
      <c r="A380" s="127">
        <v>45665.0</v>
      </c>
      <c r="B380" s="138">
        <v>45969.0</v>
      </c>
      <c r="C380" s="128">
        <v>45999.0</v>
      </c>
      <c r="D380" s="123" t="s">
        <v>4</v>
      </c>
      <c r="E380" s="123">
        <v>1270458.0</v>
      </c>
      <c r="F380" s="124">
        <v>0.0</v>
      </c>
      <c r="G380" s="124" t="s">
        <v>5712</v>
      </c>
      <c r="H380" s="124" t="s">
        <v>5705</v>
      </c>
      <c r="I380" s="124" t="s">
        <v>13</v>
      </c>
      <c r="J380" s="124" t="s">
        <v>5708</v>
      </c>
      <c r="K380" s="125" t="s">
        <v>139</v>
      </c>
      <c r="L380" s="125">
        <v>131.0</v>
      </c>
      <c r="M380" s="126">
        <v>8.672</v>
      </c>
      <c r="N380" s="1">
        <v>15.10608856</v>
      </c>
      <c r="O380" s="1">
        <v>15.10608856</v>
      </c>
    </row>
    <row r="381" ht="15.75" hidden="1" customHeight="1">
      <c r="A381" s="129">
        <v>45665.0</v>
      </c>
      <c r="B381" s="137">
        <v>45969.0</v>
      </c>
      <c r="C381" s="131">
        <v>45999.0</v>
      </c>
      <c r="D381" s="117" t="s">
        <v>4</v>
      </c>
      <c r="E381" s="117">
        <v>1270458.0</v>
      </c>
      <c r="F381" s="62">
        <v>0.0</v>
      </c>
      <c r="G381" s="62" t="s">
        <v>5712</v>
      </c>
      <c r="H381" s="62" t="s">
        <v>5705</v>
      </c>
      <c r="I381" s="62" t="s">
        <v>13</v>
      </c>
      <c r="J381" s="118" t="s">
        <v>5708</v>
      </c>
      <c r="K381" s="130" t="s">
        <v>147</v>
      </c>
      <c r="L381" s="62">
        <v>0.0</v>
      </c>
      <c r="M381" s="132">
        <v>3.0</v>
      </c>
      <c r="N381" s="1">
        <v>0.0</v>
      </c>
      <c r="O381" s="1">
        <v>0.0</v>
      </c>
    </row>
    <row r="382" ht="15.75" hidden="1" customHeight="1">
      <c r="A382" s="127">
        <v>45665.0</v>
      </c>
      <c r="B382" s="138">
        <v>45969.0</v>
      </c>
      <c r="C382" s="128">
        <v>45999.0</v>
      </c>
      <c r="D382" s="123" t="s">
        <v>4</v>
      </c>
      <c r="E382" s="123">
        <v>1270458.0</v>
      </c>
      <c r="F382" s="124">
        <v>0.0</v>
      </c>
      <c r="G382" s="124" t="s">
        <v>5712</v>
      </c>
      <c r="H382" s="124" t="s">
        <v>5705</v>
      </c>
      <c r="I382" s="124" t="s">
        <v>13</v>
      </c>
      <c r="J382" s="124" t="s">
        <v>5708</v>
      </c>
      <c r="K382" s="125" t="s">
        <v>147</v>
      </c>
      <c r="L382" s="125">
        <v>0.0</v>
      </c>
      <c r="M382" s="126">
        <v>1.0</v>
      </c>
      <c r="N382" s="1">
        <v>0.0</v>
      </c>
      <c r="O382" s="1">
        <v>0.0</v>
      </c>
    </row>
    <row r="383" ht="15.75" hidden="1" customHeight="1">
      <c r="A383" s="129">
        <v>45665.0</v>
      </c>
      <c r="B383" s="137">
        <v>45969.0</v>
      </c>
      <c r="C383" s="131">
        <v>45999.0</v>
      </c>
      <c r="D383" s="117" t="s">
        <v>4</v>
      </c>
      <c r="E383" s="117">
        <v>1270458.0</v>
      </c>
      <c r="F383" s="62">
        <v>0.0</v>
      </c>
      <c r="G383" s="62" t="s">
        <v>5712</v>
      </c>
      <c r="H383" s="62" t="s">
        <v>5705</v>
      </c>
      <c r="I383" s="62" t="s">
        <v>13</v>
      </c>
      <c r="J383" s="118" t="s">
        <v>5708</v>
      </c>
      <c r="K383" s="130" t="s">
        <v>163</v>
      </c>
      <c r="L383" s="130">
        <v>1.0</v>
      </c>
      <c r="M383" s="132"/>
      <c r="N383" s="1">
        <v>1.0</v>
      </c>
      <c r="O383" s="1" t="s">
        <v>5713</v>
      </c>
    </row>
    <row r="384" ht="15.75" hidden="1" customHeight="1">
      <c r="A384" s="127">
        <v>45665.0</v>
      </c>
      <c r="B384" s="138">
        <v>45969.0</v>
      </c>
      <c r="C384" s="128">
        <v>45999.0</v>
      </c>
      <c r="D384" s="123" t="s">
        <v>4</v>
      </c>
      <c r="E384" s="123">
        <v>1270458.0</v>
      </c>
      <c r="F384" s="124">
        <v>0.0</v>
      </c>
      <c r="G384" s="124" t="s">
        <v>5712</v>
      </c>
      <c r="H384" s="124" t="s">
        <v>5705</v>
      </c>
      <c r="I384" s="124" t="s">
        <v>13</v>
      </c>
      <c r="J384" s="124" t="s">
        <v>5708</v>
      </c>
      <c r="K384" s="125" t="s">
        <v>147</v>
      </c>
      <c r="L384" s="125">
        <v>500.0</v>
      </c>
      <c r="M384" s="126">
        <v>167.0</v>
      </c>
      <c r="N384" s="1">
        <v>2.994011976</v>
      </c>
      <c r="O384" s="1">
        <v>2.994011976</v>
      </c>
    </row>
    <row r="385" ht="15.75" hidden="1" customHeight="1">
      <c r="A385" s="129">
        <v>45665.0</v>
      </c>
      <c r="B385" s="137">
        <v>45969.0</v>
      </c>
      <c r="C385" s="131">
        <v>45999.0</v>
      </c>
      <c r="D385" s="117" t="s">
        <v>4</v>
      </c>
      <c r="E385" s="117">
        <v>1270458.0</v>
      </c>
      <c r="F385" s="62">
        <v>0.0</v>
      </c>
      <c r="G385" s="62" t="s">
        <v>5712</v>
      </c>
      <c r="H385" s="62" t="s">
        <v>5705</v>
      </c>
      <c r="I385" s="62" t="s">
        <v>13</v>
      </c>
      <c r="J385" s="118" t="s">
        <v>5708</v>
      </c>
      <c r="K385" s="130" t="s">
        <v>160</v>
      </c>
      <c r="L385" s="62">
        <v>0.0</v>
      </c>
      <c r="M385" s="132">
        <v>167.0</v>
      </c>
      <c r="N385" s="1">
        <v>0.0</v>
      </c>
      <c r="O385" s="1">
        <v>0.0</v>
      </c>
    </row>
    <row r="386" ht="15.75" hidden="1" customHeight="1">
      <c r="A386" s="127">
        <v>45665.0</v>
      </c>
      <c r="B386" s="138">
        <v>45969.0</v>
      </c>
      <c r="C386" s="128">
        <v>45999.0</v>
      </c>
      <c r="D386" s="123" t="s">
        <v>4</v>
      </c>
      <c r="E386" s="123">
        <v>1270458.0</v>
      </c>
      <c r="F386" s="124">
        <v>0.0</v>
      </c>
      <c r="G386" s="124" t="s">
        <v>5712</v>
      </c>
      <c r="H386" s="124" t="s">
        <v>5705</v>
      </c>
      <c r="I386" s="124" t="s">
        <v>13</v>
      </c>
      <c r="J386" s="124" t="s">
        <v>5708</v>
      </c>
      <c r="K386" s="125" t="s">
        <v>142</v>
      </c>
      <c r="L386" s="124">
        <v>131.0</v>
      </c>
      <c r="M386" s="126"/>
      <c r="N386" s="1">
        <v>131.0</v>
      </c>
      <c r="O386" s="1" t="s">
        <v>5713</v>
      </c>
    </row>
    <row r="387" ht="15.75" hidden="1" customHeight="1">
      <c r="A387" s="129">
        <v>45665.0</v>
      </c>
      <c r="B387" s="137">
        <v>45969.0</v>
      </c>
      <c r="C387" s="131">
        <v>45999.0</v>
      </c>
      <c r="D387" s="117" t="s">
        <v>4</v>
      </c>
      <c r="E387" s="117">
        <v>1270458.0</v>
      </c>
      <c r="F387" s="62">
        <v>0.0</v>
      </c>
      <c r="G387" s="62" t="s">
        <v>5712</v>
      </c>
      <c r="H387" s="62" t="s">
        <v>5705</v>
      </c>
      <c r="I387" s="62" t="s">
        <v>13</v>
      </c>
      <c r="J387" s="118" t="s">
        <v>5708</v>
      </c>
      <c r="K387" s="130" t="s">
        <v>147</v>
      </c>
      <c r="L387" s="62">
        <v>0.0</v>
      </c>
      <c r="M387" s="132">
        <v>1.0</v>
      </c>
      <c r="N387" s="1">
        <v>0.0</v>
      </c>
      <c r="O387" s="1">
        <v>0.0</v>
      </c>
    </row>
    <row r="388" ht="15.75" hidden="1" customHeight="1">
      <c r="A388" s="127">
        <v>45665.0</v>
      </c>
      <c r="B388" s="138">
        <v>45969.0</v>
      </c>
      <c r="C388" s="128">
        <v>45999.0</v>
      </c>
      <c r="D388" s="123" t="s">
        <v>4</v>
      </c>
      <c r="E388" s="123">
        <v>1270458.0</v>
      </c>
      <c r="F388" s="124">
        <v>0.0</v>
      </c>
      <c r="G388" s="124" t="s">
        <v>5712</v>
      </c>
      <c r="H388" s="124" t="s">
        <v>5705</v>
      </c>
      <c r="I388" s="124" t="s">
        <v>13</v>
      </c>
      <c r="J388" s="124" t="s">
        <v>5708</v>
      </c>
      <c r="K388" s="125" t="s">
        <v>147</v>
      </c>
      <c r="L388" s="125">
        <v>0.0</v>
      </c>
      <c r="M388" s="126">
        <v>1.0</v>
      </c>
      <c r="N388" s="1">
        <v>0.0</v>
      </c>
      <c r="O388" s="1">
        <v>0.0</v>
      </c>
    </row>
    <row r="389" ht="15.75" hidden="1" customHeight="1">
      <c r="A389" s="129">
        <v>45665.0</v>
      </c>
      <c r="B389" s="137">
        <v>45969.0</v>
      </c>
      <c r="C389" s="131">
        <v>45999.0</v>
      </c>
      <c r="D389" s="117" t="s">
        <v>4</v>
      </c>
      <c r="E389" s="117">
        <v>1270458.0</v>
      </c>
      <c r="F389" s="62">
        <v>0.0</v>
      </c>
      <c r="G389" s="62" t="s">
        <v>5712</v>
      </c>
      <c r="H389" s="62" t="s">
        <v>5705</v>
      </c>
      <c r="I389" s="117" t="s">
        <v>13</v>
      </c>
      <c r="J389" s="118" t="s">
        <v>5708</v>
      </c>
      <c r="K389" s="130" t="s">
        <v>160</v>
      </c>
      <c r="L389" s="62">
        <v>0.0</v>
      </c>
      <c r="M389" s="132">
        <v>1.0</v>
      </c>
      <c r="N389" s="1">
        <v>0.0</v>
      </c>
      <c r="O389" s="1">
        <v>0.0</v>
      </c>
    </row>
    <row r="390" ht="15.75" hidden="1" customHeight="1">
      <c r="A390" s="127">
        <v>45665.0</v>
      </c>
      <c r="B390" s="138">
        <v>45969.0</v>
      </c>
      <c r="C390" s="128">
        <v>45999.0</v>
      </c>
      <c r="D390" s="123" t="s">
        <v>4</v>
      </c>
      <c r="E390" s="123">
        <v>1270458.0</v>
      </c>
      <c r="F390" s="124">
        <v>0.0</v>
      </c>
      <c r="G390" s="124" t="s">
        <v>5712</v>
      </c>
      <c r="H390" s="124" t="s">
        <v>5705</v>
      </c>
      <c r="I390" s="124" t="s">
        <v>13</v>
      </c>
      <c r="J390" s="124" t="s">
        <v>5708</v>
      </c>
      <c r="K390" s="125" t="s">
        <v>160</v>
      </c>
      <c r="L390" s="125">
        <v>0.0</v>
      </c>
      <c r="M390" s="126">
        <v>2.0</v>
      </c>
      <c r="N390" s="1">
        <v>0.0</v>
      </c>
      <c r="O390" s="1">
        <v>0.0</v>
      </c>
    </row>
    <row r="391" ht="15.75" hidden="1" customHeight="1">
      <c r="A391" s="129">
        <v>45665.0</v>
      </c>
      <c r="B391" s="137">
        <v>45969.0</v>
      </c>
      <c r="C391" s="131">
        <v>45999.0</v>
      </c>
      <c r="D391" s="117" t="s">
        <v>4</v>
      </c>
      <c r="E391" s="117">
        <v>1270458.0</v>
      </c>
      <c r="F391" s="62">
        <v>0.0</v>
      </c>
      <c r="G391" s="62" t="s">
        <v>5712</v>
      </c>
      <c r="H391" s="62" t="s">
        <v>5705</v>
      </c>
      <c r="I391" s="62" t="s">
        <v>13</v>
      </c>
      <c r="J391" s="118" t="s">
        <v>5708</v>
      </c>
      <c r="K391" s="130" t="s">
        <v>160</v>
      </c>
      <c r="L391" s="130">
        <v>0.0</v>
      </c>
      <c r="M391" s="132">
        <v>2.0</v>
      </c>
      <c r="N391" s="1">
        <v>0.0</v>
      </c>
      <c r="O391" s="1">
        <v>0.0</v>
      </c>
    </row>
    <row r="392" ht="15.75" hidden="1" customHeight="1">
      <c r="A392" s="127">
        <v>45665.0</v>
      </c>
      <c r="B392" s="138">
        <v>45969.0</v>
      </c>
      <c r="C392" s="128">
        <v>45999.0</v>
      </c>
      <c r="D392" s="123" t="s">
        <v>4</v>
      </c>
      <c r="E392" s="123">
        <v>1270458.0</v>
      </c>
      <c r="F392" s="124">
        <v>0.0</v>
      </c>
      <c r="G392" s="124" t="s">
        <v>5712</v>
      </c>
      <c r="H392" s="124" t="s">
        <v>5705</v>
      </c>
      <c r="I392" s="124" t="s">
        <v>13</v>
      </c>
      <c r="J392" s="124" t="s">
        <v>5708</v>
      </c>
      <c r="K392" s="125" t="s">
        <v>163</v>
      </c>
      <c r="L392" s="125">
        <v>162.0</v>
      </c>
      <c r="M392" s="126"/>
      <c r="N392" s="1">
        <v>162.0</v>
      </c>
      <c r="O392" s="1" t="s">
        <v>5713</v>
      </c>
    </row>
    <row r="393" ht="15.75" hidden="1" customHeight="1">
      <c r="A393" s="129">
        <v>45665.0</v>
      </c>
      <c r="B393" s="137">
        <v>45969.0</v>
      </c>
      <c r="C393" s="131">
        <v>45999.0</v>
      </c>
      <c r="D393" s="117" t="s">
        <v>4</v>
      </c>
      <c r="E393" s="117">
        <v>1270458.0</v>
      </c>
      <c r="F393" s="62">
        <v>0.0</v>
      </c>
      <c r="G393" s="62" t="s">
        <v>5712</v>
      </c>
      <c r="H393" s="62" t="s">
        <v>5705</v>
      </c>
      <c r="I393" s="62" t="s">
        <v>13</v>
      </c>
      <c r="J393" s="118" t="s">
        <v>5708</v>
      </c>
      <c r="K393" s="130" t="s">
        <v>163</v>
      </c>
      <c r="L393" s="130">
        <v>3.0</v>
      </c>
      <c r="M393" s="132"/>
      <c r="N393" s="1">
        <v>3.0</v>
      </c>
      <c r="O393" s="1" t="s">
        <v>5713</v>
      </c>
    </row>
    <row r="394" ht="15.75" hidden="1" customHeight="1">
      <c r="A394" s="127">
        <v>45665.0</v>
      </c>
      <c r="B394" s="138">
        <v>45969.0</v>
      </c>
      <c r="C394" s="128">
        <v>45999.0</v>
      </c>
      <c r="D394" s="123" t="s">
        <v>4</v>
      </c>
      <c r="E394" s="123">
        <v>1270458.0</v>
      </c>
      <c r="F394" s="124">
        <v>0.0</v>
      </c>
      <c r="G394" s="124" t="s">
        <v>5712</v>
      </c>
      <c r="H394" s="124" t="s">
        <v>5705</v>
      </c>
      <c r="I394" s="124" t="s">
        <v>13</v>
      </c>
      <c r="J394" s="124" t="s">
        <v>5708</v>
      </c>
      <c r="K394" s="125" t="s">
        <v>147</v>
      </c>
      <c r="L394" s="125">
        <v>0.0</v>
      </c>
      <c r="M394" s="126">
        <v>2.0</v>
      </c>
      <c r="N394" s="1">
        <v>0.0</v>
      </c>
      <c r="O394" s="1">
        <v>0.0</v>
      </c>
    </row>
    <row r="395" ht="15.75" hidden="1" customHeight="1">
      <c r="A395" s="129">
        <v>45665.0</v>
      </c>
      <c r="B395" s="137">
        <v>45969.0</v>
      </c>
      <c r="C395" s="131">
        <v>45999.0</v>
      </c>
      <c r="D395" s="117" t="s">
        <v>4</v>
      </c>
      <c r="E395" s="117">
        <v>1270458.0</v>
      </c>
      <c r="F395" s="62">
        <v>0.0</v>
      </c>
      <c r="G395" s="62" t="s">
        <v>5712</v>
      </c>
      <c r="H395" s="62" t="s">
        <v>5705</v>
      </c>
      <c r="I395" s="62" t="s">
        <v>13</v>
      </c>
      <c r="J395" s="118" t="s">
        <v>5708</v>
      </c>
      <c r="K395" s="130" t="s">
        <v>147</v>
      </c>
      <c r="L395" s="130">
        <v>0.0</v>
      </c>
      <c r="M395" s="132">
        <v>3.0</v>
      </c>
      <c r="N395" s="1">
        <v>0.0</v>
      </c>
      <c r="O395" s="1">
        <v>0.0</v>
      </c>
    </row>
    <row r="396" ht="15.75" hidden="1" customHeight="1">
      <c r="A396" s="127">
        <v>45665.0</v>
      </c>
      <c r="B396" s="138">
        <v>45969.0</v>
      </c>
      <c r="C396" s="128">
        <v>45999.0</v>
      </c>
      <c r="D396" s="123" t="s">
        <v>4</v>
      </c>
      <c r="E396" s="123">
        <v>1270458.0</v>
      </c>
      <c r="F396" s="124">
        <v>0.0</v>
      </c>
      <c r="G396" s="124" t="s">
        <v>5712</v>
      </c>
      <c r="H396" s="124" t="s">
        <v>5705</v>
      </c>
      <c r="I396" s="124" t="s">
        <v>13</v>
      </c>
      <c r="J396" s="124" t="s">
        <v>5708</v>
      </c>
      <c r="K396" s="125" t="s">
        <v>160</v>
      </c>
      <c r="L396" s="125">
        <v>0.0</v>
      </c>
      <c r="M396" s="126">
        <v>1.0</v>
      </c>
      <c r="N396" s="1">
        <v>0.0</v>
      </c>
      <c r="O396" s="1">
        <v>0.0</v>
      </c>
    </row>
    <row r="397" ht="15.75" hidden="1" customHeight="1">
      <c r="A397" s="139">
        <v>45665.0</v>
      </c>
      <c r="B397" s="140">
        <v>45969.0</v>
      </c>
      <c r="C397" s="141">
        <v>45999.0</v>
      </c>
      <c r="D397" s="117" t="s">
        <v>4</v>
      </c>
      <c r="E397" s="117">
        <v>1270458.0</v>
      </c>
      <c r="F397" s="118">
        <v>0.0</v>
      </c>
      <c r="G397" s="118" t="s">
        <v>5712</v>
      </c>
      <c r="H397" s="118" t="s">
        <v>5705</v>
      </c>
      <c r="I397" s="118" t="s">
        <v>13</v>
      </c>
      <c r="J397" s="118" t="s">
        <v>5708</v>
      </c>
      <c r="K397" s="120" t="s">
        <v>147</v>
      </c>
      <c r="L397" s="118">
        <v>0.0</v>
      </c>
      <c r="M397" s="121">
        <v>8.0</v>
      </c>
      <c r="N397" s="1">
        <v>0.0</v>
      </c>
      <c r="O397" s="1">
        <v>0.0</v>
      </c>
    </row>
    <row r="398" ht="15.75" hidden="1" customHeight="1">
      <c r="A398" s="127">
        <v>45665.0</v>
      </c>
      <c r="B398" s="138">
        <v>45969.0</v>
      </c>
      <c r="C398" s="128">
        <v>45999.0</v>
      </c>
      <c r="D398" s="123" t="s">
        <v>4</v>
      </c>
      <c r="E398" s="123">
        <v>1270458.0</v>
      </c>
      <c r="F398" s="124">
        <v>0.0</v>
      </c>
      <c r="G398" s="124" t="s">
        <v>5712</v>
      </c>
      <c r="H398" s="124" t="s">
        <v>5705</v>
      </c>
      <c r="I398" s="124" t="s">
        <v>13</v>
      </c>
      <c r="J398" s="124" t="s">
        <v>5708</v>
      </c>
      <c r="K398" s="125" t="s">
        <v>160</v>
      </c>
      <c r="L398" s="124">
        <v>0.0</v>
      </c>
      <c r="M398" s="126">
        <v>3.0</v>
      </c>
      <c r="N398" s="1">
        <v>0.0</v>
      </c>
      <c r="O398" s="1">
        <v>0.0</v>
      </c>
    </row>
    <row r="399" ht="15.75" hidden="1" customHeight="1">
      <c r="A399" s="129">
        <v>45665.0</v>
      </c>
      <c r="B399" s="137">
        <v>45969.0</v>
      </c>
      <c r="C399" s="130" t="s">
        <v>5716</v>
      </c>
      <c r="D399" s="117" t="s">
        <v>4</v>
      </c>
      <c r="E399" s="117">
        <v>1270458.0</v>
      </c>
      <c r="F399" s="62">
        <v>0.0</v>
      </c>
      <c r="G399" s="62" t="s">
        <v>5712</v>
      </c>
      <c r="H399" s="62" t="s">
        <v>5705</v>
      </c>
      <c r="I399" s="62" t="s">
        <v>13</v>
      </c>
      <c r="J399" s="118" t="s">
        <v>5708</v>
      </c>
      <c r="K399" s="130" t="s">
        <v>163</v>
      </c>
      <c r="L399" s="130">
        <v>4.0</v>
      </c>
      <c r="M399" s="133"/>
      <c r="N399" s="1">
        <v>4.0</v>
      </c>
      <c r="O399" s="1" t="s">
        <v>5713</v>
      </c>
    </row>
    <row r="400" ht="15.75" hidden="1" customHeight="1">
      <c r="A400" s="127">
        <v>45665.0</v>
      </c>
      <c r="B400" s="138">
        <v>45969.0</v>
      </c>
      <c r="C400" s="125" t="s">
        <v>5716</v>
      </c>
      <c r="D400" s="123" t="s">
        <v>4</v>
      </c>
      <c r="E400" s="123">
        <v>1270458.0</v>
      </c>
      <c r="F400" s="124">
        <v>0.0</v>
      </c>
      <c r="G400" s="124" t="s">
        <v>5712</v>
      </c>
      <c r="H400" s="124" t="s">
        <v>5705</v>
      </c>
      <c r="I400" s="124" t="s">
        <v>13</v>
      </c>
      <c r="J400" s="124" t="s">
        <v>5708</v>
      </c>
      <c r="K400" s="125" t="s">
        <v>160</v>
      </c>
      <c r="L400" s="125">
        <v>0.0</v>
      </c>
      <c r="M400" s="126">
        <v>3.0</v>
      </c>
      <c r="N400" s="1">
        <v>0.0</v>
      </c>
      <c r="O400" s="1">
        <v>0.0</v>
      </c>
    </row>
    <row r="401" ht="15.75" hidden="1" customHeight="1">
      <c r="A401" s="129">
        <v>45665.0</v>
      </c>
      <c r="B401" s="137">
        <v>45969.0</v>
      </c>
      <c r="C401" s="130" t="s">
        <v>5716</v>
      </c>
      <c r="D401" s="117" t="s">
        <v>4</v>
      </c>
      <c r="E401" s="117">
        <v>1270458.0</v>
      </c>
      <c r="F401" s="62">
        <v>0.0</v>
      </c>
      <c r="G401" s="62" t="s">
        <v>5712</v>
      </c>
      <c r="H401" s="62" t="s">
        <v>5705</v>
      </c>
      <c r="I401" s="62" t="s">
        <v>13</v>
      </c>
      <c r="J401" s="118" t="s">
        <v>5708</v>
      </c>
      <c r="K401" s="130" t="s">
        <v>156</v>
      </c>
      <c r="L401" s="130">
        <v>100.0</v>
      </c>
      <c r="M401" s="132">
        <v>3.0</v>
      </c>
      <c r="N401" s="1">
        <v>33.33333333</v>
      </c>
      <c r="O401" s="1">
        <v>33.33333333</v>
      </c>
    </row>
    <row r="402" ht="15.75" hidden="1" customHeight="1">
      <c r="A402" s="127">
        <v>45665.0</v>
      </c>
      <c r="B402" s="138">
        <v>45969.0</v>
      </c>
      <c r="C402" s="125" t="s">
        <v>5716</v>
      </c>
      <c r="D402" s="123" t="s">
        <v>4</v>
      </c>
      <c r="E402" s="123">
        <v>1270458.0</v>
      </c>
      <c r="F402" s="124">
        <v>0.0</v>
      </c>
      <c r="G402" s="124" t="s">
        <v>5712</v>
      </c>
      <c r="H402" s="124" t="s">
        <v>5705</v>
      </c>
      <c r="I402" s="124" t="s">
        <v>13</v>
      </c>
      <c r="J402" s="124" t="s">
        <v>5708</v>
      </c>
      <c r="K402" s="125" t="s">
        <v>142</v>
      </c>
      <c r="L402" s="124">
        <v>3.0</v>
      </c>
      <c r="M402" s="126"/>
      <c r="N402" s="1">
        <v>3.0</v>
      </c>
      <c r="O402" s="1" t="s">
        <v>5713</v>
      </c>
    </row>
    <row r="403" ht="15.75" hidden="1" customHeight="1">
      <c r="A403" s="129">
        <v>45665.0</v>
      </c>
      <c r="B403" s="137">
        <v>45969.0</v>
      </c>
      <c r="C403" s="130" t="s">
        <v>5716</v>
      </c>
      <c r="D403" s="117" t="s">
        <v>4</v>
      </c>
      <c r="E403" s="117">
        <v>1270458.0</v>
      </c>
      <c r="F403" s="62">
        <v>0.0</v>
      </c>
      <c r="G403" s="62" t="s">
        <v>5712</v>
      </c>
      <c r="H403" s="62" t="s">
        <v>5705</v>
      </c>
      <c r="I403" s="62" t="s">
        <v>13</v>
      </c>
      <c r="J403" s="118" t="s">
        <v>5708</v>
      </c>
      <c r="K403" s="130" t="s">
        <v>156</v>
      </c>
      <c r="L403" s="62">
        <v>4400.0</v>
      </c>
      <c r="M403" s="132">
        <v>76.0</v>
      </c>
      <c r="N403" s="1">
        <v>57.89473684</v>
      </c>
      <c r="O403" s="1">
        <v>57.89473684</v>
      </c>
    </row>
    <row r="404" ht="15.75" customHeight="1">
      <c r="A404" s="127">
        <v>45665.0</v>
      </c>
      <c r="B404" s="138">
        <v>45969.0</v>
      </c>
      <c r="C404" s="125" t="s">
        <v>5716</v>
      </c>
      <c r="D404" s="123" t="s">
        <v>4</v>
      </c>
      <c r="E404" s="123">
        <v>1270458.0</v>
      </c>
      <c r="F404" s="124">
        <v>0.0</v>
      </c>
      <c r="G404" s="124" t="s">
        <v>5712</v>
      </c>
      <c r="H404" s="124" t="s">
        <v>5705</v>
      </c>
      <c r="I404" s="124" t="s">
        <v>13</v>
      </c>
      <c r="J404" s="124" t="s">
        <v>5708</v>
      </c>
      <c r="K404" s="125" t="s">
        <v>139</v>
      </c>
      <c r="L404" s="125">
        <v>1.0</v>
      </c>
      <c r="M404" s="126">
        <v>0.0</v>
      </c>
      <c r="O404" s="1" t="s">
        <v>5713</v>
      </c>
    </row>
    <row r="405" ht="15.75" customHeight="1">
      <c r="A405" s="129">
        <v>45665.0</v>
      </c>
      <c r="B405" s="137">
        <v>45969.0</v>
      </c>
      <c r="C405" s="130" t="s">
        <v>5714</v>
      </c>
      <c r="D405" s="117" t="s">
        <v>4</v>
      </c>
      <c r="E405" s="117">
        <v>1270458.0</v>
      </c>
      <c r="F405" s="62">
        <v>0.0</v>
      </c>
      <c r="G405" s="62" t="s">
        <v>5712</v>
      </c>
      <c r="H405" s="62" t="s">
        <v>5705</v>
      </c>
      <c r="I405" s="62" t="s">
        <v>13</v>
      </c>
      <c r="J405" s="118" t="s">
        <v>5708</v>
      </c>
      <c r="K405" s="130" t="s">
        <v>139</v>
      </c>
      <c r="L405" s="62">
        <v>1.0</v>
      </c>
      <c r="M405" s="132">
        <v>0.0</v>
      </c>
      <c r="N405" s="1"/>
      <c r="O405" s="1" t="s">
        <v>5713</v>
      </c>
    </row>
    <row r="406" ht="15.75" hidden="1" customHeight="1">
      <c r="A406" s="127">
        <v>45665.0</v>
      </c>
      <c r="B406" s="138">
        <v>45969.0</v>
      </c>
      <c r="C406" s="125" t="s">
        <v>5714</v>
      </c>
      <c r="D406" s="123" t="s">
        <v>4</v>
      </c>
      <c r="E406" s="123">
        <v>1270458.0</v>
      </c>
      <c r="F406" s="124">
        <v>0.0</v>
      </c>
      <c r="G406" s="124" t="s">
        <v>5712</v>
      </c>
      <c r="H406" s="124" t="s">
        <v>5705</v>
      </c>
      <c r="I406" s="124" t="s">
        <v>13</v>
      </c>
      <c r="J406" s="124" t="s">
        <v>5708</v>
      </c>
      <c r="K406" s="125" t="s">
        <v>154</v>
      </c>
      <c r="L406" s="124">
        <v>12800.0</v>
      </c>
      <c r="M406" s="126">
        <v>246.0</v>
      </c>
      <c r="N406" s="1">
        <v>52.03252033</v>
      </c>
      <c r="O406" s="1">
        <v>52.03252033</v>
      </c>
    </row>
    <row r="407" ht="15.75" hidden="1" customHeight="1">
      <c r="A407" s="129">
        <v>45665.0</v>
      </c>
      <c r="B407" s="137">
        <v>45969.0</v>
      </c>
      <c r="C407" s="130" t="s">
        <v>5714</v>
      </c>
      <c r="D407" s="117" t="s">
        <v>4</v>
      </c>
      <c r="E407" s="117">
        <v>1270458.0</v>
      </c>
      <c r="F407" s="62">
        <v>0.0</v>
      </c>
      <c r="G407" s="62" t="s">
        <v>5712</v>
      </c>
      <c r="H407" s="62" t="s">
        <v>5705</v>
      </c>
      <c r="I407" s="62" t="s">
        <v>13</v>
      </c>
      <c r="J407" s="118" t="s">
        <v>5708</v>
      </c>
      <c r="K407" s="130" t="s">
        <v>142</v>
      </c>
      <c r="L407" s="62">
        <v>126.0</v>
      </c>
      <c r="M407" s="132"/>
      <c r="N407" s="1">
        <v>126.0</v>
      </c>
      <c r="O407" s="1" t="s">
        <v>5713</v>
      </c>
    </row>
    <row r="408" ht="15.75" hidden="1" customHeight="1">
      <c r="A408" s="127">
        <v>45665.0</v>
      </c>
      <c r="B408" s="138">
        <v>45969.0</v>
      </c>
      <c r="C408" s="125" t="s">
        <v>5714</v>
      </c>
      <c r="D408" s="123" t="s">
        <v>4</v>
      </c>
      <c r="E408" s="123">
        <v>1270458.0</v>
      </c>
      <c r="F408" s="124">
        <v>0.0</v>
      </c>
      <c r="G408" s="124" t="s">
        <v>5712</v>
      </c>
      <c r="H408" s="124" t="s">
        <v>5705</v>
      </c>
      <c r="I408" s="124" t="s">
        <v>13</v>
      </c>
      <c r="J408" s="124" t="s">
        <v>5708</v>
      </c>
      <c r="K408" s="125" t="s">
        <v>163</v>
      </c>
      <c r="L408" s="125">
        <v>127.0</v>
      </c>
      <c r="M408" s="126"/>
      <c r="N408" s="1">
        <v>127.0</v>
      </c>
      <c r="O408" s="1" t="s">
        <v>5713</v>
      </c>
    </row>
    <row r="409" ht="15.75" hidden="1" customHeight="1">
      <c r="A409" s="129">
        <v>45665.0</v>
      </c>
      <c r="B409" s="137">
        <v>45969.0</v>
      </c>
      <c r="C409" s="130" t="s">
        <v>5714</v>
      </c>
      <c r="D409" s="117" t="s">
        <v>4</v>
      </c>
      <c r="E409" s="117">
        <v>1270458.0</v>
      </c>
      <c r="F409" s="62">
        <v>0.0</v>
      </c>
      <c r="G409" s="62" t="s">
        <v>5712</v>
      </c>
      <c r="H409" s="62" t="s">
        <v>5705</v>
      </c>
      <c r="I409" s="62" t="s">
        <v>13</v>
      </c>
      <c r="J409" s="118" t="s">
        <v>5708</v>
      </c>
      <c r="K409" s="130" t="s">
        <v>160</v>
      </c>
      <c r="L409" s="130">
        <v>0.0</v>
      </c>
      <c r="M409" s="132">
        <v>1.0</v>
      </c>
      <c r="N409" s="1">
        <v>0.0</v>
      </c>
      <c r="O409" s="1">
        <v>0.0</v>
      </c>
    </row>
    <row r="410" ht="15.75" hidden="1" customHeight="1">
      <c r="A410" s="127">
        <v>45665.0</v>
      </c>
      <c r="B410" s="138">
        <v>45969.0</v>
      </c>
      <c r="C410" s="125" t="s">
        <v>5714</v>
      </c>
      <c r="D410" s="123" t="s">
        <v>4</v>
      </c>
      <c r="E410" s="123">
        <v>1270458.0</v>
      </c>
      <c r="F410" s="124">
        <v>0.0</v>
      </c>
      <c r="G410" s="124" t="s">
        <v>5712</v>
      </c>
      <c r="H410" s="124" t="s">
        <v>5705</v>
      </c>
      <c r="I410" s="124" t="s">
        <v>13</v>
      </c>
      <c r="J410" s="124" t="s">
        <v>5708</v>
      </c>
      <c r="K410" s="125" t="s">
        <v>160</v>
      </c>
      <c r="L410" s="124">
        <v>0.0</v>
      </c>
      <c r="M410" s="126">
        <v>4.0</v>
      </c>
      <c r="N410" s="1">
        <v>0.0</v>
      </c>
      <c r="O410" s="1">
        <v>0.0</v>
      </c>
    </row>
    <row r="411" ht="15.75" hidden="1" customHeight="1">
      <c r="A411" s="129">
        <v>45665.0</v>
      </c>
      <c r="B411" s="137">
        <v>45969.0</v>
      </c>
      <c r="C411" s="130" t="s">
        <v>5714</v>
      </c>
      <c r="D411" s="117" t="s">
        <v>4</v>
      </c>
      <c r="E411" s="117">
        <v>1270458.0</v>
      </c>
      <c r="F411" s="62">
        <v>0.0</v>
      </c>
      <c r="G411" s="62" t="s">
        <v>5712</v>
      </c>
      <c r="H411" s="62" t="s">
        <v>5705</v>
      </c>
      <c r="I411" s="62" t="s">
        <v>13</v>
      </c>
      <c r="J411" s="118" t="s">
        <v>5708</v>
      </c>
      <c r="K411" s="130" t="s">
        <v>163</v>
      </c>
      <c r="L411" s="130">
        <v>1.0</v>
      </c>
      <c r="M411" s="132"/>
      <c r="N411" s="1">
        <v>1.0</v>
      </c>
      <c r="O411" s="1" t="s">
        <v>5713</v>
      </c>
    </row>
    <row r="412" ht="15.75" hidden="1" customHeight="1">
      <c r="A412" s="127">
        <v>45665.0</v>
      </c>
      <c r="B412" s="138">
        <v>45969.0</v>
      </c>
      <c r="C412" s="125" t="s">
        <v>5714</v>
      </c>
      <c r="D412" s="123" t="s">
        <v>4</v>
      </c>
      <c r="E412" s="123">
        <v>1270458.0</v>
      </c>
      <c r="F412" s="124">
        <v>0.0</v>
      </c>
      <c r="G412" s="124" t="s">
        <v>5712</v>
      </c>
      <c r="H412" s="124" t="s">
        <v>5705</v>
      </c>
      <c r="I412" s="124" t="s">
        <v>13</v>
      </c>
      <c r="J412" s="124" t="s">
        <v>5708</v>
      </c>
      <c r="K412" s="125" t="s">
        <v>160</v>
      </c>
      <c r="L412" s="125">
        <v>0.0</v>
      </c>
      <c r="M412" s="126">
        <v>2.0</v>
      </c>
      <c r="N412" s="1">
        <v>0.0</v>
      </c>
      <c r="O412" s="1">
        <v>0.0</v>
      </c>
    </row>
    <row r="413" ht="15.75" hidden="1" customHeight="1">
      <c r="A413" s="129">
        <v>45665.0</v>
      </c>
      <c r="B413" s="137">
        <v>45969.0</v>
      </c>
      <c r="C413" s="130" t="s">
        <v>5714</v>
      </c>
      <c r="D413" s="117" t="s">
        <v>4</v>
      </c>
      <c r="E413" s="117">
        <v>1270458.0</v>
      </c>
      <c r="F413" s="62">
        <v>0.0</v>
      </c>
      <c r="G413" s="62" t="s">
        <v>5712</v>
      </c>
      <c r="H413" s="62" t="s">
        <v>5705</v>
      </c>
      <c r="I413" s="62" t="s">
        <v>13</v>
      </c>
      <c r="J413" s="118" t="s">
        <v>5708</v>
      </c>
      <c r="K413" s="130" t="s">
        <v>163</v>
      </c>
      <c r="L413" s="62">
        <v>2.0</v>
      </c>
      <c r="M413" s="132"/>
      <c r="N413" s="1">
        <v>2.0</v>
      </c>
      <c r="O413" s="1" t="s">
        <v>5713</v>
      </c>
    </row>
    <row r="414" ht="15.75" hidden="1" customHeight="1">
      <c r="A414" s="127">
        <v>45665.0</v>
      </c>
      <c r="B414" s="138">
        <v>45969.0</v>
      </c>
      <c r="C414" s="125" t="s">
        <v>5714</v>
      </c>
      <c r="D414" s="123" t="s">
        <v>4</v>
      </c>
      <c r="E414" s="123">
        <v>1270458.0</v>
      </c>
      <c r="F414" s="124">
        <v>0.0</v>
      </c>
      <c r="G414" s="124" t="s">
        <v>5712</v>
      </c>
      <c r="H414" s="124" t="s">
        <v>5705</v>
      </c>
      <c r="I414" s="124" t="s">
        <v>13</v>
      </c>
      <c r="J414" s="124" t="s">
        <v>5708</v>
      </c>
      <c r="K414" s="125" t="s">
        <v>163</v>
      </c>
      <c r="L414" s="124">
        <v>1.0</v>
      </c>
      <c r="M414" s="126"/>
      <c r="N414" s="1">
        <v>1.0</v>
      </c>
      <c r="O414" s="1" t="s">
        <v>5713</v>
      </c>
    </row>
    <row r="415" ht="15.75" hidden="1" customHeight="1">
      <c r="A415" s="129">
        <v>45665.0</v>
      </c>
      <c r="B415" s="137">
        <v>45969.0</v>
      </c>
      <c r="C415" s="130" t="s">
        <v>5714</v>
      </c>
      <c r="D415" s="117" t="s">
        <v>4</v>
      </c>
      <c r="E415" s="117">
        <v>1270458.0</v>
      </c>
      <c r="F415" s="62">
        <v>0.0</v>
      </c>
      <c r="G415" s="62" t="s">
        <v>5712</v>
      </c>
      <c r="H415" s="62" t="s">
        <v>5705</v>
      </c>
      <c r="I415" s="62" t="s">
        <v>13</v>
      </c>
      <c r="J415" s="118" t="s">
        <v>5708</v>
      </c>
      <c r="K415" s="130" t="s">
        <v>153</v>
      </c>
      <c r="L415" s="130">
        <v>0.0</v>
      </c>
      <c r="M415" s="132">
        <v>1.0</v>
      </c>
      <c r="N415" s="1">
        <v>0.0</v>
      </c>
      <c r="O415" s="1">
        <v>0.0</v>
      </c>
    </row>
    <row r="416" ht="15.75" hidden="1" customHeight="1">
      <c r="A416" s="127">
        <v>45665.0</v>
      </c>
      <c r="B416" s="138">
        <v>45969.0</v>
      </c>
      <c r="C416" s="125" t="s">
        <v>5714</v>
      </c>
      <c r="D416" s="123" t="s">
        <v>4</v>
      </c>
      <c r="E416" s="123">
        <v>1270458.0</v>
      </c>
      <c r="F416" s="124">
        <v>0.0</v>
      </c>
      <c r="G416" s="124" t="s">
        <v>5712</v>
      </c>
      <c r="H416" s="124" t="s">
        <v>5705</v>
      </c>
      <c r="I416" s="124" t="s">
        <v>13</v>
      </c>
      <c r="J416" s="124" t="s">
        <v>5708</v>
      </c>
      <c r="K416" s="125" t="s">
        <v>155</v>
      </c>
      <c r="L416" s="125">
        <v>87.0</v>
      </c>
      <c r="M416" s="126">
        <v>22.0</v>
      </c>
      <c r="N416" s="1">
        <v>3.954545455</v>
      </c>
      <c r="O416" s="1">
        <v>3.954545455</v>
      </c>
    </row>
    <row r="417" ht="15.75" hidden="1" customHeight="1">
      <c r="A417" s="129">
        <v>45665.0</v>
      </c>
      <c r="B417" s="137">
        <v>45969.0</v>
      </c>
      <c r="C417" s="130" t="s">
        <v>5714</v>
      </c>
      <c r="D417" s="117" t="s">
        <v>4</v>
      </c>
      <c r="E417" s="117">
        <v>1270458.0</v>
      </c>
      <c r="F417" s="62">
        <v>0.0</v>
      </c>
      <c r="G417" s="62" t="s">
        <v>5712</v>
      </c>
      <c r="H417" s="62" t="s">
        <v>5705</v>
      </c>
      <c r="I417" s="62" t="s">
        <v>13</v>
      </c>
      <c r="J417" s="118" t="s">
        <v>5708</v>
      </c>
      <c r="K417" s="130" t="s">
        <v>160</v>
      </c>
      <c r="L417" s="130">
        <v>0.0</v>
      </c>
      <c r="M417" s="132">
        <v>2.0</v>
      </c>
      <c r="N417" s="1">
        <v>0.0</v>
      </c>
      <c r="O417" s="1">
        <v>0.0</v>
      </c>
    </row>
    <row r="418" ht="15.75" hidden="1" customHeight="1">
      <c r="A418" s="127">
        <v>45665.0</v>
      </c>
      <c r="B418" s="138">
        <v>45969.0</v>
      </c>
      <c r="C418" s="125" t="s">
        <v>5714</v>
      </c>
      <c r="D418" s="123" t="s">
        <v>4</v>
      </c>
      <c r="E418" s="123">
        <v>1270458.0</v>
      </c>
      <c r="F418" s="124">
        <v>0.0</v>
      </c>
      <c r="G418" s="124" t="s">
        <v>5712</v>
      </c>
      <c r="H418" s="124" t="s">
        <v>5705</v>
      </c>
      <c r="I418" s="124" t="s">
        <v>13</v>
      </c>
      <c r="J418" s="124" t="s">
        <v>5708</v>
      </c>
      <c r="K418" s="125" t="s">
        <v>160</v>
      </c>
      <c r="L418" s="124">
        <v>0.0</v>
      </c>
      <c r="M418" s="126">
        <v>130.0</v>
      </c>
      <c r="N418" s="1">
        <v>0.0</v>
      </c>
      <c r="O418" s="1">
        <v>0.0</v>
      </c>
    </row>
    <row r="419" ht="15.75" hidden="1" customHeight="1">
      <c r="A419" s="129">
        <v>45665.0</v>
      </c>
      <c r="B419" s="137">
        <v>45969.0</v>
      </c>
      <c r="C419" s="130" t="s">
        <v>5714</v>
      </c>
      <c r="D419" s="117" t="s">
        <v>4</v>
      </c>
      <c r="E419" s="117">
        <v>1270458.0</v>
      </c>
      <c r="F419" s="62">
        <v>0.0</v>
      </c>
      <c r="G419" s="62" t="s">
        <v>5712</v>
      </c>
      <c r="H419" s="62" t="s">
        <v>5705</v>
      </c>
      <c r="I419" s="62" t="s">
        <v>13</v>
      </c>
      <c r="J419" s="118" t="s">
        <v>5708</v>
      </c>
      <c r="K419" s="130" t="s">
        <v>163</v>
      </c>
      <c r="L419" s="62">
        <v>2.0</v>
      </c>
      <c r="M419" s="132"/>
      <c r="N419" s="1">
        <v>2.0</v>
      </c>
      <c r="O419" s="1" t="s">
        <v>5713</v>
      </c>
    </row>
    <row r="420" ht="15.75" hidden="1" customHeight="1">
      <c r="A420" s="127">
        <v>45665.0</v>
      </c>
      <c r="B420" s="138">
        <v>45969.0</v>
      </c>
      <c r="C420" s="125" t="s">
        <v>5714</v>
      </c>
      <c r="D420" s="123" t="s">
        <v>4</v>
      </c>
      <c r="E420" s="123">
        <v>1270458.0</v>
      </c>
      <c r="F420" s="124">
        <v>0.0</v>
      </c>
      <c r="G420" s="124" t="s">
        <v>5712</v>
      </c>
      <c r="H420" s="124" t="s">
        <v>5705</v>
      </c>
      <c r="I420" s="124" t="s">
        <v>13</v>
      </c>
      <c r="J420" s="124" t="s">
        <v>5708</v>
      </c>
      <c r="K420" s="125" t="s">
        <v>160</v>
      </c>
      <c r="L420" s="125">
        <v>0.0</v>
      </c>
      <c r="M420" s="134">
        <v>1.0</v>
      </c>
      <c r="N420" s="1">
        <v>0.0</v>
      </c>
      <c r="O420" s="1">
        <v>0.0</v>
      </c>
    </row>
    <row r="421" ht="15.75" hidden="1" customHeight="1">
      <c r="A421" s="129">
        <v>45665.0</v>
      </c>
      <c r="B421" s="137">
        <v>45969.0</v>
      </c>
      <c r="C421" s="130" t="s">
        <v>5715</v>
      </c>
      <c r="D421" s="117" t="s">
        <v>4</v>
      </c>
      <c r="E421" s="117">
        <v>1270458.0</v>
      </c>
      <c r="F421" s="62">
        <v>0.0</v>
      </c>
      <c r="G421" s="62" t="s">
        <v>5712</v>
      </c>
      <c r="H421" s="62" t="s">
        <v>5705</v>
      </c>
      <c r="I421" s="62" t="s">
        <v>13</v>
      </c>
      <c r="J421" s="118" t="s">
        <v>5708</v>
      </c>
      <c r="K421" s="130" t="s">
        <v>160</v>
      </c>
      <c r="L421" s="62">
        <v>0.0</v>
      </c>
      <c r="M421" s="132">
        <v>2.0</v>
      </c>
      <c r="N421" s="1">
        <v>0.0</v>
      </c>
      <c r="O421" s="1">
        <v>0.0</v>
      </c>
    </row>
    <row r="422" ht="15.75" hidden="1" customHeight="1">
      <c r="A422" s="127">
        <v>45665.0</v>
      </c>
      <c r="B422" s="138">
        <v>45969.0</v>
      </c>
      <c r="C422" s="125" t="s">
        <v>5715</v>
      </c>
      <c r="D422" s="123" t="s">
        <v>4</v>
      </c>
      <c r="E422" s="123">
        <v>1270458.0</v>
      </c>
      <c r="F422" s="124">
        <v>0.0</v>
      </c>
      <c r="G422" s="124" t="s">
        <v>5712</v>
      </c>
      <c r="H422" s="124" t="s">
        <v>5705</v>
      </c>
      <c r="I422" s="124" t="s">
        <v>13</v>
      </c>
      <c r="J422" s="124" t="s">
        <v>5708</v>
      </c>
      <c r="K422" s="125" t="s">
        <v>163</v>
      </c>
      <c r="L422" s="124">
        <v>2.0</v>
      </c>
      <c r="M422" s="126"/>
      <c r="N422" s="1">
        <v>2.0</v>
      </c>
      <c r="O422" s="1" t="s">
        <v>5713</v>
      </c>
    </row>
    <row r="423" ht="15.75" hidden="1" customHeight="1">
      <c r="A423" s="129">
        <v>45665.0</v>
      </c>
      <c r="B423" s="137">
        <v>45969.0</v>
      </c>
      <c r="C423" s="130" t="s">
        <v>5714</v>
      </c>
      <c r="D423" s="117" t="s">
        <v>4</v>
      </c>
      <c r="E423" s="117">
        <v>1270458.0</v>
      </c>
      <c r="F423" s="62">
        <v>0.0</v>
      </c>
      <c r="G423" s="62" t="s">
        <v>5712</v>
      </c>
      <c r="H423" s="62" t="s">
        <v>5705</v>
      </c>
      <c r="I423" s="62" t="s">
        <v>13</v>
      </c>
      <c r="J423" s="118" t="s">
        <v>5708</v>
      </c>
      <c r="K423" s="130" t="s">
        <v>155</v>
      </c>
      <c r="L423" s="62">
        <v>5.0</v>
      </c>
      <c r="M423" s="132">
        <v>1.0</v>
      </c>
      <c r="N423" s="1">
        <v>5.0</v>
      </c>
      <c r="O423" s="1">
        <v>5.0</v>
      </c>
    </row>
    <row r="424" ht="15.75" hidden="1" customHeight="1">
      <c r="A424" s="127">
        <v>45665.0</v>
      </c>
      <c r="B424" s="138">
        <v>45969.0</v>
      </c>
      <c r="C424" s="125" t="s">
        <v>5714</v>
      </c>
      <c r="D424" s="123" t="s">
        <v>4</v>
      </c>
      <c r="E424" s="123">
        <v>1270458.0</v>
      </c>
      <c r="F424" s="124">
        <v>0.0</v>
      </c>
      <c r="G424" s="124" t="s">
        <v>5712</v>
      </c>
      <c r="H424" s="124" t="s">
        <v>5705</v>
      </c>
      <c r="I424" s="124" t="s">
        <v>13</v>
      </c>
      <c r="J424" s="124" t="s">
        <v>5708</v>
      </c>
      <c r="K424" s="125" t="s">
        <v>160</v>
      </c>
      <c r="L424" s="124">
        <v>0.0</v>
      </c>
      <c r="M424" s="126">
        <v>1.0</v>
      </c>
      <c r="N424" s="1">
        <v>0.0</v>
      </c>
      <c r="O424" s="1">
        <v>0.0</v>
      </c>
    </row>
    <row r="425" ht="15.75" hidden="1" customHeight="1">
      <c r="A425" s="129">
        <v>45665.0</v>
      </c>
      <c r="B425" s="137">
        <v>45969.0</v>
      </c>
      <c r="C425" s="130" t="s">
        <v>5714</v>
      </c>
      <c r="D425" s="117" t="s">
        <v>4</v>
      </c>
      <c r="E425" s="117">
        <v>1270458.0</v>
      </c>
      <c r="F425" s="62">
        <v>0.0</v>
      </c>
      <c r="G425" s="62" t="s">
        <v>5712</v>
      </c>
      <c r="H425" s="62" t="s">
        <v>5705</v>
      </c>
      <c r="I425" s="62" t="s">
        <v>13</v>
      </c>
      <c r="J425" s="118" t="s">
        <v>5708</v>
      </c>
      <c r="K425" s="130" t="s">
        <v>11</v>
      </c>
      <c r="L425" s="130">
        <v>0.0</v>
      </c>
      <c r="M425" s="132">
        <v>8.5</v>
      </c>
      <c r="N425" s="1">
        <v>0.0</v>
      </c>
      <c r="O425" s="1">
        <v>0.0</v>
      </c>
    </row>
    <row r="426" ht="15.75" hidden="1" customHeight="1">
      <c r="A426" s="127">
        <v>45665.0</v>
      </c>
      <c r="B426" s="138">
        <v>45969.0</v>
      </c>
      <c r="C426" s="125" t="s">
        <v>5714</v>
      </c>
      <c r="D426" s="123" t="s">
        <v>4</v>
      </c>
      <c r="E426" s="123">
        <v>1270458.0</v>
      </c>
      <c r="F426" s="124">
        <v>0.0</v>
      </c>
      <c r="G426" s="124" t="s">
        <v>5712</v>
      </c>
      <c r="H426" s="124" t="s">
        <v>5705</v>
      </c>
      <c r="I426" s="124" t="s">
        <v>13</v>
      </c>
      <c r="J426" s="124" t="s">
        <v>5708</v>
      </c>
      <c r="K426" s="125" t="s">
        <v>153</v>
      </c>
      <c r="L426" s="124">
        <v>469.68</v>
      </c>
      <c r="M426" s="126">
        <v>126.0</v>
      </c>
      <c r="N426" s="1">
        <v>3.727619048</v>
      </c>
      <c r="O426" s="1">
        <v>3.727619048</v>
      </c>
    </row>
    <row r="427" ht="15.75" hidden="1" customHeight="1">
      <c r="A427" s="129">
        <v>45665.0</v>
      </c>
      <c r="B427" s="137">
        <v>45969.0</v>
      </c>
      <c r="C427" s="130" t="s">
        <v>5714</v>
      </c>
      <c r="D427" s="117" t="s">
        <v>4</v>
      </c>
      <c r="E427" s="117">
        <v>1270458.0</v>
      </c>
      <c r="F427" s="62">
        <v>0.0</v>
      </c>
      <c r="G427" s="62" t="s">
        <v>5712</v>
      </c>
      <c r="H427" s="62" t="s">
        <v>5705</v>
      </c>
      <c r="I427" s="62" t="s">
        <v>13</v>
      </c>
      <c r="J427" s="118" t="s">
        <v>5708</v>
      </c>
      <c r="K427" s="130" t="s">
        <v>160</v>
      </c>
      <c r="L427" s="130">
        <v>0.0</v>
      </c>
      <c r="M427" s="132">
        <v>1.0</v>
      </c>
      <c r="N427" s="1">
        <v>0.0</v>
      </c>
      <c r="O427" s="1">
        <v>0.0</v>
      </c>
    </row>
    <row r="428" ht="15.75" hidden="1" customHeight="1">
      <c r="A428" s="127">
        <v>45665.0</v>
      </c>
      <c r="B428" s="138">
        <v>45969.0</v>
      </c>
      <c r="C428" s="125" t="s">
        <v>5717</v>
      </c>
      <c r="D428" s="123" t="s">
        <v>4</v>
      </c>
      <c r="E428" s="123">
        <v>1270458.0</v>
      </c>
      <c r="F428" s="124">
        <v>0.0</v>
      </c>
      <c r="G428" s="124" t="s">
        <v>5712</v>
      </c>
      <c r="H428" s="124" t="s">
        <v>5705</v>
      </c>
      <c r="I428" s="124" t="s">
        <v>13</v>
      </c>
      <c r="J428" s="124" t="s">
        <v>5708</v>
      </c>
      <c r="K428" s="125" t="s">
        <v>147</v>
      </c>
      <c r="L428" s="125">
        <v>0.0</v>
      </c>
      <c r="M428" s="126">
        <v>1.0</v>
      </c>
      <c r="N428" s="1">
        <v>0.0</v>
      </c>
      <c r="O428" s="1">
        <v>0.0</v>
      </c>
    </row>
    <row r="429" ht="15.75" hidden="1" customHeight="1">
      <c r="A429" s="129">
        <v>45665.0</v>
      </c>
      <c r="B429" s="137">
        <v>45969.0</v>
      </c>
      <c r="C429" s="130" t="s">
        <v>5717</v>
      </c>
      <c r="D429" s="117" t="s">
        <v>4</v>
      </c>
      <c r="E429" s="117">
        <v>1270458.0</v>
      </c>
      <c r="F429" s="62">
        <v>0.0</v>
      </c>
      <c r="G429" s="62" t="s">
        <v>5712</v>
      </c>
      <c r="H429" s="62" t="s">
        <v>5705</v>
      </c>
      <c r="I429" s="62" t="s">
        <v>13</v>
      </c>
      <c r="J429" s="118" t="s">
        <v>5708</v>
      </c>
      <c r="K429" s="130" t="s">
        <v>153</v>
      </c>
      <c r="L429" s="130">
        <v>0.53</v>
      </c>
      <c r="M429" s="132">
        <v>0.0</v>
      </c>
      <c r="N429" s="1"/>
      <c r="O429" s="1" t="s">
        <v>5713</v>
      </c>
    </row>
    <row r="430" ht="15.75" hidden="1" customHeight="1">
      <c r="A430" s="127">
        <v>45665.0</v>
      </c>
      <c r="B430" s="138">
        <v>45969.0</v>
      </c>
      <c r="C430" s="125" t="s">
        <v>5717</v>
      </c>
      <c r="D430" s="123" t="s">
        <v>4</v>
      </c>
      <c r="E430" s="123">
        <v>1270458.0</v>
      </c>
      <c r="F430" s="124">
        <v>0.0</v>
      </c>
      <c r="G430" s="124" t="s">
        <v>5712</v>
      </c>
      <c r="H430" s="124" t="s">
        <v>5705</v>
      </c>
      <c r="I430" s="124" t="s">
        <v>13</v>
      </c>
      <c r="J430" s="124" t="s">
        <v>5708</v>
      </c>
      <c r="K430" s="125" t="s">
        <v>153</v>
      </c>
      <c r="L430" s="125">
        <v>1.07</v>
      </c>
      <c r="M430" s="126">
        <v>2.0</v>
      </c>
      <c r="N430" s="1">
        <v>0.535</v>
      </c>
      <c r="O430" s="1">
        <v>0.535</v>
      </c>
    </row>
    <row r="431" ht="15.75" hidden="1" customHeight="1">
      <c r="A431" s="129">
        <v>45665.0</v>
      </c>
      <c r="B431" s="137">
        <v>45969.0</v>
      </c>
      <c r="C431" s="130" t="s">
        <v>5717</v>
      </c>
      <c r="D431" s="117" t="s">
        <v>4</v>
      </c>
      <c r="E431" s="117">
        <v>1270458.0</v>
      </c>
      <c r="F431" s="62">
        <v>0.0</v>
      </c>
      <c r="G431" s="62" t="s">
        <v>5712</v>
      </c>
      <c r="H431" s="62" t="s">
        <v>5705</v>
      </c>
      <c r="I431" s="62" t="s">
        <v>13</v>
      </c>
      <c r="J431" s="118" t="s">
        <v>5708</v>
      </c>
      <c r="K431" s="130" t="s">
        <v>163</v>
      </c>
      <c r="L431" s="130">
        <v>5.0</v>
      </c>
      <c r="M431" s="132"/>
      <c r="N431" s="1">
        <v>5.0</v>
      </c>
      <c r="O431" s="1" t="s">
        <v>5713</v>
      </c>
    </row>
    <row r="432" ht="15.75" hidden="1" customHeight="1">
      <c r="A432" s="127">
        <v>45665.0</v>
      </c>
      <c r="B432" s="138">
        <v>45969.0</v>
      </c>
      <c r="C432" s="125" t="s">
        <v>5717</v>
      </c>
      <c r="D432" s="123" t="s">
        <v>4</v>
      </c>
      <c r="E432" s="123">
        <v>1270458.0</v>
      </c>
      <c r="F432" s="124">
        <v>0.0</v>
      </c>
      <c r="G432" s="124" t="s">
        <v>5712</v>
      </c>
      <c r="H432" s="124" t="s">
        <v>5705</v>
      </c>
      <c r="I432" s="124" t="s">
        <v>5708</v>
      </c>
      <c r="J432" s="124" t="s">
        <v>5708</v>
      </c>
      <c r="K432" s="125" t="s">
        <v>7</v>
      </c>
      <c r="L432" s="125">
        <v>300.0</v>
      </c>
      <c r="M432" s="126">
        <v>16.0</v>
      </c>
      <c r="N432" s="1">
        <v>18.75</v>
      </c>
      <c r="O432" s="1">
        <v>18.75</v>
      </c>
    </row>
    <row r="433" ht="15.75" hidden="1" customHeight="1">
      <c r="A433" s="129">
        <v>45665.0</v>
      </c>
      <c r="B433" s="137">
        <v>45969.0</v>
      </c>
      <c r="C433" s="130" t="s">
        <v>5717</v>
      </c>
      <c r="D433" s="117" t="s">
        <v>4</v>
      </c>
      <c r="E433" s="117">
        <v>1270458.0</v>
      </c>
      <c r="F433" s="62">
        <v>0.0</v>
      </c>
      <c r="G433" s="62" t="s">
        <v>5712</v>
      </c>
      <c r="H433" s="62" t="s">
        <v>5705</v>
      </c>
      <c r="I433" s="62" t="s">
        <v>13</v>
      </c>
      <c r="J433" s="118" t="s">
        <v>5708</v>
      </c>
      <c r="K433" s="130" t="s">
        <v>154</v>
      </c>
      <c r="L433" s="130">
        <v>12000.0</v>
      </c>
      <c r="M433" s="132">
        <v>201.0</v>
      </c>
      <c r="N433" s="1">
        <v>59.70149254</v>
      </c>
      <c r="O433" s="1">
        <v>59.70149254</v>
      </c>
    </row>
    <row r="434" ht="15.75" hidden="1" customHeight="1">
      <c r="A434" s="127">
        <v>45665.0</v>
      </c>
      <c r="B434" s="138">
        <v>45969.0</v>
      </c>
      <c r="C434" s="125" t="s">
        <v>5717</v>
      </c>
      <c r="D434" s="123" t="s">
        <v>4</v>
      </c>
      <c r="E434" s="123">
        <v>1270458.0</v>
      </c>
      <c r="F434" s="124">
        <v>0.0</v>
      </c>
      <c r="G434" s="124" t="s">
        <v>5712</v>
      </c>
      <c r="H434" s="124" t="s">
        <v>5705</v>
      </c>
      <c r="I434" s="124" t="s">
        <v>13</v>
      </c>
      <c r="J434" s="124" t="s">
        <v>5708</v>
      </c>
      <c r="K434" s="125" t="s">
        <v>142</v>
      </c>
      <c r="L434" s="125">
        <v>110.0</v>
      </c>
      <c r="M434" s="126"/>
      <c r="N434" s="1">
        <v>110.0</v>
      </c>
      <c r="O434" s="1" t="s">
        <v>5713</v>
      </c>
    </row>
    <row r="435" ht="15.75" hidden="1" customHeight="1">
      <c r="A435" s="129">
        <v>45665.0</v>
      </c>
      <c r="B435" s="137">
        <v>45969.0</v>
      </c>
      <c r="C435" s="130" t="s">
        <v>5717</v>
      </c>
      <c r="D435" s="117" t="s">
        <v>4</v>
      </c>
      <c r="E435" s="117">
        <v>1270458.0</v>
      </c>
      <c r="F435" s="62">
        <v>0.0</v>
      </c>
      <c r="G435" s="62" t="s">
        <v>5712</v>
      </c>
      <c r="H435" s="62" t="s">
        <v>5705</v>
      </c>
      <c r="I435" s="62" t="s">
        <v>13</v>
      </c>
      <c r="J435" s="118" t="s">
        <v>5708</v>
      </c>
      <c r="K435" s="130" t="s">
        <v>163</v>
      </c>
      <c r="L435" s="130">
        <v>5.0</v>
      </c>
      <c r="M435" s="132"/>
      <c r="N435" s="1">
        <v>5.0</v>
      </c>
      <c r="O435" s="1" t="s">
        <v>5713</v>
      </c>
    </row>
    <row r="436" ht="15.75" hidden="1" customHeight="1">
      <c r="A436" s="127">
        <v>45665.0</v>
      </c>
      <c r="B436" s="138">
        <v>45969.0</v>
      </c>
      <c r="C436" s="125" t="s">
        <v>5717</v>
      </c>
      <c r="D436" s="123" t="s">
        <v>4</v>
      </c>
      <c r="E436" s="123">
        <v>1270458.0</v>
      </c>
      <c r="F436" s="124">
        <v>0.0</v>
      </c>
      <c r="G436" s="124" t="s">
        <v>5712</v>
      </c>
      <c r="H436" s="124" t="s">
        <v>5705</v>
      </c>
      <c r="I436" s="124" t="s">
        <v>13</v>
      </c>
      <c r="J436" s="124" t="s">
        <v>5708</v>
      </c>
      <c r="K436" s="125" t="s">
        <v>163</v>
      </c>
      <c r="L436" s="125">
        <v>2.0</v>
      </c>
      <c r="M436" s="126"/>
      <c r="N436" s="1">
        <v>2.0</v>
      </c>
      <c r="O436" s="1" t="s">
        <v>5713</v>
      </c>
    </row>
    <row r="437" ht="15.75" hidden="1" customHeight="1">
      <c r="A437" s="129">
        <v>45665.0</v>
      </c>
      <c r="B437" s="137">
        <v>45969.0</v>
      </c>
      <c r="C437" s="130" t="s">
        <v>5717</v>
      </c>
      <c r="D437" s="117" t="s">
        <v>4</v>
      </c>
      <c r="E437" s="117">
        <v>1270458.0</v>
      </c>
      <c r="F437" s="62">
        <v>0.0</v>
      </c>
      <c r="G437" s="62" t="s">
        <v>5712</v>
      </c>
      <c r="H437" s="62" t="s">
        <v>5705</v>
      </c>
      <c r="I437" s="62" t="s">
        <v>13</v>
      </c>
      <c r="J437" s="118" t="s">
        <v>5708</v>
      </c>
      <c r="K437" s="130" t="s">
        <v>156</v>
      </c>
      <c r="L437" s="130">
        <v>100.0</v>
      </c>
      <c r="M437" s="132">
        <v>1.0</v>
      </c>
      <c r="N437" s="1">
        <v>100.0</v>
      </c>
      <c r="O437" s="1">
        <v>100.0</v>
      </c>
    </row>
    <row r="438" ht="15.75" hidden="1" customHeight="1">
      <c r="A438" s="127">
        <v>45665.0</v>
      </c>
      <c r="B438" s="138">
        <v>45969.0</v>
      </c>
      <c r="C438" s="125" t="s">
        <v>5717</v>
      </c>
      <c r="D438" s="123" t="s">
        <v>4</v>
      </c>
      <c r="E438" s="123">
        <v>1270458.0</v>
      </c>
      <c r="F438" s="124">
        <v>0.0</v>
      </c>
      <c r="G438" s="124" t="s">
        <v>5712</v>
      </c>
      <c r="H438" s="124" t="s">
        <v>5705</v>
      </c>
      <c r="I438" s="124" t="s">
        <v>13</v>
      </c>
      <c r="J438" s="124" t="s">
        <v>5708</v>
      </c>
      <c r="K438" s="125" t="s">
        <v>147</v>
      </c>
      <c r="L438" s="125">
        <v>0.0</v>
      </c>
      <c r="M438" s="126">
        <v>1.0</v>
      </c>
      <c r="N438" s="1">
        <v>0.0</v>
      </c>
      <c r="O438" s="1">
        <v>0.0</v>
      </c>
    </row>
    <row r="439" ht="15.75" customHeight="1">
      <c r="A439" s="129">
        <v>45665.0</v>
      </c>
      <c r="B439" s="137">
        <v>45969.0</v>
      </c>
      <c r="C439" s="130" t="s">
        <v>5714</v>
      </c>
      <c r="D439" s="117" t="s">
        <v>4</v>
      </c>
      <c r="E439" s="117">
        <v>1270458.0</v>
      </c>
      <c r="F439" s="62">
        <v>0.0</v>
      </c>
      <c r="G439" s="62" t="s">
        <v>5712</v>
      </c>
      <c r="H439" s="62" t="s">
        <v>5705</v>
      </c>
      <c r="I439" s="117" t="s">
        <v>13</v>
      </c>
      <c r="J439" s="118" t="s">
        <v>5708</v>
      </c>
      <c r="K439" s="130" t="s">
        <v>139</v>
      </c>
      <c r="L439" s="130">
        <v>0.0</v>
      </c>
      <c r="M439" s="132">
        <v>0.002166667</v>
      </c>
      <c r="N439" s="1">
        <v>0.0</v>
      </c>
      <c r="O439" s="1">
        <v>0.0</v>
      </c>
    </row>
    <row r="440" ht="15.75" hidden="1" customHeight="1">
      <c r="A440" s="127">
        <v>45665.0</v>
      </c>
      <c r="B440" s="138">
        <v>45969.0</v>
      </c>
      <c r="C440" s="125" t="s">
        <v>5714</v>
      </c>
      <c r="D440" s="123" t="s">
        <v>4</v>
      </c>
      <c r="E440" s="123">
        <v>1270458.0</v>
      </c>
      <c r="F440" s="124">
        <v>0.0</v>
      </c>
      <c r="G440" s="124" t="s">
        <v>5712</v>
      </c>
      <c r="H440" s="124" t="s">
        <v>5705</v>
      </c>
      <c r="I440" s="124" t="s">
        <v>13</v>
      </c>
      <c r="J440" s="124" t="s">
        <v>5708</v>
      </c>
      <c r="K440" s="125" t="s">
        <v>147</v>
      </c>
      <c r="L440" s="125">
        <v>300.0</v>
      </c>
      <c r="M440" s="126">
        <v>130.0</v>
      </c>
      <c r="N440" s="1">
        <v>2.307692308</v>
      </c>
      <c r="O440" s="1">
        <v>2.307692308</v>
      </c>
    </row>
    <row r="441" ht="15.75" hidden="1" customHeight="1">
      <c r="A441" s="129">
        <v>45665.0</v>
      </c>
      <c r="B441" s="137">
        <v>45969.0</v>
      </c>
      <c r="C441" s="130" t="s">
        <v>5714</v>
      </c>
      <c r="D441" s="117" t="s">
        <v>4</v>
      </c>
      <c r="E441" s="117">
        <v>1270458.0</v>
      </c>
      <c r="F441" s="62">
        <v>0.0</v>
      </c>
      <c r="G441" s="62" t="s">
        <v>5712</v>
      </c>
      <c r="H441" s="62" t="s">
        <v>5705</v>
      </c>
      <c r="I441" s="62" t="s">
        <v>13</v>
      </c>
      <c r="J441" s="118" t="s">
        <v>5708</v>
      </c>
      <c r="K441" s="130" t="s">
        <v>147</v>
      </c>
      <c r="L441" s="130">
        <v>0.0</v>
      </c>
      <c r="M441" s="132">
        <v>2.0</v>
      </c>
      <c r="N441" s="1">
        <v>0.0</v>
      </c>
      <c r="O441" s="1">
        <v>0.0</v>
      </c>
    </row>
    <row r="442" ht="15.75" hidden="1" customHeight="1">
      <c r="A442" s="127">
        <v>45665.0</v>
      </c>
      <c r="B442" s="138">
        <v>45969.0</v>
      </c>
      <c r="C442" s="125" t="s">
        <v>5714</v>
      </c>
      <c r="D442" s="123" t="s">
        <v>4</v>
      </c>
      <c r="E442" s="123">
        <v>1270458.0</v>
      </c>
      <c r="F442" s="124">
        <v>0.0</v>
      </c>
      <c r="G442" s="124" t="s">
        <v>5712</v>
      </c>
      <c r="H442" s="124" t="s">
        <v>5705</v>
      </c>
      <c r="I442" s="124" t="s">
        <v>13</v>
      </c>
      <c r="J442" s="124" t="s">
        <v>5708</v>
      </c>
      <c r="K442" s="125" t="s">
        <v>147</v>
      </c>
      <c r="L442" s="125">
        <v>0.0</v>
      </c>
      <c r="M442" s="126">
        <v>6.0</v>
      </c>
      <c r="N442" s="1">
        <v>0.0</v>
      </c>
      <c r="O442" s="1">
        <v>0.0</v>
      </c>
    </row>
    <row r="443" ht="15.75" hidden="1" customHeight="1">
      <c r="A443" s="129">
        <v>45665.0</v>
      </c>
      <c r="B443" s="137">
        <v>45969.0</v>
      </c>
      <c r="C443" s="130" t="s">
        <v>5714</v>
      </c>
      <c r="D443" s="117" t="s">
        <v>4</v>
      </c>
      <c r="E443" s="117">
        <v>1270458.0</v>
      </c>
      <c r="F443" s="62">
        <v>0.0</v>
      </c>
      <c r="G443" s="62" t="s">
        <v>5712</v>
      </c>
      <c r="H443" s="62" t="s">
        <v>5705</v>
      </c>
      <c r="I443" s="62" t="s">
        <v>13</v>
      </c>
      <c r="J443" s="118" t="s">
        <v>5708</v>
      </c>
      <c r="K443" s="130" t="s">
        <v>160</v>
      </c>
      <c r="L443" s="62">
        <v>0.0</v>
      </c>
      <c r="M443" s="132">
        <v>6.0</v>
      </c>
      <c r="N443" s="1">
        <v>0.0</v>
      </c>
      <c r="O443" s="1">
        <v>0.0</v>
      </c>
    </row>
    <row r="444" ht="15.75" hidden="1" customHeight="1">
      <c r="A444" s="127">
        <v>45665.0</v>
      </c>
      <c r="B444" s="138">
        <v>45969.0</v>
      </c>
      <c r="C444" s="125" t="s">
        <v>5714</v>
      </c>
      <c r="D444" s="123" t="s">
        <v>4</v>
      </c>
      <c r="E444" s="123">
        <v>1270458.0</v>
      </c>
      <c r="F444" s="124">
        <v>0.0</v>
      </c>
      <c r="G444" s="124" t="s">
        <v>5712</v>
      </c>
      <c r="H444" s="124" t="s">
        <v>5705</v>
      </c>
      <c r="I444" s="124" t="s">
        <v>13</v>
      </c>
      <c r="J444" s="124" t="s">
        <v>5708</v>
      </c>
      <c r="K444" s="125" t="s">
        <v>147</v>
      </c>
      <c r="L444" s="125">
        <v>0.0</v>
      </c>
      <c r="M444" s="126">
        <v>1.0</v>
      </c>
      <c r="N444" s="1">
        <v>0.0</v>
      </c>
      <c r="O444" s="1">
        <v>0.0</v>
      </c>
    </row>
    <row r="445" ht="15.75" hidden="1" customHeight="1">
      <c r="A445" s="129">
        <v>45665.0</v>
      </c>
      <c r="B445" s="137">
        <v>45969.0</v>
      </c>
      <c r="C445" s="130" t="s">
        <v>5714</v>
      </c>
      <c r="D445" s="117" t="s">
        <v>4</v>
      </c>
      <c r="E445" s="117">
        <v>1270458.0</v>
      </c>
      <c r="F445" s="62">
        <v>0.0</v>
      </c>
      <c r="G445" s="62" t="s">
        <v>5712</v>
      </c>
      <c r="H445" s="62" t="s">
        <v>5705</v>
      </c>
      <c r="I445" s="62" t="s">
        <v>13</v>
      </c>
      <c r="J445" s="118" t="s">
        <v>5708</v>
      </c>
      <c r="K445" s="130" t="s">
        <v>163</v>
      </c>
      <c r="L445" s="62">
        <v>1.0</v>
      </c>
      <c r="M445" s="132"/>
      <c r="N445" s="1">
        <v>1.0</v>
      </c>
      <c r="O445" s="1" t="s">
        <v>5713</v>
      </c>
    </row>
    <row r="446" ht="15.75" hidden="1" customHeight="1">
      <c r="A446" s="127">
        <v>45665.0</v>
      </c>
      <c r="B446" s="138">
        <v>45969.0</v>
      </c>
      <c r="C446" s="125" t="s">
        <v>5714</v>
      </c>
      <c r="D446" s="123" t="s">
        <v>4</v>
      </c>
      <c r="E446" s="123">
        <v>1270458.0</v>
      </c>
      <c r="F446" s="124">
        <v>0.0</v>
      </c>
      <c r="G446" s="124" t="s">
        <v>5712</v>
      </c>
      <c r="H446" s="124" t="s">
        <v>5705</v>
      </c>
      <c r="I446" s="124" t="s">
        <v>13</v>
      </c>
      <c r="J446" s="124" t="s">
        <v>5708</v>
      </c>
      <c r="K446" s="125" t="s">
        <v>147</v>
      </c>
      <c r="L446" s="125">
        <v>0.0</v>
      </c>
      <c r="M446" s="126">
        <v>1.0</v>
      </c>
      <c r="N446" s="1">
        <v>0.0</v>
      </c>
      <c r="O446" s="1">
        <v>0.0</v>
      </c>
    </row>
    <row r="447" ht="15.75" hidden="1" customHeight="1">
      <c r="A447" s="129">
        <v>45665.0</v>
      </c>
      <c r="B447" s="137">
        <v>45969.0</v>
      </c>
      <c r="C447" s="130" t="s">
        <v>5714</v>
      </c>
      <c r="D447" s="117" t="s">
        <v>4</v>
      </c>
      <c r="E447" s="117">
        <v>1270458.0</v>
      </c>
      <c r="F447" s="62">
        <v>0.0</v>
      </c>
      <c r="G447" s="62" t="s">
        <v>5712</v>
      </c>
      <c r="H447" s="62" t="s">
        <v>5705</v>
      </c>
      <c r="I447" s="62" t="s">
        <v>13</v>
      </c>
      <c r="J447" s="118" t="s">
        <v>5708</v>
      </c>
      <c r="K447" s="130" t="s">
        <v>163</v>
      </c>
      <c r="L447" s="62">
        <v>1.0</v>
      </c>
      <c r="M447" s="132"/>
      <c r="N447" s="1">
        <v>1.0</v>
      </c>
      <c r="O447" s="1" t="s">
        <v>5713</v>
      </c>
    </row>
    <row r="448" ht="15.75" hidden="1" customHeight="1">
      <c r="A448" s="127">
        <v>45665.0</v>
      </c>
      <c r="B448" s="138">
        <v>45969.0</v>
      </c>
      <c r="C448" s="125" t="s">
        <v>5714</v>
      </c>
      <c r="D448" s="123" t="s">
        <v>4</v>
      </c>
      <c r="E448" s="123">
        <v>1270458.0</v>
      </c>
      <c r="F448" s="124">
        <v>0.0</v>
      </c>
      <c r="G448" s="124" t="s">
        <v>5712</v>
      </c>
      <c r="H448" s="124" t="s">
        <v>5705</v>
      </c>
      <c r="I448" s="124" t="s">
        <v>5708</v>
      </c>
      <c r="J448" s="124" t="s">
        <v>5708</v>
      </c>
      <c r="K448" s="125" t="s">
        <v>7</v>
      </c>
      <c r="L448" s="124">
        <v>0.0</v>
      </c>
      <c r="M448" s="126">
        <v>1.0</v>
      </c>
      <c r="N448" s="1">
        <v>0.0</v>
      </c>
      <c r="O448" s="1">
        <v>0.0</v>
      </c>
    </row>
    <row r="449" ht="15.75" hidden="1" customHeight="1">
      <c r="A449" s="129">
        <v>45665.0</v>
      </c>
      <c r="B449" s="137">
        <v>45969.0</v>
      </c>
      <c r="C449" s="130" t="s">
        <v>5714</v>
      </c>
      <c r="D449" s="117" t="s">
        <v>4</v>
      </c>
      <c r="E449" s="117">
        <v>1270458.0</v>
      </c>
      <c r="F449" s="62">
        <v>0.0</v>
      </c>
      <c r="G449" s="62" t="s">
        <v>5712</v>
      </c>
      <c r="H449" s="62" t="s">
        <v>5705</v>
      </c>
      <c r="I449" s="62" t="s">
        <v>13</v>
      </c>
      <c r="J449" s="118" t="s">
        <v>5708</v>
      </c>
      <c r="K449" s="130" t="s">
        <v>156</v>
      </c>
      <c r="L449" s="130">
        <v>100.0</v>
      </c>
      <c r="M449" s="132">
        <v>1.0</v>
      </c>
      <c r="N449" s="1">
        <v>100.0</v>
      </c>
      <c r="O449" s="1">
        <v>100.0</v>
      </c>
    </row>
    <row r="450" ht="15.75" hidden="1" customHeight="1">
      <c r="A450" s="127">
        <v>45665.0</v>
      </c>
      <c r="B450" s="138">
        <v>45969.0</v>
      </c>
      <c r="C450" s="125" t="s">
        <v>5715</v>
      </c>
      <c r="D450" s="123" t="s">
        <v>4</v>
      </c>
      <c r="E450" s="123">
        <v>1270458.0</v>
      </c>
      <c r="F450" s="124">
        <v>0.0</v>
      </c>
      <c r="G450" s="124" t="s">
        <v>5712</v>
      </c>
      <c r="H450" s="124" t="s">
        <v>5705</v>
      </c>
      <c r="I450" s="124" t="s">
        <v>13</v>
      </c>
      <c r="J450" s="124" t="s">
        <v>5708</v>
      </c>
      <c r="K450" s="125" t="s">
        <v>147</v>
      </c>
      <c r="L450" s="125">
        <v>100.0</v>
      </c>
      <c r="M450" s="126">
        <v>47.0</v>
      </c>
      <c r="N450" s="1">
        <v>2.127659574</v>
      </c>
      <c r="O450" s="1">
        <v>2.127659574</v>
      </c>
    </row>
    <row r="451" ht="15.75" hidden="1" customHeight="1">
      <c r="A451" s="129">
        <v>45665.0</v>
      </c>
      <c r="B451" s="137">
        <v>45969.0</v>
      </c>
      <c r="C451" s="130" t="s">
        <v>5714</v>
      </c>
      <c r="D451" s="117" t="s">
        <v>4</v>
      </c>
      <c r="E451" s="117">
        <v>1270458.0</v>
      </c>
      <c r="F451" s="62">
        <v>0.0</v>
      </c>
      <c r="G451" s="62" t="s">
        <v>5712</v>
      </c>
      <c r="H451" s="62" t="s">
        <v>5705</v>
      </c>
      <c r="I451" s="62" t="s">
        <v>13</v>
      </c>
      <c r="J451" s="118" t="s">
        <v>5708</v>
      </c>
      <c r="K451" s="130" t="s">
        <v>142</v>
      </c>
      <c r="L451" s="130">
        <v>1.0</v>
      </c>
      <c r="M451" s="132"/>
      <c r="N451" s="1">
        <v>1.0</v>
      </c>
      <c r="O451" s="1" t="s">
        <v>5713</v>
      </c>
    </row>
    <row r="452" ht="15.75" customHeight="1">
      <c r="A452" s="127">
        <v>45665.0</v>
      </c>
      <c r="B452" s="138">
        <v>45969.0</v>
      </c>
      <c r="C452" s="125" t="s">
        <v>5714</v>
      </c>
      <c r="D452" s="123" t="s">
        <v>4</v>
      </c>
      <c r="E452" s="123">
        <v>1270458.0</v>
      </c>
      <c r="F452" s="124">
        <v>0.0</v>
      </c>
      <c r="G452" s="124" t="s">
        <v>5712</v>
      </c>
      <c r="H452" s="124" t="s">
        <v>5705</v>
      </c>
      <c r="I452" s="124" t="s">
        <v>13</v>
      </c>
      <c r="J452" s="124" t="s">
        <v>5708</v>
      </c>
      <c r="K452" s="125" t="s">
        <v>139</v>
      </c>
      <c r="L452" s="124">
        <v>126.0</v>
      </c>
      <c r="M452" s="126">
        <v>7.828</v>
      </c>
      <c r="N452" s="1">
        <v>16.09606541</v>
      </c>
      <c r="O452" s="1">
        <v>16.09606541</v>
      </c>
    </row>
    <row r="453" ht="15.75" hidden="1" customHeight="1">
      <c r="A453" s="129">
        <v>45665.0</v>
      </c>
      <c r="B453" s="137">
        <v>45969.0</v>
      </c>
      <c r="C453" s="130" t="s">
        <v>5715</v>
      </c>
      <c r="D453" s="117" t="s">
        <v>4</v>
      </c>
      <c r="E453" s="117">
        <v>1270458.0</v>
      </c>
      <c r="F453" s="62">
        <v>0.0</v>
      </c>
      <c r="G453" s="62" t="s">
        <v>5712</v>
      </c>
      <c r="H453" s="62" t="s">
        <v>5705</v>
      </c>
      <c r="I453" s="62" t="s">
        <v>13</v>
      </c>
      <c r="J453" s="118" t="s">
        <v>5708</v>
      </c>
      <c r="K453" s="130" t="s">
        <v>160</v>
      </c>
      <c r="L453" s="130">
        <v>0.0</v>
      </c>
      <c r="M453" s="132">
        <v>2.0</v>
      </c>
      <c r="N453" s="1">
        <v>0.0</v>
      </c>
      <c r="O453" s="1">
        <v>0.0</v>
      </c>
    </row>
    <row r="454" ht="15.75" hidden="1" customHeight="1">
      <c r="A454" s="127">
        <v>45665.0</v>
      </c>
      <c r="B454" s="138">
        <v>45969.0</v>
      </c>
      <c r="C454" s="125" t="s">
        <v>5715</v>
      </c>
      <c r="D454" s="123" t="s">
        <v>4</v>
      </c>
      <c r="E454" s="123">
        <v>1270458.0</v>
      </c>
      <c r="F454" s="124">
        <v>0.0</v>
      </c>
      <c r="G454" s="124" t="s">
        <v>5712</v>
      </c>
      <c r="H454" s="124" t="s">
        <v>5705</v>
      </c>
      <c r="I454" s="124" t="s">
        <v>13</v>
      </c>
      <c r="J454" s="124" t="s">
        <v>5708</v>
      </c>
      <c r="K454" s="125" t="s">
        <v>163</v>
      </c>
      <c r="L454" s="125">
        <v>2.0</v>
      </c>
      <c r="M454" s="126"/>
      <c r="N454" s="1">
        <v>2.0</v>
      </c>
      <c r="O454" s="1" t="s">
        <v>5713</v>
      </c>
    </row>
    <row r="455" ht="15.75" hidden="1" customHeight="1">
      <c r="A455" s="129">
        <v>45665.0</v>
      </c>
      <c r="B455" s="137">
        <v>45969.0</v>
      </c>
      <c r="C455" s="130" t="s">
        <v>5715</v>
      </c>
      <c r="D455" s="117" t="s">
        <v>4</v>
      </c>
      <c r="E455" s="117">
        <v>1270458.0</v>
      </c>
      <c r="F455" s="62">
        <v>0.0</v>
      </c>
      <c r="G455" s="62" t="s">
        <v>5712</v>
      </c>
      <c r="H455" s="62" t="s">
        <v>5705</v>
      </c>
      <c r="I455" s="62" t="s">
        <v>13</v>
      </c>
      <c r="J455" s="118" t="s">
        <v>5708</v>
      </c>
      <c r="K455" s="130" t="s">
        <v>154</v>
      </c>
      <c r="L455" s="130">
        <v>5100.0</v>
      </c>
      <c r="M455" s="132">
        <v>90.0</v>
      </c>
      <c r="N455" s="1">
        <v>56.66666667</v>
      </c>
      <c r="O455" s="1">
        <v>56.66666667</v>
      </c>
    </row>
    <row r="456" ht="15.75" hidden="1" customHeight="1">
      <c r="A456" s="127">
        <v>45665.0</v>
      </c>
      <c r="B456" s="138">
        <v>45969.0</v>
      </c>
      <c r="C456" s="125" t="s">
        <v>5715</v>
      </c>
      <c r="D456" s="123" t="s">
        <v>4</v>
      </c>
      <c r="E456" s="123">
        <v>1270458.0</v>
      </c>
      <c r="F456" s="124">
        <v>0.0</v>
      </c>
      <c r="G456" s="124" t="s">
        <v>5712</v>
      </c>
      <c r="H456" s="124" t="s">
        <v>5705</v>
      </c>
      <c r="I456" s="124" t="s">
        <v>13</v>
      </c>
      <c r="J456" s="124" t="s">
        <v>5708</v>
      </c>
      <c r="K456" s="125" t="s">
        <v>155</v>
      </c>
      <c r="L456" s="125">
        <v>26.0</v>
      </c>
      <c r="M456" s="126">
        <v>6.0</v>
      </c>
      <c r="N456" s="1">
        <v>4.333333333</v>
      </c>
      <c r="O456" s="1">
        <v>4.333333333</v>
      </c>
    </row>
    <row r="457" ht="15.75" hidden="1" customHeight="1">
      <c r="A457" s="129">
        <v>45665.0</v>
      </c>
      <c r="B457" s="137">
        <v>45969.0</v>
      </c>
      <c r="C457" s="130" t="s">
        <v>5715</v>
      </c>
      <c r="D457" s="117" t="s">
        <v>4</v>
      </c>
      <c r="E457" s="117">
        <v>1270458.0</v>
      </c>
      <c r="F457" s="62">
        <v>0.0</v>
      </c>
      <c r="G457" s="62" t="s">
        <v>5712</v>
      </c>
      <c r="H457" s="62" t="s">
        <v>5705</v>
      </c>
      <c r="I457" s="62" t="s">
        <v>13</v>
      </c>
      <c r="J457" s="118" t="s">
        <v>5708</v>
      </c>
      <c r="K457" s="130" t="s">
        <v>147</v>
      </c>
      <c r="L457" s="130">
        <v>0.0</v>
      </c>
      <c r="M457" s="132">
        <v>1.0</v>
      </c>
      <c r="N457" s="1">
        <v>0.0</v>
      </c>
      <c r="O457" s="1">
        <v>0.0</v>
      </c>
    </row>
    <row r="458" ht="15.75" hidden="1" customHeight="1">
      <c r="A458" s="127">
        <v>45665.0</v>
      </c>
      <c r="B458" s="138">
        <v>45969.0</v>
      </c>
      <c r="C458" s="125" t="s">
        <v>5715</v>
      </c>
      <c r="D458" s="123" t="s">
        <v>4</v>
      </c>
      <c r="E458" s="123">
        <v>1270458.0</v>
      </c>
      <c r="F458" s="124">
        <v>0.0</v>
      </c>
      <c r="G458" s="124" t="s">
        <v>5712</v>
      </c>
      <c r="H458" s="124" t="s">
        <v>5705</v>
      </c>
      <c r="I458" s="124" t="s">
        <v>13</v>
      </c>
      <c r="J458" s="124" t="s">
        <v>5708</v>
      </c>
      <c r="K458" s="125" t="s">
        <v>163</v>
      </c>
      <c r="L458" s="125">
        <v>1.0</v>
      </c>
      <c r="M458" s="126"/>
      <c r="N458" s="1">
        <v>1.0</v>
      </c>
      <c r="O458" s="1" t="s">
        <v>5713</v>
      </c>
    </row>
    <row r="459" ht="15.75" hidden="1" customHeight="1">
      <c r="A459" s="129">
        <v>45665.0</v>
      </c>
      <c r="B459" s="137">
        <v>45969.0</v>
      </c>
      <c r="C459" s="130" t="s">
        <v>5715</v>
      </c>
      <c r="D459" s="117" t="s">
        <v>4</v>
      </c>
      <c r="E459" s="117">
        <v>1270458.0</v>
      </c>
      <c r="F459" s="62">
        <v>0.0</v>
      </c>
      <c r="G459" s="62" t="s">
        <v>5712</v>
      </c>
      <c r="H459" s="62" t="s">
        <v>5705</v>
      </c>
      <c r="I459" s="62" t="s">
        <v>13</v>
      </c>
      <c r="J459" s="118" t="s">
        <v>5708</v>
      </c>
      <c r="K459" s="130" t="s">
        <v>147</v>
      </c>
      <c r="L459" s="130">
        <v>0.0</v>
      </c>
      <c r="M459" s="132">
        <v>2.0</v>
      </c>
      <c r="N459" s="1">
        <v>0.0</v>
      </c>
      <c r="O459" s="1">
        <v>0.0</v>
      </c>
    </row>
    <row r="460" ht="15.75" hidden="1" customHeight="1">
      <c r="A460" s="127">
        <v>45665.0</v>
      </c>
      <c r="B460" s="138">
        <v>45969.0</v>
      </c>
      <c r="C460" s="125" t="s">
        <v>5715</v>
      </c>
      <c r="D460" s="123" t="s">
        <v>4</v>
      </c>
      <c r="E460" s="123">
        <v>1270458.0</v>
      </c>
      <c r="F460" s="124">
        <v>0.0</v>
      </c>
      <c r="G460" s="124" t="s">
        <v>5712</v>
      </c>
      <c r="H460" s="124" t="s">
        <v>5705</v>
      </c>
      <c r="I460" s="124" t="s">
        <v>13</v>
      </c>
      <c r="J460" s="124" t="s">
        <v>5708</v>
      </c>
      <c r="K460" s="125" t="s">
        <v>163</v>
      </c>
      <c r="L460" s="125">
        <v>1.0</v>
      </c>
      <c r="M460" s="126"/>
      <c r="N460" s="1">
        <v>1.0</v>
      </c>
      <c r="O460" s="1" t="s">
        <v>5713</v>
      </c>
    </row>
    <row r="461" ht="15.75" hidden="1" customHeight="1">
      <c r="A461" s="129">
        <v>45665.0</v>
      </c>
      <c r="B461" s="130" t="s">
        <v>5707</v>
      </c>
      <c r="C461" s="130" t="s">
        <v>5707</v>
      </c>
      <c r="D461" s="117" t="s">
        <v>4</v>
      </c>
      <c r="E461" s="117">
        <v>1270458.0</v>
      </c>
      <c r="F461" s="62">
        <v>0.0</v>
      </c>
      <c r="G461" s="62" t="s">
        <v>5712</v>
      </c>
      <c r="H461" s="62" t="s">
        <v>5705</v>
      </c>
      <c r="I461" s="117" t="s">
        <v>13</v>
      </c>
      <c r="J461" s="118" t="s">
        <v>5708</v>
      </c>
      <c r="K461" s="130" t="s">
        <v>158</v>
      </c>
      <c r="L461" s="130">
        <v>5900.0</v>
      </c>
      <c r="M461" s="132">
        <v>59.0</v>
      </c>
      <c r="N461" s="1">
        <v>100.0</v>
      </c>
      <c r="O461" s="1">
        <v>100.0</v>
      </c>
    </row>
    <row r="462" ht="15.75" hidden="1" customHeight="1">
      <c r="A462" s="127">
        <v>45665.0</v>
      </c>
      <c r="B462" s="125" t="s">
        <v>5707</v>
      </c>
      <c r="C462" s="125" t="s">
        <v>5707</v>
      </c>
      <c r="D462" s="123" t="s">
        <v>4</v>
      </c>
      <c r="E462" s="123">
        <v>1270458.0</v>
      </c>
      <c r="F462" s="124">
        <v>0.0</v>
      </c>
      <c r="G462" s="124" t="s">
        <v>5712</v>
      </c>
      <c r="H462" s="124" t="s">
        <v>5705</v>
      </c>
      <c r="I462" s="124" t="s">
        <v>13</v>
      </c>
      <c r="J462" s="124" t="s">
        <v>5708</v>
      </c>
      <c r="K462" s="125" t="s">
        <v>160</v>
      </c>
      <c r="L462" s="125">
        <v>0.0</v>
      </c>
      <c r="M462" s="126">
        <v>4.0</v>
      </c>
      <c r="N462" s="1">
        <v>0.0</v>
      </c>
      <c r="O462" s="1">
        <v>0.0</v>
      </c>
    </row>
    <row r="463" ht="15.75" hidden="1" customHeight="1">
      <c r="A463" s="129">
        <v>45665.0</v>
      </c>
      <c r="B463" s="130" t="s">
        <v>5707</v>
      </c>
      <c r="C463" s="130" t="s">
        <v>5707</v>
      </c>
      <c r="D463" s="117" t="s">
        <v>4</v>
      </c>
      <c r="E463" s="117">
        <v>1270458.0</v>
      </c>
      <c r="F463" s="62">
        <v>0.0</v>
      </c>
      <c r="G463" s="62" t="s">
        <v>5712</v>
      </c>
      <c r="H463" s="62" t="s">
        <v>5705</v>
      </c>
      <c r="I463" s="62" t="s">
        <v>13</v>
      </c>
      <c r="J463" s="118" t="s">
        <v>5708</v>
      </c>
      <c r="K463" s="130" t="s">
        <v>158</v>
      </c>
      <c r="L463" s="130">
        <v>0.0</v>
      </c>
      <c r="M463" s="132">
        <v>39.0</v>
      </c>
      <c r="N463" s="1">
        <v>0.0</v>
      </c>
      <c r="O463" s="1">
        <v>0.0</v>
      </c>
    </row>
    <row r="464" ht="15.75" hidden="1" customHeight="1">
      <c r="A464" s="127">
        <v>45665.0</v>
      </c>
      <c r="B464" s="125" t="s">
        <v>5707</v>
      </c>
      <c r="C464" s="125" t="s">
        <v>5707</v>
      </c>
      <c r="D464" s="123" t="s">
        <v>4</v>
      </c>
      <c r="E464" s="123">
        <v>1270458.0</v>
      </c>
      <c r="F464" s="124">
        <v>0.0</v>
      </c>
      <c r="G464" s="124" t="s">
        <v>5712</v>
      </c>
      <c r="H464" s="124" t="s">
        <v>5705</v>
      </c>
      <c r="I464" s="124" t="s">
        <v>13</v>
      </c>
      <c r="J464" s="124" t="s">
        <v>5708</v>
      </c>
      <c r="K464" s="125" t="s">
        <v>155</v>
      </c>
      <c r="L464" s="125">
        <v>74.0</v>
      </c>
      <c r="M464" s="126">
        <v>21.0</v>
      </c>
      <c r="N464" s="1">
        <v>3.523809524</v>
      </c>
      <c r="O464" s="1">
        <v>3.523809524</v>
      </c>
    </row>
    <row r="465" ht="15.75" hidden="1" customHeight="1">
      <c r="A465" s="129">
        <v>45665.0</v>
      </c>
      <c r="B465" s="130" t="s">
        <v>5707</v>
      </c>
      <c r="C465" s="130" t="s">
        <v>5707</v>
      </c>
      <c r="D465" s="117" t="s">
        <v>4</v>
      </c>
      <c r="E465" s="117">
        <v>1270458.0</v>
      </c>
      <c r="F465" s="62">
        <v>0.0</v>
      </c>
      <c r="G465" s="62" t="s">
        <v>5712</v>
      </c>
      <c r="H465" s="62" t="s">
        <v>5705</v>
      </c>
      <c r="I465" s="62" t="s">
        <v>13</v>
      </c>
      <c r="J465" s="118" t="s">
        <v>5708</v>
      </c>
      <c r="K465" s="130" t="s">
        <v>160</v>
      </c>
      <c r="L465" s="62">
        <v>0.0</v>
      </c>
      <c r="M465" s="132">
        <v>3.0</v>
      </c>
      <c r="N465" s="1">
        <v>0.0</v>
      </c>
      <c r="O465" s="1">
        <v>0.0</v>
      </c>
    </row>
    <row r="466" ht="15.75" hidden="1" customHeight="1">
      <c r="A466" s="127">
        <v>45665.0</v>
      </c>
      <c r="B466" s="138">
        <v>45969.0</v>
      </c>
      <c r="C466" s="125" t="s">
        <v>5715</v>
      </c>
      <c r="D466" s="123" t="s">
        <v>4</v>
      </c>
      <c r="E466" s="123">
        <v>1270458.0</v>
      </c>
      <c r="F466" s="124">
        <v>0.0</v>
      </c>
      <c r="G466" s="124" t="s">
        <v>5712</v>
      </c>
      <c r="H466" s="124" t="s">
        <v>5705</v>
      </c>
      <c r="I466" s="124" t="s">
        <v>5708</v>
      </c>
      <c r="J466" s="124" t="s">
        <v>5708</v>
      </c>
      <c r="K466" s="125" t="s">
        <v>7</v>
      </c>
      <c r="L466" s="124">
        <v>0.0</v>
      </c>
      <c r="M466" s="126">
        <v>6.0</v>
      </c>
      <c r="N466" s="1">
        <v>0.0</v>
      </c>
      <c r="O466" s="1">
        <v>0.0</v>
      </c>
    </row>
    <row r="467" ht="15.75" hidden="1" customHeight="1">
      <c r="A467" s="129">
        <v>45665.0</v>
      </c>
      <c r="B467" s="137">
        <v>45969.0</v>
      </c>
      <c r="C467" s="130" t="s">
        <v>5715</v>
      </c>
      <c r="D467" s="117" t="s">
        <v>4</v>
      </c>
      <c r="E467" s="117">
        <v>1270458.0</v>
      </c>
      <c r="F467" s="62">
        <v>0.0</v>
      </c>
      <c r="G467" s="62" t="s">
        <v>5712</v>
      </c>
      <c r="H467" s="62" t="s">
        <v>5705</v>
      </c>
      <c r="I467" s="62" t="s">
        <v>13</v>
      </c>
      <c r="J467" s="118" t="s">
        <v>5708</v>
      </c>
      <c r="K467" s="130" t="s">
        <v>142</v>
      </c>
      <c r="L467" s="62">
        <v>47.0</v>
      </c>
      <c r="M467" s="132"/>
      <c r="N467" s="1">
        <v>47.0</v>
      </c>
      <c r="O467" s="1" t="s">
        <v>5713</v>
      </c>
    </row>
    <row r="468" ht="15.75" customHeight="1">
      <c r="A468" s="127">
        <v>45665.0</v>
      </c>
      <c r="B468" s="138">
        <v>45969.0</v>
      </c>
      <c r="C468" s="125" t="s">
        <v>5715</v>
      </c>
      <c r="D468" s="123" t="s">
        <v>4</v>
      </c>
      <c r="E468" s="123">
        <v>1270458.0</v>
      </c>
      <c r="F468" s="124">
        <v>0.0</v>
      </c>
      <c r="G468" s="124" t="s">
        <v>5712</v>
      </c>
      <c r="H468" s="124" t="s">
        <v>5705</v>
      </c>
      <c r="I468" s="124" t="s">
        <v>13</v>
      </c>
      <c r="J468" s="124" t="s">
        <v>5708</v>
      </c>
      <c r="K468" s="125" t="s">
        <v>139</v>
      </c>
      <c r="L468" s="125">
        <v>47.0</v>
      </c>
      <c r="M468" s="134">
        <v>2.908333333</v>
      </c>
      <c r="N468" s="1">
        <v>16.16045845</v>
      </c>
      <c r="O468" s="1">
        <v>16.16045845</v>
      </c>
    </row>
    <row r="469" ht="15.75" hidden="1" customHeight="1">
      <c r="A469" s="129">
        <v>45665.0</v>
      </c>
      <c r="B469" s="137">
        <v>45969.0</v>
      </c>
      <c r="C469" s="130" t="s">
        <v>5715</v>
      </c>
      <c r="D469" s="117" t="s">
        <v>4</v>
      </c>
      <c r="E469" s="117">
        <v>1270458.0</v>
      </c>
      <c r="F469" s="62">
        <v>0.0</v>
      </c>
      <c r="G469" s="62" t="s">
        <v>5712</v>
      </c>
      <c r="H469" s="62" t="s">
        <v>5705</v>
      </c>
      <c r="I469" s="62" t="s">
        <v>13</v>
      </c>
      <c r="J469" s="118" t="s">
        <v>5708</v>
      </c>
      <c r="K469" s="130" t="s">
        <v>160</v>
      </c>
      <c r="L469" s="62">
        <v>0.0</v>
      </c>
      <c r="M469" s="132">
        <v>1.0</v>
      </c>
      <c r="N469" s="1">
        <v>0.0</v>
      </c>
      <c r="O469" s="1">
        <v>0.0</v>
      </c>
    </row>
    <row r="470" ht="15.75" hidden="1" customHeight="1">
      <c r="A470" s="127">
        <v>45665.0</v>
      </c>
      <c r="B470" s="138">
        <v>45969.0</v>
      </c>
      <c r="C470" s="125" t="s">
        <v>5715</v>
      </c>
      <c r="D470" s="123" t="s">
        <v>4</v>
      </c>
      <c r="E470" s="123">
        <v>1270458.0</v>
      </c>
      <c r="F470" s="124">
        <v>0.0</v>
      </c>
      <c r="G470" s="124" t="s">
        <v>5712</v>
      </c>
      <c r="H470" s="124" t="s">
        <v>5705</v>
      </c>
      <c r="I470" s="124" t="s">
        <v>13</v>
      </c>
      <c r="J470" s="124" t="s">
        <v>5708</v>
      </c>
      <c r="K470" s="125" t="s">
        <v>147</v>
      </c>
      <c r="L470" s="125">
        <v>0.0</v>
      </c>
      <c r="M470" s="126">
        <v>2.0</v>
      </c>
      <c r="N470" s="1">
        <v>0.0</v>
      </c>
      <c r="O470" s="1">
        <v>0.0</v>
      </c>
    </row>
    <row r="471" ht="15.75" hidden="1" customHeight="1">
      <c r="A471" s="129">
        <v>45665.0</v>
      </c>
      <c r="B471" s="137">
        <v>45969.0</v>
      </c>
      <c r="C471" s="130" t="s">
        <v>5715</v>
      </c>
      <c r="D471" s="117" t="s">
        <v>4</v>
      </c>
      <c r="E471" s="117">
        <v>1270458.0</v>
      </c>
      <c r="F471" s="62">
        <v>0.0</v>
      </c>
      <c r="G471" s="62" t="s">
        <v>5712</v>
      </c>
      <c r="H471" s="62" t="s">
        <v>5705</v>
      </c>
      <c r="I471" s="62" t="s">
        <v>13</v>
      </c>
      <c r="J471" s="118" t="s">
        <v>5708</v>
      </c>
      <c r="K471" s="130" t="s">
        <v>153</v>
      </c>
      <c r="L471" s="130">
        <v>174.5</v>
      </c>
      <c r="M471" s="132">
        <v>47.0</v>
      </c>
      <c r="N471" s="1">
        <v>3.712765957</v>
      </c>
      <c r="O471" s="1">
        <v>3.712765957</v>
      </c>
    </row>
    <row r="472" ht="15.75" hidden="1" customHeight="1">
      <c r="A472" s="127">
        <v>45665.0</v>
      </c>
      <c r="B472" s="138">
        <v>45969.0</v>
      </c>
      <c r="C472" s="125" t="s">
        <v>5715</v>
      </c>
      <c r="D472" s="123" t="s">
        <v>4</v>
      </c>
      <c r="E472" s="123">
        <v>1270458.0</v>
      </c>
      <c r="F472" s="124">
        <v>0.0</v>
      </c>
      <c r="G472" s="124" t="s">
        <v>5712</v>
      </c>
      <c r="H472" s="124" t="s">
        <v>5705</v>
      </c>
      <c r="I472" s="124" t="s">
        <v>13</v>
      </c>
      <c r="J472" s="124" t="s">
        <v>5708</v>
      </c>
      <c r="K472" s="125" t="s">
        <v>12</v>
      </c>
      <c r="L472" s="125">
        <v>100.0</v>
      </c>
      <c r="M472" s="126">
        <v>1.0</v>
      </c>
      <c r="N472" s="1">
        <v>100.0</v>
      </c>
      <c r="O472" s="1">
        <v>100.0</v>
      </c>
    </row>
    <row r="473" ht="15.75" hidden="1" customHeight="1">
      <c r="A473" s="129">
        <v>45665.0</v>
      </c>
      <c r="B473" s="137">
        <v>45969.0</v>
      </c>
      <c r="C473" s="130" t="s">
        <v>5715</v>
      </c>
      <c r="D473" s="117" t="s">
        <v>4</v>
      </c>
      <c r="E473" s="117">
        <v>1270458.0</v>
      </c>
      <c r="F473" s="62">
        <v>0.0</v>
      </c>
      <c r="G473" s="62" t="s">
        <v>5712</v>
      </c>
      <c r="H473" s="62" t="s">
        <v>5705</v>
      </c>
      <c r="I473" s="62" t="s">
        <v>13</v>
      </c>
      <c r="J473" s="118" t="s">
        <v>5708</v>
      </c>
      <c r="K473" s="130" t="s">
        <v>163</v>
      </c>
      <c r="L473" s="62">
        <v>46.0</v>
      </c>
      <c r="M473" s="132"/>
      <c r="N473" s="1">
        <v>46.0</v>
      </c>
      <c r="O473" s="1" t="s">
        <v>5713</v>
      </c>
    </row>
    <row r="474" ht="15.75" hidden="1" customHeight="1">
      <c r="A474" s="127">
        <v>45665.0</v>
      </c>
      <c r="B474" s="138">
        <v>45969.0</v>
      </c>
      <c r="C474" s="125" t="s">
        <v>5716</v>
      </c>
      <c r="D474" s="123" t="s">
        <v>4</v>
      </c>
      <c r="E474" s="123">
        <v>1270458.0</v>
      </c>
      <c r="F474" s="124">
        <v>0.0</v>
      </c>
      <c r="G474" s="124" t="s">
        <v>5712</v>
      </c>
      <c r="H474" s="124" t="s">
        <v>5705</v>
      </c>
      <c r="I474" s="124" t="s">
        <v>5708</v>
      </c>
      <c r="J474" s="124" t="s">
        <v>5708</v>
      </c>
      <c r="K474" s="125" t="s">
        <v>7</v>
      </c>
      <c r="L474" s="125">
        <v>0.0</v>
      </c>
      <c r="M474" s="126">
        <v>14.0</v>
      </c>
      <c r="N474" s="1">
        <v>0.0</v>
      </c>
      <c r="O474" s="1">
        <v>0.0</v>
      </c>
    </row>
    <row r="475" ht="15.75" hidden="1" customHeight="1">
      <c r="A475" s="129">
        <v>45665.0</v>
      </c>
      <c r="B475" s="137">
        <v>45969.0</v>
      </c>
      <c r="C475" s="130" t="s">
        <v>5716</v>
      </c>
      <c r="D475" s="117" t="s">
        <v>4</v>
      </c>
      <c r="E475" s="117">
        <v>1270458.0</v>
      </c>
      <c r="F475" s="62">
        <v>0.0</v>
      </c>
      <c r="G475" s="62" t="s">
        <v>5712</v>
      </c>
      <c r="H475" s="62" t="s">
        <v>5705</v>
      </c>
      <c r="I475" s="62" t="s">
        <v>13</v>
      </c>
      <c r="J475" s="118" t="s">
        <v>5708</v>
      </c>
      <c r="K475" s="130" t="s">
        <v>147</v>
      </c>
      <c r="L475" s="130">
        <v>300.0</v>
      </c>
      <c r="M475" s="132">
        <v>111.0</v>
      </c>
      <c r="N475" s="1">
        <v>2.702702703</v>
      </c>
      <c r="O475" s="1">
        <v>2.702702703</v>
      </c>
    </row>
    <row r="476" ht="15.75" hidden="1" customHeight="1">
      <c r="A476" s="127">
        <v>45665.0</v>
      </c>
      <c r="B476" s="138">
        <v>45969.0</v>
      </c>
      <c r="C476" s="125" t="s">
        <v>5716</v>
      </c>
      <c r="D476" s="123" t="s">
        <v>4</v>
      </c>
      <c r="E476" s="123">
        <v>1270458.0</v>
      </c>
      <c r="F476" s="124">
        <v>0.0</v>
      </c>
      <c r="G476" s="124" t="s">
        <v>5712</v>
      </c>
      <c r="H476" s="124" t="s">
        <v>5705</v>
      </c>
      <c r="I476" s="124" t="s">
        <v>13</v>
      </c>
      <c r="J476" s="124" t="s">
        <v>5708</v>
      </c>
      <c r="K476" s="125" t="s">
        <v>155</v>
      </c>
      <c r="L476" s="124">
        <v>64.0</v>
      </c>
      <c r="M476" s="126">
        <v>14.0</v>
      </c>
      <c r="N476" s="1">
        <v>4.571428571</v>
      </c>
      <c r="O476" s="1">
        <v>4.571428571</v>
      </c>
    </row>
    <row r="477" ht="15.75" hidden="1" customHeight="1">
      <c r="A477" s="129">
        <v>45665.0</v>
      </c>
      <c r="B477" s="137">
        <v>45969.0</v>
      </c>
      <c r="C477" s="130" t="s">
        <v>5716</v>
      </c>
      <c r="D477" s="117" t="s">
        <v>4</v>
      </c>
      <c r="E477" s="117">
        <v>1270458.0</v>
      </c>
      <c r="F477" s="62">
        <v>0.0</v>
      </c>
      <c r="G477" s="62" t="s">
        <v>5712</v>
      </c>
      <c r="H477" s="62" t="s">
        <v>5705</v>
      </c>
      <c r="I477" s="62" t="s">
        <v>13</v>
      </c>
      <c r="J477" s="118" t="s">
        <v>5708</v>
      </c>
      <c r="K477" s="130" t="s">
        <v>163</v>
      </c>
      <c r="L477" s="130">
        <v>108.0</v>
      </c>
      <c r="M477" s="132"/>
      <c r="N477" s="1">
        <v>108.0</v>
      </c>
      <c r="O477" s="1" t="s">
        <v>5713</v>
      </c>
    </row>
    <row r="478" ht="15.75" hidden="1" customHeight="1">
      <c r="A478" s="127">
        <v>45665.0</v>
      </c>
      <c r="B478" s="125" t="s">
        <v>5707</v>
      </c>
      <c r="C478" s="125" t="s">
        <v>5718</v>
      </c>
      <c r="D478" s="123" t="s">
        <v>4</v>
      </c>
      <c r="E478" s="123">
        <v>1270458.0</v>
      </c>
      <c r="F478" s="124">
        <v>0.0</v>
      </c>
      <c r="G478" s="124" t="s">
        <v>5712</v>
      </c>
      <c r="H478" s="124" t="s">
        <v>5705</v>
      </c>
      <c r="I478" s="124" t="s">
        <v>13</v>
      </c>
      <c r="J478" s="124" t="s">
        <v>5708</v>
      </c>
      <c r="K478" s="125" t="s">
        <v>154</v>
      </c>
      <c r="L478" s="125">
        <v>0.0</v>
      </c>
      <c r="M478" s="126">
        <v>1.0</v>
      </c>
      <c r="N478" s="1">
        <v>0.0</v>
      </c>
      <c r="O478" s="1">
        <v>0.0</v>
      </c>
    </row>
    <row r="479" ht="15.75" hidden="1" customHeight="1">
      <c r="A479" s="129">
        <v>45665.0</v>
      </c>
      <c r="B479" s="130" t="s">
        <v>5707</v>
      </c>
      <c r="C479" s="130" t="s">
        <v>5718</v>
      </c>
      <c r="D479" s="117" t="s">
        <v>4</v>
      </c>
      <c r="E479" s="117">
        <v>1270458.0</v>
      </c>
      <c r="F479" s="62">
        <v>0.0</v>
      </c>
      <c r="G479" s="62" t="s">
        <v>5712</v>
      </c>
      <c r="H479" s="62" t="s">
        <v>5705</v>
      </c>
      <c r="I479" s="62" t="s">
        <v>13</v>
      </c>
      <c r="J479" s="118" t="s">
        <v>5708</v>
      </c>
      <c r="K479" s="130" t="s">
        <v>160</v>
      </c>
      <c r="L479" s="62">
        <v>0.0</v>
      </c>
      <c r="M479" s="132">
        <v>1.0</v>
      </c>
      <c r="N479" s="1">
        <v>0.0</v>
      </c>
      <c r="O479" s="1">
        <v>0.0</v>
      </c>
    </row>
    <row r="480" ht="15.75" hidden="1" customHeight="1">
      <c r="A480" s="127">
        <v>45665.0</v>
      </c>
      <c r="B480" s="138">
        <v>45969.0</v>
      </c>
      <c r="C480" s="125" t="s">
        <v>5716</v>
      </c>
      <c r="D480" s="123" t="s">
        <v>4</v>
      </c>
      <c r="E480" s="123">
        <v>1270458.0</v>
      </c>
      <c r="F480" s="124">
        <v>0.0</v>
      </c>
      <c r="G480" s="124" t="s">
        <v>5712</v>
      </c>
      <c r="H480" s="124" t="s">
        <v>5705</v>
      </c>
      <c r="I480" s="124" t="s">
        <v>13</v>
      </c>
      <c r="J480" s="124" t="s">
        <v>5708</v>
      </c>
      <c r="K480" s="125" t="s">
        <v>147</v>
      </c>
      <c r="L480" s="124">
        <v>0.0</v>
      </c>
      <c r="M480" s="126">
        <v>3.0</v>
      </c>
      <c r="N480" s="1">
        <v>0.0</v>
      </c>
      <c r="O480" s="1">
        <v>0.0</v>
      </c>
    </row>
    <row r="481" ht="15.75" hidden="1" customHeight="1">
      <c r="A481" s="129">
        <v>45665.0</v>
      </c>
      <c r="B481" s="137">
        <v>45969.0</v>
      </c>
      <c r="C481" s="130" t="s">
        <v>5716</v>
      </c>
      <c r="D481" s="117" t="s">
        <v>4</v>
      </c>
      <c r="E481" s="117">
        <v>1270458.0</v>
      </c>
      <c r="F481" s="62">
        <v>0.0</v>
      </c>
      <c r="G481" s="62" t="s">
        <v>5712</v>
      </c>
      <c r="H481" s="62" t="s">
        <v>5705</v>
      </c>
      <c r="I481" s="62" t="s">
        <v>13</v>
      </c>
      <c r="J481" s="118" t="s">
        <v>5708</v>
      </c>
      <c r="K481" s="130" t="s">
        <v>147</v>
      </c>
      <c r="L481" s="130">
        <v>0.0</v>
      </c>
      <c r="M481" s="132">
        <v>1.0</v>
      </c>
      <c r="N481" s="1">
        <v>0.0</v>
      </c>
      <c r="O481" s="1">
        <v>0.0</v>
      </c>
    </row>
    <row r="482" ht="15.75" hidden="1" customHeight="1">
      <c r="A482" s="127">
        <v>45665.0</v>
      </c>
      <c r="B482" s="138">
        <v>45969.0</v>
      </c>
      <c r="C482" s="125" t="s">
        <v>5717</v>
      </c>
      <c r="D482" s="123" t="s">
        <v>4</v>
      </c>
      <c r="E482" s="123">
        <v>1270458.0</v>
      </c>
      <c r="F482" s="124">
        <v>0.0</v>
      </c>
      <c r="G482" s="124" t="s">
        <v>5712</v>
      </c>
      <c r="H482" s="124" t="s">
        <v>5705</v>
      </c>
      <c r="I482" s="124" t="s">
        <v>13</v>
      </c>
      <c r="J482" s="124" t="s">
        <v>5708</v>
      </c>
      <c r="K482" s="125" t="s">
        <v>163</v>
      </c>
      <c r="L482" s="125">
        <v>2.0</v>
      </c>
      <c r="M482" s="126"/>
      <c r="N482" s="1">
        <v>2.0</v>
      </c>
      <c r="O482" s="1" t="s">
        <v>5713</v>
      </c>
    </row>
    <row r="483" ht="15.75" hidden="1" customHeight="1">
      <c r="A483" s="129">
        <v>45665.0</v>
      </c>
      <c r="B483" s="137">
        <v>45969.0</v>
      </c>
      <c r="C483" s="130" t="s">
        <v>5717</v>
      </c>
      <c r="D483" s="117" t="s">
        <v>4</v>
      </c>
      <c r="E483" s="117">
        <v>1270458.0</v>
      </c>
      <c r="F483" s="62">
        <v>0.0</v>
      </c>
      <c r="G483" s="62" t="s">
        <v>5712</v>
      </c>
      <c r="H483" s="62" t="s">
        <v>5705</v>
      </c>
      <c r="I483" s="62" t="s">
        <v>13</v>
      </c>
      <c r="J483" s="118" t="s">
        <v>5708</v>
      </c>
      <c r="K483" s="130" t="s">
        <v>153</v>
      </c>
      <c r="L483" s="130">
        <v>0.57</v>
      </c>
      <c r="M483" s="132">
        <v>0.0</v>
      </c>
      <c r="N483" s="1"/>
      <c r="O483" s="1" t="s">
        <v>5713</v>
      </c>
    </row>
    <row r="484" ht="15.75" hidden="1" customHeight="1">
      <c r="A484" s="127">
        <v>45665.0</v>
      </c>
      <c r="B484" s="138">
        <v>45969.0</v>
      </c>
      <c r="C484" s="125" t="s">
        <v>5717</v>
      </c>
      <c r="D484" s="123" t="s">
        <v>4</v>
      </c>
      <c r="E484" s="123">
        <v>1270458.0</v>
      </c>
      <c r="F484" s="124">
        <v>0.0</v>
      </c>
      <c r="G484" s="124" t="s">
        <v>5712</v>
      </c>
      <c r="H484" s="124" t="s">
        <v>5705</v>
      </c>
      <c r="I484" s="124" t="s">
        <v>13</v>
      </c>
      <c r="J484" s="124" t="s">
        <v>5708</v>
      </c>
      <c r="K484" s="125" t="s">
        <v>142</v>
      </c>
      <c r="L484" s="125">
        <v>1.0</v>
      </c>
      <c r="M484" s="126"/>
      <c r="N484" s="1">
        <v>1.0</v>
      </c>
      <c r="O484" s="1" t="s">
        <v>5713</v>
      </c>
    </row>
    <row r="485" ht="15.75" hidden="1" customHeight="1">
      <c r="A485" s="129">
        <v>45665.0</v>
      </c>
      <c r="B485" s="137">
        <v>45969.0</v>
      </c>
      <c r="C485" s="130" t="s">
        <v>5717</v>
      </c>
      <c r="D485" s="117" t="s">
        <v>4</v>
      </c>
      <c r="E485" s="117">
        <v>1270458.0</v>
      </c>
      <c r="F485" s="62">
        <v>0.0</v>
      </c>
      <c r="G485" s="62" t="s">
        <v>5712</v>
      </c>
      <c r="H485" s="62" t="s">
        <v>5705</v>
      </c>
      <c r="I485" s="62" t="s">
        <v>13</v>
      </c>
      <c r="J485" s="118" t="s">
        <v>5708</v>
      </c>
      <c r="K485" s="130" t="s">
        <v>160</v>
      </c>
      <c r="L485" s="130">
        <v>0.0</v>
      </c>
      <c r="M485" s="132">
        <v>1.0</v>
      </c>
      <c r="N485" s="1">
        <v>0.0</v>
      </c>
      <c r="O485" s="1">
        <v>0.0</v>
      </c>
    </row>
    <row r="486" ht="15.75" hidden="1" customHeight="1">
      <c r="A486" s="127">
        <v>45665.0</v>
      </c>
      <c r="B486" s="138">
        <v>45969.0</v>
      </c>
      <c r="C486" s="125" t="s">
        <v>5717</v>
      </c>
      <c r="D486" s="123" t="s">
        <v>4</v>
      </c>
      <c r="E486" s="123">
        <v>1270458.0</v>
      </c>
      <c r="F486" s="124">
        <v>0.0</v>
      </c>
      <c r="G486" s="124" t="s">
        <v>5712</v>
      </c>
      <c r="H486" s="124" t="s">
        <v>5705</v>
      </c>
      <c r="I486" s="124" t="s">
        <v>13</v>
      </c>
      <c r="J486" s="124" t="s">
        <v>5708</v>
      </c>
      <c r="K486" s="125" t="s">
        <v>163</v>
      </c>
      <c r="L486" s="124">
        <v>1.0</v>
      </c>
      <c r="M486" s="126"/>
      <c r="N486" s="1">
        <v>1.0</v>
      </c>
      <c r="O486" s="1" t="s">
        <v>5713</v>
      </c>
    </row>
    <row r="487" ht="15.75" customHeight="1">
      <c r="A487" s="129">
        <v>45665.0</v>
      </c>
      <c r="B487" s="137">
        <v>45969.0</v>
      </c>
      <c r="C487" s="130" t="s">
        <v>5717</v>
      </c>
      <c r="D487" s="117" t="s">
        <v>4</v>
      </c>
      <c r="E487" s="117">
        <v>1270458.0</v>
      </c>
      <c r="F487" s="62">
        <v>0.0</v>
      </c>
      <c r="G487" s="62" t="s">
        <v>5712</v>
      </c>
      <c r="H487" s="62" t="s">
        <v>5705</v>
      </c>
      <c r="I487" s="62" t="s">
        <v>13</v>
      </c>
      <c r="J487" s="118" t="s">
        <v>5708</v>
      </c>
      <c r="K487" s="130" t="s">
        <v>139</v>
      </c>
      <c r="L487" s="130">
        <v>0.0</v>
      </c>
      <c r="M487" s="132">
        <v>0.0095</v>
      </c>
      <c r="N487" s="1">
        <v>0.0</v>
      </c>
      <c r="O487" s="1">
        <v>0.0</v>
      </c>
    </row>
    <row r="488" ht="15.75" customHeight="1">
      <c r="A488" s="127">
        <v>45665.0</v>
      </c>
      <c r="B488" s="138">
        <v>45969.0</v>
      </c>
      <c r="C488" s="125" t="s">
        <v>5717</v>
      </c>
      <c r="D488" s="123" t="s">
        <v>4</v>
      </c>
      <c r="E488" s="123">
        <v>1270458.0</v>
      </c>
      <c r="F488" s="124">
        <v>0.0</v>
      </c>
      <c r="G488" s="124" t="s">
        <v>5712</v>
      </c>
      <c r="H488" s="124" t="s">
        <v>5705</v>
      </c>
      <c r="I488" s="124" t="s">
        <v>13</v>
      </c>
      <c r="J488" s="124" t="s">
        <v>5708</v>
      </c>
      <c r="K488" s="125" t="s">
        <v>139</v>
      </c>
      <c r="L488" s="124">
        <v>110.0</v>
      </c>
      <c r="M488" s="126">
        <v>6.486</v>
      </c>
      <c r="N488" s="1">
        <v>16.9596053</v>
      </c>
      <c r="O488" s="1">
        <v>16.9596053</v>
      </c>
    </row>
    <row r="489" ht="15.75" hidden="1" customHeight="1">
      <c r="A489" s="129">
        <v>45665.0</v>
      </c>
      <c r="B489" s="137">
        <v>45969.0</v>
      </c>
      <c r="C489" s="130" t="s">
        <v>5717</v>
      </c>
      <c r="D489" s="117" t="s">
        <v>4</v>
      </c>
      <c r="E489" s="117">
        <v>1270458.0</v>
      </c>
      <c r="F489" s="62">
        <v>0.0</v>
      </c>
      <c r="G489" s="62" t="s">
        <v>5712</v>
      </c>
      <c r="H489" s="62" t="s">
        <v>5705</v>
      </c>
      <c r="I489" s="62" t="s">
        <v>13</v>
      </c>
      <c r="J489" s="118" t="s">
        <v>5708</v>
      </c>
      <c r="K489" s="130" t="s">
        <v>153</v>
      </c>
      <c r="L489" s="130">
        <v>3.93</v>
      </c>
      <c r="M489" s="132">
        <v>1.0</v>
      </c>
      <c r="N489" s="1">
        <v>3.93</v>
      </c>
      <c r="O489" s="1">
        <v>3.93</v>
      </c>
    </row>
    <row r="490" ht="15.75" customHeight="1">
      <c r="A490" s="127">
        <v>45665.0</v>
      </c>
      <c r="B490" s="138">
        <v>45969.0</v>
      </c>
      <c r="C490" s="125" t="s">
        <v>5717</v>
      </c>
      <c r="D490" s="123" t="s">
        <v>4</v>
      </c>
      <c r="E490" s="123">
        <v>1270458.0</v>
      </c>
      <c r="F490" s="124">
        <v>0.0</v>
      </c>
      <c r="G490" s="124" t="s">
        <v>5712</v>
      </c>
      <c r="H490" s="124" t="s">
        <v>5705</v>
      </c>
      <c r="I490" s="124" t="s">
        <v>13</v>
      </c>
      <c r="J490" s="124" t="s">
        <v>5708</v>
      </c>
      <c r="K490" s="125" t="s">
        <v>139</v>
      </c>
      <c r="L490" s="125">
        <v>1.0</v>
      </c>
      <c r="M490" s="126">
        <v>0.0655</v>
      </c>
      <c r="N490" s="1">
        <v>15.26717557</v>
      </c>
      <c r="O490" s="1">
        <v>15.26717557</v>
      </c>
    </row>
    <row r="491" ht="15.75" hidden="1" customHeight="1">
      <c r="A491" s="129">
        <v>45665.0</v>
      </c>
      <c r="B491" s="137">
        <v>45969.0</v>
      </c>
      <c r="C491" s="130" t="s">
        <v>5717</v>
      </c>
      <c r="D491" s="117" t="s">
        <v>4</v>
      </c>
      <c r="E491" s="117">
        <v>1270458.0</v>
      </c>
      <c r="F491" s="62">
        <v>0.0</v>
      </c>
      <c r="G491" s="62" t="s">
        <v>5712</v>
      </c>
      <c r="H491" s="62" t="s">
        <v>5705</v>
      </c>
      <c r="I491" s="62" t="s">
        <v>13</v>
      </c>
      <c r="J491" s="118" t="s">
        <v>5708</v>
      </c>
      <c r="K491" s="130" t="s">
        <v>142</v>
      </c>
      <c r="L491" s="130">
        <v>1.0</v>
      </c>
      <c r="M491" s="132"/>
      <c r="N491" s="1">
        <v>1.0</v>
      </c>
      <c r="O491" s="1" t="s">
        <v>5713</v>
      </c>
    </row>
    <row r="492" ht="15.75" hidden="1" customHeight="1">
      <c r="A492" s="127">
        <v>45665.0</v>
      </c>
      <c r="B492" s="138">
        <v>45969.0</v>
      </c>
      <c r="C492" s="125" t="s">
        <v>5717</v>
      </c>
      <c r="D492" s="123" t="s">
        <v>4</v>
      </c>
      <c r="E492" s="123">
        <v>1270458.0</v>
      </c>
      <c r="F492" s="124">
        <v>0.0</v>
      </c>
      <c r="G492" s="124" t="s">
        <v>5712</v>
      </c>
      <c r="H492" s="124" t="s">
        <v>5705</v>
      </c>
      <c r="I492" s="124" t="s">
        <v>13</v>
      </c>
      <c r="J492" s="124" t="s">
        <v>5708</v>
      </c>
      <c r="K492" s="125" t="s">
        <v>147</v>
      </c>
      <c r="L492" s="125">
        <v>0.0</v>
      </c>
      <c r="M492" s="126">
        <v>5.0</v>
      </c>
      <c r="N492" s="1">
        <v>0.0</v>
      </c>
      <c r="O492" s="1">
        <v>0.0</v>
      </c>
    </row>
    <row r="493" ht="15.75" hidden="1" customHeight="1">
      <c r="A493" s="129">
        <v>45665.0</v>
      </c>
      <c r="B493" s="137">
        <v>45969.0</v>
      </c>
      <c r="C493" s="130" t="s">
        <v>5717</v>
      </c>
      <c r="D493" s="117" t="s">
        <v>4</v>
      </c>
      <c r="E493" s="117">
        <v>1270458.0</v>
      </c>
      <c r="F493" s="62">
        <v>0.0</v>
      </c>
      <c r="G493" s="62" t="s">
        <v>5712</v>
      </c>
      <c r="H493" s="62" t="s">
        <v>5705</v>
      </c>
      <c r="I493" s="62" t="s">
        <v>13</v>
      </c>
      <c r="J493" s="118" t="s">
        <v>5708</v>
      </c>
      <c r="K493" s="130" t="s">
        <v>160</v>
      </c>
      <c r="L493" s="62">
        <v>0.0</v>
      </c>
      <c r="M493" s="132">
        <v>2.0</v>
      </c>
      <c r="N493" s="1">
        <v>0.0</v>
      </c>
      <c r="O493" s="1">
        <v>0.0</v>
      </c>
    </row>
    <row r="494" ht="15.75" hidden="1" customHeight="1">
      <c r="A494" s="127">
        <v>45665.0</v>
      </c>
      <c r="B494" s="138">
        <v>45969.0</v>
      </c>
      <c r="C494" s="125" t="s">
        <v>5717</v>
      </c>
      <c r="D494" s="123" t="s">
        <v>4</v>
      </c>
      <c r="E494" s="123">
        <v>1270458.0</v>
      </c>
      <c r="F494" s="124">
        <v>0.0</v>
      </c>
      <c r="G494" s="124" t="s">
        <v>5712</v>
      </c>
      <c r="H494" s="124" t="s">
        <v>5705</v>
      </c>
      <c r="I494" s="124" t="s">
        <v>13</v>
      </c>
      <c r="J494" s="124" t="s">
        <v>5708</v>
      </c>
      <c r="K494" s="125" t="s">
        <v>163</v>
      </c>
      <c r="L494" s="125">
        <v>2.0</v>
      </c>
      <c r="M494" s="126"/>
      <c r="N494" s="1">
        <v>2.0</v>
      </c>
      <c r="O494" s="1" t="s">
        <v>5713</v>
      </c>
    </row>
    <row r="495" ht="15.75" hidden="1" customHeight="1">
      <c r="A495" s="139">
        <v>45665.0</v>
      </c>
      <c r="B495" s="140">
        <v>45969.0</v>
      </c>
      <c r="C495" s="120" t="s">
        <v>5717</v>
      </c>
      <c r="D495" s="117" t="s">
        <v>4</v>
      </c>
      <c r="E495" s="117">
        <v>1270458.0</v>
      </c>
      <c r="F495" s="118">
        <v>0.0</v>
      </c>
      <c r="G495" s="118" t="s">
        <v>5712</v>
      </c>
      <c r="H495" s="118" t="s">
        <v>5705</v>
      </c>
      <c r="I495" s="118" t="s">
        <v>13</v>
      </c>
      <c r="J495" s="118" t="s">
        <v>5708</v>
      </c>
      <c r="K495" s="120" t="s">
        <v>160</v>
      </c>
      <c r="L495" s="118">
        <v>0.0</v>
      </c>
      <c r="M495" s="121">
        <v>1.0</v>
      </c>
      <c r="N495" s="1">
        <v>0.0</v>
      </c>
      <c r="O495" s="1">
        <v>0.0</v>
      </c>
    </row>
    <row r="496" ht="15.75" hidden="1" customHeight="1">
      <c r="A496" s="127">
        <v>45665.0</v>
      </c>
      <c r="B496" s="138">
        <v>45969.0</v>
      </c>
      <c r="C496" s="125" t="s">
        <v>5716</v>
      </c>
      <c r="D496" s="123" t="s">
        <v>4</v>
      </c>
      <c r="E496" s="123">
        <v>1270458.0</v>
      </c>
      <c r="F496" s="124">
        <v>0.0</v>
      </c>
      <c r="G496" s="124" t="s">
        <v>5712</v>
      </c>
      <c r="H496" s="124" t="s">
        <v>5705</v>
      </c>
      <c r="I496" s="124" t="s">
        <v>13</v>
      </c>
      <c r="J496" s="124" t="s">
        <v>5708</v>
      </c>
      <c r="K496" s="125" t="s">
        <v>147</v>
      </c>
      <c r="L496" s="125">
        <v>0.0</v>
      </c>
      <c r="M496" s="126">
        <v>4.0</v>
      </c>
      <c r="N496" s="1">
        <v>0.0</v>
      </c>
      <c r="O496" s="1">
        <v>0.0</v>
      </c>
    </row>
    <row r="497" ht="15.75" hidden="1" customHeight="1">
      <c r="A497" s="129">
        <v>45665.0</v>
      </c>
      <c r="B497" s="137">
        <v>45969.0</v>
      </c>
      <c r="C497" s="130" t="s">
        <v>5716</v>
      </c>
      <c r="D497" s="117" t="s">
        <v>4</v>
      </c>
      <c r="E497" s="117">
        <v>1270458.0</v>
      </c>
      <c r="F497" s="62">
        <v>0.0</v>
      </c>
      <c r="G497" s="62" t="s">
        <v>5712</v>
      </c>
      <c r="H497" s="62" t="s">
        <v>5705</v>
      </c>
      <c r="I497" s="62" t="s">
        <v>13</v>
      </c>
      <c r="J497" s="118" t="s">
        <v>5708</v>
      </c>
      <c r="K497" s="130" t="s">
        <v>153</v>
      </c>
      <c r="L497" s="130">
        <v>5.38</v>
      </c>
      <c r="M497" s="132">
        <v>3.0</v>
      </c>
      <c r="N497" s="1">
        <v>1.793333333</v>
      </c>
      <c r="O497" s="1">
        <v>1.793333333</v>
      </c>
    </row>
    <row r="498" ht="15.75" hidden="1" customHeight="1">
      <c r="A498" s="127">
        <v>45665.0</v>
      </c>
      <c r="B498" s="138">
        <v>45969.0</v>
      </c>
      <c r="C498" s="125" t="s">
        <v>5716</v>
      </c>
      <c r="D498" s="123" t="s">
        <v>4</v>
      </c>
      <c r="E498" s="123">
        <v>1270458.0</v>
      </c>
      <c r="F498" s="124">
        <v>0.0</v>
      </c>
      <c r="G498" s="124" t="s">
        <v>5712</v>
      </c>
      <c r="H498" s="124" t="s">
        <v>5705</v>
      </c>
      <c r="I498" s="124" t="s">
        <v>13</v>
      </c>
      <c r="J498" s="124" t="s">
        <v>5708</v>
      </c>
      <c r="K498" s="125" t="s">
        <v>153</v>
      </c>
      <c r="L498" s="125">
        <v>0.0</v>
      </c>
      <c r="M498" s="126">
        <v>1.0</v>
      </c>
      <c r="N498" s="1">
        <v>0.0</v>
      </c>
      <c r="O498" s="1">
        <v>0.0</v>
      </c>
    </row>
    <row r="499" ht="15.75" hidden="1" customHeight="1">
      <c r="A499" s="129">
        <v>45665.0</v>
      </c>
      <c r="B499" s="130" t="s">
        <v>5707</v>
      </c>
      <c r="C499" s="130" t="s">
        <v>5707</v>
      </c>
      <c r="D499" s="117" t="s">
        <v>4</v>
      </c>
      <c r="E499" s="117">
        <v>1270458.0</v>
      </c>
      <c r="F499" s="62">
        <v>0.0</v>
      </c>
      <c r="G499" s="62" t="s">
        <v>5712</v>
      </c>
      <c r="H499" s="62" t="s">
        <v>5705</v>
      </c>
      <c r="I499" s="62" t="s">
        <v>13</v>
      </c>
      <c r="J499" s="118" t="s">
        <v>5708</v>
      </c>
      <c r="K499" s="130" t="s">
        <v>160</v>
      </c>
      <c r="L499" s="130">
        <v>0.0</v>
      </c>
      <c r="M499" s="132">
        <v>4.0</v>
      </c>
      <c r="N499" s="1">
        <v>0.0</v>
      </c>
      <c r="O499" s="1">
        <v>0.0</v>
      </c>
    </row>
    <row r="500" ht="15.75" hidden="1" customHeight="1">
      <c r="A500" s="127">
        <v>45665.0</v>
      </c>
      <c r="B500" s="125" t="s">
        <v>5707</v>
      </c>
      <c r="C500" s="125" t="s">
        <v>5707</v>
      </c>
      <c r="D500" s="123" t="s">
        <v>4</v>
      </c>
      <c r="E500" s="123">
        <v>1270458.0</v>
      </c>
      <c r="F500" s="124">
        <v>0.0</v>
      </c>
      <c r="G500" s="124" t="s">
        <v>5712</v>
      </c>
      <c r="H500" s="124" t="s">
        <v>5705</v>
      </c>
      <c r="I500" s="124" t="s">
        <v>13</v>
      </c>
      <c r="J500" s="124" t="s">
        <v>5708</v>
      </c>
      <c r="K500" s="125" t="s">
        <v>163</v>
      </c>
      <c r="L500" s="125">
        <v>4.0</v>
      </c>
      <c r="M500" s="126"/>
      <c r="N500" s="1">
        <v>4.0</v>
      </c>
      <c r="O500" s="1" t="s">
        <v>5713</v>
      </c>
    </row>
    <row r="501" ht="15.75" hidden="1" customHeight="1">
      <c r="A501" s="129">
        <v>45665.0</v>
      </c>
      <c r="B501" s="130" t="s">
        <v>5707</v>
      </c>
      <c r="C501" s="130" t="s">
        <v>5707</v>
      </c>
      <c r="D501" s="117" t="s">
        <v>4</v>
      </c>
      <c r="E501" s="117">
        <v>1270458.0</v>
      </c>
      <c r="F501" s="62">
        <v>0.0</v>
      </c>
      <c r="G501" s="62" t="s">
        <v>5712</v>
      </c>
      <c r="H501" s="62" t="s">
        <v>5705</v>
      </c>
      <c r="I501" s="62" t="s">
        <v>13</v>
      </c>
      <c r="J501" s="118" t="s">
        <v>5708</v>
      </c>
      <c r="K501" s="130" t="s">
        <v>153</v>
      </c>
      <c r="L501" s="130">
        <v>0.97</v>
      </c>
      <c r="M501" s="132">
        <v>0.0</v>
      </c>
      <c r="N501" s="1"/>
      <c r="O501" s="1" t="s">
        <v>5713</v>
      </c>
    </row>
    <row r="502" ht="15.75" hidden="1" customHeight="1">
      <c r="A502" s="127">
        <v>45665.0</v>
      </c>
      <c r="B502" s="125" t="s">
        <v>5707</v>
      </c>
      <c r="C502" s="125" t="s">
        <v>5707</v>
      </c>
      <c r="D502" s="123" t="s">
        <v>4</v>
      </c>
      <c r="E502" s="123">
        <v>1270458.0</v>
      </c>
      <c r="F502" s="124">
        <v>0.0</v>
      </c>
      <c r="G502" s="124" t="s">
        <v>5712</v>
      </c>
      <c r="H502" s="124" t="s">
        <v>5705</v>
      </c>
      <c r="I502" s="124" t="s">
        <v>13</v>
      </c>
      <c r="J502" s="124" t="s">
        <v>5708</v>
      </c>
      <c r="K502" s="125" t="s">
        <v>158</v>
      </c>
      <c r="L502" s="125">
        <v>1800.0</v>
      </c>
      <c r="M502" s="126">
        <v>18.0</v>
      </c>
      <c r="N502" s="1">
        <v>100.0</v>
      </c>
      <c r="O502" s="1">
        <v>100.0</v>
      </c>
    </row>
    <row r="503" ht="15.75" hidden="1" customHeight="1">
      <c r="A503" s="129">
        <v>45665.0</v>
      </c>
      <c r="B503" s="130" t="s">
        <v>5707</v>
      </c>
      <c r="C503" s="130" t="s">
        <v>5707</v>
      </c>
      <c r="D503" s="117" t="s">
        <v>4</v>
      </c>
      <c r="E503" s="117">
        <v>1270458.0</v>
      </c>
      <c r="F503" s="62">
        <v>0.0</v>
      </c>
      <c r="G503" s="62" t="s">
        <v>5712</v>
      </c>
      <c r="H503" s="62" t="s">
        <v>5705</v>
      </c>
      <c r="I503" s="62" t="s">
        <v>13</v>
      </c>
      <c r="J503" s="118" t="s">
        <v>5708</v>
      </c>
      <c r="K503" s="130" t="s">
        <v>147</v>
      </c>
      <c r="L503" s="62">
        <v>0.0</v>
      </c>
      <c r="M503" s="132">
        <v>3.0</v>
      </c>
      <c r="N503" s="1">
        <v>0.0</v>
      </c>
      <c r="O503" s="1">
        <v>0.0</v>
      </c>
    </row>
    <row r="504" ht="15.75" hidden="1" customHeight="1">
      <c r="A504" s="127">
        <v>45665.0</v>
      </c>
      <c r="B504" s="125" t="s">
        <v>5707</v>
      </c>
      <c r="C504" s="125" t="s">
        <v>5707</v>
      </c>
      <c r="D504" s="123" t="s">
        <v>4</v>
      </c>
      <c r="E504" s="123">
        <v>1270458.0</v>
      </c>
      <c r="F504" s="124">
        <v>0.0</v>
      </c>
      <c r="G504" s="124" t="s">
        <v>5712</v>
      </c>
      <c r="H504" s="124" t="s">
        <v>5705</v>
      </c>
      <c r="I504" s="124" t="s">
        <v>13</v>
      </c>
      <c r="J504" s="124" t="s">
        <v>5708</v>
      </c>
      <c r="K504" s="125" t="s">
        <v>158</v>
      </c>
      <c r="L504" s="124">
        <v>800.0</v>
      </c>
      <c r="M504" s="126">
        <v>8.0</v>
      </c>
      <c r="N504" s="1">
        <v>100.0</v>
      </c>
      <c r="O504" s="1">
        <v>100.0</v>
      </c>
    </row>
    <row r="505" ht="15.75" hidden="1" customHeight="1">
      <c r="A505" s="129">
        <v>45665.0</v>
      </c>
      <c r="B505" s="130" t="s">
        <v>5707</v>
      </c>
      <c r="C505" s="130" t="s">
        <v>5707</v>
      </c>
      <c r="D505" s="117" t="s">
        <v>4</v>
      </c>
      <c r="E505" s="117">
        <v>1270458.0</v>
      </c>
      <c r="F505" s="62">
        <v>0.0</v>
      </c>
      <c r="G505" s="62" t="s">
        <v>5712</v>
      </c>
      <c r="H505" s="62" t="s">
        <v>5705</v>
      </c>
      <c r="I505" s="62" t="s">
        <v>13</v>
      </c>
      <c r="J505" s="118" t="s">
        <v>5708</v>
      </c>
      <c r="K505" s="130" t="s">
        <v>147</v>
      </c>
      <c r="L505" s="130">
        <v>0.0</v>
      </c>
      <c r="M505" s="132">
        <v>1.0</v>
      </c>
      <c r="N505" s="1">
        <v>0.0</v>
      </c>
      <c r="O505" s="1">
        <v>0.0</v>
      </c>
    </row>
    <row r="506" ht="15.75" hidden="1" customHeight="1">
      <c r="A506" s="127">
        <v>45665.0</v>
      </c>
      <c r="B506" s="125" t="s">
        <v>5707</v>
      </c>
      <c r="C506" s="125" t="s">
        <v>5707</v>
      </c>
      <c r="D506" s="123" t="s">
        <v>4</v>
      </c>
      <c r="E506" s="123">
        <v>1270458.0</v>
      </c>
      <c r="F506" s="124">
        <v>0.0</v>
      </c>
      <c r="G506" s="124" t="s">
        <v>5712</v>
      </c>
      <c r="H506" s="124" t="s">
        <v>5705</v>
      </c>
      <c r="I506" s="124" t="s">
        <v>13</v>
      </c>
      <c r="J506" s="124" t="s">
        <v>5708</v>
      </c>
      <c r="K506" s="125" t="s">
        <v>163</v>
      </c>
      <c r="L506" s="125">
        <v>1.0</v>
      </c>
      <c r="M506" s="134"/>
      <c r="N506" s="1">
        <v>1.0</v>
      </c>
      <c r="O506" s="1" t="s">
        <v>5713</v>
      </c>
    </row>
    <row r="507" ht="15.75" hidden="1" customHeight="1">
      <c r="A507" s="129">
        <v>45665.0</v>
      </c>
      <c r="B507" s="130" t="s">
        <v>5707</v>
      </c>
      <c r="C507" s="130" t="s">
        <v>5719</v>
      </c>
      <c r="D507" s="117" t="s">
        <v>4</v>
      </c>
      <c r="E507" s="117">
        <v>1270458.0</v>
      </c>
      <c r="F507" s="62">
        <v>0.0</v>
      </c>
      <c r="G507" s="62" t="s">
        <v>5712</v>
      </c>
      <c r="H507" s="62" t="s">
        <v>5705</v>
      </c>
      <c r="I507" s="62" t="s">
        <v>13</v>
      </c>
      <c r="J507" s="118" t="s">
        <v>5708</v>
      </c>
      <c r="K507" s="130" t="s">
        <v>160</v>
      </c>
      <c r="L507" s="130">
        <v>0.0</v>
      </c>
      <c r="M507" s="132">
        <v>5.0</v>
      </c>
      <c r="N507" s="1">
        <v>0.0</v>
      </c>
      <c r="O507" s="1">
        <v>0.0</v>
      </c>
    </row>
    <row r="508" ht="15.75" hidden="1" customHeight="1">
      <c r="A508" s="127">
        <v>45665.0</v>
      </c>
      <c r="B508" s="125" t="s">
        <v>5707</v>
      </c>
      <c r="C508" s="125" t="s">
        <v>5719</v>
      </c>
      <c r="D508" s="123" t="s">
        <v>4</v>
      </c>
      <c r="E508" s="123">
        <v>1270458.0</v>
      </c>
      <c r="F508" s="124">
        <v>0.0</v>
      </c>
      <c r="G508" s="124" t="s">
        <v>5712</v>
      </c>
      <c r="H508" s="124" t="s">
        <v>5705</v>
      </c>
      <c r="I508" s="124" t="s">
        <v>13</v>
      </c>
      <c r="J508" s="124" t="s">
        <v>5708</v>
      </c>
      <c r="K508" s="125" t="s">
        <v>153</v>
      </c>
      <c r="L508" s="124">
        <v>0.0</v>
      </c>
      <c r="M508" s="126">
        <v>1.0</v>
      </c>
      <c r="N508" s="1">
        <v>0.0</v>
      </c>
      <c r="O508" s="1">
        <v>0.0</v>
      </c>
    </row>
    <row r="509" ht="15.75" hidden="1" customHeight="1">
      <c r="A509" s="129">
        <v>45665.0</v>
      </c>
      <c r="B509" s="130" t="s">
        <v>5707</v>
      </c>
      <c r="C509" s="130" t="s">
        <v>5719</v>
      </c>
      <c r="D509" s="117" t="s">
        <v>4</v>
      </c>
      <c r="E509" s="117">
        <v>1270458.0</v>
      </c>
      <c r="F509" s="62">
        <v>0.0</v>
      </c>
      <c r="G509" s="62" t="s">
        <v>5712</v>
      </c>
      <c r="H509" s="62" t="s">
        <v>5705</v>
      </c>
      <c r="I509" s="62" t="s">
        <v>13</v>
      </c>
      <c r="J509" s="118" t="s">
        <v>5708</v>
      </c>
      <c r="K509" s="130" t="s">
        <v>155</v>
      </c>
      <c r="L509" s="62">
        <v>2.0</v>
      </c>
      <c r="M509" s="132">
        <v>1.0</v>
      </c>
      <c r="N509" s="1">
        <v>2.0</v>
      </c>
      <c r="O509" s="1">
        <v>2.0</v>
      </c>
    </row>
    <row r="510" ht="15.75" hidden="1" customHeight="1">
      <c r="A510" s="129">
        <v>45665.0</v>
      </c>
      <c r="B510" s="130" t="s">
        <v>5707</v>
      </c>
      <c r="C510" s="130" t="s">
        <v>5719</v>
      </c>
      <c r="D510" s="123" t="s">
        <v>4</v>
      </c>
      <c r="E510" s="123">
        <v>1270458.0</v>
      </c>
      <c r="F510" s="62">
        <v>0.0</v>
      </c>
      <c r="G510" s="62" t="s">
        <v>5712</v>
      </c>
      <c r="H510" s="62" t="s">
        <v>5705</v>
      </c>
      <c r="I510" s="62" t="s">
        <v>13</v>
      </c>
      <c r="J510" s="124" t="s">
        <v>5708</v>
      </c>
      <c r="K510" s="130" t="s">
        <v>11</v>
      </c>
      <c r="L510" s="130">
        <v>0.0</v>
      </c>
      <c r="M510" s="132">
        <v>8.5</v>
      </c>
      <c r="N510" s="1">
        <v>0.0</v>
      </c>
      <c r="O510" s="1">
        <v>0.0</v>
      </c>
    </row>
    <row r="511" ht="15.75" hidden="1" customHeight="1">
      <c r="A511" s="129">
        <v>45665.0</v>
      </c>
      <c r="B511" s="130" t="s">
        <v>5707</v>
      </c>
      <c r="C511" s="130" t="s">
        <v>5719</v>
      </c>
      <c r="D511" s="117" t="s">
        <v>4</v>
      </c>
      <c r="E511" s="117">
        <v>1270458.0</v>
      </c>
      <c r="F511" s="62">
        <v>0.0</v>
      </c>
      <c r="G511" s="62" t="s">
        <v>5712</v>
      </c>
      <c r="H511" s="62" t="s">
        <v>5705</v>
      </c>
      <c r="I511" s="117" t="s">
        <v>13</v>
      </c>
      <c r="J511" s="118" t="s">
        <v>5708</v>
      </c>
      <c r="K511" s="130" t="s">
        <v>147</v>
      </c>
      <c r="L511" s="130">
        <v>0.0</v>
      </c>
      <c r="M511" s="132">
        <v>1.0</v>
      </c>
      <c r="N511" s="1">
        <v>0.0</v>
      </c>
      <c r="O511" s="1">
        <v>0.0</v>
      </c>
    </row>
    <row r="512" ht="15.75" hidden="1" customHeight="1">
      <c r="A512" s="127">
        <v>45665.0</v>
      </c>
      <c r="B512" s="125" t="s">
        <v>5707</v>
      </c>
      <c r="C512" s="125" t="s">
        <v>5719</v>
      </c>
      <c r="D512" s="123" t="s">
        <v>4</v>
      </c>
      <c r="E512" s="123">
        <v>1270458.0</v>
      </c>
      <c r="F512" s="124">
        <v>0.0</v>
      </c>
      <c r="G512" s="124" t="s">
        <v>5712</v>
      </c>
      <c r="H512" s="124" t="s">
        <v>5705</v>
      </c>
      <c r="I512" s="124" t="s">
        <v>13</v>
      </c>
      <c r="J512" s="124" t="s">
        <v>5708</v>
      </c>
      <c r="K512" s="125" t="s">
        <v>160</v>
      </c>
      <c r="L512" s="125">
        <v>0.0</v>
      </c>
      <c r="M512" s="126">
        <v>2.0</v>
      </c>
      <c r="N512" s="1">
        <v>0.0</v>
      </c>
      <c r="O512" s="1">
        <v>0.0</v>
      </c>
    </row>
    <row r="513" ht="15.75" hidden="1" customHeight="1">
      <c r="A513" s="129">
        <v>45665.0</v>
      </c>
      <c r="B513" s="130" t="s">
        <v>5707</v>
      </c>
      <c r="C513" s="130" t="s">
        <v>5719</v>
      </c>
      <c r="D513" s="117" t="s">
        <v>4</v>
      </c>
      <c r="E513" s="117">
        <v>1270458.0</v>
      </c>
      <c r="F513" s="62">
        <v>0.0</v>
      </c>
      <c r="G513" s="62" t="s">
        <v>5712</v>
      </c>
      <c r="H513" s="62" t="s">
        <v>5705</v>
      </c>
      <c r="I513" s="117" t="s">
        <v>13</v>
      </c>
      <c r="J513" s="118" t="s">
        <v>5708</v>
      </c>
      <c r="K513" s="130" t="s">
        <v>160</v>
      </c>
      <c r="L513" s="62">
        <v>0.0</v>
      </c>
      <c r="M513" s="132">
        <v>1.0</v>
      </c>
      <c r="N513" s="1">
        <v>0.0</v>
      </c>
      <c r="O513" s="1">
        <v>0.0</v>
      </c>
    </row>
    <row r="514" ht="15.75" hidden="1" customHeight="1">
      <c r="A514" s="127">
        <v>45665.0</v>
      </c>
      <c r="B514" s="138">
        <v>45969.0</v>
      </c>
      <c r="C514" s="125" t="s">
        <v>5716</v>
      </c>
      <c r="D514" s="123" t="s">
        <v>4</v>
      </c>
      <c r="E514" s="123">
        <v>1270458.0</v>
      </c>
      <c r="F514" s="124">
        <v>0.0</v>
      </c>
      <c r="G514" s="124" t="s">
        <v>5712</v>
      </c>
      <c r="H514" s="124" t="s">
        <v>5705</v>
      </c>
      <c r="I514" s="124" t="s">
        <v>13</v>
      </c>
      <c r="J514" s="124" t="s">
        <v>5708</v>
      </c>
      <c r="K514" s="125" t="s">
        <v>153</v>
      </c>
      <c r="L514" s="125">
        <v>299.23</v>
      </c>
      <c r="M514" s="126">
        <v>76.0</v>
      </c>
      <c r="N514" s="1">
        <v>3.937236842</v>
      </c>
      <c r="O514" s="1">
        <v>3.937236842</v>
      </c>
    </row>
    <row r="515" ht="15.75" hidden="1" customHeight="1">
      <c r="A515" s="129">
        <v>45665.0</v>
      </c>
      <c r="B515" s="137">
        <v>45969.0</v>
      </c>
      <c r="C515" s="130" t="s">
        <v>5716</v>
      </c>
      <c r="D515" s="117" t="s">
        <v>4</v>
      </c>
      <c r="E515" s="117">
        <v>1270458.0</v>
      </c>
      <c r="F515" s="62">
        <v>0.0</v>
      </c>
      <c r="G515" s="62" t="s">
        <v>5712</v>
      </c>
      <c r="H515" s="62" t="s">
        <v>5705</v>
      </c>
      <c r="I515" s="62" t="s">
        <v>13</v>
      </c>
      <c r="J515" s="118" t="s">
        <v>5708</v>
      </c>
      <c r="K515" s="130" t="s">
        <v>154</v>
      </c>
      <c r="L515" s="130">
        <v>8200.0</v>
      </c>
      <c r="M515" s="132">
        <v>136.0</v>
      </c>
      <c r="N515" s="1">
        <v>60.29411765</v>
      </c>
      <c r="O515" s="1">
        <v>60.29411765</v>
      </c>
    </row>
    <row r="516" ht="15.75" hidden="1" customHeight="1">
      <c r="A516" s="127">
        <v>45665.0</v>
      </c>
      <c r="B516" s="138">
        <v>45969.0</v>
      </c>
      <c r="C516" s="125" t="s">
        <v>5716</v>
      </c>
      <c r="D516" s="123" t="s">
        <v>4</v>
      </c>
      <c r="E516" s="123">
        <v>1270458.0</v>
      </c>
      <c r="F516" s="124">
        <v>0.0</v>
      </c>
      <c r="G516" s="124" t="s">
        <v>5712</v>
      </c>
      <c r="H516" s="124" t="s">
        <v>5705</v>
      </c>
      <c r="I516" s="124" t="s">
        <v>13</v>
      </c>
      <c r="J516" s="124" t="s">
        <v>5708</v>
      </c>
      <c r="K516" s="125" t="s">
        <v>142</v>
      </c>
      <c r="L516" s="125">
        <v>76.0</v>
      </c>
      <c r="M516" s="126"/>
      <c r="N516" s="1">
        <v>76.0</v>
      </c>
      <c r="O516" s="1" t="s">
        <v>5713</v>
      </c>
    </row>
    <row r="517" ht="15.75" hidden="1" customHeight="1">
      <c r="A517" s="129">
        <v>45665.0</v>
      </c>
      <c r="B517" s="137">
        <v>45969.0</v>
      </c>
      <c r="C517" s="130" t="s">
        <v>5716</v>
      </c>
      <c r="D517" s="117" t="s">
        <v>4</v>
      </c>
      <c r="E517" s="117">
        <v>1270458.0</v>
      </c>
      <c r="F517" s="62">
        <v>0.0</v>
      </c>
      <c r="G517" s="62" t="s">
        <v>5712</v>
      </c>
      <c r="H517" s="62" t="s">
        <v>5705</v>
      </c>
      <c r="I517" s="62" t="s">
        <v>13</v>
      </c>
      <c r="J517" s="118" t="s">
        <v>5708</v>
      </c>
      <c r="K517" s="130" t="s">
        <v>160</v>
      </c>
      <c r="L517" s="62">
        <v>0.0</v>
      </c>
      <c r="M517" s="132">
        <v>1.0</v>
      </c>
      <c r="N517" s="1">
        <v>0.0</v>
      </c>
      <c r="O517" s="1">
        <v>0.0</v>
      </c>
    </row>
    <row r="518" ht="15.75" hidden="1" customHeight="1">
      <c r="A518" s="127">
        <v>45665.0</v>
      </c>
      <c r="B518" s="138">
        <v>45969.0</v>
      </c>
      <c r="C518" s="125" t="s">
        <v>5716</v>
      </c>
      <c r="D518" s="123" t="s">
        <v>4</v>
      </c>
      <c r="E518" s="123">
        <v>1270458.0</v>
      </c>
      <c r="F518" s="124">
        <v>0.0</v>
      </c>
      <c r="G518" s="124" t="s">
        <v>5712</v>
      </c>
      <c r="H518" s="124" t="s">
        <v>5705</v>
      </c>
      <c r="I518" s="124" t="s">
        <v>13</v>
      </c>
      <c r="J518" s="124" t="s">
        <v>5708</v>
      </c>
      <c r="K518" s="125" t="s">
        <v>163</v>
      </c>
      <c r="L518" s="125">
        <v>1.0</v>
      </c>
      <c r="M518" s="126"/>
      <c r="N518" s="1">
        <v>1.0</v>
      </c>
      <c r="O518" s="1" t="s">
        <v>5713</v>
      </c>
    </row>
    <row r="519" ht="15.75" hidden="1" customHeight="1">
      <c r="A519" s="129">
        <v>45665.0</v>
      </c>
      <c r="B519" s="137">
        <v>45969.0</v>
      </c>
      <c r="C519" s="130" t="s">
        <v>5716</v>
      </c>
      <c r="D519" s="117" t="s">
        <v>4</v>
      </c>
      <c r="E519" s="117">
        <v>1270458.0</v>
      </c>
      <c r="F519" s="62">
        <v>0.0</v>
      </c>
      <c r="G519" s="62" t="s">
        <v>5712</v>
      </c>
      <c r="H519" s="62" t="s">
        <v>5705</v>
      </c>
      <c r="I519" s="62" t="s">
        <v>13</v>
      </c>
      <c r="J519" s="118" t="s">
        <v>5708</v>
      </c>
      <c r="K519" s="130" t="s">
        <v>156</v>
      </c>
      <c r="L519" s="130">
        <v>0.0</v>
      </c>
      <c r="M519" s="132">
        <v>1.0</v>
      </c>
      <c r="N519" s="1">
        <v>0.0</v>
      </c>
      <c r="O519" s="1">
        <v>0.0</v>
      </c>
    </row>
    <row r="520" ht="15.75" hidden="1" customHeight="1">
      <c r="A520" s="127">
        <v>45665.0</v>
      </c>
      <c r="B520" s="138">
        <v>45969.0</v>
      </c>
      <c r="C520" s="125" t="s">
        <v>5716</v>
      </c>
      <c r="D520" s="123" t="s">
        <v>4</v>
      </c>
      <c r="E520" s="123">
        <v>1270458.0</v>
      </c>
      <c r="F520" s="124">
        <v>0.0</v>
      </c>
      <c r="G520" s="124" t="s">
        <v>5712</v>
      </c>
      <c r="H520" s="124" t="s">
        <v>5705</v>
      </c>
      <c r="I520" s="124" t="s">
        <v>13</v>
      </c>
      <c r="J520" s="124" t="s">
        <v>5708</v>
      </c>
      <c r="K520" s="125" t="s">
        <v>160</v>
      </c>
      <c r="L520" s="125">
        <v>0.0</v>
      </c>
      <c r="M520" s="126">
        <v>4.0</v>
      </c>
      <c r="N520" s="1">
        <v>0.0</v>
      </c>
      <c r="O520" s="1">
        <v>0.0</v>
      </c>
    </row>
    <row r="521" ht="15.75" hidden="1" customHeight="1">
      <c r="A521" s="129">
        <v>45665.0</v>
      </c>
      <c r="B521" s="137">
        <v>45969.0</v>
      </c>
      <c r="C521" s="130" t="s">
        <v>5716</v>
      </c>
      <c r="D521" s="117" t="s">
        <v>4</v>
      </c>
      <c r="E521" s="117">
        <v>1270458.0</v>
      </c>
      <c r="F521" s="62">
        <v>0.0</v>
      </c>
      <c r="G521" s="62" t="s">
        <v>5712</v>
      </c>
      <c r="H521" s="62" t="s">
        <v>5705</v>
      </c>
      <c r="I521" s="62" t="s">
        <v>13</v>
      </c>
      <c r="J521" s="118" t="s">
        <v>5708</v>
      </c>
      <c r="K521" s="130" t="s">
        <v>163</v>
      </c>
      <c r="L521" s="62">
        <v>3.0</v>
      </c>
      <c r="M521" s="132"/>
      <c r="N521" s="1">
        <v>3.0</v>
      </c>
      <c r="O521" s="1" t="s">
        <v>5713</v>
      </c>
    </row>
    <row r="522" ht="15.75" customHeight="1">
      <c r="A522" s="127">
        <v>45665.0</v>
      </c>
      <c r="B522" s="138">
        <v>45969.0</v>
      </c>
      <c r="C522" s="125" t="s">
        <v>5716</v>
      </c>
      <c r="D522" s="123" t="s">
        <v>4</v>
      </c>
      <c r="E522" s="123">
        <v>1270458.0</v>
      </c>
      <c r="F522" s="124">
        <v>0.0</v>
      </c>
      <c r="G522" s="124" t="s">
        <v>5712</v>
      </c>
      <c r="H522" s="124" t="s">
        <v>5705</v>
      </c>
      <c r="I522" s="124" t="s">
        <v>13</v>
      </c>
      <c r="J522" s="124" t="s">
        <v>5708</v>
      </c>
      <c r="K522" s="125" t="s">
        <v>139</v>
      </c>
      <c r="L522" s="125">
        <v>0.0</v>
      </c>
      <c r="M522" s="126">
        <v>0.025</v>
      </c>
      <c r="N522" s="1">
        <v>0.0</v>
      </c>
      <c r="O522" s="1">
        <v>0.0</v>
      </c>
    </row>
    <row r="523" ht="15.75" hidden="1" customHeight="1">
      <c r="A523" s="129">
        <v>45665.0</v>
      </c>
      <c r="B523" s="137">
        <v>45969.0</v>
      </c>
      <c r="C523" s="130" t="s">
        <v>5716</v>
      </c>
      <c r="D523" s="117" t="s">
        <v>4</v>
      </c>
      <c r="E523" s="117">
        <v>1270458.0</v>
      </c>
      <c r="F523" s="62">
        <v>0.0</v>
      </c>
      <c r="G523" s="62" t="s">
        <v>5712</v>
      </c>
      <c r="H523" s="62" t="s">
        <v>5705</v>
      </c>
      <c r="I523" s="62" t="s">
        <v>13</v>
      </c>
      <c r="J523" s="118" t="s">
        <v>5708</v>
      </c>
      <c r="K523" s="130" t="s">
        <v>147</v>
      </c>
      <c r="L523" s="130">
        <v>0.0</v>
      </c>
      <c r="M523" s="132">
        <v>3.0</v>
      </c>
      <c r="N523" s="1">
        <v>0.0</v>
      </c>
      <c r="O523" s="1">
        <v>0.0</v>
      </c>
    </row>
    <row r="524" ht="15.75" hidden="1" customHeight="1">
      <c r="A524" s="127">
        <v>45665.0</v>
      </c>
      <c r="B524" s="138">
        <v>45969.0</v>
      </c>
      <c r="C524" s="125" t="s">
        <v>5716</v>
      </c>
      <c r="D524" s="123" t="s">
        <v>4</v>
      </c>
      <c r="E524" s="123">
        <v>1270458.0</v>
      </c>
      <c r="F524" s="124">
        <v>0.0</v>
      </c>
      <c r="G524" s="124" t="s">
        <v>5712</v>
      </c>
      <c r="H524" s="124" t="s">
        <v>5705</v>
      </c>
      <c r="I524" s="124" t="s">
        <v>13</v>
      </c>
      <c r="J524" s="124" t="s">
        <v>5708</v>
      </c>
      <c r="K524" s="125" t="s">
        <v>160</v>
      </c>
      <c r="L524" s="125">
        <v>0.0</v>
      </c>
      <c r="M524" s="126">
        <v>3.0</v>
      </c>
      <c r="N524" s="1">
        <v>0.0</v>
      </c>
      <c r="O524" s="1">
        <v>0.0</v>
      </c>
    </row>
    <row r="525" ht="15.75" hidden="1" customHeight="1">
      <c r="A525" s="129">
        <v>45665.0</v>
      </c>
      <c r="B525" s="137">
        <v>45969.0</v>
      </c>
      <c r="C525" s="130" t="s">
        <v>5716</v>
      </c>
      <c r="D525" s="117" t="s">
        <v>4</v>
      </c>
      <c r="E525" s="117">
        <v>1270458.0</v>
      </c>
      <c r="F525" s="62">
        <v>0.0</v>
      </c>
      <c r="G525" s="62" t="s">
        <v>5712</v>
      </c>
      <c r="H525" s="62" t="s">
        <v>5705</v>
      </c>
      <c r="I525" s="62" t="s">
        <v>13</v>
      </c>
      <c r="J525" s="118" t="s">
        <v>5708</v>
      </c>
      <c r="K525" s="130" t="s">
        <v>11</v>
      </c>
      <c r="L525" s="130">
        <v>0.0</v>
      </c>
      <c r="M525" s="132">
        <v>8.5</v>
      </c>
      <c r="N525" s="1">
        <v>0.0</v>
      </c>
      <c r="O525" s="1">
        <v>0.0</v>
      </c>
    </row>
    <row r="526" ht="15.75" hidden="1" customHeight="1">
      <c r="A526" s="127">
        <v>45665.0</v>
      </c>
      <c r="B526" s="125" t="s">
        <v>5707</v>
      </c>
      <c r="C526" s="125" t="s">
        <v>5707</v>
      </c>
      <c r="D526" s="123" t="s">
        <v>4</v>
      </c>
      <c r="E526" s="123">
        <v>1270458.0</v>
      </c>
      <c r="F526" s="124">
        <v>0.0</v>
      </c>
      <c r="G526" s="124" t="s">
        <v>5712</v>
      </c>
      <c r="H526" s="124" t="s">
        <v>5705</v>
      </c>
      <c r="I526" s="124" t="s">
        <v>13</v>
      </c>
      <c r="J526" s="124" t="s">
        <v>5708</v>
      </c>
      <c r="K526" s="125" t="s">
        <v>163</v>
      </c>
      <c r="L526" s="125">
        <v>1.0</v>
      </c>
      <c r="M526" s="126"/>
      <c r="N526" s="1">
        <v>1.0</v>
      </c>
      <c r="O526" s="1" t="s">
        <v>5713</v>
      </c>
    </row>
    <row r="527" ht="15.75" hidden="1" customHeight="1">
      <c r="A527" s="129">
        <v>45665.0</v>
      </c>
      <c r="B527" s="130" t="s">
        <v>5707</v>
      </c>
      <c r="C527" s="130" t="s">
        <v>5707</v>
      </c>
      <c r="D527" s="117" t="s">
        <v>4</v>
      </c>
      <c r="E527" s="117">
        <v>1270458.0</v>
      </c>
      <c r="F527" s="62">
        <v>0.0</v>
      </c>
      <c r="G527" s="62" t="s">
        <v>5712</v>
      </c>
      <c r="H527" s="62" t="s">
        <v>5705</v>
      </c>
      <c r="I527" s="62" t="s">
        <v>13</v>
      </c>
      <c r="J527" s="118" t="s">
        <v>5708</v>
      </c>
      <c r="K527" s="130" t="s">
        <v>158</v>
      </c>
      <c r="L527" s="130">
        <v>1900.0</v>
      </c>
      <c r="M527" s="132">
        <v>56.0</v>
      </c>
      <c r="N527" s="1">
        <v>33.92857143</v>
      </c>
      <c r="O527" s="1">
        <v>33.92857143</v>
      </c>
    </row>
    <row r="528" ht="15.75" hidden="1" customHeight="1">
      <c r="A528" s="127">
        <v>45665.0</v>
      </c>
      <c r="B528" s="125" t="s">
        <v>5707</v>
      </c>
      <c r="C528" s="125" t="s">
        <v>5707</v>
      </c>
      <c r="D528" s="123" t="s">
        <v>4</v>
      </c>
      <c r="E528" s="123">
        <v>1270458.0</v>
      </c>
      <c r="F528" s="124">
        <v>0.0</v>
      </c>
      <c r="G528" s="124" t="s">
        <v>5712</v>
      </c>
      <c r="H528" s="124" t="s">
        <v>5705</v>
      </c>
      <c r="I528" s="124" t="s">
        <v>13</v>
      </c>
      <c r="J528" s="124" t="s">
        <v>5708</v>
      </c>
      <c r="K528" s="125" t="s">
        <v>147</v>
      </c>
      <c r="L528" s="125">
        <v>0.0</v>
      </c>
      <c r="M528" s="126">
        <v>4.0</v>
      </c>
      <c r="N528" s="1">
        <v>0.0</v>
      </c>
      <c r="O528" s="1">
        <v>0.0</v>
      </c>
    </row>
    <row r="529" ht="15.75" hidden="1" customHeight="1">
      <c r="A529" s="139">
        <v>45665.0</v>
      </c>
      <c r="B529" s="120" t="s">
        <v>5707</v>
      </c>
      <c r="C529" s="120" t="s">
        <v>5707</v>
      </c>
      <c r="D529" s="117" t="s">
        <v>4</v>
      </c>
      <c r="E529" s="117">
        <v>1270458.0</v>
      </c>
      <c r="F529" s="118">
        <v>0.0</v>
      </c>
      <c r="G529" s="118" t="s">
        <v>5712</v>
      </c>
      <c r="H529" s="118" t="s">
        <v>5705</v>
      </c>
      <c r="I529" s="118" t="s">
        <v>13</v>
      </c>
      <c r="J529" s="118" t="s">
        <v>5708</v>
      </c>
      <c r="K529" s="120" t="s">
        <v>160</v>
      </c>
      <c r="L529" s="118">
        <v>0.0</v>
      </c>
      <c r="M529" s="121">
        <v>5.0</v>
      </c>
      <c r="N529" s="1">
        <v>0.0</v>
      </c>
      <c r="O529" s="1">
        <v>0.0</v>
      </c>
    </row>
    <row r="530" ht="15.75" hidden="1" customHeight="1">
      <c r="A530" s="127">
        <v>45665.0</v>
      </c>
      <c r="B530" s="138">
        <v>45969.0</v>
      </c>
      <c r="C530" s="125" t="s">
        <v>5717</v>
      </c>
      <c r="D530" s="123" t="s">
        <v>4</v>
      </c>
      <c r="E530" s="123">
        <v>1270458.0</v>
      </c>
      <c r="F530" s="124">
        <v>0.0</v>
      </c>
      <c r="G530" s="124" t="s">
        <v>5712</v>
      </c>
      <c r="H530" s="124" t="s">
        <v>5705</v>
      </c>
      <c r="I530" s="124" t="s">
        <v>13</v>
      </c>
      <c r="J530" s="124" t="s">
        <v>5708</v>
      </c>
      <c r="K530" s="125" t="s">
        <v>147</v>
      </c>
      <c r="L530" s="125">
        <v>0.0</v>
      </c>
      <c r="M530" s="134">
        <v>5.0</v>
      </c>
      <c r="N530" s="1">
        <v>0.0</v>
      </c>
      <c r="O530" s="1">
        <v>0.0</v>
      </c>
    </row>
    <row r="531" ht="15.75" hidden="1" customHeight="1">
      <c r="A531" s="129">
        <v>45665.0</v>
      </c>
      <c r="B531" s="137">
        <v>45969.0</v>
      </c>
      <c r="C531" s="130" t="s">
        <v>5717</v>
      </c>
      <c r="D531" s="117" t="s">
        <v>4</v>
      </c>
      <c r="E531" s="117">
        <v>1270458.0</v>
      </c>
      <c r="F531" s="62">
        <v>0.0</v>
      </c>
      <c r="G531" s="62" t="s">
        <v>5712</v>
      </c>
      <c r="H531" s="62" t="s">
        <v>5705</v>
      </c>
      <c r="I531" s="62" t="s">
        <v>13</v>
      </c>
      <c r="J531" s="118" t="s">
        <v>5708</v>
      </c>
      <c r="K531" s="130" t="s">
        <v>142</v>
      </c>
      <c r="L531" s="62">
        <v>2.0</v>
      </c>
      <c r="M531" s="132"/>
      <c r="N531" s="1">
        <v>2.0</v>
      </c>
      <c r="O531" s="1" t="s">
        <v>5713</v>
      </c>
    </row>
    <row r="532" ht="15.75" hidden="1" customHeight="1">
      <c r="A532" s="127">
        <v>45665.0</v>
      </c>
      <c r="B532" s="138">
        <v>45969.0</v>
      </c>
      <c r="C532" s="125" t="s">
        <v>5717</v>
      </c>
      <c r="D532" s="123" t="s">
        <v>4</v>
      </c>
      <c r="E532" s="123">
        <v>1270458.0</v>
      </c>
      <c r="F532" s="124">
        <v>0.0</v>
      </c>
      <c r="G532" s="124" t="s">
        <v>5712</v>
      </c>
      <c r="H532" s="124" t="s">
        <v>5705</v>
      </c>
      <c r="I532" s="124" t="s">
        <v>13</v>
      </c>
      <c r="J532" s="124" t="s">
        <v>5708</v>
      </c>
      <c r="K532" s="125" t="s">
        <v>160</v>
      </c>
      <c r="L532" s="125">
        <v>0.0</v>
      </c>
      <c r="M532" s="126">
        <v>1.0</v>
      </c>
      <c r="N532" s="1">
        <v>0.0</v>
      </c>
      <c r="O532" s="1">
        <v>0.0</v>
      </c>
    </row>
    <row r="533" ht="15.75" hidden="1" customHeight="1">
      <c r="A533" s="129">
        <v>45665.0</v>
      </c>
      <c r="B533" s="137">
        <v>45969.0</v>
      </c>
      <c r="C533" s="130" t="s">
        <v>5717</v>
      </c>
      <c r="D533" s="117" t="s">
        <v>4</v>
      </c>
      <c r="E533" s="117">
        <v>1270458.0</v>
      </c>
      <c r="F533" s="62">
        <v>0.0</v>
      </c>
      <c r="G533" s="62" t="s">
        <v>5712</v>
      </c>
      <c r="H533" s="62" t="s">
        <v>5705</v>
      </c>
      <c r="I533" s="62" t="s">
        <v>13</v>
      </c>
      <c r="J533" s="118" t="s">
        <v>5708</v>
      </c>
      <c r="K533" s="130" t="s">
        <v>147</v>
      </c>
      <c r="L533" s="62">
        <v>0.0</v>
      </c>
      <c r="M533" s="132">
        <v>2.0</v>
      </c>
      <c r="N533" s="1">
        <v>0.0</v>
      </c>
      <c r="O533" s="1">
        <v>0.0</v>
      </c>
    </row>
    <row r="534" ht="15.75" hidden="1" customHeight="1">
      <c r="A534" s="127">
        <v>45665.0</v>
      </c>
      <c r="B534" s="138">
        <v>45969.0</v>
      </c>
      <c r="C534" s="125" t="s">
        <v>5717</v>
      </c>
      <c r="D534" s="123" t="s">
        <v>4</v>
      </c>
      <c r="E534" s="123">
        <v>1270458.0</v>
      </c>
      <c r="F534" s="124">
        <v>0.0</v>
      </c>
      <c r="G534" s="124" t="s">
        <v>5712</v>
      </c>
      <c r="H534" s="124" t="s">
        <v>5705</v>
      </c>
      <c r="I534" s="124" t="s">
        <v>13</v>
      </c>
      <c r="J534" s="124" t="s">
        <v>5708</v>
      </c>
      <c r="K534" s="125" t="s">
        <v>153</v>
      </c>
      <c r="L534" s="125">
        <v>4.63</v>
      </c>
      <c r="M534" s="126">
        <v>1.0</v>
      </c>
      <c r="N534" s="1">
        <v>4.63</v>
      </c>
      <c r="O534" s="1">
        <v>4.63</v>
      </c>
    </row>
    <row r="535" ht="15.75" hidden="1" customHeight="1">
      <c r="A535" s="129">
        <v>45665.0</v>
      </c>
      <c r="B535" s="137">
        <v>45969.0</v>
      </c>
      <c r="C535" s="130" t="s">
        <v>5717</v>
      </c>
      <c r="D535" s="117" t="s">
        <v>4</v>
      </c>
      <c r="E535" s="117">
        <v>1270458.0</v>
      </c>
      <c r="F535" s="62">
        <v>0.0</v>
      </c>
      <c r="G535" s="62" t="s">
        <v>5712</v>
      </c>
      <c r="H535" s="62" t="s">
        <v>5705</v>
      </c>
      <c r="I535" s="62" t="s">
        <v>13</v>
      </c>
      <c r="J535" s="118" t="s">
        <v>5708</v>
      </c>
      <c r="K535" s="130" t="s">
        <v>160</v>
      </c>
      <c r="L535" s="62">
        <v>0.0</v>
      </c>
      <c r="M535" s="132">
        <v>5.0</v>
      </c>
      <c r="N535" s="1">
        <v>0.0</v>
      </c>
      <c r="O535" s="1">
        <v>0.0</v>
      </c>
    </row>
    <row r="536" ht="15.75" hidden="1" customHeight="1">
      <c r="A536" s="127">
        <v>45665.0</v>
      </c>
      <c r="B536" s="138">
        <v>45969.0</v>
      </c>
      <c r="C536" s="125" t="s">
        <v>5717</v>
      </c>
      <c r="D536" s="123" t="s">
        <v>4</v>
      </c>
      <c r="E536" s="123">
        <v>1270458.0</v>
      </c>
      <c r="F536" s="124">
        <v>0.0</v>
      </c>
      <c r="G536" s="124" t="s">
        <v>5712</v>
      </c>
      <c r="H536" s="124" t="s">
        <v>5705</v>
      </c>
      <c r="I536" s="124" t="s">
        <v>13</v>
      </c>
      <c r="J536" s="124" t="s">
        <v>5708</v>
      </c>
      <c r="K536" s="125" t="s">
        <v>11</v>
      </c>
      <c r="L536" s="125">
        <v>0.0</v>
      </c>
      <c r="M536" s="126">
        <v>7.0</v>
      </c>
      <c r="N536" s="1">
        <v>0.0</v>
      </c>
      <c r="O536" s="1">
        <v>0.0</v>
      </c>
    </row>
    <row r="537" ht="15.75" hidden="1" customHeight="1">
      <c r="A537" s="129">
        <v>45665.0</v>
      </c>
      <c r="B537" s="137">
        <v>45969.0</v>
      </c>
      <c r="C537" s="130" t="s">
        <v>5717</v>
      </c>
      <c r="D537" s="117" t="s">
        <v>4</v>
      </c>
      <c r="E537" s="117">
        <v>1270458.0</v>
      </c>
      <c r="F537" s="62">
        <v>0.0</v>
      </c>
      <c r="G537" s="62" t="s">
        <v>5712</v>
      </c>
      <c r="H537" s="62" t="s">
        <v>5705</v>
      </c>
      <c r="I537" s="62" t="s">
        <v>13</v>
      </c>
      <c r="J537" s="118" t="s">
        <v>5708</v>
      </c>
      <c r="K537" s="130" t="s">
        <v>156</v>
      </c>
      <c r="L537" s="130">
        <v>0.0</v>
      </c>
      <c r="M537" s="132">
        <v>1.0</v>
      </c>
      <c r="N537" s="1">
        <v>0.0</v>
      </c>
      <c r="O537" s="1">
        <v>0.0</v>
      </c>
    </row>
    <row r="538" ht="15.75" hidden="1" customHeight="1">
      <c r="A538" s="127">
        <v>45665.0</v>
      </c>
      <c r="B538" s="138">
        <v>45969.0</v>
      </c>
      <c r="C538" s="125" t="s">
        <v>5717</v>
      </c>
      <c r="D538" s="123" t="s">
        <v>4</v>
      </c>
      <c r="E538" s="123">
        <v>1270458.0</v>
      </c>
      <c r="F538" s="124">
        <v>0.0</v>
      </c>
      <c r="G538" s="124" t="s">
        <v>5712</v>
      </c>
      <c r="H538" s="124" t="s">
        <v>5705</v>
      </c>
      <c r="I538" s="124" t="s">
        <v>13</v>
      </c>
      <c r="J538" s="124" t="s">
        <v>5708</v>
      </c>
      <c r="K538" s="125" t="s">
        <v>160</v>
      </c>
      <c r="L538" s="125">
        <v>0.0</v>
      </c>
      <c r="M538" s="126">
        <v>5.0</v>
      </c>
      <c r="N538" s="1">
        <v>0.0</v>
      </c>
      <c r="O538" s="1">
        <v>0.0</v>
      </c>
    </row>
    <row r="539" ht="15.75" hidden="1" customHeight="1">
      <c r="A539" s="129">
        <v>45665.0</v>
      </c>
      <c r="B539" s="137">
        <v>45969.0</v>
      </c>
      <c r="C539" s="130" t="s">
        <v>5717</v>
      </c>
      <c r="D539" s="117" t="s">
        <v>4</v>
      </c>
      <c r="E539" s="117">
        <v>1270458.0</v>
      </c>
      <c r="F539" s="62">
        <v>0.0</v>
      </c>
      <c r="G539" s="62" t="s">
        <v>5712</v>
      </c>
      <c r="H539" s="62" t="s">
        <v>5705</v>
      </c>
      <c r="I539" s="62" t="s">
        <v>13</v>
      </c>
      <c r="J539" s="118" t="s">
        <v>5708</v>
      </c>
      <c r="K539" s="130" t="s">
        <v>147</v>
      </c>
      <c r="L539" s="62">
        <v>0.0</v>
      </c>
      <c r="M539" s="132">
        <v>2.0</v>
      </c>
      <c r="N539" s="1">
        <v>0.0</v>
      </c>
      <c r="O539" s="1">
        <v>0.0</v>
      </c>
    </row>
    <row r="540" ht="15.75" hidden="1" customHeight="1">
      <c r="A540" s="127">
        <v>45665.0</v>
      </c>
      <c r="B540" s="138">
        <v>45969.0</v>
      </c>
      <c r="C540" s="125" t="s">
        <v>5717</v>
      </c>
      <c r="D540" s="123" t="s">
        <v>4</v>
      </c>
      <c r="E540" s="123">
        <v>1270458.0</v>
      </c>
      <c r="F540" s="124">
        <v>0.0</v>
      </c>
      <c r="G540" s="124" t="s">
        <v>5712</v>
      </c>
      <c r="H540" s="124" t="s">
        <v>5705</v>
      </c>
      <c r="I540" s="124" t="s">
        <v>13</v>
      </c>
      <c r="J540" s="124" t="s">
        <v>5708</v>
      </c>
      <c r="K540" s="125" t="s">
        <v>147</v>
      </c>
      <c r="L540" s="124">
        <v>0.0</v>
      </c>
      <c r="M540" s="126">
        <v>4.0</v>
      </c>
      <c r="N540" s="1">
        <v>0.0</v>
      </c>
      <c r="O540" s="1">
        <v>0.0</v>
      </c>
    </row>
    <row r="541" ht="15.75" customHeight="1">
      <c r="A541" s="129">
        <v>45665.0</v>
      </c>
      <c r="B541" s="137">
        <v>45969.0</v>
      </c>
      <c r="C541" s="130" t="s">
        <v>5717</v>
      </c>
      <c r="D541" s="117" t="s">
        <v>4</v>
      </c>
      <c r="E541" s="117">
        <v>1270458.0</v>
      </c>
      <c r="F541" s="62">
        <v>0.0</v>
      </c>
      <c r="G541" s="62" t="s">
        <v>5712</v>
      </c>
      <c r="H541" s="62" t="s">
        <v>5705</v>
      </c>
      <c r="I541" s="62" t="s">
        <v>13</v>
      </c>
      <c r="J541" s="118" t="s">
        <v>5708</v>
      </c>
      <c r="K541" s="130" t="s">
        <v>139</v>
      </c>
      <c r="L541" s="130">
        <v>0.0</v>
      </c>
      <c r="M541" s="132">
        <v>0.008833333</v>
      </c>
      <c r="N541" s="1">
        <v>0.0</v>
      </c>
      <c r="O541" s="1">
        <v>0.0</v>
      </c>
    </row>
    <row r="542" ht="15.75" hidden="1" customHeight="1">
      <c r="A542" s="127">
        <v>45665.0</v>
      </c>
      <c r="B542" s="138">
        <v>45969.0</v>
      </c>
      <c r="C542" s="125" t="s">
        <v>5717</v>
      </c>
      <c r="D542" s="123" t="s">
        <v>4</v>
      </c>
      <c r="E542" s="123">
        <v>1270458.0</v>
      </c>
      <c r="F542" s="124">
        <v>0.0</v>
      </c>
      <c r="G542" s="124" t="s">
        <v>5712</v>
      </c>
      <c r="H542" s="124" t="s">
        <v>5705</v>
      </c>
      <c r="I542" s="124" t="s">
        <v>13</v>
      </c>
      <c r="J542" s="124" t="s">
        <v>5708</v>
      </c>
      <c r="K542" s="125" t="s">
        <v>155</v>
      </c>
      <c r="L542" s="124">
        <v>63.0</v>
      </c>
      <c r="M542" s="126">
        <v>16.0</v>
      </c>
      <c r="N542" s="1">
        <v>3.9375</v>
      </c>
      <c r="O542" s="1">
        <v>3.9375</v>
      </c>
    </row>
    <row r="543" ht="15.75" hidden="1" customHeight="1">
      <c r="A543" s="129">
        <v>45665.0</v>
      </c>
      <c r="B543" s="137">
        <v>45969.0</v>
      </c>
      <c r="C543" s="130" t="s">
        <v>5717</v>
      </c>
      <c r="D543" s="117" t="s">
        <v>4</v>
      </c>
      <c r="E543" s="117">
        <v>1270458.0</v>
      </c>
      <c r="F543" s="62">
        <v>0.0</v>
      </c>
      <c r="G543" s="62" t="s">
        <v>5712</v>
      </c>
      <c r="H543" s="62" t="s">
        <v>5705</v>
      </c>
      <c r="I543" s="62" t="s">
        <v>13</v>
      </c>
      <c r="J543" s="118" t="s">
        <v>5708</v>
      </c>
      <c r="K543" s="130" t="s">
        <v>163</v>
      </c>
      <c r="L543" s="62">
        <v>142.0</v>
      </c>
      <c r="M543" s="132"/>
      <c r="N543" s="1">
        <v>142.0</v>
      </c>
      <c r="O543" s="1" t="s">
        <v>5713</v>
      </c>
    </row>
    <row r="544" ht="15.75" hidden="1" customHeight="1">
      <c r="A544" s="127">
        <v>45665.0</v>
      </c>
      <c r="B544" s="138">
        <v>45969.0</v>
      </c>
      <c r="C544" s="125" t="s">
        <v>5716</v>
      </c>
      <c r="D544" s="123" t="s">
        <v>4</v>
      </c>
      <c r="E544" s="123">
        <v>1270458.0</v>
      </c>
      <c r="F544" s="124">
        <v>0.0</v>
      </c>
      <c r="G544" s="124" t="s">
        <v>5712</v>
      </c>
      <c r="H544" s="124" t="s">
        <v>5705</v>
      </c>
      <c r="I544" s="124" t="s">
        <v>13</v>
      </c>
      <c r="J544" s="124" t="s">
        <v>5708</v>
      </c>
      <c r="K544" s="125" t="s">
        <v>153</v>
      </c>
      <c r="L544" s="125">
        <v>1.5</v>
      </c>
      <c r="M544" s="126">
        <v>0.0</v>
      </c>
      <c r="N544" s="1"/>
      <c r="O544" s="1" t="s">
        <v>5713</v>
      </c>
    </row>
    <row r="545" ht="15.75" hidden="1" customHeight="1">
      <c r="A545" s="129">
        <v>45665.0</v>
      </c>
      <c r="B545" s="137">
        <v>45969.0</v>
      </c>
      <c r="C545" s="130" t="s">
        <v>5716</v>
      </c>
      <c r="D545" s="117" t="s">
        <v>4</v>
      </c>
      <c r="E545" s="117">
        <v>1270458.0</v>
      </c>
      <c r="F545" s="62">
        <v>0.0</v>
      </c>
      <c r="G545" s="62" t="s">
        <v>5712</v>
      </c>
      <c r="H545" s="62" t="s">
        <v>5705</v>
      </c>
      <c r="I545" s="62" t="s">
        <v>13</v>
      </c>
      <c r="J545" s="118" t="s">
        <v>5708</v>
      </c>
      <c r="K545" s="130" t="s">
        <v>160</v>
      </c>
      <c r="L545" s="62">
        <v>0.0</v>
      </c>
      <c r="M545" s="132">
        <v>111.0</v>
      </c>
      <c r="N545" s="1">
        <v>0.0</v>
      </c>
      <c r="O545" s="1">
        <v>0.0</v>
      </c>
    </row>
    <row r="546" ht="15.75" hidden="1" customHeight="1">
      <c r="A546" s="127">
        <v>45665.0</v>
      </c>
      <c r="B546" s="138">
        <v>45969.0</v>
      </c>
      <c r="C546" s="125" t="s">
        <v>5716</v>
      </c>
      <c r="D546" s="123" t="s">
        <v>4</v>
      </c>
      <c r="E546" s="123">
        <v>1270458.0</v>
      </c>
      <c r="F546" s="124">
        <v>0.0</v>
      </c>
      <c r="G546" s="124" t="s">
        <v>5712</v>
      </c>
      <c r="H546" s="124" t="s">
        <v>5705</v>
      </c>
      <c r="I546" s="124" t="s">
        <v>13</v>
      </c>
      <c r="J546" s="124" t="s">
        <v>5708</v>
      </c>
      <c r="K546" s="125" t="s">
        <v>142</v>
      </c>
      <c r="L546" s="125">
        <v>1.0</v>
      </c>
      <c r="M546" s="126"/>
      <c r="N546" s="1">
        <v>1.0</v>
      </c>
      <c r="O546" s="1" t="s">
        <v>5713</v>
      </c>
    </row>
    <row r="547" ht="15.75" customHeight="1">
      <c r="A547" s="129">
        <v>45665.0</v>
      </c>
      <c r="B547" s="130" t="s">
        <v>5707</v>
      </c>
      <c r="C547" s="130" t="s">
        <v>5720</v>
      </c>
      <c r="D547" s="117" t="s">
        <v>4</v>
      </c>
      <c r="E547" s="117">
        <v>1270458.0</v>
      </c>
      <c r="F547" s="62">
        <v>0.0</v>
      </c>
      <c r="G547" s="62" t="s">
        <v>5712</v>
      </c>
      <c r="H547" s="62" t="s">
        <v>5705</v>
      </c>
      <c r="I547" s="62" t="s">
        <v>13</v>
      </c>
      <c r="J547" s="118" t="s">
        <v>5708</v>
      </c>
      <c r="K547" s="130" t="s">
        <v>139</v>
      </c>
      <c r="L547" s="130">
        <v>1.0</v>
      </c>
      <c r="M547" s="132">
        <v>0.020833333</v>
      </c>
      <c r="N547" s="1">
        <v>48.0</v>
      </c>
      <c r="O547" s="1">
        <v>48.0</v>
      </c>
    </row>
    <row r="548" ht="15.75" hidden="1" customHeight="1">
      <c r="A548" s="127">
        <v>45665.0</v>
      </c>
      <c r="B548" s="125" t="s">
        <v>5707</v>
      </c>
      <c r="C548" s="125" t="s">
        <v>5720</v>
      </c>
      <c r="D548" s="123" t="s">
        <v>4</v>
      </c>
      <c r="E548" s="123">
        <v>1270458.0</v>
      </c>
      <c r="F548" s="124">
        <v>0.0</v>
      </c>
      <c r="G548" s="124" t="s">
        <v>5712</v>
      </c>
      <c r="H548" s="124" t="s">
        <v>5705</v>
      </c>
      <c r="I548" s="123" t="s">
        <v>13</v>
      </c>
      <c r="J548" s="124" t="s">
        <v>5708</v>
      </c>
      <c r="K548" s="125" t="s">
        <v>147</v>
      </c>
      <c r="L548" s="124">
        <v>300.0</v>
      </c>
      <c r="M548" s="126">
        <v>232.0</v>
      </c>
      <c r="N548" s="1">
        <v>1.293103448</v>
      </c>
      <c r="O548" s="1">
        <v>1.293103448</v>
      </c>
    </row>
    <row r="549" ht="15.75" hidden="1" customHeight="1">
      <c r="A549" s="129">
        <v>45665.0</v>
      </c>
      <c r="B549" s="130" t="s">
        <v>5707</v>
      </c>
      <c r="C549" s="130" t="s">
        <v>5720</v>
      </c>
      <c r="D549" s="117" t="s">
        <v>4</v>
      </c>
      <c r="E549" s="117">
        <v>1270458.0</v>
      </c>
      <c r="F549" s="62">
        <v>0.0</v>
      </c>
      <c r="G549" s="62" t="s">
        <v>5712</v>
      </c>
      <c r="H549" s="62" t="s">
        <v>5705</v>
      </c>
      <c r="I549" s="62" t="s">
        <v>13</v>
      </c>
      <c r="J549" s="118" t="s">
        <v>5708</v>
      </c>
      <c r="K549" s="130" t="s">
        <v>153</v>
      </c>
      <c r="L549" s="130">
        <v>0.0</v>
      </c>
      <c r="M549" s="132">
        <v>1.0</v>
      </c>
      <c r="N549" s="1">
        <v>0.0</v>
      </c>
      <c r="O549" s="1">
        <v>0.0</v>
      </c>
    </row>
    <row r="550" ht="15.75" hidden="1" customHeight="1">
      <c r="A550" s="127">
        <v>45665.0</v>
      </c>
      <c r="B550" s="125" t="s">
        <v>5707</v>
      </c>
      <c r="C550" s="125" t="s">
        <v>5720</v>
      </c>
      <c r="D550" s="123" t="s">
        <v>4</v>
      </c>
      <c r="E550" s="123">
        <v>1270458.0</v>
      </c>
      <c r="F550" s="124">
        <v>0.0</v>
      </c>
      <c r="G550" s="124" t="s">
        <v>5712</v>
      </c>
      <c r="H550" s="124" t="s">
        <v>5705</v>
      </c>
      <c r="I550" s="124" t="s">
        <v>13</v>
      </c>
      <c r="J550" s="124" t="s">
        <v>5708</v>
      </c>
      <c r="K550" s="125" t="s">
        <v>163</v>
      </c>
      <c r="L550" s="124">
        <v>1.0</v>
      </c>
      <c r="M550" s="126"/>
      <c r="N550" s="1">
        <v>1.0</v>
      </c>
      <c r="O550" s="1" t="s">
        <v>5713</v>
      </c>
    </row>
    <row r="551" ht="15.75" hidden="1" customHeight="1">
      <c r="A551" s="129">
        <v>45665.0</v>
      </c>
      <c r="B551" s="130" t="s">
        <v>5707</v>
      </c>
      <c r="C551" s="130" t="s">
        <v>5720</v>
      </c>
      <c r="D551" s="117" t="s">
        <v>4</v>
      </c>
      <c r="E551" s="117">
        <v>1270458.0</v>
      </c>
      <c r="F551" s="62">
        <v>0.0</v>
      </c>
      <c r="G551" s="62" t="s">
        <v>5712</v>
      </c>
      <c r="H551" s="62" t="s">
        <v>5705</v>
      </c>
      <c r="I551" s="62" t="s">
        <v>13</v>
      </c>
      <c r="J551" s="118" t="s">
        <v>5708</v>
      </c>
      <c r="K551" s="130" t="s">
        <v>147</v>
      </c>
      <c r="L551" s="130">
        <v>0.0</v>
      </c>
      <c r="M551" s="132">
        <v>10.0</v>
      </c>
      <c r="N551" s="1">
        <v>0.0</v>
      </c>
      <c r="O551" s="1">
        <v>0.0</v>
      </c>
    </row>
    <row r="552" ht="15.75" hidden="1" customHeight="1">
      <c r="A552" s="127">
        <v>45665.0</v>
      </c>
      <c r="B552" s="125" t="s">
        <v>5707</v>
      </c>
      <c r="C552" s="125" t="s">
        <v>5720</v>
      </c>
      <c r="D552" s="123" t="s">
        <v>4</v>
      </c>
      <c r="E552" s="123">
        <v>1270458.0</v>
      </c>
      <c r="F552" s="124">
        <v>0.0</v>
      </c>
      <c r="G552" s="124" t="s">
        <v>5712</v>
      </c>
      <c r="H552" s="124" t="s">
        <v>5705</v>
      </c>
      <c r="I552" s="124" t="s">
        <v>13</v>
      </c>
      <c r="J552" s="124" t="s">
        <v>5708</v>
      </c>
      <c r="K552" s="125" t="s">
        <v>160</v>
      </c>
      <c r="L552" s="125">
        <v>0.0</v>
      </c>
      <c r="M552" s="126">
        <v>2.0</v>
      </c>
      <c r="N552" s="1">
        <v>0.0</v>
      </c>
      <c r="O552" s="1">
        <v>0.0</v>
      </c>
    </row>
    <row r="553" ht="15.75" hidden="1" customHeight="1">
      <c r="A553" s="129">
        <v>45665.0</v>
      </c>
      <c r="B553" s="130" t="s">
        <v>5707</v>
      </c>
      <c r="C553" s="130" t="s">
        <v>5718</v>
      </c>
      <c r="D553" s="117" t="s">
        <v>4</v>
      </c>
      <c r="E553" s="117">
        <v>1270458.0</v>
      </c>
      <c r="F553" s="62">
        <v>0.0</v>
      </c>
      <c r="G553" s="62" t="s">
        <v>5712</v>
      </c>
      <c r="H553" s="62" t="s">
        <v>5705</v>
      </c>
      <c r="I553" s="62" t="s">
        <v>13</v>
      </c>
      <c r="J553" s="118" t="s">
        <v>5708</v>
      </c>
      <c r="K553" s="130" t="s">
        <v>160</v>
      </c>
      <c r="L553" s="62">
        <v>0.0</v>
      </c>
      <c r="M553" s="132">
        <v>1.0</v>
      </c>
      <c r="N553" s="1">
        <v>0.0</v>
      </c>
      <c r="O553" s="1">
        <v>0.0</v>
      </c>
    </row>
    <row r="554" ht="15.75" hidden="1" customHeight="1">
      <c r="A554" s="127">
        <v>45665.0</v>
      </c>
      <c r="B554" s="125" t="s">
        <v>5707</v>
      </c>
      <c r="C554" s="125" t="s">
        <v>5707</v>
      </c>
      <c r="D554" s="123" t="s">
        <v>4</v>
      </c>
      <c r="E554" s="123">
        <v>1270458.0</v>
      </c>
      <c r="F554" s="124">
        <v>0.0</v>
      </c>
      <c r="G554" s="124" t="s">
        <v>5712</v>
      </c>
      <c r="H554" s="124" t="s">
        <v>5705</v>
      </c>
      <c r="I554" s="124" t="s">
        <v>13</v>
      </c>
      <c r="J554" s="124" t="s">
        <v>5708</v>
      </c>
      <c r="K554" s="125" t="s">
        <v>147</v>
      </c>
      <c r="L554" s="125">
        <v>0.0</v>
      </c>
      <c r="M554" s="126">
        <v>1.0</v>
      </c>
      <c r="N554" s="1">
        <v>0.0</v>
      </c>
      <c r="O554" s="1">
        <v>0.0</v>
      </c>
    </row>
    <row r="555" ht="15.75" hidden="1" customHeight="1">
      <c r="A555" s="129">
        <v>45665.0</v>
      </c>
      <c r="B555" s="130" t="s">
        <v>5707</v>
      </c>
      <c r="C555" s="130" t="s">
        <v>5707</v>
      </c>
      <c r="D555" s="117" t="s">
        <v>4</v>
      </c>
      <c r="E555" s="117">
        <v>1270458.0</v>
      </c>
      <c r="F555" s="62">
        <v>0.0</v>
      </c>
      <c r="G555" s="62" t="s">
        <v>5712</v>
      </c>
      <c r="H555" s="62" t="s">
        <v>5705</v>
      </c>
      <c r="I555" s="62" t="s">
        <v>13</v>
      </c>
      <c r="J555" s="118" t="s">
        <v>5708</v>
      </c>
      <c r="K555" s="130" t="s">
        <v>160</v>
      </c>
      <c r="L555" s="130">
        <v>0.0</v>
      </c>
      <c r="M555" s="132">
        <v>1.0</v>
      </c>
      <c r="N555" s="1">
        <v>0.0</v>
      </c>
      <c r="O555" s="1">
        <v>0.0</v>
      </c>
    </row>
    <row r="556" ht="15.75" hidden="1" customHeight="1">
      <c r="A556" s="129">
        <v>45665.0</v>
      </c>
      <c r="B556" s="130" t="s">
        <v>5707</v>
      </c>
      <c r="C556" s="130" t="s">
        <v>5707</v>
      </c>
      <c r="D556" s="123" t="s">
        <v>4</v>
      </c>
      <c r="E556" s="123">
        <v>1270458.0</v>
      </c>
      <c r="F556" s="62">
        <v>0.0</v>
      </c>
      <c r="G556" s="62" t="s">
        <v>5712</v>
      </c>
      <c r="H556" s="62" t="s">
        <v>5705</v>
      </c>
      <c r="I556" s="62" t="s">
        <v>13</v>
      </c>
      <c r="J556" s="124" t="s">
        <v>5708</v>
      </c>
      <c r="K556" s="130" t="s">
        <v>163</v>
      </c>
      <c r="L556" s="130">
        <v>4.0</v>
      </c>
      <c r="M556" s="132"/>
      <c r="N556" s="1">
        <v>4.0</v>
      </c>
      <c r="O556" s="1" t="s">
        <v>5713</v>
      </c>
    </row>
    <row r="557" ht="15.75" customHeight="1">
      <c r="A557" s="129">
        <v>45665.0</v>
      </c>
      <c r="B557" s="130" t="s">
        <v>5707</v>
      </c>
      <c r="C557" s="130" t="s">
        <v>5707</v>
      </c>
      <c r="D557" s="117" t="s">
        <v>4</v>
      </c>
      <c r="E557" s="117">
        <v>1270458.0</v>
      </c>
      <c r="F557" s="62">
        <v>0.0</v>
      </c>
      <c r="G557" s="62" t="s">
        <v>5712</v>
      </c>
      <c r="H557" s="62" t="s">
        <v>5705</v>
      </c>
      <c r="I557" s="62" t="s">
        <v>13</v>
      </c>
      <c r="J557" s="118" t="s">
        <v>5708</v>
      </c>
      <c r="K557" s="130" t="s">
        <v>139</v>
      </c>
      <c r="L557" s="130">
        <v>0.0</v>
      </c>
      <c r="M557" s="132">
        <v>0.016166667</v>
      </c>
      <c r="N557" s="1">
        <v>0.0</v>
      </c>
      <c r="O557" s="1">
        <v>0.0</v>
      </c>
    </row>
    <row r="558" ht="15.75" hidden="1" customHeight="1">
      <c r="A558" s="127">
        <v>45665.0</v>
      </c>
      <c r="B558" s="125" t="s">
        <v>5707</v>
      </c>
      <c r="C558" s="125" t="s">
        <v>5707</v>
      </c>
      <c r="D558" s="123" t="s">
        <v>4</v>
      </c>
      <c r="E558" s="123">
        <v>1270458.0</v>
      </c>
      <c r="F558" s="124">
        <v>0.0</v>
      </c>
      <c r="G558" s="124" t="s">
        <v>5712</v>
      </c>
      <c r="H558" s="124" t="s">
        <v>5705</v>
      </c>
      <c r="I558" s="124" t="s">
        <v>13</v>
      </c>
      <c r="J558" s="124" t="s">
        <v>5708</v>
      </c>
      <c r="K558" s="125" t="s">
        <v>147</v>
      </c>
      <c r="L558" s="125">
        <v>0.0</v>
      </c>
      <c r="M558" s="134">
        <v>5.0</v>
      </c>
      <c r="N558" s="1">
        <v>0.0</v>
      </c>
      <c r="O558" s="1">
        <v>0.0</v>
      </c>
    </row>
    <row r="559" ht="15.75" hidden="1" customHeight="1">
      <c r="A559" s="129">
        <v>45665.0</v>
      </c>
      <c r="B559" s="130" t="s">
        <v>5707</v>
      </c>
      <c r="C559" s="130" t="s">
        <v>5707</v>
      </c>
      <c r="D559" s="117" t="s">
        <v>4</v>
      </c>
      <c r="E559" s="117">
        <v>1270458.0</v>
      </c>
      <c r="F559" s="62">
        <v>0.0</v>
      </c>
      <c r="G559" s="62" t="s">
        <v>5712</v>
      </c>
      <c r="H559" s="62" t="s">
        <v>5705</v>
      </c>
      <c r="I559" s="62" t="s">
        <v>13</v>
      </c>
      <c r="J559" s="118" t="s">
        <v>5708</v>
      </c>
      <c r="K559" s="130" t="s">
        <v>163</v>
      </c>
      <c r="L559" s="130">
        <v>5.0</v>
      </c>
      <c r="M559" s="133"/>
      <c r="N559" s="1">
        <v>5.0</v>
      </c>
      <c r="O559" s="1" t="s">
        <v>5713</v>
      </c>
    </row>
    <row r="560" ht="15.75" hidden="1" customHeight="1">
      <c r="A560" s="127">
        <v>45665.0</v>
      </c>
      <c r="B560" s="125" t="s">
        <v>5707</v>
      </c>
      <c r="C560" s="125" t="s">
        <v>5707</v>
      </c>
      <c r="D560" s="123" t="s">
        <v>4</v>
      </c>
      <c r="E560" s="123">
        <v>1270458.0</v>
      </c>
      <c r="F560" s="124">
        <v>0.0</v>
      </c>
      <c r="G560" s="124" t="s">
        <v>5712</v>
      </c>
      <c r="H560" s="124" t="s">
        <v>5705</v>
      </c>
      <c r="I560" s="124" t="s">
        <v>13</v>
      </c>
      <c r="J560" s="124" t="s">
        <v>5708</v>
      </c>
      <c r="K560" s="125" t="s">
        <v>11</v>
      </c>
      <c r="L560" s="125">
        <v>0.0</v>
      </c>
      <c r="M560" s="126">
        <v>8.5</v>
      </c>
      <c r="N560" s="1">
        <v>0.0</v>
      </c>
      <c r="O560" s="1">
        <v>0.0</v>
      </c>
    </row>
    <row r="561" ht="15.75" hidden="1" customHeight="1">
      <c r="A561" s="129">
        <v>45665.0</v>
      </c>
      <c r="B561" s="130" t="s">
        <v>5707</v>
      </c>
      <c r="C561" s="130" t="s">
        <v>5707</v>
      </c>
      <c r="D561" s="117" t="s">
        <v>4</v>
      </c>
      <c r="E561" s="117">
        <v>1270458.0</v>
      </c>
      <c r="F561" s="62">
        <v>0.0</v>
      </c>
      <c r="G561" s="62" t="s">
        <v>5712</v>
      </c>
      <c r="H561" s="62" t="s">
        <v>5705</v>
      </c>
      <c r="I561" s="62" t="s">
        <v>13</v>
      </c>
      <c r="J561" s="118" t="s">
        <v>5708</v>
      </c>
      <c r="K561" s="130" t="s">
        <v>147</v>
      </c>
      <c r="L561" s="62">
        <v>0.0</v>
      </c>
      <c r="M561" s="132">
        <v>1.0</v>
      </c>
      <c r="N561" s="1">
        <v>0.0</v>
      </c>
      <c r="O561" s="1">
        <v>0.0</v>
      </c>
    </row>
    <row r="562" ht="15.75" hidden="1" customHeight="1">
      <c r="A562" s="127">
        <v>45665.0</v>
      </c>
      <c r="B562" s="125" t="s">
        <v>5707</v>
      </c>
      <c r="C562" s="125" t="s">
        <v>5707</v>
      </c>
      <c r="D562" s="123" t="s">
        <v>4</v>
      </c>
      <c r="E562" s="123">
        <v>1270458.0</v>
      </c>
      <c r="F562" s="124">
        <v>0.0</v>
      </c>
      <c r="G562" s="124" t="s">
        <v>5712</v>
      </c>
      <c r="H562" s="124" t="s">
        <v>5705</v>
      </c>
      <c r="I562" s="124" t="s">
        <v>13</v>
      </c>
      <c r="J562" s="124" t="s">
        <v>5708</v>
      </c>
      <c r="K562" s="125" t="s">
        <v>163</v>
      </c>
      <c r="L562" s="124">
        <v>3.0</v>
      </c>
      <c r="M562" s="126"/>
      <c r="N562" s="1">
        <v>3.0</v>
      </c>
      <c r="O562" s="1" t="s">
        <v>5713</v>
      </c>
    </row>
    <row r="563" ht="15.75" customHeight="1">
      <c r="A563" s="129">
        <v>45665.0</v>
      </c>
      <c r="B563" s="137">
        <v>45969.0</v>
      </c>
      <c r="C563" s="130" t="s">
        <v>5717</v>
      </c>
      <c r="D563" s="117" t="s">
        <v>4</v>
      </c>
      <c r="E563" s="117">
        <v>1270458.0</v>
      </c>
      <c r="F563" s="62">
        <v>0.0</v>
      </c>
      <c r="G563" s="62" t="s">
        <v>5712</v>
      </c>
      <c r="H563" s="62" t="s">
        <v>5705</v>
      </c>
      <c r="I563" s="62" t="s">
        <v>13</v>
      </c>
      <c r="J563" s="118" t="s">
        <v>5708</v>
      </c>
      <c r="K563" s="130" t="s">
        <v>139</v>
      </c>
      <c r="L563" s="62">
        <v>2.0</v>
      </c>
      <c r="M563" s="132">
        <v>0.017833333</v>
      </c>
      <c r="N563" s="1">
        <v>112.1495327</v>
      </c>
      <c r="O563" s="1">
        <v>112.1495327</v>
      </c>
    </row>
    <row r="564" ht="15.75" hidden="1" customHeight="1">
      <c r="A564" s="127">
        <v>45665.0</v>
      </c>
      <c r="B564" s="138">
        <v>45969.0</v>
      </c>
      <c r="C564" s="125" t="s">
        <v>5717</v>
      </c>
      <c r="D564" s="123" t="s">
        <v>4</v>
      </c>
      <c r="E564" s="123">
        <v>1270458.0</v>
      </c>
      <c r="F564" s="124">
        <v>0.0</v>
      </c>
      <c r="G564" s="124" t="s">
        <v>5712</v>
      </c>
      <c r="H564" s="124" t="s">
        <v>5705</v>
      </c>
      <c r="I564" s="124" t="s">
        <v>13</v>
      </c>
      <c r="J564" s="124" t="s">
        <v>5708</v>
      </c>
      <c r="K564" s="125" t="s">
        <v>147</v>
      </c>
      <c r="L564" s="125">
        <v>200.0</v>
      </c>
      <c r="M564" s="126">
        <v>144.0</v>
      </c>
      <c r="N564" s="1">
        <v>1.388888889</v>
      </c>
      <c r="O564" s="1">
        <v>1.388888889</v>
      </c>
    </row>
    <row r="565" ht="15.75" hidden="1" customHeight="1">
      <c r="A565" s="129">
        <v>45665.0</v>
      </c>
      <c r="B565" s="137">
        <v>45969.0</v>
      </c>
      <c r="C565" s="130" t="s">
        <v>5717</v>
      </c>
      <c r="D565" s="117" t="s">
        <v>4</v>
      </c>
      <c r="E565" s="117">
        <v>1270458.0</v>
      </c>
      <c r="F565" s="62">
        <v>0.0</v>
      </c>
      <c r="G565" s="62" t="s">
        <v>5712</v>
      </c>
      <c r="H565" s="62" t="s">
        <v>5705</v>
      </c>
      <c r="I565" s="62" t="s">
        <v>13</v>
      </c>
      <c r="J565" s="118" t="s">
        <v>5708</v>
      </c>
      <c r="K565" s="130" t="s">
        <v>153</v>
      </c>
      <c r="L565" s="62">
        <v>389.16</v>
      </c>
      <c r="M565" s="132">
        <v>110.0</v>
      </c>
      <c r="N565" s="1">
        <v>3.537818182</v>
      </c>
      <c r="O565" s="1">
        <v>3.537818182</v>
      </c>
    </row>
    <row r="566" ht="15.75" hidden="1" customHeight="1">
      <c r="A566" s="129">
        <v>45665.0</v>
      </c>
      <c r="B566" s="137">
        <v>45969.0</v>
      </c>
      <c r="C566" s="130" t="s">
        <v>5717</v>
      </c>
      <c r="D566" s="123" t="s">
        <v>4</v>
      </c>
      <c r="E566" s="123">
        <v>1270458.0</v>
      </c>
      <c r="F566" s="62">
        <v>0.0</v>
      </c>
      <c r="G566" s="62" t="s">
        <v>5712</v>
      </c>
      <c r="H566" s="62" t="s">
        <v>5705</v>
      </c>
      <c r="I566" s="62" t="s">
        <v>13</v>
      </c>
      <c r="J566" s="124" t="s">
        <v>5708</v>
      </c>
      <c r="K566" s="130" t="s">
        <v>156</v>
      </c>
      <c r="L566" s="130">
        <v>6800.0</v>
      </c>
      <c r="M566" s="133">
        <v>110.0</v>
      </c>
      <c r="N566" s="1">
        <v>61.81818182</v>
      </c>
      <c r="O566" s="1">
        <v>61.81818182</v>
      </c>
    </row>
    <row r="567" ht="15.75" hidden="1" customHeight="1">
      <c r="A567" s="129">
        <v>45665.0</v>
      </c>
      <c r="B567" s="137">
        <v>45969.0</v>
      </c>
      <c r="C567" s="130" t="s">
        <v>5717</v>
      </c>
      <c r="D567" s="117" t="s">
        <v>4</v>
      </c>
      <c r="E567" s="117">
        <v>1270458.0</v>
      </c>
      <c r="F567" s="62">
        <v>0.0</v>
      </c>
      <c r="G567" s="62" t="s">
        <v>5712</v>
      </c>
      <c r="H567" s="62" t="s">
        <v>5705</v>
      </c>
      <c r="I567" s="62" t="s">
        <v>13</v>
      </c>
      <c r="J567" s="118" t="s">
        <v>5708</v>
      </c>
      <c r="K567" s="130" t="s">
        <v>163</v>
      </c>
      <c r="L567" s="62">
        <v>1.0</v>
      </c>
      <c r="M567" s="132"/>
      <c r="N567" s="1">
        <v>1.0</v>
      </c>
      <c r="O567" s="1" t="s">
        <v>5713</v>
      </c>
    </row>
    <row r="568" ht="15.75" hidden="1" customHeight="1">
      <c r="A568" s="127">
        <v>45665.0</v>
      </c>
      <c r="B568" s="138">
        <v>45969.0</v>
      </c>
      <c r="C568" s="125" t="s">
        <v>5717</v>
      </c>
      <c r="D568" s="123" t="s">
        <v>4</v>
      </c>
      <c r="E568" s="123">
        <v>1270458.0</v>
      </c>
      <c r="F568" s="124">
        <v>0.0</v>
      </c>
      <c r="G568" s="124" t="s">
        <v>5712</v>
      </c>
      <c r="H568" s="124" t="s">
        <v>5705</v>
      </c>
      <c r="I568" s="124" t="s">
        <v>13</v>
      </c>
      <c r="J568" s="124" t="s">
        <v>5708</v>
      </c>
      <c r="K568" s="125" t="s">
        <v>160</v>
      </c>
      <c r="L568" s="125">
        <v>0.0</v>
      </c>
      <c r="M568" s="126">
        <v>2.0</v>
      </c>
      <c r="N568" s="1">
        <v>0.0</v>
      </c>
      <c r="O568" s="1">
        <v>0.0</v>
      </c>
    </row>
    <row r="569" ht="15.75" hidden="1" customHeight="1">
      <c r="A569" s="129">
        <v>45665.0</v>
      </c>
      <c r="B569" s="130" t="s">
        <v>5707</v>
      </c>
      <c r="C569" s="130" t="s">
        <v>5707</v>
      </c>
      <c r="D569" s="117" t="s">
        <v>4</v>
      </c>
      <c r="E569" s="117">
        <v>1270458.0</v>
      </c>
      <c r="F569" s="62">
        <v>0.0</v>
      </c>
      <c r="G569" s="62" t="s">
        <v>5712</v>
      </c>
      <c r="H569" s="62" t="s">
        <v>5705</v>
      </c>
      <c r="I569" s="62" t="s">
        <v>13</v>
      </c>
      <c r="J569" s="118" t="s">
        <v>5708</v>
      </c>
      <c r="K569" s="130" t="s">
        <v>158</v>
      </c>
      <c r="L569" s="130">
        <v>3900.0</v>
      </c>
      <c r="M569" s="132">
        <v>256.0</v>
      </c>
      <c r="N569" s="1">
        <v>15.234375</v>
      </c>
      <c r="O569" s="1">
        <v>15.234375</v>
      </c>
    </row>
    <row r="570" ht="15.75" hidden="1" customHeight="1">
      <c r="A570" s="127">
        <v>45665.0</v>
      </c>
      <c r="B570" s="125" t="s">
        <v>5707</v>
      </c>
      <c r="C570" s="125" t="s">
        <v>5707</v>
      </c>
      <c r="D570" s="123" t="s">
        <v>4</v>
      </c>
      <c r="E570" s="123">
        <v>1270458.0</v>
      </c>
      <c r="F570" s="124">
        <v>0.0</v>
      </c>
      <c r="G570" s="124" t="s">
        <v>5712</v>
      </c>
      <c r="H570" s="124" t="s">
        <v>5705</v>
      </c>
      <c r="I570" s="124" t="s">
        <v>13</v>
      </c>
      <c r="J570" s="124" t="s">
        <v>5708</v>
      </c>
      <c r="K570" s="125" t="s">
        <v>147</v>
      </c>
      <c r="L570" s="125">
        <v>600.0</v>
      </c>
      <c r="M570" s="126">
        <v>205.0</v>
      </c>
      <c r="N570" s="1">
        <v>2.926829268</v>
      </c>
      <c r="O570" s="1">
        <v>2.926829268</v>
      </c>
    </row>
    <row r="571" ht="15.75" hidden="1" customHeight="1">
      <c r="A571" s="129">
        <v>45665.0</v>
      </c>
      <c r="B571" s="130" t="s">
        <v>5707</v>
      </c>
      <c r="C571" s="130" t="s">
        <v>5707</v>
      </c>
      <c r="D571" s="117" t="s">
        <v>4</v>
      </c>
      <c r="E571" s="117">
        <v>1270458.0</v>
      </c>
      <c r="F571" s="62">
        <v>0.0</v>
      </c>
      <c r="G571" s="62" t="s">
        <v>5712</v>
      </c>
      <c r="H571" s="62" t="s">
        <v>5705</v>
      </c>
      <c r="I571" s="62" t="s">
        <v>13</v>
      </c>
      <c r="J571" s="118" t="s">
        <v>5708</v>
      </c>
      <c r="K571" s="130" t="s">
        <v>160</v>
      </c>
      <c r="L571" s="62">
        <v>0.0</v>
      </c>
      <c r="M571" s="132">
        <v>7.0</v>
      </c>
      <c r="N571" s="1">
        <v>0.0</v>
      </c>
      <c r="O571" s="1">
        <v>0.0</v>
      </c>
    </row>
    <row r="572" ht="15.75" hidden="1" customHeight="1">
      <c r="A572" s="127">
        <v>45665.0</v>
      </c>
      <c r="B572" s="125" t="s">
        <v>5707</v>
      </c>
      <c r="C572" s="125" t="s">
        <v>5707</v>
      </c>
      <c r="D572" s="123" t="s">
        <v>4</v>
      </c>
      <c r="E572" s="123">
        <v>1270458.0</v>
      </c>
      <c r="F572" s="124">
        <v>0.0</v>
      </c>
      <c r="G572" s="124" t="s">
        <v>5712</v>
      </c>
      <c r="H572" s="124" t="s">
        <v>5705</v>
      </c>
      <c r="I572" s="124" t="s">
        <v>13</v>
      </c>
      <c r="J572" s="124" t="s">
        <v>5708</v>
      </c>
      <c r="K572" s="125" t="s">
        <v>163</v>
      </c>
      <c r="L572" s="124">
        <v>7.0</v>
      </c>
      <c r="M572" s="126"/>
      <c r="N572" s="1">
        <v>7.0</v>
      </c>
      <c r="O572" s="1" t="s">
        <v>5713</v>
      </c>
    </row>
    <row r="573" ht="15.75" hidden="1" customHeight="1">
      <c r="A573" s="129">
        <v>45665.0</v>
      </c>
      <c r="B573" s="130" t="s">
        <v>5707</v>
      </c>
      <c r="C573" s="130" t="s">
        <v>5707</v>
      </c>
      <c r="D573" s="117" t="s">
        <v>4</v>
      </c>
      <c r="E573" s="117">
        <v>1270458.0</v>
      </c>
      <c r="F573" s="62">
        <v>0.0</v>
      </c>
      <c r="G573" s="62" t="s">
        <v>5712</v>
      </c>
      <c r="H573" s="62" t="s">
        <v>5705</v>
      </c>
      <c r="I573" s="62" t="s">
        <v>13</v>
      </c>
      <c r="J573" s="118" t="s">
        <v>5708</v>
      </c>
      <c r="K573" s="130" t="s">
        <v>147</v>
      </c>
      <c r="L573" s="130">
        <v>0.0</v>
      </c>
      <c r="M573" s="132">
        <v>1.0</v>
      </c>
      <c r="N573" s="1">
        <v>0.0</v>
      </c>
      <c r="O573" s="1">
        <v>0.0</v>
      </c>
    </row>
    <row r="574" ht="15.75" hidden="1" customHeight="1">
      <c r="A574" s="127">
        <v>45665.0</v>
      </c>
      <c r="B574" s="125" t="s">
        <v>5707</v>
      </c>
      <c r="C574" s="125" t="s">
        <v>5707</v>
      </c>
      <c r="D574" s="123" t="s">
        <v>4</v>
      </c>
      <c r="E574" s="123">
        <v>1270458.0</v>
      </c>
      <c r="F574" s="124">
        <v>0.0</v>
      </c>
      <c r="G574" s="124" t="s">
        <v>5712</v>
      </c>
      <c r="H574" s="124" t="s">
        <v>5705</v>
      </c>
      <c r="I574" s="124" t="s">
        <v>13</v>
      </c>
      <c r="J574" s="124" t="s">
        <v>5708</v>
      </c>
      <c r="K574" s="125" t="s">
        <v>160</v>
      </c>
      <c r="L574" s="125">
        <v>0.0</v>
      </c>
      <c r="M574" s="126">
        <v>1.0</v>
      </c>
      <c r="N574" s="1">
        <v>0.0</v>
      </c>
      <c r="O574" s="1">
        <v>0.0</v>
      </c>
    </row>
    <row r="575" ht="15.75" hidden="1" customHeight="1">
      <c r="A575" s="129">
        <v>45665.0</v>
      </c>
      <c r="B575" s="130" t="s">
        <v>5707</v>
      </c>
      <c r="C575" s="130" t="s">
        <v>5707</v>
      </c>
      <c r="D575" s="117" t="s">
        <v>4</v>
      </c>
      <c r="E575" s="117">
        <v>1270458.0</v>
      </c>
      <c r="F575" s="62">
        <v>0.0</v>
      </c>
      <c r="G575" s="62" t="s">
        <v>5712</v>
      </c>
      <c r="H575" s="62" t="s">
        <v>5705</v>
      </c>
      <c r="I575" s="62" t="s">
        <v>13</v>
      </c>
      <c r="J575" s="118" t="s">
        <v>5708</v>
      </c>
      <c r="K575" s="130" t="s">
        <v>163</v>
      </c>
      <c r="L575" s="62">
        <v>1.0</v>
      </c>
      <c r="M575" s="132"/>
      <c r="N575" s="1">
        <v>1.0</v>
      </c>
      <c r="O575" s="1" t="s">
        <v>5713</v>
      </c>
    </row>
    <row r="576" ht="15.75" hidden="1" customHeight="1">
      <c r="A576" s="127">
        <v>45665.0</v>
      </c>
      <c r="B576" s="125" t="s">
        <v>5707</v>
      </c>
      <c r="C576" s="125" t="s">
        <v>5707</v>
      </c>
      <c r="D576" s="123" t="s">
        <v>4</v>
      </c>
      <c r="E576" s="123">
        <v>1270458.0</v>
      </c>
      <c r="F576" s="124">
        <v>0.0</v>
      </c>
      <c r="G576" s="124" t="s">
        <v>5712</v>
      </c>
      <c r="H576" s="124" t="s">
        <v>5705</v>
      </c>
      <c r="I576" s="124" t="s">
        <v>13</v>
      </c>
      <c r="J576" s="124" t="s">
        <v>5708</v>
      </c>
      <c r="K576" s="125" t="s">
        <v>158</v>
      </c>
      <c r="L576" s="125">
        <v>0.0</v>
      </c>
      <c r="M576" s="126">
        <v>8.0</v>
      </c>
      <c r="N576" s="1">
        <v>0.0</v>
      </c>
      <c r="O576" s="1">
        <v>0.0</v>
      </c>
    </row>
    <row r="577" ht="15.75" hidden="1" customHeight="1">
      <c r="A577" s="129">
        <v>45665.0</v>
      </c>
      <c r="B577" s="130" t="s">
        <v>5707</v>
      </c>
      <c r="C577" s="130" t="s">
        <v>5718</v>
      </c>
      <c r="D577" s="117" t="s">
        <v>4</v>
      </c>
      <c r="E577" s="117">
        <v>1270458.0</v>
      </c>
      <c r="F577" s="62">
        <v>0.0</v>
      </c>
      <c r="G577" s="62" t="s">
        <v>5712</v>
      </c>
      <c r="H577" s="62" t="s">
        <v>5705</v>
      </c>
      <c r="I577" s="62" t="s">
        <v>13</v>
      </c>
      <c r="J577" s="118" t="s">
        <v>5708</v>
      </c>
      <c r="K577" s="130" t="s">
        <v>163</v>
      </c>
      <c r="L577" s="130">
        <v>3.0</v>
      </c>
      <c r="M577" s="132"/>
      <c r="N577" s="1">
        <v>3.0</v>
      </c>
      <c r="O577" s="1" t="s">
        <v>5713</v>
      </c>
    </row>
    <row r="578" ht="15.75" hidden="1" customHeight="1">
      <c r="A578" s="127">
        <v>45665.0</v>
      </c>
      <c r="B578" s="125" t="s">
        <v>5707</v>
      </c>
      <c r="C578" s="125" t="s">
        <v>5718</v>
      </c>
      <c r="D578" s="123" t="s">
        <v>4</v>
      </c>
      <c r="E578" s="123">
        <v>1270458.0</v>
      </c>
      <c r="F578" s="124">
        <v>0.0</v>
      </c>
      <c r="G578" s="124" t="s">
        <v>5712</v>
      </c>
      <c r="H578" s="124" t="s">
        <v>5705</v>
      </c>
      <c r="I578" s="124" t="s">
        <v>13</v>
      </c>
      <c r="J578" s="124" t="s">
        <v>5708</v>
      </c>
      <c r="K578" s="125" t="s">
        <v>160</v>
      </c>
      <c r="L578" s="125">
        <v>0.0</v>
      </c>
      <c r="M578" s="126">
        <v>3.0</v>
      </c>
      <c r="N578" s="1">
        <v>0.0</v>
      </c>
      <c r="O578" s="1">
        <v>0.0</v>
      </c>
    </row>
    <row r="579" ht="15.75" hidden="1" customHeight="1">
      <c r="A579" s="129">
        <v>45665.0</v>
      </c>
      <c r="B579" s="130" t="s">
        <v>5707</v>
      </c>
      <c r="C579" s="130" t="s">
        <v>5718</v>
      </c>
      <c r="D579" s="117" t="s">
        <v>4</v>
      </c>
      <c r="E579" s="117">
        <v>1270458.0</v>
      </c>
      <c r="F579" s="62">
        <v>0.0</v>
      </c>
      <c r="G579" s="62" t="s">
        <v>5712</v>
      </c>
      <c r="H579" s="62" t="s">
        <v>5705</v>
      </c>
      <c r="I579" s="62" t="s">
        <v>13</v>
      </c>
      <c r="J579" s="118" t="s">
        <v>5708</v>
      </c>
      <c r="K579" s="130" t="s">
        <v>163</v>
      </c>
      <c r="L579" s="62">
        <v>3.0</v>
      </c>
      <c r="M579" s="132"/>
      <c r="N579" s="1">
        <v>3.0</v>
      </c>
      <c r="O579" s="1" t="s">
        <v>5713</v>
      </c>
    </row>
    <row r="580" ht="15.75" customHeight="1">
      <c r="A580" s="127">
        <v>45665.0</v>
      </c>
      <c r="B580" s="125" t="s">
        <v>5707</v>
      </c>
      <c r="C580" s="125" t="s">
        <v>5718</v>
      </c>
      <c r="D580" s="123" t="s">
        <v>4</v>
      </c>
      <c r="E580" s="123">
        <v>1270458.0</v>
      </c>
      <c r="F580" s="124">
        <v>0.0</v>
      </c>
      <c r="G580" s="124" t="s">
        <v>5712</v>
      </c>
      <c r="H580" s="124" t="s">
        <v>5705</v>
      </c>
      <c r="I580" s="124" t="s">
        <v>13</v>
      </c>
      <c r="J580" s="124" t="s">
        <v>5708</v>
      </c>
      <c r="K580" s="125" t="s">
        <v>139</v>
      </c>
      <c r="L580" s="125">
        <v>1.0</v>
      </c>
      <c r="M580" s="126">
        <v>3.33333E-4</v>
      </c>
      <c r="N580" s="1">
        <v>3000.0</v>
      </c>
      <c r="O580" s="1">
        <v>3000.0</v>
      </c>
    </row>
    <row r="581" ht="15.75" hidden="1" customHeight="1">
      <c r="A581" s="129">
        <v>45665.0</v>
      </c>
      <c r="B581" s="130" t="s">
        <v>5707</v>
      </c>
      <c r="C581" s="130" t="s">
        <v>5718</v>
      </c>
      <c r="D581" s="117" t="s">
        <v>4</v>
      </c>
      <c r="E581" s="117">
        <v>1270458.0</v>
      </c>
      <c r="F581" s="62">
        <v>0.0</v>
      </c>
      <c r="G581" s="62" t="s">
        <v>5712</v>
      </c>
      <c r="H581" s="62" t="s">
        <v>5705</v>
      </c>
      <c r="I581" s="62" t="s">
        <v>13</v>
      </c>
      <c r="J581" s="118" t="s">
        <v>5708</v>
      </c>
      <c r="K581" s="130" t="s">
        <v>163</v>
      </c>
      <c r="L581" s="130">
        <v>1.0</v>
      </c>
      <c r="M581" s="132"/>
      <c r="N581" s="1">
        <v>1.0</v>
      </c>
      <c r="O581" s="1" t="s">
        <v>5713</v>
      </c>
    </row>
    <row r="582" ht="15.75" hidden="1" customHeight="1">
      <c r="A582" s="127">
        <v>45665.0</v>
      </c>
      <c r="B582" s="125" t="s">
        <v>5707</v>
      </c>
      <c r="C582" s="125" t="s">
        <v>5718</v>
      </c>
      <c r="D582" s="123" t="s">
        <v>4</v>
      </c>
      <c r="E582" s="123">
        <v>1270458.0</v>
      </c>
      <c r="F582" s="124">
        <v>0.0</v>
      </c>
      <c r="G582" s="124" t="s">
        <v>5712</v>
      </c>
      <c r="H582" s="124" t="s">
        <v>5705</v>
      </c>
      <c r="I582" s="124" t="s">
        <v>13</v>
      </c>
      <c r="J582" s="124" t="s">
        <v>5708</v>
      </c>
      <c r="K582" s="125" t="s">
        <v>147</v>
      </c>
      <c r="L582" s="125">
        <v>0.0</v>
      </c>
      <c r="M582" s="126">
        <v>1.0</v>
      </c>
      <c r="N582" s="1">
        <v>0.0</v>
      </c>
      <c r="O582" s="1">
        <v>0.0</v>
      </c>
    </row>
    <row r="583" ht="15.75" hidden="1" customHeight="1">
      <c r="A583" s="129">
        <v>45665.0</v>
      </c>
      <c r="B583" s="130" t="s">
        <v>5707</v>
      </c>
      <c r="C583" s="130" t="s">
        <v>5718</v>
      </c>
      <c r="D583" s="117" t="s">
        <v>4</v>
      </c>
      <c r="E583" s="117">
        <v>1270458.0</v>
      </c>
      <c r="F583" s="62">
        <v>0.0</v>
      </c>
      <c r="G583" s="62" t="s">
        <v>5712</v>
      </c>
      <c r="H583" s="62" t="s">
        <v>5705</v>
      </c>
      <c r="I583" s="62" t="s">
        <v>13</v>
      </c>
      <c r="J583" s="118" t="s">
        <v>5708</v>
      </c>
      <c r="K583" s="130" t="s">
        <v>160</v>
      </c>
      <c r="L583" s="130">
        <v>0.0</v>
      </c>
      <c r="M583" s="132">
        <v>1.0</v>
      </c>
      <c r="N583" s="1">
        <v>0.0</v>
      </c>
      <c r="O583" s="1">
        <v>0.0</v>
      </c>
    </row>
    <row r="584" ht="15.75" hidden="1" customHeight="1">
      <c r="A584" s="127">
        <v>45665.0</v>
      </c>
      <c r="B584" s="125" t="s">
        <v>5707</v>
      </c>
      <c r="C584" s="125" t="s">
        <v>5707</v>
      </c>
      <c r="D584" s="123" t="s">
        <v>4</v>
      </c>
      <c r="E584" s="123">
        <v>1270458.0</v>
      </c>
      <c r="F584" s="124">
        <v>0.0</v>
      </c>
      <c r="G584" s="124" t="s">
        <v>5712</v>
      </c>
      <c r="H584" s="124" t="s">
        <v>5705</v>
      </c>
      <c r="I584" s="124" t="s">
        <v>13</v>
      </c>
      <c r="J584" s="124" t="s">
        <v>5708</v>
      </c>
      <c r="K584" s="125" t="s">
        <v>158</v>
      </c>
      <c r="L584" s="124">
        <v>800.0</v>
      </c>
      <c r="M584" s="126">
        <v>8.0</v>
      </c>
      <c r="N584" s="1">
        <v>100.0</v>
      </c>
      <c r="O584" s="1">
        <v>100.0</v>
      </c>
    </row>
    <row r="585" ht="15.75" hidden="1" customHeight="1">
      <c r="A585" s="129">
        <v>45665.0</v>
      </c>
      <c r="B585" s="130" t="s">
        <v>5707</v>
      </c>
      <c r="C585" s="130" t="s">
        <v>5707</v>
      </c>
      <c r="D585" s="117" t="s">
        <v>4</v>
      </c>
      <c r="E585" s="117">
        <v>1270458.0</v>
      </c>
      <c r="F585" s="62">
        <v>0.0</v>
      </c>
      <c r="G585" s="62" t="s">
        <v>5712</v>
      </c>
      <c r="H585" s="62" t="s">
        <v>5705</v>
      </c>
      <c r="I585" s="62" t="s">
        <v>13</v>
      </c>
      <c r="J585" s="118" t="s">
        <v>5708</v>
      </c>
      <c r="K585" s="130" t="s">
        <v>158</v>
      </c>
      <c r="L585" s="130">
        <v>2800.0</v>
      </c>
      <c r="M585" s="132">
        <v>43.0</v>
      </c>
      <c r="N585" s="1">
        <v>65.11627907</v>
      </c>
      <c r="O585" s="1">
        <v>65.11627907</v>
      </c>
    </row>
    <row r="586" ht="15.75" hidden="1" customHeight="1">
      <c r="A586" s="127">
        <v>45665.0</v>
      </c>
      <c r="B586" s="125" t="s">
        <v>5707</v>
      </c>
      <c r="C586" s="125" t="s">
        <v>5707</v>
      </c>
      <c r="D586" s="123" t="s">
        <v>4</v>
      </c>
      <c r="E586" s="123">
        <v>1270458.0</v>
      </c>
      <c r="F586" s="124">
        <v>0.0</v>
      </c>
      <c r="G586" s="124" t="s">
        <v>5712</v>
      </c>
      <c r="H586" s="124" t="s">
        <v>5705</v>
      </c>
      <c r="I586" s="124" t="s">
        <v>13</v>
      </c>
      <c r="J586" s="124" t="s">
        <v>5708</v>
      </c>
      <c r="K586" s="125" t="s">
        <v>147</v>
      </c>
      <c r="L586" s="124">
        <v>0.0</v>
      </c>
      <c r="M586" s="126">
        <v>4.0</v>
      </c>
      <c r="N586" s="1">
        <v>0.0</v>
      </c>
      <c r="O586" s="1">
        <v>0.0</v>
      </c>
    </row>
    <row r="587" ht="15.75" hidden="1" customHeight="1">
      <c r="A587" s="129">
        <v>45665.0</v>
      </c>
      <c r="B587" s="130" t="s">
        <v>5707</v>
      </c>
      <c r="C587" s="130" t="s">
        <v>5707</v>
      </c>
      <c r="D587" s="117" t="s">
        <v>4</v>
      </c>
      <c r="E587" s="117">
        <v>1270458.0</v>
      </c>
      <c r="F587" s="62">
        <v>0.0</v>
      </c>
      <c r="G587" s="62" t="s">
        <v>5712</v>
      </c>
      <c r="H587" s="62" t="s">
        <v>5705</v>
      </c>
      <c r="I587" s="62" t="s">
        <v>13</v>
      </c>
      <c r="J587" s="118" t="s">
        <v>5708</v>
      </c>
      <c r="K587" s="130" t="s">
        <v>160</v>
      </c>
      <c r="L587" s="130">
        <v>0.0</v>
      </c>
      <c r="M587" s="132">
        <v>205.0</v>
      </c>
      <c r="N587" s="1">
        <v>0.0</v>
      </c>
      <c r="O587" s="1">
        <v>0.0</v>
      </c>
    </row>
    <row r="588" ht="15.75" hidden="1" customHeight="1">
      <c r="A588" s="127">
        <v>45665.0</v>
      </c>
      <c r="B588" s="125" t="s">
        <v>5707</v>
      </c>
      <c r="C588" s="125" t="s">
        <v>5707</v>
      </c>
      <c r="D588" s="123" t="s">
        <v>4</v>
      </c>
      <c r="E588" s="123">
        <v>1270458.0</v>
      </c>
      <c r="F588" s="124">
        <v>0.0</v>
      </c>
      <c r="G588" s="124" t="s">
        <v>5712</v>
      </c>
      <c r="H588" s="124" t="s">
        <v>5705</v>
      </c>
      <c r="I588" s="124" t="s">
        <v>13</v>
      </c>
      <c r="J588" s="124" t="s">
        <v>5708</v>
      </c>
      <c r="K588" s="125" t="s">
        <v>163</v>
      </c>
      <c r="L588" s="124">
        <v>1.0</v>
      </c>
      <c r="M588" s="126"/>
      <c r="N588" s="1">
        <v>1.0</v>
      </c>
      <c r="O588" s="1" t="s">
        <v>5713</v>
      </c>
    </row>
    <row r="589" ht="15.75" hidden="1" customHeight="1">
      <c r="A589" s="129">
        <v>45665.0</v>
      </c>
      <c r="B589" s="130" t="s">
        <v>5707</v>
      </c>
      <c r="C589" s="130" t="s">
        <v>5707</v>
      </c>
      <c r="D589" s="117" t="s">
        <v>4</v>
      </c>
      <c r="E589" s="117">
        <v>1270458.0</v>
      </c>
      <c r="F589" s="62">
        <v>0.0</v>
      </c>
      <c r="G589" s="62" t="s">
        <v>5712</v>
      </c>
      <c r="H589" s="62" t="s">
        <v>5705</v>
      </c>
      <c r="I589" s="62" t="s">
        <v>13</v>
      </c>
      <c r="J589" s="118" t="s">
        <v>5708</v>
      </c>
      <c r="K589" s="130" t="s">
        <v>147</v>
      </c>
      <c r="L589" s="130">
        <v>0.0</v>
      </c>
      <c r="M589" s="132">
        <v>7.0</v>
      </c>
      <c r="N589" s="1">
        <v>0.0</v>
      </c>
      <c r="O589" s="1">
        <v>0.0</v>
      </c>
    </row>
    <row r="590" ht="15.75" hidden="1" customHeight="1">
      <c r="A590" s="127">
        <v>45665.0</v>
      </c>
      <c r="B590" s="125" t="s">
        <v>5707</v>
      </c>
      <c r="C590" s="125" t="s">
        <v>5707</v>
      </c>
      <c r="D590" s="123" t="s">
        <v>4</v>
      </c>
      <c r="E590" s="123">
        <v>1270458.0</v>
      </c>
      <c r="F590" s="124">
        <v>0.0</v>
      </c>
      <c r="G590" s="124" t="s">
        <v>5712</v>
      </c>
      <c r="H590" s="124" t="s">
        <v>5705</v>
      </c>
      <c r="I590" s="124" t="s">
        <v>13</v>
      </c>
      <c r="J590" s="124" t="s">
        <v>5708</v>
      </c>
      <c r="K590" s="125" t="s">
        <v>158</v>
      </c>
      <c r="L590" s="124">
        <v>0.0</v>
      </c>
      <c r="M590" s="126">
        <v>6.0</v>
      </c>
      <c r="N590" s="1">
        <v>0.0</v>
      </c>
      <c r="O590" s="1">
        <v>0.0</v>
      </c>
    </row>
    <row r="591" ht="15.75" hidden="1" customHeight="1">
      <c r="A591" s="129">
        <v>45665.0</v>
      </c>
      <c r="B591" s="130" t="s">
        <v>5707</v>
      </c>
      <c r="C591" s="130" t="s">
        <v>5721</v>
      </c>
      <c r="D591" s="117" t="s">
        <v>4</v>
      </c>
      <c r="E591" s="117">
        <v>1270458.0</v>
      </c>
      <c r="F591" s="62">
        <v>0.0</v>
      </c>
      <c r="G591" s="62" t="s">
        <v>5712</v>
      </c>
      <c r="H591" s="62" t="s">
        <v>5705</v>
      </c>
      <c r="I591" s="62" t="s">
        <v>13</v>
      </c>
      <c r="J591" s="118" t="s">
        <v>5708</v>
      </c>
      <c r="K591" s="130" t="s">
        <v>163</v>
      </c>
      <c r="L591" s="130">
        <v>127.0</v>
      </c>
      <c r="M591" s="132"/>
      <c r="N591" s="1">
        <v>127.0</v>
      </c>
      <c r="O591" s="1" t="s">
        <v>5713</v>
      </c>
    </row>
    <row r="592" ht="15.75" hidden="1" customHeight="1">
      <c r="A592" s="127">
        <v>45665.0</v>
      </c>
      <c r="B592" s="125" t="s">
        <v>5707</v>
      </c>
      <c r="C592" s="125" t="s">
        <v>5721</v>
      </c>
      <c r="D592" s="123" t="s">
        <v>4</v>
      </c>
      <c r="E592" s="123">
        <v>1270458.0</v>
      </c>
      <c r="F592" s="124">
        <v>0.0</v>
      </c>
      <c r="G592" s="124" t="s">
        <v>5712</v>
      </c>
      <c r="H592" s="124" t="s">
        <v>5705</v>
      </c>
      <c r="I592" s="124" t="s">
        <v>13</v>
      </c>
      <c r="J592" s="124" t="s">
        <v>5708</v>
      </c>
      <c r="K592" s="125" t="s">
        <v>147</v>
      </c>
      <c r="L592" s="125">
        <v>0.0</v>
      </c>
      <c r="M592" s="126">
        <v>5.0</v>
      </c>
      <c r="N592" s="1">
        <v>0.0</v>
      </c>
      <c r="O592" s="1">
        <v>0.0</v>
      </c>
    </row>
    <row r="593" ht="15.75" hidden="1" customHeight="1">
      <c r="A593" s="129">
        <v>45665.0</v>
      </c>
      <c r="B593" s="130" t="s">
        <v>5707</v>
      </c>
      <c r="C593" s="130" t="s">
        <v>5718</v>
      </c>
      <c r="D593" s="117" t="s">
        <v>4</v>
      </c>
      <c r="E593" s="117">
        <v>1270458.0</v>
      </c>
      <c r="F593" s="62">
        <v>0.0</v>
      </c>
      <c r="G593" s="62" t="s">
        <v>5712</v>
      </c>
      <c r="H593" s="62" t="s">
        <v>5705</v>
      </c>
      <c r="I593" s="118" t="s">
        <v>5708</v>
      </c>
      <c r="J593" s="118" t="s">
        <v>5708</v>
      </c>
      <c r="K593" s="130" t="s">
        <v>7</v>
      </c>
      <c r="L593" s="62">
        <v>0.0</v>
      </c>
      <c r="M593" s="132">
        <v>1.0</v>
      </c>
      <c r="N593" s="1">
        <v>0.0</v>
      </c>
      <c r="O593" s="1">
        <v>0.0</v>
      </c>
    </row>
    <row r="594" ht="15.75" hidden="1" customHeight="1">
      <c r="A594" s="127">
        <v>45665.0</v>
      </c>
      <c r="B594" s="125" t="s">
        <v>5707</v>
      </c>
      <c r="C594" s="125" t="s">
        <v>5718</v>
      </c>
      <c r="D594" s="123" t="s">
        <v>4</v>
      </c>
      <c r="E594" s="123">
        <v>1270458.0</v>
      </c>
      <c r="F594" s="124">
        <v>0.0</v>
      </c>
      <c r="G594" s="124" t="s">
        <v>5712</v>
      </c>
      <c r="H594" s="124" t="s">
        <v>5705</v>
      </c>
      <c r="I594" s="124" t="s">
        <v>13</v>
      </c>
      <c r="J594" s="124" t="s">
        <v>5708</v>
      </c>
      <c r="K594" s="125" t="s">
        <v>156</v>
      </c>
      <c r="L594" s="125">
        <v>0.0</v>
      </c>
      <c r="M594" s="126">
        <v>1.0</v>
      </c>
      <c r="N594" s="1">
        <v>0.0</v>
      </c>
      <c r="O594" s="1">
        <v>0.0</v>
      </c>
    </row>
    <row r="595" ht="15.75" hidden="1" customHeight="1">
      <c r="A595" s="129">
        <v>45665.0</v>
      </c>
      <c r="B595" s="130" t="s">
        <v>5707</v>
      </c>
      <c r="C595" s="130" t="s">
        <v>5718</v>
      </c>
      <c r="D595" s="117" t="s">
        <v>4</v>
      </c>
      <c r="E595" s="117">
        <v>1270458.0</v>
      </c>
      <c r="F595" s="62">
        <v>0.0</v>
      </c>
      <c r="G595" s="62" t="s">
        <v>5712</v>
      </c>
      <c r="H595" s="62" t="s">
        <v>5705</v>
      </c>
      <c r="I595" s="62" t="s">
        <v>13</v>
      </c>
      <c r="J595" s="118" t="s">
        <v>5708</v>
      </c>
      <c r="K595" s="130" t="s">
        <v>142</v>
      </c>
      <c r="L595" s="62">
        <v>1.0</v>
      </c>
      <c r="M595" s="132"/>
      <c r="N595" s="1">
        <v>1.0</v>
      </c>
      <c r="O595" s="1" t="s">
        <v>5713</v>
      </c>
    </row>
    <row r="596" ht="15.75" hidden="1" customHeight="1">
      <c r="A596" s="127">
        <v>45665.0</v>
      </c>
      <c r="B596" s="125" t="s">
        <v>5707</v>
      </c>
      <c r="C596" s="125" t="s">
        <v>5718</v>
      </c>
      <c r="D596" s="123" t="s">
        <v>4</v>
      </c>
      <c r="E596" s="123">
        <v>1270458.0</v>
      </c>
      <c r="F596" s="124">
        <v>0.0</v>
      </c>
      <c r="G596" s="124" t="s">
        <v>5712</v>
      </c>
      <c r="H596" s="124" t="s">
        <v>5705</v>
      </c>
      <c r="I596" s="124" t="s">
        <v>13</v>
      </c>
      <c r="J596" s="124" t="s">
        <v>5708</v>
      </c>
      <c r="K596" s="125" t="s">
        <v>153</v>
      </c>
      <c r="L596" s="124">
        <v>531.79</v>
      </c>
      <c r="M596" s="126">
        <v>99.0</v>
      </c>
      <c r="N596" s="1">
        <v>5.371616162</v>
      </c>
      <c r="O596" s="1">
        <v>5.371616162</v>
      </c>
    </row>
    <row r="597" ht="15.75" hidden="1" customHeight="1">
      <c r="A597" s="129">
        <v>45665.0</v>
      </c>
      <c r="B597" s="130" t="s">
        <v>5707</v>
      </c>
      <c r="C597" s="130" t="s">
        <v>5718</v>
      </c>
      <c r="D597" s="117" t="s">
        <v>4</v>
      </c>
      <c r="E597" s="117">
        <v>1270458.0</v>
      </c>
      <c r="F597" s="62">
        <v>0.0</v>
      </c>
      <c r="G597" s="62" t="s">
        <v>5712</v>
      </c>
      <c r="H597" s="62" t="s">
        <v>5705</v>
      </c>
      <c r="I597" s="62" t="s">
        <v>13</v>
      </c>
      <c r="J597" s="118" t="s">
        <v>5708</v>
      </c>
      <c r="K597" s="130" t="s">
        <v>163</v>
      </c>
      <c r="L597" s="130">
        <v>1.0</v>
      </c>
      <c r="M597" s="132"/>
      <c r="N597" s="1">
        <v>1.0</v>
      </c>
      <c r="O597" s="1" t="s">
        <v>5713</v>
      </c>
    </row>
    <row r="598" ht="15.75" hidden="1" customHeight="1">
      <c r="A598" s="127">
        <v>45665.0</v>
      </c>
      <c r="B598" s="125" t="s">
        <v>5707</v>
      </c>
      <c r="C598" s="125" t="s">
        <v>5707</v>
      </c>
      <c r="D598" s="123" t="s">
        <v>4</v>
      </c>
      <c r="E598" s="123">
        <v>1270458.0</v>
      </c>
      <c r="F598" s="124">
        <v>0.0</v>
      </c>
      <c r="G598" s="124" t="s">
        <v>5712</v>
      </c>
      <c r="H598" s="124" t="s">
        <v>5705</v>
      </c>
      <c r="I598" s="124" t="s">
        <v>13</v>
      </c>
      <c r="J598" s="124" t="s">
        <v>5708</v>
      </c>
      <c r="K598" s="125" t="s">
        <v>153</v>
      </c>
      <c r="L598" s="125">
        <v>448.91</v>
      </c>
      <c r="M598" s="126">
        <v>121.0</v>
      </c>
      <c r="N598" s="1">
        <v>3.71</v>
      </c>
      <c r="O598" s="1">
        <v>3.71</v>
      </c>
    </row>
    <row r="599" ht="15.75" hidden="1" customHeight="1">
      <c r="A599" s="129">
        <v>45665.0</v>
      </c>
      <c r="B599" s="130" t="s">
        <v>5707</v>
      </c>
      <c r="C599" s="130" t="s">
        <v>5707</v>
      </c>
      <c r="D599" s="117" t="s">
        <v>4</v>
      </c>
      <c r="E599" s="117">
        <v>1270458.0</v>
      </c>
      <c r="F599" s="62">
        <v>0.0</v>
      </c>
      <c r="G599" s="62" t="s">
        <v>5712</v>
      </c>
      <c r="H599" s="62" t="s">
        <v>5705</v>
      </c>
      <c r="I599" s="62" t="s">
        <v>13</v>
      </c>
      <c r="J599" s="118" t="s">
        <v>5708</v>
      </c>
      <c r="K599" s="130" t="s">
        <v>158</v>
      </c>
      <c r="L599" s="130">
        <v>62100.0</v>
      </c>
      <c r="M599" s="132">
        <v>1324.0</v>
      </c>
      <c r="N599" s="1">
        <v>46.90332326</v>
      </c>
      <c r="O599" s="1">
        <v>46.90332326</v>
      </c>
    </row>
    <row r="600" ht="15.75" hidden="1" customHeight="1">
      <c r="A600" s="127">
        <v>45665.0</v>
      </c>
      <c r="B600" s="125" t="s">
        <v>5707</v>
      </c>
      <c r="C600" s="125" t="s">
        <v>5707</v>
      </c>
      <c r="D600" s="123" t="s">
        <v>4</v>
      </c>
      <c r="E600" s="123">
        <v>1270458.0</v>
      </c>
      <c r="F600" s="124">
        <v>0.0</v>
      </c>
      <c r="G600" s="124" t="s">
        <v>5712</v>
      </c>
      <c r="H600" s="124" t="s">
        <v>5705</v>
      </c>
      <c r="I600" s="124" t="s">
        <v>13</v>
      </c>
      <c r="J600" s="124" t="s">
        <v>5708</v>
      </c>
      <c r="K600" s="125" t="s">
        <v>160</v>
      </c>
      <c r="L600" s="125">
        <v>0.0</v>
      </c>
      <c r="M600" s="126">
        <v>1.0</v>
      </c>
      <c r="N600" s="1">
        <v>0.0</v>
      </c>
      <c r="O600" s="1">
        <v>0.0</v>
      </c>
    </row>
    <row r="601" ht="15.75" hidden="1" customHeight="1">
      <c r="A601" s="129">
        <v>45665.0</v>
      </c>
      <c r="B601" s="130" t="s">
        <v>5707</v>
      </c>
      <c r="C601" s="130" t="s">
        <v>5707</v>
      </c>
      <c r="D601" s="117" t="s">
        <v>4</v>
      </c>
      <c r="E601" s="117">
        <v>1270458.0</v>
      </c>
      <c r="F601" s="62">
        <v>0.0</v>
      </c>
      <c r="G601" s="62" t="s">
        <v>5712</v>
      </c>
      <c r="H601" s="62" t="s">
        <v>5705</v>
      </c>
      <c r="I601" s="62" t="s">
        <v>13</v>
      </c>
      <c r="J601" s="118" t="s">
        <v>5708</v>
      </c>
      <c r="K601" s="130" t="s">
        <v>153</v>
      </c>
      <c r="L601" s="130">
        <v>0.05</v>
      </c>
      <c r="M601" s="132">
        <v>0.0</v>
      </c>
      <c r="N601" s="1"/>
      <c r="O601" s="1" t="s">
        <v>5713</v>
      </c>
    </row>
    <row r="602" ht="15.75" customHeight="1">
      <c r="A602" s="127">
        <v>45665.0</v>
      </c>
      <c r="B602" s="125" t="s">
        <v>5707</v>
      </c>
      <c r="C602" s="125" t="s">
        <v>5707</v>
      </c>
      <c r="D602" s="123" t="s">
        <v>4</v>
      </c>
      <c r="E602" s="123">
        <v>1270458.0</v>
      </c>
      <c r="F602" s="124">
        <v>0.0</v>
      </c>
      <c r="G602" s="124" t="s">
        <v>5712</v>
      </c>
      <c r="H602" s="124" t="s">
        <v>5705</v>
      </c>
      <c r="I602" s="124" t="s">
        <v>13</v>
      </c>
      <c r="J602" s="124" t="s">
        <v>5708</v>
      </c>
      <c r="K602" s="125" t="s">
        <v>139</v>
      </c>
      <c r="L602" s="124">
        <v>0.0</v>
      </c>
      <c r="M602" s="126">
        <v>8.33333E-4</v>
      </c>
      <c r="N602" s="1">
        <v>0.0</v>
      </c>
      <c r="O602" s="1">
        <v>0.0</v>
      </c>
    </row>
    <row r="603" ht="15.75" customHeight="1">
      <c r="A603" s="129">
        <v>45665.0</v>
      </c>
      <c r="B603" s="130" t="s">
        <v>5707</v>
      </c>
      <c r="C603" s="130" t="s">
        <v>5719</v>
      </c>
      <c r="D603" s="117" t="s">
        <v>4</v>
      </c>
      <c r="E603" s="117">
        <v>1270458.0</v>
      </c>
      <c r="F603" s="62">
        <v>0.0</v>
      </c>
      <c r="G603" s="62" t="s">
        <v>5712</v>
      </c>
      <c r="H603" s="62" t="s">
        <v>5705</v>
      </c>
      <c r="I603" s="62" t="s">
        <v>13</v>
      </c>
      <c r="J603" s="118" t="s">
        <v>5708</v>
      </c>
      <c r="K603" s="130" t="s">
        <v>139</v>
      </c>
      <c r="L603" s="62">
        <v>1.0</v>
      </c>
      <c r="M603" s="132">
        <v>0.0</v>
      </c>
      <c r="N603" s="1"/>
      <c r="O603" s="1" t="s">
        <v>5713</v>
      </c>
    </row>
    <row r="604" ht="15.75" hidden="1" customHeight="1">
      <c r="A604" s="127">
        <v>45665.0</v>
      </c>
      <c r="B604" s="125" t="s">
        <v>5707</v>
      </c>
      <c r="C604" s="125" t="s">
        <v>5719</v>
      </c>
      <c r="D604" s="123" t="s">
        <v>4</v>
      </c>
      <c r="E604" s="123">
        <v>1270458.0</v>
      </c>
      <c r="F604" s="124">
        <v>0.0</v>
      </c>
      <c r="G604" s="124" t="s">
        <v>5712</v>
      </c>
      <c r="H604" s="124" t="s">
        <v>5705</v>
      </c>
      <c r="I604" s="124" t="s">
        <v>13</v>
      </c>
      <c r="J604" s="124" t="s">
        <v>5708</v>
      </c>
      <c r="K604" s="125" t="s">
        <v>147</v>
      </c>
      <c r="L604" s="125">
        <v>600.0</v>
      </c>
      <c r="M604" s="126">
        <v>190.0</v>
      </c>
      <c r="N604" s="1">
        <v>3.157894737</v>
      </c>
      <c r="O604" s="1">
        <v>3.157894737</v>
      </c>
    </row>
    <row r="605" ht="15.75" hidden="1" customHeight="1">
      <c r="A605" s="129">
        <v>45665.0</v>
      </c>
      <c r="B605" s="130" t="s">
        <v>5707</v>
      </c>
      <c r="C605" s="130" t="s">
        <v>5719</v>
      </c>
      <c r="D605" s="117" t="s">
        <v>4</v>
      </c>
      <c r="E605" s="117">
        <v>1270458.0</v>
      </c>
      <c r="F605" s="62">
        <v>0.0</v>
      </c>
      <c r="G605" s="62" t="s">
        <v>5712</v>
      </c>
      <c r="H605" s="62" t="s">
        <v>5705</v>
      </c>
      <c r="I605" s="62" t="s">
        <v>13</v>
      </c>
      <c r="J605" s="118" t="s">
        <v>5708</v>
      </c>
      <c r="K605" s="130" t="s">
        <v>147</v>
      </c>
      <c r="L605" s="62">
        <v>0.0</v>
      </c>
      <c r="M605" s="132">
        <v>2.0</v>
      </c>
      <c r="N605" s="1">
        <v>0.0</v>
      </c>
      <c r="O605" s="1">
        <v>0.0</v>
      </c>
    </row>
    <row r="606" ht="15.75" hidden="1" customHeight="1">
      <c r="A606" s="127">
        <v>45665.0</v>
      </c>
      <c r="B606" s="125" t="s">
        <v>5707</v>
      </c>
      <c r="C606" s="125" t="s">
        <v>5719</v>
      </c>
      <c r="D606" s="123" t="s">
        <v>4</v>
      </c>
      <c r="E606" s="123">
        <v>1270458.0</v>
      </c>
      <c r="F606" s="124">
        <v>0.0</v>
      </c>
      <c r="G606" s="124" t="s">
        <v>5712</v>
      </c>
      <c r="H606" s="124" t="s">
        <v>5705</v>
      </c>
      <c r="I606" s="124" t="s">
        <v>13</v>
      </c>
      <c r="J606" s="124" t="s">
        <v>5708</v>
      </c>
      <c r="K606" s="125" t="s">
        <v>163</v>
      </c>
      <c r="L606" s="125">
        <v>2.0</v>
      </c>
      <c r="M606" s="126"/>
      <c r="N606" s="1">
        <v>2.0</v>
      </c>
      <c r="O606" s="1" t="s">
        <v>5713</v>
      </c>
    </row>
    <row r="607" ht="15.75" hidden="1" customHeight="1">
      <c r="A607" s="129">
        <v>45665.0</v>
      </c>
      <c r="B607" s="130" t="s">
        <v>5707</v>
      </c>
      <c r="C607" s="130" t="s">
        <v>5719</v>
      </c>
      <c r="D607" s="117" t="s">
        <v>4</v>
      </c>
      <c r="E607" s="117">
        <v>1270458.0</v>
      </c>
      <c r="F607" s="62">
        <v>0.0</v>
      </c>
      <c r="G607" s="62" t="s">
        <v>5712</v>
      </c>
      <c r="H607" s="62" t="s">
        <v>5705</v>
      </c>
      <c r="I607" s="62" t="s">
        <v>13</v>
      </c>
      <c r="J607" s="118" t="s">
        <v>5708</v>
      </c>
      <c r="K607" s="130" t="s">
        <v>154</v>
      </c>
      <c r="L607" s="130">
        <v>0.0</v>
      </c>
      <c r="M607" s="132">
        <v>1.0</v>
      </c>
      <c r="N607" s="1">
        <v>0.0</v>
      </c>
      <c r="O607" s="1">
        <v>0.0</v>
      </c>
    </row>
    <row r="608" ht="15.75" hidden="1" customHeight="1">
      <c r="A608" s="127">
        <v>45665.0</v>
      </c>
      <c r="B608" s="125" t="s">
        <v>5707</v>
      </c>
      <c r="C608" s="125" t="s">
        <v>5719</v>
      </c>
      <c r="D608" s="123" t="s">
        <v>4</v>
      </c>
      <c r="E608" s="123">
        <v>1270458.0</v>
      </c>
      <c r="F608" s="124">
        <v>0.0</v>
      </c>
      <c r="G608" s="124" t="s">
        <v>5712</v>
      </c>
      <c r="H608" s="124" t="s">
        <v>5705</v>
      </c>
      <c r="I608" s="124" t="s">
        <v>13</v>
      </c>
      <c r="J608" s="124" t="s">
        <v>5708</v>
      </c>
      <c r="K608" s="125" t="s">
        <v>147</v>
      </c>
      <c r="L608" s="125">
        <v>0.0</v>
      </c>
      <c r="M608" s="126">
        <v>2.0</v>
      </c>
      <c r="N608" s="1">
        <v>0.0</v>
      </c>
      <c r="O608" s="1">
        <v>0.0</v>
      </c>
    </row>
    <row r="609" ht="15.75" hidden="1" customHeight="1">
      <c r="A609" s="129">
        <v>45665.0</v>
      </c>
      <c r="B609" s="130" t="s">
        <v>5707</v>
      </c>
      <c r="C609" s="130" t="s">
        <v>5719</v>
      </c>
      <c r="D609" s="117" t="s">
        <v>4</v>
      </c>
      <c r="E609" s="117">
        <v>1270458.0</v>
      </c>
      <c r="F609" s="62">
        <v>0.0</v>
      </c>
      <c r="G609" s="62" t="s">
        <v>5712</v>
      </c>
      <c r="H609" s="62" t="s">
        <v>5705</v>
      </c>
      <c r="I609" s="62" t="s">
        <v>13</v>
      </c>
      <c r="J609" s="118" t="s">
        <v>5708</v>
      </c>
      <c r="K609" s="130" t="s">
        <v>147</v>
      </c>
      <c r="L609" s="130">
        <v>0.0</v>
      </c>
      <c r="M609" s="132">
        <v>6.0</v>
      </c>
      <c r="N609" s="1">
        <v>0.0</v>
      </c>
      <c r="O609" s="1">
        <v>0.0</v>
      </c>
    </row>
    <row r="610" ht="15.75" hidden="1" customHeight="1">
      <c r="A610" s="127">
        <v>45665.0</v>
      </c>
      <c r="B610" s="125" t="s">
        <v>5707</v>
      </c>
      <c r="C610" s="125" t="s">
        <v>5719</v>
      </c>
      <c r="D610" s="123" t="s">
        <v>4</v>
      </c>
      <c r="E610" s="123">
        <v>1270458.0</v>
      </c>
      <c r="F610" s="124">
        <v>0.0</v>
      </c>
      <c r="G610" s="124" t="s">
        <v>5712</v>
      </c>
      <c r="H610" s="124" t="s">
        <v>5705</v>
      </c>
      <c r="I610" s="124" t="s">
        <v>13</v>
      </c>
      <c r="J610" s="124" t="s">
        <v>5708</v>
      </c>
      <c r="K610" s="125" t="s">
        <v>156</v>
      </c>
      <c r="L610" s="125">
        <v>100.0</v>
      </c>
      <c r="M610" s="126">
        <v>1.0</v>
      </c>
      <c r="N610" s="1">
        <v>100.0</v>
      </c>
      <c r="O610" s="1">
        <v>100.0</v>
      </c>
    </row>
    <row r="611" ht="15.75" hidden="1" customHeight="1">
      <c r="A611" s="129">
        <v>45665.0</v>
      </c>
      <c r="B611" s="130" t="s">
        <v>5707</v>
      </c>
      <c r="C611" s="130" t="s">
        <v>5719</v>
      </c>
      <c r="D611" s="117" t="s">
        <v>4</v>
      </c>
      <c r="E611" s="117">
        <v>1270458.0</v>
      </c>
      <c r="F611" s="62">
        <v>0.0</v>
      </c>
      <c r="G611" s="62" t="s">
        <v>5712</v>
      </c>
      <c r="H611" s="62" t="s">
        <v>5705</v>
      </c>
      <c r="I611" s="62" t="s">
        <v>13</v>
      </c>
      <c r="J611" s="118" t="s">
        <v>5708</v>
      </c>
      <c r="K611" s="130" t="s">
        <v>142</v>
      </c>
      <c r="L611" s="62">
        <v>118.0</v>
      </c>
      <c r="M611" s="132"/>
      <c r="N611" s="1">
        <v>118.0</v>
      </c>
      <c r="O611" s="1" t="s">
        <v>5713</v>
      </c>
    </row>
    <row r="612" ht="15.75" hidden="1" customHeight="1">
      <c r="A612" s="127">
        <v>45665.0</v>
      </c>
      <c r="B612" s="125" t="s">
        <v>5707</v>
      </c>
      <c r="C612" s="125" t="s">
        <v>5719</v>
      </c>
      <c r="D612" s="123" t="s">
        <v>4</v>
      </c>
      <c r="E612" s="123">
        <v>1270458.0</v>
      </c>
      <c r="F612" s="124">
        <v>0.0</v>
      </c>
      <c r="G612" s="124" t="s">
        <v>5712</v>
      </c>
      <c r="H612" s="124" t="s">
        <v>5705</v>
      </c>
      <c r="I612" s="124" t="s">
        <v>13</v>
      </c>
      <c r="J612" s="124" t="s">
        <v>5708</v>
      </c>
      <c r="K612" s="125" t="s">
        <v>163</v>
      </c>
      <c r="L612" s="125">
        <v>1.0</v>
      </c>
      <c r="M612" s="126"/>
      <c r="N612" s="1">
        <v>1.0</v>
      </c>
      <c r="O612" s="1" t="s">
        <v>5713</v>
      </c>
    </row>
    <row r="613" ht="15.75" hidden="1" customHeight="1">
      <c r="A613" s="129">
        <v>45665.0</v>
      </c>
      <c r="B613" s="130" t="s">
        <v>5707</v>
      </c>
      <c r="C613" s="130" t="s">
        <v>5719</v>
      </c>
      <c r="D613" s="117" t="s">
        <v>4</v>
      </c>
      <c r="E613" s="117">
        <v>1270458.0</v>
      </c>
      <c r="F613" s="62">
        <v>0.0</v>
      </c>
      <c r="G613" s="62" t="s">
        <v>5712</v>
      </c>
      <c r="H613" s="62" t="s">
        <v>5705</v>
      </c>
      <c r="I613" s="62" t="s">
        <v>13</v>
      </c>
      <c r="J613" s="118" t="s">
        <v>5708</v>
      </c>
      <c r="K613" s="130" t="s">
        <v>147</v>
      </c>
      <c r="L613" s="130">
        <v>0.0</v>
      </c>
      <c r="M613" s="132">
        <v>1.0</v>
      </c>
      <c r="N613" s="1">
        <v>0.0</v>
      </c>
      <c r="O613" s="1">
        <v>0.0</v>
      </c>
    </row>
    <row r="614" ht="15.75" hidden="1" customHeight="1">
      <c r="A614" s="127">
        <v>45665.0</v>
      </c>
      <c r="B614" s="125" t="s">
        <v>5707</v>
      </c>
      <c r="C614" s="125" t="s">
        <v>5718</v>
      </c>
      <c r="D614" s="123" t="s">
        <v>4</v>
      </c>
      <c r="E614" s="123">
        <v>1270458.0</v>
      </c>
      <c r="F614" s="124">
        <v>0.0</v>
      </c>
      <c r="G614" s="124" t="s">
        <v>5712</v>
      </c>
      <c r="H614" s="124" t="s">
        <v>5705</v>
      </c>
      <c r="I614" s="124" t="s">
        <v>13</v>
      </c>
      <c r="J614" s="124" t="s">
        <v>5708</v>
      </c>
      <c r="K614" s="125" t="s">
        <v>154</v>
      </c>
      <c r="L614" s="124">
        <v>10800.0</v>
      </c>
      <c r="M614" s="126">
        <v>203.0</v>
      </c>
      <c r="N614" s="1">
        <v>53.20197044</v>
      </c>
      <c r="O614" s="1">
        <v>53.20197044</v>
      </c>
    </row>
    <row r="615" ht="15.75" hidden="1" customHeight="1">
      <c r="A615" s="129">
        <v>45665.0</v>
      </c>
      <c r="B615" s="130" t="s">
        <v>5707</v>
      </c>
      <c r="C615" s="130" t="s">
        <v>5718</v>
      </c>
      <c r="D615" s="117" t="s">
        <v>4</v>
      </c>
      <c r="E615" s="117">
        <v>1270458.0</v>
      </c>
      <c r="F615" s="62">
        <v>0.0</v>
      </c>
      <c r="G615" s="62" t="s">
        <v>5712</v>
      </c>
      <c r="H615" s="62" t="s">
        <v>5705</v>
      </c>
      <c r="I615" s="62" t="s">
        <v>13</v>
      </c>
      <c r="J615" s="118" t="s">
        <v>5708</v>
      </c>
      <c r="K615" s="130" t="s">
        <v>155</v>
      </c>
      <c r="L615" s="130">
        <v>55.0</v>
      </c>
      <c r="M615" s="132">
        <v>13.0</v>
      </c>
      <c r="N615" s="1">
        <v>4.230769231</v>
      </c>
      <c r="O615" s="1">
        <v>4.230769231</v>
      </c>
    </row>
    <row r="616" ht="15.75" hidden="1" customHeight="1">
      <c r="A616" s="127">
        <v>45665.0</v>
      </c>
      <c r="B616" s="125" t="s">
        <v>5707</v>
      </c>
      <c r="C616" s="125" t="s">
        <v>5718</v>
      </c>
      <c r="D616" s="123" t="s">
        <v>4</v>
      </c>
      <c r="E616" s="123">
        <v>1270458.0</v>
      </c>
      <c r="F616" s="124">
        <v>0.0</v>
      </c>
      <c r="G616" s="124" t="s">
        <v>5712</v>
      </c>
      <c r="H616" s="124" t="s">
        <v>5705</v>
      </c>
      <c r="I616" s="124" t="s">
        <v>13</v>
      </c>
      <c r="J616" s="124" t="s">
        <v>5708</v>
      </c>
      <c r="K616" s="125" t="s">
        <v>160</v>
      </c>
      <c r="L616" s="124">
        <v>0.0</v>
      </c>
      <c r="M616" s="126">
        <v>8.0</v>
      </c>
      <c r="N616" s="1">
        <v>0.0</v>
      </c>
      <c r="O616" s="1">
        <v>0.0</v>
      </c>
    </row>
    <row r="617" ht="15.75" hidden="1" customHeight="1">
      <c r="A617" s="129">
        <v>45665.0</v>
      </c>
      <c r="B617" s="130" t="s">
        <v>5707</v>
      </c>
      <c r="C617" s="130" t="s">
        <v>5718</v>
      </c>
      <c r="D617" s="117" t="s">
        <v>4</v>
      </c>
      <c r="E617" s="117">
        <v>1270458.0</v>
      </c>
      <c r="F617" s="62">
        <v>0.0</v>
      </c>
      <c r="G617" s="62" t="s">
        <v>5712</v>
      </c>
      <c r="H617" s="62" t="s">
        <v>5705</v>
      </c>
      <c r="I617" s="62" t="s">
        <v>13</v>
      </c>
      <c r="J617" s="118" t="s">
        <v>5708</v>
      </c>
      <c r="K617" s="130" t="s">
        <v>163</v>
      </c>
      <c r="L617" s="62">
        <v>8.0</v>
      </c>
      <c r="M617" s="132"/>
      <c r="N617" s="1">
        <v>8.0</v>
      </c>
      <c r="O617" s="1" t="s">
        <v>5713</v>
      </c>
    </row>
    <row r="618" ht="15.75" hidden="1" customHeight="1">
      <c r="A618" s="127">
        <v>45665.0</v>
      </c>
      <c r="B618" s="125" t="s">
        <v>5707</v>
      </c>
      <c r="C618" s="125" t="s">
        <v>5718</v>
      </c>
      <c r="D618" s="123" t="s">
        <v>4</v>
      </c>
      <c r="E618" s="123">
        <v>1270458.0</v>
      </c>
      <c r="F618" s="124">
        <v>0.0</v>
      </c>
      <c r="G618" s="124" t="s">
        <v>5712</v>
      </c>
      <c r="H618" s="124" t="s">
        <v>5705</v>
      </c>
      <c r="I618" s="124" t="s">
        <v>13</v>
      </c>
      <c r="J618" s="124" t="s">
        <v>5708</v>
      </c>
      <c r="K618" s="125" t="s">
        <v>160</v>
      </c>
      <c r="L618" s="125">
        <v>0.0</v>
      </c>
      <c r="M618" s="126">
        <v>2.0</v>
      </c>
      <c r="N618" s="1">
        <v>0.0</v>
      </c>
      <c r="O618" s="1">
        <v>0.0</v>
      </c>
    </row>
    <row r="619" ht="15.75" hidden="1" customHeight="1">
      <c r="A619" s="129">
        <v>45665.0</v>
      </c>
      <c r="B619" s="130" t="s">
        <v>5707</v>
      </c>
      <c r="C619" s="130" t="s">
        <v>5718</v>
      </c>
      <c r="D619" s="117" t="s">
        <v>4</v>
      </c>
      <c r="E619" s="117">
        <v>1270458.0</v>
      </c>
      <c r="F619" s="62">
        <v>0.0</v>
      </c>
      <c r="G619" s="62" t="s">
        <v>5712</v>
      </c>
      <c r="H619" s="62" t="s">
        <v>5705</v>
      </c>
      <c r="I619" s="62" t="s">
        <v>13</v>
      </c>
      <c r="J619" s="118" t="s">
        <v>5708</v>
      </c>
      <c r="K619" s="130" t="s">
        <v>163</v>
      </c>
      <c r="L619" s="130">
        <v>2.0</v>
      </c>
      <c r="M619" s="132"/>
      <c r="N619" s="1">
        <v>2.0</v>
      </c>
      <c r="O619" s="1" t="s">
        <v>5713</v>
      </c>
    </row>
    <row r="620" ht="15.75" hidden="1" customHeight="1">
      <c r="A620" s="127">
        <v>45665.0</v>
      </c>
      <c r="B620" s="125" t="s">
        <v>5707</v>
      </c>
      <c r="C620" s="125" t="s">
        <v>5722</v>
      </c>
      <c r="D620" s="123" t="s">
        <v>4</v>
      </c>
      <c r="E620" s="123">
        <v>1270458.0</v>
      </c>
      <c r="F620" s="124">
        <v>0.0</v>
      </c>
      <c r="G620" s="124" t="s">
        <v>5712</v>
      </c>
      <c r="H620" s="124" t="s">
        <v>5705</v>
      </c>
      <c r="I620" s="124" t="s">
        <v>13</v>
      </c>
      <c r="J620" s="124" t="s">
        <v>5708</v>
      </c>
      <c r="K620" s="125" t="s">
        <v>147</v>
      </c>
      <c r="L620" s="125">
        <v>0.0</v>
      </c>
      <c r="M620" s="126">
        <v>2.0</v>
      </c>
      <c r="N620" s="1">
        <v>0.0</v>
      </c>
      <c r="O620" s="1">
        <v>0.0</v>
      </c>
    </row>
    <row r="621" ht="15.75" hidden="1" customHeight="1">
      <c r="A621" s="129">
        <v>45665.0</v>
      </c>
      <c r="B621" s="130" t="s">
        <v>5707</v>
      </c>
      <c r="C621" s="130" t="s">
        <v>5722</v>
      </c>
      <c r="D621" s="117" t="s">
        <v>4</v>
      </c>
      <c r="E621" s="117">
        <v>1270458.0</v>
      </c>
      <c r="F621" s="62">
        <v>0.0</v>
      </c>
      <c r="G621" s="62" t="s">
        <v>5712</v>
      </c>
      <c r="H621" s="62" t="s">
        <v>5705</v>
      </c>
      <c r="I621" s="62" t="s">
        <v>13</v>
      </c>
      <c r="J621" s="118" t="s">
        <v>5708</v>
      </c>
      <c r="K621" s="130" t="s">
        <v>147</v>
      </c>
      <c r="L621" s="62">
        <v>0.0</v>
      </c>
      <c r="M621" s="132">
        <v>4.0</v>
      </c>
      <c r="N621" s="1">
        <v>0.0</v>
      </c>
      <c r="O621" s="1">
        <v>0.0</v>
      </c>
    </row>
    <row r="622" ht="15.75" hidden="1" customHeight="1">
      <c r="A622" s="127">
        <v>45665.0</v>
      </c>
      <c r="B622" s="125" t="s">
        <v>5707</v>
      </c>
      <c r="C622" s="125" t="s">
        <v>5722</v>
      </c>
      <c r="D622" s="123" t="s">
        <v>4</v>
      </c>
      <c r="E622" s="123">
        <v>1270458.0</v>
      </c>
      <c r="F622" s="124">
        <v>0.0</v>
      </c>
      <c r="G622" s="124" t="s">
        <v>5712</v>
      </c>
      <c r="H622" s="124" t="s">
        <v>5705</v>
      </c>
      <c r="I622" s="124" t="s">
        <v>13</v>
      </c>
      <c r="J622" s="124" t="s">
        <v>5708</v>
      </c>
      <c r="K622" s="125" t="s">
        <v>160</v>
      </c>
      <c r="L622" s="125">
        <v>0.0</v>
      </c>
      <c r="M622" s="126">
        <v>2.0</v>
      </c>
      <c r="N622" s="1">
        <v>0.0</v>
      </c>
      <c r="O622" s="1">
        <v>0.0</v>
      </c>
    </row>
    <row r="623" ht="15.75" hidden="1" customHeight="1">
      <c r="A623" s="129">
        <v>45665.0</v>
      </c>
      <c r="B623" s="130" t="s">
        <v>5707</v>
      </c>
      <c r="C623" s="130" t="s">
        <v>5718</v>
      </c>
      <c r="D623" s="117" t="s">
        <v>4</v>
      </c>
      <c r="E623" s="117">
        <v>1270458.0</v>
      </c>
      <c r="F623" s="62">
        <v>0.0</v>
      </c>
      <c r="G623" s="62" t="s">
        <v>5712</v>
      </c>
      <c r="H623" s="62" t="s">
        <v>5705</v>
      </c>
      <c r="I623" s="62" t="s">
        <v>13</v>
      </c>
      <c r="J623" s="118" t="s">
        <v>5708</v>
      </c>
      <c r="K623" s="130" t="s">
        <v>153</v>
      </c>
      <c r="L623" s="130">
        <v>0.72</v>
      </c>
      <c r="M623" s="132">
        <v>0.0</v>
      </c>
      <c r="N623" s="1"/>
      <c r="O623" s="1" t="s">
        <v>5713</v>
      </c>
    </row>
    <row r="624" ht="15.75" hidden="1" customHeight="1">
      <c r="A624" s="127">
        <v>45665.0</v>
      </c>
      <c r="B624" s="125" t="s">
        <v>5707</v>
      </c>
      <c r="C624" s="125" t="s">
        <v>5718</v>
      </c>
      <c r="D624" s="123" t="s">
        <v>4</v>
      </c>
      <c r="E624" s="123">
        <v>1270458.0</v>
      </c>
      <c r="F624" s="124">
        <v>0.0</v>
      </c>
      <c r="G624" s="124" t="s">
        <v>5712</v>
      </c>
      <c r="H624" s="124" t="s">
        <v>5705</v>
      </c>
      <c r="I624" s="124" t="s">
        <v>13</v>
      </c>
      <c r="J624" s="124" t="s">
        <v>5708</v>
      </c>
      <c r="K624" s="125" t="s">
        <v>147</v>
      </c>
      <c r="L624" s="125">
        <v>0.0</v>
      </c>
      <c r="M624" s="134">
        <v>3.0</v>
      </c>
      <c r="N624" s="1">
        <v>0.0</v>
      </c>
      <c r="O624" s="1">
        <v>0.0</v>
      </c>
    </row>
    <row r="625" ht="15.75" hidden="1" customHeight="1">
      <c r="A625" s="129">
        <v>45665.0</v>
      </c>
      <c r="B625" s="130" t="s">
        <v>5707</v>
      </c>
      <c r="C625" s="130" t="s">
        <v>5718</v>
      </c>
      <c r="D625" s="117" t="s">
        <v>4</v>
      </c>
      <c r="E625" s="117">
        <v>1270458.0</v>
      </c>
      <c r="F625" s="62">
        <v>0.0</v>
      </c>
      <c r="G625" s="62" t="s">
        <v>5712</v>
      </c>
      <c r="H625" s="62" t="s">
        <v>5705</v>
      </c>
      <c r="I625" s="62" t="s">
        <v>13</v>
      </c>
      <c r="J625" s="118" t="s">
        <v>5708</v>
      </c>
      <c r="K625" s="130" t="s">
        <v>147</v>
      </c>
      <c r="L625" s="130">
        <v>0.0</v>
      </c>
      <c r="M625" s="132">
        <v>172.0</v>
      </c>
      <c r="N625" s="1">
        <v>0.0</v>
      </c>
      <c r="O625" s="1">
        <v>0.0</v>
      </c>
    </row>
    <row r="626" ht="15.75" hidden="1" customHeight="1">
      <c r="A626" s="127">
        <v>45665.0</v>
      </c>
      <c r="B626" s="125" t="s">
        <v>5707</v>
      </c>
      <c r="C626" s="125" t="s">
        <v>5718</v>
      </c>
      <c r="D626" s="123" t="s">
        <v>4</v>
      </c>
      <c r="E626" s="123">
        <v>1270458.0</v>
      </c>
      <c r="F626" s="124">
        <v>0.0</v>
      </c>
      <c r="G626" s="124" t="s">
        <v>5712</v>
      </c>
      <c r="H626" s="124" t="s">
        <v>5705</v>
      </c>
      <c r="I626" s="124" t="s">
        <v>13</v>
      </c>
      <c r="J626" s="124" t="s">
        <v>5708</v>
      </c>
      <c r="K626" s="125" t="s">
        <v>160</v>
      </c>
      <c r="L626" s="125">
        <v>0.0</v>
      </c>
      <c r="M626" s="126">
        <v>1.0</v>
      </c>
      <c r="N626" s="1">
        <v>0.0</v>
      </c>
      <c r="O626" s="1">
        <v>0.0</v>
      </c>
    </row>
    <row r="627" ht="15.75" hidden="1" customHeight="1">
      <c r="A627" s="129">
        <v>45665.0</v>
      </c>
      <c r="B627" s="130" t="s">
        <v>5707</v>
      </c>
      <c r="C627" s="130" t="s">
        <v>5718</v>
      </c>
      <c r="D627" s="117" t="s">
        <v>4</v>
      </c>
      <c r="E627" s="117">
        <v>1270458.0</v>
      </c>
      <c r="F627" s="62">
        <v>0.0</v>
      </c>
      <c r="G627" s="62" t="s">
        <v>5712</v>
      </c>
      <c r="H627" s="62" t="s">
        <v>5705</v>
      </c>
      <c r="I627" s="62" t="s">
        <v>13</v>
      </c>
      <c r="J627" s="118" t="s">
        <v>5708</v>
      </c>
      <c r="K627" s="130" t="s">
        <v>147</v>
      </c>
      <c r="L627" s="130">
        <v>0.0</v>
      </c>
      <c r="M627" s="132">
        <v>8.0</v>
      </c>
      <c r="N627" s="1">
        <v>0.0</v>
      </c>
      <c r="O627" s="1">
        <v>0.0</v>
      </c>
    </row>
    <row r="628" ht="15.75" hidden="1" customHeight="1">
      <c r="A628" s="127">
        <v>45665.0</v>
      </c>
      <c r="B628" s="125" t="s">
        <v>5707</v>
      </c>
      <c r="C628" s="125" t="s">
        <v>5718</v>
      </c>
      <c r="D628" s="123" t="s">
        <v>4</v>
      </c>
      <c r="E628" s="123">
        <v>1270458.0</v>
      </c>
      <c r="F628" s="124">
        <v>0.0</v>
      </c>
      <c r="G628" s="124" t="s">
        <v>5712</v>
      </c>
      <c r="H628" s="124" t="s">
        <v>5705</v>
      </c>
      <c r="I628" s="124" t="s">
        <v>13</v>
      </c>
      <c r="J628" s="124" t="s">
        <v>5708</v>
      </c>
      <c r="K628" s="125" t="s">
        <v>147</v>
      </c>
      <c r="L628" s="124">
        <v>0.0</v>
      </c>
      <c r="M628" s="126">
        <v>1.0</v>
      </c>
      <c r="N628" s="1">
        <v>0.0</v>
      </c>
      <c r="O628" s="1">
        <v>0.0</v>
      </c>
    </row>
    <row r="629" ht="15.75" hidden="1" customHeight="1">
      <c r="A629" s="129">
        <v>45665.0</v>
      </c>
      <c r="B629" s="130" t="s">
        <v>5707</v>
      </c>
      <c r="C629" s="130" t="s">
        <v>5718</v>
      </c>
      <c r="D629" s="117" t="s">
        <v>4</v>
      </c>
      <c r="E629" s="117">
        <v>1270458.0</v>
      </c>
      <c r="F629" s="62">
        <v>0.0</v>
      </c>
      <c r="G629" s="62" t="s">
        <v>5712</v>
      </c>
      <c r="H629" s="62" t="s">
        <v>5705</v>
      </c>
      <c r="I629" s="62" t="s">
        <v>13</v>
      </c>
      <c r="J629" s="118" t="s">
        <v>5708</v>
      </c>
      <c r="K629" s="130" t="s">
        <v>163</v>
      </c>
      <c r="L629" s="62">
        <v>1.0</v>
      </c>
      <c r="M629" s="132"/>
      <c r="N629" s="1">
        <v>1.0</v>
      </c>
      <c r="O629" s="1" t="s">
        <v>5713</v>
      </c>
    </row>
    <row r="630" ht="15.75" hidden="1" customHeight="1">
      <c r="A630" s="127">
        <v>45665.0</v>
      </c>
      <c r="B630" s="125" t="s">
        <v>5707</v>
      </c>
      <c r="C630" s="125" t="s">
        <v>5718</v>
      </c>
      <c r="D630" s="123" t="s">
        <v>4</v>
      </c>
      <c r="E630" s="123">
        <v>1270458.0</v>
      </c>
      <c r="F630" s="124">
        <v>0.0</v>
      </c>
      <c r="G630" s="124" t="s">
        <v>5712</v>
      </c>
      <c r="H630" s="124" t="s">
        <v>5705</v>
      </c>
      <c r="I630" s="124" t="s">
        <v>13</v>
      </c>
      <c r="J630" s="124" t="s">
        <v>5708</v>
      </c>
      <c r="K630" s="125" t="s">
        <v>160</v>
      </c>
      <c r="L630" s="124">
        <v>0.0</v>
      </c>
      <c r="M630" s="126">
        <v>3.0</v>
      </c>
      <c r="N630" s="1">
        <v>0.0</v>
      </c>
      <c r="O630" s="1">
        <v>0.0</v>
      </c>
    </row>
    <row r="631" ht="15.75" customHeight="1">
      <c r="A631" s="129">
        <v>45665.0</v>
      </c>
      <c r="B631" s="130" t="s">
        <v>5707</v>
      </c>
      <c r="C631" s="130" t="s">
        <v>5718</v>
      </c>
      <c r="D631" s="117" t="s">
        <v>4</v>
      </c>
      <c r="E631" s="117">
        <v>1270458.0</v>
      </c>
      <c r="F631" s="62">
        <v>0.0</v>
      </c>
      <c r="G631" s="62" t="s">
        <v>5712</v>
      </c>
      <c r="H631" s="62" t="s">
        <v>5705</v>
      </c>
      <c r="I631" s="62" t="s">
        <v>13</v>
      </c>
      <c r="J631" s="118" t="s">
        <v>5708</v>
      </c>
      <c r="K631" s="130" t="s">
        <v>139</v>
      </c>
      <c r="L631" s="130">
        <v>0.0</v>
      </c>
      <c r="M631" s="132">
        <v>0.012</v>
      </c>
      <c r="N631" s="1">
        <v>0.0</v>
      </c>
      <c r="O631" s="1">
        <v>0.0</v>
      </c>
    </row>
    <row r="632" ht="15.75" hidden="1" customHeight="1">
      <c r="A632" s="127">
        <v>45665.0</v>
      </c>
      <c r="B632" s="125" t="s">
        <v>5707</v>
      </c>
      <c r="C632" s="125" t="s">
        <v>5718</v>
      </c>
      <c r="D632" s="123" t="s">
        <v>4</v>
      </c>
      <c r="E632" s="123">
        <v>1270458.0</v>
      </c>
      <c r="F632" s="124">
        <v>0.0</v>
      </c>
      <c r="G632" s="124" t="s">
        <v>5712</v>
      </c>
      <c r="H632" s="124" t="s">
        <v>5705</v>
      </c>
      <c r="I632" s="124" t="s">
        <v>13</v>
      </c>
      <c r="J632" s="124" t="s">
        <v>5708</v>
      </c>
      <c r="K632" s="125" t="s">
        <v>153</v>
      </c>
      <c r="L632" s="124">
        <v>0.02</v>
      </c>
      <c r="M632" s="126">
        <v>1.0</v>
      </c>
      <c r="N632" s="1">
        <v>0.02</v>
      </c>
      <c r="O632" s="1">
        <v>0.02</v>
      </c>
    </row>
    <row r="633" ht="15.75" hidden="1" customHeight="1">
      <c r="A633" s="129">
        <v>45665.0</v>
      </c>
      <c r="B633" s="130" t="s">
        <v>5707</v>
      </c>
      <c r="C633" s="130" t="s">
        <v>5718</v>
      </c>
      <c r="D633" s="117" t="s">
        <v>4</v>
      </c>
      <c r="E633" s="117">
        <v>1270458.0</v>
      </c>
      <c r="F633" s="62">
        <v>0.0</v>
      </c>
      <c r="G633" s="62" t="s">
        <v>5712</v>
      </c>
      <c r="H633" s="62" t="s">
        <v>5705</v>
      </c>
      <c r="I633" s="118" t="s">
        <v>5708</v>
      </c>
      <c r="J633" s="118" t="s">
        <v>5708</v>
      </c>
      <c r="K633" s="130" t="s">
        <v>7</v>
      </c>
      <c r="L633" s="62">
        <v>100.0</v>
      </c>
      <c r="M633" s="132">
        <v>13.0</v>
      </c>
      <c r="N633" s="1">
        <v>7.692307692</v>
      </c>
      <c r="O633" s="1">
        <v>7.692307692</v>
      </c>
    </row>
    <row r="634" ht="15.75" customHeight="1">
      <c r="A634" s="127">
        <v>45665.0</v>
      </c>
      <c r="B634" s="125" t="s">
        <v>5707</v>
      </c>
      <c r="C634" s="125" t="s">
        <v>5718</v>
      </c>
      <c r="D634" s="123" t="s">
        <v>4</v>
      </c>
      <c r="E634" s="123">
        <v>1270458.0</v>
      </c>
      <c r="F634" s="124">
        <v>0.0</v>
      </c>
      <c r="G634" s="124" t="s">
        <v>5712</v>
      </c>
      <c r="H634" s="124" t="s">
        <v>5705</v>
      </c>
      <c r="I634" s="124" t="s">
        <v>13</v>
      </c>
      <c r="J634" s="124" t="s">
        <v>5708</v>
      </c>
      <c r="K634" s="125" t="s">
        <v>139</v>
      </c>
      <c r="L634" s="124">
        <v>99.0</v>
      </c>
      <c r="M634" s="126">
        <v>8.863166667</v>
      </c>
      <c r="N634" s="1">
        <v>11.16982267</v>
      </c>
      <c r="O634" s="1">
        <v>11.16982267</v>
      </c>
    </row>
    <row r="635" ht="15.75" hidden="1" customHeight="1">
      <c r="A635" s="129">
        <v>45665.0</v>
      </c>
      <c r="B635" s="130" t="s">
        <v>5707</v>
      </c>
      <c r="C635" s="130" t="s">
        <v>5719</v>
      </c>
      <c r="D635" s="117" t="s">
        <v>4</v>
      </c>
      <c r="E635" s="117">
        <v>1270458.0</v>
      </c>
      <c r="F635" s="62">
        <v>0.0</v>
      </c>
      <c r="G635" s="62" t="s">
        <v>5712</v>
      </c>
      <c r="H635" s="62" t="s">
        <v>5705</v>
      </c>
      <c r="I635" s="62" t="s">
        <v>13</v>
      </c>
      <c r="J635" s="118" t="s">
        <v>5708</v>
      </c>
      <c r="K635" s="130" t="s">
        <v>160</v>
      </c>
      <c r="L635" s="62">
        <v>0.0</v>
      </c>
      <c r="M635" s="132">
        <v>6.0</v>
      </c>
      <c r="N635" s="1">
        <v>0.0</v>
      </c>
      <c r="O635" s="1">
        <v>0.0</v>
      </c>
    </row>
    <row r="636" ht="15.75" hidden="1" customHeight="1">
      <c r="A636" s="127">
        <v>45665.0</v>
      </c>
      <c r="B636" s="125" t="s">
        <v>5707</v>
      </c>
      <c r="C636" s="125" t="s">
        <v>5719</v>
      </c>
      <c r="D636" s="123" t="s">
        <v>4</v>
      </c>
      <c r="E636" s="123">
        <v>1270458.0</v>
      </c>
      <c r="F636" s="124">
        <v>0.0</v>
      </c>
      <c r="G636" s="124" t="s">
        <v>5712</v>
      </c>
      <c r="H636" s="124" t="s">
        <v>5705</v>
      </c>
      <c r="I636" s="124" t="s">
        <v>13</v>
      </c>
      <c r="J636" s="124" t="s">
        <v>5708</v>
      </c>
      <c r="K636" s="125" t="s">
        <v>163</v>
      </c>
      <c r="L636" s="125">
        <v>1.0</v>
      </c>
      <c r="M636" s="126"/>
      <c r="N636" s="1">
        <v>1.0</v>
      </c>
      <c r="O636" s="1" t="s">
        <v>5713</v>
      </c>
    </row>
    <row r="637" ht="15.75" hidden="1" customHeight="1">
      <c r="A637" s="129">
        <v>45665.0</v>
      </c>
      <c r="B637" s="130" t="s">
        <v>5707</v>
      </c>
      <c r="C637" s="130" t="s">
        <v>5719</v>
      </c>
      <c r="D637" s="117" t="s">
        <v>4</v>
      </c>
      <c r="E637" s="117">
        <v>1270458.0</v>
      </c>
      <c r="F637" s="62">
        <v>0.0</v>
      </c>
      <c r="G637" s="62" t="s">
        <v>5712</v>
      </c>
      <c r="H637" s="62" t="s">
        <v>5705</v>
      </c>
      <c r="I637" s="62" t="s">
        <v>13</v>
      </c>
      <c r="J637" s="118" t="s">
        <v>5708</v>
      </c>
      <c r="K637" s="130" t="s">
        <v>147</v>
      </c>
      <c r="L637" s="130">
        <v>0.0</v>
      </c>
      <c r="M637" s="132">
        <v>2.0</v>
      </c>
      <c r="N637" s="1">
        <v>0.0</v>
      </c>
      <c r="O637" s="1">
        <v>0.0</v>
      </c>
    </row>
    <row r="638" ht="15.75" hidden="1" customHeight="1">
      <c r="A638" s="127">
        <v>45665.0</v>
      </c>
      <c r="B638" s="125" t="s">
        <v>5707</v>
      </c>
      <c r="C638" s="125" t="s">
        <v>5719</v>
      </c>
      <c r="D638" s="123" t="s">
        <v>4</v>
      </c>
      <c r="E638" s="123">
        <v>1270458.0</v>
      </c>
      <c r="F638" s="124">
        <v>0.0</v>
      </c>
      <c r="G638" s="124" t="s">
        <v>5712</v>
      </c>
      <c r="H638" s="124" t="s">
        <v>5705</v>
      </c>
      <c r="I638" s="124" t="s">
        <v>13</v>
      </c>
      <c r="J638" s="124" t="s">
        <v>5708</v>
      </c>
      <c r="K638" s="125" t="s">
        <v>163</v>
      </c>
      <c r="L638" s="124">
        <v>2.0</v>
      </c>
      <c r="M638" s="126"/>
      <c r="N638" s="1">
        <v>2.0</v>
      </c>
      <c r="O638" s="1" t="s">
        <v>5713</v>
      </c>
    </row>
    <row r="639" ht="15.75" hidden="1" customHeight="1">
      <c r="A639" s="129">
        <v>45665.0</v>
      </c>
      <c r="B639" s="130" t="s">
        <v>5707</v>
      </c>
      <c r="C639" s="130" t="s">
        <v>5719</v>
      </c>
      <c r="D639" s="117" t="s">
        <v>4</v>
      </c>
      <c r="E639" s="117">
        <v>1270458.0</v>
      </c>
      <c r="F639" s="62">
        <v>0.0</v>
      </c>
      <c r="G639" s="62" t="s">
        <v>5712</v>
      </c>
      <c r="H639" s="62" t="s">
        <v>5705</v>
      </c>
      <c r="I639" s="62" t="s">
        <v>13</v>
      </c>
      <c r="J639" s="118" t="s">
        <v>5708</v>
      </c>
      <c r="K639" s="130" t="s">
        <v>147</v>
      </c>
      <c r="L639" s="130">
        <v>0.0</v>
      </c>
      <c r="M639" s="132">
        <v>2.0</v>
      </c>
      <c r="N639" s="1">
        <v>0.0</v>
      </c>
      <c r="O639" s="1">
        <v>0.0</v>
      </c>
    </row>
    <row r="640" ht="15.75" hidden="1" customHeight="1">
      <c r="A640" s="127">
        <v>45665.0</v>
      </c>
      <c r="B640" s="125" t="s">
        <v>5707</v>
      </c>
      <c r="C640" s="125" t="s">
        <v>5719</v>
      </c>
      <c r="D640" s="123" t="s">
        <v>4</v>
      </c>
      <c r="E640" s="123">
        <v>1270458.0</v>
      </c>
      <c r="F640" s="124">
        <v>0.0</v>
      </c>
      <c r="G640" s="124" t="s">
        <v>5712</v>
      </c>
      <c r="H640" s="124" t="s">
        <v>5705</v>
      </c>
      <c r="I640" s="124" t="s">
        <v>13</v>
      </c>
      <c r="J640" s="124" t="s">
        <v>5708</v>
      </c>
      <c r="K640" s="125" t="s">
        <v>163</v>
      </c>
      <c r="L640" s="125">
        <v>2.0</v>
      </c>
      <c r="M640" s="126"/>
      <c r="N640" s="1">
        <v>2.0</v>
      </c>
      <c r="O640" s="1" t="s">
        <v>5713</v>
      </c>
    </row>
    <row r="641" ht="15.75" hidden="1" customHeight="1">
      <c r="A641" s="129">
        <v>45665.0</v>
      </c>
      <c r="B641" s="130" t="s">
        <v>5707</v>
      </c>
      <c r="C641" s="130" t="s">
        <v>5719</v>
      </c>
      <c r="D641" s="117" t="s">
        <v>4</v>
      </c>
      <c r="E641" s="117">
        <v>1270458.0</v>
      </c>
      <c r="F641" s="62">
        <v>0.0</v>
      </c>
      <c r="G641" s="62" t="s">
        <v>5712</v>
      </c>
      <c r="H641" s="62" t="s">
        <v>5705</v>
      </c>
      <c r="I641" s="62" t="s">
        <v>13</v>
      </c>
      <c r="J641" s="118" t="s">
        <v>5708</v>
      </c>
      <c r="K641" s="130" t="s">
        <v>147</v>
      </c>
      <c r="L641" s="130">
        <v>0.0</v>
      </c>
      <c r="M641" s="132">
        <v>5.0</v>
      </c>
      <c r="N641" s="1">
        <v>0.0</v>
      </c>
      <c r="O641" s="1">
        <v>0.0</v>
      </c>
    </row>
    <row r="642" ht="15.75" hidden="1" customHeight="1">
      <c r="A642" s="127">
        <v>45665.0</v>
      </c>
      <c r="B642" s="125" t="s">
        <v>5707</v>
      </c>
      <c r="C642" s="125" t="s">
        <v>5719</v>
      </c>
      <c r="D642" s="123" t="s">
        <v>4</v>
      </c>
      <c r="E642" s="123">
        <v>1270458.0</v>
      </c>
      <c r="F642" s="124">
        <v>0.0</v>
      </c>
      <c r="G642" s="124" t="s">
        <v>5712</v>
      </c>
      <c r="H642" s="124" t="s">
        <v>5705</v>
      </c>
      <c r="I642" s="124" t="s">
        <v>13</v>
      </c>
      <c r="J642" s="124" t="s">
        <v>5708</v>
      </c>
      <c r="K642" s="125" t="s">
        <v>163</v>
      </c>
      <c r="L642" s="125">
        <v>5.0</v>
      </c>
      <c r="M642" s="126"/>
      <c r="N642" s="1">
        <v>5.0</v>
      </c>
      <c r="O642" s="1" t="s">
        <v>5713</v>
      </c>
    </row>
    <row r="643" ht="15.75" hidden="1" customHeight="1">
      <c r="A643" s="129">
        <v>45665.0</v>
      </c>
      <c r="B643" s="130" t="s">
        <v>5707</v>
      </c>
      <c r="C643" s="130" t="s">
        <v>5719</v>
      </c>
      <c r="D643" s="117" t="s">
        <v>4</v>
      </c>
      <c r="E643" s="117">
        <v>1270458.0</v>
      </c>
      <c r="F643" s="62">
        <v>0.0</v>
      </c>
      <c r="G643" s="62" t="s">
        <v>5712</v>
      </c>
      <c r="H643" s="62" t="s">
        <v>5705</v>
      </c>
      <c r="I643" s="62" t="s">
        <v>13</v>
      </c>
      <c r="J643" s="118" t="s">
        <v>5708</v>
      </c>
      <c r="K643" s="130" t="s">
        <v>160</v>
      </c>
      <c r="L643" s="130">
        <v>0.0</v>
      </c>
      <c r="M643" s="132">
        <v>3.0</v>
      </c>
      <c r="N643" s="1">
        <v>0.0</v>
      </c>
      <c r="O643" s="1">
        <v>0.0</v>
      </c>
    </row>
    <row r="644" ht="15.75" hidden="1" customHeight="1">
      <c r="A644" s="127">
        <v>45665.0</v>
      </c>
      <c r="B644" s="125" t="s">
        <v>5707</v>
      </c>
      <c r="C644" s="125" t="s">
        <v>5719</v>
      </c>
      <c r="D644" s="123" t="s">
        <v>4</v>
      </c>
      <c r="E644" s="123">
        <v>1270458.0</v>
      </c>
      <c r="F644" s="124">
        <v>0.0</v>
      </c>
      <c r="G644" s="124" t="s">
        <v>5712</v>
      </c>
      <c r="H644" s="124" t="s">
        <v>5705</v>
      </c>
      <c r="I644" s="124" t="s">
        <v>13</v>
      </c>
      <c r="J644" s="124" t="s">
        <v>5708</v>
      </c>
      <c r="K644" s="125" t="s">
        <v>153</v>
      </c>
      <c r="L644" s="125">
        <v>484.63</v>
      </c>
      <c r="M644" s="126">
        <v>118.0</v>
      </c>
      <c r="N644" s="1">
        <v>4.107033898</v>
      </c>
      <c r="O644" s="1">
        <v>4.107033898</v>
      </c>
    </row>
    <row r="645" ht="15.75" hidden="1" customHeight="1">
      <c r="A645" s="129">
        <v>45665.0</v>
      </c>
      <c r="B645" s="130" t="s">
        <v>5707</v>
      </c>
      <c r="C645" s="130" t="s">
        <v>5719</v>
      </c>
      <c r="D645" s="117" t="s">
        <v>4</v>
      </c>
      <c r="E645" s="117">
        <v>1270458.0</v>
      </c>
      <c r="F645" s="62">
        <v>0.0</v>
      </c>
      <c r="G645" s="62" t="s">
        <v>5712</v>
      </c>
      <c r="H645" s="62" t="s">
        <v>5705</v>
      </c>
      <c r="I645" s="62" t="s">
        <v>13</v>
      </c>
      <c r="J645" s="118" t="s">
        <v>5708</v>
      </c>
      <c r="K645" s="130" t="s">
        <v>163</v>
      </c>
      <c r="L645" s="130">
        <v>184.0</v>
      </c>
      <c r="M645" s="132"/>
      <c r="N645" s="1">
        <v>184.0</v>
      </c>
      <c r="O645" s="1" t="s">
        <v>5713</v>
      </c>
    </row>
    <row r="646" ht="15.75" customHeight="1">
      <c r="A646" s="127">
        <v>45665.0</v>
      </c>
      <c r="B646" s="125" t="s">
        <v>5707</v>
      </c>
      <c r="C646" s="125" t="s">
        <v>5719</v>
      </c>
      <c r="D646" s="123" t="s">
        <v>4</v>
      </c>
      <c r="E646" s="123">
        <v>1270458.0</v>
      </c>
      <c r="F646" s="124">
        <v>0.0</v>
      </c>
      <c r="G646" s="124" t="s">
        <v>5712</v>
      </c>
      <c r="H646" s="124" t="s">
        <v>5705</v>
      </c>
      <c r="I646" s="124" t="s">
        <v>13</v>
      </c>
      <c r="J646" s="124" t="s">
        <v>5708</v>
      </c>
      <c r="K646" s="125" t="s">
        <v>139</v>
      </c>
      <c r="L646" s="125">
        <v>118.0</v>
      </c>
      <c r="M646" s="126">
        <v>8.077166667</v>
      </c>
      <c r="N646" s="1">
        <v>14.60908322</v>
      </c>
      <c r="O646" s="1">
        <v>14.60908322</v>
      </c>
    </row>
    <row r="647" ht="15.75" hidden="1" customHeight="1">
      <c r="A647" s="129">
        <v>45665.0</v>
      </c>
      <c r="B647" s="130" t="s">
        <v>5707</v>
      </c>
      <c r="C647" s="130" t="s">
        <v>5719</v>
      </c>
      <c r="D647" s="117" t="s">
        <v>4</v>
      </c>
      <c r="E647" s="117">
        <v>1270458.0</v>
      </c>
      <c r="F647" s="62">
        <v>0.0</v>
      </c>
      <c r="G647" s="62" t="s">
        <v>5712</v>
      </c>
      <c r="H647" s="62" t="s">
        <v>5705</v>
      </c>
      <c r="I647" s="62" t="s">
        <v>13</v>
      </c>
      <c r="J647" s="118" t="s">
        <v>5708</v>
      </c>
      <c r="K647" s="130" t="s">
        <v>153</v>
      </c>
      <c r="L647" s="130">
        <v>0.67</v>
      </c>
      <c r="M647" s="132">
        <v>0.0</v>
      </c>
      <c r="N647" s="1"/>
      <c r="O647" s="1" t="s">
        <v>5713</v>
      </c>
    </row>
    <row r="648" ht="15.75" customHeight="1">
      <c r="A648" s="127">
        <v>45665.0</v>
      </c>
      <c r="B648" s="125" t="s">
        <v>5707</v>
      </c>
      <c r="C648" s="125" t="s">
        <v>5719</v>
      </c>
      <c r="D648" s="123" t="s">
        <v>4</v>
      </c>
      <c r="E648" s="123">
        <v>1270458.0</v>
      </c>
      <c r="F648" s="124">
        <v>0.0</v>
      </c>
      <c r="G648" s="124" t="s">
        <v>5712</v>
      </c>
      <c r="H648" s="124" t="s">
        <v>5705</v>
      </c>
      <c r="I648" s="124" t="s">
        <v>13</v>
      </c>
      <c r="J648" s="124" t="s">
        <v>5708</v>
      </c>
      <c r="K648" s="125" t="s">
        <v>139</v>
      </c>
      <c r="L648" s="125">
        <v>0.0</v>
      </c>
      <c r="M648" s="126">
        <v>5.0E-4</v>
      </c>
      <c r="N648" s="1">
        <v>0.0</v>
      </c>
      <c r="O648" s="1">
        <v>0.0</v>
      </c>
    </row>
    <row r="649" ht="15.75" hidden="1" customHeight="1">
      <c r="A649" s="129">
        <v>45665.0</v>
      </c>
      <c r="B649" s="130" t="s">
        <v>5707</v>
      </c>
      <c r="C649" s="130" t="s">
        <v>5718</v>
      </c>
      <c r="D649" s="117" t="s">
        <v>4</v>
      </c>
      <c r="E649" s="117">
        <v>1270458.0</v>
      </c>
      <c r="F649" s="62">
        <v>0.0</v>
      </c>
      <c r="G649" s="62" t="s">
        <v>5712</v>
      </c>
      <c r="H649" s="62" t="s">
        <v>5705</v>
      </c>
      <c r="I649" s="62" t="s">
        <v>13</v>
      </c>
      <c r="J649" s="118" t="s">
        <v>5708</v>
      </c>
      <c r="K649" s="130" t="s">
        <v>147</v>
      </c>
      <c r="L649" s="130">
        <v>0.0</v>
      </c>
      <c r="M649" s="132">
        <v>2.0</v>
      </c>
      <c r="N649" s="1">
        <v>0.0</v>
      </c>
      <c r="O649" s="1">
        <v>0.0</v>
      </c>
    </row>
    <row r="650" ht="15.75" hidden="1" customHeight="1">
      <c r="A650" s="127">
        <v>45665.0</v>
      </c>
      <c r="B650" s="125" t="s">
        <v>5707</v>
      </c>
      <c r="C650" s="125" t="s">
        <v>5719</v>
      </c>
      <c r="D650" s="123" t="s">
        <v>4</v>
      </c>
      <c r="E650" s="123">
        <v>1270458.0</v>
      </c>
      <c r="F650" s="124">
        <v>0.0</v>
      </c>
      <c r="G650" s="124" t="s">
        <v>5712</v>
      </c>
      <c r="H650" s="124" t="s">
        <v>5705</v>
      </c>
      <c r="I650" s="124" t="s">
        <v>13</v>
      </c>
      <c r="J650" s="124" t="s">
        <v>5708</v>
      </c>
      <c r="K650" s="125" t="s">
        <v>160</v>
      </c>
      <c r="L650" s="125">
        <v>0.0</v>
      </c>
      <c r="M650" s="126">
        <v>2.0</v>
      </c>
      <c r="N650" s="1">
        <v>0.0</v>
      </c>
      <c r="O650" s="1">
        <v>0.0</v>
      </c>
    </row>
    <row r="651" ht="15.75" hidden="1" customHeight="1">
      <c r="A651" s="129">
        <v>45665.0</v>
      </c>
      <c r="B651" s="130" t="s">
        <v>5707</v>
      </c>
      <c r="C651" s="130" t="s">
        <v>5719</v>
      </c>
      <c r="D651" s="117" t="s">
        <v>4</v>
      </c>
      <c r="E651" s="117">
        <v>1270458.0</v>
      </c>
      <c r="F651" s="62">
        <v>0.0</v>
      </c>
      <c r="G651" s="62" t="s">
        <v>5712</v>
      </c>
      <c r="H651" s="62" t="s">
        <v>5705</v>
      </c>
      <c r="I651" s="62" t="s">
        <v>13</v>
      </c>
      <c r="J651" s="118" t="s">
        <v>5708</v>
      </c>
      <c r="K651" s="130" t="s">
        <v>147</v>
      </c>
      <c r="L651" s="130">
        <v>0.0</v>
      </c>
      <c r="M651" s="132">
        <v>3.0</v>
      </c>
      <c r="N651" s="1">
        <v>0.0</v>
      </c>
      <c r="O651" s="1">
        <v>0.0</v>
      </c>
    </row>
    <row r="652" ht="15.75" hidden="1" customHeight="1">
      <c r="A652" s="127">
        <v>45665.0</v>
      </c>
      <c r="B652" s="125" t="s">
        <v>5707</v>
      </c>
      <c r="C652" s="125" t="s">
        <v>5719</v>
      </c>
      <c r="D652" s="123" t="s">
        <v>4</v>
      </c>
      <c r="E652" s="123">
        <v>1270458.0</v>
      </c>
      <c r="F652" s="124">
        <v>0.0</v>
      </c>
      <c r="G652" s="124" t="s">
        <v>5712</v>
      </c>
      <c r="H652" s="124" t="s">
        <v>5705</v>
      </c>
      <c r="I652" s="124" t="s">
        <v>5708</v>
      </c>
      <c r="J652" s="124" t="s">
        <v>5708</v>
      </c>
      <c r="K652" s="125" t="s">
        <v>7</v>
      </c>
      <c r="L652" s="125">
        <v>0.0</v>
      </c>
      <c r="M652" s="126">
        <v>1.0</v>
      </c>
      <c r="N652" s="1">
        <v>0.0</v>
      </c>
      <c r="O652" s="1">
        <v>0.0</v>
      </c>
    </row>
    <row r="653" ht="15.75" hidden="1" customHeight="1">
      <c r="A653" s="129">
        <v>45665.0</v>
      </c>
      <c r="B653" s="130" t="s">
        <v>5707</v>
      </c>
      <c r="C653" s="130" t="s">
        <v>5719</v>
      </c>
      <c r="D653" s="117" t="s">
        <v>4</v>
      </c>
      <c r="E653" s="117">
        <v>1270458.0</v>
      </c>
      <c r="F653" s="62">
        <v>0.0</v>
      </c>
      <c r="G653" s="62" t="s">
        <v>5712</v>
      </c>
      <c r="H653" s="62" t="s">
        <v>5705</v>
      </c>
      <c r="I653" s="62" t="s">
        <v>13</v>
      </c>
      <c r="J653" s="118" t="s">
        <v>5708</v>
      </c>
      <c r="K653" s="130" t="s">
        <v>142</v>
      </c>
      <c r="L653" s="62">
        <v>1.0</v>
      </c>
      <c r="M653" s="132"/>
      <c r="N653" s="1">
        <v>1.0</v>
      </c>
      <c r="O653" s="1" t="s">
        <v>5713</v>
      </c>
    </row>
    <row r="654" ht="15.75" hidden="1" customHeight="1">
      <c r="A654" s="127">
        <v>45665.0</v>
      </c>
      <c r="B654" s="125" t="s">
        <v>5707</v>
      </c>
      <c r="C654" s="125" t="s">
        <v>5719</v>
      </c>
      <c r="D654" s="123" t="s">
        <v>4</v>
      </c>
      <c r="E654" s="123">
        <v>1270458.0</v>
      </c>
      <c r="F654" s="124">
        <v>0.0</v>
      </c>
      <c r="G654" s="124" t="s">
        <v>5712</v>
      </c>
      <c r="H654" s="124" t="s">
        <v>5705</v>
      </c>
      <c r="I654" s="124" t="s">
        <v>13</v>
      </c>
      <c r="J654" s="124" t="s">
        <v>5708</v>
      </c>
      <c r="K654" s="125" t="s">
        <v>154</v>
      </c>
      <c r="L654" s="124">
        <v>12700.0</v>
      </c>
      <c r="M654" s="126">
        <v>224.0</v>
      </c>
      <c r="N654" s="1">
        <v>56.69642857</v>
      </c>
      <c r="O654" s="1">
        <v>56.69642857</v>
      </c>
    </row>
    <row r="655" ht="15.75" hidden="1" customHeight="1">
      <c r="A655" s="129">
        <v>45665.0</v>
      </c>
      <c r="B655" s="130" t="s">
        <v>5707</v>
      </c>
      <c r="C655" s="130" t="s">
        <v>5719</v>
      </c>
      <c r="D655" s="117" t="s">
        <v>4</v>
      </c>
      <c r="E655" s="117">
        <v>1270458.0</v>
      </c>
      <c r="F655" s="62">
        <v>0.0</v>
      </c>
      <c r="G655" s="62" t="s">
        <v>5712</v>
      </c>
      <c r="H655" s="62" t="s">
        <v>5705</v>
      </c>
      <c r="I655" s="62" t="s">
        <v>13</v>
      </c>
      <c r="J655" s="118" t="s">
        <v>5708</v>
      </c>
      <c r="K655" s="130" t="s">
        <v>155</v>
      </c>
      <c r="L655" s="130">
        <v>94.0</v>
      </c>
      <c r="M655" s="132">
        <v>24.0</v>
      </c>
      <c r="N655" s="1">
        <v>3.916666667</v>
      </c>
      <c r="O655" s="1">
        <v>3.916666667</v>
      </c>
    </row>
    <row r="656" ht="15.75" hidden="1" customHeight="1">
      <c r="A656" s="127">
        <v>45665.0</v>
      </c>
      <c r="B656" s="125" t="s">
        <v>5707</v>
      </c>
      <c r="C656" s="125" t="s">
        <v>5719</v>
      </c>
      <c r="D656" s="123" t="s">
        <v>4</v>
      </c>
      <c r="E656" s="123">
        <v>1270458.0</v>
      </c>
      <c r="F656" s="124">
        <v>0.0</v>
      </c>
      <c r="G656" s="124" t="s">
        <v>5712</v>
      </c>
      <c r="H656" s="124" t="s">
        <v>5705</v>
      </c>
      <c r="I656" s="124" t="s">
        <v>13</v>
      </c>
      <c r="J656" s="124" t="s">
        <v>5708</v>
      </c>
      <c r="K656" s="125" t="s">
        <v>160</v>
      </c>
      <c r="L656" s="125">
        <v>0.0</v>
      </c>
      <c r="M656" s="126">
        <v>190.0</v>
      </c>
      <c r="N656" s="1">
        <v>0.0</v>
      </c>
      <c r="O656" s="1">
        <v>0.0</v>
      </c>
    </row>
    <row r="657" ht="15.75" customHeight="1">
      <c r="A657" s="129">
        <v>45665.0</v>
      </c>
      <c r="B657" s="130" t="s">
        <v>5707</v>
      </c>
      <c r="C657" s="130" t="s">
        <v>5719</v>
      </c>
      <c r="D657" s="117" t="s">
        <v>4</v>
      </c>
      <c r="E657" s="117">
        <v>1270458.0</v>
      </c>
      <c r="F657" s="62">
        <v>0.0</v>
      </c>
      <c r="G657" s="62" t="s">
        <v>5712</v>
      </c>
      <c r="H657" s="62" t="s">
        <v>5705</v>
      </c>
      <c r="I657" s="62" t="s">
        <v>13</v>
      </c>
      <c r="J657" s="118" t="s">
        <v>5708</v>
      </c>
      <c r="K657" s="130" t="s">
        <v>139</v>
      </c>
      <c r="L657" s="62">
        <v>0.0</v>
      </c>
      <c r="M657" s="132">
        <v>0.011166667</v>
      </c>
      <c r="N657" s="1">
        <v>0.0</v>
      </c>
      <c r="O657" s="1">
        <v>0.0</v>
      </c>
    </row>
    <row r="658" ht="15.75" hidden="1" customHeight="1">
      <c r="A658" s="127">
        <v>45665.0</v>
      </c>
      <c r="B658" s="125" t="s">
        <v>5707</v>
      </c>
      <c r="C658" s="125" t="s">
        <v>5719</v>
      </c>
      <c r="D658" s="123" t="s">
        <v>4</v>
      </c>
      <c r="E658" s="123">
        <v>1270458.0</v>
      </c>
      <c r="F658" s="124">
        <v>0.0</v>
      </c>
      <c r="G658" s="124" t="s">
        <v>5712</v>
      </c>
      <c r="H658" s="124" t="s">
        <v>5705</v>
      </c>
      <c r="I658" s="124" t="s">
        <v>13</v>
      </c>
      <c r="J658" s="124" t="s">
        <v>5708</v>
      </c>
      <c r="K658" s="125" t="s">
        <v>153</v>
      </c>
      <c r="L658" s="125">
        <v>0.03</v>
      </c>
      <c r="M658" s="126">
        <v>0.0</v>
      </c>
      <c r="N658" s="1"/>
      <c r="O658" s="1" t="s">
        <v>5713</v>
      </c>
    </row>
    <row r="659" ht="15.75" hidden="1" customHeight="1">
      <c r="A659" s="129">
        <v>45665.0</v>
      </c>
      <c r="B659" s="130" t="s">
        <v>5707</v>
      </c>
      <c r="C659" s="130" t="s">
        <v>5719</v>
      </c>
      <c r="D659" s="117" t="s">
        <v>4</v>
      </c>
      <c r="E659" s="117">
        <v>1270458.0</v>
      </c>
      <c r="F659" s="62">
        <v>0.0</v>
      </c>
      <c r="G659" s="62" t="s">
        <v>5712</v>
      </c>
      <c r="H659" s="62" t="s">
        <v>5705</v>
      </c>
      <c r="I659" s="62" t="s">
        <v>13</v>
      </c>
      <c r="J659" s="118" t="s">
        <v>5708</v>
      </c>
      <c r="K659" s="130" t="s">
        <v>154</v>
      </c>
      <c r="L659" s="130">
        <v>0.0</v>
      </c>
      <c r="M659" s="132">
        <v>1.0</v>
      </c>
      <c r="N659" s="1">
        <v>0.0</v>
      </c>
      <c r="O659" s="1">
        <v>0.0</v>
      </c>
    </row>
    <row r="660" ht="15.75" hidden="1" customHeight="1">
      <c r="A660" s="127">
        <v>45665.0</v>
      </c>
      <c r="B660" s="125" t="s">
        <v>5707</v>
      </c>
      <c r="C660" s="125" t="s">
        <v>5720</v>
      </c>
      <c r="D660" s="123" t="s">
        <v>4</v>
      </c>
      <c r="E660" s="123">
        <v>1270458.0</v>
      </c>
      <c r="F660" s="124">
        <v>0.0</v>
      </c>
      <c r="G660" s="124" t="s">
        <v>5712</v>
      </c>
      <c r="H660" s="124" t="s">
        <v>5705</v>
      </c>
      <c r="I660" s="124" t="s">
        <v>13</v>
      </c>
      <c r="J660" s="124" t="s">
        <v>5708</v>
      </c>
      <c r="K660" s="125" t="s">
        <v>163</v>
      </c>
      <c r="L660" s="124">
        <v>2.0</v>
      </c>
      <c r="M660" s="126"/>
      <c r="N660" s="1">
        <v>2.0</v>
      </c>
      <c r="O660" s="1" t="s">
        <v>5713</v>
      </c>
    </row>
    <row r="661" ht="15.75" hidden="1" customHeight="1">
      <c r="A661" s="129">
        <v>45665.0</v>
      </c>
      <c r="B661" s="130" t="s">
        <v>5707</v>
      </c>
      <c r="C661" s="130" t="s">
        <v>5720</v>
      </c>
      <c r="D661" s="117" t="s">
        <v>4</v>
      </c>
      <c r="E661" s="117">
        <v>1270458.0</v>
      </c>
      <c r="F661" s="62">
        <v>0.0</v>
      </c>
      <c r="G661" s="62" t="s">
        <v>5712</v>
      </c>
      <c r="H661" s="62" t="s">
        <v>5705</v>
      </c>
      <c r="I661" s="62" t="s">
        <v>13</v>
      </c>
      <c r="J661" s="118" t="s">
        <v>5708</v>
      </c>
      <c r="K661" s="130" t="s">
        <v>160</v>
      </c>
      <c r="L661" s="62">
        <v>0.0</v>
      </c>
      <c r="M661" s="132">
        <v>6.0</v>
      </c>
      <c r="N661" s="1">
        <v>0.0</v>
      </c>
      <c r="O661" s="1">
        <v>0.0</v>
      </c>
    </row>
    <row r="662" ht="15.75" hidden="1" customHeight="1">
      <c r="A662" s="127">
        <v>45665.0</v>
      </c>
      <c r="B662" s="125" t="s">
        <v>5707</v>
      </c>
      <c r="C662" s="125" t="s">
        <v>5720</v>
      </c>
      <c r="D662" s="123" t="s">
        <v>4</v>
      </c>
      <c r="E662" s="123">
        <v>1270458.0</v>
      </c>
      <c r="F662" s="124">
        <v>0.0</v>
      </c>
      <c r="G662" s="124" t="s">
        <v>5712</v>
      </c>
      <c r="H662" s="124" t="s">
        <v>5705</v>
      </c>
      <c r="I662" s="124" t="s">
        <v>13</v>
      </c>
      <c r="J662" s="124" t="s">
        <v>5708</v>
      </c>
      <c r="K662" s="125" t="s">
        <v>142</v>
      </c>
      <c r="L662" s="124">
        <v>1.0</v>
      </c>
      <c r="M662" s="126"/>
      <c r="N662" s="1">
        <v>1.0</v>
      </c>
      <c r="O662" s="1" t="s">
        <v>5713</v>
      </c>
    </row>
    <row r="663" ht="15.75" hidden="1" customHeight="1">
      <c r="A663" s="129">
        <v>45665.0</v>
      </c>
      <c r="B663" s="130" t="s">
        <v>5707</v>
      </c>
      <c r="C663" s="130" t="s">
        <v>5720</v>
      </c>
      <c r="D663" s="117" t="s">
        <v>4</v>
      </c>
      <c r="E663" s="117">
        <v>1270458.0</v>
      </c>
      <c r="F663" s="62">
        <v>0.0</v>
      </c>
      <c r="G663" s="62" t="s">
        <v>5712</v>
      </c>
      <c r="H663" s="62" t="s">
        <v>5705</v>
      </c>
      <c r="I663" s="62" t="s">
        <v>13</v>
      </c>
      <c r="J663" s="118" t="s">
        <v>5708</v>
      </c>
      <c r="K663" s="130" t="s">
        <v>155</v>
      </c>
      <c r="L663" s="62">
        <v>102.0</v>
      </c>
      <c r="M663" s="132">
        <v>22.0</v>
      </c>
      <c r="N663" s="1">
        <v>4.636363636</v>
      </c>
      <c r="O663" s="1">
        <v>4.636363636</v>
      </c>
    </row>
    <row r="664" ht="15.75" hidden="1" customHeight="1">
      <c r="A664" s="127">
        <v>45665.0</v>
      </c>
      <c r="B664" s="125" t="s">
        <v>5707</v>
      </c>
      <c r="C664" s="125" t="s">
        <v>5720</v>
      </c>
      <c r="D664" s="123" t="s">
        <v>4</v>
      </c>
      <c r="E664" s="123">
        <v>1270458.0</v>
      </c>
      <c r="F664" s="124">
        <v>0.0</v>
      </c>
      <c r="G664" s="124" t="s">
        <v>5712</v>
      </c>
      <c r="H664" s="124" t="s">
        <v>5705</v>
      </c>
      <c r="I664" s="124" t="s">
        <v>13</v>
      </c>
      <c r="J664" s="124" t="s">
        <v>5708</v>
      </c>
      <c r="K664" s="125" t="s">
        <v>12</v>
      </c>
      <c r="L664" s="124">
        <v>100.0</v>
      </c>
      <c r="M664" s="126">
        <v>1.0</v>
      </c>
      <c r="N664" s="1">
        <v>100.0</v>
      </c>
      <c r="O664" s="1">
        <v>100.0</v>
      </c>
    </row>
    <row r="665" ht="15.75" hidden="1" customHeight="1">
      <c r="A665" s="129">
        <v>45665.0</v>
      </c>
      <c r="B665" s="130" t="s">
        <v>5707</v>
      </c>
      <c r="C665" s="130" t="s">
        <v>5720</v>
      </c>
      <c r="D665" s="117" t="s">
        <v>4</v>
      </c>
      <c r="E665" s="117">
        <v>1270458.0</v>
      </c>
      <c r="F665" s="62">
        <v>0.0</v>
      </c>
      <c r="G665" s="62" t="s">
        <v>5712</v>
      </c>
      <c r="H665" s="62" t="s">
        <v>5705</v>
      </c>
      <c r="I665" s="62" t="s">
        <v>13</v>
      </c>
      <c r="J665" s="118" t="s">
        <v>5708</v>
      </c>
      <c r="K665" s="130" t="s">
        <v>163</v>
      </c>
      <c r="L665" s="130">
        <v>229.0</v>
      </c>
      <c r="M665" s="133"/>
      <c r="N665" s="1">
        <v>229.0</v>
      </c>
      <c r="O665" s="1" t="s">
        <v>5713</v>
      </c>
    </row>
    <row r="666" ht="15.75" hidden="1" customHeight="1">
      <c r="A666" s="127">
        <v>45665.0</v>
      </c>
      <c r="B666" s="125" t="s">
        <v>5707</v>
      </c>
      <c r="C666" s="125" t="s">
        <v>5720</v>
      </c>
      <c r="D666" s="123" t="s">
        <v>4</v>
      </c>
      <c r="E666" s="123">
        <v>1270458.0</v>
      </c>
      <c r="F666" s="124">
        <v>0.0</v>
      </c>
      <c r="G666" s="124" t="s">
        <v>5712</v>
      </c>
      <c r="H666" s="124" t="s">
        <v>5705</v>
      </c>
      <c r="I666" s="124" t="s">
        <v>13</v>
      </c>
      <c r="J666" s="124" t="s">
        <v>5708</v>
      </c>
      <c r="K666" s="125" t="s">
        <v>160</v>
      </c>
      <c r="L666" s="124">
        <v>0.0</v>
      </c>
      <c r="M666" s="126">
        <v>10.0</v>
      </c>
      <c r="N666" s="1">
        <v>0.0</v>
      </c>
      <c r="O666" s="1">
        <v>0.0</v>
      </c>
    </row>
    <row r="667" ht="15.75" hidden="1" customHeight="1">
      <c r="A667" s="129">
        <v>45665.0</v>
      </c>
      <c r="B667" s="130" t="s">
        <v>5707</v>
      </c>
      <c r="C667" s="130" t="s">
        <v>5720</v>
      </c>
      <c r="D667" s="117" t="s">
        <v>4</v>
      </c>
      <c r="E667" s="117">
        <v>1270458.0</v>
      </c>
      <c r="F667" s="62">
        <v>0.0</v>
      </c>
      <c r="G667" s="62" t="s">
        <v>5712</v>
      </c>
      <c r="H667" s="62" t="s">
        <v>5705</v>
      </c>
      <c r="I667" s="62" t="s">
        <v>13</v>
      </c>
      <c r="J667" s="118" t="s">
        <v>5708</v>
      </c>
      <c r="K667" s="130" t="s">
        <v>147</v>
      </c>
      <c r="L667" s="130">
        <v>0.0</v>
      </c>
      <c r="M667" s="133">
        <v>5.0</v>
      </c>
      <c r="N667" s="1">
        <v>0.0</v>
      </c>
      <c r="O667" s="1">
        <v>0.0</v>
      </c>
    </row>
    <row r="668" ht="15.75" hidden="1" customHeight="1">
      <c r="A668" s="127">
        <v>45665.0</v>
      </c>
      <c r="B668" s="125" t="s">
        <v>5707</v>
      </c>
      <c r="C668" s="125" t="s">
        <v>5720</v>
      </c>
      <c r="D668" s="123" t="s">
        <v>4</v>
      </c>
      <c r="E668" s="123">
        <v>1270458.0</v>
      </c>
      <c r="F668" s="124">
        <v>0.0</v>
      </c>
      <c r="G668" s="124" t="s">
        <v>5712</v>
      </c>
      <c r="H668" s="124" t="s">
        <v>5705</v>
      </c>
      <c r="I668" s="124" t="s">
        <v>13</v>
      </c>
      <c r="J668" s="124" t="s">
        <v>5708</v>
      </c>
      <c r="K668" s="125" t="s">
        <v>160</v>
      </c>
      <c r="L668" s="125">
        <v>0.0</v>
      </c>
      <c r="M668" s="134">
        <v>2.0</v>
      </c>
      <c r="N668" s="1">
        <v>0.0</v>
      </c>
      <c r="O668" s="1">
        <v>0.0</v>
      </c>
    </row>
    <row r="669" ht="15.75" hidden="1" customHeight="1">
      <c r="A669" s="129">
        <v>45665.0</v>
      </c>
      <c r="B669" s="130" t="s">
        <v>5707</v>
      </c>
      <c r="C669" s="130" t="s">
        <v>5720</v>
      </c>
      <c r="D669" s="117" t="s">
        <v>4</v>
      </c>
      <c r="E669" s="117">
        <v>1270458.0</v>
      </c>
      <c r="F669" s="62">
        <v>0.0</v>
      </c>
      <c r="G669" s="62" t="s">
        <v>5712</v>
      </c>
      <c r="H669" s="62" t="s">
        <v>5705</v>
      </c>
      <c r="I669" s="62" t="s">
        <v>13</v>
      </c>
      <c r="J669" s="118" t="s">
        <v>5708</v>
      </c>
      <c r="K669" s="130" t="s">
        <v>147</v>
      </c>
      <c r="L669" s="62">
        <v>0.0</v>
      </c>
      <c r="M669" s="132">
        <v>4.0</v>
      </c>
      <c r="N669" s="1">
        <v>0.0</v>
      </c>
      <c r="O669" s="1">
        <v>0.0</v>
      </c>
    </row>
    <row r="670" ht="15.75" hidden="1" customHeight="1">
      <c r="A670" s="127">
        <v>45665.0</v>
      </c>
      <c r="B670" s="125" t="s">
        <v>5707</v>
      </c>
      <c r="C670" s="125" t="s">
        <v>5720</v>
      </c>
      <c r="D670" s="123" t="s">
        <v>4</v>
      </c>
      <c r="E670" s="123">
        <v>1270458.0</v>
      </c>
      <c r="F670" s="124">
        <v>0.0</v>
      </c>
      <c r="G670" s="124" t="s">
        <v>5712</v>
      </c>
      <c r="H670" s="124" t="s">
        <v>5705</v>
      </c>
      <c r="I670" s="124" t="s">
        <v>13</v>
      </c>
      <c r="J670" s="124" t="s">
        <v>5708</v>
      </c>
      <c r="K670" s="125" t="s">
        <v>163</v>
      </c>
      <c r="L670" s="125">
        <v>4.0</v>
      </c>
      <c r="M670" s="126"/>
      <c r="N670" s="1">
        <v>4.0</v>
      </c>
      <c r="O670" s="1" t="s">
        <v>5713</v>
      </c>
    </row>
    <row r="671" ht="15.75" hidden="1" customHeight="1">
      <c r="A671" s="129">
        <v>45665.0</v>
      </c>
      <c r="B671" s="130" t="s">
        <v>5707</v>
      </c>
      <c r="C671" s="130" t="s">
        <v>5720</v>
      </c>
      <c r="D671" s="117" t="s">
        <v>4</v>
      </c>
      <c r="E671" s="117">
        <v>1270458.0</v>
      </c>
      <c r="F671" s="62">
        <v>0.0</v>
      </c>
      <c r="G671" s="62" t="s">
        <v>5712</v>
      </c>
      <c r="H671" s="62" t="s">
        <v>5705</v>
      </c>
      <c r="I671" s="62" t="s">
        <v>13</v>
      </c>
      <c r="J671" s="118" t="s">
        <v>5708</v>
      </c>
      <c r="K671" s="130" t="s">
        <v>147</v>
      </c>
      <c r="L671" s="62">
        <v>0.0</v>
      </c>
      <c r="M671" s="132">
        <v>6.0</v>
      </c>
      <c r="N671" s="1">
        <v>0.0</v>
      </c>
      <c r="O671" s="1">
        <v>0.0</v>
      </c>
    </row>
    <row r="672" ht="15.75" hidden="1" customHeight="1">
      <c r="A672" s="127">
        <v>45665.0</v>
      </c>
      <c r="B672" s="125" t="s">
        <v>5707</v>
      </c>
      <c r="C672" s="125" t="s">
        <v>5720</v>
      </c>
      <c r="D672" s="123" t="s">
        <v>4</v>
      </c>
      <c r="E672" s="123">
        <v>1270458.0</v>
      </c>
      <c r="F672" s="124">
        <v>0.0</v>
      </c>
      <c r="G672" s="124" t="s">
        <v>5712</v>
      </c>
      <c r="H672" s="124" t="s">
        <v>5705</v>
      </c>
      <c r="I672" s="124" t="s">
        <v>13</v>
      </c>
      <c r="J672" s="124" t="s">
        <v>5708</v>
      </c>
      <c r="K672" s="125" t="s">
        <v>163</v>
      </c>
      <c r="L672" s="124">
        <v>6.0</v>
      </c>
      <c r="M672" s="126"/>
      <c r="N672" s="1">
        <v>6.0</v>
      </c>
      <c r="O672" s="1" t="s">
        <v>5713</v>
      </c>
    </row>
    <row r="673" ht="15.75" hidden="1" customHeight="1">
      <c r="A673" s="129">
        <v>45665.0</v>
      </c>
      <c r="B673" s="130" t="s">
        <v>5707</v>
      </c>
      <c r="C673" s="130" t="s">
        <v>5720</v>
      </c>
      <c r="D673" s="117" t="s">
        <v>4</v>
      </c>
      <c r="E673" s="117">
        <v>1270458.0</v>
      </c>
      <c r="F673" s="62">
        <v>0.0</v>
      </c>
      <c r="G673" s="62" t="s">
        <v>5712</v>
      </c>
      <c r="H673" s="62" t="s">
        <v>5705</v>
      </c>
      <c r="I673" s="62" t="s">
        <v>13</v>
      </c>
      <c r="J673" s="118" t="s">
        <v>5708</v>
      </c>
      <c r="K673" s="130" t="s">
        <v>142</v>
      </c>
      <c r="L673" s="62">
        <v>143.0</v>
      </c>
      <c r="M673" s="132"/>
      <c r="N673" s="1">
        <v>143.0</v>
      </c>
      <c r="O673" s="1" t="s">
        <v>5713</v>
      </c>
    </row>
    <row r="674" ht="15.75" hidden="1" customHeight="1">
      <c r="A674" s="127">
        <v>45665.0</v>
      </c>
      <c r="B674" s="125" t="s">
        <v>5707</v>
      </c>
      <c r="C674" s="125" t="s">
        <v>5720</v>
      </c>
      <c r="D674" s="123" t="s">
        <v>4</v>
      </c>
      <c r="E674" s="123">
        <v>1270458.0</v>
      </c>
      <c r="F674" s="124">
        <v>0.0</v>
      </c>
      <c r="G674" s="124" t="s">
        <v>5712</v>
      </c>
      <c r="H674" s="124" t="s">
        <v>5705</v>
      </c>
      <c r="I674" s="124" t="s">
        <v>13</v>
      </c>
      <c r="J674" s="124" t="s">
        <v>5708</v>
      </c>
      <c r="K674" s="125" t="s">
        <v>160</v>
      </c>
      <c r="L674" s="125">
        <v>0.0</v>
      </c>
      <c r="M674" s="126">
        <v>1.0</v>
      </c>
      <c r="N674" s="1">
        <v>0.0</v>
      </c>
      <c r="O674" s="1">
        <v>0.0</v>
      </c>
    </row>
    <row r="675" ht="15.75" hidden="1" customHeight="1">
      <c r="A675" s="129">
        <v>45665.0</v>
      </c>
      <c r="B675" s="130" t="s">
        <v>5707</v>
      </c>
      <c r="C675" s="130" t="s">
        <v>5720</v>
      </c>
      <c r="D675" s="117" t="s">
        <v>4</v>
      </c>
      <c r="E675" s="117">
        <v>1270458.0</v>
      </c>
      <c r="F675" s="62">
        <v>0.0</v>
      </c>
      <c r="G675" s="62" t="s">
        <v>5712</v>
      </c>
      <c r="H675" s="62" t="s">
        <v>5705</v>
      </c>
      <c r="I675" s="118" t="s">
        <v>5708</v>
      </c>
      <c r="J675" s="118" t="s">
        <v>5708</v>
      </c>
      <c r="K675" s="130" t="s">
        <v>7</v>
      </c>
      <c r="L675" s="62">
        <v>0.0</v>
      </c>
      <c r="M675" s="132">
        <v>22.0</v>
      </c>
      <c r="N675" s="1">
        <v>0.0</v>
      </c>
      <c r="O675" s="1">
        <v>0.0</v>
      </c>
    </row>
    <row r="676" ht="15.75" hidden="1" customHeight="1">
      <c r="A676" s="127">
        <v>45665.0</v>
      </c>
      <c r="B676" s="125" t="s">
        <v>5707</v>
      </c>
      <c r="C676" s="125" t="s">
        <v>5720</v>
      </c>
      <c r="D676" s="123" t="s">
        <v>4</v>
      </c>
      <c r="E676" s="123">
        <v>1270458.0</v>
      </c>
      <c r="F676" s="124">
        <v>0.0</v>
      </c>
      <c r="G676" s="124" t="s">
        <v>5712</v>
      </c>
      <c r="H676" s="124" t="s">
        <v>5705</v>
      </c>
      <c r="I676" s="124" t="s">
        <v>13</v>
      </c>
      <c r="J676" s="124" t="s">
        <v>5708</v>
      </c>
      <c r="K676" s="125" t="s">
        <v>11</v>
      </c>
      <c r="L676" s="125">
        <v>0.0</v>
      </c>
      <c r="M676" s="126">
        <v>9.0</v>
      </c>
      <c r="N676" s="1">
        <v>0.0</v>
      </c>
      <c r="O676" s="1">
        <v>0.0</v>
      </c>
    </row>
    <row r="677" ht="15.75" hidden="1" customHeight="1">
      <c r="A677" s="129">
        <v>45665.0</v>
      </c>
      <c r="B677" s="130" t="s">
        <v>5707</v>
      </c>
      <c r="C677" s="130" t="s">
        <v>5720</v>
      </c>
      <c r="D677" s="117" t="s">
        <v>4</v>
      </c>
      <c r="E677" s="117">
        <v>1270458.0</v>
      </c>
      <c r="F677" s="62">
        <v>0.0</v>
      </c>
      <c r="G677" s="62" t="s">
        <v>5712</v>
      </c>
      <c r="H677" s="62" t="s">
        <v>5705</v>
      </c>
      <c r="I677" s="62" t="s">
        <v>13</v>
      </c>
      <c r="J677" s="118" t="s">
        <v>5708</v>
      </c>
      <c r="K677" s="130" t="s">
        <v>153</v>
      </c>
      <c r="L677" s="130">
        <v>535.33</v>
      </c>
      <c r="M677" s="132">
        <v>143.0</v>
      </c>
      <c r="N677" s="1">
        <v>3.743566434</v>
      </c>
      <c r="O677" s="1">
        <v>3.743566434</v>
      </c>
    </row>
    <row r="678" ht="15.75" hidden="1" customHeight="1">
      <c r="A678" s="127">
        <v>45665.0</v>
      </c>
      <c r="B678" s="125" t="s">
        <v>5707</v>
      </c>
      <c r="C678" s="125" t="s">
        <v>5720</v>
      </c>
      <c r="D678" s="123" t="s">
        <v>4</v>
      </c>
      <c r="E678" s="123">
        <v>1270458.0</v>
      </c>
      <c r="F678" s="124">
        <v>0.0</v>
      </c>
      <c r="G678" s="124" t="s">
        <v>5712</v>
      </c>
      <c r="H678" s="124" t="s">
        <v>5705</v>
      </c>
      <c r="I678" s="124" t="s">
        <v>13</v>
      </c>
      <c r="J678" s="124" t="s">
        <v>5708</v>
      </c>
      <c r="K678" s="125" t="s">
        <v>156</v>
      </c>
      <c r="L678" s="124">
        <v>6800.0</v>
      </c>
      <c r="M678" s="126">
        <v>143.0</v>
      </c>
      <c r="N678" s="1">
        <v>47.55244755</v>
      </c>
      <c r="O678" s="1">
        <v>47.55244755</v>
      </c>
    </row>
    <row r="679" ht="15.75" customHeight="1">
      <c r="A679" s="129">
        <v>45665.0</v>
      </c>
      <c r="B679" s="130" t="s">
        <v>5707</v>
      </c>
      <c r="C679" s="130" t="s">
        <v>5720</v>
      </c>
      <c r="D679" s="117" t="s">
        <v>4</v>
      </c>
      <c r="E679" s="117">
        <v>1270458.0</v>
      </c>
      <c r="F679" s="62">
        <v>0.0</v>
      </c>
      <c r="G679" s="62" t="s">
        <v>5712</v>
      </c>
      <c r="H679" s="62" t="s">
        <v>5705</v>
      </c>
      <c r="I679" s="62" t="s">
        <v>13</v>
      </c>
      <c r="J679" s="118" t="s">
        <v>5708</v>
      </c>
      <c r="K679" s="130" t="s">
        <v>139</v>
      </c>
      <c r="L679" s="62">
        <v>143.0</v>
      </c>
      <c r="M679" s="132">
        <v>8.922166667</v>
      </c>
      <c r="N679" s="1">
        <v>16.02749706</v>
      </c>
      <c r="O679" s="1">
        <v>16.02749706</v>
      </c>
    </row>
    <row r="680" ht="15.75" hidden="1" customHeight="1">
      <c r="A680" s="127">
        <v>45665.0</v>
      </c>
      <c r="B680" s="125" t="s">
        <v>5707</v>
      </c>
      <c r="C680" s="125" t="s">
        <v>5720</v>
      </c>
      <c r="D680" s="123" t="s">
        <v>4</v>
      </c>
      <c r="E680" s="123">
        <v>1270458.0</v>
      </c>
      <c r="F680" s="124">
        <v>0.0</v>
      </c>
      <c r="G680" s="124" t="s">
        <v>5712</v>
      </c>
      <c r="H680" s="124" t="s">
        <v>5705</v>
      </c>
      <c r="I680" s="124" t="s">
        <v>13</v>
      </c>
      <c r="J680" s="124" t="s">
        <v>5708</v>
      </c>
      <c r="K680" s="125" t="s">
        <v>142</v>
      </c>
      <c r="L680" s="125">
        <v>1.0</v>
      </c>
      <c r="M680" s="126"/>
      <c r="N680" s="1">
        <v>1.0</v>
      </c>
      <c r="O680" s="1" t="s">
        <v>5713</v>
      </c>
    </row>
    <row r="681" ht="15.75" hidden="1" customHeight="1">
      <c r="A681" s="129">
        <v>45665.0</v>
      </c>
      <c r="B681" s="130" t="s">
        <v>5707</v>
      </c>
      <c r="C681" s="130" t="s">
        <v>5720</v>
      </c>
      <c r="D681" s="117" t="s">
        <v>4</v>
      </c>
      <c r="E681" s="117">
        <v>1270458.0</v>
      </c>
      <c r="F681" s="62">
        <v>0.0</v>
      </c>
      <c r="G681" s="62" t="s">
        <v>5712</v>
      </c>
      <c r="H681" s="62" t="s">
        <v>5705</v>
      </c>
      <c r="I681" s="62" t="s">
        <v>13</v>
      </c>
      <c r="J681" s="118" t="s">
        <v>5708</v>
      </c>
      <c r="K681" s="130" t="s">
        <v>160</v>
      </c>
      <c r="L681" s="62">
        <v>0.0</v>
      </c>
      <c r="M681" s="132">
        <v>1.0</v>
      </c>
      <c r="N681" s="1">
        <v>0.0</v>
      </c>
      <c r="O681" s="1">
        <v>0.0</v>
      </c>
    </row>
    <row r="682" ht="15.75" hidden="1" customHeight="1">
      <c r="A682" s="127">
        <v>45665.0</v>
      </c>
      <c r="B682" s="125" t="s">
        <v>5707</v>
      </c>
      <c r="C682" s="125" t="s">
        <v>5720</v>
      </c>
      <c r="D682" s="123" t="s">
        <v>4</v>
      </c>
      <c r="E682" s="123">
        <v>1270458.0</v>
      </c>
      <c r="F682" s="124">
        <v>0.0</v>
      </c>
      <c r="G682" s="124" t="s">
        <v>5712</v>
      </c>
      <c r="H682" s="124" t="s">
        <v>5705</v>
      </c>
      <c r="I682" s="124" t="s">
        <v>13</v>
      </c>
      <c r="J682" s="124" t="s">
        <v>5708</v>
      </c>
      <c r="K682" s="125" t="s">
        <v>163</v>
      </c>
      <c r="L682" s="125">
        <v>1.0</v>
      </c>
      <c r="M682" s="126"/>
      <c r="N682" s="1">
        <v>1.0</v>
      </c>
      <c r="O682" s="1" t="s">
        <v>5713</v>
      </c>
    </row>
    <row r="683" ht="15.75" hidden="1" customHeight="1">
      <c r="A683" s="129">
        <v>45665.0</v>
      </c>
      <c r="B683" s="130" t="s">
        <v>5707</v>
      </c>
      <c r="C683" s="130" t="s">
        <v>5720</v>
      </c>
      <c r="D683" s="117" t="s">
        <v>4</v>
      </c>
      <c r="E683" s="117">
        <v>1270458.0</v>
      </c>
      <c r="F683" s="62">
        <v>0.0</v>
      </c>
      <c r="G683" s="62" t="s">
        <v>5712</v>
      </c>
      <c r="H683" s="62" t="s">
        <v>5705</v>
      </c>
      <c r="I683" s="62" t="s">
        <v>13</v>
      </c>
      <c r="J683" s="118" t="s">
        <v>5708</v>
      </c>
      <c r="K683" s="130" t="s">
        <v>163</v>
      </c>
      <c r="L683" s="130">
        <v>2.0</v>
      </c>
      <c r="M683" s="132"/>
      <c r="N683" s="1">
        <v>2.0</v>
      </c>
      <c r="O683" s="1" t="s">
        <v>5713</v>
      </c>
    </row>
    <row r="684" ht="15.75" hidden="1" customHeight="1">
      <c r="A684" s="127">
        <v>45665.0</v>
      </c>
      <c r="B684" s="125" t="s">
        <v>5707</v>
      </c>
      <c r="C684" s="125" t="s">
        <v>5720</v>
      </c>
      <c r="D684" s="123" t="s">
        <v>4</v>
      </c>
      <c r="E684" s="123">
        <v>1270458.0</v>
      </c>
      <c r="F684" s="124">
        <v>0.0</v>
      </c>
      <c r="G684" s="124" t="s">
        <v>5712</v>
      </c>
      <c r="H684" s="124" t="s">
        <v>5705</v>
      </c>
      <c r="I684" s="124" t="s">
        <v>13</v>
      </c>
      <c r="J684" s="124" t="s">
        <v>5708</v>
      </c>
      <c r="K684" s="125" t="s">
        <v>163</v>
      </c>
      <c r="L684" s="124">
        <v>5.0</v>
      </c>
      <c r="M684" s="126"/>
      <c r="N684" s="1">
        <v>5.0</v>
      </c>
      <c r="O684" s="1" t="s">
        <v>5713</v>
      </c>
    </row>
    <row r="685" ht="15.75" hidden="1" customHeight="1">
      <c r="A685" s="129">
        <v>45665.0</v>
      </c>
      <c r="B685" s="130" t="s">
        <v>5707</v>
      </c>
      <c r="C685" s="130" t="s">
        <v>5720</v>
      </c>
      <c r="D685" s="117" t="s">
        <v>4</v>
      </c>
      <c r="E685" s="117">
        <v>1270458.0</v>
      </c>
      <c r="F685" s="62">
        <v>0.0</v>
      </c>
      <c r="G685" s="62" t="s">
        <v>5712</v>
      </c>
      <c r="H685" s="62" t="s">
        <v>5705</v>
      </c>
      <c r="I685" s="62" t="s">
        <v>13</v>
      </c>
      <c r="J685" s="118" t="s">
        <v>5708</v>
      </c>
      <c r="K685" s="130" t="s">
        <v>160</v>
      </c>
      <c r="L685" s="130">
        <v>0.0</v>
      </c>
      <c r="M685" s="132">
        <v>4.0</v>
      </c>
      <c r="N685" s="1">
        <v>0.0</v>
      </c>
      <c r="O685" s="1">
        <v>0.0</v>
      </c>
    </row>
    <row r="686" ht="15.75" hidden="1" customHeight="1">
      <c r="A686" s="127">
        <v>45665.0</v>
      </c>
      <c r="B686" s="125" t="s">
        <v>5707</v>
      </c>
      <c r="C686" s="125" t="s">
        <v>5720</v>
      </c>
      <c r="D686" s="123" t="s">
        <v>4</v>
      </c>
      <c r="E686" s="123">
        <v>1270458.0</v>
      </c>
      <c r="F686" s="124">
        <v>0.0</v>
      </c>
      <c r="G686" s="124" t="s">
        <v>5712</v>
      </c>
      <c r="H686" s="124" t="s">
        <v>5705</v>
      </c>
      <c r="I686" s="124" t="s">
        <v>13</v>
      </c>
      <c r="J686" s="124" t="s">
        <v>5708</v>
      </c>
      <c r="K686" s="125" t="s">
        <v>153</v>
      </c>
      <c r="L686" s="124">
        <v>0.08</v>
      </c>
      <c r="M686" s="126">
        <v>0.0</v>
      </c>
      <c r="N686" s="1"/>
      <c r="O686" s="1" t="s">
        <v>5713</v>
      </c>
    </row>
    <row r="687" ht="15.75" customHeight="1">
      <c r="A687" s="129">
        <v>45665.0</v>
      </c>
      <c r="B687" s="130" t="s">
        <v>5707</v>
      </c>
      <c r="C687" s="130" t="s">
        <v>5720</v>
      </c>
      <c r="D687" s="117" t="s">
        <v>4</v>
      </c>
      <c r="E687" s="117">
        <v>1270458.0</v>
      </c>
      <c r="F687" s="62">
        <v>0.0</v>
      </c>
      <c r="G687" s="62" t="s">
        <v>5712</v>
      </c>
      <c r="H687" s="62" t="s">
        <v>5705</v>
      </c>
      <c r="I687" s="62" t="s">
        <v>13</v>
      </c>
      <c r="J687" s="118" t="s">
        <v>5708</v>
      </c>
      <c r="K687" s="130" t="s">
        <v>139</v>
      </c>
      <c r="L687" s="62">
        <v>1.0</v>
      </c>
      <c r="M687" s="132">
        <v>0.0</v>
      </c>
      <c r="N687" s="1"/>
      <c r="O687" s="1" t="s">
        <v>5713</v>
      </c>
    </row>
    <row r="688" ht="15.75" hidden="1" customHeight="1">
      <c r="A688" s="127">
        <v>45665.0</v>
      </c>
      <c r="B688" s="125" t="s">
        <v>5707</v>
      </c>
      <c r="C688" s="125" t="s">
        <v>5720</v>
      </c>
      <c r="D688" s="123" t="s">
        <v>4</v>
      </c>
      <c r="E688" s="123">
        <v>1270458.0</v>
      </c>
      <c r="F688" s="124">
        <v>0.0</v>
      </c>
      <c r="G688" s="124" t="s">
        <v>5712</v>
      </c>
      <c r="H688" s="124" t="s">
        <v>5705</v>
      </c>
      <c r="I688" s="124" t="s">
        <v>13</v>
      </c>
      <c r="J688" s="124" t="s">
        <v>5708</v>
      </c>
      <c r="K688" s="125" t="s">
        <v>153</v>
      </c>
      <c r="L688" s="125">
        <v>0.07</v>
      </c>
      <c r="M688" s="126">
        <v>0.0</v>
      </c>
      <c r="N688" s="1"/>
      <c r="O688" s="1" t="s">
        <v>5713</v>
      </c>
    </row>
    <row r="689" ht="15.75" hidden="1" customHeight="1">
      <c r="A689" s="129">
        <v>45665.0</v>
      </c>
      <c r="B689" s="130" t="s">
        <v>5707</v>
      </c>
      <c r="C689" s="130" t="s">
        <v>5719</v>
      </c>
      <c r="D689" s="117" t="s">
        <v>4</v>
      </c>
      <c r="E689" s="117">
        <v>1270458.0</v>
      </c>
      <c r="F689" s="62">
        <v>0.0</v>
      </c>
      <c r="G689" s="62" t="s">
        <v>5712</v>
      </c>
      <c r="H689" s="62" t="s">
        <v>5705</v>
      </c>
      <c r="I689" s="62" t="s">
        <v>13</v>
      </c>
      <c r="J689" s="118" t="s">
        <v>5708</v>
      </c>
      <c r="K689" s="130" t="s">
        <v>163</v>
      </c>
      <c r="L689" s="130">
        <v>3.0</v>
      </c>
      <c r="M689" s="132"/>
      <c r="N689" s="1">
        <v>3.0</v>
      </c>
      <c r="O689" s="1" t="s">
        <v>5713</v>
      </c>
    </row>
    <row r="690" ht="15.75" hidden="1" customHeight="1">
      <c r="A690" s="127">
        <v>45665.0</v>
      </c>
      <c r="B690" s="125" t="s">
        <v>5707</v>
      </c>
      <c r="C690" s="125" t="s">
        <v>5719</v>
      </c>
      <c r="D690" s="123" t="s">
        <v>4</v>
      </c>
      <c r="E690" s="123">
        <v>1270458.0</v>
      </c>
      <c r="F690" s="124">
        <v>0.0</v>
      </c>
      <c r="G690" s="124" t="s">
        <v>5712</v>
      </c>
      <c r="H690" s="124" t="s">
        <v>5705</v>
      </c>
      <c r="I690" s="124" t="s">
        <v>13</v>
      </c>
      <c r="J690" s="124" t="s">
        <v>5708</v>
      </c>
      <c r="K690" s="125" t="s">
        <v>163</v>
      </c>
      <c r="L690" s="125">
        <v>6.0</v>
      </c>
      <c r="M690" s="126"/>
      <c r="N690" s="1">
        <v>6.0</v>
      </c>
      <c r="O690" s="1" t="s">
        <v>5713</v>
      </c>
    </row>
    <row r="691" ht="15.75" hidden="1" customHeight="1">
      <c r="A691" s="129">
        <v>45665.0</v>
      </c>
      <c r="B691" s="130" t="s">
        <v>5707</v>
      </c>
      <c r="C691" s="130" t="s">
        <v>5721</v>
      </c>
      <c r="D691" s="117" t="s">
        <v>4</v>
      </c>
      <c r="E691" s="117">
        <v>1270458.0</v>
      </c>
      <c r="F691" s="62">
        <v>0.0</v>
      </c>
      <c r="G691" s="62" t="s">
        <v>5712</v>
      </c>
      <c r="H691" s="62" t="s">
        <v>5705</v>
      </c>
      <c r="I691" s="62" t="s">
        <v>13</v>
      </c>
      <c r="J691" s="118" t="s">
        <v>5708</v>
      </c>
      <c r="K691" s="130" t="s">
        <v>153</v>
      </c>
      <c r="L691" s="62">
        <v>0.38</v>
      </c>
      <c r="M691" s="132">
        <v>0.0</v>
      </c>
      <c r="N691" s="1"/>
      <c r="O691" s="1" t="s">
        <v>5713</v>
      </c>
    </row>
    <row r="692" ht="15.75" hidden="1" customHeight="1">
      <c r="A692" s="127">
        <v>45665.0</v>
      </c>
      <c r="B692" s="125" t="s">
        <v>5707</v>
      </c>
      <c r="C692" s="125" t="s">
        <v>5721</v>
      </c>
      <c r="D692" s="123" t="s">
        <v>4</v>
      </c>
      <c r="E692" s="123">
        <v>1270458.0</v>
      </c>
      <c r="F692" s="124">
        <v>0.0</v>
      </c>
      <c r="G692" s="124" t="s">
        <v>5712</v>
      </c>
      <c r="H692" s="124" t="s">
        <v>5705</v>
      </c>
      <c r="I692" s="124" t="s">
        <v>13</v>
      </c>
      <c r="J692" s="124" t="s">
        <v>5708</v>
      </c>
      <c r="K692" s="125" t="s">
        <v>163</v>
      </c>
      <c r="L692" s="124">
        <v>3.0</v>
      </c>
      <c r="M692" s="126"/>
      <c r="N692" s="1">
        <v>3.0</v>
      </c>
      <c r="O692" s="1" t="s">
        <v>5713</v>
      </c>
    </row>
    <row r="693" ht="15.75" hidden="1" customHeight="1">
      <c r="A693" s="129">
        <v>45665.0</v>
      </c>
      <c r="B693" s="130" t="s">
        <v>5707</v>
      </c>
      <c r="C693" s="130" t="s">
        <v>5721</v>
      </c>
      <c r="D693" s="117" t="s">
        <v>4</v>
      </c>
      <c r="E693" s="117">
        <v>1270458.0</v>
      </c>
      <c r="F693" s="62">
        <v>0.0</v>
      </c>
      <c r="G693" s="62" t="s">
        <v>5712</v>
      </c>
      <c r="H693" s="62" t="s">
        <v>5705</v>
      </c>
      <c r="I693" s="62" t="s">
        <v>13</v>
      </c>
      <c r="J693" s="118" t="s">
        <v>5708</v>
      </c>
      <c r="K693" s="130" t="s">
        <v>153</v>
      </c>
      <c r="L693" s="130">
        <v>390.27</v>
      </c>
      <c r="M693" s="132">
        <v>83.0</v>
      </c>
      <c r="N693" s="1">
        <v>4.702048193</v>
      </c>
      <c r="O693" s="1">
        <v>4.702048193</v>
      </c>
    </row>
    <row r="694" ht="15.75" hidden="1" customHeight="1">
      <c r="A694" s="127">
        <v>45665.0</v>
      </c>
      <c r="B694" s="125" t="s">
        <v>5707</v>
      </c>
      <c r="C694" s="125" t="s">
        <v>5722</v>
      </c>
      <c r="D694" s="123" t="s">
        <v>4</v>
      </c>
      <c r="E694" s="123">
        <v>1270458.0</v>
      </c>
      <c r="F694" s="124">
        <v>0.0</v>
      </c>
      <c r="G694" s="124" t="s">
        <v>5712</v>
      </c>
      <c r="H694" s="124" t="s">
        <v>5705</v>
      </c>
      <c r="I694" s="124" t="s">
        <v>13</v>
      </c>
      <c r="J694" s="124" t="s">
        <v>5708</v>
      </c>
      <c r="K694" s="125" t="s">
        <v>154</v>
      </c>
      <c r="L694" s="125">
        <v>2700.0</v>
      </c>
      <c r="M694" s="126">
        <v>47.0</v>
      </c>
      <c r="N694" s="1">
        <v>57.44680851</v>
      </c>
      <c r="O694" s="1">
        <v>57.44680851</v>
      </c>
    </row>
    <row r="695" ht="15.75" hidden="1" customHeight="1">
      <c r="A695" s="129">
        <v>45665.0</v>
      </c>
      <c r="B695" s="130" t="s">
        <v>5707</v>
      </c>
      <c r="C695" s="130" t="s">
        <v>5722</v>
      </c>
      <c r="D695" s="117" t="s">
        <v>4</v>
      </c>
      <c r="E695" s="117">
        <v>1270458.0</v>
      </c>
      <c r="F695" s="62">
        <v>0.0</v>
      </c>
      <c r="G695" s="62" t="s">
        <v>5712</v>
      </c>
      <c r="H695" s="62" t="s">
        <v>5705</v>
      </c>
      <c r="I695" s="62" t="s">
        <v>13</v>
      </c>
      <c r="J695" s="118" t="s">
        <v>5708</v>
      </c>
      <c r="K695" s="130" t="s">
        <v>163</v>
      </c>
      <c r="L695" s="130">
        <v>43.0</v>
      </c>
      <c r="M695" s="132"/>
      <c r="N695" s="1">
        <v>43.0</v>
      </c>
      <c r="O695" s="1" t="s">
        <v>5713</v>
      </c>
    </row>
    <row r="696" ht="15.75" customHeight="1">
      <c r="A696" s="127">
        <v>45665.0</v>
      </c>
      <c r="B696" s="125" t="s">
        <v>5707</v>
      </c>
      <c r="C696" s="125" t="s">
        <v>5722</v>
      </c>
      <c r="D696" s="123" t="s">
        <v>4</v>
      </c>
      <c r="E696" s="123">
        <v>1270458.0</v>
      </c>
      <c r="F696" s="124">
        <v>0.0</v>
      </c>
      <c r="G696" s="124" t="s">
        <v>5712</v>
      </c>
      <c r="H696" s="124" t="s">
        <v>5705</v>
      </c>
      <c r="I696" s="124" t="s">
        <v>13</v>
      </c>
      <c r="J696" s="124" t="s">
        <v>5708</v>
      </c>
      <c r="K696" s="125" t="s">
        <v>139</v>
      </c>
      <c r="L696" s="125">
        <v>26.0</v>
      </c>
      <c r="M696" s="126">
        <v>3.022333333</v>
      </c>
      <c r="N696" s="1">
        <v>8.602624903</v>
      </c>
      <c r="O696" s="1">
        <v>8.602624903</v>
      </c>
    </row>
    <row r="697" ht="15.75" hidden="1" customHeight="1">
      <c r="A697" s="129">
        <v>45665.0</v>
      </c>
      <c r="B697" s="130" t="s">
        <v>5707</v>
      </c>
      <c r="C697" s="130" t="s">
        <v>5722</v>
      </c>
      <c r="D697" s="117" t="s">
        <v>4</v>
      </c>
      <c r="E697" s="117">
        <v>1270458.0</v>
      </c>
      <c r="F697" s="62">
        <v>0.0</v>
      </c>
      <c r="G697" s="62" t="s">
        <v>5712</v>
      </c>
      <c r="H697" s="62" t="s">
        <v>5705</v>
      </c>
      <c r="I697" s="118" t="s">
        <v>5708</v>
      </c>
      <c r="J697" s="118" t="s">
        <v>5708</v>
      </c>
      <c r="K697" s="130" t="s">
        <v>7</v>
      </c>
      <c r="L697" s="130">
        <v>100.0</v>
      </c>
      <c r="M697" s="132">
        <v>3.0</v>
      </c>
      <c r="N697" s="1">
        <v>33.33333333</v>
      </c>
      <c r="O697" s="1">
        <v>33.33333333</v>
      </c>
    </row>
    <row r="698" ht="15.75" hidden="1" customHeight="1">
      <c r="A698" s="127">
        <v>45665.0</v>
      </c>
      <c r="B698" s="125" t="s">
        <v>5707</v>
      </c>
      <c r="C698" s="125" t="s">
        <v>5722</v>
      </c>
      <c r="D698" s="123" t="s">
        <v>4</v>
      </c>
      <c r="E698" s="123">
        <v>1270458.0</v>
      </c>
      <c r="F698" s="124">
        <v>0.0</v>
      </c>
      <c r="G698" s="124" t="s">
        <v>5712</v>
      </c>
      <c r="H698" s="124" t="s">
        <v>5705</v>
      </c>
      <c r="I698" s="124" t="s">
        <v>13</v>
      </c>
      <c r="J698" s="124" t="s">
        <v>5708</v>
      </c>
      <c r="K698" s="125" t="s">
        <v>147</v>
      </c>
      <c r="L698" s="125">
        <v>0.0</v>
      </c>
      <c r="M698" s="126">
        <v>2.0</v>
      </c>
      <c r="N698" s="1">
        <v>0.0</v>
      </c>
      <c r="O698" s="1">
        <v>0.0</v>
      </c>
    </row>
    <row r="699" ht="15.75" hidden="1" customHeight="1">
      <c r="A699" s="129">
        <v>45665.0</v>
      </c>
      <c r="B699" s="130" t="s">
        <v>5707</v>
      </c>
      <c r="C699" s="130" t="s">
        <v>5722</v>
      </c>
      <c r="D699" s="117" t="s">
        <v>4</v>
      </c>
      <c r="E699" s="117">
        <v>1270458.0</v>
      </c>
      <c r="F699" s="62">
        <v>0.0</v>
      </c>
      <c r="G699" s="62" t="s">
        <v>5712</v>
      </c>
      <c r="H699" s="62" t="s">
        <v>5705</v>
      </c>
      <c r="I699" s="62" t="s">
        <v>13</v>
      </c>
      <c r="J699" s="118" t="s">
        <v>5708</v>
      </c>
      <c r="K699" s="130" t="s">
        <v>160</v>
      </c>
      <c r="L699" s="130">
        <v>0.0</v>
      </c>
      <c r="M699" s="133">
        <v>1.0</v>
      </c>
      <c r="N699" s="1">
        <v>0.0</v>
      </c>
      <c r="O699" s="1">
        <v>0.0</v>
      </c>
    </row>
    <row r="700" ht="15.75" hidden="1" customHeight="1">
      <c r="A700" s="127">
        <v>45665.0</v>
      </c>
      <c r="B700" s="125" t="s">
        <v>5707</v>
      </c>
      <c r="C700" s="125" t="s">
        <v>5720</v>
      </c>
      <c r="D700" s="123" t="s">
        <v>4</v>
      </c>
      <c r="E700" s="123">
        <v>1270458.0</v>
      </c>
      <c r="F700" s="124">
        <v>0.0</v>
      </c>
      <c r="G700" s="124" t="s">
        <v>5712</v>
      </c>
      <c r="H700" s="124" t="s">
        <v>5705</v>
      </c>
      <c r="I700" s="124" t="s">
        <v>13</v>
      </c>
      <c r="J700" s="124" t="s">
        <v>5708</v>
      </c>
      <c r="K700" s="125" t="s">
        <v>156</v>
      </c>
      <c r="L700" s="125">
        <v>0.0</v>
      </c>
      <c r="M700" s="126">
        <v>1.0</v>
      </c>
      <c r="N700" s="1">
        <v>0.0</v>
      </c>
      <c r="O700" s="1">
        <v>0.0</v>
      </c>
    </row>
    <row r="701" ht="15.75" hidden="1" customHeight="1">
      <c r="A701" s="129">
        <v>45665.0</v>
      </c>
      <c r="B701" s="130" t="s">
        <v>5707</v>
      </c>
      <c r="C701" s="130" t="s">
        <v>5720</v>
      </c>
      <c r="D701" s="117" t="s">
        <v>4</v>
      </c>
      <c r="E701" s="117">
        <v>1270458.0</v>
      </c>
      <c r="F701" s="62">
        <v>0.0</v>
      </c>
      <c r="G701" s="62" t="s">
        <v>5712</v>
      </c>
      <c r="H701" s="62" t="s">
        <v>5705</v>
      </c>
      <c r="I701" s="62" t="s">
        <v>13</v>
      </c>
      <c r="J701" s="118" t="s">
        <v>5708</v>
      </c>
      <c r="K701" s="130" t="s">
        <v>154</v>
      </c>
      <c r="L701" s="62">
        <v>15700.0</v>
      </c>
      <c r="M701" s="132">
        <v>281.0</v>
      </c>
      <c r="N701" s="1">
        <v>55.87188612</v>
      </c>
      <c r="O701" s="1">
        <v>55.87188612</v>
      </c>
    </row>
    <row r="702" ht="15.75" hidden="1" customHeight="1">
      <c r="A702" s="127">
        <v>45665.0</v>
      </c>
      <c r="B702" s="125" t="s">
        <v>5707</v>
      </c>
      <c r="C702" s="125" t="s">
        <v>5720</v>
      </c>
      <c r="D702" s="123" t="s">
        <v>4</v>
      </c>
      <c r="E702" s="123">
        <v>1270458.0</v>
      </c>
      <c r="F702" s="124">
        <v>0.0</v>
      </c>
      <c r="G702" s="124" t="s">
        <v>5712</v>
      </c>
      <c r="H702" s="124" t="s">
        <v>5705</v>
      </c>
      <c r="I702" s="123" t="s">
        <v>13</v>
      </c>
      <c r="J702" s="124" t="s">
        <v>5708</v>
      </c>
      <c r="K702" s="125" t="s">
        <v>147</v>
      </c>
      <c r="L702" s="125">
        <v>0.0</v>
      </c>
      <c r="M702" s="126">
        <v>1.0</v>
      </c>
      <c r="N702" s="1">
        <v>0.0</v>
      </c>
      <c r="O702" s="1">
        <v>0.0</v>
      </c>
    </row>
    <row r="703" ht="15.75" hidden="1" customHeight="1">
      <c r="A703" s="129">
        <v>45665.0</v>
      </c>
      <c r="B703" s="130" t="s">
        <v>5707</v>
      </c>
      <c r="C703" s="130" t="s">
        <v>5720</v>
      </c>
      <c r="D703" s="117" t="s">
        <v>4</v>
      </c>
      <c r="E703" s="117">
        <v>1270458.0</v>
      </c>
      <c r="F703" s="62">
        <v>0.0</v>
      </c>
      <c r="G703" s="62" t="s">
        <v>5712</v>
      </c>
      <c r="H703" s="62" t="s">
        <v>5705</v>
      </c>
      <c r="I703" s="62" t="s">
        <v>13</v>
      </c>
      <c r="J703" s="118" t="s">
        <v>5708</v>
      </c>
      <c r="K703" s="130" t="s">
        <v>156</v>
      </c>
      <c r="L703" s="62">
        <v>100.0</v>
      </c>
      <c r="M703" s="132">
        <v>1.0</v>
      </c>
      <c r="N703" s="1">
        <v>100.0</v>
      </c>
      <c r="O703" s="1">
        <v>100.0</v>
      </c>
    </row>
    <row r="704" ht="15.75" hidden="1" customHeight="1">
      <c r="A704" s="127">
        <v>45665.0</v>
      </c>
      <c r="B704" s="125" t="s">
        <v>5707</v>
      </c>
      <c r="C704" s="125" t="s">
        <v>5720</v>
      </c>
      <c r="D704" s="123" t="s">
        <v>4</v>
      </c>
      <c r="E704" s="123">
        <v>1270458.0</v>
      </c>
      <c r="F704" s="124">
        <v>0.0</v>
      </c>
      <c r="G704" s="124" t="s">
        <v>5712</v>
      </c>
      <c r="H704" s="124" t="s">
        <v>5705</v>
      </c>
      <c r="I704" s="124" t="s">
        <v>13</v>
      </c>
      <c r="J704" s="124" t="s">
        <v>5708</v>
      </c>
      <c r="K704" s="125" t="s">
        <v>163</v>
      </c>
      <c r="L704" s="124">
        <v>10.0</v>
      </c>
      <c r="M704" s="126"/>
      <c r="N704" s="1">
        <v>10.0</v>
      </c>
      <c r="O704" s="1" t="s">
        <v>5713</v>
      </c>
    </row>
    <row r="705" ht="15.75" hidden="1" customHeight="1">
      <c r="A705" s="129">
        <v>45665.0</v>
      </c>
      <c r="B705" s="130" t="s">
        <v>5707</v>
      </c>
      <c r="C705" s="130" t="s">
        <v>5720</v>
      </c>
      <c r="D705" s="117" t="s">
        <v>4</v>
      </c>
      <c r="E705" s="117">
        <v>1270458.0</v>
      </c>
      <c r="F705" s="62">
        <v>0.0</v>
      </c>
      <c r="G705" s="62" t="s">
        <v>5712</v>
      </c>
      <c r="H705" s="62" t="s">
        <v>5705</v>
      </c>
      <c r="I705" s="62" t="s">
        <v>13</v>
      </c>
      <c r="J705" s="118" t="s">
        <v>5708</v>
      </c>
      <c r="K705" s="130" t="s">
        <v>147</v>
      </c>
      <c r="L705" s="62">
        <v>0.0</v>
      </c>
      <c r="M705" s="132">
        <v>2.0</v>
      </c>
      <c r="N705" s="1">
        <v>0.0</v>
      </c>
      <c r="O705" s="1">
        <v>0.0</v>
      </c>
    </row>
    <row r="706" ht="15.75" hidden="1" customHeight="1">
      <c r="A706" s="127">
        <v>45665.0</v>
      </c>
      <c r="B706" s="125" t="s">
        <v>5707</v>
      </c>
      <c r="C706" s="125" t="s">
        <v>5720</v>
      </c>
      <c r="D706" s="123" t="s">
        <v>4</v>
      </c>
      <c r="E706" s="123">
        <v>1270458.0</v>
      </c>
      <c r="F706" s="124">
        <v>0.0</v>
      </c>
      <c r="G706" s="124" t="s">
        <v>5712</v>
      </c>
      <c r="H706" s="124" t="s">
        <v>5705</v>
      </c>
      <c r="I706" s="124" t="s">
        <v>13</v>
      </c>
      <c r="J706" s="124" t="s">
        <v>5708</v>
      </c>
      <c r="K706" s="125" t="s">
        <v>160</v>
      </c>
      <c r="L706" s="125">
        <v>0.0</v>
      </c>
      <c r="M706" s="126">
        <v>5.0</v>
      </c>
      <c r="N706" s="1">
        <v>0.0</v>
      </c>
      <c r="O706" s="1">
        <v>0.0</v>
      </c>
    </row>
    <row r="707" ht="15.75" hidden="1" customHeight="1">
      <c r="A707" s="129">
        <v>45665.0</v>
      </c>
      <c r="B707" s="130" t="s">
        <v>5707</v>
      </c>
      <c r="C707" s="130" t="s">
        <v>5720</v>
      </c>
      <c r="D707" s="117" t="s">
        <v>4</v>
      </c>
      <c r="E707" s="117">
        <v>1270458.0</v>
      </c>
      <c r="F707" s="62">
        <v>0.0</v>
      </c>
      <c r="G707" s="62" t="s">
        <v>5712</v>
      </c>
      <c r="H707" s="62" t="s">
        <v>5705</v>
      </c>
      <c r="I707" s="62" t="s">
        <v>13</v>
      </c>
      <c r="J707" s="118" t="s">
        <v>5708</v>
      </c>
      <c r="K707" s="130" t="s">
        <v>153</v>
      </c>
      <c r="L707" s="130">
        <v>1.25</v>
      </c>
      <c r="M707" s="132">
        <v>1.0</v>
      </c>
      <c r="N707" s="1">
        <v>1.25</v>
      </c>
      <c r="O707" s="1">
        <v>1.25</v>
      </c>
    </row>
    <row r="708" ht="15.75" hidden="1" customHeight="1">
      <c r="A708" s="127">
        <v>45665.0</v>
      </c>
      <c r="B708" s="125" t="s">
        <v>5707</v>
      </c>
      <c r="C708" s="125" t="s">
        <v>5720</v>
      </c>
      <c r="D708" s="123" t="s">
        <v>4</v>
      </c>
      <c r="E708" s="123">
        <v>1270458.0</v>
      </c>
      <c r="F708" s="124">
        <v>0.0</v>
      </c>
      <c r="G708" s="124" t="s">
        <v>5712</v>
      </c>
      <c r="H708" s="124" t="s">
        <v>5705</v>
      </c>
      <c r="I708" s="124" t="s">
        <v>13</v>
      </c>
      <c r="J708" s="124" t="s">
        <v>5708</v>
      </c>
      <c r="K708" s="125" t="s">
        <v>154</v>
      </c>
      <c r="L708" s="124">
        <v>0.0</v>
      </c>
      <c r="M708" s="126">
        <v>1.0</v>
      </c>
      <c r="N708" s="1">
        <v>0.0</v>
      </c>
      <c r="O708" s="1">
        <v>0.0</v>
      </c>
    </row>
    <row r="709" ht="15.75" hidden="1" customHeight="1">
      <c r="A709" s="129">
        <v>45665.0</v>
      </c>
      <c r="B709" s="130" t="s">
        <v>5707</v>
      </c>
      <c r="C709" s="130" t="s">
        <v>5720</v>
      </c>
      <c r="D709" s="117" t="s">
        <v>4</v>
      </c>
      <c r="E709" s="117">
        <v>1270458.0</v>
      </c>
      <c r="F709" s="62">
        <v>0.0</v>
      </c>
      <c r="G709" s="62" t="s">
        <v>5712</v>
      </c>
      <c r="H709" s="62" t="s">
        <v>5705</v>
      </c>
      <c r="I709" s="62" t="s">
        <v>13</v>
      </c>
      <c r="J709" s="118" t="s">
        <v>5708</v>
      </c>
      <c r="K709" s="130" t="s">
        <v>147</v>
      </c>
      <c r="L709" s="62">
        <v>0.0</v>
      </c>
      <c r="M709" s="132">
        <v>1.0</v>
      </c>
      <c r="N709" s="1">
        <v>0.0</v>
      </c>
      <c r="O709" s="1">
        <v>0.0</v>
      </c>
    </row>
    <row r="710" ht="15.75" hidden="1" customHeight="1">
      <c r="A710" s="127">
        <v>45665.0</v>
      </c>
      <c r="B710" s="125" t="s">
        <v>5707</v>
      </c>
      <c r="C710" s="125" t="s">
        <v>5721</v>
      </c>
      <c r="D710" s="123" t="s">
        <v>4</v>
      </c>
      <c r="E710" s="123">
        <v>1270458.0</v>
      </c>
      <c r="F710" s="124">
        <v>0.0</v>
      </c>
      <c r="G710" s="124" t="s">
        <v>5712</v>
      </c>
      <c r="H710" s="124" t="s">
        <v>5705</v>
      </c>
      <c r="I710" s="124" t="s">
        <v>13</v>
      </c>
      <c r="J710" s="124" t="s">
        <v>5708</v>
      </c>
      <c r="K710" s="125" t="s">
        <v>154</v>
      </c>
      <c r="L710" s="124">
        <v>8900.0</v>
      </c>
      <c r="M710" s="126">
        <v>152.0</v>
      </c>
      <c r="N710" s="1">
        <v>58.55263158</v>
      </c>
      <c r="O710" s="1">
        <v>58.55263158</v>
      </c>
    </row>
    <row r="711" ht="15.75" customHeight="1">
      <c r="A711" s="129">
        <v>45665.0</v>
      </c>
      <c r="B711" s="130" t="s">
        <v>5707</v>
      </c>
      <c r="C711" s="130" t="s">
        <v>5721</v>
      </c>
      <c r="D711" s="117" t="s">
        <v>4</v>
      </c>
      <c r="E711" s="117">
        <v>1270458.0</v>
      </c>
      <c r="F711" s="62">
        <v>0.0</v>
      </c>
      <c r="G711" s="62" t="s">
        <v>5712</v>
      </c>
      <c r="H711" s="62" t="s">
        <v>5705</v>
      </c>
      <c r="I711" s="62" t="s">
        <v>13</v>
      </c>
      <c r="J711" s="118" t="s">
        <v>5708</v>
      </c>
      <c r="K711" s="130" t="s">
        <v>139</v>
      </c>
      <c r="L711" s="130">
        <v>83.0</v>
      </c>
      <c r="M711" s="132">
        <v>6.5045</v>
      </c>
      <c r="N711" s="1">
        <v>12.76039665</v>
      </c>
      <c r="O711" s="1">
        <v>12.76039665</v>
      </c>
    </row>
    <row r="712" ht="15.75" hidden="1" customHeight="1">
      <c r="A712" s="127">
        <v>45665.0</v>
      </c>
      <c r="B712" s="125" t="s">
        <v>5707</v>
      </c>
      <c r="C712" s="125" t="s">
        <v>5721</v>
      </c>
      <c r="D712" s="123" t="s">
        <v>4</v>
      </c>
      <c r="E712" s="123">
        <v>1270458.0</v>
      </c>
      <c r="F712" s="124">
        <v>0.0</v>
      </c>
      <c r="G712" s="124" t="s">
        <v>5712</v>
      </c>
      <c r="H712" s="124" t="s">
        <v>5705</v>
      </c>
      <c r="I712" s="124" t="s">
        <v>13</v>
      </c>
      <c r="J712" s="124" t="s">
        <v>5708</v>
      </c>
      <c r="K712" s="125" t="s">
        <v>163</v>
      </c>
      <c r="L712" s="125">
        <v>5.0</v>
      </c>
      <c r="M712" s="126"/>
      <c r="N712" s="1">
        <v>5.0</v>
      </c>
      <c r="O712" s="1" t="s">
        <v>5713</v>
      </c>
    </row>
    <row r="713" ht="15.75" hidden="1" customHeight="1">
      <c r="A713" s="129">
        <v>45665.0</v>
      </c>
      <c r="B713" s="130" t="s">
        <v>5707</v>
      </c>
      <c r="C713" s="130" t="s">
        <v>5721</v>
      </c>
      <c r="D713" s="117" t="s">
        <v>4</v>
      </c>
      <c r="E713" s="117">
        <v>1270458.0</v>
      </c>
      <c r="F713" s="62">
        <v>0.0</v>
      </c>
      <c r="G713" s="62" t="s">
        <v>5712</v>
      </c>
      <c r="H713" s="62" t="s">
        <v>5705</v>
      </c>
      <c r="I713" s="62" t="s">
        <v>13</v>
      </c>
      <c r="J713" s="118" t="s">
        <v>5708</v>
      </c>
      <c r="K713" s="130" t="s">
        <v>147</v>
      </c>
      <c r="L713" s="130">
        <v>0.0</v>
      </c>
      <c r="M713" s="132">
        <v>1.0</v>
      </c>
      <c r="N713" s="1">
        <v>0.0</v>
      </c>
      <c r="O713" s="1">
        <v>0.0</v>
      </c>
    </row>
    <row r="714" ht="15.75" hidden="1" customHeight="1">
      <c r="A714" s="127">
        <v>45665.0</v>
      </c>
      <c r="B714" s="125" t="s">
        <v>5707</v>
      </c>
      <c r="C714" s="125" t="s">
        <v>5721</v>
      </c>
      <c r="D714" s="123" t="s">
        <v>4</v>
      </c>
      <c r="E714" s="123">
        <v>1270458.0</v>
      </c>
      <c r="F714" s="124">
        <v>0.0</v>
      </c>
      <c r="G714" s="124" t="s">
        <v>5712</v>
      </c>
      <c r="H714" s="124" t="s">
        <v>5705</v>
      </c>
      <c r="I714" s="124" t="s">
        <v>13</v>
      </c>
      <c r="J714" s="124" t="s">
        <v>5708</v>
      </c>
      <c r="K714" s="125" t="s">
        <v>147</v>
      </c>
      <c r="L714" s="125">
        <v>0.0</v>
      </c>
      <c r="M714" s="126">
        <v>2.0</v>
      </c>
      <c r="N714" s="1">
        <v>0.0</v>
      </c>
      <c r="O714" s="1">
        <v>0.0</v>
      </c>
    </row>
    <row r="715" ht="15.75" hidden="1" customHeight="1">
      <c r="A715" s="129">
        <v>45665.0</v>
      </c>
      <c r="B715" s="130" t="s">
        <v>5707</v>
      </c>
      <c r="C715" s="130" t="s">
        <v>5721</v>
      </c>
      <c r="D715" s="117" t="s">
        <v>4</v>
      </c>
      <c r="E715" s="117">
        <v>1270458.0</v>
      </c>
      <c r="F715" s="62">
        <v>0.0</v>
      </c>
      <c r="G715" s="62" t="s">
        <v>5712</v>
      </c>
      <c r="H715" s="62" t="s">
        <v>5705</v>
      </c>
      <c r="I715" s="62" t="s">
        <v>13</v>
      </c>
      <c r="J715" s="118" t="s">
        <v>5708</v>
      </c>
      <c r="K715" s="130" t="s">
        <v>163</v>
      </c>
      <c r="L715" s="130">
        <v>2.0</v>
      </c>
      <c r="M715" s="132"/>
      <c r="N715" s="1">
        <v>2.0</v>
      </c>
      <c r="O715" s="1" t="s">
        <v>5713</v>
      </c>
    </row>
    <row r="716" ht="15.75" hidden="1" customHeight="1">
      <c r="A716" s="127">
        <v>45665.0</v>
      </c>
      <c r="B716" s="125" t="s">
        <v>5707</v>
      </c>
      <c r="C716" s="125" t="s">
        <v>5721</v>
      </c>
      <c r="D716" s="123" t="s">
        <v>4</v>
      </c>
      <c r="E716" s="123">
        <v>1270458.0</v>
      </c>
      <c r="F716" s="124">
        <v>0.0</v>
      </c>
      <c r="G716" s="124" t="s">
        <v>5712</v>
      </c>
      <c r="H716" s="124" t="s">
        <v>5705</v>
      </c>
      <c r="I716" s="124" t="s">
        <v>13</v>
      </c>
      <c r="J716" s="124" t="s">
        <v>5708</v>
      </c>
      <c r="K716" s="125" t="s">
        <v>147</v>
      </c>
      <c r="L716" s="125">
        <v>0.0</v>
      </c>
      <c r="M716" s="126">
        <v>3.0</v>
      </c>
      <c r="N716" s="1">
        <v>0.0</v>
      </c>
      <c r="O716" s="1">
        <v>0.0</v>
      </c>
    </row>
    <row r="717" ht="15.75" hidden="1" customHeight="1">
      <c r="A717" s="129">
        <v>45665.0</v>
      </c>
      <c r="B717" s="130" t="s">
        <v>5707</v>
      </c>
      <c r="C717" s="130" t="s">
        <v>5721</v>
      </c>
      <c r="D717" s="117" t="s">
        <v>4</v>
      </c>
      <c r="E717" s="117">
        <v>1270458.0</v>
      </c>
      <c r="F717" s="62">
        <v>0.0</v>
      </c>
      <c r="G717" s="62" t="s">
        <v>5712</v>
      </c>
      <c r="H717" s="62" t="s">
        <v>5705</v>
      </c>
      <c r="I717" s="62" t="s">
        <v>13</v>
      </c>
      <c r="J717" s="118" t="s">
        <v>5708</v>
      </c>
      <c r="K717" s="130" t="s">
        <v>160</v>
      </c>
      <c r="L717" s="130">
        <v>0.0</v>
      </c>
      <c r="M717" s="132">
        <v>3.0</v>
      </c>
      <c r="N717" s="1">
        <v>0.0</v>
      </c>
      <c r="O717" s="1">
        <v>0.0</v>
      </c>
    </row>
    <row r="718" ht="15.75" hidden="1" customHeight="1">
      <c r="A718" s="127">
        <v>45665.0</v>
      </c>
      <c r="B718" s="125" t="s">
        <v>5707</v>
      </c>
      <c r="C718" s="125" t="s">
        <v>5721</v>
      </c>
      <c r="D718" s="123" t="s">
        <v>4</v>
      </c>
      <c r="E718" s="123">
        <v>1270458.0</v>
      </c>
      <c r="F718" s="124">
        <v>0.0</v>
      </c>
      <c r="G718" s="124" t="s">
        <v>5712</v>
      </c>
      <c r="H718" s="124" t="s">
        <v>5705</v>
      </c>
      <c r="I718" s="124" t="s">
        <v>13</v>
      </c>
      <c r="J718" s="124" t="s">
        <v>5708</v>
      </c>
      <c r="K718" s="125" t="s">
        <v>147</v>
      </c>
      <c r="L718" s="125">
        <v>0.0</v>
      </c>
      <c r="M718" s="126">
        <v>127.0</v>
      </c>
      <c r="N718" s="1">
        <v>0.0</v>
      </c>
      <c r="O718" s="1">
        <v>0.0</v>
      </c>
    </row>
    <row r="719" ht="15.75" hidden="1" customHeight="1">
      <c r="A719" s="129">
        <v>45665.0</v>
      </c>
      <c r="B719" s="130" t="s">
        <v>5707</v>
      </c>
      <c r="C719" s="130" t="s">
        <v>5721</v>
      </c>
      <c r="D719" s="117" t="s">
        <v>4</v>
      </c>
      <c r="E719" s="117">
        <v>1270458.0</v>
      </c>
      <c r="F719" s="62">
        <v>0.0</v>
      </c>
      <c r="G719" s="62" t="s">
        <v>5712</v>
      </c>
      <c r="H719" s="62" t="s">
        <v>5705</v>
      </c>
      <c r="I719" s="62" t="s">
        <v>13</v>
      </c>
      <c r="J719" s="118" t="s">
        <v>5708</v>
      </c>
      <c r="K719" s="130" t="s">
        <v>155</v>
      </c>
      <c r="L719" s="130">
        <v>54.0</v>
      </c>
      <c r="M719" s="132">
        <v>13.0</v>
      </c>
      <c r="N719" s="1">
        <v>4.153846154</v>
      </c>
      <c r="O719" s="1">
        <v>4.153846154</v>
      </c>
    </row>
    <row r="720" ht="15.75" hidden="1" customHeight="1">
      <c r="A720" s="127">
        <v>45665.0</v>
      </c>
      <c r="B720" s="125" t="s">
        <v>5707</v>
      </c>
      <c r="C720" s="125" t="s">
        <v>5721</v>
      </c>
      <c r="D720" s="123" t="s">
        <v>4</v>
      </c>
      <c r="E720" s="123">
        <v>1270458.0</v>
      </c>
      <c r="F720" s="124">
        <v>0.0</v>
      </c>
      <c r="G720" s="124" t="s">
        <v>5712</v>
      </c>
      <c r="H720" s="124" t="s">
        <v>5705</v>
      </c>
      <c r="I720" s="124" t="s">
        <v>13</v>
      </c>
      <c r="J720" s="124" t="s">
        <v>5708</v>
      </c>
      <c r="K720" s="125" t="s">
        <v>156</v>
      </c>
      <c r="L720" s="125">
        <v>5000.0</v>
      </c>
      <c r="M720" s="126">
        <v>83.0</v>
      </c>
      <c r="N720" s="1">
        <v>60.24096386</v>
      </c>
      <c r="O720" s="1">
        <v>60.24096386</v>
      </c>
    </row>
    <row r="721" ht="15.75" hidden="1" customHeight="1">
      <c r="A721" s="129">
        <v>45665.0</v>
      </c>
      <c r="B721" s="130" t="s">
        <v>5707</v>
      </c>
      <c r="C721" s="130" t="s">
        <v>5721</v>
      </c>
      <c r="D721" s="117" t="s">
        <v>4</v>
      </c>
      <c r="E721" s="117">
        <v>1270458.0</v>
      </c>
      <c r="F721" s="62">
        <v>0.0</v>
      </c>
      <c r="G721" s="62" t="s">
        <v>5712</v>
      </c>
      <c r="H721" s="62" t="s">
        <v>5705</v>
      </c>
      <c r="I721" s="62" t="s">
        <v>13</v>
      </c>
      <c r="J721" s="118" t="s">
        <v>5708</v>
      </c>
      <c r="K721" s="130" t="s">
        <v>160</v>
      </c>
      <c r="L721" s="130">
        <v>0.0</v>
      </c>
      <c r="M721" s="132">
        <v>1.0</v>
      </c>
      <c r="N721" s="1">
        <v>0.0</v>
      </c>
      <c r="O721" s="1">
        <v>0.0</v>
      </c>
    </row>
    <row r="722" ht="15.75" hidden="1" customHeight="1">
      <c r="A722" s="127">
        <v>45665.0</v>
      </c>
      <c r="B722" s="125" t="s">
        <v>5707</v>
      </c>
      <c r="C722" s="125" t="s">
        <v>5721</v>
      </c>
      <c r="D722" s="123" t="s">
        <v>4</v>
      </c>
      <c r="E722" s="123">
        <v>1270458.0</v>
      </c>
      <c r="F722" s="124">
        <v>0.0</v>
      </c>
      <c r="G722" s="124" t="s">
        <v>5712</v>
      </c>
      <c r="H722" s="124" t="s">
        <v>5705</v>
      </c>
      <c r="I722" s="124" t="s">
        <v>13</v>
      </c>
      <c r="J722" s="124" t="s">
        <v>5708</v>
      </c>
      <c r="K722" s="125" t="s">
        <v>147</v>
      </c>
      <c r="L722" s="125">
        <v>0.0</v>
      </c>
      <c r="M722" s="126">
        <v>3.0</v>
      </c>
      <c r="N722" s="1">
        <v>0.0</v>
      </c>
      <c r="O722" s="1">
        <v>0.0</v>
      </c>
    </row>
    <row r="723" ht="15.75" hidden="1" customHeight="1">
      <c r="A723" s="129">
        <v>45665.0</v>
      </c>
      <c r="B723" s="130" t="s">
        <v>5707</v>
      </c>
      <c r="C723" s="130" t="s">
        <v>5721</v>
      </c>
      <c r="D723" s="117" t="s">
        <v>4</v>
      </c>
      <c r="E723" s="117">
        <v>1270458.0</v>
      </c>
      <c r="F723" s="62">
        <v>0.0</v>
      </c>
      <c r="G723" s="62" t="s">
        <v>5712</v>
      </c>
      <c r="H723" s="62" t="s">
        <v>5705</v>
      </c>
      <c r="I723" s="117" t="s">
        <v>13</v>
      </c>
      <c r="J723" s="118" t="s">
        <v>5708</v>
      </c>
      <c r="K723" s="130" t="s">
        <v>160</v>
      </c>
      <c r="L723" s="130">
        <v>0.0</v>
      </c>
      <c r="M723" s="132">
        <v>3.0</v>
      </c>
      <c r="N723" s="1">
        <v>0.0</v>
      </c>
      <c r="O723" s="1">
        <v>0.0</v>
      </c>
    </row>
    <row r="724" ht="15.75" hidden="1" customHeight="1">
      <c r="A724" s="127">
        <v>45665.0</v>
      </c>
      <c r="B724" s="125" t="s">
        <v>5707</v>
      </c>
      <c r="C724" s="125" t="s">
        <v>5721</v>
      </c>
      <c r="D724" s="123" t="s">
        <v>4</v>
      </c>
      <c r="E724" s="123">
        <v>1270458.0</v>
      </c>
      <c r="F724" s="124">
        <v>0.0</v>
      </c>
      <c r="G724" s="124" t="s">
        <v>5712</v>
      </c>
      <c r="H724" s="124" t="s">
        <v>5705</v>
      </c>
      <c r="I724" s="124" t="s">
        <v>13</v>
      </c>
      <c r="J724" s="124" t="s">
        <v>5708</v>
      </c>
      <c r="K724" s="125" t="s">
        <v>163</v>
      </c>
      <c r="L724" s="125">
        <v>3.0</v>
      </c>
      <c r="M724" s="126"/>
      <c r="N724" s="1">
        <v>3.0</v>
      </c>
      <c r="O724" s="1" t="s">
        <v>5713</v>
      </c>
    </row>
    <row r="725" ht="15.75" hidden="1" customHeight="1">
      <c r="A725" s="129">
        <v>45665.0</v>
      </c>
      <c r="B725" s="130" t="s">
        <v>5707</v>
      </c>
      <c r="C725" s="130" t="s">
        <v>5721</v>
      </c>
      <c r="D725" s="117" t="s">
        <v>4</v>
      </c>
      <c r="E725" s="117">
        <v>1270458.0</v>
      </c>
      <c r="F725" s="62">
        <v>0.0</v>
      </c>
      <c r="G725" s="62" t="s">
        <v>5712</v>
      </c>
      <c r="H725" s="62" t="s">
        <v>5705</v>
      </c>
      <c r="I725" s="62" t="s">
        <v>13</v>
      </c>
      <c r="J725" s="118" t="s">
        <v>5708</v>
      </c>
      <c r="K725" s="130" t="s">
        <v>147</v>
      </c>
      <c r="L725" s="130">
        <v>0.0</v>
      </c>
      <c r="M725" s="132">
        <v>1.0</v>
      </c>
      <c r="N725" s="1">
        <v>0.0</v>
      </c>
      <c r="O725" s="1">
        <v>0.0</v>
      </c>
    </row>
    <row r="726" ht="15.75" hidden="1" customHeight="1">
      <c r="A726" s="127">
        <v>45665.0</v>
      </c>
      <c r="B726" s="125" t="s">
        <v>5707</v>
      </c>
      <c r="C726" s="125" t="s">
        <v>5721</v>
      </c>
      <c r="D726" s="123" t="s">
        <v>4</v>
      </c>
      <c r="E726" s="123">
        <v>1270458.0</v>
      </c>
      <c r="F726" s="124">
        <v>0.0</v>
      </c>
      <c r="G726" s="124" t="s">
        <v>5712</v>
      </c>
      <c r="H726" s="124" t="s">
        <v>5705</v>
      </c>
      <c r="I726" s="124" t="s">
        <v>13</v>
      </c>
      <c r="J726" s="124" t="s">
        <v>5708</v>
      </c>
      <c r="K726" s="125" t="s">
        <v>163</v>
      </c>
      <c r="L726" s="125">
        <v>1.0</v>
      </c>
      <c r="M726" s="126"/>
      <c r="N726" s="1">
        <v>1.0</v>
      </c>
      <c r="O726" s="1" t="s">
        <v>5713</v>
      </c>
    </row>
    <row r="727" ht="15.75" hidden="1" customHeight="1">
      <c r="A727" s="129">
        <v>45665.0</v>
      </c>
      <c r="B727" s="130" t="s">
        <v>5707</v>
      </c>
      <c r="C727" s="130" t="s">
        <v>5722</v>
      </c>
      <c r="D727" s="117" t="s">
        <v>4</v>
      </c>
      <c r="E727" s="117">
        <v>1270458.0</v>
      </c>
      <c r="F727" s="62">
        <v>0.0</v>
      </c>
      <c r="G727" s="62" t="s">
        <v>5712</v>
      </c>
      <c r="H727" s="62" t="s">
        <v>5705</v>
      </c>
      <c r="I727" s="62" t="s">
        <v>13</v>
      </c>
      <c r="J727" s="118" t="s">
        <v>5708</v>
      </c>
      <c r="K727" s="130" t="s">
        <v>160</v>
      </c>
      <c r="L727" s="130">
        <v>0.0</v>
      </c>
      <c r="M727" s="132">
        <v>2.0</v>
      </c>
      <c r="N727" s="1">
        <v>0.0</v>
      </c>
      <c r="O727" s="1">
        <v>0.0</v>
      </c>
    </row>
    <row r="728" ht="15.75" hidden="1" customHeight="1">
      <c r="A728" s="127">
        <v>45665.0</v>
      </c>
      <c r="B728" s="125" t="s">
        <v>5707</v>
      </c>
      <c r="C728" s="125" t="s">
        <v>5722</v>
      </c>
      <c r="D728" s="123" t="s">
        <v>4</v>
      </c>
      <c r="E728" s="123">
        <v>1270458.0</v>
      </c>
      <c r="F728" s="124">
        <v>0.0</v>
      </c>
      <c r="G728" s="124" t="s">
        <v>5712</v>
      </c>
      <c r="H728" s="124" t="s">
        <v>5705</v>
      </c>
      <c r="I728" s="124" t="s">
        <v>13</v>
      </c>
      <c r="J728" s="124" t="s">
        <v>5708</v>
      </c>
      <c r="K728" s="125" t="s">
        <v>163</v>
      </c>
      <c r="L728" s="124">
        <v>2.0</v>
      </c>
      <c r="M728" s="126"/>
      <c r="N728" s="1">
        <v>2.0</v>
      </c>
      <c r="O728" s="1" t="s">
        <v>5713</v>
      </c>
    </row>
    <row r="729" ht="15.75" hidden="1" customHeight="1">
      <c r="A729" s="129">
        <v>45665.0</v>
      </c>
      <c r="B729" s="130" t="s">
        <v>5707</v>
      </c>
      <c r="C729" s="130" t="s">
        <v>5721</v>
      </c>
      <c r="D729" s="117" t="s">
        <v>4</v>
      </c>
      <c r="E729" s="117">
        <v>1270458.0</v>
      </c>
      <c r="F729" s="62">
        <v>0.0</v>
      </c>
      <c r="G729" s="62" t="s">
        <v>5712</v>
      </c>
      <c r="H729" s="62" t="s">
        <v>5705</v>
      </c>
      <c r="I729" s="62" t="s">
        <v>13</v>
      </c>
      <c r="J729" s="118" t="s">
        <v>5708</v>
      </c>
      <c r="K729" s="130" t="s">
        <v>147</v>
      </c>
      <c r="L729" s="62">
        <v>0.0</v>
      </c>
      <c r="M729" s="132">
        <v>2.0</v>
      </c>
      <c r="N729" s="1">
        <v>0.0</v>
      </c>
      <c r="O729" s="1">
        <v>0.0</v>
      </c>
    </row>
    <row r="730" ht="15.75" hidden="1" customHeight="1">
      <c r="A730" s="127">
        <v>45665.0</v>
      </c>
      <c r="B730" s="125" t="s">
        <v>5707</v>
      </c>
      <c r="C730" s="125" t="s">
        <v>5721</v>
      </c>
      <c r="D730" s="123" t="s">
        <v>4</v>
      </c>
      <c r="E730" s="123">
        <v>1270458.0</v>
      </c>
      <c r="F730" s="124">
        <v>0.0</v>
      </c>
      <c r="G730" s="124" t="s">
        <v>5712</v>
      </c>
      <c r="H730" s="124" t="s">
        <v>5705</v>
      </c>
      <c r="I730" s="124" t="s">
        <v>13</v>
      </c>
      <c r="J730" s="124" t="s">
        <v>5708</v>
      </c>
      <c r="K730" s="125" t="s">
        <v>163</v>
      </c>
      <c r="L730" s="124">
        <v>2.0</v>
      </c>
      <c r="M730" s="126"/>
      <c r="N730" s="1">
        <v>2.0</v>
      </c>
      <c r="O730" s="1" t="s">
        <v>5713</v>
      </c>
    </row>
    <row r="731" ht="15.75" hidden="1" customHeight="1">
      <c r="A731" s="129">
        <v>45665.0</v>
      </c>
      <c r="B731" s="130" t="s">
        <v>5707</v>
      </c>
      <c r="C731" s="130" t="s">
        <v>5721</v>
      </c>
      <c r="D731" s="117" t="s">
        <v>4</v>
      </c>
      <c r="E731" s="117">
        <v>1270458.0</v>
      </c>
      <c r="F731" s="62">
        <v>0.0</v>
      </c>
      <c r="G731" s="62" t="s">
        <v>5712</v>
      </c>
      <c r="H731" s="62" t="s">
        <v>5705</v>
      </c>
      <c r="I731" s="117" t="s">
        <v>13</v>
      </c>
      <c r="J731" s="118" t="s">
        <v>5708</v>
      </c>
      <c r="K731" s="130" t="s">
        <v>160</v>
      </c>
      <c r="L731" s="62">
        <v>0.0</v>
      </c>
      <c r="M731" s="132">
        <v>127.0</v>
      </c>
      <c r="N731" s="1">
        <v>0.0</v>
      </c>
      <c r="O731" s="1">
        <v>0.0</v>
      </c>
    </row>
    <row r="732" ht="15.75" hidden="1" customHeight="1">
      <c r="A732" s="127">
        <v>45665.0</v>
      </c>
      <c r="B732" s="125" t="s">
        <v>5707</v>
      </c>
      <c r="C732" s="125" t="s">
        <v>5721</v>
      </c>
      <c r="D732" s="123" t="s">
        <v>4</v>
      </c>
      <c r="E732" s="123">
        <v>1270458.0</v>
      </c>
      <c r="F732" s="124">
        <v>0.0</v>
      </c>
      <c r="G732" s="124" t="s">
        <v>5712</v>
      </c>
      <c r="H732" s="124" t="s">
        <v>5705</v>
      </c>
      <c r="I732" s="124" t="s">
        <v>13</v>
      </c>
      <c r="J732" s="124" t="s">
        <v>5708</v>
      </c>
      <c r="K732" s="125" t="s">
        <v>160</v>
      </c>
      <c r="L732" s="125">
        <v>0.0</v>
      </c>
      <c r="M732" s="126">
        <v>1.0</v>
      </c>
      <c r="N732" s="1">
        <v>0.0</v>
      </c>
      <c r="O732" s="1">
        <v>0.0</v>
      </c>
    </row>
    <row r="733" ht="15.75" hidden="1" customHeight="1">
      <c r="A733" s="129">
        <v>45665.0</v>
      </c>
      <c r="B733" s="130" t="s">
        <v>5707</v>
      </c>
      <c r="C733" s="130" t="s">
        <v>5721</v>
      </c>
      <c r="D733" s="117" t="s">
        <v>4</v>
      </c>
      <c r="E733" s="117">
        <v>1270458.0</v>
      </c>
      <c r="F733" s="62">
        <v>0.0</v>
      </c>
      <c r="G733" s="62" t="s">
        <v>5712</v>
      </c>
      <c r="H733" s="62" t="s">
        <v>5705</v>
      </c>
      <c r="I733" s="62" t="s">
        <v>13</v>
      </c>
      <c r="J733" s="118" t="s">
        <v>5708</v>
      </c>
      <c r="K733" s="130" t="s">
        <v>160</v>
      </c>
      <c r="L733" s="62">
        <v>0.0</v>
      </c>
      <c r="M733" s="132">
        <v>2.0</v>
      </c>
      <c r="N733" s="1">
        <v>0.0</v>
      </c>
      <c r="O733" s="1">
        <v>0.0</v>
      </c>
    </row>
    <row r="734" ht="15.75" hidden="1" customHeight="1">
      <c r="A734" s="127">
        <v>45665.0</v>
      </c>
      <c r="B734" s="125" t="s">
        <v>5707</v>
      </c>
      <c r="C734" s="125" t="s">
        <v>5721</v>
      </c>
      <c r="D734" s="123" t="s">
        <v>4</v>
      </c>
      <c r="E734" s="123">
        <v>1270458.0</v>
      </c>
      <c r="F734" s="124">
        <v>0.0</v>
      </c>
      <c r="G734" s="124" t="s">
        <v>5712</v>
      </c>
      <c r="H734" s="124" t="s">
        <v>5705</v>
      </c>
      <c r="I734" s="124" t="s">
        <v>13</v>
      </c>
      <c r="J734" s="124" t="s">
        <v>5708</v>
      </c>
      <c r="K734" s="125" t="s">
        <v>160</v>
      </c>
      <c r="L734" s="125">
        <v>0.0</v>
      </c>
      <c r="M734" s="126">
        <v>2.0</v>
      </c>
      <c r="N734" s="1">
        <v>0.0</v>
      </c>
      <c r="O734" s="1">
        <v>0.0</v>
      </c>
    </row>
    <row r="735" ht="15.75" customHeight="1">
      <c r="A735" s="129">
        <v>45665.0</v>
      </c>
      <c r="B735" s="130" t="s">
        <v>5707</v>
      </c>
      <c r="C735" s="130" t="s">
        <v>5721</v>
      </c>
      <c r="D735" s="117" t="s">
        <v>4</v>
      </c>
      <c r="E735" s="117">
        <v>1270458.0</v>
      </c>
      <c r="F735" s="62">
        <v>0.0</v>
      </c>
      <c r="G735" s="62" t="s">
        <v>5712</v>
      </c>
      <c r="H735" s="62" t="s">
        <v>5705</v>
      </c>
      <c r="I735" s="62" t="s">
        <v>13</v>
      </c>
      <c r="J735" s="118" t="s">
        <v>5708</v>
      </c>
      <c r="K735" s="130" t="s">
        <v>139</v>
      </c>
      <c r="L735" s="130">
        <v>0.0</v>
      </c>
      <c r="M735" s="133">
        <v>0.006333333</v>
      </c>
      <c r="N735" s="1">
        <v>0.0</v>
      </c>
      <c r="O735" s="1">
        <v>0.0</v>
      </c>
    </row>
    <row r="736" ht="15.75" hidden="1" customHeight="1">
      <c r="A736" s="127">
        <v>45665.0</v>
      </c>
      <c r="B736" s="125" t="s">
        <v>5707</v>
      </c>
      <c r="C736" s="125" t="s">
        <v>5721</v>
      </c>
      <c r="D736" s="123" t="s">
        <v>4</v>
      </c>
      <c r="E736" s="123">
        <v>1270458.0</v>
      </c>
      <c r="F736" s="124">
        <v>0.0</v>
      </c>
      <c r="G736" s="124" t="s">
        <v>5712</v>
      </c>
      <c r="H736" s="124" t="s">
        <v>5705</v>
      </c>
      <c r="I736" s="124" t="s">
        <v>5708</v>
      </c>
      <c r="J736" s="124" t="s">
        <v>5708</v>
      </c>
      <c r="K736" s="125" t="s">
        <v>7</v>
      </c>
      <c r="L736" s="125">
        <v>0.0</v>
      </c>
      <c r="M736" s="126">
        <v>13.0</v>
      </c>
      <c r="N736" s="1">
        <v>0.0</v>
      </c>
      <c r="O736" s="1">
        <v>0.0</v>
      </c>
    </row>
    <row r="737" ht="15.75" hidden="1" customHeight="1">
      <c r="A737" s="129">
        <v>45665.0</v>
      </c>
      <c r="B737" s="130" t="s">
        <v>5707</v>
      </c>
      <c r="C737" s="130" t="s">
        <v>5721</v>
      </c>
      <c r="D737" s="117" t="s">
        <v>4</v>
      </c>
      <c r="E737" s="117">
        <v>1270458.0</v>
      </c>
      <c r="F737" s="62">
        <v>0.0</v>
      </c>
      <c r="G737" s="62" t="s">
        <v>5712</v>
      </c>
      <c r="H737" s="62" t="s">
        <v>5705</v>
      </c>
      <c r="I737" s="62" t="s">
        <v>13</v>
      </c>
      <c r="J737" s="118" t="s">
        <v>5708</v>
      </c>
      <c r="K737" s="130" t="s">
        <v>11</v>
      </c>
      <c r="L737" s="130">
        <v>0.0</v>
      </c>
      <c r="M737" s="132">
        <v>7.0</v>
      </c>
      <c r="N737" s="1">
        <v>0.0</v>
      </c>
      <c r="O737" s="1">
        <v>0.0</v>
      </c>
    </row>
    <row r="738" ht="15.75" hidden="1" customHeight="1">
      <c r="A738" s="127">
        <v>45665.0</v>
      </c>
      <c r="B738" s="125" t="s">
        <v>5707</v>
      </c>
      <c r="C738" s="125" t="s">
        <v>5721</v>
      </c>
      <c r="D738" s="123" t="s">
        <v>4</v>
      </c>
      <c r="E738" s="123">
        <v>1270458.0</v>
      </c>
      <c r="F738" s="124">
        <v>0.0</v>
      </c>
      <c r="G738" s="124" t="s">
        <v>5712</v>
      </c>
      <c r="H738" s="124" t="s">
        <v>5705</v>
      </c>
      <c r="I738" s="124" t="s">
        <v>13</v>
      </c>
      <c r="J738" s="124" t="s">
        <v>5708</v>
      </c>
      <c r="K738" s="125" t="s">
        <v>12</v>
      </c>
      <c r="L738" s="125">
        <v>100.0</v>
      </c>
      <c r="M738" s="134">
        <v>1.0</v>
      </c>
      <c r="N738" s="1">
        <v>100.0</v>
      </c>
      <c r="O738" s="1">
        <v>100.0</v>
      </c>
    </row>
    <row r="739" ht="15.75" hidden="1" customHeight="1">
      <c r="A739" s="129">
        <v>45665.0</v>
      </c>
      <c r="B739" s="130" t="s">
        <v>5707</v>
      </c>
      <c r="C739" s="130" t="s">
        <v>5721</v>
      </c>
      <c r="D739" s="117" t="s">
        <v>4</v>
      </c>
      <c r="E739" s="117">
        <v>1270458.0</v>
      </c>
      <c r="F739" s="62">
        <v>0.0</v>
      </c>
      <c r="G739" s="62" t="s">
        <v>5712</v>
      </c>
      <c r="H739" s="62" t="s">
        <v>5705</v>
      </c>
      <c r="I739" s="62" t="s">
        <v>13</v>
      </c>
      <c r="J739" s="118" t="s">
        <v>5708</v>
      </c>
      <c r="K739" s="130" t="s">
        <v>160</v>
      </c>
      <c r="L739" s="130">
        <v>0.0</v>
      </c>
      <c r="M739" s="132">
        <v>5.0</v>
      </c>
      <c r="N739" s="1">
        <v>0.0</v>
      </c>
      <c r="O739" s="1">
        <v>0.0</v>
      </c>
    </row>
    <row r="740" ht="15.75" hidden="1" customHeight="1">
      <c r="A740" s="127">
        <v>45665.0</v>
      </c>
      <c r="B740" s="125" t="s">
        <v>5707</v>
      </c>
      <c r="C740" s="125" t="s">
        <v>5721</v>
      </c>
      <c r="D740" s="123" t="s">
        <v>4</v>
      </c>
      <c r="E740" s="123">
        <v>1270458.0</v>
      </c>
      <c r="F740" s="124">
        <v>0.0</v>
      </c>
      <c r="G740" s="124" t="s">
        <v>5712</v>
      </c>
      <c r="H740" s="124" t="s">
        <v>5705</v>
      </c>
      <c r="I740" s="124" t="s">
        <v>13</v>
      </c>
      <c r="J740" s="124" t="s">
        <v>5708</v>
      </c>
      <c r="K740" s="125" t="s">
        <v>163</v>
      </c>
      <c r="L740" s="125">
        <v>1.0</v>
      </c>
      <c r="M740" s="126"/>
      <c r="N740" s="1">
        <v>1.0</v>
      </c>
      <c r="O740" s="1" t="s">
        <v>5713</v>
      </c>
    </row>
    <row r="741" ht="15.75" hidden="1" customHeight="1">
      <c r="A741" s="129">
        <v>45665.0</v>
      </c>
      <c r="B741" s="130" t="s">
        <v>5707</v>
      </c>
      <c r="C741" s="130" t="s">
        <v>5721</v>
      </c>
      <c r="D741" s="117" t="s">
        <v>4</v>
      </c>
      <c r="E741" s="117">
        <v>1270458.0</v>
      </c>
      <c r="F741" s="62">
        <v>0.0</v>
      </c>
      <c r="G741" s="62" t="s">
        <v>5712</v>
      </c>
      <c r="H741" s="62" t="s">
        <v>5705</v>
      </c>
      <c r="I741" s="62" t="s">
        <v>13</v>
      </c>
      <c r="J741" s="118" t="s">
        <v>5708</v>
      </c>
      <c r="K741" s="130" t="s">
        <v>153</v>
      </c>
      <c r="L741" s="130">
        <v>0.28</v>
      </c>
      <c r="M741" s="132">
        <v>0.0</v>
      </c>
      <c r="N741" s="1"/>
      <c r="O741" s="1" t="s">
        <v>5713</v>
      </c>
    </row>
    <row r="742" ht="15.75" hidden="1" customHeight="1">
      <c r="A742" s="127">
        <v>45665.0</v>
      </c>
      <c r="B742" s="125" t="s">
        <v>5707</v>
      </c>
      <c r="C742" s="125" t="s">
        <v>5722</v>
      </c>
      <c r="D742" s="123" t="s">
        <v>4</v>
      </c>
      <c r="E742" s="123">
        <v>1270458.0</v>
      </c>
      <c r="F742" s="124">
        <v>0.0</v>
      </c>
      <c r="G742" s="124" t="s">
        <v>5712</v>
      </c>
      <c r="H742" s="124" t="s">
        <v>5705</v>
      </c>
      <c r="I742" s="124" t="s">
        <v>13</v>
      </c>
      <c r="J742" s="124" t="s">
        <v>5708</v>
      </c>
      <c r="K742" s="125" t="s">
        <v>155</v>
      </c>
      <c r="L742" s="125">
        <v>11.0</v>
      </c>
      <c r="M742" s="126">
        <v>3.0</v>
      </c>
      <c r="N742" s="1">
        <v>3.666666667</v>
      </c>
      <c r="O742" s="1">
        <v>3.666666667</v>
      </c>
    </row>
    <row r="743" ht="15.75" hidden="1" customHeight="1">
      <c r="A743" s="129">
        <v>45665.0</v>
      </c>
      <c r="B743" s="130" t="s">
        <v>5707</v>
      </c>
      <c r="C743" s="130" t="s">
        <v>5722</v>
      </c>
      <c r="D743" s="117" t="s">
        <v>4</v>
      </c>
      <c r="E743" s="117">
        <v>1270458.0</v>
      </c>
      <c r="F743" s="62">
        <v>0.0</v>
      </c>
      <c r="G743" s="62" t="s">
        <v>5712</v>
      </c>
      <c r="H743" s="62" t="s">
        <v>5705</v>
      </c>
      <c r="I743" s="62" t="s">
        <v>13</v>
      </c>
      <c r="J743" s="118" t="s">
        <v>5708</v>
      </c>
      <c r="K743" s="130" t="s">
        <v>153</v>
      </c>
      <c r="L743" s="130">
        <v>0.58</v>
      </c>
      <c r="M743" s="132">
        <v>0.0</v>
      </c>
      <c r="N743" s="1"/>
      <c r="O743" s="1" t="s">
        <v>5713</v>
      </c>
    </row>
    <row r="744" ht="15.75" hidden="1" customHeight="1">
      <c r="A744" s="127">
        <v>45665.0</v>
      </c>
      <c r="B744" s="125" t="s">
        <v>5707</v>
      </c>
      <c r="C744" s="125" t="s">
        <v>5722</v>
      </c>
      <c r="D744" s="123" t="s">
        <v>4</v>
      </c>
      <c r="E744" s="123">
        <v>1270458.0</v>
      </c>
      <c r="F744" s="124">
        <v>0.0</v>
      </c>
      <c r="G744" s="124" t="s">
        <v>5712</v>
      </c>
      <c r="H744" s="124" t="s">
        <v>5705</v>
      </c>
      <c r="I744" s="124" t="s">
        <v>13</v>
      </c>
      <c r="J744" s="124" t="s">
        <v>5708</v>
      </c>
      <c r="K744" s="125" t="s">
        <v>160</v>
      </c>
      <c r="L744" s="125">
        <v>0.0</v>
      </c>
      <c r="M744" s="126">
        <v>4.0</v>
      </c>
      <c r="N744" s="1">
        <v>0.0</v>
      </c>
      <c r="O744" s="1">
        <v>0.0</v>
      </c>
    </row>
    <row r="745" ht="15.75" hidden="1" customHeight="1">
      <c r="A745" s="129">
        <v>45665.0</v>
      </c>
      <c r="B745" s="130" t="s">
        <v>5707</v>
      </c>
      <c r="C745" s="130" t="s">
        <v>5722</v>
      </c>
      <c r="D745" s="117" t="s">
        <v>4</v>
      </c>
      <c r="E745" s="117">
        <v>1270458.0</v>
      </c>
      <c r="F745" s="62">
        <v>0.0</v>
      </c>
      <c r="G745" s="62" t="s">
        <v>5712</v>
      </c>
      <c r="H745" s="62" t="s">
        <v>5705</v>
      </c>
      <c r="I745" s="62" t="s">
        <v>13</v>
      </c>
      <c r="J745" s="118" t="s">
        <v>5708</v>
      </c>
      <c r="K745" s="130" t="s">
        <v>163</v>
      </c>
      <c r="L745" s="130">
        <v>4.0</v>
      </c>
      <c r="M745" s="132"/>
      <c r="N745" s="1">
        <v>4.0</v>
      </c>
      <c r="O745" s="1" t="s">
        <v>5713</v>
      </c>
    </row>
    <row r="746" ht="15.75" hidden="1" customHeight="1">
      <c r="A746" s="127">
        <v>45665.0</v>
      </c>
      <c r="B746" s="125" t="s">
        <v>5707</v>
      </c>
      <c r="C746" s="125" t="s">
        <v>5722</v>
      </c>
      <c r="D746" s="123" t="s">
        <v>4</v>
      </c>
      <c r="E746" s="123">
        <v>1270458.0</v>
      </c>
      <c r="F746" s="124">
        <v>0.0</v>
      </c>
      <c r="G746" s="124" t="s">
        <v>5712</v>
      </c>
      <c r="H746" s="124" t="s">
        <v>5705</v>
      </c>
      <c r="I746" s="124" t="s">
        <v>13</v>
      </c>
      <c r="J746" s="124" t="s">
        <v>5708</v>
      </c>
      <c r="K746" s="125" t="s">
        <v>153</v>
      </c>
      <c r="L746" s="124">
        <v>181.34</v>
      </c>
      <c r="M746" s="126">
        <v>26.0</v>
      </c>
      <c r="N746" s="1">
        <v>6.974615385</v>
      </c>
      <c r="O746" s="1">
        <v>6.974615385</v>
      </c>
    </row>
    <row r="747" ht="15.75" customHeight="1">
      <c r="A747" s="129">
        <v>45665.0</v>
      </c>
      <c r="B747" s="130" t="s">
        <v>5707</v>
      </c>
      <c r="C747" s="130" t="s">
        <v>5722</v>
      </c>
      <c r="D747" s="117" t="s">
        <v>4</v>
      </c>
      <c r="E747" s="117">
        <v>1270458.0</v>
      </c>
      <c r="F747" s="62">
        <v>0.0</v>
      </c>
      <c r="G747" s="62" t="s">
        <v>5712</v>
      </c>
      <c r="H747" s="62" t="s">
        <v>5705</v>
      </c>
      <c r="I747" s="62" t="s">
        <v>13</v>
      </c>
      <c r="J747" s="118" t="s">
        <v>5708</v>
      </c>
      <c r="K747" s="130" t="s">
        <v>139</v>
      </c>
      <c r="L747" s="130">
        <v>0.0</v>
      </c>
      <c r="M747" s="132">
        <v>0.009666667</v>
      </c>
      <c r="N747" s="1">
        <v>0.0</v>
      </c>
      <c r="O747" s="1">
        <v>0.0</v>
      </c>
    </row>
    <row r="748" ht="15.75" hidden="1" customHeight="1">
      <c r="A748" s="127">
        <v>45665.0</v>
      </c>
      <c r="B748" s="125" t="s">
        <v>5707</v>
      </c>
      <c r="C748" s="125" t="s">
        <v>5722</v>
      </c>
      <c r="D748" s="123" t="s">
        <v>4</v>
      </c>
      <c r="E748" s="123">
        <v>1270458.0</v>
      </c>
      <c r="F748" s="124">
        <v>0.0</v>
      </c>
      <c r="G748" s="124" t="s">
        <v>5712</v>
      </c>
      <c r="H748" s="124" t="s">
        <v>5705</v>
      </c>
      <c r="I748" s="124" t="s">
        <v>13</v>
      </c>
      <c r="J748" s="124" t="s">
        <v>5708</v>
      </c>
      <c r="K748" s="125" t="s">
        <v>156</v>
      </c>
      <c r="L748" s="124">
        <v>1600.0</v>
      </c>
      <c r="M748" s="126">
        <v>26.0</v>
      </c>
      <c r="N748" s="1">
        <v>61.53846154</v>
      </c>
      <c r="O748" s="1">
        <v>61.53846154</v>
      </c>
    </row>
    <row r="749" ht="15.75" hidden="1" customHeight="1">
      <c r="A749" s="129">
        <v>45665.0</v>
      </c>
      <c r="B749" s="130" t="s">
        <v>5707</v>
      </c>
      <c r="C749" s="130" t="s">
        <v>5722</v>
      </c>
      <c r="D749" s="117" t="s">
        <v>4</v>
      </c>
      <c r="E749" s="117">
        <v>1270458.0</v>
      </c>
      <c r="F749" s="62">
        <v>0.0</v>
      </c>
      <c r="G749" s="62" t="s">
        <v>5712</v>
      </c>
      <c r="H749" s="62" t="s">
        <v>5705</v>
      </c>
      <c r="I749" s="62" t="s">
        <v>13</v>
      </c>
      <c r="J749" s="118" t="s">
        <v>5708</v>
      </c>
      <c r="K749" s="130" t="s">
        <v>142</v>
      </c>
      <c r="L749" s="62">
        <v>26.0</v>
      </c>
      <c r="M749" s="132"/>
      <c r="N749" s="1">
        <v>26.0</v>
      </c>
      <c r="O749" s="1" t="s">
        <v>5713</v>
      </c>
    </row>
    <row r="750" ht="15.75" hidden="1" customHeight="1">
      <c r="A750" s="127">
        <v>45665.0</v>
      </c>
      <c r="B750" s="125" t="s">
        <v>5707</v>
      </c>
      <c r="C750" s="125" t="s">
        <v>5722</v>
      </c>
      <c r="D750" s="123" t="s">
        <v>4</v>
      </c>
      <c r="E750" s="123">
        <v>1270458.0</v>
      </c>
      <c r="F750" s="124">
        <v>0.0</v>
      </c>
      <c r="G750" s="124" t="s">
        <v>5712</v>
      </c>
      <c r="H750" s="124" t="s">
        <v>5705</v>
      </c>
      <c r="I750" s="124" t="s">
        <v>13</v>
      </c>
      <c r="J750" s="124" t="s">
        <v>5708</v>
      </c>
      <c r="K750" s="125" t="s">
        <v>163</v>
      </c>
      <c r="L750" s="125">
        <v>2.0</v>
      </c>
      <c r="M750" s="126"/>
      <c r="N750" s="1">
        <v>2.0</v>
      </c>
      <c r="O750" s="1" t="s">
        <v>5713</v>
      </c>
    </row>
    <row r="751" ht="15.75" hidden="1" customHeight="1">
      <c r="A751" s="129">
        <v>45665.0</v>
      </c>
      <c r="B751" s="130" t="s">
        <v>5707</v>
      </c>
      <c r="C751" s="130" t="s">
        <v>5722</v>
      </c>
      <c r="D751" s="117" t="s">
        <v>4</v>
      </c>
      <c r="E751" s="117">
        <v>1270458.0</v>
      </c>
      <c r="F751" s="62">
        <v>0.0</v>
      </c>
      <c r="G751" s="62" t="s">
        <v>5712</v>
      </c>
      <c r="H751" s="62" t="s">
        <v>5705</v>
      </c>
      <c r="I751" s="62" t="s">
        <v>13</v>
      </c>
      <c r="J751" s="118" t="s">
        <v>5708</v>
      </c>
      <c r="K751" s="130" t="s">
        <v>147</v>
      </c>
      <c r="L751" s="62">
        <v>0.0</v>
      </c>
      <c r="M751" s="132">
        <v>1.0</v>
      </c>
      <c r="N751" s="1">
        <v>0.0</v>
      </c>
      <c r="O751" s="1">
        <v>0.0</v>
      </c>
    </row>
    <row r="752" ht="15.75" hidden="1" customHeight="1">
      <c r="A752" s="127">
        <v>45665.0</v>
      </c>
      <c r="B752" s="125" t="s">
        <v>5707</v>
      </c>
      <c r="C752" s="125" t="s">
        <v>5722</v>
      </c>
      <c r="D752" s="123" t="s">
        <v>4</v>
      </c>
      <c r="E752" s="123">
        <v>1270458.0</v>
      </c>
      <c r="F752" s="124">
        <v>0.0</v>
      </c>
      <c r="G752" s="124" t="s">
        <v>5712</v>
      </c>
      <c r="H752" s="124" t="s">
        <v>5705</v>
      </c>
      <c r="I752" s="124" t="s">
        <v>13</v>
      </c>
      <c r="J752" s="124" t="s">
        <v>5708</v>
      </c>
      <c r="K752" s="125" t="s">
        <v>163</v>
      </c>
      <c r="L752" s="124">
        <v>1.0</v>
      </c>
      <c r="M752" s="126"/>
      <c r="N752" s="1">
        <v>1.0</v>
      </c>
      <c r="O752" s="1" t="s">
        <v>5713</v>
      </c>
    </row>
    <row r="753" ht="15.75" hidden="1" customHeight="1">
      <c r="A753" s="129">
        <v>45665.0</v>
      </c>
      <c r="B753" s="130" t="s">
        <v>5703</v>
      </c>
      <c r="C753" s="130" t="s">
        <v>5706</v>
      </c>
      <c r="D753" s="117" t="s">
        <v>4</v>
      </c>
      <c r="E753" s="117">
        <v>1270458.0</v>
      </c>
      <c r="F753" s="62">
        <v>0.0</v>
      </c>
      <c r="G753" s="62" t="s">
        <v>5712</v>
      </c>
      <c r="H753" s="62" t="s">
        <v>5705</v>
      </c>
      <c r="I753" s="62" t="s">
        <v>13</v>
      </c>
      <c r="J753" s="118" t="s">
        <v>5708</v>
      </c>
      <c r="K753" s="130" t="s">
        <v>12</v>
      </c>
      <c r="L753" s="130">
        <v>100.0</v>
      </c>
      <c r="M753" s="132">
        <v>1.0</v>
      </c>
      <c r="N753" s="1">
        <v>100.0</v>
      </c>
      <c r="O753" s="1">
        <v>100.0</v>
      </c>
    </row>
    <row r="754" ht="15.75" hidden="1" customHeight="1">
      <c r="A754" s="127">
        <v>45665.0</v>
      </c>
      <c r="B754" s="125" t="s">
        <v>5703</v>
      </c>
      <c r="C754" s="125" t="s">
        <v>5723</v>
      </c>
      <c r="D754" s="123" t="s">
        <v>4</v>
      </c>
      <c r="E754" s="123">
        <v>1270458.0</v>
      </c>
      <c r="F754" s="124">
        <v>0.0</v>
      </c>
      <c r="G754" s="124" t="s">
        <v>5712</v>
      </c>
      <c r="H754" s="124" t="s">
        <v>5705</v>
      </c>
      <c r="I754" s="124" t="s">
        <v>13</v>
      </c>
      <c r="J754" s="124" t="s">
        <v>5708</v>
      </c>
      <c r="K754" s="125" t="s">
        <v>12</v>
      </c>
      <c r="L754" s="124">
        <v>100.0</v>
      </c>
      <c r="M754" s="126">
        <v>1.0</v>
      </c>
      <c r="N754" s="1">
        <v>100.0</v>
      </c>
      <c r="O754" s="1">
        <v>100.0</v>
      </c>
    </row>
    <row r="755" ht="15.75" hidden="1" customHeight="1">
      <c r="A755" s="129">
        <v>45665.0</v>
      </c>
      <c r="B755" s="130" t="s">
        <v>5711</v>
      </c>
      <c r="C755" s="131">
        <v>45696.0</v>
      </c>
      <c r="D755" s="117" t="s">
        <v>4</v>
      </c>
      <c r="E755" s="117">
        <v>1270458.0</v>
      </c>
      <c r="F755" s="62">
        <v>0.0</v>
      </c>
      <c r="G755" s="62" t="s">
        <v>5712</v>
      </c>
      <c r="H755" s="62" t="s">
        <v>5705</v>
      </c>
      <c r="I755" s="62" t="s">
        <v>13</v>
      </c>
      <c r="J755" s="118" t="s">
        <v>5708</v>
      </c>
      <c r="K755" s="130" t="s">
        <v>147</v>
      </c>
      <c r="L755" s="130">
        <v>0.0</v>
      </c>
      <c r="M755" s="132">
        <v>7.0</v>
      </c>
      <c r="N755" s="1">
        <v>0.0</v>
      </c>
      <c r="O755" s="1">
        <v>0.0</v>
      </c>
    </row>
    <row r="756" ht="15.75" hidden="1" customHeight="1">
      <c r="A756" s="127">
        <v>45665.0</v>
      </c>
      <c r="B756" s="125" t="s">
        <v>5711</v>
      </c>
      <c r="C756" s="128">
        <v>45696.0</v>
      </c>
      <c r="D756" s="123" t="s">
        <v>4</v>
      </c>
      <c r="E756" s="123">
        <v>1270458.0</v>
      </c>
      <c r="F756" s="124">
        <v>0.0</v>
      </c>
      <c r="G756" s="124" t="s">
        <v>5712</v>
      </c>
      <c r="H756" s="124" t="s">
        <v>5705</v>
      </c>
      <c r="I756" s="124" t="s">
        <v>13</v>
      </c>
      <c r="J756" s="124" t="s">
        <v>5708</v>
      </c>
      <c r="K756" s="125" t="s">
        <v>163</v>
      </c>
      <c r="L756" s="125">
        <v>99.0</v>
      </c>
      <c r="M756" s="126"/>
      <c r="N756" s="1">
        <v>99.0</v>
      </c>
      <c r="O756" s="1" t="s">
        <v>5713</v>
      </c>
    </row>
    <row r="757" ht="15.75" hidden="1" customHeight="1">
      <c r="A757" s="129">
        <v>45665.0</v>
      </c>
      <c r="B757" s="130" t="s">
        <v>5711</v>
      </c>
      <c r="C757" s="131">
        <v>45696.0</v>
      </c>
      <c r="D757" s="117" t="s">
        <v>4</v>
      </c>
      <c r="E757" s="117">
        <v>1270458.0</v>
      </c>
      <c r="F757" s="62">
        <v>0.0</v>
      </c>
      <c r="G757" s="62" t="s">
        <v>5712</v>
      </c>
      <c r="H757" s="62" t="s">
        <v>5705</v>
      </c>
      <c r="I757" s="62" t="s">
        <v>13</v>
      </c>
      <c r="J757" s="118" t="s">
        <v>5708</v>
      </c>
      <c r="K757" s="130" t="s">
        <v>153</v>
      </c>
      <c r="L757" s="130">
        <v>0.68</v>
      </c>
      <c r="M757" s="132">
        <v>0.0</v>
      </c>
      <c r="O757" s="1" t="s">
        <v>5713</v>
      </c>
    </row>
    <row r="758" ht="15.75" hidden="1" customHeight="1">
      <c r="A758" s="127">
        <v>45665.0</v>
      </c>
      <c r="B758" s="125" t="s">
        <v>5711</v>
      </c>
      <c r="C758" s="128">
        <v>45696.0</v>
      </c>
      <c r="D758" s="123" t="s">
        <v>4</v>
      </c>
      <c r="E758" s="123">
        <v>1270458.0</v>
      </c>
      <c r="F758" s="124">
        <v>0.0</v>
      </c>
      <c r="G758" s="124" t="s">
        <v>5712</v>
      </c>
      <c r="H758" s="124" t="s">
        <v>5705</v>
      </c>
      <c r="I758" s="124" t="s">
        <v>13</v>
      </c>
      <c r="J758" s="124" t="s">
        <v>5708</v>
      </c>
      <c r="K758" s="125" t="s">
        <v>163</v>
      </c>
      <c r="L758" s="125">
        <v>1.0</v>
      </c>
      <c r="M758" s="126"/>
      <c r="N758" s="1">
        <v>1.0</v>
      </c>
      <c r="O758" s="1" t="s">
        <v>5713</v>
      </c>
    </row>
    <row r="759" ht="15.75" hidden="1" customHeight="1">
      <c r="A759" s="129">
        <v>45665.0</v>
      </c>
      <c r="B759" s="130" t="s">
        <v>5711</v>
      </c>
      <c r="C759" s="131">
        <v>45724.0</v>
      </c>
      <c r="D759" s="117" t="s">
        <v>4</v>
      </c>
      <c r="E759" s="117">
        <v>1270458.0</v>
      </c>
      <c r="F759" s="62">
        <v>0.0</v>
      </c>
      <c r="G759" s="62" t="s">
        <v>5712</v>
      </c>
      <c r="H759" s="62" t="s">
        <v>5705</v>
      </c>
      <c r="I759" s="62" t="s">
        <v>13</v>
      </c>
      <c r="J759" s="118" t="s">
        <v>5708</v>
      </c>
      <c r="K759" s="130" t="s">
        <v>147</v>
      </c>
      <c r="L759" s="130">
        <v>0.0</v>
      </c>
      <c r="M759" s="132">
        <v>1.0</v>
      </c>
      <c r="N759" s="1">
        <v>0.0</v>
      </c>
      <c r="O759" s="1">
        <v>0.0</v>
      </c>
    </row>
    <row r="760" ht="15.75" hidden="1" customHeight="1">
      <c r="A760" s="127">
        <v>45665.0</v>
      </c>
      <c r="B760" s="125" t="s">
        <v>5711</v>
      </c>
      <c r="C760" s="128">
        <v>45724.0</v>
      </c>
      <c r="D760" s="123" t="s">
        <v>4</v>
      </c>
      <c r="E760" s="123">
        <v>1270458.0</v>
      </c>
      <c r="F760" s="124">
        <v>0.0</v>
      </c>
      <c r="G760" s="124" t="s">
        <v>5712</v>
      </c>
      <c r="H760" s="124" t="s">
        <v>5705</v>
      </c>
      <c r="I760" s="124" t="s">
        <v>13</v>
      </c>
      <c r="J760" s="124" t="s">
        <v>5708</v>
      </c>
      <c r="K760" s="125" t="s">
        <v>163</v>
      </c>
      <c r="L760" s="125">
        <v>3.0</v>
      </c>
      <c r="M760" s="126"/>
      <c r="N760" s="1">
        <v>3.0</v>
      </c>
      <c r="O760" s="1" t="s">
        <v>5713</v>
      </c>
    </row>
    <row r="761" ht="15.75" customHeight="1">
      <c r="A761" s="129">
        <v>45665.0</v>
      </c>
      <c r="B761" s="130" t="s">
        <v>5711</v>
      </c>
      <c r="C761" s="131">
        <v>45724.0</v>
      </c>
      <c r="D761" s="117" t="s">
        <v>4</v>
      </c>
      <c r="E761" s="117">
        <v>1270458.0</v>
      </c>
      <c r="F761" s="62">
        <v>0.0</v>
      </c>
      <c r="G761" s="62" t="s">
        <v>5712</v>
      </c>
      <c r="H761" s="62" t="s">
        <v>5705</v>
      </c>
      <c r="I761" s="62" t="s">
        <v>13</v>
      </c>
      <c r="J761" s="118" t="s">
        <v>5708</v>
      </c>
      <c r="K761" s="130" t="s">
        <v>139</v>
      </c>
      <c r="L761" s="130">
        <v>0.0</v>
      </c>
      <c r="M761" s="132">
        <v>0.009666667</v>
      </c>
      <c r="N761" s="1">
        <v>0.0</v>
      </c>
      <c r="O761" s="1">
        <v>0.0</v>
      </c>
    </row>
    <row r="762" ht="15.75" hidden="1" customHeight="1">
      <c r="A762" s="127">
        <v>45665.0</v>
      </c>
      <c r="B762" s="125" t="s">
        <v>5711</v>
      </c>
      <c r="C762" s="128">
        <v>45724.0</v>
      </c>
      <c r="D762" s="123" t="s">
        <v>4</v>
      </c>
      <c r="E762" s="123">
        <v>1270458.0</v>
      </c>
      <c r="F762" s="124">
        <v>0.0</v>
      </c>
      <c r="G762" s="124" t="s">
        <v>5712</v>
      </c>
      <c r="H762" s="124" t="s">
        <v>5705</v>
      </c>
      <c r="I762" s="124" t="s">
        <v>13</v>
      </c>
      <c r="J762" s="124" t="s">
        <v>5708</v>
      </c>
      <c r="K762" s="125" t="s">
        <v>153</v>
      </c>
      <c r="L762" s="125">
        <v>391.04</v>
      </c>
      <c r="M762" s="126">
        <v>97.0</v>
      </c>
      <c r="N762" s="1">
        <v>4.031340206</v>
      </c>
      <c r="O762" s="1">
        <v>4.031340206</v>
      </c>
    </row>
    <row r="763" ht="15.75" hidden="1" customHeight="1">
      <c r="A763" s="129">
        <v>45665.0</v>
      </c>
      <c r="B763" s="130" t="s">
        <v>5711</v>
      </c>
      <c r="C763" s="131">
        <v>45724.0</v>
      </c>
      <c r="D763" s="117" t="s">
        <v>4</v>
      </c>
      <c r="E763" s="117">
        <v>1270458.0</v>
      </c>
      <c r="F763" s="62">
        <v>0.0</v>
      </c>
      <c r="G763" s="62" t="s">
        <v>5712</v>
      </c>
      <c r="H763" s="62" t="s">
        <v>5705</v>
      </c>
      <c r="I763" s="62" t="s">
        <v>13</v>
      </c>
      <c r="J763" s="118" t="s">
        <v>5708</v>
      </c>
      <c r="K763" s="130" t="s">
        <v>160</v>
      </c>
      <c r="L763" s="130">
        <v>0.0</v>
      </c>
      <c r="M763" s="132">
        <v>3.0</v>
      </c>
      <c r="N763" s="1">
        <v>0.0</v>
      </c>
      <c r="O763" s="1">
        <v>0.0</v>
      </c>
    </row>
    <row r="764" ht="15.75" hidden="1" customHeight="1">
      <c r="A764" s="127">
        <v>45665.0</v>
      </c>
      <c r="B764" s="125" t="s">
        <v>5711</v>
      </c>
      <c r="C764" s="128">
        <v>45724.0</v>
      </c>
      <c r="D764" s="123" t="s">
        <v>4</v>
      </c>
      <c r="E764" s="123">
        <v>1270458.0</v>
      </c>
      <c r="F764" s="124">
        <v>0.0</v>
      </c>
      <c r="G764" s="124" t="s">
        <v>5712</v>
      </c>
      <c r="H764" s="124" t="s">
        <v>5705</v>
      </c>
      <c r="I764" s="124" t="s">
        <v>13</v>
      </c>
      <c r="J764" s="124" t="s">
        <v>5708</v>
      </c>
      <c r="K764" s="125" t="s">
        <v>160</v>
      </c>
      <c r="L764" s="125">
        <v>0.0</v>
      </c>
      <c r="M764" s="126">
        <v>2.0</v>
      </c>
      <c r="N764" s="1">
        <v>0.0</v>
      </c>
      <c r="O764" s="1">
        <v>0.0</v>
      </c>
    </row>
    <row r="765" ht="15.75" hidden="1" customHeight="1">
      <c r="A765" s="129">
        <v>45665.0</v>
      </c>
      <c r="B765" s="131">
        <v>45755.0</v>
      </c>
      <c r="C765" s="131">
        <v>45755.0</v>
      </c>
      <c r="D765" s="117" t="s">
        <v>4</v>
      </c>
      <c r="E765" s="117">
        <v>1270458.0</v>
      </c>
      <c r="F765" s="62">
        <v>0.0</v>
      </c>
      <c r="G765" s="62" t="s">
        <v>5712</v>
      </c>
      <c r="H765" s="62" t="s">
        <v>5705</v>
      </c>
      <c r="I765" s="62" t="s">
        <v>13</v>
      </c>
      <c r="J765" s="118" t="s">
        <v>5708</v>
      </c>
      <c r="K765" s="130" t="s">
        <v>147</v>
      </c>
      <c r="L765" s="130">
        <v>0.0</v>
      </c>
      <c r="M765" s="132">
        <v>4.0</v>
      </c>
      <c r="N765" s="1">
        <v>0.0</v>
      </c>
      <c r="O765" s="1">
        <v>0.0</v>
      </c>
    </row>
    <row r="766" ht="15.75" hidden="1" customHeight="1">
      <c r="A766" s="127">
        <v>45665.0</v>
      </c>
      <c r="B766" s="128">
        <v>45755.0</v>
      </c>
      <c r="C766" s="128">
        <v>45755.0</v>
      </c>
      <c r="D766" s="123" t="s">
        <v>4</v>
      </c>
      <c r="E766" s="123">
        <v>1270458.0</v>
      </c>
      <c r="F766" s="124">
        <v>0.0</v>
      </c>
      <c r="G766" s="124" t="s">
        <v>5712</v>
      </c>
      <c r="H766" s="124" t="s">
        <v>5705</v>
      </c>
      <c r="I766" s="124" t="s">
        <v>13</v>
      </c>
      <c r="J766" s="124" t="s">
        <v>5708</v>
      </c>
      <c r="K766" s="125" t="s">
        <v>160</v>
      </c>
      <c r="L766" s="125">
        <v>0.0</v>
      </c>
      <c r="M766" s="126">
        <v>4.0</v>
      </c>
      <c r="N766" s="1">
        <v>0.0</v>
      </c>
      <c r="O766" s="1">
        <v>0.0</v>
      </c>
    </row>
    <row r="767" ht="15.75" hidden="1" customHeight="1">
      <c r="A767" s="129">
        <v>45665.0</v>
      </c>
      <c r="B767" s="131">
        <v>45755.0</v>
      </c>
      <c r="C767" s="131">
        <v>45755.0</v>
      </c>
      <c r="D767" s="117" t="s">
        <v>4</v>
      </c>
      <c r="E767" s="117">
        <v>1270458.0</v>
      </c>
      <c r="F767" s="62">
        <v>0.0</v>
      </c>
      <c r="G767" s="62" t="s">
        <v>5712</v>
      </c>
      <c r="H767" s="62" t="s">
        <v>5705</v>
      </c>
      <c r="I767" s="62" t="s">
        <v>13</v>
      </c>
      <c r="J767" s="118" t="s">
        <v>5708</v>
      </c>
      <c r="K767" s="130" t="s">
        <v>147</v>
      </c>
      <c r="L767" s="62">
        <v>0.0</v>
      </c>
      <c r="M767" s="132">
        <v>2.0</v>
      </c>
      <c r="N767" s="1">
        <v>0.0</v>
      </c>
      <c r="O767" s="1">
        <v>0.0</v>
      </c>
    </row>
    <row r="768" ht="15.75" hidden="1" customHeight="1">
      <c r="A768" s="127">
        <v>45665.0</v>
      </c>
      <c r="B768" s="128">
        <v>45755.0</v>
      </c>
      <c r="C768" s="128">
        <v>45755.0</v>
      </c>
      <c r="D768" s="123" t="s">
        <v>4</v>
      </c>
      <c r="E768" s="123">
        <v>1270458.0</v>
      </c>
      <c r="F768" s="124">
        <v>0.0</v>
      </c>
      <c r="G768" s="124" t="s">
        <v>5712</v>
      </c>
      <c r="H768" s="124" t="s">
        <v>5705</v>
      </c>
      <c r="I768" s="124" t="s">
        <v>13</v>
      </c>
      <c r="J768" s="124" t="s">
        <v>5708</v>
      </c>
      <c r="K768" s="125" t="s">
        <v>156</v>
      </c>
      <c r="L768" s="124">
        <v>4500.0</v>
      </c>
      <c r="M768" s="126">
        <v>91.0</v>
      </c>
      <c r="N768" s="1">
        <v>49.45054945</v>
      </c>
      <c r="O768" s="1">
        <v>49.45054945</v>
      </c>
    </row>
    <row r="769" ht="15.75" hidden="1" customHeight="1">
      <c r="A769" s="129">
        <v>45665.0</v>
      </c>
      <c r="B769" s="131">
        <v>45755.0</v>
      </c>
      <c r="C769" s="131">
        <v>45755.0</v>
      </c>
      <c r="D769" s="117" t="s">
        <v>4</v>
      </c>
      <c r="E769" s="117">
        <v>1270458.0</v>
      </c>
      <c r="F769" s="62">
        <v>0.0</v>
      </c>
      <c r="G769" s="62" t="s">
        <v>5712</v>
      </c>
      <c r="H769" s="62" t="s">
        <v>5705</v>
      </c>
      <c r="I769" s="62" t="s">
        <v>13</v>
      </c>
      <c r="J769" s="118" t="s">
        <v>5708</v>
      </c>
      <c r="K769" s="130" t="s">
        <v>163</v>
      </c>
      <c r="L769" s="130">
        <v>89.0</v>
      </c>
      <c r="M769" s="132"/>
      <c r="N769" s="1">
        <v>89.0</v>
      </c>
      <c r="O769" s="1" t="s">
        <v>5713</v>
      </c>
    </row>
    <row r="770" ht="15.75" hidden="1" customHeight="1">
      <c r="A770" s="127">
        <v>45665.0</v>
      </c>
      <c r="B770" s="128">
        <v>45755.0</v>
      </c>
      <c r="C770" s="128">
        <v>45755.0</v>
      </c>
      <c r="D770" s="123" t="s">
        <v>4</v>
      </c>
      <c r="E770" s="123">
        <v>1270458.0</v>
      </c>
      <c r="F770" s="124">
        <v>0.0</v>
      </c>
      <c r="G770" s="124" t="s">
        <v>5712</v>
      </c>
      <c r="H770" s="124" t="s">
        <v>5705</v>
      </c>
      <c r="I770" s="124" t="s">
        <v>13</v>
      </c>
      <c r="J770" s="124" t="s">
        <v>5708</v>
      </c>
      <c r="K770" s="125" t="s">
        <v>158</v>
      </c>
      <c r="L770" s="124">
        <v>6700.0</v>
      </c>
      <c r="M770" s="126">
        <v>80.0</v>
      </c>
      <c r="N770" s="1">
        <v>83.75</v>
      </c>
      <c r="O770" s="1">
        <v>83.75</v>
      </c>
    </row>
    <row r="771" ht="15.75" hidden="1" customHeight="1">
      <c r="A771" s="129">
        <v>45665.0</v>
      </c>
      <c r="B771" s="131">
        <v>45755.0</v>
      </c>
      <c r="C771" s="131">
        <v>45755.0</v>
      </c>
      <c r="D771" s="117" t="s">
        <v>4</v>
      </c>
      <c r="E771" s="117">
        <v>1270458.0</v>
      </c>
      <c r="F771" s="62">
        <v>0.0</v>
      </c>
      <c r="G771" s="62" t="s">
        <v>5712</v>
      </c>
      <c r="H771" s="62" t="s">
        <v>5705</v>
      </c>
      <c r="I771" s="62" t="s">
        <v>13</v>
      </c>
      <c r="J771" s="118" t="s">
        <v>5708</v>
      </c>
      <c r="K771" s="130" t="s">
        <v>163</v>
      </c>
      <c r="L771" s="62">
        <v>1.0</v>
      </c>
      <c r="M771" s="132"/>
      <c r="N771" s="1">
        <v>1.0</v>
      </c>
      <c r="O771" s="1" t="s">
        <v>5713</v>
      </c>
    </row>
    <row r="772" ht="15.75" hidden="1" customHeight="1">
      <c r="A772" s="127">
        <v>45665.0</v>
      </c>
      <c r="B772" s="128">
        <v>45755.0</v>
      </c>
      <c r="C772" s="128">
        <v>45785.0</v>
      </c>
      <c r="D772" s="123" t="s">
        <v>4</v>
      </c>
      <c r="E772" s="123">
        <v>1270458.0</v>
      </c>
      <c r="F772" s="124">
        <v>0.0</v>
      </c>
      <c r="G772" s="124" t="s">
        <v>5712</v>
      </c>
      <c r="H772" s="124" t="s">
        <v>5705</v>
      </c>
      <c r="I772" s="124" t="s">
        <v>13</v>
      </c>
      <c r="J772" s="124" t="s">
        <v>5708</v>
      </c>
      <c r="K772" s="125" t="s">
        <v>147</v>
      </c>
      <c r="L772" s="125">
        <v>0.0</v>
      </c>
      <c r="M772" s="126">
        <v>1.0</v>
      </c>
      <c r="N772" s="1">
        <v>0.0</v>
      </c>
      <c r="O772" s="1">
        <v>0.0</v>
      </c>
    </row>
    <row r="773" ht="15.75" hidden="1" customHeight="1">
      <c r="A773" s="129">
        <v>45665.0</v>
      </c>
      <c r="B773" s="131">
        <v>45755.0</v>
      </c>
      <c r="C773" s="131">
        <v>45785.0</v>
      </c>
      <c r="D773" s="117" t="s">
        <v>4</v>
      </c>
      <c r="E773" s="117">
        <v>1270458.0</v>
      </c>
      <c r="F773" s="62">
        <v>0.0</v>
      </c>
      <c r="G773" s="62" t="s">
        <v>5712</v>
      </c>
      <c r="H773" s="62" t="s">
        <v>5705</v>
      </c>
      <c r="I773" s="62" t="s">
        <v>13</v>
      </c>
      <c r="J773" s="118" t="s">
        <v>5708</v>
      </c>
      <c r="K773" s="130" t="s">
        <v>147</v>
      </c>
      <c r="L773" s="130">
        <v>0.0</v>
      </c>
      <c r="M773" s="132">
        <v>1.0</v>
      </c>
      <c r="N773" s="1">
        <v>0.0</v>
      </c>
      <c r="O773" s="1">
        <v>0.0</v>
      </c>
    </row>
    <row r="774" ht="15.75" hidden="1" customHeight="1">
      <c r="A774" s="127">
        <v>45665.0</v>
      </c>
      <c r="B774" s="128">
        <v>45755.0</v>
      </c>
      <c r="C774" s="128">
        <v>45785.0</v>
      </c>
      <c r="D774" s="123" t="s">
        <v>4</v>
      </c>
      <c r="E774" s="123">
        <v>1270458.0</v>
      </c>
      <c r="F774" s="124">
        <v>0.0</v>
      </c>
      <c r="G774" s="124" t="s">
        <v>5712</v>
      </c>
      <c r="H774" s="124" t="s">
        <v>5705</v>
      </c>
      <c r="I774" s="124" t="s">
        <v>13</v>
      </c>
      <c r="J774" s="124" t="s">
        <v>5708</v>
      </c>
      <c r="K774" s="125" t="s">
        <v>156</v>
      </c>
      <c r="L774" s="125">
        <v>100.0</v>
      </c>
      <c r="M774" s="126">
        <v>1.0</v>
      </c>
      <c r="N774" s="1">
        <v>100.0</v>
      </c>
      <c r="O774" s="1">
        <v>100.0</v>
      </c>
    </row>
    <row r="775" ht="15.75" hidden="1" customHeight="1">
      <c r="A775" s="129">
        <v>45665.0</v>
      </c>
      <c r="B775" s="131">
        <v>45755.0</v>
      </c>
      <c r="C775" s="131">
        <v>45785.0</v>
      </c>
      <c r="D775" s="117" t="s">
        <v>4</v>
      </c>
      <c r="E775" s="117">
        <v>1270458.0</v>
      </c>
      <c r="F775" s="62">
        <v>0.0</v>
      </c>
      <c r="G775" s="62" t="s">
        <v>5712</v>
      </c>
      <c r="H775" s="62" t="s">
        <v>5705</v>
      </c>
      <c r="I775" s="62" t="s">
        <v>13</v>
      </c>
      <c r="J775" s="118" t="s">
        <v>5708</v>
      </c>
      <c r="K775" s="130" t="s">
        <v>153</v>
      </c>
      <c r="L775" s="62">
        <v>0.37</v>
      </c>
      <c r="M775" s="132">
        <v>0.0</v>
      </c>
      <c r="N775" s="1"/>
      <c r="O775" s="1" t="s">
        <v>5713</v>
      </c>
    </row>
    <row r="776" ht="15.75" hidden="1" customHeight="1">
      <c r="A776" s="127">
        <v>45665.0</v>
      </c>
      <c r="B776" s="128">
        <v>45755.0</v>
      </c>
      <c r="C776" s="128">
        <v>45785.0</v>
      </c>
      <c r="D776" s="123" t="s">
        <v>4</v>
      </c>
      <c r="E776" s="123">
        <v>1270458.0</v>
      </c>
      <c r="F776" s="124">
        <v>0.0</v>
      </c>
      <c r="G776" s="124" t="s">
        <v>5712</v>
      </c>
      <c r="H776" s="124" t="s">
        <v>5705</v>
      </c>
      <c r="I776" s="124" t="s">
        <v>13</v>
      </c>
      <c r="J776" s="124" t="s">
        <v>5708</v>
      </c>
      <c r="K776" s="125" t="s">
        <v>160</v>
      </c>
      <c r="L776" s="125">
        <v>0.0</v>
      </c>
      <c r="M776" s="126">
        <v>2.0</v>
      </c>
      <c r="N776" s="1">
        <v>0.0</v>
      </c>
      <c r="O776" s="1">
        <v>0.0</v>
      </c>
    </row>
    <row r="777" ht="15.75" hidden="1" customHeight="1">
      <c r="A777" s="129">
        <v>45665.0</v>
      </c>
      <c r="B777" s="131">
        <v>45755.0</v>
      </c>
      <c r="C777" s="131">
        <v>45785.0</v>
      </c>
      <c r="D777" s="117" t="s">
        <v>4</v>
      </c>
      <c r="E777" s="117">
        <v>1270458.0</v>
      </c>
      <c r="F777" s="62">
        <v>0.0</v>
      </c>
      <c r="G777" s="62" t="s">
        <v>5712</v>
      </c>
      <c r="H777" s="62" t="s">
        <v>5705</v>
      </c>
      <c r="I777" s="62" t="s">
        <v>13</v>
      </c>
      <c r="J777" s="118" t="s">
        <v>5708</v>
      </c>
      <c r="K777" s="130" t="s">
        <v>153</v>
      </c>
      <c r="L777" s="130">
        <v>3.7</v>
      </c>
      <c r="M777" s="132">
        <v>0.0</v>
      </c>
      <c r="N777" s="1"/>
      <c r="O777" s="1" t="s">
        <v>5713</v>
      </c>
    </row>
    <row r="778" ht="15.75" hidden="1" customHeight="1">
      <c r="A778" s="127">
        <v>45665.0</v>
      </c>
      <c r="B778" s="128">
        <v>45755.0</v>
      </c>
      <c r="C778" s="128">
        <v>45816.0</v>
      </c>
      <c r="D778" s="123" t="s">
        <v>4</v>
      </c>
      <c r="E778" s="123">
        <v>1270458.0</v>
      </c>
      <c r="F778" s="124">
        <v>0.0</v>
      </c>
      <c r="G778" s="124" t="s">
        <v>5712</v>
      </c>
      <c r="H778" s="124" t="s">
        <v>5705</v>
      </c>
      <c r="I778" s="124" t="s">
        <v>13</v>
      </c>
      <c r="J778" s="124" t="s">
        <v>5708</v>
      </c>
      <c r="K778" s="125" t="s">
        <v>163</v>
      </c>
      <c r="L778" s="125">
        <v>3.0</v>
      </c>
      <c r="M778" s="126"/>
      <c r="N778" s="1">
        <v>3.0</v>
      </c>
      <c r="O778" s="1" t="s">
        <v>5713</v>
      </c>
    </row>
    <row r="779" ht="15.75" hidden="1" customHeight="1">
      <c r="A779" s="129">
        <v>45665.0</v>
      </c>
      <c r="B779" s="131">
        <v>45755.0</v>
      </c>
      <c r="C779" s="131">
        <v>45816.0</v>
      </c>
      <c r="D779" s="117" t="s">
        <v>4</v>
      </c>
      <c r="E779" s="117">
        <v>1270458.0</v>
      </c>
      <c r="F779" s="62">
        <v>0.0</v>
      </c>
      <c r="G779" s="62" t="s">
        <v>5712</v>
      </c>
      <c r="H779" s="62" t="s">
        <v>5705</v>
      </c>
      <c r="I779" s="62" t="s">
        <v>13</v>
      </c>
      <c r="J779" s="118" t="s">
        <v>5708</v>
      </c>
      <c r="K779" s="130" t="s">
        <v>153</v>
      </c>
      <c r="L779" s="62">
        <v>0.07</v>
      </c>
      <c r="M779" s="132">
        <v>0.0</v>
      </c>
      <c r="N779" s="1"/>
      <c r="O779" s="1" t="s">
        <v>5713</v>
      </c>
    </row>
    <row r="780" ht="15.75" hidden="1" customHeight="1">
      <c r="A780" s="127">
        <v>45665.0</v>
      </c>
      <c r="B780" s="128">
        <v>45755.0</v>
      </c>
      <c r="C780" s="128">
        <v>45816.0</v>
      </c>
      <c r="D780" s="123" t="s">
        <v>4</v>
      </c>
      <c r="E780" s="123">
        <v>1270458.0</v>
      </c>
      <c r="F780" s="124">
        <v>0.0</v>
      </c>
      <c r="G780" s="124" t="s">
        <v>5712</v>
      </c>
      <c r="H780" s="124" t="s">
        <v>5705</v>
      </c>
      <c r="I780" s="124" t="s">
        <v>13</v>
      </c>
      <c r="J780" s="124" t="s">
        <v>5708</v>
      </c>
      <c r="K780" s="125" t="s">
        <v>142</v>
      </c>
      <c r="L780" s="125">
        <v>86.0</v>
      </c>
      <c r="M780" s="126"/>
      <c r="N780" s="1">
        <v>86.0</v>
      </c>
      <c r="O780" s="1" t="s">
        <v>5713</v>
      </c>
    </row>
    <row r="781" ht="15.75" hidden="1" customHeight="1">
      <c r="A781" s="129">
        <v>45665.0</v>
      </c>
      <c r="B781" s="131">
        <v>45755.0</v>
      </c>
      <c r="C781" s="131">
        <v>45816.0</v>
      </c>
      <c r="D781" s="117" t="s">
        <v>4</v>
      </c>
      <c r="E781" s="117">
        <v>1270458.0</v>
      </c>
      <c r="F781" s="62">
        <v>0.0</v>
      </c>
      <c r="G781" s="62" t="s">
        <v>5712</v>
      </c>
      <c r="H781" s="62" t="s">
        <v>5705</v>
      </c>
      <c r="I781" s="62" t="s">
        <v>13</v>
      </c>
      <c r="J781" s="118" t="s">
        <v>5708</v>
      </c>
      <c r="K781" s="130" t="s">
        <v>163</v>
      </c>
      <c r="L781" s="62">
        <v>1.0</v>
      </c>
      <c r="M781" s="132"/>
      <c r="N781" s="1">
        <v>1.0</v>
      </c>
      <c r="O781" s="1" t="s">
        <v>5713</v>
      </c>
    </row>
    <row r="782" ht="15.75" hidden="1" customHeight="1">
      <c r="A782" s="127">
        <v>45665.0</v>
      </c>
      <c r="B782" s="128">
        <v>45755.0</v>
      </c>
      <c r="C782" s="128">
        <v>45846.0</v>
      </c>
      <c r="D782" s="123" t="s">
        <v>4</v>
      </c>
      <c r="E782" s="123">
        <v>1270458.0</v>
      </c>
      <c r="F782" s="124">
        <v>0.0</v>
      </c>
      <c r="G782" s="124" t="s">
        <v>5712</v>
      </c>
      <c r="H782" s="124" t="s">
        <v>5705</v>
      </c>
      <c r="I782" s="124" t="s">
        <v>13</v>
      </c>
      <c r="J782" s="124" t="s">
        <v>5708</v>
      </c>
      <c r="K782" s="125" t="s">
        <v>155</v>
      </c>
      <c r="L782" s="125">
        <v>18.0</v>
      </c>
      <c r="M782" s="126">
        <v>4.0</v>
      </c>
      <c r="N782" s="1">
        <v>4.5</v>
      </c>
      <c r="O782" s="1">
        <v>4.5</v>
      </c>
    </row>
    <row r="783" ht="15.75" hidden="1" customHeight="1">
      <c r="A783" s="129">
        <v>45665.0</v>
      </c>
      <c r="B783" s="131">
        <v>45755.0</v>
      </c>
      <c r="C783" s="131">
        <v>45908.0</v>
      </c>
      <c r="D783" s="117" t="s">
        <v>4</v>
      </c>
      <c r="E783" s="117">
        <v>1270458.0</v>
      </c>
      <c r="F783" s="62">
        <v>0.0</v>
      </c>
      <c r="G783" s="62" t="s">
        <v>5712</v>
      </c>
      <c r="H783" s="62" t="s">
        <v>5705</v>
      </c>
      <c r="I783" s="62" t="s">
        <v>13</v>
      </c>
      <c r="J783" s="118" t="s">
        <v>5708</v>
      </c>
      <c r="K783" s="130" t="s">
        <v>147</v>
      </c>
      <c r="L783" s="62">
        <v>0.0</v>
      </c>
      <c r="M783" s="132">
        <v>2.0</v>
      </c>
      <c r="N783" s="1">
        <v>0.0</v>
      </c>
      <c r="O783" s="1">
        <v>0.0</v>
      </c>
    </row>
    <row r="784" ht="15.75" hidden="1" customHeight="1">
      <c r="A784" s="127">
        <v>45665.0</v>
      </c>
      <c r="B784" s="128">
        <v>45755.0</v>
      </c>
      <c r="C784" s="128">
        <v>45908.0</v>
      </c>
      <c r="D784" s="123" t="s">
        <v>4</v>
      </c>
      <c r="E784" s="123">
        <v>1270458.0</v>
      </c>
      <c r="F784" s="124">
        <v>0.0</v>
      </c>
      <c r="G784" s="124" t="s">
        <v>5712</v>
      </c>
      <c r="H784" s="124" t="s">
        <v>5705</v>
      </c>
      <c r="I784" s="123" t="s">
        <v>13</v>
      </c>
      <c r="J784" s="124" t="s">
        <v>5708</v>
      </c>
      <c r="K784" s="125" t="s">
        <v>147</v>
      </c>
      <c r="L784" s="125">
        <v>0.0</v>
      </c>
      <c r="M784" s="126">
        <v>3.0</v>
      </c>
      <c r="N784" s="1">
        <v>0.0</v>
      </c>
      <c r="O784" s="1">
        <v>0.0</v>
      </c>
    </row>
    <row r="785" ht="15.75" hidden="1" customHeight="1">
      <c r="A785" s="129">
        <v>45665.0</v>
      </c>
      <c r="B785" s="131">
        <v>45755.0</v>
      </c>
      <c r="C785" s="131">
        <v>45908.0</v>
      </c>
      <c r="D785" s="117" t="s">
        <v>4</v>
      </c>
      <c r="E785" s="117">
        <v>1270458.0</v>
      </c>
      <c r="F785" s="62">
        <v>0.0</v>
      </c>
      <c r="G785" s="62" t="s">
        <v>5712</v>
      </c>
      <c r="H785" s="62" t="s">
        <v>5705</v>
      </c>
      <c r="I785" s="62" t="s">
        <v>13</v>
      </c>
      <c r="J785" s="118" t="s">
        <v>5708</v>
      </c>
      <c r="K785" s="130" t="s">
        <v>153</v>
      </c>
      <c r="L785" s="62">
        <v>222.46</v>
      </c>
      <c r="M785" s="132">
        <v>70.0</v>
      </c>
      <c r="N785" s="1">
        <v>3.178</v>
      </c>
      <c r="O785" s="1">
        <v>3.178</v>
      </c>
    </row>
    <row r="786" ht="15.75" hidden="1" customHeight="1">
      <c r="A786" s="127">
        <v>45665.0</v>
      </c>
      <c r="B786" s="128">
        <v>45755.0</v>
      </c>
      <c r="C786" s="128">
        <v>45908.0</v>
      </c>
      <c r="D786" s="123" t="s">
        <v>4</v>
      </c>
      <c r="E786" s="123">
        <v>1270458.0</v>
      </c>
      <c r="F786" s="124">
        <v>0.0</v>
      </c>
      <c r="G786" s="124" t="s">
        <v>5712</v>
      </c>
      <c r="H786" s="124" t="s">
        <v>5705</v>
      </c>
      <c r="I786" s="124" t="s">
        <v>13</v>
      </c>
      <c r="J786" s="124" t="s">
        <v>5708</v>
      </c>
      <c r="K786" s="125" t="s">
        <v>160</v>
      </c>
      <c r="L786" s="125">
        <v>0.0</v>
      </c>
      <c r="M786" s="126">
        <v>85.0</v>
      </c>
      <c r="N786" s="1">
        <v>0.0</v>
      </c>
      <c r="O786" s="1">
        <v>0.0</v>
      </c>
    </row>
    <row r="787" ht="15.75" hidden="1" customHeight="1">
      <c r="A787" s="129">
        <v>45665.0</v>
      </c>
      <c r="B787" s="137">
        <v>45755.0</v>
      </c>
      <c r="C787" s="131">
        <v>45908.0</v>
      </c>
      <c r="D787" s="117" t="s">
        <v>4</v>
      </c>
      <c r="E787" s="117">
        <v>1270458.0</v>
      </c>
      <c r="F787" s="62">
        <v>0.0</v>
      </c>
      <c r="G787" s="62" t="s">
        <v>5712</v>
      </c>
      <c r="H787" s="62" t="s">
        <v>5705</v>
      </c>
      <c r="I787" s="62" t="s">
        <v>13</v>
      </c>
      <c r="J787" s="118" t="s">
        <v>5708</v>
      </c>
      <c r="K787" s="130" t="s">
        <v>142</v>
      </c>
      <c r="L787" s="62">
        <v>70.0</v>
      </c>
      <c r="M787" s="132"/>
      <c r="N787" s="1">
        <v>70.0</v>
      </c>
      <c r="O787" s="1" t="s">
        <v>5713</v>
      </c>
    </row>
    <row r="788" ht="15.75" customHeight="1">
      <c r="A788" s="127">
        <v>45665.0</v>
      </c>
      <c r="B788" s="138">
        <v>45755.0</v>
      </c>
      <c r="C788" s="128">
        <v>45908.0</v>
      </c>
      <c r="D788" s="123" t="s">
        <v>4</v>
      </c>
      <c r="E788" s="123">
        <v>1270458.0</v>
      </c>
      <c r="F788" s="124">
        <v>0.0</v>
      </c>
      <c r="G788" s="124" t="s">
        <v>5712</v>
      </c>
      <c r="H788" s="124" t="s">
        <v>5705</v>
      </c>
      <c r="I788" s="124" t="s">
        <v>13</v>
      </c>
      <c r="J788" s="124" t="s">
        <v>5708</v>
      </c>
      <c r="K788" s="125" t="s">
        <v>139</v>
      </c>
      <c r="L788" s="124">
        <v>70.0</v>
      </c>
      <c r="M788" s="126">
        <v>3.707666667</v>
      </c>
      <c r="N788" s="1">
        <v>18.87979862</v>
      </c>
      <c r="O788" s="1">
        <v>18.87979862</v>
      </c>
    </row>
    <row r="789" ht="15.75" hidden="1" customHeight="1">
      <c r="A789" s="129">
        <v>45665.0</v>
      </c>
      <c r="B789" s="131">
        <v>45755.0</v>
      </c>
      <c r="C789" s="131">
        <v>45908.0</v>
      </c>
      <c r="D789" s="117" t="s">
        <v>4</v>
      </c>
      <c r="E789" s="117">
        <v>1270458.0</v>
      </c>
      <c r="F789" s="62">
        <v>0.0</v>
      </c>
      <c r="G789" s="62" t="s">
        <v>5712</v>
      </c>
      <c r="H789" s="62" t="s">
        <v>5705</v>
      </c>
      <c r="I789" s="62" t="s">
        <v>13</v>
      </c>
      <c r="J789" s="118" t="s">
        <v>5708</v>
      </c>
      <c r="K789" s="130" t="s">
        <v>147</v>
      </c>
      <c r="L789" s="130">
        <v>0.0</v>
      </c>
      <c r="M789" s="133">
        <v>1.0</v>
      </c>
      <c r="N789" s="1">
        <v>0.0</v>
      </c>
      <c r="O789" s="1">
        <v>0.0</v>
      </c>
    </row>
    <row r="790" ht="15.75" hidden="1" customHeight="1">
      <c r="A790" s="127">
        <v>45665.0</v>
      </c>
      <c r="B790" s="128">
        <v>45755.0</v>
      </c>
      <c r="C790" s="128">
        <v>45908.0</v>
      </c>
      <c r="D790" s="123" t="s">
        <v>4</v>
      </c>
      <c r="E790" s="123">
        <v>1270458.0</v>
      </c>
      <c r="F790" s="124">
        <v>0.0</v>
      </c>
      <c r="G790" s="124" t="s">
        <v>5712</v>
      </c>
      <c r="H790" s="124" t="s">
        <v>5705</v>
      </c>
      <c r="I790" s="124" t="s">
        <v>13</v>
      </c>
      <c r="J790" s="124" t="s">
        <v>5708</v>
      </c>
      <c r="K790" s="125" t="s">
        <v>160</v>
      </c>
      <c r="L790" s="124">
        <v>0.0</v>
      </c>
      <c r="M790" s="126">
        <v>1.0</v>
      </c>
      <c r="N790" s="1">
        <v>0.0</v>
      </c>
      <c r="O790" s="1">
        <v>0.0</v>
      </c>
    </row>
    <row r="791" ht="15.75" hidden="1" customHeight="1">
      <c r="A791" s="129">
        <v>45665.0</v>
      </c>
      <c r="B791" s="131">
        <v>45755.0</v>
      </c>
      <c r="C791" s="131">
        <v>45938.0</v>
      </c>
      <c r="D791" s="117" t="s">
        <v>4</v>
      </c>
      <c r="E791" s="117">
        <v>1270458.0</v>
      </c>
      <c r="F791" s="62">
        <v>0.0</v>
      </c>
      <c r="G791" s="62" t="s">
        <v>5712</v>
      </c>
      <c r="H791" s="62" t="s">
        <v>5705</v>
      </c>
      <c r="I791" s="62" t="s">
        <v>13</v>
      </c>
      <c r="J791" s="118" t="s">
        <v>5708</v>
      </c>
      <c r="K791" s="130" t="s">
        <v>160</v>
      </c>
      <c r="L791" s="130">
        <v>0.0</v>
      </c>
      <c r="M791" s="132">
        <v>2.0</v>
      </c>
      <c r="N791" s="1">
        <v>0.0</v>
      </c>
      <c r="O791" s="1">
        <v>0.0</v>
      </c>
    </row>
    <row r="792" ht="15.75" hidden="1" customHeight="1">
      <c r="A792" s="127">
        <v>45665.0</v>
      </c>
      <c r="B792" s="128">
        <v>45755.0</v>
      </c>
      <c r="C792" s="128">
        <v>45938.0</v>
      </c>
      <c r="D792" s="123" t="s">
        <v>4</v>
      </c>
      <c r="E792" s="123">
        <v>1270458.0</v>
      </c>
      <c r="F792" s="124">
        <v>0.0</v>
      </c>
      <c r="G792" s="124" t="s">
        <v>5712</v>
      </c>
      <c r="H792" s="124" t="s">
        <v>5705</v>
      </c>
      <c r="I792" s="124" t="s">
        <v>13</v>
      </c>
      <c r="J792" s="124" t="s">
        <v>5708</v>
      </c>
      <c r="K792" s="125" t="s">
        <v>154</v>
      </c>
      <c r="L792" s="125">
        <v>0.0</v>
      </c>
      <c r="M792" s="134">
        <v>1.0</v>
      </c>
      <c r="N792" s="1">
        <v>0.0</v>
      </c>
      <c r="O792" s="1">
        <v>0.0</v>
      </c>
    </row>
    <row r="793" ht="15.75" hidden="1" customHeight="1">
      <c r="A793" s="129">
        <v>45665.0</v>
      </c>
      <c r="B793" s="131">
        <v>45755.0</v>
      </c>
      <c r="C793" s="131">
        <v>45938.0</v>
      </c>
      <c r="D793" s="117" t="s">
        <v>4</v>
      </c>
      <c r="E793" s="117">
        <v>1270458.0</v>
      </c>
      <c r="F793" s="62">
        <v>0.0</v>
      </c>
      <c r="G793" s="62" t="s">
        <v>5712</v>
      </c>
      <c r="H793" s="62" t="s">
        <v>5705</v>
      </c>
      <c r="I793" s="62" t="s">
        <v>13</v>
      </c>
      <c r="J793" s="118" t="s">
        <v>5708</v>
      </c>
      <c r="K793" s="130" t="s">
        <v>142</v>
      </c>
      <c r="L793" s="130">
        <v>1.0</v>
      </c>
      <c r="M793" s="133"/>
      <c r="N793" s="1">
        <v>1.0</v>
      </c>
      <c r="O793" s="1" t="s">
        <v>5713</v>
      </c>
    </row>
    <row r="794" ht="15.75" hidden="1" customHeight="1">
      <c r="A794" s="127">
        <v>45665.0</v>
      </c>
      <c r="B794" s="128">
        <v>45755.0</v>
      </c>
      <c r="C794" s="128">
        <v>45938.0</v>
      </c>
      <c r="D794" s="123" t="s">
        <v>4</v>
      </c>
      <c r="E794" s="123">
        <v>1270458.0</v>
      </c>
      <c r="F794" s="124">
        <v>0.0</v>
      </c>
      <c r="G794" s="124" t="s">
        <v>5712</v>
      </c>
      <c r="H794" s="124" t="s">
        <v>5705</v>
      </c>
      <c r="I794" s="124" t="s">
        <v>13</v>
      </c>
      <c r="J794" s="124" t="s">
        <v>5708</v>
      </c>
      <c r="K794" s="125" t="s">
        <v>11</v>
      </c>
      <c r="L794" s="124">
        <v>0.0</v>
      </c>
      <c r="M794" s="126">
        <v>6.0</v>
      </c>
      <c r="N794" s="1">
        <v>0.0</v>
      </c>
      <c r="O794" s="1">
        <v>0.0</v>
      </c>
    </row>
    <row r="795" ht="15.75" hidden="1" customHeight="1">
      <c r="A795" s="129">
        <v>45665.0</v>
      </c>
      <c r="B795" s="131">
        <v>45755.0</v>
      </c>
      <c r="C795" s="131">
        <v>45938.0</v>
      </c>
      <c r="D795" s="117" t="s">
        <v>4</v>
      </c>
      <c r="E795" s="117">
        <v>1270458.0</v>
      </c>
      <c r="F795" s="62">
        <v>0.0</v>
      </c>
      <c r="G795" s="62" t="s">
        <v>5712</v>
      </c>
      <c r="H795" s="62" t="s">
        <v>5705</v>
      </c>
      <c r="I795" s="62" t="s">
        <v>13</v>
      </c>
      <c r="J795" s="118" t="s">
        <v>5708</v>
      </c>
      <c r="K795" s="130" t="s">
        <v>154</v>
      </c>
      <c r="L795" s="130">
        <v>11300.0</v>
      </c>
      <c r="M795" s="132">
        <v>158.0</v>
      </c>
      <c r="N795" s="1">
        <v>71.51898734</v>
      </c>
      <c r="O795" s="1">
        <v>71.51898734</v>
      </c>
    </row>
    <row r="796" ht="15.75" customHeight="1">
      <c r="A796" s="127">
        <v>45665.0</v>
      </c>
      <c r="B796" s="128">
        <v>45755.0</v>
      </c>
      <c r="C796" s="128">
        <v>45938.0</v>
      </c>
      <c r="D796" s="123" t="s">
        <v>4</v>
      </c>
      <c r="E796" s="123">
        <v>1270458.0</v>
      </c>
      <c r="F796" s="124">
        <v>0.0</v>
      </c>
      <c r="G796" s="124" t="s">
        <v>5712</v>
      </c>
      <c r="H796" s="124" t="s">
        <v>5705</v>
      </c>
      <c r="I796" s="124" t="s">
        <v>13</v>
      </c>
      <c r="J796" s="124" t="s">
        <v>5708</v>
      </c>
      <c r="K796" s="125" t="s">
        <v>139</v>
      </c>
      <c r="L796" s="124">
        <v>101.0</v>
      </c>
      <c r="M796" s="126">
        <v>5.557666667</v>
      </c>
      <c r="N796" s="1">
        <v>18.17309422</v>
      </c>
      <c r="O796" s="1">
        <v>18.17309422</v>
      </c>
    </row>
    <row r="797" ht="15.75" hidden="1" customHeight="1">
      <c r="A797" s="129">
        <v>45665.0</v>
      </c>
      <c r="B797" s="131">
        <v>45755.0</v>
      </c>
      <c r="C797" s="131">
        <v>45938.0</v>
      </c>
      <c r="D797" s="117" t="s">
        <v>4</v>
      </c>
      <c r="E797" s="117">
        <v>1270458.0</v>
      </c>
      <c r="F797" s="62">
        <v>0.0</v>
      </c>
      <c r="G797" s="62" t="s">
        <v>5712</v>
      </c>
      <c r="H797" s="62" t="s">
        <v>5705</v>
      </c>
      <c r="I797" s="62" t="s">
        <v>13</v>
      </c>
      <c r="J797" s="118" t="s">
        <v>5708</v>
      </c>
      <c r="K797" s="130" t="s">
        <v>163</v>
      </c>
      <c r="L797" s="130">
        <v>2.0</v>
      </c>
      <c r="M797" s="132"/>
      <c r="N797" s="1">
        <v>2.0</v>
      </c>
      <c r="O797" s="1" t="s">
        <v>5713</v>
      </c>
    </row>
    <row r="798" ht="15.75" hidden="1" customHeight="1">
      <c r="A798" s="127">
        <v>45665.0</v>
      </c>
      <c r="B798" s="128">
        <v>45969.0</v>
      </c>
      <c r="C798" s="128">
        <v>45969.0</v>
      </c>
      <c r="D798" s="123" t="s">
        <v>4</v>
      </c>
      <c r="E798" s="123">
        <v>1270458.0</v>
      </c>
      <c r="F798" s="124">
        <v>0.0</v>
      </c>
      <c r="G798" s="124" t="s">
        <v>5712</v>
      </c>
      <c r="H798" s="124" t="s">
        <v>5705</v>
      </c>
      <c r="I798" s="124" t="s">
        <v>13</v>
      </c>
      <c r="J798" s="124" t="s">
        <v>5708</v>
      </c>
      <c r="K798" s="125" t="s">
        <v>153</v>
      </c>
      <c r="L798" s="124">
        <v>0.03</v>
      </c>
      <c r="M798" s="126">
        <v>0.0</v>
      </c>
      <c r="O798" s="1" t="s">
        <v>5713</v>
      </c>
    </row>
    <row r="799" ht="15.75" hidden="1" customHeight="1">
      <c r="A799" s="129">
        <v>45665.0</v>
      </c>
      <c r="B799" s="131">
        <v>45969.0</v>
      </c>
      <c r="C799" s="131">
        <v>45969.0</v>
      </c>
      <c r="D799" s="117" t="s">
        <v>4</v>
      </c>
      <c r="E799" s="117">
        <v>1270458.0</v>
      </c>
      <c r="F799" s="62">
        <v>0.0</v>
      </c>
      <c r="G799" s="62" t="s">
        <v>5712</v>
      </c>
      <c r="H799" s="62" t="s">
        <v>5705</v>
      </c>
      <c r="I799" s="62" t="s">
        <v>13</v>
      </c>
      <c r="J799" s="118" t="s">
        <v>5708</v>
      </c>
      <c r="K799" s="130" t="s">
        <v>147</v>
      </c>
      <c r="L799" s="130">
        <v>400.0</v>
      </c>
      <c r="M799" s="132">
        <v>143.0</v>
      </c>
      <c r="N799" s="1">
        <v>2.797202797</v>
      </c>
      <c r="O799" s="1">
        <v>2.797202797</v>
      </c>
    </row>
    <row r="800" ht="15.75" hidden="1" customHeight="1">
      <c r="A800" s="127">
        <v>45665.0</v>
      </c>
      <c r="B800" s="128">
        <v>45969.0</v>
      </c>
      <c r="C800" s="128">
        <v>45969.0</v>
      </c>
      <c r="D800" s="123" t="s">
        <v>4</v>
      </c>
      <c r="E800" s="123">
        <v>1270458.0</v>
      </c>
      <c r="F800" s="124">
        <v>0.0</v>
      </c>
      <c r="G800" s="124" t="s">
        <v>5712</v>
      </c>
      <c r="H800" s="124" t="s">
        <v>5705</v>
      </c>
      <c r="I800" s="124" t="s">
        <v>13</v>
      </c>
      <c r="J800" s="124" t="s">
        <v>5708</v>
      </c>
      <c r="K800" s="125" t="s">
        <v>160</v>
      </c>
      <c r="L800" s="125">
        <v>0.0</v>
      </c>
      <c r="M800" s="126">
        <v>143.0</v>
      </c>
      <c r="N800" s="1">
        <v>0.0</v>
      </c>
      <c r="O800" s="1">
        <v>0.0</v>
      </c>
    </row>
    <row r="801" ht="15.75" hidden="1" customHeight="1">
      <c r="A801" s="129">
        <v>45665.0</v>
      </c>
      <c r="B801" s="131">
        <v>45969.0</v>
      </c>
      <c r="C801" s="131">
        <v>45969.0</v>
      </c>
      <c r="D801" s="117" t="s">
        <v>4</v>
      </c>
      <c r="E801" s="117">
        <v>1270458.0</v>
      </c>
      <c r="F801" s="62">
        <v>0.0</v>
      </c>
      <c r="G801" s="62" t="s">
        <v>5712</v>
      </c>
      <c r="H801" s="62" t="s">
        <v>5705</v>
      </c>
      <c r="I801" s="62" t="s">
        <v>13</v>
      </c>
      <c r="J801" s="118" t="s">
        <v>5708</v>
      </c>
      <c r="K801" s="130" t="s">
        <v>147</v>
      </c>
      <c r="L801" s="130">
        <v>0.0</v>
      </c>
      <c r="M801" s="132">
        <v>1.0</v>
      </c>
      <c r="N801" s="1">
        <v>0.0</v>
      </c>
      <c r="O801" s="1">
        <v>0.0</v>
      </c>
    </row>
    <row r="802" ht="15.75" hidden="1" customHeight="1">
      <c r="A802" s="127">
        <v>45665.0</v>
      </c>
      <c r="B802" s="128">
        <v>45969.0</v>
      </c>
      <c r="C802" s="128">
        <v>45969.0</v>
      </c>
      <c r="D802" s="123" t="s">
        <v>4</v>
      </c>
      <c r="E802" s="123">
        <v>1270458.0</v>
      </c>
      <c r="F802" s="124">
        <v>0.0</v>
      </c>
      <c r="G802" s="124" t="s">
        <v>5712</v>
      </c>
      <c r="H802" s="124" t="s">
        <v>5705</v>
      </c>
      <c r="I802" s="124" t="s">
        <v>13</v>
      </c>
      <c r="J802" s="124" t="s">
        <v>5708</v>
      </c>
      <c r="K802" s="125" t="s">
        <v>158</v>
      </c>
      <c r="L802" s="125">
        <v>2200.0</v>
      </c>
      <c r="M802" s="126">
        <v>95.0</v>
      </c>
      <c r="N802" s="1">
        <v>23.15789474</v>
      </c>
      <c r="O802" s="1">
        <v>23.15789474</v>
      </c>
    </row>
    <row r="803" ht="15.75" hidden="1" customHeight="1">
      <c r="A803" s="129">
        <v>45665.0</v>
      </c>
      <c r="B803" s="131">
        <v>45969.0</v>
      </c>
      <c r="C803" s="131">
        <v>45969.0</v>
      </c>
      <c r="D803" s="117" t="s">
        <v>4</v>
      </c>
      <c r="E803" s="117">
        <v>1270458.0</v>
      </c>
      <c r="F803" s="62">
        <v>0.0</v>
      </c>
      <c r="G803" s="62" t="s">
        <v>5712</v>
      </c>
      <c r="H803" s="62" t="s">
        <v>5705</v>
      </c>
      <c r="I803" s="62" t="s">
        <v>13</v>
      </c>
      <c r="J803" s="118" t="s">
        <v>5708</v>
      </c>
      <c r="K803" s="130" t="s">
        <v>163</v>
      </c>
      <c r="L803" s="130">
        <v>1.0</v>
      </c>
      <c r="M803" s="132"/>
      <c r="N803" s="1">
        <v>1.0</v>
      </c>
      <c r="O803" s="1" t="s">
        <v>5713</v>
      </c>
    </row>
    <row r="804" ht="15.75" hidden="1" customHeight="1">
      <c r="A804" s="127">
        <v>45665.0</v>
      </c>
      <c r="B804" s="128">
        <v>45969.0</v>
      </c>
      <c r="C804" s="128">
        <v>45999.0</v>
      </c>
      <c r="D804" s="123" t="s">
        <v>4</v>
      </c>
      <c r="E804" s="123">
        <v>1270458.0</v>
      </c>
      <c r="F804" s="124">
        <v>0.0</v>
      </c>
      <c r="G804" s="124" t="s">
        <v>5712</v>
      </c>
      <c r="H804" s="124" t="s">
        <v>5705</v>
      </c>
      <c r="I804" s="124" t="s">
        <v>13</v>
      </c>
      <c r="J804" s="124" t="s">
        <v>5708</v>
      </c>
      <c r="K804" s="125" t="s">
        <v>163</v>
      </c>
      <c r="L804" s="125">
        <v>1.0</v>
      </c>
      <c r="M804" s="126"/>
      <c r="N804" s="1">
        <v>1.0</v>
      </c>
      <c r="O804" s="1" t="s">
        <v>5713</v>
      </c>
    </row>
    <row r="805" ht="15.75" hidden="1" customHeight="1">
      <c r="A805" s="129">
        <v>45665.0</v>
      </c>
      <c r="B805" s="131">
        <v>45969.0</v>
      </c>
      <c r="C805" s="131">
        <v>45999.0</v>
      </c>
      <c r="D805" s="117" t="s">
        <v>4</v>
      </c>
      <c r="E805" s="117">
        <v>1270458.0</v>
      </c>
      <c r="F805" s="62">
        <v>0.0</v>
      </c>
      <c r="G805" s="62" t="s">
        <v>5712</v>
      </c>
      <c r="H805" s="62" t="s">
        <v>5705</v>
      </c>
      <c r="I805" s="62" t="s">
        <v>13</v>
      </c>
      <c r="J805" s="118" t="s">
        <v>5708</v>
      </c>
      <c r="K805" s="130" t="s">
        <v>163</v>
      </c>
      <c r="L805" s="62">
        <v>2.0</v>
      </c>
      <c r="M805" s="132"/>
      <c r="N805" s="1">
        <v>2.0</v>
      </c>
      <c r="O805" s="1" t="s">
        <v>5713</v>
      </c>
    </row>
    <row r="806" ht="15.75" hidden="1" customHeight="1">
      <c r="A806" s="127">
        <v>45665.0</v>
      </c>
      <c r="B806" s="128">
        <v>45969.0</v>
      </c>
      <c r="C806" s="128">
        <v>45999.0</v>
      </c>
      <c r="D806" s="123" t="s">
        <v>4</v>
      </c>
      <c r="E806" s="123">
        <v>1270458.0</v>
      </c>
      <c r="F806" s="124">
        <v>0.0</v>
      </c>
      <c r="G806" s="124" t="s">
        <v>5712</v>
      </c>
      <c r="H806" s="124" t="s">
        <v>5705</v>
      </c>
      <c r="I806" s="124" t="s">
        <v>5708</v>
      </c>
      <c r="J806" s="124" t="s">
        <v>5708</v>
      </c>
      <c r="K806" s="125" t="s">
        <v>7</v>
      </c>
      <c r="L806" s="125">
        <v>0.0</v>
      </c>
      <c r="M806" s="126">
        <v>19.0</v>
      </c>
      <c r="N806" s="1">
        <v>0.0</v>
      </c>
      <c r="O806" s="1">
        <v>0.0</v>
      </c>
    </row>
    <row r="807" ht="15.75" hidden="1" customHeight="1">
      <c r="A807" s="129">
        <v>45665.0</v>
      </c>
      <c r="B807" s="131">
        <v>45969.0</v>
      </c>
      <c r="C807" s="131">
        <v>45999.0</v>
      </c>
      <c r="D807" s="117" t="s">
        <v>4</v>
      </c>
      <c r="E807" s="117">
        <v>1270458.0</v>
      </c>
      <c r="F807" s="62">
        <v>0.0</v>
      </c>
      <c r="G807" s="62" t="s">
        <v>5712</v>
      </c>
      <c r="H807" s="62" t="s">
        <v>5705</v>
      </c>
      <c r="I807" s="62" t="s">
        <v>13</v>
      </c>
      <c r="J807" s="118" t="s">
        <v>5708</v>
      </c>
      <c r="K807" s="130" t="s">
        <v>154</v>
      </c>
      <c r="L807" s="130">
        <v>13900.0</v>
      </c>
      <c r="M807" s="132">
        <v>245.0</v>
      </c>
      <c r="N807" s="1">
        <v>56.73469388</v>
      </c>
      <c r="O807" s="1">
        <v>56.73469388</v>
      </c>
    </row>
    <row r="808" ht="15.75" hidden="1" customHeight="1">
      <c r="A808" s="127">
        <v>45665.0</v>
      </c>
      <c r="B808" s="128">
        <v>45969.0</v>
      </c>
      <c r="C808" s="128">
        <v>45999.0</v>
      </c>
      <c r="D808" s="123" t="s">
        <v>4</v>
      </c>
      <c r="E808" s="123">
        <v>1270458.0</v>
      </c>
      <c r="F808" s="124">
        <v>0.0</v>
      </c>
      <c r="G808" s="124" t="s">
        <v>5712</v>
      </c>
      <c r="H808" s="124" t="s">
        <v>5705</v>
      </c>
      <c r="I808" s="124" t="s">
        <v>13</v>
      </c>
      <c r="J808" s="124" t="s">
        <v>5708</v>
      </c>
      <c r="K808" s="125" t="s">
        <v>155</v>
      </c>
      <c r="L808" s="124">
        <v>80.0</v>
      </c>
      <c r="M808" s="126">
        <v>19.0</v>
      </c>
      <c r="N808" s="1">
        <v>4.210526316</v>
      </c>
      <c r="O808" s="1">
        <v>4.210526316</v>
      </c>
    </row>
    <row r="809" ht="15.75" hidden="1" customHeight="1">
      <c r="A809" s="129">
        <v>45665.0</v>
      </c>
      <c r="B809" s="131">
        <v>45969.0</v>
      </c>
      <c r="C809" s="131">
        <v>45999.0</v>
      </c>
      <c r="D809" s="117" t="s">
        <v>4</v>
      </c>
      <c r="E809" s="117">
        <v>1270458.0</v>
      </c>
      <c r="F809" s="62">
        <v>0.0</v>
      </c>
      <c r="G809" s="62" t="s">
        <v>5712</v>
      </c>
      <c r="H809" s="62" t="s">
        <v>5705</v>
      </c>
      <c r="I809" s="62" t="s">
        <v>13</v>
      </c>
      <c r="J809" s="118" t="s">
        <v>5708</v>
      </c>
      <c r="K809" s="130" t="s">
        <v>12</v>
      </c>
      <c r="L809" s="62">
        <v>100.0</v>
      </c>
      <c r="M809" s="132">
        <v>1.0</v>
      </c>
      <c r="N809" s="1">
        <v>100.0</v>
      </c>
      <c r="O809" s="1">
        <v>100.0</v>
      </c>
    </row>
    <row r="810" ht="15.75" hidden="1" customHeight="1">
      <c r="A810" s="127">
        <v>45665.0</v>
      </c>
      <c r="B810" s="128">
        <v>45969.0</v>
      </c>
      <c r="C810" s="128">
        <v>45999.0</v>
      </c>
      <c r="D810" s="123" t="s">
        <v>4</v>
      </c>
      <c r="E810" s="123">
        <v>1270458.0</v>
      </c>
      <c r="F810" s="124">
        <v>0.0</v>
      </c>
      <c r="G810" s="124" t="s">
        <v>5712</v>
      </c>
      <c r="H810" s="124" t="s">
        <v>5705</v>
      </c>
      <c r="I810" s="124" t="s">
        <v>13</v>
      </c>
      <c r="J810" s="124" t="s">
        <v>5708</v>
      </c>
      <c r="K810" s="125" t="s">
        <v>160</v>
      </c>
      <c r="L810" s="125">
        <v>0.0</v>
      </c>
      <c r="M810" s="126">
        <v>8.0</v>
      </c>
      <c r="N810" s="1">
        <v>0.0</v>
      </c>
      <c r="O810" s="1">
        <v>0.0</v>
      </c>
    </row>
    <row r="811" ht="15.75" hidden="1" customHeight="1">
      <c r="A811" s="129">
        <v>45665.0</v>
      </c>
      <c r="B811" s="137">
        <v>45969.0</v>
      </c>
      <c r="C811" s="130" t="s">
        <v>5714</v>
      </c>
      <c r="D811" s="117" t="s">
        <v>4</v>
      </c>
      <c r="E811" s="117">
        <v>1270458.0</v>
      </c>
      <c r="F811" s="62">
        <v>0.0</v>
      </c>
      <c r="G811" s="62" t="s">
        <v>5712</v>
      </c>
      <c r="H811" s="62" t="s">
        <v>5705</v>
      </c>
      <c r="I811" s="62" t="s">
        <v>13</v>
      </c>
      <c r="J811" s="118" t="s">
        <v>5708</v>
      </c>
      <c r="K811" s="130" t="s">
        <v>163</v>
      </c>
      <c r="L811" s="62">
        <v>4.0</v>
      </c>
      <c r="M811" s="132"/>
      <c r="N811" s="1">
        <v>4.0</v>
      </c>
      <c r="O811" s="1" t="s">
        <v>5713</v>
      </c>
    </row>
    <row r="812" ht="15.75" hidden="1" customHeight="1">
      <c r="A812" s="127">
        <v>45665.0</v>
      </c>
      <c r="B812" s="138">
        <v>45969.0</v>
      </c>
      <c r="C812" s="125" t="s">
        <v>5714</v>
      </c>
      <c r="D812" s="123" t="s">
        <v>4</v>
      </c>
      <c r="E812" s="123">
        <v>1270458.0</v>
      </c>
      <c r="F812" s="124">
        <v>0.0</v>
      </c>
      <c r="G812" s="124" t="s">
        <v>5712</v>
      </c>
      <c r="H812" s="124" t="s">
        <v>5705</v>
      </c>
      <c r="I812" s="124" t="s">
        <v>13</v>
      </c>
      <c r="J812" s="124" t="s">
        <v>5708</v>
      </c>
      <c r="K812" s="125" t="s">
        <v>147</v>
      </c>
      <c r="L812" s="124">
        <v>0.0</v>
      </c>
      <c r="M812" s="126">
        <v>1.0</v>
      </c>
      <c r="N812" s="1">
        <v>0.0</v>
      </c>
      <c r="O812" s="1">
        <v>0.0</v>
      </c>
    </row>
    <row r="813" ht="15.75" hidden="1" customHeight="1">
      <c r="A813" s="129">
        <v>45665.0</v>
      </c>
      <c r="B813" s="137">
        <v>45969.0</v>
      </c>
      <c r="C813" s="130" t="s">
        <v>5714</v>
      </c>
      <c r="D813" s="117" t="s">
        <v>4</v>
      </c>
      <c r="E813" s="117">
        <v>1270458.0</v>
      </c>
      <c r="F813" s="62">
        <v>0.0</v>
      </c>
      <c r="G813" s="62" t="s">
        <v>5712</v>
      </c>
      <c r="H813" s="62" t="s">
        <v>5705</v>
      </c>
      <c r="I813" s="62" t="s">
        <v>13</v>
      </c>
      <c r="J813" s="118" t="s">
        <v>5708</v>
      </c>
      <c r="K813" s="130" t="s">
        <v>156</v>
      </c>
      <c r="L813" s="62">
        <v>7400.0</v>
      </c>
      <c r="M813" s="132">
        <v>126.0</v>
      </c>
      <c r="N813" s="1">
        <v>58.73015873</v>
      </c>
      <c r="O813" s="1">
        <v>58.73015873</v>
      </c>
    </row>
    <row r="814" ht="15.75" hidden="1" customHeight="1">
      <c r="A814" s="127">
        <v>45665.0</v>
      </c>
      <c r="B814" s="138">
        <v>45969.0</v>
      </c>
      <c r="C814" s="125" t="s">
        <v>5714</v>
      </c>
      <c r="D814" s="123" t="s">
        <v>4</v>
      </c>
      <c r="E814" s="123">
        <v>1270458.0</v>
      </c>
      <c r="F814" s="124">
        <v>0.0</v>
      </c>
      <c r="G814" s="124" t="s">
        <v>5712</v>
      </c>
      <c r="H814" s="124" t="s">
        <v>5705</v>
      </c>
      <c r="I814" s="124" t="s">
        <v>13</v>
      </c>
      <c r="J814" s="124" t="s">
        <v>5708</v>
      </c>
      <c r="K814" s="125" t="s">
        <v>163</v>
      </c>
      <c r="L814" s="124">
        <v>6.0</v>
      </c>
      <c r="M814" s="126"/>
      <c r="N814" s="1">
        <v>6.0</v>
      </c>
      <c r="O814" s="1" t="s">
        <v>5713</v>
      </c>
    </row>
    <row r="815" ht="15.75" hidden="1" customHeight="1">
      <c r="A815" s="129">
        <v>45665.0</v>
      </c>
      <c r="B815" s="137">
        <v>45969.0</v>
      </c>
      <c r="C815" s="130" t="s">
        <v>5714</v>
      </c>
      <c r="D815" s="117" t="s">
        <v>4</v>
      </c>
      <c r="E815" s="117">
        <v>1270458.0</v>
      </c>
      <c r="F815" s="62">
        <v>0.0</v>
      </c>
      <c r="G815" s="62" t="s">
        <v>5712</v>
      </c>
      <c r="H815" s="62" t="s">
        <v>5705</v>
      </c>
      <c r="I815" s="62" t="s">
        <v>13</v>
      </c>
      <c r="J815" s="118" t="s">
        <v>5708</v>
      </c>
      <c r="K815" s="130" t="s">
        <v>147</v>
      </c>
      <c r="L815" s="62">
        <v>0.0</v>
      </c>
      <c r="M815" s="132">
        <v>1.0</v>
      </c>
      <c r="N815" s="1">
        <v>0.0</v>
      </c>
      <c r="O815" s="1">
        <v>0.0</v>
      </c>
    </row>
    <row r="816" ht="15.75" hidden="1" customHeight="1">
      <c r="A816" s="127">
        <v>45665.0</v>
      </c>
      <c r="B816" s="138">
        <v>45969.0</v>
      </c>
      <c r="C816" s="125" t="s">
        <v>5715</v>
      </c>
      <c r="D816" s="123" t="s">
        <v>4</v>
      </c>
      <c r="E816" s="123">
        <v>1270458.0</v>
      </c>
      <c r="F816" s="124">
        <v>0.0</v>
      </c>
      <c r="G816" s="124" t="s">
        <v>5712</v>
      </c>
      <c r="H816" s="124" t="s">
        <v>5705</v>
      </c>
      <c r="I816" s="124" t="s">
        <v>13</v>
      </c>
      <c r="J816" s="124" t="s">
        <v>5708</v>
      </c>
      <c r="K816" s="125" t="s">
        <v>156</v>
      </c>
      <c r="L816" s="125">
        <v>3400.0</v>
      </c>
      <c r="M816" s="126">
        <v>47.0</v>
      </c>
      <c r="N816" s="1">
        <v>72.34042553</v>
      </c>
      <c r="O816" s="1">
        <v>72.34042553</v>
      </c>
    </row>
    <row r="817" ht="15.75" hidden="1" customHeight="1">
      <c r="A817" s="129">
        <v>45665.0</v>
      </c>
      <c r="B817" s="137">
        <v>45969.0</v>
      </c>
      <c r="C817" s="130" t="s">
        <v>5715</v>
      </c>
      <c r="D817" s="117" t="s">
        <v>4</v>
      </c>
      <c r="E817" s="117">
        <v>1270458.0</v>
      </c>
      <c r="F817" s="62">
        <v>0.0</v>
      </c>
      <c r="G817" s="62" t="s">
        <v>5712</v>
      </c>
      <c r="H817" s="62" t="s">
        <v>5705</v>
      </c>
      <c r="I817" s="62" t="s">
        <v>13</v>
      </c>
      <c r="J817" s="118" t="s">
        <v>5708</v>
      </c>
      <c r="K817" s="130" t="s">
        <v>160</v>
      </c>
      <c r="L817" s="130">
        <v>0.0</v>
      </c>
      <c r="M817" s="132">
        <v>47.0</v>
      </c>
      <c r="N817" s="1">
        <v>0.0</v>
      </c>
      <c r="O817" s="1">
        <v>0.0</v>
      </c>
    </row>
    <row r="818" ht="15.75" hidden="1" customHeight="1">
      <c r="A818" s="127">
        <v>45665.0</v>
      </c>
      <c r="B818" s="138">
        <v>45969.0</v>
      </c>
      <c r="C818" s="125" t="s">
        <v>5716</v>
      </c>
      <c r="D818" s="123" t="s">
        <v>4</v>
      </c>
      <c r="E818" s="123">
        <v>1270458.0</v>
      </c>
      <c r="F818" s="124">
        <v>0.0</v>
      </c>
      <c r="G818" s="124" t="s">
        <v>5712</v>
      </c>
      <c r="H818" s="124" t="s">
        <v>5705</v>
      </c>
      <c r="I818" s="124" t="s">
        <v>13</v>
      </c>
      <c r="J818" s="124" t="s">
        <v>5708</v>
      </c>
      <c r="K818" s="125" t="s">
        <v>163</v>
      </c>
      <c r="L818" s="125">
        <v>3.0</v>
      </c>
      <c r="M818" s="126"/>
      <c r="N818" s="1">
        <v>3.0</v>
      </c>
      <c r="O818" s="1" t="s">
        <v>5713</v>
      </c>
    </row>
    <row r="819" ht="15.75" customHeight="1">
      <c r="A819" s="129">
        <v>45665.0</v>
      </c>
      <c r="B819" s="137">
        <v>45969.0</v>
      </c>
      <c r="C819" s="130" t="s">
        <v>5716</v>
      </c>
      <c r="D819" s="117" t="s">
        <v>4</v>
      </c>
      <c r="E819" s="117">
        <v>1270458.0</v>
      </c>
      <c r="F819" s="62">
        <v>0.0</v>
      </c>
      <c r="G819" s="62" t="s">
        <v>5712</v>
      </c>
      <c r="H819" s="62" t="s">
        <v>5705</v>
      </c>
      <c r="I819" s="62" t="s">
        <v>13</v>
      </c>
      <c r="J819" s="118" t="s">
        <v>5708</v>
      </c>
      <c r="K819" s="130" t="s">
        <v>139</v>
      </c>
      <c r="L819" s="130">
        <v>3.0</v>
      </c>
      <c r="M819" s="132">
        <v>0.089666667</v>
      </c>
      <c r="N819" s="1">
        <v>33.45724907</v>
      </c>
      <c r="O819" s="1">
        <v>33.45724907</v>
      </c>
    </row>
    <row r="820" ht="15.75" customHeight="1">
      <c r="A820" s="127">
        <v>45665.0</v>
      </c>
      <c r="B820" s="128">
        <v>45969.0</v>
      </c>
      <c r="C820" s="125" t="s">
        <v>5716</v>
      </c>
      <c r="D820" s="123" t="s">
        <v>4</v>
      </c>
      <c r="E820" s="123">
        <v>1270458.0</v>
      </c>
      <c r="F820" s="124">
        <v>0.0</v>
      </c>
      <c r="G820" s="124" t="s">
        <v>5712</v>
      </c>
      <c r="H820" s="124" t="s">
        <v>5705</v>
      </c>
      <c r="I820" s="124" t="s">
        <v>13</v>
      </c>
      <c r="J820" s="124" t="s">
        <v>5708</v>
      </c>
      <c r="K820" s="125" t="s">
        <v>139</v>
      </c>
      <c r="L820" s="125">
        <v>76.0</v>
      </c>
      <c r="M820" s="126">
        <v>4.987166667</v>
      </c>
      <c r="N820" s="1">
        <v>15.23911373</v>
      </c>
      <c r="O820" s="1">
        <v>15.23911373</v>
      </c>
    </row>
    <row r="821" ht="15.75" hidden="1" customHeight="1">
      <c r="A821" s="129">
        <v>45665.0</v>
      </c>
      <c r="B821" s="131">
        <v>45969.0</v>
      </c>
      <c r="C821" s="130" t="s">
        <v>5717</v>
      </c>
      <c r="D821" s="117" t="s">
        <v>4</v>
      </c>
      <c r="E821" s="117">
        <v>1270458.0</v>
      </c>
      <c r="F821" s="62">
        <v>0.0</v>
      </c>
      <c r="G821" s="62" t="s">
        <v>5712</v>
      </c>
      <c r="H821" s="62" t="s">
        <v>5705</v>
      </c>
      <c r="I821" s="62" t="s">
        <v>13</v>
      </c>
      <c r="J821" s="118" t="s">
        <v>5708</v>
      </c>
      <c r="K821" s="130" t="s">
        <v>160</v>
      </c>
      <c r="L821" s="130">
        <v>0.0</v>
      </c>
      <c r="M821" s="132">
        <v>4.0</v>
      </c>
      <c r="N821" s="1">
        <v>0.0</v>
      </c>
      <c r="O821" s="1">
        <v>0.0</v>
      </c>
    </row>
    <row r="822" ht="15.75" hidden="1" customHeight="1">
      <c r="A822" s="127">
        <v>45665.0</v>
      </c>
      <c r="B822" s="128">
        <v>45969.0</v>
      </c>
      <c r="C822" s="125" t="s">
        <v>5717</v>
      </c>
      <c r="D822" s="123" t="s">
        <v>4</v>
      </c>
      <c r="E822" s="123">
        <v>1270458.0</v>
      </c>
      <c r="F822" s="124">
        <v>0.0</v>
      </c>
      <c r="G822" s="124" t="s">
        <v>5712</v>
      </c>
      <c r="H822" s="124" t="s">
        <v>5705</v>
      </c>
      <c r="I822" s="124" t="s">
        <v>13</v>
      </c>
      <c r="J822" s="124" t="s">
        <v>5708</v>
      </c>
      <c r="K822" s="125" t="s">
        <v>163</v>
      </c>
      <c r="L822" s="125">
        <v>4.0</v>
      </c>
      <c r="M822" s="126"/>
      <c r="N822" s="1">
        <v>4.0</v>
      </c>
      <c r="O822" s="1" t="s">
        <v>5713</v>
      </c>
    </row>
    <row r="823" ht="15.75" hidden="1" customHeight="1">
      <c r="A823" s="129">
        <v>45665.0</v>
      </c>
      <c r="B823" s="131">
        <v>45969.0</v>
      </c>
      <c r="C823" s="130" t="s">
        <v>5717</v>
      </c>
      <c r="D823" s="117" t="s">
        <v>4</v>
      </c>
      <c r="E823" s="117">
        <v>1270458.0</v>
      </c>
      <c r="F823" s="62">
        <v>0.0</v>
      </c>
      <c r="G823" s="62" t="s">
        <v>5712</v>
      </c>
      <c r="H823" s="62" t="s">
        <v>5705</v>
      </c>
      <c r="I823" s="62" t="s">
        <v>13</v>
      </c>
      <c r="J823" s="118" t="s">
        <v>5708</v>
      </c>
      <c r="K823" s="130" t="s">
        <v>147</v>
      </c>
      <c r="L823" s="130">
        <v>0.0</v>
      </c>
      <c r="M823" s="132">
        <v>2.0</v>
      </c>
      <c r="N823" s="1">
        <v>0.0</v>
      </c>
      <c r="O823" s="1">
        <v>0.0</v>
      </c>
    </row>
    <row r="824" ht="15.75" hidden="1" customHeight="1">
      <c r="A824" s="127">
        <v>45665.0</v>
      </c>
      <c r="B824" s="128">
        <v>45969.0</v>
      </c>
      <c r="C824" s="125" t="s">
        <v>5717</v>
      </c>
      <c r="D824" s="123" t="s">
        <v>4</v>
      </c>
      <c r="E824" s="123">
        <v>1270458.0</v>
      </c>
      <c r="F824" s="124">
        <v>0.0</v>
      </c>
      <c r="G824" s="124" t="s">
        <v>5712</v>
      </c>
      <c r="H824" s="124" t="s">
        <v>5705</v>
      </c>
      <c r="I824" s="124" t="s">
        <v>13</v>
      </c>
      <c r="J824" s="124" t="s">
        <v>5708</v>
      </c>
      <c r="K824" s="125" t="s">
        <v>160</v>
      </c>
      <c r="L824" s="124">
        <v>0.0</v>
      </c>
      <c r="M824" s="126">
        <v>2.0</v>
      </c>
      <c r="N824" s="1">
        <v>0.0</v>
      </c>
      <c r="O824" s="1">
        <v>0.0</v>
      </c>
    </row>
    <row r="825" ht="15.75" hidden="1" customHeight="1">
      <c r="A825" s="129">
        <v>45665.0</v>
      </c>
      <c r="B825" s="131">
        <v>45969.0</v>
      </c>
      <c r="C825" s="130" t="s">
        <v>5717</v>
      </c>
      <c r="D825" s="117" t="s">
        <v>4</v>
      </c>
      <c r="E825" s="117">
        <v>1270458.0</v>
      </c>
      <c r="F825" s="62">
        <v>0.0</v>
      </c>
      <c r="G825" s="62" t="s">
        <v>5712</v>
      </c>
      <c r="H825" s="62" t="s">
        <v>5705</v>
      </c>
      <c r="I825" s="62" t="s">
        <v>13</v>
      </c>
      <c r="J825" s="118" t="s">
        <v>5708</v>
      </c>
      <c r="K825" s="130" t="s">
        <v>156</v>
      </c>
      <c r="L825" s="130">
        <v>100.0</v>
      </c>
      <c r="M825" s="132">
        <v>2.0</v>
      </c>
      <c r="N825" s="1">
        <v>50.0</v>
      </c>
      <c r="O825" s="1">
        <v>50.0</v>
      </c>
    </row>
    <row r="826" ht="15.75" hidden="1" customHeight="1">
      <c r="A826" s="127">
        <v>45665.0</v>
      </c>
      <c r="B826" s="128">
        <v>45969.0</v>
      </c>
      <c r="C826" s="125" t="s">
        <v>5717</v>
      </c>
      <c r="D826" s="123" t="s">
        <v>4</v>
      </c>
      <c r="E826" s="123">
        <v>1270458.0</v>
      </c>
      <c r="F826" s="124">
        <v>0.0</v>
      </c>
      <c r="G826" s="124" t="s">
        <v>5712</v>
      </c>
      <c r="H826" s="124" t="s">
        <v>5705</v>
      </c>
      <c r="I826" s="124" t="s">
        <v>13</v>
      </c>
      <c r="J826" s="124" t="s">
        <v>5708</v>
      </c>
      <c r="K826" s="125" t="s">
        <v>160</v>
      </c>
      <c r="L826" s="124">
        <v>0.0</v>
      </c>
      <c r="M826" s="126">
        <v>144.0</v>
      </c>
      <c r="N826" s="1">
        <v>0.0</v>
      </c>
      <c r="O826" s="1">
        <v>0.0</v>
      </c>
    </row>
    <row r="827" ht="15.75" hidden="1" customHeight="1">
      <c r="A827" s="129">
        <v>45665.0</v>
      </c>
      <c r="B827" s="131">
        <v>45969.0</v>
      </c>
      <c r="C827" s="130" t="s">
        <v>5717</v>
      </c>
      <c r="D827" s="117" t="s">
        <v>4</v>
      </c>
      <c r="E827" s="117">
        <v>1270458.0</v>
      </c>
      <c r="F827" s="62">
        <v>0.0</v>
      </c>
      <c r="G827" s="62" t="s">
        <v>5712</v>
      </c>
      <c r="H827" s="62" t="s">
        <v>5705</v>
      </c>
      <c r="I827" s="62" t="s">
        <v>13</v>
      </c>
      <c r="J827" s="118" t="s">
        <v>5708</v>
      </c>
      <c r="K827" s="130" t="s">
        <v>147</v>
      </c>
      <c r="L827" s="62">
        <v>0.0</v>
      </c>
      <c r="M827" s="132">
        <v>1.0</v>
      </c>
      <c r="N827" s="1">
        <v>0.0</v>
      </c>
      <c r="O827" s="1">
        <v>0.0</v>
      </c>
    </row>
    <row r="828" ht="15.75" customHeight="1">
      <c r="A828" s="127">
        <v>45665.0</v>
      </c>
      <c r="B828" s="128">
        <v>45969.0</v>
      </c>
      <c r="C828" s="125" t="s">
        <v>5717</v>
      </c>
      <c r="D828" s="123" t="s">
        <v>4</v>
      </c>
      <c r="E828" s="123">
        <v>1270458.0</v>
      </c>
      <c r="F828" s="124">
        <v>0.0</v>
      </c>
      <c r="G828" s="124" t="s">
        <v>5712</v>
      </c>
      <c r="H828" s="124" t="s">
        <v>5705</v>
      </c>
      <c r="I828" s="124" t="s">
        <v>13</v>
      </c>
      <c r="J828" s="124" t="s">
        <v>5708</v>
      </c>
      <c r="K828" s="125" t="s">
        <v>139</v>
      </c>
      <c r="L828" s="125">
        <v>1.0</v>
      </c>
      <c r="M828" s="126">
        <v>0.077166667</v>
      </c>
      <c r="N828" s="1">
        <v>12.95896328</v>
      </c>
      <c r="O828" s="1">
        <v>12.95896328</v>
      </c>
    </row>
    <row r="829" ht="15.75" hidden="1" customHeight="1">
      <c r="A829" s="129">
        <v>45665.0</v>
      </c>
      <c r="B829" s="131">
        <v>45969.0</v>
      </c>
      <c r="C829" s="130" t="s">
        <v>5717</v>
      </c>
      <c r="D829" s="117" t="s">
        <v>4</v>
      </c>
      <c r="E829" s="117">
        <v>1270458.0</v>
      </c>
      <c r="F829" s="62">
        <v>0.0</v>
      </c>
      <c r="G829" s="62" t="s">
        <v>5712</v>
      </c>
      <c r="H829" s="62" t="s">
        <v>5705</v>
      </c>
      <c r="I829" s="62" t="s">
        <v>13</v>
      </c>
      <c r="J829" s="118" t="s">
        <v>5708</v>
      </c>
      <c r="K829" s="130" t="s">
        <v>163</v>
      </c>
      <c r="L829" s="62">
        <v>1.0</v>
      </c>
      <c r="M829" s="132"/>
      <c r="N829" s="1">
        <v>1.0</v>
      </c>
      <c r="O829" s="1" t="s">
        <v>5713</v>
      </c>
    </row>
    <row r="830" ht="15.75" hidden="1" customHeight="1">
      <c r="A830" s="127">
        <v>45665.0</v>
      </c>
      <c r="B830" s="125" t="s">
        <v>5707</v>
      </c>
      <c r="C830" s="125" t="s">
        <v>5707</v>
      </c>
      <c r="D830" s="123" t="s">
        <v>4</v>
      </c>
      <c r="E830" s="123">
        <v>1270458.0</v>
      </c>
      <c r="F830" s="124">
        <v>0.0</v>
      </c>
      <c r="G830" s="124" t="s">
        <v>5712</v>
      </c>
      <c r="H830" s="124" t="s">
        <v>5705</v>
      </c>
      <c r="I830" s="124" t="s">
        <v>5708</v>
      </c>
      <c r="J830" s="124" t="s">
        <v>5708</v>
      </c>
      <c r="K830" s="125" t="s">
        <v>7</v>
      </c>
      <c r="L830" s="125">
        <v>300.0</v>
      </c>
      <c r="M830" s="126">
        <v>21.0</v>
      </c>
      <c r="N830" s="1">
        <v>14.28571429</v>
      </c>
      <c r="O830" s="1">
        <v>14.28571429</v>
      </c>
    </row>
    <row r="831" ht="15.75" hidden="1" customHeight="1">
      <c r="A831" s="129">
        <v>45665.0</v>
      </c>
      <c r="B831" s="130" t="s">
        <v>5707</v>
      </c>
      <c r="C831" s="130" t="s">
        <v>5707</v>
      </c>
      <c r="D831" s="117" t="s">
        <v>4</v>
      </c>
      <c r="E831" s="117">
        <v>1270458.0</v>
      </c>
      <c r="F831" s="62">
        <v>0.0</v>
      </c>
      <c r="G831" s="62" t="s">
        <v>5712</v>
      </c>
      <c r="H831" s="62" t="s">
        <v>5705</v>
      </c>
      <c r="I831" s="62" t="s">
        <v>13</v>
      </c>
      <c r="J831" s="118" t="s">
        <v>5708</v>
      </c>
      <c r="K831" s="130" t="s">
        <v>154</v>
      </c>
      <c r="L831" s="62">
        <v>13300.0</v>
      </c>
      <c r="M831" s="132">
        <v>256.0</v>
      </c>
      <c r="N831" s="1">
        <v>51.953125</v>
      </c>
      <c r="O831" s="1">
        <v>51.953125</v>
      </c>
    </row>
    <row r="832" ht="15.75" hidden="1" customHeight="1">
      <c r="A832" s="127">
        <v>45665.0</v>
      </c>
      <c r="B832" s="125" t="s">
        <v>5707</v>
      </c>
      <c r="C832" s="125" t="s">
        <v>5707</v>
      </c>
      <c r="D832" s="123" t="s">
        <v>4</v>
      </c>
      <c r="E832" s="123">
        <v>1270458.0</v>
      </c>
      <c r="F832" s="124">
        <v>0.0</v>
      </c>
      <c r="G832" s="124" t="s">
        <v>5712</v>
      </c>
      <c r="H832" s="124" t="s">
        <v>5705</v>
      </c>
      <c r="I832" s="124" t="s">
        <v>13</v>
      </c>
      <c r="J832" s="124" t="s">
        <v>5708</v>
      </c>
      <c r="K832" s="125" t="s">
        <v>156</v>
      </c>
      <c r="L832" s="125">
        <v>4900.0</v>
      </c>
      <c r="M832" s="126">
        <v>121.0</v>
      </c>
      <c r="N832" s="1">
        <v>40.49586777</v>
      </c>
      <c r="O832" s="1">
        <v>40.49586777</v>
      </c>
    </row>
    <row r="833" ht="15.75" hidden="1" customHeight="1">
      <c r="A833" s="129">
        <v>45665.0</v>
      </c>
      <c r="B833" s="130" t="s">
        <v>5707</v>
      </c>
      <c r="C833" s="130" t="s">
        <v>5707</v>
      </c>
      <c r="D833" s="117" t="s">
        <v>4</v>
      </c>
      <c r="E833" s="117">
        <v>1270458.0</v>
      </c>
      <c r="F833" s="62">
        <v>0.0</v>
      </c>
      <c r="G833" s="62" t="s">
        <v>5712</v>
      </c>
      <c r="H833" s="62" t="s">
        <v>5705</v>
      </c>
      <c r="I833" s="62" t="s">
        <v>13</v>
      </c>
      <c r="J833" s="118" t="s">
        <v>5708</v>
      </c>
      <c r="K833" s="130" t="s">
        <v>142</v>
      </c>
      <c r="L833" s="62">
        <v>121.0</v>
      </c>
      <c r="M833" s="132"/>
      <c r="N833" s="1">
        <v>121.0</v>
      </c>
      <c r="O833" s="1" t="s">
        <v>5713</v>
      </c>
    </row>
    <row r="834" ht="15.75" hidden="1" customHeight="1">
      <c r="A834" s="127">
        <v>45665.0</v>
      </c>
      <c r="B834" s="125" t="s">
        <v>5707</v>
      </c>
      <c r="C834" s="125" t="s">
        <v>5707</v>
      </c>
      <c r="D834" s="123" t="s">
        <v>4</v>
      </c>
      <c r="E834" s="123">
        <v>1270458.0</v>
      </c>
      <c r="F834" s="124">
        <v>0.0</v>
      </c>
      <c r="G834" s="124" t="s">
        <v>5712</v>
      </c>
      <c r="H834" s="124" t="s">
        <v>5705</v>
      </c>
      <c r="I834" s="124" t="s">
        <v>13</v>
      </c>
      <c r="J834" s="124" t="s">
        <v>5708</v>
      </c>
      <c r="K834" s="125" t="s">
        <v>163</v>
      </c>
      <c r="L834" s="125">
        <v>199.0</v>
      </c>
      <c r="M834" s="126"/>
      <c r="N834" s="1">
        <v>199.0</v>
      </c>
      <c r="O834" s="1" t="s">
        <v>5713</v>
      </c>
    </row>
    <row r="835" ht="15.75" customHeight="1">
      <c r="A835" s="129">
        <v>45665.0</v>
      </c>
      <c r="B835" s="130" t="s">
        <v>5707</v>
      </c>
      <c r="C835" s="130" t="s">
        <v>5707</v>
      </c>
      <c r="D835" s="117" t="s">
        <v>4</v>
      </c>
      <c r="E835" s="117">
        <v>1270458.0</v>
      </c>
      <c r="F835" s="62">
        <v>0.0</v>
      </c>
      <c r="G835" s="62" t="s">
        <v>5712</v>
      </c>
      <c r="H835" s="62" t="s">
        <v>5705</v>
      </c>
      <c r="I835" s="62" t="s">
        <v>13</v>
      </c>
      <c r="J835" s="118" t="s">
        <v>5708</v>
      </c>
      <c r="K835" s="130" t="s">
        <v>139</v>
      </c>
      <c r="L835" s="62">
        <v>121.0</v>
      </c>
      <c r="M835" s="132">
        <v>7.481833333</v>
      </c>
      <c r="N835" s="1">
        <v>16.17250674</v>
      </c>
      <c r="O835" s="1">
        <v>16.17250674</v>
      </c>
    </row>
    <row r="836" ht="15.75" hidden="1" customHeight="1">
      <c r="A836" s="127">
        <v>45665.0</v>
      </c>
      <c r="B836" s="125" t="s">
        <v>5707</v>
      </c>
      <c r="C836" s="125" t="s">
        <v>5707</v>
      </c>
      <c r="D836" s="123" t="s">
        <v>4</v>
      </c>
      <c r="E836" s="123">
        <v>1270458.0</v>
      </c>
      <c r="F836" s="124">
        <v>0.0</v>
      </c>
      <c r="G836" s="124" t="s">
        <v>5712</v>
      </c>
      <c r="H836" s="124" t="s">
        <v>5705</v>
      </c>
      <c r="I836" s="124" t="s">
        <v>13</v>
      </c>
      <c r="J836" s="124" t="s">
        <v>5708</v>
      </c>
      <c r="K836" s="125" t="s">
        <v>158</v>
      </c>
      <c r="L836" s="124">
        <v>2000.0</v>
      </c>
      <c r="M836" s="126">
        <v>20.0</v>
      </c>
      <c r="N836" s="1">
        <v>100.0</v>
      </c>
      <c r="O836" s="1">
        <v>100.0</v>
      </c>
    </row>
    <row r="837" ht="15.75" hidden="1" customHeight="1">
      <c r="A837" s="129">
        <v>45665.0</v>
      </c>
      <c r="B837" s="130" t="s">
        <v>5707</v>
      </c>
      <c r="C837" s="130" t="s">
        <v>5707</v>
      </c>
      <c r="D837" s="117" t="s">
        <v>4</v>
      </c>
      <c r="E837" s="117">
        <v>1270458.0</v>
      </c>
      <c r="F837" s="62">
        <v>0.0</v>
      </c>
      <c r="G837" s="62" t="s">
        <v>5712</v>
      </c>
      <c r="H837" s="62" t="s">
        <v>5705</v>
      </c>
      <c r="I837" s="62" t="s">
        <v>13</v>
      </c>
      <c r="J837" s="118" t="s">
        <v>5708</v>
      </c>
      <c r="K837" s="130" t="s">
        <v>158</v>
      </c>
      <c r="L837" s="130">
        <v>0.0</v>
      </c>
      <c r="M837" s="133">
        <v>15.0</v>
      </c>
      <c r="N837" s="1">
        <v>0.0</v>
      </c>
      <c r="O837" s="1">
        <v>0.0</v>
      </c>
    </row>
    <row r="838" ht="15.75" hidden="1" customHeight="1">
      <c r="A838" s="127">
        <v>45665.0</v>
      </c>
      <c r="B838" s="125" t="s">
        <v>5707</v>
      </c>
      <c r="C838" s="125" t="s">
        <v>5707</v>
      </c>
      <c r="D838" s="123" t="s">
        <v>4</v>
      </c>
      <c r="E838" s="123">
        <v>1270458.0</v>
      </c>
      <c r="F838" s="124">
        <v>0.0</v>
      </c>
      <c r="G838" s="124" t="s">
        <v>5712</v>
      </c>
      <c r="H838" s="124" t="s">
        <v>5705</v>
      </c>
      <c r="I838" s="124" t="s">
        <v>13</v>
      </c>
      <c r="J838" s="124" t="s">
        <v>5708</v>
      </c>
      <c r="K838" s="125" t="s">
        <v>160</v>
      </c>
      <c r="L838" s="125">
        <v>0.0</v>
      </c>
      <c r="M838" s="126">
        <v>1.0</v>
      </c>
      <c r="N838" s="1">
        <v>0.0</v>
      </c>
      <c r="O838" s="1">
        <v>0.0</v>
      </c>
    </row>
    <row r="839" ht="15.75" hidden="1" customHeight="1">
      <c r="A839" s="129">
        <v>45665.0</v>
      </c>
      <c r="B839" s="130" t="s">
        <v>5707</v>
      </c>
      <c r="C839" s="130" t="s">
        <v>5718</v>
      </c>
      <c r="D839" s="117" t="s">
        <v>4</v>
      </c>
      <c r="E839" s="117">
        <v>1270458.0</v>
      </c>
      <c r="F839" s="62">
        <v>0.0</v>
      </c>
      <c r="G839" s="62" t="s">
        <v>5712</v>
      </c>
      <c r="H839" s="62" t="s">
        <v>5705</v>
      </c>
      <c r="I839" s="117" t="s">
        <v>13</v>
      </c>
      <c r="J839" s="118" t="s">
        <v>5708</v>
      </c>
      <c r="K839" s="130" t="s">
        <v>147</v>
      </c>
      <c r="L839" s="130">
        <v>0.0</v>
      </c>
      <c r="M839" s="132">
        <v>3.0</v>
      </c>
      <c r="N839" s="1">
        <v>0.0</v>
      </c>
      <c r="O839" s="1">
        <v>0.0</v>
      </c>
    </row>
    <row r="840" ht="15.75" hidden="1" customHeight="1">
      <c r="A840" s="127">
        <v>45665.0</v>
      </c>
      <c r="B840" s="125" t="s">
        <v>5707</v>
      </c>
      <c r="C840" s="125" t="s">
        <v>5718</v>
      </c>
      <c r="D840" s="123" t="s">
        <v>4</v>
      </c>
      <c r="E840" s="123">
        <v>1270458.0</v>
      </c>
      <c r="F840" s="124">
        <v>0.0</v>
      </c>
      <c r="G840" s="124" t="s">
        <v>5712</v>
      </c>
      <c r="H840" s="124" t="s">
        <v>5705</v>
      </c>
      <c r="I840" s="124" t="s">
        <v>13</v>
      </c>
      <c r="J840" s="124" t="s">
        <v>5708</v>
      </c>
      <c r="K840" s="125" t="s">
        <v>155</v>
      </c>
      <c r="L840" s="125">
        <v>2.0</v>
      </c>
      <c r="M840" s="126">
        <v>1.0</v>
      </c>
      <c r="N840" s="1">
        <v>2.0</v>
      </c>
      <c r="O840" s="1">
        <v>2.0</v>
      </c>
    </row>
    <row r="841" ht="15.75" hidden="1" customHeight="1">
      <c r="A841" s="129">
        <v>45665.0</v>
      </c>
      <c r="B841" s="130" t="s">
        <v>5707</v>
      </c>
      <c r="C841" s="130" t="s">
        <v>5718</v>
      </c>
      <c r="D841" s="117" t="s">
        <v>4</v>
      </c>
      <c r="E841" s="117">
        <v>1270458.0</v>
      </c>
      <c r="F841" s="62">
        <v>0.0</v>
      </c>
      <c r="G841" s="62" t="s">
        <v>5712</v>
      </c>
      <c r="H841" s="62" t="s">
        <v>5705</v>
      </c>
      <c r="I841" s="62" t="s">
        <v>13</v>
      </c>
      <c r="J841" s="118" t="s">
        <v>5708</v>
      </c>
      <c r="K841" s="130" t="s">
        <v>11</v>
      </c>
      <c r="L841" s="130">
        <v>0.0</v>
      </c>
      <c r="M841" s="132">
        <v>9.0</v>
      </c>
      <c r="N841" s="1">
        <v>0.0</v>
      </c>
      <c r="O841" s="1">
        <v>0.0</v>
      </c>
    </row>
    <row r="842" ht="15.75" hidden="1" customHeight="1">
      <c r="A842" s="127">
        <v>45665.0</v>
      </c>
      <c r="B842" s="125" t="s">
        <v>5707</v>
      </c>
      <c r="C842" s="125" t="s">
        <v>5718</v>
      </c>
      <c r="D842" s="123" t="s">
        <v>4</v>
      </c>
      <c r="E842" s="123">
        <v>1270458.0</v>
      </c>
      <c r="F842" s="124">
        <v>0.0</v>
      </c>
      <c r="G842" s="124" t="s">
        <v>5712</v>
      </c>
      <c r="H842" s="124" t="s">
        <v>5705</v>
      </c>
      <c r="I842" s="124" t="s">
        <v>13</v>
      </c>
      <c r="J842" s="124" t="s">
        <v>5708</v>
      </c>
      <c r="K842" s="125" t="s">
        <v>156</v>
      </c>
      <c r="L842" s="125">
        <v>5200.0</v>
      </c>
      <c r="M842" s="126">
        <v>99.0</v>
      </c>
      <c r="N842" s="1">
        <v>52.52525253</v>
      </c>
      <c r="O842" s="1">
        <v>52.52525253</v>
      </c>
    </row>
    <row r="843" ht="15.75" hidden="1" customHeight="1">
      <c r="A843" s="129">
        <v>45665.0</v>
      </c>
      <c r="B843" s="130" t="s">
        <v>5707</v>
      </c>
      <c r="C843" s="130" t="s">
        <v>5718</v>
      </c>
      <c r="D843" s="117" t="s">
        <v>4</v>
      </c>
      <c r="E843" s="117">
        <v>1270458.0</v>
      </c>
      <c r="F843" s="62">
        <v>0.0</v>
      </c>
      <c r="G843" s="62" t="s">
        <v>5712</v>
      </c>
      <c r="H843" s="62" t="s">
        <v>5705</v>
      </c>
      <c r="I843" s="62" t="s">
        <v>13</v>
      </c>
      <c r="J843" s="118" t="s">
        <v>5708</v>
      </c>
      <c r="K843" s="130" t="s">
        <v>160</v>
      </c>
      <c r="L843" s="62">
        <v>0.0</v>
      </c>
      <c r="M843" s="132">
        <v>172.0</v>
      </c>
      <c r="N843" s="1">
        <v>0.0</v>
      </c>
      <c r="O843" s="1">
        <v>0.0</v>
      </c>
    </row>
    <row r="844" ht="15.75" hidden="1" customHeight="1">
      <c r="A844" s="127">
        <v>45665.0</v>
      </c>
      <c r="B844" s="125" t="s">
        <v>5707</v>
      </c>
      <c r="C844" s="125" t="s">
        <v>5718</v>
      </c>
      <c r="D844" s="123" t="s">
        <v>4</v>
      </c>
      <c r="E844" s="123">
        <v>1270458.0</v>
      </c>
      <c r="F844" s="124">
        <v>0.0</v>
      </c>
      <c r="G844" s="124" t="s">
        <v>5712</v>
      </c>
      <c r="H844" s="124" t="s">
        <v>5705</v>
      </c>
      <c r="I844" s="124" t="s">
        <v>13</v>
      </c>
      <c r="J844" s="124" t="s">
        <v>5708</v>
      </c>
      <c r="K844" s="125" t="s">
        <v>142</v>
      </c>
      <c r="L844" s="124">
        <v>99.0</v>
      </c>
      <c r="M844" s="126"/>
      <c r="N844" s="1">
        <v>99.0</v>
      </c>
      <c r="O844" s="1" t="s">
        <v>5713</v>
      </c>
    </row>
    <row r="845" ht="15.75" hidden="1" customHeight="1">
      <c r="A845" s="129">
        <v>45665.0</v>
      </c>
      <c r="B845" s="130" t="s">
        <v>5707</v>
      </c>
      <c r="C845" s="130" t="s">
        <v>5718</v>
      </c>
      <c r="D845" s="117" t="s">
        <v>4</v>
      </c>
      <c r="E845" s="117">
        <v>1270458.0</v>
      </c>
      <c r="F845" s="62">
        <v>0.0</v>
      </c>
      <c r="G845" s="62" t="s">
        <v>5712</v>
      </c>
      <c r="H845" s="62" t="s">
        <v>5705</v>
      </c>
      <c r="I845" s="62" t="s">
        <v>13</v>
      </c>
      <c r="J845" s="118" t="s">
        <v>5708</v>
      </c>
      <c r="K845" s="130" t="s">
        <v>163</v>
      </c>
      <c r="L845" s="130">
        <v>172.0</v>
      </c>
      <c r="M845" s="132"/>
      <c r="N845" s="1">
        <v>172.0</v>
      </c>
      <c r="O845" s="1" t="s">
        <v>5713</v>
      </c>
    </row>
    <row r="846" ht="15.75" hidden="1" customHeight="1">
      <c r="A846" s="127">
        <v>45665.0</v>
      </c>
      <c r="B846" s="125" t="s">
        <v>5707</v>
      </c>
      <c r="C846" s="125" t="s">
        <v>5718</v>
      </c>
      <c r="D846" s="123" t="s">
        <v>4</v>
      </c>
      <c r="E846" s="123">
        <v>1270458.0</v>
      </c>
      <c r="F846" s="124">
        <v>0.0</v>
      </c>
      <c r="G846" s="124" t="s">
        <v>5712</v>
      </c>
      <c r="H846" s="124" t="s">
        <v>5705</v>
      </c>
      <c r="I846" s="124" t="s">
        <v>13</v>
      </c>
      <c r="J846" s="124" t="s">
        <v>5708</v>
      </c>
      <c r="K846" s="125" t="s">
        <v>147</v>
      </c>
      <c r="L846" s="125">
        <v>0.0</v>
      </c>
      <c r="M846" s="134">
        <v>1.0</v>
      </c>
      <c r="N846" s="1">
        <v>0.0</v>
      </c>
      <c r="O846" s="1">
        <v>0.0</v>
      </c>
    </row>
    <row r="847" ht="15.75" hidden="1" customHeight="1">
      <c r="A847" s="129">
        <v>45665.0</v>
      </c>
      <c r="B847" s="130" t="s">
        <v>5707</v>
      </c>
      <c r="C847" s="130" t="s">
        <v>5718</v>
      </c>
      <c r="D847" s="117" t="s">
        <v>4</v>
      </c>
      <c r="E847" s="117">
        <v>1270458.0</v>
      </c>
      <c r="F847" s="62">
        <v>0.0</v>
      </c>
      <c r="G847" s="62" t="s">
        <v>5712</v>
      </c>
      <c r="H847" s="62" t="s">
        <v>5705</v>
      </c>
      <c r="I847" s="62" t="s">
        <v>13</v>
      </c>
      <c r="J847" s="118" t="s">
        <v>5708</v>
      </c>
      <c r="K847" s="130" t="s">
        <v>147</v>
      </c>
      <c r="L847" s="130">
        <v>0.0</v>
      </c>
      <c r="M847" s="133">
        <v>1.0</v>
      </c>
      <c r="N847" s="1">
        <v>0.0</v>
      </c>
      <c r="O847" s="1">
        <v>0.0</v>
      </c>
    </row>
    <row r="848" ht="15.75" hidden="1" customHeight="1">
      <c r="A848" s="127">
        <v>45665.0</v>
      </c>
      <c r="B848" s="125" t="s">
        <v>5707</v>
      </c>
      <c r="C848" s="125" t="s">
        <v>5718</v>
      </c>
      <c r="D848" s="123" t="s">
        <v>4</v>
      </c>
      <c r="E848" s="123">
        <v>1270458.0</v>
      </c>
      <c r="F848" s="124">
        <v>0.0</v>
      </c>
      <c r="G848" s="124" t="s">
        <v>5712</v>
      </c>
      <c r="H848" s="124" t="s">
        <v>5705</v>
      </c>
      <c r="I848" s="124" t="s">
        <v>13</v>
      </c>
      <c r="J848" s="124" t="s">
        <v>5708</v>
      </c>
      <c r="K848" s="125" t="s">
        <v>163</v>
      </c>
      <c r="L848" s="125">
        <v>1.0</v>
      </c>
      <c r="M848" s="126"/>
      <c r="N848" s="1">
        <v>1.0</v>
      </c>
      <c r="O848" s="1" t="s">
        <v>5713</v>
      </c>
    </row>
    <row r="849" ht="15.75" hidden="1" customHeight="1">
      <c r="A849" s="129">
        <v>45665.0</v>
      </c>
      <c r="B849" s="130" t="s">
        <v>5707</v>
      </c>
      <c r="C849" s="130" t="s">
        <v>5719</v>
      </c>
      <c r="D849" s="117" t="s">
        <v>4</v>
      </c>
      <c r="E849" s="117">
        <v>1270458.0</v>
      </c>
      <c r="F849" s="62">
        <v>0.0</v>
      </c>
      <c r="G849" s="62" t="s">
        <v>5712</v>
      </c>
      <c r="H849" s="62" t="s">
        <v>5705</v>
      </c>
      <c r="I849" s="118" t="s">
        <v>5708</v>
      </c>
      <c r="J849" s="118" t="s">
        <v>5708</v>
      </c>
      <c r="K849" s="130" t="s">
        <v>7</v>
      </c>
      <c r="L849" s="62">
        <v>300.0</v>
      </c>
      <c r="M849" s="132">
        <v>24.0</v>
      </c>
      <c r="N849" s="1">
        <v>12.5</v>
      </c>
      <c r="O849" s="1">
        <v>12.5</v>
      </c>
    </row>
    <row r="850" ht="15.75" hidden="1" customHeight="1">
      <c r="A850" s="127">
        <v>45665.0</v>
      </c>
      <c r="B850" s="125" t="s">
        <v>5707</v>
      </c>
      <c r="C850" s="125" t="s">
        <v>5719</v>
      </c>
      <c r="D850" s="123" t="s">
        <v>4</v>
      </c>
      <c r="E850" s="123">
        <v>1270458.0</v>
      </c>
      <c r="F850" s="124">
        <v>0.0</v>
      </c>
      <c r="G850" s="124" t="s">
        <v>5712</v>
      </c>
      <c r="H850" s="124" t="s">
        <v>5705</v>
      </c>
      <c r="I850" s="124" t="s">
        <v>13</v>
      </c>
      <c r="J850" s="124" t="s">
        <v>5708</v>
      </c>
      <c r="K850" s="125" t="s">
        <v>156</v>
      </c>
      <c r="L850" s="125">
        <v>6000.0</v>
      </c>
      <c r="M850" s="126">
        <v>118.0</v>
      </c>
      <c r="N850" s="1">
        <v>50.84745763</v>
      </c>
      <c r="O850" s="1">
        <v>50.84745763</v>
      </c>
    </row>
    <row r="851" ht="15.75" hidden="1" customHeight="1">
      <c r="A851" s="129">
        <v>45665.0</v>
      </c>
      <c r="B851" s="130" t="s">
        <v>5707</v>
      </c>
      <c r="C851" s="130" t="s">
        <v>5719</v>
      </c>
      <c r="D851" s="117" t="s">
        <v>4</v>
      </c>
      <c r="E851" s="117">
        <v>1270458.0</v>
      </c>
      <c r="F851" s="62">
        <v>0.0</v>
      </c>
      <c r="G851" s="62" t="s">
        <v>5712</v>
      </c>
      <c r="H851" s="62" t="s">
        <v>5705</v>
      </c>
      <c r="I851" s="62" t="s">
        <v>13</v>
      </c>
      <c r="J851" s="118" t="s">
        <v>5708</v>
      </c>
      <c r="K851" s="130" t="s">
        <v>160</v>
      </c>
      <c r="L851" s="130">
        <v>0.0</v>
      </c>
      <c r="M851" s="132">
        <v>1.0</v>
      </c>
      <c r="N851" s="1">
        <v>0.0</v>
      </c>
      <c r="O851" s="1">
        <v>0.0</v>
      </c>
    </row>
    <row r="852" ht="15.75" hidden="1" customHeight="1">
      <c r="A852" s="127">
        <v>45665.0</v>
      </c>
      <c r="B852" s="125" t="s">
        <v>5707</v>
      </c>
      <c r="C852" s="125" t="s">
        <v>5719</v>
      </c>
      <c r="D852" s="123" t="s">
        <v>4</v>
      </c>
      <c r="E852" s="123">
        <v>1270458.0</v>
      </c>
      <c r="F852" s="124">
        <v>0.0</v>
      </c>
      <c r="G852" s="124" t="s">
        <v>5712</v>
      </c>
      <c r="H852" s="124" t="s">
        <v>5705</v>
      </c>
      <c r="I852" s="124" t="s">
        <v>13</v>
      </c>
      <c r="J852" s="124" t="s">
        <v>5708</v>
      </c>
      <c r="K852" s="125" t="s">
        <v>160</v>
      </c>
      <c r="L852" s="125">
        <v>0.0</v>
      </c>
      <c r="M852" s="134">
        <v>2.0</v>
      </c>
      <c r="N852" s="1">
        <v>0.0</v>
      </c>
      <c r="O852" s="1">
        <v>0.0</v>
      </c>
    </row>
    <row r="853" ht="15.75" hidden="1" customHeight="1">
      <c r="A853" s="129">
        <v>45665.0</v>
      </c>
      <c r="B853" s="130" t="s">
        <v>5707</v>
      </c>
      <c r="C853" s="130" t="s">
        <v>5719</v>
      </c>
      <c r="D853" s="117" t="s">
        <v>4</v>
      </c>
      <c r="E853" s="117">
        <v>1270458.0</v>
      </c>
      <c r="F853" s="62">
        <v>0.0</v>
      </c>
      <c r="G853" s="62" t="s">
        <v>5712</v>
      </c>
      <c r="H853" s="62" t="s">
        <v>5705</v>
      </c>
      <c r="I853" s="62" t="s">
        <v>13</v>
      </c>
      <c r="J853" s="118" t="s">
        <v>5708</v>
      </c>
      <c r="K853" s="130" t="s">
        <v>163</v>
      </c>
      <c r="L853" s="130">
        <v>2.0</v>
      </c>
      <c r="M853" s="133"/>
      <c r="N853" s="1">
        <v>2.0</v>
      </c>
      <c r="O853" s="1" t="s">
        <v>5713</v>
      </c>
    </row>
    <row r="854" ht="15.75" hidden="1" customHeight="1">
      <c r="A854" s="127">
        <v>45665.0</v>
      </c>
      <c r="B854" s="125" t="s">
        <v>5707</v>
      </c>
      <c r="C854" s="125" t="s">
        <v>5719</v>
      </c>
      <c r="D854" s="123" t="s">
        <v>4</v>
      </c>
      <c r="E854" s="123">
        <v>1270458.0</v>
      </c>
      <c r="F854" s="124">
        <v>0.0</v>
      </c>
      <c r="G854" s="124" t="s">
        <v>5712</v>
      </c>
      <c r="H854" s="124" t="s">
        <v>5705</v>
      </c>
      <c r="I854" s="124" t="s">
        <v>13</v>
      </c>
      <c r="J854" s="124" t="s">
        <v>5708</v>
      </c>
      <c r="K854" s="125" t="s">
        <v>160</v>
      </c>
      <c r="L854" s="124">
        <v>0.0</v>
      </c>
      <c r="M854" s="126">
        <v>2.0</v>
      </c>
      <c r="N854" s="1">
        <v>0.0</v>
      </c>
      <c r="O854" s="1">
        <v>0.0</v>
      </c>
    </row>
    <row r="855" ht="15.75" hidden="1" customHeight="1">
      <c r="A855" s="129">
        <v>45665.0</v>
      </c>
      <c r="B855" s="130" t="s">
        <v>5707</v>
      </c>
      <c r="C855" s="130" t="s">
        <v>5720</v>
      </c>
      <c r="D855" s="117" t="s">
        <v>4</v>
      </c>
      <c r="E855" s="117">
        <v>1270458.0</v>
      </c>
      <c r="F855" s="62">
        <v>0.0</v>
      </c>
      <c r="G855" s="62" t="s">
        <v>5712</v>
      </c>
      <c r="H855" s="62" t="s">
        <v>5705</v>
      </c>
      <c r="I855" s="62" t="s">
        <v>13</v>
      </c>
      <c r="J855" s="118" t="s">
        <v>5708</v>
      </c>
      <c r="K855" s="130" t="s">
        <v>147</v>
      </c>
      <c r="L855" s="130">
        <v>0.0</v>
      </c>
      <c r="M855" s="132">
        <v>2.0</v>
      </c>
      <c r="N855" s="1">
        <v>0.0</v>
      </c>
      <c r="O855" s="1">
        <v>0.0</v>
      </c>
    </row>
    <row r="856" ht="15.75" customHeight="1">
      <c r="A856" s="127">
        <v>45665.0</v>
      </c>
      <c r="B856" s="125" t="s">
        <v>5707</v>
      </c>
      <c r="C856" s="125" t="s">
        <v>5720</v>
      </c>
      <c r="D856" s="123" t="s">
        <v>4</v>
      </c>
      <c r="E856" s="123">
        <v>1270458.0</v>
      </c>
      <c r="F856" s="124">
        <v>0.0</v>
      </c>
      <c r="G856" s="124" t="s">
        <v>5712</v>
      </c>
      <c r="H856" s="124" t="s">
        <v>5705</v>
      </c>
      <c r="I856" s="124" t="s">
        <v>13</v>
      </c>
      <c r="J856" s="124" t="s">
        <v>5708</v>
      </c>
      <c r="K856" s="125" t="s">
        <v>139</v>
      </c>
      <c r="L856" s="124">
        <v>0.0</v>
      </c>
      <c r="M856" s="126">
        <v>0.001333333</v>
      </c>
      <c r="N856" s="1">
        <v>0.0</v>
      </c>
      <c r="O856" s="1">
        <v>0.0</v>
      </c>
    </row>
    <row r="857" ht="15.75" hidden="1" customHeight="1">
      <c r="A857" s="129">
        <v>45665.0</v>
      </c>
      <c r="B857" s="130" t="s">
        <v>5707</v>
      </c>
      <c r="C857" s="130" t="s">
        <v>5720</v>
      </c>
      <c r="D857" s="117" t="s">
        <v>4</v>
      </c>
      <c r="E857" s="117">
        <v>1270458.0</v>
      </c>
      <c r="F857" s="62">
        <v>0.0</v>
      </c>
      <c r="G857" s="62" t="s">
        <v>5712</v>
      </c>
      <c r="H857" s="62" t="s">
        <v>5705</v>
      </c>
      <c r="I857" s="117" t="s">
        <v>13</v>
      </c>
      <c r="J857" s="118" t="s">
        <v>5708</v>
      </c>
      <c r="K857" s="130" t="s">
        <v>160</v>
      </c>
      <c r="L857" s="130">
        <v>0.0</v>
      </c>
      <c r="M857" s="132">
        <v>232.0</v>
      </c>
      <c r="N857" s="1">
        <v>0.0</v>
      </c>
      <c r="O857" s="1">
        <v>0.0</v>
      </c>
    </row>
    <row r="858" ht="15.75" customHeight="1">
      <c r="A858" s="127">
        <v>45665.0</v>
      </c>
      <c r="B858" s="125" t="s">
        <v>5707</v>
      </c>
      <c r="C858" s="125" t="s">
        <v>5720</v>
      </c>
      <c r="D858" s="123" t="s">
        <v>4</v>
      </c>
      <c r="E858" s="123">
        <v>1270458.0</v>
      </c>
      <c r="F858" s="124">
        <v>0.0</v>
      </c>
      <c r="G858" s="124" t="s">
        <v>5712</v>
      </c>
      <c r="H858" s="124" t="s">
        <v>5705</v>
      </c>
      <c r="I858" s="124" t="s">
        <v>13</v>
      </c>
      <c r="J858" s="124" t="s">
        <v>5708</v>
      </c>
      <c r="K858" s="125" t="s">
        <v>139</v>
      </c>
      <c r="L858" s="125">
        <v>0.0</v>
      </c>
      <c r="M858" s="126">
        <v>0.001166667</v>
      </c>
      <c r="N858" s="1">
        <v>0.0</v>
      </c>
      <c r="O858" s="1">
        <v>0.0</v>
      </c>
    </row>
    <row r="859" ht="15.75" hidden="1" customHeight="1">
      <c r="A859" s="129">
        <v>45665.0</v>
      </c>
      <c r="B859" s="130" t="s">
        <v>5707</v>
      </c>
      <c r="C859" s="130" t="s">
        <v>5721</v>
      </c>
      <c r="D859" s="117" t="s">
        <v>4</v>
      </c>
      <c r="E859" s="117">
        <v>1270458.0</v>
      </c>
      <c r="F859" s="62">
        <v>0.0</v>
      </c>
      <c r="G859" s="62" t="s">
        <v>5712</v>
      </c>
      <c r="H859" s="62" t="s">
        <v>5705</v>
      </c>
      <c r="I859" s="62" t="s">
        <v>13</v>
      </c>
      <c r="J859" s="118" t="s">
        <v>5708</v>
      </c>
      <c r="K859" s="130" t="s">
        <v>142</v>
      </c>
      <c r="L859" s="62">
        <v>83.0</v>
      </c>
      <c r="M859" s="132"/>
      <c r="N859" s="1">
        <v>83.0</v>
      </c>
      <c r="O859" s="1" t="s">
        <v>5713</v>
      </c>
    </row>
    <row r="860" ht="15.75" customHeight="1">
      <c r="A860" s="127">
        <v>45665.0</v>
      </c>
      <c r="B860" s="125" t="s">
        <v>5707</v>
      </c>
      <c r="C860" s="125" t="s">
        <v>5721</v>
      </c>
      <c r="D860" s="123" t="s">
        <v>4</v>
      </c>
      <c r="E860" s="123">
        <v>1270458.0</v>
      </c>
      <c r="F860" s="124">
        <v>0.0</v>
      </c>
      <c r="G860" s="124" t="s">
        <v>5712</v>
      </c>
      <c r="H860" s="124" t="s">
        <v>5705</v>
      </c>
      <c r="I860" s="124" t="s">
        <v>13</v>
      </c>
      <c r="J860" s="124" t="s">
        <v>5708</v>
      </c>
      <c r="K860" s="125" t="s">
        <v>139</v>
      </c>
      <c r="L860" s="124">
        <v>0.0</v>
      </c>
      <c r="M860" s="126">
        <v>0.004666667</v>
      </c>
      <c r="N860" s="1">
        <v>0.0</v>
      </c>
      <c r="O860" s="1">
        <v>0.0</v>
      </c>
    </row>
    <row r="861" ht="15.75" hidden="1" customHeight="1">
      <c r="A861" s="129">
        <v>45665.0</v>
      </c>
      <c r="B861" s="130" t="s">
        <v>5707</v>
      </c>
      <c r="C861" s="130" t="s">
        <v>5722</v>
      </c>
      <c r="D861" s="117" t="s">
        <v>4</v>
      </c>
      <c r="E861" s="117">
        <v>1270458.0</v>
      </c>
      <c r="F861" s="62">
        <v>0.0</v>
      </c>
      <c r="G861" s="62" t="s">
        <v>5712</v>
      </c>
      <c r="H861" s="62" t="s">
        <v>5705</v>
      </c>
      <c r="I861" s="62" t="s">
        <v>13</v>
      </c>
      <c r="J861" s="118" t="s">
        <v>5708</v>
      </c>
      <c r="K861" s="130" t="s">
        <v>147</v>
      </c>
      <c r="L861" s="130">
        <v>0.0</v>
      </c>
      <c r="M861" s="132">
        <v>43.0</v>
      </c>
      <c r="N861" s="1">
        <v>0.0</v>
      </c>
      <c r="O861" s="1">
        <v>0.0</v>
      </c>
    </row>
    <row r="862" ht="15.75" hidden="1" customHeight="1">
      <c r="A862" s="127">
        <v>45665.0</v>
      </c>
      <c r="B862" s="125" t="s">
        <v>5707</v>
      </c>
      <c r="C862" s="125" t="s">
        <v>5722</v>
      </c>
      <c r="D862" s="123" t="s">
        <v>4</v>
      </c>
      <c r="E862" s="123">
        <v>1270458.0</v>
      </c>
      <c r="F862" s="124">
        <v>0.0</v>
      </c>
      <c r="G862" s="124" t="s">
        <v>5712</v>
      </c>
      <c r="H862" s="124" t="s">
        <v>5705</v>
      </c>
      <c r="I862" s="124" t="s">
        <v>13</v>
      </c>
      <c r="J862" s="124" t="s">
        <v>5708</v>
      </c>
      <c r="K862" s="125" t="s">
        <v>160</v>
      </c>
      <c r="L862" s="125">
        <v>0.0</v>
      </c>
      <c r="M862" s="126">
        <v>43.0</v>
      </c>
      <c r="N862" s="1">
        <v>0.0</v>
      </c>
      <c r="O862" s="1">
        <v>0.0</v>
      </c>
    </row>
    <row r="863" ht="15.75" hidden="1" customHeight="1">
      <c r="A863" s="129">
        <v>45665.0</v>
      </c>
      <c r="B863" s="130" t="s">
        <v>5707</v>
      </c>
      <c r="C863" s="130" t="s">
        <v>5720</v>
      </c>
      <c r="D863" s="117" t="s">
        <v>4</v>
      </c>
      <c r="E863" s="117">
        <v>1270458.0</v>
      </c>
      <c r="F863" s="62">
        <v>0.0</v>
      </c>
      <c r="G863" s="62" t="s">
        <v>5712</v>
      </c>
      <c r="H863" s="62" t="s">
        <v>5705</v>
      </c>
      <c r="I863" s="62" t="s">
        <v>209</v>
      </c>
      <c r="J863" s="118" t="s">
        <v>5708</v>
      </c>
      <c r="K863" s="130" t="s">
        <v>163</v>
      </c>
      <c r="L863" s="130">
        <v>2.0</v>
      </c>
      <c r="M863" s="132"/>
      <c r="N863" s="1">
        <v>2.0</v>
      </c>
    </row>
    <row r="864" ht="15.75" hidden="1" customHeight="1">
      <c r="A864" s="127">
        <v>45665.0</v>
      </c>
      <c r="B864" s="125" t="s">
        <v>5707</v>
      </c>
      <c r="C864" s="125" t="s">
        <v>5719</v>
      </c>
      <c r="D864" s="123" t="s">
        <v>4</v>
      </c>
      <c r="E864" s="123">
        <v>1270458.0</v>
      </c>
      <c r="F864" s="124">
        <v>0.0</v>
      </c>
      <c r="G864" s="124" t="s">
        <v>5712</v>
      </c>
      <c r="H864" s="124" t="s">
        <v>5705</v>
      </c>
      <c r="I864" s="124" t="s">
        <v>5708</v>
      </c>
      <c r="J864" s="124" t="s">
        <v>5708</v>
      </c>
      <c r="K864" s="125" t="s">
        <v>7</v>
      </c>
      <c r="L864" s="125">
        <v>300.0</v>
      </c>
      <c r="M864" s="126">
        <v>24.0</v>
      </c>
      <c r="N864" s="1">
        <v>12.5</v>
      </c>
    </row>
    <row r="865" ht="15.75" hidden="1" customHeight="1">
      <c r="A865" s="129">
        <v>45665.0</v>
      </c>
      <c r="B865" s="130" t="s">
        <v>5707</v>
      </c>
      <c r="C865" s="130" t="s">
        <v>5719</v>
      </c>
      <c r="D865" s="117" t="s">
        <v>4</v>
      </c>
      <c r="E865" s="117">
        <v>1270458.0</v>
      </c>
      <c r="F865" s="62">
        <v>0.0</v>
      </c>
      <c r="G865" s="62" t="s">
        <v>5712</v>
      </c>
      <c r="H865" s="62" t="s">
        <v>5705</v>
      </c>
      <c r="I865" s="62" t="s">
        <v>209</v>
      </c>
      <c r="J865" s="118" t="s">
        <v>5708</v>
      </c>
      <c r="K865" s="130" t="s">
        <v>153</v>
      </c>
      <c r="L865" s="62">
        <v>484.63</v>
      </c>
      <c r="M865" s="132">
        <v>118.0</v>
      </c>
      <c r="N865" s="1">
        <v>4.107033898</v>
      </c>
    </row>
    <row r="866" ht="15.75" hidden="1" customHeight="1">
      <c r="A866" s="127">
        <v>45665.0</v>
      </c>
      <c r="B866" s="125" t="s">
        <v>5707</v>
      </c>
      <c r="C866" s="125" t="s">
        <v>5719</v>
      </c>
      <c r="D866" s="123" t="s">
        <v>4</v>
      </c>
      <c r="E866" s="123">
        <v>1270458.0</v>
      </c>
      <c r="F866" s="124">
        <v>0.0</v>
      </c>
      <c r="G866" s="124" t="s">
        <v>5712</v>
      </c>
      <c r="H866" s="124" t="s">
        <v>5705</v>
      </c>
      <c r="I866" s="124" t="s">
        <v>209</v>
      </c>
      <c r="J866" s="124" t="s">
        <v>5708</v>
      </c>
      <c r="K866" s="125" t="s">
        <v>156</v>
      </c>
      <c r="L866" s="125">
        <v>6000.0</v>
      </c>
      <c r="M866" s="126">
        <v>118.0</v>
      </c>
      <c r="N866" s="1">
        <v>50.84745763</v>
      </c>
    </row>
    <row r="867" ht="15.75" hidden="1" customHeight="1">
      <c r="A867" s="129">
        <v>45665.0</v>
      </c>
      <c r="B867" s="130" t="s">
        <v>5707</v>
      </c>
      <c r="C867" s="130" t="s">
        <v>5719</v>
      </c>
      <c r="D867" s="117" t="s">
        <v>4</v>
      </c>
      <c r="E867" s="117">
        <v>1270458.0</v>
      </c>
      <c r="F867" s="62">
        <v>0.0</v>
      </c>
      <c r="G867" s="62" t="s">
        <v>5712</v>
      </c>
      <c r="H867" s="62" t="s">
        <v>5705</v>
      </c>
      <c r="I867" s="62" t="s">
        <v>209</v>
      </c>
      <c r="J867" s="118" t="s">
        <v>5708</v>
      </c>
      <c r="K867" s="130" t="s">
        <v>160</v>
      </c>
      <c r="L867" s="62">
        <v>0.0</v>
      </c>
      <c r="M867" s="132">
        <v>1.0</v>
      </c>
      <c r="N867" s="1">
        <v>0.0</v>
      </c>
    </row>
    <row r="868" ht="15.75" hidden="1" customHeight="1">
      <c r="A868" s="127">
        <v>45665.0</v>
      </c>
      <c r="B868" s="125" t="s">
        <v>5707</v>
      </c>
      <c r="C868" s="125" t="s">
        <v>5719</v>
      </c>
      <c r="D868" s="123" t="s">
        <v>4</v>
      </c>
      <c r="E868" s="123">
        <v>1270458.0</v>
      </c>
      <c r="F868" s="124">
        <v>0.0</v>
      </c>
      <c r="G868" s="124" t="s">
        <v>5712</v>
      </c>
      <c r="H868" s="124" t="s">
        <v>5705</v>
      </c>
      <c r="I868" s="124" t="s">
        <v>209</v>
      </c>
      <c r="J868" s="124" t="s">
        <v>5708</v>
      </c>
      <c r="K868" s="125" t="s">
        <v>160</v>
      </c>
      <c r="L868" s="124">
        <v>0.0</v>
      </c>
      <c r="M868" s="126">
        <v>2.0</v>
      </c>
      <c r="N868" s="1">
        <v>0.0</v>
      </c>
    </row>
    <row r="869" ht="15.75" hidden="1" customHeight="1">
      <c r="A869" s="129">
        <v>45665.0</v>
      </c>
      <c r="B869" s="130" t="s">
        <v>5707</v>
      </c>
      <c r="C869" s="130" t="s">
        <v>5719</v>
      </c>
      <c r="D869" s="117" t="s">
        <v>4</v>
      </c>
      <c r="E869" s="117">
        <v>1270458.0</v>
      </c>
      <c r="F869" s="62">
        <v>0.0</v>
      </c>
      <c r="G869" s="62" t="s">
        <v>5712</v>
      </c>
      <c r="H869" s="62" t="s">
        <v>5705</v>
      </c>
      <c r="I869" s="62" t="s">
        <v>209</v>
      </c>
      <c r="J869" s="118" t="s">
        <v>5708</v>
      </c>
      <c r="K869" s="130" t="s">
        <v>163</v>
      </c>
      <c r="L869" s="130">
        <v>2.0</v>
      </c>
      <c r="M869" s="132"/>
      <c r="N869" s="1">
        <v>2.0</v>
      </c>
    </row>
    <row r="870" ht="15.75" hidden="1" customHeight="1">
      <c r="A870" s="127">
        <v>45665.0</v>
      </c>
      <c r="B870" s="125" t="s">
        <v>5707</v>
      </c>
      <c r="C870" s="125" t="s">
        <v>5719</v>
      </c>
      <c r="D870" s="123" t="s">
        <v>4</v>
      </c>
      <c r="E870" s="123">
        <v>1270458.0</v>
      </c>
      <c r="F870" s="124">
        <v>0.0</v>
      </c>
      <c r="G870" s="124" t="s">
        <v>5712</v>
      </c>
      <c r="H870" s="124" t="s">
        <v>5705</v>
      </c>
      <c r="I870" s="124" t="s">
        <v>209</v>
      </c>
      <c r="J870" s="124" t="s">
        <v>5708</v>
      </c>
      <c r="K870" s="125" t="s">
        <v>160</v>
      </c>
      <c r="L870" s="125">
        <v>0.0</v>
      </c>
      <c r="M870" s="126">
        <v>2.0</v>
      </c>
      <c r="N870" s="1">
        <v>0.0</v>
      </c>
    </row>
    <row r="871" ht="15.75" hidden="1" customHeight="1">
      <c r="A871" s="129">
        <v>45665.0</v>
      </c>
      <c r="B871" s="130" t="s">
        <v>5707</v>
      </c>
      <c r="C871" s="130" t="s">
        <v>5719</v>
      </c>
      <c r="D871" s="117" t="s">
        <v>4</v>
      </c>
      <c r="E871" s="117">
        <v>1270458.0</v>
      </c>
      <c r="F871" s="62">
        <v>0.0</v>
      </c>
      <c r="G871" s="62" t="s">
        <v>5712</v>
      </c>
      <c r="H871" s="62" t="s">
        <v>5705</v>
      </c>
      <c r="I871" s="62" t="s">
        <v>209</v>
      </c>
      <c r="J871" s="118" t="s">
        <v>5708</v>
      </c>
      <c r="K871" s="130" t="s">
        <v>160</v>
      </c>
      <c r="L871" s="130">
        <v>0.0</v>
      </c>
      <c r="M871" s="132">
        <v>6.0</v>
      </c>
      <c r="N871" s="1">
        <v>0.0</v>
      </c>
    </row>
    <row r="872" ht="15.75" hidden="1" customHeight="1">
      <c r="A872" s="127">
        <v>45665.0</v>
      </c>
      <c r="B872" s="125" t="s">
        <v>5707</v>
      </c>
      <c r="C872" s="125" t="s">
        <v>5719</v>
      </c>
      <c r="D872" s="123" t="s">
        <v>4</v>
      </c>
      <c r="E872" s="123">
        <v>1270458.0</v>
      </c>
      <c r="F872" s="124">
        <v>0.0</v>
      </c>
      <c r="G872" s="124" t="s">
        <v>5712</v>
      </c>
      <c r="H872" s="124" t="s">
        <v>5705</v>
      </c>
      <c r="I872" s="124" t="s">
        <v>209</v>
      </c>
      <c r="J872" s="124" t="s">
        <v>5708</v>
      </c>
      <c r="K872" s="125" t="s">
        <v>163</v>
      </c>
      <c r="L872" s="125">
        <v>1.0</v>
      </c>
      <c r="M872" s="126"/>
      <c r="N872" s="1">
        <v>1.0</v>
      </c>
    </row>
    <row r="873" ht="15.75" hidden="1" customHeight="1">
      <c r="A873" s="129">
        <v>45665.0</v>
      </c>
      <c r="B873" s="130" t="s">
        <v>5707</v>
      </c>
      <c r="C873" s="130" t="s">
        <v>5719</v>
      </c>
      <c r="D873" s="117" t="s">
        <v>4</v>
      </c>
      <c r="E873" s="117">
        <v>1270458.0</v>
      </c>
      <c r="F873" s="62">
        <v>0.0</v>
      </c>
      <c r="G873" s="62" t="s">
        <v>5712</v>
      </c>
      <c r="H873" s="62" t="s">
        <v>5705</v>
      </c>
      <c r="I873" s="62" t="s">
        <v>209</v>
      </c>
      <c r="J873" s="118" t="s">
        <v>5708</v>
      </c>
      <c r="K873" s="130" t="s">
        <v>147</v>
      </c>
      <c r="L873" s="130">
        <v>0.0</v>
      </c>
      <c r="M873" s="132">
        <v>2.0</v>
      </c>
      <c r="N873" s="1">
        <v>0.0</v>
      </c>
    </row>
    <row r="874" ht="15.75" hidden="1" customHeight="1">
      <c r="A874" s="127">
        <v>45665.0</v>
      </c>
      <c r="B874" s="125" t="s">
        <v>5707</v>
      </c>
      <c r="C874" s="125" t="s">
        <v>5719</v>
      </c>
      <c r="D874" s="123" t="s">
        <v>4</v>
      </c>
      <c r="E874" s="123">
        <v>1270458.0</v>
      </c>
      <c r="F874" s="124">
        <v>0.0</v>
      </c>
      <c r="G874" s="124" t="s">
        <v>5712</v>
      </c>
      <c r="H874" s="124" t="s">
        <v>5705</v>
      </c>
      <c r="I874" s="124" t="s">
        <v>209</v>
      </c>
      <c r="J874" s="124" t="s">
        <v>5708</v>
      </c>
      <c r="K874" s="125" t="s">
        <v>163</v>
      </c>
      <c r="L874" s="125">
        <v>2.0</v>
      </c>
      <c r="M874" s="126"/>
      <c r="N874" s="1">
        <v>2.0</v>
      </c>
    </row>
    <row r="875" ht="15.75" hidden="1" customHeight="1">
      <c r="A875" s="139">
        <v>45665.0</v>
      </c>
      <c r="B875" s="120" t="s">
        <v>5707</v>
      </c>
      <c r="C875" s="120" t="s">
        <v>5720</v>
      </c>
      <c r="D875" s="117" t="s">
        <v>4</v>
      </c>
      <c r="E875" s="117">
        <v>1270458.0</v>
      </c>
      <c r="F875" s="118">
        <v>0.0</v>
      </c>
      <c r="G875" s="118" t="s">
        <v>5712</v>
      </c>
      <c r="H875" s="118" t="s">
        <v>5705</v>
      </c>
      <c r="I875" s="118" t="s">
        <v>5708</v>
      </c>
      <c r="J875" s="118" t="s">
        <v>5708</v>
      </c>
      <c r="K875" s="120" t="s">
        <v>7</v>
      </c>
      <c r="L875" s="120">
        <v>0.0</v>
      </c>
      <c r="M875" s="121">
        <v>22.0</v>
      </c>
      <c r="N875" s="1">
        <v>0.0</v>
      </c>
    </row>
    <row r="876" ht="15.75" hidden="1" customHeight="1">
      <c r="A876" s="127">
        <v>45665.0</v>
      </c>
      <c r="B876" s="125" t="s">
        <v>5707</v>
      </c>
      <c r="C876" s="125" t="s">
        <v>5722</v>
      </c>
      <c r="D876" s="123" t="s">
        <v>4</v>
      </c>
      <c r="E876" s="123">
        <v>1270458.0</v>
      </c>
      <c r="F876" s="124">
        <v>0.0</v>
      </c>
      <c r="G876" s="124" t="s">
        <v>5712</v>
      </c>
      <c r="H876" s="124" t="s">
        <v>5705</v>
      </c>
      <c r="I876" s="124" t="s">
        <v>209</v>
      </c>
      <c r="J876" s="124" t="s">
        <v>5708</v>
      </c>
      <c r="K876" s="125" t="s">
        <v>147</v>
      </c>
      <c r="L876" s="125">
        <v>0.0</v>
      </c>
      <c r="M876" s="126">
        <v>2.0</v>
      </c>
      <c r="N876" s="1">
        <v>0.0</v>
      </c>
    </row>
    <row r="877" ht="15.75" hidden="1" customHeight="1">
      <c r="A877" s="129">
        <v>45665.0</v>
      </c>
      <c r="B877" s="130" t="s">
        <v>5707</v>
      </c>
      <c r="C877" s="130" t="s">
        <v>5722</v>
      </c>
      <c r="D877" s="117" t="s">
        <v>4</v>
      </c>
      <c r="E877" s="117">
        <v>1270458.0</v>
      </c>
      <c r="F877" s="62">
        <v>0.0</v>
      </c>
      <c r="G877" s="62" t="s">
        <v>5712</v>
      </c>
      <c r="H877" s="62" t="s">
        <v>5705</v>
      </c>
      <c r="I877" s="62" t="s">
        <v>209</v>
      </c>
      <c r="J877" s="118" t="s">
        <v>5708</v>
      </c>
      <c r="K877" s="130" t="s">
        <v>160</v>
      </c>
      <c r="L877" s="130">
        <v>0.0</v>
      </c>
      <c r="M877" s="132">
        <v>1.0</v>
      </c>
      <c r="N877" s="1">
        <v>0.0</v>
      </c>
    </row>
    <row r="878" ht="15.75" hidden="1" customHeight="1">
      <c r="A878" s="127">
        <v>45665.0</v>
      </c>
      <c r="B878" s="125" t="s">
        <v>5707</v>
      </c>
      <c r="C878" s="125" t="s">
        <v>5721</v>
      </c>
      <c r="D878" s="123" t="s">
        <v>4</v>
      </c>
      <c r="E878" s="123">
        <v>1270458.0</v>
      </c>
      <c r="F878" s="124">
        <v>0.0</v>
      </c>
      <c r="G878" s="124" t="s">
        <v>5712</v>
      </c>
      <c r="H878" s="124" t="s">
        <v>5705</v>
      </c>
      <c r="I878" s="124" t="s">
        <v>209</v>
      </c>
      <c r="J878" s="124" t="s">
        <v>5708</v>
      </c>
      <c r="K878" s="125" t="s">
        <v>154</v>
      </c>
      <c r="L878" s="125">
        <v>8900.0</v>
      </c>
      <c r="M878" s="126">
        <v>152.0</v>
      </c>
      <c r="N878" s="1">
        <v>58.55263158</v>
      </c>
    </row>
    <row r="879" ht="15.75" customHeight="1">
      <c r="A879" s="129">
        <v>45665.0</v>
      </c>
      <c r="B879" s="130" t="s">
        <v>5707</v>
      </c>
      <c r="C879" s="130" t="s">
        <v>5721</v>
      </c>
      <c r="D879" s="117" t="s">
        <v>4</v>
      </c>
      <c r="E879" s="117">
        <v>1270458.0</v>
      </c>
      <c r="F879" s="62">
        <v>0.0</v>
      </c>
      <c r="G879" s="62" t="s">
        <v>5712</v>
      </c>
      <c r="H879" s="62" t="s">
        <v>5705</v>
      </c>
      <c r="I879" s="62" t="s">
        <v>209</v>
      </c>
      <c r="J879" s="118" t="s">
        <v>5708</v>
      </c>
      <c r="K879" s="130" t="s">
        <v>139</v>
      </c>
      <c r="L879" s="130">
        <v>83.0</v>
      </c>
      <c r="M879" s="132">
        <v>6.5045</v>
      </c>
      <c r="N879" s="1">
        <v>12.76039665</v>
      </c>
    </row>
    <row r="880" ht="15.75" hidden="1" customHeight="1">
      <c r="A880" s="127">
        <v>45665.0</v>
      </c>
      <c r="B880" s="125" t="s">
        <v>5707</v>
      </c>
      <c r="C880" s="125" t="s">
        <v>5721</v>
      </c>
      <c r="D880" s="123" t="s">
        <v>4</v>
      </c>
      <c r="E880" s="123">
        <v>1270458.0</v>
      </c>
      <c r="F880" s="124">
        <v>0.0</v>
      </c>
      <c r="G880" s="124" t="s">
        <v>5712</v>
      </c>
      <c r="H880" s="124" t="s">
        <v>5705</v>
      </c>
      <c r="I880" s="124" t="s">
        <v>209</v>
      </c>
      <c r="J880" s="124" t="s">
        <v>5708</v>
      </c>
      <c r="K880" s="125" t="s">
        <v>163</v>
      </c>
      <c r="L880" s="125">
        <v>5.0</v>
      </c>
      <c r="M880" s="126"/>
      <c r="N880" s="1">
        <v>5.0</v>
      </c>
    </row>
    <row r="881" ht="15.75" hidden="1" customHeight="1">
      <c r="A881" s="129">
        <v>45665.0</v>
      </c>
      <c r="B881" s="130" t="s">
        <v>5707</v>
      </c>
      <c r="C881" s="130" t="s">
        <v>5721</v>
      </c>
      <c r="D881" s="117" t="s">
        <v>4</v>
      </c>
      <c r="E881" s="117">
        <v>1270458.0</v>
      </c>
      <c r="F881" s="62">
        <v>0.0</v>
      </c>
      <c r="G881" s="62" t="s">
        <v>5712</v>
      </c>
      <c r="H881" s="62" t="s">
        <v>5705</v>
      </c>
      <c r="I881" s="62" t="s">
        <v>209</v>
      </c>
      <c r="J881" s="118" t="s">
        <v>5708</v>
      </c>
      <c r="K881" s="130" t="s">
        <v>147</v>
      </c>
      <c r="L881" s="130">
        <v>0.0</v>
      </c>
      <c r="M881" s="132">
        <v>1.0</v>
      </c>
      <c r="N881" s="1">
        <v>0.0</v>
      </c>
    </row>
    <row r="882" ht="15.75" hidden="1" customHeight="1">
      <c r="A882" s="127">
        <v>45665.0</v>
      </c>
      <c r="B882" s="125" t="s">
        <v>5707</v>
      </c>
      <c r="C882" s="125" t="s">
        <v>5720</v>
      </c>
      <c r="D882" s="123" t="s">
        <v>4</v>
      </c>
      <c r="E882" s="123">
        <v>1270458.0</v>
      </c>
      <c r="F882" s="124">
        <v>0.0</v>
      </c>
      <c r="G882" s="124" t="s">
        <v>5712</v>
      </c>
      <c r="H882" s="124" t="s">
        <v>5705</v>
      </c>
      <c r="I882" s="124" t="s">
        <v>209</v>
      </c>
      <c r="J882" s="124" t="s">
        <v>5708</v>
      </c>
      <c r="K882" s="125" t="s">
        <v>147</v>
      </c>
      <c r="L882" s="125">
        <v>0.0</v>
      </c>
      <c r="M882" s="126">
        <v>5.0</v>
      </c>
      <c r="N882" s="1">
        <v>0.0</v>
      </c>
    </row>
    <row r="883" ht="15.75" hidden="1" customHeight="1">
      <c r="A883" s="129">
        <v>45665.0</v>
      </c>
      <c r="B883" s="130" t="s">
        <v>5707</v>
      </c>
      <c r="C883" s="130" t="s">
        <v>5720</v>
      </c>
      <c r="D883" s="117" t="s">
        <v>4</v>
      </c>
      <c r="E883" s="117">
        <v>1270458.0</v>
      </c>
      <c r="F883" s="62">
        <v>0.0</v>
      </c>
      <c r="G883" s="62" t="s">
        <v>5712</v>
      </c>
      <c r="H883" s="62" t="s">
        <v>5705</v>
      </c>
      <c r="I883" s="62" t="s">
        <v>209</v>
      </c>
      <c r="J883" s="118" t="s">
        <v>5708</v>
      </c>
      <c r="K883" s="130" t="s">
        <v>160</v>
      </c>
      <c r="L883" s="130">
        <v>0.0</v>
      </c>
      <c r="M883" s="132">
        <v>2.0</v>
      </c>
      <c r="N883" s="1">
        <v>0.0</v>
      </c>
    </row>
    <row r="884" ht="15.75" hidden="1" customHeight="1">
      <c r="A884" s="127">
        <v>45665.0</v>
      </c>
      <c r="B884" s="125" t="s">
        <v>5707</v>
      </c>
      <c r="C884" s="125" t="s">
        <v>5720</v>
      </c>
      <c r="D884" s="123" t="s">
        <v>4</v>
      </c>
      <c r="E884" s="123">
        <v>1270458.0</v>
      </c>
      <c r="F884" s="124">
        <v>0.0</v>
      </c>
      <c r="G884" s="124" t="s">
        <v>5712</v>
      </c>
      <c r="H884" s="124" t="s">
        <v>5705</v>
      </c>
      <c r="I884" s="124" t="s">
        <v>209</v>
      </c>
      <c r="J884" s="124" t="s">
        <v>5708</v>
      </c>
      <c r="K884" s="125" t="s">
        <v>147</v>
      </c>
      <c r="L884" s="125">
        <v>0.0</v>
      </c>
      <c r="M884" s="126">
        <v>4.0</v>
      </c>
      <c r="N884" s="1">
        <v>0.0</v>
      </c>
    </row>
    <row r="885" ht="15.75" hidden="1" customHeight="1">
      <c r="A885" s="129">
        <v>45665.0</v>
      </c>
      <c r="B885" s="130" t="s">
        <v>5707</v>
      </c>
      <c r="C885" s="130" t="s">
        <v>5720</v>
      </c>
      <c r="D885" s="117" t="s">
        <v>4</v>
      </c>
      <c r="E885" s="117">
        <v>1270458.0</v>
      </c>
      <c r="F885" s="62">
        <v>0.0</v>
      </c>
      <c r="G885" s="62" t="s">
        <v>5712</v>
      </c>
      <c r="H885" s="62" t="s">
        <v>5705</v>
      </c>
      <c r="I885" s="62" t="s">
        <v>209</v>
      </c>
      <c r="J885" s="118" t="s">
        <v>5708</v>
      </c>
      <c r="K885" s="130" t="s">
        <v>163</v>
      </c>
      <c r="L885" s="130">
        <v>4.0</v>
      </c>
      <c r="M885" s="132"/>
      <c r="N885" s="1">
        <v>4.0</v>
      </c>
    </row>
    <row r="886" ht="15.75" hidden="1" customHeight="1">
      <c r="A886" s="127">
        <v>45665.0</v>
      </c>
      <c r="B886" s="125" t="s">
        <v>5707</v>
      </c>
      <c r="C886" s="125" t="s">
        <v>5720</v>
      </c>
      <c r="D886" s="123" t="s">
        <v>4</v>
      </c>
      <c r="E886" s="123">
        <v>1270458.0</v>
      </c>
      <c r="F886" s="124">
        <v>0.0</v>
      </c>
      <c r="G886" s="124" t="s">
        <v>5712</v>
      </c>
      <c r="H886" s="124" t="s">
        <v>5705</v>
      </c>
      <c r="I886" s="124" t="s">
        <v>209</v>
      </c>
      <c r="J886" s="124" t="s">
        <v>5708</v>
      </c>
      <c r="K886" s="125" t="s">
        <v>147</v>
      </c>
      <c r="L886" s="124">
        <v>0.0</v>
      </c>
      <c r="M886" s="126">
        <v>6.0</v>
      </c>
      <c r="N886" s="1">
        <v>0.0</v>
      </c>
    </row>
    <row r="887" ht="15.75" hidden="1" customHeight="1">
      <c r="A887" s="129">
        <v>45665.0</v>
      </c>
      <c r="B887" s="130" t="s">
        <v>5707</v>
      </c>
      <c r="C887" s="130" t="s">
        <v>5720</v>
      </c>
      <c r="D887" s="117" t="s">
        <v>4</v>
      </c>
      <c r="E887" s="117">
        <v>1270458.0</v>
      </c>
      <c r="F887" s="62">
        <v>0.0</v>
      </c>
      <c r="G887" s="62" t="s">
        <v>5712</v>
      </c>
      <c r="H887" s="62" t="s">
        <v>5705</v>
      </c>
      <c r="I887" s="62" t="s">
        <v>209</v>
      </c>
      <c r="J887" s="118" t="s">
        <v>5708</v>
      </c>
      <c r="K887" s="130" t="s">
        <v>163</v>
      </c>
      <c r="L887" s="62">
        <v>6.0</v>
      </c>
      <c r="M887" s="132"/>
      <c r="N887" s="1">
        <v>6.0</v>
      </c>
    </row>
    <row r="888" ht="15.75" hidden="1" customHeight="1">
      <c r="A888" s="127">
        <v>45665.0</v>
      </c>
      <c r="B888" s="125" t="s">
        <v>5707</v>
      </c>
      <c r="C888" s="125" t="s">
        <v>5718</v>
      </c>
      <c r="D888" s="123" t="s">
        <v>4</v>
      </c>
      <c r="E888" s="123">
        <v>1270458.0</v>
      </c>
      <c r="F888" s="124">
        <v>0.0</v>
      </c>
      <c r="G888" s="124" t="s">
        <v>5712</v>
      </c>
      <c r="H888" s="124" t="s">
        <v>5705</v>
      </c>
      <c r="I888" s="124" t="s">
        <v>209</v>
      </c>
      <c r="J888" s="124" t="s">
        <v>5708</v>
      </c>
      <c r="K888" s="125" t="s">
        <v>163</v>
      </c>
      <c r="L888" s="125">
        <v>3.0</v>
      </c>
      <c r="M888" s="126"/>
      <c r="N888" s="1">
        <v>3.0</v>
      </c>
    </row>
    <row r="889" ht="15.75" hidden="1" customHeight="1">
      <c r="A889" s="129">
        <v>45665.0</v>
      </c>
      <c r="B889" s="130" t="s">
        <v>5707</v>
      </c>
      <c r="C889" s="130" t="s">
        <v>5718</v>
      </c>
      <c r="D889" s="117" t="s">
        <v>4</v>
      </c>
      <c r="E889" s="117">
        <v>1270458.0</v>
      </c>
      <c r="F889" s="62">
        <v>0.0</v>
      </c>
      <c r="G889" s="62" t="s">
        <v>5712</v>
      </c>
      <c r="H889" s="62" t="s">
        <v>5705</v>
      </c>
      <c r="I889" s="62" t="s">
        <v>209</v>
      </c>
      <c r="J889" s="118" t="s">
        <v>5708</v>
      </c>
      <c r="K889" s="130" t="s">
        <v>160</v>
      </c>
      <c r="L889" s="130">
        <v>0.0</v>
      </c>
      <c r="M889" s="132">
        <v>3.0</v>
      </c>
      <c r="N889" s="1">
        <v>0.0</v>
      </c>
    </row>
    <row r="890" ht="15.75" hidden="1" customHeight="1">
      <c r="A890" s="127">
        <v>45665.0</v>
      </c>
      <c r="B890" s="125" t="s">
        <v>5707</v>
      </c>
      <c r="C890" s="125" t="s">
        <v>5718</v>
      </c>
      <c r="D890" s="123" t="s">
        <v>4</v>
      </c>
      <c r="E890" s="123">
        <v>1270458.0</v>
      </c>
      <c r="F890" s="124">
        <v>0.0</v>
      </c>
      <c r="G890" s="124" t="s">
        <v>5712</v>
      </c>
      <c r="H890" s="124" t="s">
        <v>5705</v>
      </c>
      <c r="I890" s="124" t="s">
        <v>209</v>
      </c>
      <c r="J890" s="124" t="s">
        <v>5708</v>
      </c>
      <c r="K890" s="125" t="s">
        <v>163</v>
      </c>
      <c r="L890" s="125">
        <v>3.0</v>
      </c>
      <c r="M890" s="126"/>
      <c r="N890" s="1">
        <v>3.0</v>
      </c>
    </row>
    <row r="891" ht="15.75" customHeight="1">
      <c r="A891" s="129">
        <v>45665.0</v>
      </c>
      <c r="B891" s="130" t="s">
        <v>5707</v>
      </c>
      <c r="C891" s="130" t="s">
        <v>5718</v>
      </c>
      <c r="D891" s="117" t="s">
        <v>4</v>
      </c>
      <c r="E891" s="117">
        <v>1270458.0</v>
      </c>
      <c r="F891" s="62">
        <v>0.0</v>
      </c>
      <c r="G891" s="62" t="s">
        <v>5712</v>
      </c>
      <c r="H891" s="62" t="s">
        <v>5705</v>
      </c>
      <c r="I891" s="62" t="s">
        <v>209</v>
      </c>
      <c r="J891" s="118" t="s">
        <v>5708</v>
      </c>
      <c r="K891" s="130" t="s">
        <v>139</v>
      </c>
      <c r="L891" s="130">
        <v>1.0</v>
      </c>
      <c r="M891" s="132">
        <v>3.33333E-4</v>
      </c>
      <c r="N891" s="1">
        <v>3000.0</v>
      </c>
    </row>
    <row r="892" ht="15.75" hidden="1" customHeight="1">
      <c r="A892" s="127">
        <v>45665.0</v>
      </c>
      <c r="B892" s="125" t="s">
        <v>5707</v>
      </c>
      <c r="C892" s="125" t="s">
        <v>5718</v>
      </c>
      <c r="D892" s="123" t="s">
        <v>4</v>
      </c>
      <c r="E892" s="123">
        <v>1270458.0</v>
      </c>
      <c r="F892" s="124">
        <v>0.0</v>
      </c>
      <c r="G892" s="124" t="s">
        <v>5712</v>
      </c>
      <c r="H892" s="124" t="s">
        <v>5705</v>
      </c>
      <c r="I892" s="124" t="s">
        <v>209</v>
      </c>
      <c r="J892" s="124" t="s">
        <v>5708</v>
      </c>
      <c r="K892" s="125" t="s">
        <v>163</v>
      </c>
      <c r="L892" s="125">
        <v>1.0</v>
      </c>
      <c r="M892" s="126"/>
      <c r="N892" s="1">
        <v>1.0</v>
      </c>
    </row>
    <row r="893" ht="15.75" hidden="1" customHeight="1">
      <c r="A893" s="129">
        <v>45665.0</v>
      </c>
      <c r="B893" s="130" t="s">
        <v>5707</v>
      </c>
      <c r="C893" s="130" t="s">
        <v>5718</v>
      </c>
      <c r="D893" s="117" t="s">
        <v>4</v>
      </c>
      <c r="E893" s="117">
        <v>1270458.0</v>
      </c>
      <c r="F893" s="62">
        <v>0.0</v>
      </c>
      <c r="G893" s="62" t="s">
        <v>5712</v>
      </c>
      <c r="H893" s="62" t="s">
        <v>5705</v>
      </c>
      <c r="I893" s="62" t="s">
        <v>209</v>
      </c>
      <c r="J893" s="118" t="s">
        <v>5708</v>
      </c>
      <c r="K893" s="130" t="s">
        <v>147</v>
      </c>
      <c r="L893" s="130">
        <v>0.0</v>
      </c>
      <c r="M893" s="132">
        <v>1.0</v>
      </c>
      <c r="N893" s="1">
        <v>0.0</v>
      </c>
    </row>
    <row r="894" ht="15.75" hidden="1" customHeight="1">
      <c r="A894" s="127">
        <v>45665.0</v>
      </c>
      <c r="B894" s="125" t="s">
        <v>5707</v>
      </c>
      <c r="C894" s="125" t="s">
        <v>5718</v>
      </c>
      <c r="D894" s="123" t="s">
        <v>4</v>
      </c>
      <c r="E894" s="123">
        <v>1270458.0</v>
      </c>
      <c r="F894" s="124">
        <v>0.0</v>
      </c>
      <c r="G894" s="124" t="s">
        <v>5712</v>
      </c>
      <c r="H894" s="124" t="s">
        <v>5705</v>
      </c>
      <c r="I894" s="124" t="s">
        <v>209</v>
      </c>
      <c r="J894" s="124" t="s">
        <v>5708</v>
      </c>
      <c r="K894" s="125" t="s">
        <v>160</v>
      </c>
      <c r="L894" s="125">
        <v>0.0</v>
      </c>
      <c r="M894" s="126">
        <v>1.0</v>
      </c>
      <c r="N894" s="1">
        <v>0.0</v>
      </c>
    </row>
    <row r="895" ht="15.75" hidden="1" customHeight="1">
      <c r="A895" s="129">
        <v>45665.0</v>
      </c>
      <c r="B895" s="130" t="s">
        <v>5707</v>
      </c>
      <c r="C895" s="130" t="s">
        <v>5720</v>
      </c>
      <c r="D895" s="117" t="s">
        <v>4</v>
      </c>
      <c r="E895" s="117">
        <v>1270458.0</v>
      </c>
      <c r="F895" s="62">
        <v>0.0</v>
      </c>
      <c r="G895" s="62" t="s">
        <v>5712</v>
      </c>
      <c r="H895" s="62" t="s">
        <v>5705</v>
      </c>
      <c r="I895" s="62" t="s">
        <v>209</v>
      </c>
      <c r="J895" s="118" t="s">
        <v>5708</v>
      </c>
      <c r="K895" s="130" t="s">
        <v>142</v>
      </c>
      <c r="L895" s="130">
        <v>143.0</v>
      </c>
      <c r="M895" s="132"/>
      <c r="N895" s="1">
        <v>143.0</v>
      </c>
    </row>
    <row r="896" ht="15.75" hidden="1" customHeight="1">
      <c r="A896" s="127">
        <v>45665.0</v>
      </c>
      <c r="B896" s="125" t="s">
        <v>5707</v>
      </c>
      <c r="C896" s="125" t="s">
        <v>5720</v>
      </c>
      <c r="D896" s="123" t="s">
        <v>4</v>
      </c>
      <c r="E896" s="123">
        <v>1270458.0</v>
      </c>
      <c r="F896" s="124">
        <v>0.0</v>
      </c>
      <c r="G896" s="124" t="s">
        <v>5712</v>
      </c>
      <c r="H896" s="124" t="s">
        <v>5705</v>
      </c>
      <c r="I896" s="124" t="s">
        <v>209</v>
      </c>
      <c r="J896" s="124" t="s">
        <v>5708</v>
      </c>
      <c r="K896" s="125" t="s">
        <v>160</v>
      </c>
      <c r="L896" s="125">
        <v>0.0</v>
      </c>
      <c r="M896" s="126">
        <v>1.0</v>
      </c>
      <c r="N896" s="1">
        <v>0.0</v>
      </c>
    </row>
    <row r="897" ht="15.75" hidden="1" customHeight="1">
      <c r="A897" s="129">
        <v>45665.0</v>
      </c>
      <c r="B897" s="130" t="s">
        <v>5707</v>
      </c>
      <c r="C897" s="130" t="s">
        <v>5720</v>
      </c>
      <c r="D897" s="117" t="s">
        <v>4</v>
      </c>
      <c r="E897" s="117">
        <v>1270458.0</v>
      </c>
      <c r="F897" s="62">
        <v>0.0</v>
      </c>
      <c r="G897" s="62" t="s">
        <v>5712</v>
      </c>
      <c r="H897" s="62" t="s">
        <v>5705</v>
      </c>
      <c r="I897" s="62" t="s">
        <v>209</v>
      </c>
      <c r="J897" s="118" t="s">
        <v>5708</v>
      </c>
      <c r="K897" s="130" t="s">
        <v>147</v>
      </c>
      <c r="L897" s="62">
        <v>0.0</v>
      </c>
      <c r="M897" s="132">
        <v>2.0</v>
      </c>
      <c r="N897" s="1">
        <v>0.0</v>
      </c>
    </row>
    <row r="898" ht="15.75" customHeight="1">
      <c r="A898" s="127">
        <v>45665.0</v>
      </c>
      <c r="B898" s="125" t="s">
        <v>5707</v>
      </c>
      <c r="C898" s="125" t="s">
        <v>5720</v>
      </c>
      <c r="D898" s="123" t="s">
        <v>4</v>
      </c>
      <c r="E898" s="123">
        <v>1270458.0</v>
      </c>
      <c r="F898" s="124">
        <v>0.0</v>
      </c>
      <c r="G898" s="124" t="s">
        <v>5712</v>
      </c>
      <c r="H898" s="124" t="s">
        <v>5705</v>
      </c>
      <c r="I898" s="124" t="s">
        <v>209</v>
      </c>
      <c r="J898" s="124" t="s">
        <v>5708</v>
      </c>
      <c r="K898" s="125" t="s">
        <v>139</v>
      </c>
      <c r="L898" s="125">
        <v>0.0</v>
      </c>
      <c r="M898" s="126">
        <v>0.001333333</v>
      </c>
      <c r="N898" s="1">
        <v>0.0</v>
      </c>
    </row>
    <row r="899" ht="15.75" hidden="1" customHeight="1">
      <c r="A899" s="129">
        <v>45665.0</v>
      </c>
      <c r="B899" s="130" t="s">
        <v>5707</v>
      </c>
      <c r="C899" s="130" t="s">
        <v>5720</v>
      </c>
      <c r="D899" s="117" t="s">
        <v>4</v>
      </c>
      <c r="E899" s="117">
        <v>1270458.0</v>
      </c>
      <c r="F899" s="62">
        <v>0.0</v>
      </c>
      <c r="G899" s="62" t="s">
        <v>5712</v>
      </c>
      <c r="H899" s="62" t="s">
        <v>5705</v>
      </c>
      <c r="I899" s="62" t="s">
        <v>209</v>
      </c>
      <c r="J899" s="118" t="s">
        <v>5708</v>
      </c>
      <c r="K899" s="130" t="s">
        <v>160</v>
      </c>
      <c r="L899" s="62">
        <v>0.0</v>
      </c>
      <c r="M899" s="132">
        <v>232.0</v>
      </c>
      <c r="N899" s="1">
        <v>0.0</v>
      </c>
    </row>
    <row r="900" ht="15.75" customHeight="1">
      <c r="A900" s="127">
        <v>45665.0</v>
      </c>
      <c r="B900" s="125" t="s">
        <v>5707</v>
      </c>
      <c r="C900" s="125" t="s">
        <v>5720</v>
      </c>
      <c r="D900" s="123" t="s">
        <v>4</v>
      </c>
      <c r="E900" s="123">
        <v>1270458.0</v>
      </c>
      <c r="F900" s="124">
        <v>0.0</v>
      </c>
      <c r="G900" s="124" t="s">
        <v>5712</v>
      </c>
      <c r="H900" s="124" t="s">
        <v>5705</v>
      </c>
      <c r="I900" s="124" t="s">
        <v>209</v>
      </c>
      <c r="J900" s="124" t="s">
        <v>5708</v>
      </c>
      <c r="K900" s="125" t="s">
        <v>139</v>
      </c>
      <c r="L900" s="124">
        <v>0.0</v>
      </c>
      <c r="M900" s="126">
        <v>0.001166667</v>
      </c>
      <c r="N900" s="1">
        <v>0.0</v>
      </c>
    </row>
    <row r="901" ht="15.75" hidden="1" customHeight="1">
      <c r="A901" s="129">
        <v>45665.0</v>
      </c>
      <c r="B901" s="130" t="s">
        <v>5707</v>
      </c>
      <c r="C901" s="130" t="s">
        <v>5721</v>
      </c>
      <c r="D901" s="117" t="s">
        <v>4</v>
      </c>
      <c r="E901" s="117">
        <v>1270458.0</v>
      </c>
      <c r="F901" s="62">
        <v>0.0</v>
      </c>
      <c r="G901" s="62" t="s">
        <v>5712</v>
      </c>
      <c r="H901" s="62" t="s">
        <v>5705</v>
      </c>
      <c r="I901" s="62" t="s">
        <v>209</v>
      </c>
      <c r="J901" s="118" t="s">
        <v>5708</v>
      </c>
      <c r="K901" s="130" t="s">
        <v>147</v>
      </c>
      <c r="L901" s="130">
        <v>0.0</v>
      </c>
      <c r="M901" s="132">
        <v>2.0</v>
      </c>
      <c r="N901" s="1">
        <v>0.0</v>
      </c>
    </row>
    <row r="902" ht="15.75" hidden="1" customHeight="1">
      <c r="A902" s="127">
        <v>45665.0</v>
      </c>
      <c r="B902" s="125" t="s">
        <v>5707</v>
      </c>
      <c r="C902" s="125" t="s">
        <v>5721</v>
      </c>
      <c r="D902" s="123" t="s">
        <v>4</v>
      </c>
      <c r="E902" s="123">
        <v>1270458.0</v>
      </c>
      <c r="F902" s="124">
        <v>0.0</v>
      </c>
      <c r="G902" s="124" t="s">
        <v>5712</v>
      </c>
      <c r="H902" s="124" t="s">
        <v>5705</v>
      </c>
      <c r="I902" s="124" t="s">
        <v>209</v>
      </c>
      <c r="J902" s="124" t="s">
        <v>5708</v>
      </c>
      <c r="K902" s="125" t="s">
        <v>163</v>
      </c>
      <c r="L902" s="124">
        <v>2.0</v>
      </c>
      <c r="M902" s="126"/>
      <c r="N902" s="1">
        <v>2.0</v>
      </c>
    </row>
    <row r="903" ht="15.75" hidden="1" customHeight="1">
      <c r="A903" s="129">
        <v>45665.0</v>
      </c>
      <c r="B903" s="130" t="s">
        <v>5707</v>
      </c>
      <c r="C903" s="130" t="s">
        <v>5721</v>
      </c>
      <c r="D903" s="117" t="s">
        <v>4</v>
      </c>
      <c r="E903" s="117">
        <v>1270458.0</v>
      </c>
      <c r="F903" s="62">
        <v>0.0</v>
      </c>
      <c r="G903" s="62" t="s">
        <v>5712</v>
      </c>
      <c r="H903" s="62" t="s">
        <v>5705</v>
      </c>
      <c r="I903" s="62" t="s">
        <v>209</v>
      </c>
      <c r="J903" s="118" t="s">
        <v>5708</v>
      </c>
      <c r="K903" s="130" t="s">
        <v>147</v>
      </c>
      <c r="L903" s="130">
        <v>0.0</v>
      </c>
      <c r="M903" s="132">
        <v>3.0</v>
      </c>
      <c r="N903" s="1">
        <v>0.0</v>
      </c>
    </row>
    <row r="904" ht="15.75" hidden="1" customHeight="1">
      <c r="A904" s="127">
        <v>45665.0</v>
      </c>
      <c r="B904" s="125" t="s">
        <v>5707</v>
      </c>
      <c r="C904" s="125" t="s">
        <v>5721</v>
      </c>
      <c r="D904" s="123" t="s">
        <v>4</v>
      </c>
      <c r="E904" s="123">
        <v>1270458.0</v>
      </c>
      <c r="F904" s="124">
        <v>0.0</v>
      </c>
      <c r="G904" s="124" t="s">
        <v>5712</v>
      </c>
      <c r="H904" s="124" t="s">
        <v>5705</v>
      </c>
      <c r="I904" s="124" t="s">
        <v>209</v>
      </c>
      <c r="J904" s="124" t="s">
        <v>5708</v>
      </c>
      <c r="K904" s="125" t="s">
        <v>160</v>
      </c>
      <c r="L904" s="125">
        <v>0.0</v>
      </c>
      <c r="M904" s="126">
        <v>3.0</v>
      </c>
      <c r="N904" s="1">
        <v>0.0</v>
      </c>
    </row>
    <row r="905" ht="15.75" hidden="1" customHeight="1">
      <c r="A905" s="129">
        <v>45665.0</v>
      </c>
      <c r="B905" s="130" t="s">
        <v>5707</v>
      </c>
      <c r="C905" s="130" t="s">
        <v>5721</v>
      </c>
      <c r="D905" s="117" t="s">
        <v>4</v>
      </c>
      <c r="E905" s="117">
        <v>1270458.0</v>
      </c>
      <c r="F905" s="62">
        <v>0.0</v>
      </c>
      <c r="G905" s="62" t="s">
        <v>5712</v>
      </c>
      <c r="H905" s="62" t="s">
        <v>5705</v>
      </c>
      <c r="I905" s="62" t="s">
        <v>209</v>
      </c>
      <c r="J905" s="118" t="s">
        <v>5708</v>
      </c>
      <c r="K905" s="130" t="s">
        <v>147</v>
      </c>
      <c r="L905" s="62">
        <v>0.0</v>
      </c>
      <c r="M905" s="132">
        <v>127.0</v>
      </c>
      <c r="N905" s="1">
        <v>0.0</v>
      </c>
    </row>
    <row r="906" ht="15.75" hidden="1" customHeight="1">
      <c r="A906" s="127">
        <v>45665.0</v>
      </c>
      <c r="B906" s="125" t="s">
        <v>5707</v>
      </c>
      <c r="C906" s="125" t="s">
        <v>5721</v>
      </c>
      <c r="D906" s="123" t="s">
        <v>4</v>
      </c>
      <c r="E906" s="123">
        <v>1270458.0</v>
      </c>
      <c r="F906" s="124">
        <v>0.0</v>
      </c>
      <c r="G906" s="124" t="s">
        <v>5712</v>
      </c>
      <c r="H906" s="124" t="s">
        <v>5705</v>
      </c>
      <c r="I906" s="124" t="s">
        <v>209</v>
      </c>
      <c r="J906" s="124" t="s">
        <v>5708</v>
      </c>
      <c r="K906" s="125" t="s">
        <v>155</v>
      </c>
      <c r="L906" s="125">
        <v>54.0</v>
      </c>
      <c r="M906" s="126">
        <v>13.0</v>
      </c>
      <c r="N906" s="1">
        <v>4.153846154</v>
      </c>
    </row>
    <row r="907" ht="15.75" hidden="1" customHeight="1">
      <c r="A907" s="129">
        <v>45665.0</v>
      </c>
      <c r="B907" s="130" t="s">
        <v>5707</v>
      </c>
      <c r="C907" s="130" t="s">
        <v>5721</v>
      </c>
      <c r="D907" s="117" t="s">
        <v>4</v>
      </c>
      <c r="E907" s="117">
        <v>1270458.0</v>
      </c>
      <c r="F907" s="62">
        <v>0.0</v>
      </c>
      <c r="G907" s="62" t="s">
        <v>5712</v>
      </c>
      <c r="H907" s="62" t="s">
        <v>5705</v>
      </c>
      <c r="I907" s="62" t="s">
        <v>209</v>
      </c>
      <c r="J907" s="118" t="s">
        <v>5708</v>
      </c>
      <c r="K907" s="130" t="s">
        <v>156</v>
      </c>
      <c r="L907" s="130">
        <v>5000.0</v>
      </c>
      <c r="M907" s="132">
        <v>83.0</v>
      </c>
      <c r="N907" s="1">
        <v>60.24096386</v>
      </c>
    </row>
    <row r="908" ht="15.75" hidden="1" customHeight="1">
      <c r="A908" s="127">
        <v>45665.0</v>
      </c>
      <c r="B908" s="125" t="s">
        <v>5707</v>
      </c>
      <c r="C908" s="125" t="s">
        <v>5721</v>
      </c>
      <c r="D908" s="123" t="s">
        <v>4</v>
      </c>
      <c r="E908" s="123">
        <v>1270458.0</v>
      </c>
      <c r="F908" s="124">
        <v>0.0</v>
      </c>
      <c r="G908" s="124" t="s">
        <v>5712</v>
      </c>
      <c r="H908" s="124" t="s">
        <v>5705</v>
      </c>
      <c r="I908" s="124" t="s">
        <v>209</v>
      </c>
      <c r="J908" s="124" t="s">
        <v>5708</v>
      </c>
      <c r="K908" s="125" t="s">
        <v>160</v>
      </c>
      <c r="L908" s="125">
        <v>0.0</v>
      </c>
      <c r="M908" s="126">
        <v>1.0</v>
      </c>
      <c r="N908" s="1">
        <v>0.0</v>
      </c>
    </row>
    <row r="909" ht="15.75" hidden="1" customHeight="1">
      <c r="A909" s="129">
        <v>45665.0</v>
      </c>
      <c r="B909" s="130" t="s">
        <v>5707</v>
      </c>
      <c r="C909" s="130" t="s">
        <v>5721</v>
      </c>
      <c r="D909" s="117" t="s">
        <v>4</v>
      </c>
      <c r="E909" s="117">
        <v>1270458.0</v>
      </c>
      <c r="F909" s="62">
        <v>0.0</v>
      </c>
      <c r="G909" s="62" t="s">
        <v>5712</v>
      </c>
      <c r="H909" s="62" t="s">
        <v>5705</v>
      </c>
      <c r="I909" s="62" t="s">
        <v>209</v>
      </c>
      <c r="J909" s="118" t="s">
        <v>5708</v>
      </c>
      <c r="K909" s="130" t="s">
        <v>147</v>
      </c>
      <c r="L909" s="130">
        <v>0.0</v>
      </c>
      <c r="M909" s="132">
        <v>3.0</v>
      </c>
      <c r="N909" s="1">
        <v>0.0</v>
      </c>
    </row>
    <row r="910" ht="15.75" hidden="1" customHeight="1">
      <c r="A910" s="127">
        <v>45665.0</v>
      </c>
      <c r="B910" s="125" t="s">
        <v>5707</v>
      </c>
      <c r="C910" s="125" t="s">
        <v>5721</v>
      </c>
      <c r="D910" s="123" t="s">
        <v>4</v>
      </c>
      <c r="E910" s="123">
        <v>1270458.0</v>
      </c>
      <c r="F910" s="124">
        <v>0.0</v>
      </c>
      <c r="G910" s="124" t="s">
        <v>5712</v>
      </c>
      <c r="H910" s="124" t="s">
        <v>5705</v>
      </c>
      <c r="I910" s="124" t="s">
        <v>209</v>
      </c>
      <c r="J910" s="124" t="s">
        <v>5708</v>
      </c>
      <c r="K910" s="125" t="s">
        <v>160</v>
      </c>
      <c r="L910" s="125">
        <v>0.0</v>
      </c>
      <c r="M910" s="134">
        <v>3.0</v>
      </c>
      <c r="N910" s="1">
        <v>0.0</v>
      </c>
    </row>
    <row r="911" ht="15.75" hidden="1" customHeight="1">
      <c r="A911" s="129">
        <v>45665.0</v>
      </c>
      <c r="B911" s="130" t="s">
        <v>5707</v>
      </c>
      <c r="C911" s="130" t="s">
        <v>5721</v>
      </c>
      <c r="D911" s="117" t="s">
        <v>4</v>
      </c>
      <c r="E911" s="117">
        <v>1270458.0</v>
      </c>
      <c r="F911" s="62">
        <v>0.0</v>
      </c>
      <c r="G911" s="62" t="s">
        <v>5712</v>
      </c>
      <c r="H911" s="62" t="s">
        <v>5705</v>
      </c>
      <c r="I911" s="62" t="s">
        <v>209</v>
      </c>
      <c r="J911" s="118" t="s">
        <v>5708</v>
      </c>
      <c r="K911" s="130" t="s">
        <v>163</v>
      </c>
      <c r="L911" s="130">
        <v>3.0</v>
      </c>
      <c r="M911" s="132"/>
      <c r="N911" s="1">
        <v>3.0</v>
      </c>
    </row>
    <row r="912" ht="15.75" hidden="1" customHeight="1">
      <c r="A912" s="127">
        <v>45665.0</v>
      </c>
      <c r="B912" s="125" t="s">
        <v>5707</v>
      </c>
      <c r="C912" s="125" t="s">
        <v>5721</v>
      </c>
      <c r="D912" s="123" t="s">
        <v>4</v>
      </c>
      <c r="E912" s="123">
        <v>1270458.0</v>
      </c>
      <c r="F912" s="124">
        <v>0.0</v>
      </c>
      <c r="G912" s="124" t="s">
        <v>5712</v>
      </c>
      <c r="H912" s="124" t="s">
        <v>5705</v>
      </c>
      <c r="I912" s="124" t="s">
        <v>209</v>
      </c>
      <c r="J912" s="124" t="s">
        <v>5708</v>
      </c>
      <c r="K912" s="125" t="s">
        <v>147</v>
      </c>
      <c r="L912" s="125">
        <v>0.0</v>
      </c>
      <c r="M912" s="126">
        <v>1.0</v>
      </c>
      <c r="N912" s="1">
        <v>0.0</v>
      </c>
    </row>
    <row r="913" ht="15.75" hidden="1" customHeight="1">
      <c r="A913" s="129">
        <v>45665.0</v>
      </c>
      <c r="B913" s="130" t="s">
        <v>5707</v>
      </c>
      <c r="C913" s="130" t="s">
        <v>5721</v>
      </c>
      <c r="D913" s="117" t="s">
        <v>4</v>
      </c>
      <c r="E913" s="117">
        <v>1270458.0</v>
      </c>
      <c r="F913" s="62">
        <v>0.0</v>
      </c>
      <c r="G913" s="62" t="s">
        <v>5712</v>
      </c>
      <c r="H913" s="62" t="s">
        <v>5705</v>
      </c>
      <c r="I913" s="62" t="s">
        <v>209</v>
      </c>
      <c r="J913" s="118" t="s">
        <v>5708</v>
      </c>
      <c r="K913" s="130" t="s">
        <v>163</v>
      </c>
      <c r="L913" s="130">
        <v>1.0</v>
      </c>
      <c r="M913" s="132"/>
      <c r="N913" s="1">
        <v>1.0</v>
      </c>
    </row>
    <row r="914" ht="15.75" hidden="1" customHeight="1">
      <c r="A914" s="127">
        <v>45665.0</v>
      </c>
      <c r="B914" s="125" t="s">
        <v>5707</v>
      </c>
      <c r="C914" s="125" t="s">
        <v>5722</v>
      </c>
      <c r="D914" s="123" t="s">
        <v>4</v>
      </c>
      <c r="E914" s="123">
        <v>1270458.0</v>
      </c>
      <c r="F914" s="124">
        <v>0.0</v>
      </c>
      <c r="G914" s="124" t="s">
        <v>5712</v>
      </c>
      <c r="H914" s="124" t="s">
        <v>5705</v>
      </c>
      <c r="I914" s="124" t="s">
        <v>209</v>
      </c>
      <c r="J914" s="124" t="s">
        <v>5708</v>
      </c>
      <c r="K914" s="125" t="s">
        <v>160</v>
      </c>
      <c r="L914" s="124">
        <v>0.0</v>
      </c>
      <c r="M914" s="126">
        <v>2.0</v>
      </c>
      <c r="N914" s="1">
        <v>0.0</v>
      </c>
    </row>
    <row r="915" ht="15.75" hidden="1" customHeight="1">
      <c r="A915" s="129">
        <v>45665.0</v>
      </c>
      <c r="B915" s="130" t="s">
        <v>5707</v>
      </c>
      <c r="C915" s="130" t="s">
        <v>5722</v>
      </c>
      <c r="D915" s="117" t="s">
        <v>4</v>
      </c>
      <c r="E915" s="117">
        <v>1270458.0</v>
      </c>
      <c r="F915" s="62">
        <v>0.0</v>
      </c>
      <c r="G915" s="62" t="s">
        <v>5712</v>
      </c>
      <c r="H915" s="62" t="s">
        <v>5705</v>
      </c>
      <c r="I915" s="62" t="s">
        <v>209</v>
      </c>
      <c r="J915" s="118" t="s">
        <v>5708</v>
      </c>
      <c r="K915" s="130" t="s">
        <v>163</v>
      </c>
      <c r="L915" s="62">
        <v>2.0</v>
      </c>
      <c r="M915" s="132"/>
      <c r="N915" s="1">
        <v>2.0</v>
      </c>
    </row>
    <row r="916" ht="15.75" hidden="1" customHeight="1">
      <c r="A916" s="127">
        <v>45665.0</v>
      </c>
      <c r="B916" s="125" t="s">
        <v>5707</v>
      </c>
      <c r="C916" s="125" t="s">
        <v>5722</v>
      </c>
      <c r="D916" s="123" t="s">
        <v>4</v>
      </c>
      <c r="E916" s="123">
        <v>1270458.0</v>
      </c>
      <c r="F916" s="124">
        <v>0.0</v>
      </c>
      <c r="G916" s="124" t="s">
        <v>5712</v>
      </c>
      <c r="H916" s="124" t="s">
        <v>5705</v>
      </c>
      <c r="I916" s="124" t="s">
        <v>209</v>
      </c>
      <c r="J916" s="124" t="s">
        <v>5708</v>
      </c>
      <c r="K916" s="125" t="s">
        <v>155</v>
      </c>
      <c r="L916" s="124">
        <v>11.0</v>
      </c>
      <c r="M916" s="126">
        <v>3.0</v>
      </c>
      <c r="N916" s="1">
        <v>3.666666667</v>
      </c>
    </row>
    <row r="917" ht="15.75" hidden="1" customHeight="1">
      <c r="A917" s="129">
        <v>45665.0</v>
      </c>
      <c r="B917" s="130" t="s">
        <v>5707</v>
      </c>
      <c r="C917" s="130" t="s">
        <v>5721</v>
      </c>
      <c r="D917" s="117" t="s">
        <v>4</v>
      </c>
      <c r="E917" s="117">
        <v>1270458.0</v>
      </c>
      <c r="F917" s="62">
        <v>0.0</v>
      </c>
      <c r="G917" s="62" t="s">
        <v>5712</v>
      </c>
      <c r="H917" s="62" t="s">
        <v>5705</v>
      </c>
      <c r="I917" s="62" t="s">
        <v>209</v>
      </c>
      <c r="J917" s="118" t="s">
        <v>5708</v>
      </c>
      <c r="K917" s="130" t="s">
        <v>147</v>
      </c>
      <c r="L917" s="62">
        <v>0.0</v>
      </c>
      <c r="M917" s="132">
        <v>2.0</v>
      </c>
      <c r="N917" s="1">
        <v>0.0</v>
      </c>
    </row>
    <row r="918" ht="15.75" hidden="1" customHeight="1">
      <c r="A918" s="127">
        <v>45665.0</v>
      </c>
      <c r="B918" s="125" t="s">
        <v>5707</v>
      </c>
      <c r="C918" s="125" t="s">
        <v>5721</v>
      </c>
      <c r="D918" s="123" t="s">
        <v>4</v>
      </c>
      <c r="E918" s="123">
        <v>1270458.0</v>
      </c>
      <c r="F918" s="124">
        <v>0.0</v>
      </c>
      <c r="G918" s="124" t="s">
        <v>5712</v>
      </c>
      <c r="H918" s="124" t="s">
        <v>5705</v>
      </c>
      <c r="I918" s="124" t="s">
        <v>209</v>
      </c>
      <c r="J918" s="124" t="s">
        <v>5708</v>
      </c>
      <c r="K918" s="125" t="s">
        <v>163</v>
      </c>
      <c r="L918" s="124">
        <v>2.0</v>
      </c>
      <c r="M918" s="126"/>
      <c r="N918" s="1">
        <v>2.0</v>
      </c>
    </row>
    <row r="919" ht="15.75" hidden="1" customHeight="1">
      <c r="A919" s="129">
        <v>45665.0</v>
      </c>
      <c r="B919" s="130" t="s">
        <v>5707</v>
      </c>
      <c r="C919" s="130" t="s">
        <v>5721</v>
      </c>
      <c r="D919" s="117" t="s">
        <v>4</v>
      </c>
      <c r="E919" s="117">
        <v>1270458.0</v>
      </c>
      <c r="F919" s="62">
        <v>0.0</v>
      </c>
      <c r="G919" s="62" t="s">
        <v>5712</v>
      </c>
      <c r="H919" s="62" t="s">
        <v>5705</v>
      </c>
      <c r="I919" s="62" t="s">
        <v>209</v>
      </c>
      <c r="J919" s="118" t="s">
        <v>5708</v>
      </c>
      <c r="K919" s="130" t="s">
        <v>160</v>
      </c>
      <c r="L919" s="130">
        <v>0.0</v>
      </c>
      <c r="M919" s="133">
        <v>127.0</v>
      </c>
      <c r="N919" s="1">
        <v>0.0</v>
      </c>
    </row>
    <row r="920" ht="15.75" hidden="1" customHeight="1">
      <c r="A920" s="127">
        <v>45665.0</v>
      </c>
      <c r="B920" s="125" t="s">
        <v>5707</v>
      </c>
      <c r="C920" s="125" t="s">
        <v>5721</v>
      </c>
      <c r="D920" s="123" t="s">
        <v>4</v>
      </c>
      <c r="E920" s="123">
        <v>1270458.0</v>
      </c>
      <c r="F920" s="124">
        <v>0.0</v>
      </c>
      <c r="G920" s="124" t="s">
        <v>5712</v>
      </c>
      <c r="H920" s="124" t="s">
        <v>5705</v>
      </c>
      <c r="I920" s="124" t="s">
        <v>209</v>
      </c>
      <c r="J920" s="124" t="s">
        <v>5708</v>
      </c>
      <c r="K920" s="125" t="s">
        <v>160</v>
      </c>
      <c r="L920" s="124">
        <v>0.0</v>
      </c>
      <c r="M920" s="126">
        <v>1.0</v>
      </c>
      <c r="N920" s="1">
        <v>0.0</v>
      </c>
    </row>
    <row r="921" ht="15.75" hidden="1" customHeight="1">
      <c r="A921" s="129">
        <v>45665.0</v>
      </c>
      <c r="B921" s="137">
        <v>45969.0</v>
      </c>
      <c r="C921" s="130" t="s">
        <v>5716</v>
      </c>
      <c r="D921" s="117" t="s">
        <v>4</v>
      </c>
      <c r="E921" s="117">
        <v>1270458.0</v>
      </c>
      <c r="F921" s="62">
        <v>0.0</v>
      </c>
      <c r="G921" s="62" t="s">
        <v>5712</v>
      </c>
      <c r="H921" s="62" t="s">
        <v>5705</v>
      </c>
      <c r="I921" s="62" t="s">
        <v>209</v>
      </c>
      <c r="J921" s="118" t="s">
        <v>5708</v>
      </c>
      <c r="K921" s="130" t="s">
        <v>147</v>
      </c>
      <c r="L921" s="62">
        <v>0.0</v>
      </c>
      <c r="M921" s="132">
        <v>4.0</v>
      </c>
      <c r="N921" s="1">
        <v>0.0</v>
      </c>
    </row>
    <row r="922" ht="15.75" hidden="1" customHeight="1">
      <c r="A922" s="127">
        <v>45665.0</v>
      </c>
      <c r="B922" s="138">
        <v>45969.0</v>
      </c>
      <c r="C922" s="125" t="s">
        <v>5716</v>
      </c>
      <c r="D922" s="123" t="s">
        <v>4</v>
      </c>
      <c r="E922" s="123">
        <v>1270458.0</v>
      </c>
      <c r="F922" s="124">
        <v>0.0</v>
      </c>
      <c r="G922" s="124" t="s">
        <v>5712</v>
      </c>
      <c r="H922" s="124" t="s">
        <v>5705</v>
      </c>
      <c r="I922" s="124" t="s">
        <v>209</v>
      </c>
      <c r="J922" s="124" t="s">
        <v>5708</v>
      </c>
      <c r="K922" s="125" t="s">
        <v>153</v>
      </c>
      <c r="L922" s="124">
        <v>5.38</v>
      </c>
      <c r="M922" s="126">
        <v>3.0</v>
      </c>
      <c r="N922" s="1">
        <v>1.793333333</v>
      </c>
    </row>
    <row r="923" ht="15.75" hidden="1" customHeight="1">
      <c r="A923" s="129">
        <v>45665.0</v>
      </c>
      <c r="B923" s="137">
        <v>45969.0</v>
      </c>
      <c r="C923" s="130" t="s">
        <v>5716</v>
      </c>
      <c r="D923" s="117" t="s">
        <v>4</v>
      </c>
      <c r="E923" s="117">
        <v>1270458.0</v>
      </c>
      <c r="F923" s="62">
        <v>0.0</v>
      </c>
      <c r="G923" s="62" t="s">
        <v>5712</v>
      </c>
      <c r="H923" s="62" t="s">
        <v>5705</v>
      </c>
      <c r="I923" s="62" t="s">
        <v>209</v>
      </c>
      <c r="J923" s="118" t="s">
        <v>5708</v>
      </c>
      <c r="K923" s="130" t="s">
        <v>153</v>
      </c>
      <c r="L923" s="130">
        <v>0.0</v>
      </c>
      <c r="M923" s="132">
        <v>1.0</v>
      </c>
      <c r="N923" s="1">
        <v>0.0</v>
      </c>
    </row>
    <row r="924" ht="15.75" hidden="1" customHeight="1">
      <c r="A924" s="127">
        <v>45665.0</v>
      </c>
      <c r="B924" s="125" t="s">
        <v>5707</v>
      </c>
      <c r="C924" s="125" t="s">
        <v>5719</v>
      </c>
      <c r="D924" s="123" t="s">
        <v>4</v>
      </c>
      <c r="E924" s="123">
        <v>1270458.0</v>
      </c>
      <c r="F924" s="124">
        <v>0.0</v>
      </c>
      <c r="G924" s="124" t="s">
        <v>5712</v>
      </c>
      <c r="H924" s="124" t="s">
        <v>5705</v>
      </c>
      <c r="I924" s="124" t="s">
        <v>209</v>
      </c>
      <c r="J924" s="124" t="s">
        <v>5708</v>
      </c>
      <c r="K924" s="125" t="s">
        <v>147</v>
      </c>
      <c r="L924" s="125">
        <v>0.0</v>
      </c>
      <c r="M924" s="126">
        <v>6.0</v>
      </c>
      <c r="N924" s="1">
        <v>0.0</v>
      </c>
    </row>
    <row r="925" ht="15.75" hidden="1" customHeight="1">
      <c r="A925" s="129">
        <v>45665.0</v>
      </c>
      <c r="B925" s="130" t="s">
        <v>5707</v>
      </c>
      <c r="C925" s="130" t="s">
        <v>5719</v>
      </c>
      <c r="D925" s="117" t="s">
        <v>4</v>
      </c>
      <c r="E925" s="117">
        <v>1270458.0</v>
      </c>
      <c r="F925" s="62">
        <v>0.0</v>
      </c>
      <c r="G925" s="62" t="s">
        <v>5712</v>
      </c>
      <c r="H925" s="62" t="s">
        <v>5705</v>
      </c>
      <c r="I925" s="62" t="s">
        <v>209</v>
      </c>
      <c r="J925" s="118" t="s">
        <v>5708</v>
      </c>
      <c r="K925" s="130" t="s">
        <v>156</v>
      </c>
      <c r="L925" s="130">
        <v>100.0</v>
      </c>
      <c r="M925" s="133">
        <v>1.0</v>
      </c>
      <c r="N925" s="1">
        <v>100.0</v>
      </c>
    </row>
    <row r="926" ht="15.75" hidden="1" customHeight="1">
      <c r="A926" s="127">
        <v>45665.0</v>
      </c>
      <c r="B926" s="125" t="s">
        <v>5707</v>
      </c>
      <c r="C926" s="125" t="s">
        <v>5719</v>
      </c>
      <c r="D926" s="123" t="s">
        <v>4</v>
      </c>
      <c r="E926" s="123">
        <v>1270458.0</v>
      </c>
      <c r="F926" s="124">
        <v>0.0</v>
      </c>
      <c r="G926" s="124" t="s">
        <v>5712</v>
      </c>
      <c r="H926" s="124" t="s">
        <v>5705</v>
      </c>
      <c r="I926" s="124" t="s">
        <v>209</v>
      </c>
      <c r="J926" s="124" t="s">
        <v>5708</v>
      </c>
      <c r="K926" s="125" t="s">
        <v>142</v>
      </c>
      <c r="L926" s="125">
        <v>118.0</v>
      </c>
      <c r="M926" s="126"/>
      <c r="N926" s="1">
        <v>118.0</v>
      </c>
    </row>
    <row r="927" ht="15.75" hidden="1" customHeight="1">
      <c r="A927" s="129">
        <v>45665.0</v>
      </c>
      <c r="B927" s="130" t="s">
        <v>5707</v>
      </c>
      <c r="C927" s="130" t="s">
        <v>5719</v>
      </c>
      <c r="D927" s="117" t="s">
        <v>4</v>
      </c>
      <c r="E927" s="117">
        <v>1270458.0</v>
      </c>
      <c r="F927" s="62">
        <v>0.0</v>
      </c>
      <c r="G927" s="62" t="s">
        <v>5712</v>
      </c>
      <c r="H927" s="62" t="s">
        <v>5705</v>
      </c>
      <c r="I927" s="62" t="s">
        <v>209</v>
      </c>
      <c r="J927" s="118" t="s">
        <v>5708</v>
      </c>
      <c r="K927" s="130" t="s">
        <v>163</v>
      </c>
      <c r="L927" s="130">
        <v>1.0</v>
      </c>
      <c r="M927" s="133"/>
      <c r="N927" s="1">
        <v>1.0</v>
      </c>
    </row>
    <row r="928" ht="15.75" hidden="1" customHeight="1">
      <c r="A928" s="127">
        <v>45665.0</v>
      </c>
      <c r="B928" s="125" t="s">
        <v>5707</v>
      </c>
      <c r="C928" s="125" t="s">
        <v>5719</v>
      </c>
      <c r="D928" s="123" t="s">
        <v>4</v>
      </c>
      <c r="E928" s="123">
        <v>1270458.0</v>
      </c>
      <c r="F928" s="124">
        <v>0.0</v>
      </c>
      <c r="G928" s="124" t="s">
        <v>5712</v>
      </c>
      <c r="H928" s="124" t="s">
        <v>5705</v>
      </c>
      <c r="I928" s="124" t="s">
        <v>209</v>
      </c>
      <c r="J928" s="124" t="s">
        <v>5708</v>
      </c>
      <c r="K928" s="125" t="s">
        <v>147</v>
      </c>
      <c r="L928" s="125">
        <v>0.0</v>
      </c>
      <c r="M928" s="126">
        <v>1.0</v>
      </c>
      <c r="N928" s="1">
        <v>0.0</v>
      </c>
    </row>
    <row r="929" ht="15.75" hidden="1" customHeight="1">
      <c r="A929" s="129">
        <v>45665.0</v>
      </c>
      <c r="B929" s="130" t="s">
        <v>5707</v>
      </c>
      <c r="C929" s="130" t="s">
        <v>5721</v>
      </c>
      <c r="D929" s="117" t="s">
        <v>4</v>
      </c>
      <c r="E929" s="117">
        <v>1270458.0</v>
      </c>
      <c r="F929" s="62">
        <v>0.0</v>
      </c>
      <c r="G929" s="62" t="s">
        <v>5712</v>
      </c>
      <c r="H929" s="62" t="s">
        <v>5705</v>
      </c>
      <c r="I929" s="62" t="s">
        <v>209</v>
      </c>
      <c r="J929" s="118" t="s">
        <v>5708</v>
      </c>
      <c r="K929" s="130" t="s">
        <v>153</v>
      </c>
      <c r="L929" s="130">
        <v>390.27</v>
      </c>
      <c r="M929" s="132">
        <v>83.0</v>
      </c>
      <c r="N929" s="1">
        <v>4.702048193</v>
      </c>
    </row>
    <row r="930" ht="15.75" hidden="1" customHeight="1">
      <c r="A930" s="127">
        <v>45665.0</v>
      </c>
      <c r="B930" s="125" t="s">
        <v>5707</v>
      </c>
      <c r="C930" s="125" t="s">
        <v>5721</v>
      </c>
      <c r="D930" s="123" t="s">
        <v>4</v>
      </c>
      <c r="E930" s="123">
        <v>1270458.0</v>
      </c>
      <c r="F930" s="124">
        <v>0.0</v>
      </c>
      <c r="G930" s="124" t="s">
        <v>5712</v>
      </c>
      <c r="H930" s="124" t="s">
        <v>5705</v>
      </c>
      <c r="I930" s="124" t="s">
        <v>209</v>
      </c>
      <c r="J930" s="124" t="s">
        <v>5708</v>
      </c>
      <c r="K930" s="125" t="s">
        <v>142</v>
      </c>
      <c r="L930" s="124">
        <v>83.0</v>
      </c>
      <c r="M930" s="126"/>
      <c r="N930" s="1">
        <v>83.0</v>
      </c>
    </row>
    <row r="931" ht="15.75" customHeight="1">
      <c r="A931" s="129">
        <v>45665.0</v>
      </c>
      <c r="B931" s="130" t="s">
        <v>5707</v>
      </c>
      <c r="C931" s="130" t="s">
        <v>5721</v>
      </c>
      <c r="D931" s="117" t="s">
        <v>4</v>
      </c>
      <c r="E931" s="117">
        <v>1270458.0</v>
      </c>
      <c r="F931" s="62">
        <v>0.0</v>
      </c>
      <c r="G931" s="62" t="s">
        <v>5712</v>
      </c>
      <c r="H931" s="62" t="s">
        <v>5705</v>
      </c>
      <c r="I931" s="62" t="s">
        <v>209</v>
      </c>
      <c r="J931" s="118" t="s">
        <v>5708</v>
      </c>
      <c r="K931" s="130" t="s">
        <v>139</v>
      </c>
      <c r="L931" s="130">
        <v>0.0</v>
      </c>
      <c r="M931" s="132">
        <v>0.004666667</v>
      </c>
      <c r="N931" s="1">
        <v>0.0</v>
      </c>
    </row>
    <row r="932" ht="15.75" customHeight="1">
      <c r="A932" s="127">
        <v>45665.0</v>
      </c>
      <c r="B932" s="125" t="s">
        <v>5707</v>
      </c>
      <c r="C932" s="125" t="s">
        <v>5722</v>
      </c>
      <c r="D932" s="123" t="s">
        <v>4</v>
      </c>
      <c r="E932" s="123">
        <v>1270458.0</v>
      </c>
      <c r="F932" s="124">
        <v>0.0</v>
      </c>
      <c r="G932" s="124" t="s">
        <v>5712</v>
      </c>
      <c r="H932" s="124" t="s">
        <v>5705</v>
      </c>
      <c r="I932" s="124" t="s">
        <v>209</v>
      </c>
      <c r="J932" s="124" t="s">
        <v>5708</v>
      </c>
      <c r="K932" s="125" t="s">
        <v>139</v>
      </c>
      <c r="L932" s="125">
        <v>0.0</v>
      </c>
      <c r="M932" s="126">
        <v>0.009666667</v>
      </c>
      <c r="N932" s="1">
        <v>0.0</v>
      </c>
    </row>
    <row r="933" ht="15.75" hidden="1" customHeight="1">
      <c r="A933" s="129">
        <v>45665.0</v>
      </c>
      <c r="B933" s="130" t="s">
        <v>5707</v>
      </c>
      <c r="C933" s="130" t="s">
        <v>5722</v>
      </c>
      <c r="D933" s="117" t="s">
        <v>4</v>
      </c>
      <c r="E933" s="117">
        <v>1270458.0</v>
      </c>
      <c r="F933" s="62">
        <v>0.0</v>
      </c>
      <c r="G933" s="62" t="s">
        <v>5712</v>
      </c>
      <c r="H933" s="62" t="s">
        <v>5705</v>
      </c>
      <c r="I933" s="62" t="s">
        <v>209</v>
      </c>
      <c r="J933" s="118" t="s">
        <v>5708</v>
      </c>
      <c r="K933" s="130" t="s">
        <v>156</v>
      </c>
      <c r="L933" s="130">
        <v>1600.0</v>
      </c>
      <c r="M933" s="132">
        <v>26.0</v>
      </c>
      <c r="N933" s="1">
        <v>61.53846154</v>
      </c>
    </row>
    <row r="934" ht="15.75" hidden="1" customHeight="1">
      <c r="A934" s="127">
        <v>45665.0</v>
      </c>
      <c r="B934" s="125" t="s">
        <v>5707</v>
      </c>
      <c r="C934" s="125" t="s">
        <v>5722</v>
      </c>
      <c r="D934" s="123" t="s">
        <v>4</v>
      </c>
      <c r="E934" s="123">
        <v>1270458.0</v>
      </c>
      <c r="F934" s="124">
        <v>0.0</v>
      </c>
      <c r="G934" s="124" t="s">
        <v>5712</v>
      </c>
      <c r="H934" s="124" t="s">
        <v>5705</v>
      </c>
      <c r="I934" s="124" t="s">
        <v>209</v>
      </c>
      <c r="J934" s="124" t="s">
        <v>5708</v>
      </c>
      <c r="K934" s="125" t="s">
        <v>142</v>
      </c>
      <c r="L934" s="125">
        <v>26.0</v>
      </c>
      <c r="M934" s="126"/>
      <c r="N934" s="1">
        <v>26.0</v>
      </c>
    </row>
    <row r="935" ht="15.75" customHeight="1">
      <c r="A935" s="129">
        <v>45665.0</v>
      </c>
      <c r="B935" s="130" t="s">
        <v>5707</v>
      </c>
      <c r="C935" s="130" t="s">
        <v>5722</v>
      </c>
      <c r="D935" s="117" t="s">
        <v>4</v>
      </c>
      <c r="E935" s="117">
        <v>1270458.0</v>
      </c>
      <c r="F935" s="62">
        <v>0.0</v>
      </c>
      <c r="G935" s="62" t="s">
        <v>5712</v>
      </c>
      <c r="H935" s="62" t="s">
        <v>5705</v>
      </c>
      <c r="I935" s="62" t="s">
        <v>209</v>
      </c>
      <c r="J935" s="118" t="s">
        <v>5708</v>
      </c>
      <c r="K935" s="130" t="s">
        <v>139</v>
      </c>
      <c r="L935" s="62">
        <v>26.0</v>
      </c>
      <c r="M935" s="132">
        <v>3.022333333</v>
      </c>
      <c r="N935" s="1">
        <v>8.602624903</v>
      </c>
    </row>
    <row r="936" ht="15.75" hidden="1" customHeight="1">
      <c r="A936" s="127">
        <v>45665.0</v>
      </c>
      <c r="B936" s="125" t="s">
        <v>5707</v>
      </c>
      <c r="C936" s="125" t="s">
        <v>5722</v>
      </c>
      <c r="D936" s="123" t="s">
        <v>4</v>
      </c>
      <c r="E936" s="123">
        <v>1270458.0</v>
      </c>
      <c r="F936" s="124">
        <v>0.0</v>
      </c>
      <c r="G936" s="124" t="s">
        <v>5712</v>
      </c>
      <c r="H936" s="124" t="s">
        <v>5705</v>
      </c>
      <c r="I936" s="124" t="s">
        <v>209</v>
      </c>
      <c r="J936" s="124" t="s">
        <v>5708</v>
      </c>
      <c r="K936" s="125" t="s">
        <v>163</v>
      </c>
      <c r="L936" s="125">
        <v>2.0</v>
      </c>
      <c r="M936" s="126"/>
      <c r="N936" s="1">
        <v>2.0</v>
      </c>
    </row>
    <row r="937" ht="15.75" hidden="1" customHeight="1">
      <c r="A937" s="129">
        <v>45665.0</v>
      </c>
      <c r="B937" s="130" t="s">
        <v>5707</v>
      </c>
      <c r="C937" s="130" t="s">
        <v>5722</v>
      </c>
      <c r="D937" s="117" t="s">
        <v>4</v>
      </c>
      <c r="E937" s="117">
        <v>1270458.0</v>
      </c>
      <c r="F937" s="62">
        <v>0.0</v>
      </c>
      <c r="G937" s="62" t="s">
        <v>5712</v>
      </c>
      <c r="H937" s="62" t="s">
        <v>5705</v>
      </c>
      <c r="I937" s="62" t="s">
        <v>209</v>
      </c>
      <c r="J937" s="118" t="s">
        <v>5708</v>
      </c>
      <c r="K937" s="130" t="s">
        <v>147</v>
      </c>
      <c r="L937" s="130">
        <v>0.0</v>
      </c>
      <c r="M937" s="132">
        <v>1.0</v>
      </c>
      <c r="N937" s="1">
        <v>0.0</v>
      </c>
    </row>
    <row r="938" ht="15.75" hidden="1" customHeight="1">
      <c r="A938" s="127">
        <v>45665.0</v>
      </c>
      <c r="B938" s="125" t="s">
        <v>5707</v>
      </c>
      <c r="C938" s="125" t="s">
        <v>5722</v>
      </c>
      <c r="D938" s="123" t="s">
        <v>4</v>
      </c>
      <c r="E938" s="123">
        <v>1270458.0</v>
      </c>
      <c r="F938" s="124">
        <v>0.0</v>
      </c>
      <c r="G938" s="124" t="s">
        <v>5712</v>
      </c>
      <c r="H938" s="124" t="s">
        <v>5705</v>
      </c>
      <c r="I938" s="124" t="s">
        <v>209</v>
      </c>
      <c r="J938" s="124" t="s">
        <v>5708</v>
      </c>
      <c r="K938" s="125" t="s">
        <v>163</v>
      </c>
      <c r="L938" s="125">
        <v>1.0</v>
      </c>
      <c r="M938" s="126"/>
      <c r="N938" s="1">
        <v>1.0</v>
      </c>
    </row>
    <row r="939" ht="15.75" hidden="1" customHeight="1">
      <c r="A939" s="129">
        <v>45665.0</v>
      </c>
      <c r="B939" s="130" t="s">
        <v>5707</v>
      </c>
      <c r="C939" s="130" t="s">
        <v>5720</v>
      </c>
      <c r="D939" s="117" t="s">
        <v>4</v>
      </c>
      <c r="E939" s="117">
        <v>1270458.0</v>
      </c>
      <c r="F939" s="62">
        <v>0.0</v>
      </c>
      <c r="G939" s="62" t="s">
        <v>5712</v>
      </c>
      <c r="H939" s="62" t="s">
        <v>5705</v>
      </c>
      <c r="I939" s="62" t="s">
        <v>209</v>
      </c>
      <c r="J939" s="118" t="s">
        <v>5708</v>
      </c>
      <c r="K939" s="130" t="s">
        <v>163</v>
      </c>
      <c r="L939" s="62">
        <v>2.0</v>
      </c>
      <c r="M939" s="132"/>
      <c r="N939" s="1">
        <v>2.0</v>
      </c>
    </row>
    <row r="940" ht="15.75" hidden="1" customHeight="1">
      <c r="A940" s="127">
        <v>45665.0</v>
      </c>
      <c r="B940" s="125" t="s">
        <v>5707</v>
      </c>
      <c r="C940" s="125" t="s">
        <v>5720</v>
      </c>
      <c r="D940" s="123" t="s">
        <v>4</v>
      </c>
      <c r="E940" s="123">
        <v>1270458.0</v>
      </c>
      <c r="F940" s="124">
        <v>0.0</v>
      </c>
      <c r="G940" s="124" t="s">
        <v>5712</v>
      </c>
      <c r="H940" s="124" t="s">
        <v>5705</v>
      </c>
      <c r="I940" s="124" t="s">
        <v>209</v>
      </c>
      <c r="J940" s="124" t="s">
        <v>5708</v>
      </c>
      <c r="K940" s="125" t="s">
        <v>160</v>
      </c>
      <c r="L940" s="124">
        <v>0.0</v>
      </c>
      <c r="M940" s="126">
        <v>6.0</v>
      </c>
      <c r="N940" s="1">
        <v>0.0</v>
      </c>
    </row>
    <row r="941" ht="15.75" hidden="1" customHeight="1">
      <c r="A941" s="129">
        <v>45665.0</v>
      </c>
      <c r="B941" s="130" t="s">
        <v>5707</v>
      </c>
      <c r="C941" s="130" t="s">
        <v>5720</v>
      </c>
      <c r="D941" s="117" t="s">
        <v>4</v>
      </c>
      <c r="E941" s="117">
        <v>1270458.0</v>
      </c>
      <c r="F941" s="62">
        <v>0.0</v>
      </c>
      <c r="G941" s="62" t="s">
        <v>5712</v>
      </c>
      <c r="H941" s="62" t="s">
        <v>5705</v>
      </c>
      <c r="I941" s="62" t="s">
        <v>209</v>
      </c>
      <c r="J941" s="118" t="s">
        <v>5708</v>
      </c>
      <c r="K941" s="130" t="s">
        <v>142</v>
      </c>
      <c r="L941" s="130">
        <v>1.0</v>
      </c>
      <c r="M941" s="132"/>
      <c r="N941" s="1">
        <v>1.0</v>
      </c>
    </row>
    <row r="942" ht="15.75" hidden="1" customHeight="1">
      <c r="A942" s="127">
        <v>45665.0</v>
      </c>
      <c r="B942" s="125" t="s">
        <v>5707</v>
      </c>
      <c r="C942" s="125" t="s">
        <v>5720</v>
      </c>
      <c r="D942" s="123" t="s">
        <v>4</v>
      </c>
      <c r="E942" s="123">
        <v>1270458.0</v>
      </c>
      <c r="F942" s="124">
        <v>0.0</v>
      </c>
      <c r="G942" s="124" t="s">
        <v>5712</v>
      </c>
      <c r="H942" s="124" t="s">
        <v>5705</v>
      </c>
      <c r="I942" s="124" t="s">
        <v>209</v>
      </c>
      <c r="J942" s="124" t="s">
        <v>5708</v>
      </c>
      <c r="K942" s="125" t="s">
        <v>155</v>
      </c>
      <c r="L942" s="125">
        <v>102.0</v>
      </c>
      <c r="M942" s="126">
        <v>22.0</v>
      </c>
      <c r="N942" s="1">
        <v>4.636363636</v>
      </c>
    </row>
    <row r="943" ht="15.75" hidden="1" customHeight="1">
      <c r="A943" s="129">
        <v>45665.0</v>
      </c>
      <c r="B943" s="130" t="s">
        <v>5707</v>
      </c>
      <c r="C943" s="130" t="s">
        <v>5720</v>
      </c>
      <c r="D943" s="117" t="s">
        <v>4</v>
      </c>
      <c r="E943" s="117">
        <v>1270458.0</v>
      </c>
      <c r="F943" s="62">
        <v>0.0</v>
      </c>
      <c r="G943" s="62" t="s">
        <v>5712</v>
      </c>
      <c r="H943" s="62" t="s">
        <v>5705</v>
      </c>
      <c r="I943" s="62" t="s">
        <v>209</v>
      </c>
      <c r="J943" s="118" t="s">
        <v>5708</v>
      </c>
      <c r="K943" s="130" t="s">
        <v>12</v>
      </c>
      <c r="L943" s="130">
        <v>100.0</v>
      </c>
      <c r="M943" s="132">
        <v>1.0</v>
      </c>
      <c r="N943" s="1">
        <v>100.0</v>
      </c>
    </row>
    <row r="944" ht="15.75" hidden="1" customHeight="1">
      <c r="A944" s="127">
        <v>45665.0</v>
      </c>
      <c r="B944" s="125" t="s">
        <v>5707</v>
      </c>
      <c r="C944" s="125" t="s">
        <v>5720</v>
      </c>
      <c r="D944" s="123" t="s">
        <v>4</v>
      </c>
      <c r="E944" s="123">
        <v>1270458.0</v>
      </c>
      <c r="F944" s="124">
        <v>0.0</v>
      </c>
      <c r="G944" s="124" t="s">
        <v>5712</v>
      </c>
      <c r="H944" s="124" t="s">
        <v>5705</v>
      </c>
      <c r="I944" s="124" t="s">
        <v>209</v>
      </c>
      <c r="J944" s="124" t="s">
        <v>5708</v>
      </c>
      <c r="K944" s="125" t="s">
        <v>163</v>
      </c>
      <c r="L944" s="125">
        <v>229.0</v>
      </c>
      <c r="M944" s="126"/>
      <c r="N944" s="1">
        <v>229.0</v>
      </c>
    </row>
    <row r="945" ht="15.75" hidden="1" customHeight="1">
      <c r="A945" s="129">
        <v>45665.0</v>
      </c>
      <c r="B945" s="130" t="s">
        <v>5707</v>
      </c>
      <c r="C945" s="130" t="s">
        <v>5720</v>
      </c>
      <c r="D945" s="117" t="s">
        <v>4</v>
      </c>
      <c r="E945" s="117">
        <v>1270458.0</v>
      </c>
      <c r="F945" s="62">
        <v>0.0</v>
      </c>
      <c r="G945" s="62" t="s">
        <v>5712</v>
      </c>
      <c r="H945" s="62" t="s">
        <v>5705</v>
      </c>
      <c r="I945" s="62" t="s">
        <v>209</v>
      </c>
      <c r="J945" s="118" t="s">
        <v>5708</v>
      </c>
      <c r="K945" s="130" t="s">
        <v>160</v>
      </c>
      <c r="L945" s="62">
        <v>0.0</v>
      </c>
      <c r="M945" s="132">
        <v>10.0</v>
      </c>
      <c r="N945" s="1">
        <v>0.0</v>
      </c>
    </row>
    <row r="946" ht="15.75" hidden="1" customHeight="1">
      <c r="A946" s="127">
        <v>45665.0</v>
      </c>
      <c r="B946" s="125" t="s">
        <v>5707</v>
      </c>
      <c r="C946" s="125" t="s">
        <v>5722</v>
      </c>
      <c r="D946" s="123" t="s">
        <v>4</v>
      </c>
      <c r="E946" s="123">
        <v>1270458.0</v>
      </c>
      <c r="F946" s="124">
        <v>0.0</v>
      </c>
      <c r="G946" s="124" t="s">
        <v>5712</v>
      </c>
      <c r="H946" s="124" t="s">
        <v>5705</v>
      </c>
      <c r="I946" s="124" t="s">
        <v>209</v>
      </c>
      <c r="J946" s="124" t="s">
        <v>5708</v>
      </c>
      <c r="K946" s="125" t="s">
        <v>147</v>
      </c>
      <c r="L946" s="125">
        <v>0.0</v>
      </c>
      <c r="M946" s="126">
        <v>43.0</v>
      </c>
      <c r="N946" s="1">
        <v>0.0</v>
      </c>
    </row>
    <row r="947" ht="15.75" hidden="1" customHeight="1">
      <c r="A947" s="129">
        <v>45665.0</v>
      </c>
      <c r="B947" s="130" t="s">
        <v>5707</v>
      </c>
      <c r="C947" s="130" t="s">
        <v>5722</v>
      </c>
      <c r="D947" s="117" t="s">
        <v>4</v>
      </c>
      <c r="E947" s="117">
        <v>1270458.0</v>
      </c>
      <c r="F947" s="62">
        <v>0.0</v>
      </c>
      <c r="G947" s="62" t="s">
        <v>5712</v>
      </c>
      <c r="H947" s="62" t="s">
        <v>5705</v>
      </c>
      <c r="I947" s="62" t="s">
        <v>209</v>
      </c>
      <c r="J947" s="118" t="s">
        <v>5708</v>
      </c>
      <c r="K947" s="130" t="s">
        <v>160</v>
      </c>
      <c r="L947" s="130">
        <v>0.0</v>
      </c>
      <c r="M947" s="132">
        <v>43.0</v>
      </c>
      <c r="N947" s="1">
        <v>0.0</v>
      </c>
    </row>
    <row r="948" ht="15.75" hidden="1" customHeight="1">
      <c r="A948" s="127">
        <v>45665.0</v>
      </c>
      <c r="B948" s="138">
        <v>45969.0</v>
      </c>
      <c r="C948" s="125" t="s">
        <v>5717</v>
      </c>
      <c r="D948" s="123" t="s">
        <v>4</v>
      </c>
      <c r="E948" s="123">
        <v>1270458.0</v>
      </c>
      <c r="F948" s="124">
        <v>0.0</v>
      </c>
      <c r="G948" s="124" t="s">
        <v>5712</v>
      </c>
      <c r="H948" s="124" t="s">
        <v>5705</v>
      </c>
      <c r="I948" s="124" t="s">
        <v>209</v>
      </c>
      <c r="J948" s="124" t="s">
        <v>5708</v>
      </c>
      <c r="K948" s="125" t="s">
        <v>147</v>
      </c>
      <c r="L948" s="125">
        <v>0.0</v>
      </c>
      <c r="M948" s="126">
        <v>5.0</v>
      </c>
      <c r="N948" s="1">
        <v>0.0</v>
      </c>
    </row>
    <row r="949" ht="15.75" hidden="1" customHeight="1">
      <c r="A949" s="129">
        <v>45665.0</v>
      </c>
      <c r="B949" s="137">
        <v>45969.0</v>
      </c>
      <c r="C949" s="130" t="s">
        <v>5717</v>
      </c>
      <c r="D949" s="117" t="s">
        <v>4</v>
      </c>
      <c r="E949" s="117">
        <v>1270458.0</v>
      </c>
      <c r="F949" s="62">
        <v>0.0</v>
      </c>
      <c r="G949" s="62" t="s">
        <v>5712</v>
      </c>
      <c r="H949" s="62" t="s">
        <v>5705</v>
      </c>
      <c r="I949" s="62" t="s">
        <v>209</v>
      </c>
      <c r="J949" s="118" t="s">
        <v>5708</v>
      </c>
      <c r="K949" s="130" t="s">
        <v>142</v>
      </c>
      <c r="L949" s="130">
        <v>2.0</v>
      </c>
      <c r="M949" s="132"/>
      <c r="N949" s="1">
        <v>2.0</v>
      </c>
    </row>
    <row r="950" ht="15.75" hidden="1" customHeight="1">
      <c r="A950" s="127">
        <v>45665.0</v>
      </c>
      <c r="B950" s="138">
        <v>45969.0</v>
      </c>
      <c r="C950" s="125" t="s">
        <v>5717</v>
      </c>
      <c r="D950" s="123" t="s">
        <v>4</v>
      </c>
      <c r="E950" s="123">
        <v>1270458.0</v>
      </c>
      <c r="F950" s="124">
        <v>0.0</v>
      </c>
      <c r="G950" s="124" t="s">
        <v>5712</v>
      </c>
      <c r="H950" s="124" t="s">
        <v>5705</v>
      </c>
      <c r="I950" s="124" t="s">
        <v>209</v>
      </c>
      <c r="J950" s="124" t="s">
        <v>5708</v>
      </c>
      <c r="K950" s="125" t="s">
        <v>160</v>
      </c>
      <c r="L950" s="125">
        <v>0.0</v>
      </c>
      <c r="M950" s="126">
        <v>1.0</v>
      </c>
      <c r="N950" s="1">
        <v>0.0</v>
      </c>
    </row>
    <row r="951" ht="15.75" hidden="1" customHeight="1">
      <c r="A951" s="129">
        <v>45665.0</v>
      </c>
      <c r="B951" s="137">
        <v>45969.0</v>
      </c>
      <c r="C951" s="130" t="s">
        <v>5717</v>
      </c>
      <c r="D951" s="117" t="s">
        <v>4</v>
      </c>
      <c r="E951" s="117">
        <v>1270458.0</v>
      </c>
      <c r="F951" s="62">
        <v>0.0</v>
      </c>
      <c r="G951" s="62" t="s">
        <v>5712</v>
      </c>
      <c r="H951" s="62" t="s">
        <v>5705</v>
      </c>
      <c r="I951" s="62" t="s">
        <v>209</v>
      </c>
      <c r="J951" s="118" t="s">
        <v>5708</v>
      </c>
      <c r="K951" s="130" t="s">
        <v>147</v>
      </c>
      <c r="L951" s="62">
        <v>0.0</v>
      </c>
      <c r="M951" s="132">
        <v>2.0</v>
      </c>
      <c r="N951" s="1">
        <v>0.0</v>
      </c>
    </row>
    <row r="952" ht="15.75" hidden="1" customHeight="1">
      <c r="A952" s="127">
        <v>45665.0</v>
      </c>
      <c r="B952" s="138">
        <v>45969.0</v>
      </c>
      <c r="C952" s="125" t="s">
        <v>5717</v>
      </c>
      <c r="D952" s="123" t="s">
        <v>4</v>
      </c>
      <c r="E952" s="123">
        <v>1270458.0</v>
      </c>
      <c r="F952" s="124">
        <v>0.0</v>
      </c>
      <c r="G952" s="124" t="s">
        <v>5712</v>
      </c>
      <c r="H952" s="124" t="s">
        <v>5705</v>
      </c>
      <c r="I952" s="124" t="s">
        <v>209</v>
      </c>
      <c r="J952" s="124" t="s">
        <v>5708</v>
      </c>
      <c r="K952" s="125" t="s">
        <v>153</v>
      </c>
      <c r="L952" s="124">
        <v>4.63</v>
      </c>
      <c r="M952" s="126">
        <v>1.0</v>
      </c>
      <c r="N952" s="1">
        <v>4.63</v>
      </c>
    </row>
    <row r="953" ht="15.75" hidden="1" customHeight="1">
      <c r="A953" s="129">
        <v>45665.0</v>
      </c>
      <c r="B953" s="130" t="s">
        <v>5707</v>
      </c>
      <c r="C953" s="130" t="s">
        <v>5721</v>
      </c>
      <c r="D953" s="117" t="s">
        <v>4</v>
      </c>
      <c r="E953" s="117">
        <v>1270458.0</v>
      </c>
      <c r="F953" s="62">
        <v>0.0</v>
      </c>
      <c r="G953" s="62" t="s">
        <v>5712</v>
      </c>
      <c r="H953" s="62" t="s">
        <v>5705</v>
      </c>
      <c r="I953" s="62" t="s">
        <v>209</v>
      </c>
      <c r="J953" s="118" t="s">
        <v>5708</v>
      </c>
      <c r="K953" s="130" t="s">
        <v>153</v>
      </c>
      <c r="L953" s="62">
        <v>0.38</v>
      </c>
      <c r="M953" s="132">
        <v>0.0</v>
      </c>
    </row>
    <row r="954" ht="15.75" hidden="1" customHeight="1">
      <c r="A954" s="127">
        <v>45665.0</v>
      </c>
      <c r="B954" s="125" t="s">
        <v>5707</v>
      </c>
      <c r="C954" s="125" t="s">
        <v>5721</v>
      </c>
      <c r="D954" s="123" t="s">
        <v>4</v>
      </c>
      <c r="E954" s="123">
        <v>1270458.0</v>
      </c>
      <c r="F954" s="124">
        <v>0.0</v>
      </c>
      <c r="G954" s="124" t="s">
        <v>5712</v>
      </c>
      <c r="H954" s="124" t="s">
        <v>5705</v>
      </c>
      <c r="I954" s="124" t="s">
        <v>209</v>
      </c>
      <c r="J954" s="124" t="s">
        <v>5708</v>
      </c>
      <c r="K954" s="125" t="s">
        <v>163</v>
      </c>
      <c r="L954" s="125">
        <v>3.0</v>
      </c>
      <c r="M954" s="126"/>
      <c r="N954" s="1">
        <v>3.0</v>
      </c>
    </row>
    <row r="955" ht="15.75" hidden="1" customHeight="1">
      <c r="A955" s="129">
        <v>45665.0</v>
      </c>
      <c r="B955" s="130" t="s">
        <v>5707</v>
      </c>
      <c r="C955" s="130" t="s">
        <v>5722</v>
      </c>
      <c r="D955" s="117" t="s">
        <v>4</v>
      </c>
      <c r="E955" s="117">
        <v>1270458.0</v>
      </c>
      <c r="F955" s="62">
        <v>0.0</v>
      </c>
      <c r="G955" s="62" t="s">
        <v>5712</v>
      </c>
      <c r="H955" s="62" t="s">
        <v>5705</v>
      </c>
      <c r="I955" s="62" t="s">
        <v>209</v>
      </c>
      <c r="J955" s="118" t="s">
        <v>5708</v>
      </c>
      <c r="K955" s="130" t="s">
        <v>153</v>
      </c>
      <c r="L955" s="130">
        <v>181.34</v>
      </c>
      <c r="M955" s="133">
        <v>26.0</v>
      </c>
      <c r="N955" s="1">
        <v>6.974615385</v>
      </c>
    </row>
    <row r="956" ht="15.75" hidden="1" customHeight="1">
      <c r="A956" s="127">
        <v>45665.0</v>
      </c>
      <c r="B956" s="125" t="s">
        <v>5707</v>
      </c>
      <c r="C956" s="125" t="s">
        <v>5722</v>
      </c>
      <c r="D956" s="123" t="s">
        <v>4</v>
      </c>
      <c r="E956" s="123">
        <v>1270458.0</v>
      </c>
      <c r="F956" s="124">
        <v>0.0</v>
      </c>
      <c r="G956" s="124" t="s">
        <v>5712</v>
      </c>
      <c r="H956" s="124" t="s">
        <v>5705</v>
      </c>
      <c r="I956" s="124" t="s">
        <v>209</v>
      </c>
      <c r="J956" s="124" t="s">
        <v>5708</v>
      </c>
      <c r="K956" s="125" t="s">
        <v>154</v>
      </c>
      <c r="L956" s="124">
        <v>2700.0</v>
      </c>
      <c r="M956" s="126">
        <v>47.0</v>
      </c>
      <c r="N956" s="1">
        <v>57.44680851</v>
      </c>
    </row>
    <row r="957" ht="15.75" hidden="1" customHeight="1">
      <c r="A957" s="129">
        <v>45665.0</v>
      </c>
      <c r="B957" s="130" t="s">
        <v>5707</v>
      </c>
      <c r="C957" s="130" t="s">
        <v>5722</v>
      </c>
      <c r="D957" s="117" t="s">
        <v>4</v>
      </c>
      <c r="E957" s="117">
        <v>1270458.0</v>
      </c>
      <c r="F957" s="62">
        <v>0.0</v>
      </c>
      <c r="G957" s="62" t="s">
        <v>5712</v>
      </c>
      <c r="H957" s="62" t="s">
        <v>5705</v>
      </c>
      <c r="I957" s="62" t="s">
        <v>209</v>
      </c>
      <c r="J957" s="118" t="s">
        <v>5708</v>
      </c>
      <c r="K957" s="130" t="s">
        <v>163</v>
      </c>
      <c r="L957" s="62">
        <v>43.0</v>
      </c>
      <c r="M957" s="132"/>
      <c r="N957" s="1">
        <v>43.0</v>
      </c>
    </row>
    <row r="958" ht="15.75" hidden="1" customHeight="1">
      <c r="A958" s="127">
        <v>45665.0</v>
      </c>
      <c r="B958" s="125" t="s">
        <v>5703</v>
      </c>
      <c r="C958" s="125" t="s">
        <v>5706</v>
      </c>
      <c r="D958" s="123" t="s">
        <v>4</v>
      </c>
      <c r="E958" s="123">
        <v>1270458.0</v>
      </c>
      <c r="F958" s="124">
        <v>0.0</v>
      </c>
      <c r="G958" s="124" t="s">
        <v>5712</v>
      </c>
      <c r="H958" s="124" t="s">
        <v>5705</v>
      </c>
      <c r="I958" s="124" t="s">
        <v>209</v>
      </c>
      <c r="J958" s="124" t="s">
        <v>5708</v>
      </c>
      <c r="K958" s="125" t="s">
        <v>12</v>
      </c>
      <c r="L958" s="125">
        <v>100.0</v>
      </c>
      <c r="M958" s="126">
        <v>1.0</v>
      </c>
      <c r="N958" s="1">
        <v>100.0</v>
      </c>
    </row>
    <row r="959" ht="15.75" hidden="1" customHeight="1">
      <c r="A959" s="129">
        <v>45665.0</v>
      </c>
      <c r="B959" s="130" t="s">
        <v>5703</v>
      </c>
      <c r="C959" s="130" t="s">
        <v>5723</v>
      </c>
      <c r="D959" s="117" t="s">
        <v>4</v>
      </c>
      <c r="E959" s="117">
        <v>1270458.0</v>
      </c>
      <c r="F959" s="62">
        <v>0.0</v>
      </c>
      <c r="G959" s="62" t="s">
        <v>5712</v>
      </c>
      <c r="H959" s="62" t="s">
        <v>5705</v>
      </c>
      <c r="I959" s="62" t="s">
        <v>209</v>
      </c>
      <c r="J959" s="118" t="s">
        <v>5708</v>
      </c>
      <c r="K959" s="130" t="s">
        <v>12</v>
      </c>
      <c r="L959" s="62">
        <v>100.0</v>
      </c>
      <c r="M959" s="132">
        <v>1.0</v>
      </c>
      <c r="N959" s="1">
        <v>100.0</v>
      </c>
    </row>
    <row r="960" ht="15.75" hidden="1" customHeight="1">
      <c r="A960" s="127">
        <v>45665.0</v>
      </c>
      <c r="B960" s="125" t="s">
        <v>5707</v>
      </c>
      <c r="C960" s="125" t="s">
        <v>5707</v>
      </c>
      <c r="D960" s="123" t="s">
        <v>4</v>
      </c>
      <c r="E960" s="123">
        <v>1270458.0</v>
      </c>
      <c r="F960" s="124">
        <v>0.0</v>
      </c>
      <c r="G960" s="124" t="s">
        <v>5712</v>
      </c>
      <c r="H960" s="124" t="s">
        <v>5705</v>
      </c>
      <c r="I960" s="124" t="s">
        <v>209</v>
      </c>
      <c r="J960" s="124" t="s">
        <v>5708</v>
      </c>
      <c r="K960" s="125" t="s">
        <v>158</v>
      </c>
      <c r="L960" s="124">
        <v>800.0</v>
      </c>
      <c r="M960" s="126">
        <v>8.0</v>
      </c>
      <c r="N960" s="1">
        <v>100.0</v>
      </c>
    </row>
    <row r="961" ht="15.75" hidden="1" customHeight="1">
      <c r="A961" s="129">
        <v>45665.0</v>
      </c>
      <c r="B961" s="130" t="s">
        <v>5707</v>
      </c>
      <c r="C961" s="130" t="s">
        <v>5707</v>
      </c>
      <c r="D961" s="117" t="s">
        <v>4</v>
      </c>
      <c r="E961" s="117">
        <v>1270458.0</v>
      </c>
      <c r="F961" s="62">
        <v>0.0</v>
      </c>
      <c r="G961" s="62" t="s">
        <v>5712</v>
      </c>
      <c r="H961" s="62" t="s">
        <v>5705</v>
      </c>
      <c r="I961" s="62" t="s">
        <v>209</v>
      </c>
      <c r="J961" s="118" t="s">
        <v>5708</v>
      </c>
      <c r="K961" s="130" t="s">
        <v>158</v>
      </c>
      <c r="L961" s="130">
        <v>2800.0</v>
      </c>
      <c r="M961" s="132">
        <v>43.0</v>
      </c>
      <c r="N961" s="1">
        <v>65.11627907</v>
      </c>
    </row>
    <row r="962" ht="15.75" hidden="1" customHeight="1">
      <c r="A962" s="127">
        <v>45665.0</v>
      </c>
      <c r="B962" s="125" t="s">
        <v>5707</v>
      </c>
      <c r="C962" s="125" t="s">
        <v>5707</v>
      </c>
      <c r="D962" s="123" t="s">
        <v>4</v>
      </c>
      <c r="E962" s="123">
        <v>1270458.0</v>
      </c>
      <c r="F962" s="124">
        <v>0.0</v>
      </c>
      <c r="G962" s="124" t="s">
        <v>5712</v>
      </c>
      <c r="H962" s="124" t="s">
        <v>5705</v>
      </c>
      <c r="I962" s="124" t="s">
        <v>209</v>
      </c>
      <c r="J962" s="124" t="s">
        <v>5708</v>
      </c>
      <c r="K962" s="125" t="s">
        <v>147</v>
      </c>
      <c r="L962" s="124">
        <v>0.0</v>
      </c>
      <c r="M962" s="126">
        <v>4.0</v>
      </c>
      <c r="N962" s="1">
        <v>0.0</v>
      </c>
    </row>
    <row r="963" ht="15.75" hidden="1" customHeight="1">
      <c r="A963" s="129">
        <v>45665.0</v>
      </c>
      <c r="B963" s="130" t="s">
        <v>5707</v>
      </c>
      <c r="C963" s="130" t="s">
        <v>5707</v>
      </c>
      <c r="D963" s="117" t="s">
        <v>4</v>
      </c>
      <c r="E963" s="117">
        <v>1270458.0</v>
      </c>
      <c r="F963" s="62">
        <v>0.0</v>
      </c>
      <c r="G963" s="62" t="s">
        <v>5712</v>
      </c>
      <c r="H963" s="62" t="s">
        <v>5705</v>
      </c>
      <c r="I963" s="62" t="s">
        <v>209</v>
      </c>
      <c r="J963" s="118" t="s">
        <v>5708</v>
      </c>
      <c r="K963" s="130" t="s">
        <v>160</v>
      </c>
      <c r="L963" s="62">
        <v>0.0</v>
      </c>
      <c r="M963" s="132">
        <v>205.0</v>
      </c>
      <c r="N963" s="1">
        <v>0.0</v>
      </c>
    </row>
    <row r="964" ht="15.75" hidden="1" customHeight="1">
      <c r="A964" s="127">
        <v>45665.0</v>
      </c>
      <c r="B964" s="125" t="s">
        <v>5707</v>
      </c>
      <c r="C964" s="125" t="s">
        <v>5707</v>
      </c>
      <c r="D964" s="123" t="s">
        <v>4</v>
      </c>
      <c r="E964" s="123">
        <v>1270458.0</v>
      </c>
      <c r="F964" s="124">
        <v>0.0</v>
      </c>
      <c r="G964" s="124" t="s">
        <v>5712</v>
      </c>
      <c r="H964" s="124" t="s">
        <v>5705</v>
      </c>
      <c r="I964" s="124" t="s">
        <v>209</v>
      </c>
      <c r="J964" s="124" t="s">
        <v>5708</v>
      </c>
      <c r="K964" s="125" t="s">
        <v>163</v>
      </c>
      <c r="L964" s="125">
        <v>1.0</v>
      </c>
      <c r="M964" s="126"/>
      <c r="N964" s="1">
        <v>1.0</v>
      </c>
    </row>
    <row r="965" ht="15.75" hidden="1" customHeight="1">
      <c r="A965" s="129">
        <v>45665.0</v>
      </c>
      <c r="B965" s="130" t="s">
        <v>5707</v>
      </c>
      <c r="C965" s="130" t="s">
        <v>5707</v>
      </c>
      <c r="D965" s="117" t="s">
        <v>4</v>
      </c>
      <c r="E965" s="117">
        <v>1270458.0</v>
      </c>
      <c r="F965" s="62">
        <v>0.0</v>
      </c>
      <c r="G965" s="62" t="s">
        <v>5712</v>
      </c>
      <c r="H965" s="62" t="s">
        <v>5705</v>
      </c>
      <c r="I965" s="62" t="s">
        <v>209</v>
      </c>
      <c r="J965" s="118" t="s">
        <v>5708</v>
      </c>
      <c r="K965" s="130" t="s">
        <v>147</v>
      </c>
      <c r="L965" s="130">
        <v>0.0</v>
      </c>
      <c r="M965" s="132">
        <v>7.0</v>
      </c>
      <c r="N965" s="1">
        <v>0.0</v>
      </c>
    </row>
    <row r="966" ht="15.75" hidden="1" customHeight="1">
      <c r="A966" s="127">
        <v>45665.0</v>
      </c>
      <c r="B966" s="125" t="s">
        <v>5707</v>
      </c>
      <c r="C966" s="125" t="s">
        <v>5707</v>
      </c>
      <c r="D966" s="123" t="s">
        <v>4</v>
      </c>
      <c r="E966" s="123">
        <v>1270458.0</v>
      </c>
      <c r="F966" s="124">
        <v>0.0</v>
      </c>
      <c r="G966" s="124" t="s">
        <v>5712</v>
      </c>
      <c r="H966" s="124" t="s">
        <v>5705</v>
      </c>
      <c r="I966" s="124" t="s">
        <v>209</v>
      </c>
      <c r="J966" s="124" t="s">
        <v>5708</v>
      </c>
      <c r="K966" s="125" t="s">
        <v>158</v>
      </c>
      <c r="L966" s="125">
        <v>0.0</v>
      </c>
      <c r="M966" s="126">
        <v>6.0</v>
      </c>
      <c r="N966" s="1">
        <v>0.0</v>
      </c>
    </row>
    <row r="967" ht="15.75" hidden="1" customHeight="1">
      <c r="A967" s="129">
        <v>45665.0</v>
      </c>
      <c r="B967" s="130" t="s">
        <v>5707</v>
      </c>
      <c r="C967" s="130" t="s">
        <v>5718</v>
      </c>
      <c r="D967" s="117" t="s">
        <v>4</v>
      </c>
      <c r="E967" s="117">
        <v>1270458.0</v>
      </c>
      <c r="F967" s="62">
        <v>0.0</v>
      </c>
      <c r="G967" s="62" t="s">
        <v>5712</v>
      </c>
      <c r="H967" s="62" t="s">
        <v>5705</v>
      </c>
      <c r="I967" s="62" t="s">
        <v>209</v>
      </c>
      <c r="J967" s="118" t="s">
        <v>5708</v>
      </c>
      <c r="K967" s="130" t="s">
        <v>160</v>
      </c>
      <c r="L967" s="62">
        <v>0.0</v>
      </c>
      <c r="M967" s="132">
        <v>3.0</v>
      </c>
      <c r="N967" s="1">
        <v>0.0</v>
      </c>
    </row>
    <row r="968" ht="15.75" customHeight="1">
      <c r="A968" s="127">
        <v>45665.0</v>
      </c>
      <c r="B968" s="125" t="s">
        <v>5707</v>
      </c>
      <c r="C968" s="125" t="s">
        <v>5718</v>
      </c>
      <c r="D968" s="123" t="s">
        <v>4</v>
      </c>
      <c r="E968" s="123">
        <v>1270458.0</v>
      </c>
      <c r="F968" s="124">
        <v>0.0</v>
      </c>
      <c r="G968" s="124" t="s">
        <v>5712</v>
      </c>
      <c r="H968" s="124" t="s">
        <v>5705</v>
      </c>
      <c r="I968" s="124" t="s">
        <v>209</v>
      </c>
      <c r="J968" s="124" t="s">
        <v>5708</v>
      </c>
      <c r="K968" s="125" t="s">
        <v>139</v>
      </c>
      <c r="L968" s="125">
        <v>0.0</v>
      </c>
      <c r="M968" s="126">
        <v>0.012</v>
      </c>
      <c r="N968" s="1">
        <v>0.0</v>
      </c>
    </row>
    <row r="969" ht="15.75" hidden="1" customHeight="1">
      <c r="A969" s="129">
        <v>45665.0</v>
      </c>
      <c r="B969" s="130" t="s">
        <v>5707</v>
      </c>
      <c r="C969" s="130" t="s">
        <v>5718</v>
      </c>
      <c r="D969" s="117" t="s">
        <v>4</v>
      </c>
      <c r="E969" s="117">
        <v>1270458.0</v>
      </c>
      <c r="F969" s="62">
        <v>0.0</v>
      </c>
      <c r="G969" s="62" t="s">
        <v>5712</v>
      </c>
      <c r="H969" s="62" t="s">
        <v>5705</v>
      </c>
      <c r="I969" s="62" t="s">
        <v>209</v>
      </c>
      <c r="J969" s="118" t="s">
        <v>5708</v>
      </c>
      <c r="K969" s="130" t="s">
        <v>153</v>
      </c>
      <c r="L969" s="62">
        <v>0.02</v>
      </c>
      <c r="M969" s="132">
        <v>1.0</v>
      </c>
      <c r="N969" s="1">
        <v>0.02</v>
      </c>
    </row>
    <row r="970" ht="15.75" hidden="1" customHeight="1">
      <c r="A970" s="129">
        <v>45665.0</v>
      </c>
      <c r="B970" s="130" t="s">
        <v>5707</v>
      </c>
      <c r="C970" s="130" t="s">
        <v>5721</v>
      </c>
      <c r="D970" s="123" t="s">
        <v>4</v>
      </c>
      <c r="E970" s="123">
        <v>1270458.0</v>
      </c>
      <c r="F970" s="62">
        <v>0.0</v>
      </c>
      <c r="G970" s="62" t="s">
        <v>5712</v>
      </c>
      <c r="H970" s="62" t="s">
        <v>5705</v>
      </c>
      <c r="I970" s="124" t="s">
        <v>5708</v>
      </c>
      <c r="J970" s="124" t="s">
        <v>5708</v>
      </c>
      <c r="K970" s="130" t="s">
        <v>7</v>
      </c>
      <c r="L970" s="130">
        <v>0.0</v>
      </c>
      <c r="M970" s="132">
        <v>13.0</v>
      </c>
      <c r="N970" s="1">
        <v>0.0</v>
      </c>
    </row>
    <row r="971" ht="15.75" hidden="1" customHeight="1">
      <c r="A971" s="129">
        <v>45665.0</v>
      </c>
      <c r="B971" s="130" t="s">
        <v>5707</v>
      </c>
      <c r="C971" s="130" t="s">
        <v>5718</v>
      </c>
      <c r="D971" s="117" t="s">
        <v>4</v>
      </c>
      <c r="E971" s="117">
        <v>1270458.0</v>
      </c>
      <c r="F971" s="62">
        <v>0.0</v>
      </c>
      <c r="G971" s="62" t="s">
        <v>5712</v>
      </c>
      <c r="H971" s="62" t="s">
        <v>5705</v>
      </c>
      <c r="I971" s="62" t="s">
        <v>209</v>
      </c>
      <c r="J971" s="118" t="s">
        <v>5708</v>
      </c>
      <c r="K971" s="130" t="s">
        <v>147</v>
      </c>
      <c r="L971" s="130">
        <v>0.0</v>
      </c>
      <c r="M971" s="132">
        <v>2.0</v>
      </c>
      <c r="N971" s="1">
        <v>0.0</v>
      </c>
    </row>
    <row r="972" ht="15.75" hidden="1" customHeight="1">
      <c r="A972" s="127">
        <v>45665.0</v>
      </c>
      <c r="B972" s="125" t="s">
        <v>5707</v>
      </c>
      <c r="C972" s="125" t="s">
        <v>5719</v>
      </c>
      <c r="D972" s="123" t="s">
        <v>4</v>
      </c>
      <c r="E972" s="123">
        <v>1270458.0</v>
      </c>
      <c r="F972" s="124">
        <v>0.0</v>
      </c>
      <c r="G972" s="124" t="s">
        <v>5712</v>
      </c>
      <c r="H972" s="124" t="s">
        <v>5705</v>
      </c>
      <c r="I972" s="124" t="s">
        <v>209</v>
      </c>
      <c r="J972" s="124" t="s">
        <v>5708</v>
      </c>
      <c r="K972" s="125" t="s">
        <v>163</v>
      </c>
      <c r="L972" s="125">
        <v>3.0</v>
      </c>
      <c r="M972" s="126"/>
      <c r="N972" s="1">
        <v>3.0</v>
      </c>
    </row>
    <row r="973" ht="15.75" hidden="1" customHeight="1">
      <c r="A973" s="129">
        <v>45665.0</v>
      </c>
      <c r="B973" s="130" t="s">
        <v>5707</v>
      </c>
      <c r="C973" s="130" t="s">
        <v>5719</v>
      </c>
      <c r="D973" s="117" t="s">
        <v>4</v>
      </c>
      <c r="E973" s="117">
        <v>1270458.0</v>
      </c>
      <c r="F973" s="62">
        <v>0.0</v>
      </c>
      <c r="G973" s="62" t="s">
        <v>5712</v>
      </c>
      <c r="H973" s="62" t="s">
        <v>5705</v>
      </c>
      <c r="I973" s="62" t="s">
        <v>209</v>
      </c>
      <c r="J973" s="118" t="s">
        <v>5708</v>
      </c>
      <c r="K973" s="130" t="s">
        <v>163</v>
      </c>
      <c r="L973" s="62">
        <v>6.0</v>
      </c>
      <c r="M973" s="132"/>
      <c r="N973" s="1">
        <v>6.0</v>
      </c>
    </row>
    <row r="974" ht="15.75" hidden="1" customHeight="1">
      <c r="A974" s="127">
        <v>45665.0</v>
      </c>
      <c r="B974" s="125" t="s">
        <v>5707</v>
      </c>
      <c r="C974" s="125" t="s">
        <v>5720</v>
      </c>
      <c r="D974" s="123" t="s">
        <v>4</v>
      </c>
      <c r="E974" s="123">
        <v>1270458.0</v>
      </c>
      <c r="F974" s="124">
        <v>0.0</v>
      </c>
      <c r="G974" s="124" t="s">
        <v>5712</v>
      </c>
      <c r="H974" s="124" t="s">
        <v>5705</v>
      </c>
      <c r="I974" s="124" t="s">
        <v>209</v>
      </c>
      <c r="J974" s="124" t="s">
        <v>5708</v>
      </c>
      <c r="K974" s="125" t="s">
        <v>156</v>
      </c>
      <c r="L974" s="125">
        <v>0.0</v>
      </c>
      <c r="M974" s="126">
        <v>1.0</v>
      </c>
      <c r="N974" s="1">
        <v>0.0</v>
      </c>
    </row>
    <row r="975" ht="15.75" hidden="1" customHeight="1">
      <c r="A975" s="129">
        <v>45665.0</v>
      </c>
      <c r="B975" s="130" t="s">
        <v>5707</v>
      </c>
      <c r="C975" s="130" t="s">
        <v>5720</v>
      </c>
      <c r="D975" s="117" t="s">
        <v>4</v>
      </c>
      <c r="E975" s="117">
        <v>1270458.0</v>
      </c>
      <c r="F975" s="62">
        <v>0.0</v>
      </c>
      <c r="G975" s="62" t="s">
        <v>5712</v>
      </c>
      <c r="H975" s="62" t="s">
        <v>5705</v>
      </c>
      <c r="I975" s="62" t="s">
        <v>209</v>
      </c>
      <c r="J975" s="118" t="s">
        <v>5708</v>
      </c>
      <c r="K975" s="130" t="s">
        <v>154</v>
      </c>
      <c r="L975" s="130">
        <v>15700.0</v>
      </c>
      <c r="M975" s="132">
        <v>281.0</v>
      </c>
      <c r="N975" s="1">
        <v>55.87188612</v>
      </c>
    </row>
    <row r="976" ht="15.75" hidden="1" customHeight="1">
      <c r="A976" s="127">
        <v>45665.0</v>
      </c>
      <c r="B976" s="125" t="s">
        <v>5707</v>
      </c>
      <c r="C976" s="125" t="s">
        <v>5720</v>
      </c>
      <c r="D976" s="123" t="s">
        <v>4</v>
      </c>
      <c r="E976" s="123">
        <v>1270458.0</v>
      </c>
      <c r="F976" s="124">
        <v>0.0</v>
      </c>
      <c r="G976" s="124" t="s">
        <v>5712</v>
      </c>
      <c r="H976" s="124" t="s">
        <v>5705</v>
      </c>
      <c r="I976" s="124" t="s">
        <v>209</v>
      </c>
      <c r="J976" s="124" t="s">
        <v>5708</v>
      </c>
      <c r="K976" s="125" t="s">
        <v>147</v>
      </c>
      <c r="L976" s="125">
        <v>0.0</v>
      </c>
      <c r="M976" s="126">
        <v>1.0</v>
      </c>
      <c r="N976" s="1">
        <v>0.0</v>
      </c>
    </row>
    <row r="977" ht="15.75" hidden="1" customHeight="1">
      <c r="A977" s="129">
        <v>45665.0</v>
      </c>
      <c r="B977" s="130" t="s">
        <v>5707</v>
      </c>
      <c r="C977" s="130" t="s">
        <v>5720</v>
      </c>
      <c r="D977" s="117" t="s">
        <v>4</v>
      </c>
      <c r="E977" s="117">
        <v>1270458.0</v>
      </c>
      <c r="F977" s="62">
        <v>0.0</v>
      </c>
      <c r="G977" s="62" t="s">
        <v>5712</v>
      </c>
      <c r="H977" s="62" t="s">
        <v>5705</v>
      </c>
      <c r="I977" s="62" t="s">
        <v>209</v>
      </c>
      <c r="J977" s="118" t="s">
        <v>5708</v>
      </c>
      <c r="K977" s="130" t="s">
        <v>156</v>
      </c>
      <c r="L977" s="130">
        <v>100.0</v>
      </c>
      <c r="M977" s="132">
        <v>1.0</v>
      </c>
      <c r="N977" s="1">
        <v>100.0</v>
      </c>
    </row>
    <row r="978" ht="15.75" hidden="1" customHeight="1">
      <c r="A978" s="127">
        <v>45665.0</v>
      </c>
      <c r="B978" s="125" t="s">
        <v>5707</v>
      </c>
      <c r="C978" s="125" t="s">
        <v>5720</v>
      </c>
      <c r="D978" s="123" t="s">
        <v>4</v>
      </c>
      <c r="E978" s="123">
        <v>1270458.0</v>
      </c>
      <c r="F978" s="124">
        <v>0.0</v>
      </c>
      <c r="G978" s="124" t="s">
        <v>5712</v>
      </c>
      <c r="H978" s="124" t="s">
        <v>5705</v>
      </c>
      <c r="I978" s="124" t="s">
        <v>209</v>
      </c>
      <c r="J978" s="124" t="s">
        <v>5708</v>
      </c>
      <c r="K978" s="125" t="s">
        <v>163</v>
      </c>
      <c r="L978" s="125">
        <v>10.0</v>
      </c>
      <c r="M978" s="126"/>
      <c r="N978" s="1">
        <v>10.0</v>
      </c>
    </row>
    <row r="979" ht="15.75" hidden="1" customHeight="1">
      <c r="A979" s="129">
        <v>45665.0</v>
      </c>
      <c r="B979" s="130" t="s">
        <v>5707</v>
      </c>
      <c r="C979" s="130" t="s">
        <v>5720</v>
      </c>
      <c r="D979" s="117" t="s">
        <v>4</v>
      </c>
      <c r="E979" s="117">
        <v>1270458.0</v>
      </c>
      <c r="F979" s="62">
        <v>0.0</v>
      </c>
      <c r="G979" s="62" t="s">
        <v>5712</v>
      </c>
      <c r="H979" s="62" t="s">
        <v>5705</v>
      </c>
      <c r="I979" s="62" t="s">
        <v>209</v>
      </c>
      <c r="J979" s="118" t="s">
        <v>5708</v>
      </c>
      <c r="K979" s="130" t="s">
        <v>147</v>
      </c>
      <c r="L979" s="130">
        <v>0.0</v>
      </c>
      <c r="M979" s="133">
        <v>2.0</v>
      </c>
      <c r="N979" s="1">
        <v>0.0</v>
      </c>
    </row>
    <row r="980" ht="15.75" hidden="1" customHeight="1">
      <c r="A980" s="127">
        <v>45665.0</v>
      </c>
      <c r="B980" s="125" t="s">
        <v>5707</v>
      </c>
      <c r="C980" s="125" t="s">
        <v>5721</v>
      </c>
      <c r="D980" s="123" t="s">
        <v>4</v>
      </c>
      <c r="E980" s="123">
        <v>1270458.0</v>
      </c>
      <c r="F980" s="124">
        <v>0.0</v>
      </c>
      <c r="G980" s="124" t="s">
        <v>5712</v>
      </c>
      <c r="H980" s="124" t="s">
        <v>5705</v>
      </c>
      <c r="I980" s="124" t="s">
        <v>209</v>
      </c>
      <c r="J980" s="124" t="s">
        <v>5708</v>
      </c>
      <c r="K980" s="125" t="s">
        <v>160</v>
      </c>
      <c r="L980" s="124">
        <v>0.0</v>
      </c>
      <c r="M980" s="126">
        <v>2.0</v>
      </c>
      <c r="N980" s="1">
        <v>0.0</v>
      </c>
    </row>
    <row r="981" ht="15.75" hidden="1" customHeight="1">
      <c r="A981" s="129">
        <v>45665.0</v>
      </c>
      <c r="B981" s="130" t="s">
        <v>5707</v>
      </c>
      <c r="C981" s="130" t="s">
        <v>5721</v>
      </c>
      <c r="D981" s="117" t="s">
        <v>4</v>
      </c>
      <c r="E981" s="117">
        <v>1270458.0</v>
      </c>
      <c r="F981" s="62">
        <v>0.0</v>
      </c>
      <c r="G981" s="62" t="s">
        <v>5712</v>
      </c>
      <c r="H981" s="62" t="s">
        <v>5705</v>
      </c>
      <c r="I981" s="62" t="s">
        <v>209</v>
      </c>
      <c r="J981" s="118" t="s">
        <v>5708</v>
      </c>
      <c r="K981" s="130" t="s">
        <v>160</v>
      </c>
      <c r="L981" s="62">
        <v>0.0</v>
      </c>
      <c r="M981" s="132">
        <v>2.0</v>
      </c>
      <c r="N981" s="1">
        <v>0.0</v>
      </c>
    </row>
    <row r="982" ht="15.75" customHeight="1">
      <c r="A982" s="127">
        <v>45665.0</v>
      </c>
      <c r="B982" s="125" t="s">
        <v>5707</v>
      </c>
      <c r="C982" s="125" t="s">
        <v>5721</v>
      </c>
      <c r="D982" s="123" t="s">
        <v>4</v>
      </c>
      <c r="E982" s="123">
        <v>1270458.0</v>
      </c>
      <c r="F982" s="124">
        <v>0.0</v>
      </c>
      <c r="G982" s="124" t="s">
        <v>5712</v>
      </c>
      <c r="H982" s="124" t="s">
        <v>5705</v>
      </c>
      <c r="I982" s="124" t="s">
        <v>209</v>
      </c>
      <c r="J982" s="124" t="s">
        <v>5708</v>
      </c>
      <c r="K982" s="125" t="s">
        <v>139</v>
      </c>
      <c r="L982" s="125">
        <v>0.0</v>
      </c>
      <c r="M982" s="126">
        <v>0.006333333</v>
      </c>
      <c r="N982" s="1">
        <v>0.0</v>
      </c>
    </row>
    <row r="983" ht="15.75" hidden="1" customHeight="1">
      <c r="A983" s="129">
        <v>45665.0</v>
      </c>
      <c r="B983" s="130" t="s">
        <v>5707</v>
      </c>
      <c r="C983" s="130" t="s">
        <v>5722</v>
      </c>
      <c r="D983" s="117" t="s">
        <v>4</v>
      </c>
      <c r="E983" s="117">
        <v>1270458.0</v>
      </c>
      <c r="F983" s="62">
        <v>0.0</v>
      </c>
      <c r="G983" s="62" t="s">
        <v>5712</v>
      </c>
      <c r="H983" s="62" t="s">
        <v>5705</v>
      </c>
      <c r="I983" s="118" t="s">
        <v>5708</v>
      </c>
      <c r="J983" s="118" t="s">
        <v>5708</v>
      </c>
      <c r="K983" s="130" t="s">
        <v>7</v>
      </c>
      <c r="L983" s="130">
        <v>100.0</v>
      </c>
      <c r="M983" s="132">
        <v>3.0</v>
      </c>
      <c r="N983" s="1">
        <v>33.33333333</v>
      </c>
    </row>
    <row r="984" ht="15.75" hidden="1" customHeight="1">
      <c r="A984" s="127">
        <v>45665.0</v>
      </c>
      <c r="B984" s="125" t="s">
        <v>5707</v>
      </c>
      <c r="C984" s="125" t="s">
        <v>5721</v>
      </c>
      <c r="D984" s="123" t="s">
        <v>4</v>
      </c>
      <c r="E984" s="123">
        <v>1270458.0</v>
      </c>
      <c r="F984" s="124">
        <v>0.0</v>
      </c>
      <c r="G984" s="124" t="s">
        <v>5712</v>
      </c>
      <c r="H984" s="124" t="s">
        <v>5705</v>
      </c>
      <c r="I984" s="123">
        <v>12.0</v>
      </c>
      <c r="J984" s="124" t="s">
        <v>5708</v>
      </c>
      <c r="K984" s="125" t="s">
        <v>11</v>
      </c>
      <c r="L984" s="125">
        <v>0.0</v>
      </c>
      <c r="M984" s="126">
        <v>7.0</v>
      </c>
      <c r="N984" s="1">
        <v>0.0</v>
      </c>
    </row>
    <row r="985" ht="15.75" hidden="1" customHeight="1">
      <c r="A985" s="129">
        <v>45665.0</v>
      </c>
      <c r="B985" s="130" t="s">
        <v>5707</v>
      </c>
      <c r="C985" s="130" t="s">
        <v>5721</v>
      </c>
      <c r="D985" s="117" t="s">
        <v>4</v>
      </c>
      <c r="E985" s="117">
        <v>1270458.0</v>
      </c>
      <c r="F985" s="62">
        <v>0.0</v>
      </c>
      <c r="G985" s="62" t="s">
        <v>5712</v>
      </c>
      <c r="H985" s="62" t="s">
        <v>5705</v>
      </c>
      <c r="I985" s="62" t="s">
        <v>209</v>
      </c>
      <c r="J985" s="118" t="s">
        <v>5708</v>
      </c>
      <c r="K985" s="130" t="s">
        <v>12</v>
      </c>
      <c r="L985" s="130">
        <v>100.0</v>
      </c>
      <c r="M985" s="132">
        <v>1.0</v>
      </c>
      <c r="N985" s="1">
        <v>100.0</v>
      </c>
    </row>
    <row r="986" ht="15.75" hidden="1" customHeight="1">
      <c r="A986" s="127">
        <v>45665.0</v>
      </c>
      <c r="B986" s="125" t="s">
        <v>5707</v>
      </c>
      <c r="C986" s="125" t="s">
        <v>5721</v>
      </c>
      <c r="D986" s="123" t="s">
        <v>4</v>
      </c>
      <c r="E986" s="123">
        <v>1270458.0</v>
      </c>
      <c r="F986" s="124">
        <v>0.0</v>
      </c>
      <c r="G986" s="124" t="s">
        <v>5712</v>
      </c>
      <c r="H986" s="124" t="s">
        <v>5705</v>
      </c>
      <c r="I986" s="124" t="s">
        <v>209</v>
      </c>
      <c r="J986" s="124" t="s">
        <v>5708</v>
      </c>
      <c r="K986" s="125" t="s">
        <v>160</v>
      </c>
      <c r="L986" s="125">
        <v>0.0</v>
      </c>
      <c r="M986" s="126">
        <v>5.0</v>
      </c>
      <c r="N986" s="1">
        <v>0.0</v>
      </c>
    </row>
    <row r="987" ht="15.75" hidden="1" customHeight="1">
      <c r="A987" s="129">
        <v>45665.0</v>
      </c>
      <c r="B987" s="130" t="s">
        <v>5707</v>
      </c>
      <c r="C987" s="130" t="s">
        <v>5721</v>
      </c>
      <c r="D987" s="117" t="s">
        <v>4</v>
      </c>
      <c r="E987" s="117">
        <v>1270458.0</v>
      </c>
      <c r="F987" s="62">
        <v>0.0</v>
      </c>
      <c r="G987" s="62" t="s">
        <v>5712</v>
      </c>
      <c r="H987" s="62" t="s">
        <v>5705</v>
      </c>
      <c r="I987" s="62" t="s">
        <v>209</v>
      </c>
      <c r="J987" s="118" t="s">
        <v>5708</v>
      </c>
      <c r="K987" s="130" t="s">
        <v>163</v>
      </c>
      <c r="L987" s="130">
        <v>1.0</v>
      </c>
      <c r="M987" s="133"/>
      <c r="N987" s="1">
        <v>1.0</v>
      </c>
    </row>
    <row r="988" ht="15.75" hidden="1" customHeight="1">
      <c r="A988" s="127">
        <v>45665.0</v>
      </c>
      <c r="B988" s="125" t="s">
        <v>5707</v>
      </c>
      <c r="C988" s="125" t="s">
        <v>5721</v>
      </c>
      <c r="D988" s="123" t="s">
        <v>4</v>
      </c>
      <c r="E988" s="123">
        <v>1270458.0</v>
      </c>
      <c r="F988" s="124">
        <v>0.0</v>
      </c>
      <c r="G988" s="124" t="s">
        <v>5712</v>
      </c>
      <c r="H988" s="124" t="s">
        <v>5705</v>
      </c>
      <c r="I988" s="124" t="s">
        <v>209</v>
      </c>
      <c r="J988" s="124" t="s">
        <v>5708</v>
      </c>
      <c r="K988" s="125" t="s">
        <v>153</v>
      </c>
      <c r="L988" s="125">
        <v>0.28</v>
      </c>
      <c r="M988" s="126">
        <v>0.0</v>
      </c>
    </row>
    <row r="989" ht="15.75" hidden="1" customHeight="1">
      <c r="A989" s="129">
        <v>45665.0</v>
      </c>
      <c r="B989" s="130" t="s">
        <v>5707</v>
      </c>
      <c r="C989" s="130" t="s">
        <v>5722</v>
      </c>
      <c r="D989" s="117" t="s">
        <v>4</v>
      </c>
      <c r="E989" s="117">
        <v>1270458.0</v>
      </c>
      <c r="F989" s="62">
        <v>0.0</v>
      </c>
      <c r="G989" s="62" t="s">
        <v>5712</v>
      </c>
      <c r="H989" s="62" t="s">
        <v>5705</v>
      </c>
      <c r="I989" s="62" t="s">
        <v>209</v>
      </c>
      <c r="J989" s="118" t="s">
        <v>5708</v>
      </c>
      <c r="K989" s="130" t="s">
        <v>153</v>
      </c>
      <c r="L989" s="130">
        <v>0.58</v>
      </c>
      <c r="M989" s="132">
        <v>0.0</v>
      </c>
    </row>
    <row r="990" ht="15.75" hidden="1" customHeight="1">
      <c r="A990" s="127">
        <v>45665.0</v>
      </c>
      <c r="B990" s="125" t="s">
        <v>5707</v>
      </c>
      <c r="C990" s="125" t="s">
        <v>5722</v>
      </c>
      <c r="D990" s="123" t="s">
        <v>4</v>
      </c>
      <c r="E990" s="123">
        <v>1270458.0</v>
      </c>
      <c r="F990" s="124">
        <v>0.0</v>
      </c>
      <c r="G990" s="124" t="s">
        <v>5712</v>
      </c>
      <c r="H990" s="124" t="s">
        <v>5705</v>
      </c>
      <c r="I990" s="124" t="s">
        <v>209</v>
      </c>
      <c r="J990" s="124" t="s">
        <v>5708</v>
      </c>
      <c r="K990" s="125" t="s">
        <v>160</v>
      </c>
      <c r="L990" s="125">
        <v>0.0</v>
      </c>
      <c r="M990" s="126">
        <v>4.0</v>
      </c>
      <c r="N990" s="1">
        <v>0.0</v>
      </c>
    </row>
    <row r="991" ht="15.75" hidden="1" customHeight="1">
      <c r="A991" s="129">
        <v>45665.0</v>
      </c>
      <c r="B991" s="130" t="s">
        <v>5707</v>
      </c>
      <c r="C991" s="130" t="s">
        <v>5722</v>
      </c>
      <c r="D991" s="117" t="s">
        <v>4</v>
      </c>
      <c r="E991" s="117">
        <v>1270458.0</v>
      </c>
      <c r="F991" s="62">
        <v>0.0</v>
      </c>
      <c r="G991" s="62" t="s">
        <v>5712</v>
      </c>
      <c r="H991" s="62" t="s">
        <v>5705</v>
      </c>
      <c r="I991" s="62" t="s">
        <v>209</v>
      </c>
      <c r="J991" s="118" t="s">
        <v>5708</v>
      </c>
      <c r="K991" s="130" t="s">
        <v>163</v>
      </c>
      <c r="L991" s="62">
        <v>4.0</v>
      </c>
      <c r="M991" s="132"/>
      <c r="N991" s="1">
        <v>4.0</v>
      </c>
    </row>
    <row r="992" ht="15.75" customHeight="1">
      <c r="A992" s="142"/>
      <c r="B992" s="138"/>
      <c r="C992" s="125"/>
      <c r="D992" s="124"/>
      <c r="E992" s="124"/>
      <c r="F992" s="124"/>
      <c r="G992" s="124"/>
      <c r="H992" s="124"/>
      <c r="I992" s="124"/>
      <c r="J992" s="124"/>
      <c r="K992" s="125"/>
      <c r="L992" s="124"/>
      <c r="M992" s="126"/>
    </row>
    <row r="993" ht="15.75" customHeight="1">
      <c r="A993" s="143"/>
      <c r="B993" s="137"/>
      <c r="C993" s="130"/>
      <c r="D993" s="62"/>
      <c r="E993" s="62"/>
      <c r="F993" s="62"/>
      <c r="G993" s="62"/>
      <c r="H993" s="62"/>
      <c r="I993" s="62"/>
      <c r="J993" s="62"/>
      <c r="K993" s="130"/>
      <c r="L993" s="130"/>
      <c r="M993" s="132"/>
    </row>
    <row r="994" ht="15.75" customHeight="1">
      <c r="A994" s="142"/>
      <c r="B994" s="138"/>
      <c r="C994" s="125"/>
      <c r="D994" s="124"/>
      <c r="E994" s="124"/>
      <c r="F994" s="124"/>
      <c r="G994" s="124"/>
      <c r="H994" s="124"/>
      <c r="I994" s="124"/>
      <c r="J994" s="124"/>
      <c r="K994" s="125"/>
      <c r="L994" s="125"/>
      <c r="M994" s="126"/>
    </row>
    <row r="995" ht="15.75" customHeight="1">
      <c r="A995" s="143"/>
      <c r="B995" s="137"/>
      <c r="C995" s="130"/>
      <c r="D995" s="62"/>
      <c r="E995" s="62"/>
      <c r="F995" s="62"/>
      <c r="G995" s="62"/>
      <c r="H995" s="62"/>
      <c r="I995" s="62"/>
      <c r="J995" s="62"/>
      <c r="K995" s="130"/>
      <c r="L995" s="62"/>
      <c r="M995" s="132"/>
    </row>
    <row r="996" ht="15.75" customHeight="1">
      <c r="A996" s="142"/>
      <c r="B996" s="138"/>
      <c r="C996" s="125"/>
      <c r="D996" s="124"/>
      <c r="E996" s="124"/>
      <c r="F996" s="124"/>
      <c r="G996" s="124"/>
      <c r="H996" s="124"/>
      <c r="I996" s="124"/>
      <c r="J996" s="124"/>
      <c r="K996" s="125"/>
      <c r="L996" s="125"/>
      <c r="M996" s="126"/>
    </row>
    <row r="997" ht="15.75" customHeight="1">
      <c r="A997" s="143"/>
      <c r="B997" s="137"/>
      <c r="C997" s="130"/>
      <c r="D997" s="62"/>
      <c r="E997" s="62"/>
      <c r="F997" s="62"/>
      <c r="G997" s="62"/>
      <c r="H997" s="62"/>
      <c r="I997" s="62"/>
      <c r="J997" s="62"/>
      <c r="K997" s="130"/>
      <c r="L997" s="62"/>
      <c r="M997" s="132"/>
    </row>
    <row r="998" ht="15.75" customHeight="1">
      <c r="A998" s="142"/>
      <c r="B998" s="138"/>
      <c r="C998" s="125"/>
      <c r="D998" s="124"/>
      <c r="E998" s="124"/>
      <c r="F998" s="124"/>
      <c r="G998" s="124"/>
      <c r="H998" s="124"/>
      <c r="I998" s="124"/>
      <c r="J998" s="124"/>
      <c r="K998" s="125"/>
      <c r="L998" s="125"/>
      <c r="M998" s="126"/>
    </row>
    <row r="999" ht="15.75" customHeight="1">
      <c r="A999" s="143"/>
      <c r="B999" s="137"/>
      <c r="C999" s="130"/>
      <c r="D999" s="62"/>
      <c r="E999" s="62"/>
      <c r="F999" s="62"/>
      <c r="G999" s="62"/>
      <c r="H999" s="62"/>
      <c r="I999" s="62"/>
      <c r="J999" s="62"/>
      <c r="K999" s="130"/>
      <c r="L999" s="130"/>
      <c r="M999" s="132"/>
    </row>
    <row r="1000" ht="15.75" customHeight="1">
      <c r="A1000" s="142"/>
      <c r="B1000" s="138"/>
      <c r="C1000" s="125"/>
      <c r="D1000" s="124"/>
      <c r="E1000" s="124"/>
      <c r="F1000" s="124"/>
      <c r="G1000" s="124"/>
      <c r="H1000" s="124"/>
      <c r="I1000" s="124"/>
      <c r="J1000" s="124"/>
      <c r="K1000" s="125"/>
      <c r="L1000" s="125"/>
      <c r="M1000" s="134"/>
    </row>
    <row r="1001" ht="15.75" customHeight="1">
      <c r="A1001" s="143"/>
      <c r="B1001" s="137"/>
      <c r="C1001" s="130"/>
      <c r="D1001" s="62"/>
      <c r="E1001" s="62"/>
      <c r="F1001" s="62"/>
      <c r="G1001" s="62"/>
      <c r="H1001" s="62"/>
      <c r="I1001" s="62"/>
      <c r="J1001" s="62"/>
      <c r="K1001" s="130"/>
      <c r="L1001" s="130"/>
      <c r="M1001" s="132"/>
    </row>
    <row r="1002" ht="15.75" customHeight="1">
      <c r="A1002" s="142"/>
      <c r="B1002" s="138"/>
      <c r="C1002" s="125"/>
      <c r="D1002" s="124"/>
      <c r="E1002" s="124"/>
      <c r="F1002" s="124"/>
      <c r="G1002" s="124"/>
      <c r="H1002" s="124"/>
      <c r="I1002" s="124"/>
      <c r="J1002" s="124"/>
      <c r="K1002" s="125"/>
      <c r="L1002" s="125"/>
      <c r="M1002" s="126"/>
    </row>
    <row r="1003" ht="15.75" customHeight="1">
      <c r="A1003" s="143"/>
      <c r="B1003" s="137"/>
      <c r="C1003" s="130"/>
      <c r="D1003" s="62"/>
      <c r="E1003" s="62"/>
      <c r="F1003" s="62"/>
      <c r="G1003" s="62"/>
      <c r="H1003" s="62"/>
      <c r="I1003" s="62"/>
      <c r="J1003" s="62"/>
      <c r="K1003" s="130"/>
      <c r="L1003" s="62"/>
      <c r="M1003" s="132"/>
    </row>
    <row r="1004" ht="15.75" customHeight="1">
      <c r="A1004" s="142"/>
      <c r="B1004" s="138"/>
      <c r="C1004" s="125"/>
      <c r="D1004" s="124"/>
      <c r="E1004" s="124"/>
      <c r="F1004" s="124"/>
      <c r="G1004" s="124"/>
      <c r="H1004" s="124"/>
      <c r="I1004" s="124"/>
      <c r="J1004" s="124"/>
      <c r="K1004" s="125"/>
      <c r="L1004" s="124"/>
      <c r="M1004" s="126"/>
    </row>
    <row r="1005" ht="15.75" customHeight="1">
      <c r="A1005" s="143"/>
      <c r="B1005" s="137"/>
      <c r="C1005" s="130"/>
      <c r="D1005" s="62"/>
      <c r="E1005" s="62"/>
      <c r="F1005" s="62"/>
      <c r="G1005" s="62"/>
      <c r="H1005" s="62"/>
      <c r="I1005" s="62"/>
      <c r="J1005" s="62"/>
      <c r="K1005" s="130"/>
      <c r="L1005" s="62"/>
      <c r="M1005" s="132"/>
    </row>
    <row r="1006" ht="15.75" customHeight="1">
      <c r="A1006" s="142"/>
      <c r="B1006" s="138"/>
      <c r="C1006" s="125"/>
      <c r="D1006" s="124"/>
      <c r="E1006" s="124"/>
      <c r="F1006" s="124"/>
      <c r="G1006" s="124"/>
      <c r="H1006" s="124"/>
      <c r="I1006" s="124"/>
      <c r="J1006" s="124"/>
      <c r="K1006" s="125"/>
      <c r="L1006" s="124"/>
      <c r="M1006" s="126"/>
    </row>
    <row r="1007" ht="15.75" customHeight="1">
      <c r="A1007" s="143"/>
      <c r="B1007" s="137"/>
      <c r="C1007" s="130"/>
      <c r="D1007" s="62"/>
      <c r="E1007" s="62"/>
      <c r="F1007" s="62"/>
      <c r="G1007" s="62"/>
      <c r="H1007" s="62"/>
      <c r="I1007" s="62"/>
      <c r="J1007" s="62"/>
      <c r="K1007" s="130"/>
      <c r="L1007" s="130"/>
      <c r="M1007" s="132"/>
    </row>
    <row r="1008" ht="15.75" customHeight="1">
      <c r="A1008" s="142"/>
      <c r="B1008" s="138"/>
      <c r="C1008" s="125"/>
      <c r="D1008" s="124"/>
      <c r="E1008" s="124"/>
      <c r="F1008" s="124"/>
      <c r="G1008" s="124"/>
      <c r="H1008" s="124"/>
      <c r="I1008" s="124"/>
      <c r="J1008" s="124"/>
      <c r="K1008" s="125"/>
      <c r="L1008" s="125"/>
      <c r="M1008" s="126"/>
    </row>
    <row r="1009" ht="15.75" customHeight="1">
      <c r="A1009" s="143"/>
      <c r="B1009" s="137"/>
      <c r="C1009" s="130"/>
      <c r="D1009" s="62"/>
      <c r="E1009" s="62"/>
      <c r="F1009" s="62"/>
      <c r="G1009" s="62"/>
      <c r="H1009" s="62"/>
      <c r="I1009" s="62"/>
      <c r="J1009" s="62"/>
      <c r="K1009" s="130"/>
      <c r="L1009" s="130"/>
      <c r="M1009" s="132"/>
    </row>
    <row r="1010" ht="15.75" customHeight="1">
      <c r="A1010" s="142"/>
      <c r="B1010" s="138"/>
      <c r="C1010" s="125"/>
      <c r="D1010" s="124"/>
      <c r="E1010" s="124"/>
      <c r="F1010" s="124"/>
      <c r="G1010" s="124"/>
      <c r="H1010" s="124"/>
      <c r="I1010" s="124"/>
      <c r="J1010" s="124"/>
      <c r="K1010" s="125"/>
      <c r="L1010" s="125"/>
      <c r="M1010" s="126"/>
    </row>
    <row r="1011" ht="15.75" customHeight="1">
      <c r="A1011" s="143"/>
      <c r="B1011" s="137"/>
      <c r="C1011" s="130"/>
      <c r="D1011" s="62"/>
      <c r="E1011" s="62"/>
      <c r="F1011" s="62"/>
      <c r="G1011" s="62"/>
      <c r="H1011" s="62"/>
      <c r="I1011" s="62"/>
      <c r="J1011" s="62"/>
      <c r="K1011" s="130"/>
      <c r="L1011" s="62"/>
      <c r="M1011" s="132"/>
    </row>
    <row r="1012" ht="15.75" customHeight="1">
      <c r="A1012" s="142"/>
      <c r="B1012" s="138"/>
      <c r="C1012" s="125"/>
      <c r="D1012" s="124"/>
      <c r="E1012" s="124"/>
      <c r="F1012" s="124"/>
      <c r="G1012" s="124"/>
      <c r="H1012" s="124"/>
      <c r="I1012" s="124"/>
      <c r="J1012" s="124"/>
      <c r="K1012" s="125"/>
      <c r="L1012" s="125"/>
      <c r="M1012" s="126"/>
    </row>
    <row r="1013" ht="15.75" customHeight="1">
      <c r="A1013" s="143"/>
      <c r="B1013" s="137"/>
      <c r="C1013" s="130"/>
      <c r="D1013" s="62"/>
      <c r="E1013" s="62"/>
      <c r="F1013" s="62"/>
      <c r="G1013" s="62"/>
      <c r="H1013" s="62"/>
      <c r="I1013" s="62"/>
      <c r="J1013" s="62"/>
      <c r="K1013" s="130"/>
      <c r="L1013" s="130"/>
      <c r="M1013" s="132"/>
    </row>
    <row r="1014" ht="15.75" customHeight="1">
      <c r="A1014" s="142"/>
      <c r="B1014" s="138"/>
      <c r="C1014" s="125"/>
      <c r="D1014" s="124"/>
      <c r="E1014" s="124"/>
      <c r="F1014" s="124"/>
      <c r="G1014" s="124"/>
      <c r="H1014" s="124"/>
      <c r="I1014" s="124"/>
      <c r="J1014" s="124"/>
      <c r="K1014" s="125"/>
      <c r="L1014" s="125"/>
      <c r="M1014" s="126"/>
    </row>
    <row r="1015" ht="15.75" customHeight="1">
      <c r="A1015" s="143"/>
      <c r="B1015" s="137"/>
      <c r="C1015" s="130"/>
      <c r="D1015" s="62"/>
      <c r="E1015" s="62"/>
      <c r="F1015" s="62"/>
      <c r="G1015" s="62"/>
      <c r="H1015" s="62"/>
      <c r="I1015" s="62"/>
      <c r="J1015" s="62"/>
      <c r="K1015" s="130"/>
      <c r="L1015" s="62"/>
      <c r="M1015" s="132"/>
    </row>
    <row r="1016" ht="15.75" customHeight="1">
      <c r="A1016" s="142"/>
      <c r="B1016" s="138"/>
      <c r="C1016" s="125"/>
      <c r="D1016" s="124"/>
      <c r="E1016" s="124"/>
      <c r="F1016" s="124"/>
      <c r="G1016" s="124"/>
      <c r="H1016" s="124"/>
      <c r="I1016" s="124"/>
      <c r="J1016" s="124"/>
      <c r="K1016" s="125"/>
      <c r="L1016" s="125"/>
      <c r="M1016" s="126"/>
    </row>
    <row r="1017" ht="15.75" customHeight="1">
      <c r="A1017" s="143"/>
      <c r="B1017" s="137"/>
      <c r="C1017" s="130"/>
      <c r="D1017" s="62"/>
      <c r="E1017" s="62"/>
      <c r="F1017" s="62"/>
      <c r="G1017" s="62"/>
      <c r="H1017" s="62"/>
      <c r="I1017" s="62"/>
      <c r="J1017" s="62"/>
      <c r="K1017" s="130"/>
      <c r="L1017" s="130"/>
      <c r="M1017" s="132"/>
    </row>
    <row r="1018" ht="15.75" customHeight="1">
      <c r="A1018" s="142"/>
      <c r="B1018" s="138"/>
      <c r="C1018" s="125"/>
      <c r="D1018" s="124"/>
      <c r="E1018" s="124"/>
      <c r="F1018" s="124"/>
      <c r="G1018" s="124"/>
      <c r="H1018" s="124"/>
      <c r="I1018" s="124"/>
      <c r="J1018" s="124"/>
      <c r="K1018" s="125"/>
      <c r="L1018" s="124"/>
      <c r="M1018" s="126"/>
    </row>
    <row r="1019" ht="15.75" customHeight="1">
      <c r="A1019" s="143"/>
      <c r="B1019" s="137"/>
      <c r="C1019" s="130"/>
      <c r="D1019" s="62"/>
      <c r="E1019" s="62"/>
      <c r="F1019" s="62"/>
      <c r="G1019" s="62"/>
      <c r="H1019" s="62"/>
      <c r="I1019" s="62"/>
      <c r="J1019" s="62"/>
      <c r="K1019" s="130"/>
      <c r="L1019" s="130"/>
      <c r="M1019" s="132"/>
    </row>
    <row r="1020" ht="15.75" customHeight="1">
      <c r="A1020" s="142"/>
      <c r="B1020" s="138"/>
      <c r="C1020" s="125"/>
      <c r="D1020" s="124"/>
      <c r="E1020" s="124"/>
      <c r="F1020" s="124"/>
      <c r="G1020" s="124"/>
      <c r="H1020" s="124"/>
      <c r="I1020" s="124"/>
      <c r="J1020" s="124"/>
      <c r="K1020" s="125"/>
      <c r="L1020" s="125"/>
      <c r="M1020" s="126"/>
    </row>
    <row r="1021" ht="15.75" customHeight="1">
      <c r="A1021" s="143"/>
      <c r="B1021" s="137"/>
      <c r="C1021" s="130"/>
      <c r="D1021" s="62"/>
      <c r="E1021" s="62"/>
      <c r="F1021" s="62"/>
      <c r="G1021" s="62"/>
      <c r="H1021" s="62"/>
      <c r="I1021" s="62"/>
      <c r="J1021" s="62"/>
      <c r="K1021" s="130"/>
      <c r="L1021" s="62"/>
      <c r="M1021" s="132"/>
    </row>
    <row r="1022" ht="15.75" customHeight="1">
      <c r="A1022" s="142"/>
      <c r="B1022" s="138"/>
      <c r="C1022" s="125"/>
      <c r="D1022" s="124"/>
      <c r="E1022" s="124"/>
      <c r="F1022" s="124"/>
      <c r="G1022" s="124"/>
      <c r="H1022" s="124"/>
      <c r="I1022" s="124"/>
      <c r="J1022" s="124"/>
      <c r="K1022" s="125"/>
      <c r="L1022" s="124"/>
      <c r="M1022" s="126"/>
    </row>
    <row r="1023" ht="15.75" customHeight="1">
      <c r="A1023" s="143"/>
      <c r="B1023" s="137"/>
      <c r="C1023" s="130"/>
      <c r="D1023" s="62"/>
      <c r="E1023" s="62"/>
      <c r="F1023" s="62"/>
      <c r="G1023" s="62"/>
      <c r="H1023" s="62"/>
      <c r="I1023" s="62"/>
      <c r="J1023" s="62"/>
      <c r="K1023" s="130"/>
      <c r="L1023" s="130"/>
      <c r="M1023" s="132"/>
    </row>
    <row r="1024" ht="15.75" customHeight="1">
      <c r="A1024" s="142"/>
      <c r="B1024" s="138"/>
      <c r="C1024" s="125"/>
      <c r="D1024" s="124"/>
      <c r="E1024" s="124"/>
      <c r="F1024" s="124"/>
      <c r="G1024" s="124"/>
      <c r="H1024" s="124"/>
      <c r="I1024" s="124"/>
      <c r="J1024" s="124"/>
      <c r="K1024" s="125"/>
      <c r="L1024" s="125"/>
      <c r="M1024" s="126"/>
    </row>
    <row r="1025" ht="15.75" customHeight="1">
      <c r="A1025" s="143"/>
      <c r="B1025" s="137"/>
      <c r="C1025" s="130"/>
      <c r="D1025" s="62"/>
      <c r="E1025" s="62"/>
      <c r="F1025" s="62"/>
      <c r="G1025" s="62"/>
      <c r="H1025" s="62"/>
      <c r="I1025" s="62"/>
      <c r="J1025" s="62"/>
      <c r="K1025" s="130"/>
      <c r="L1025" s="130"/>
      <c r="M1025" s="132"/>
    </row>
    <row r="1026" ht="15.75" customHeight="1">
      <c r="A1026" s="142"/>
      <c r="B1026" s="138"/>
      <c r="C1026" s="125"/>
      <c r="D1026" s="124"/>
      <c r="E1026" s="124"/>
      <c r="F1026" s="124"/>
      <c r="G1026" s="124"/>
      <c r="H1026" s="124"/>
      <c r="I1026" s="124"/>
      <c r="J1026" s="124"/>
      <c r="K1026" s="125"/>
      <c r="L1026" s="125"/>
      <c r="M1026" s="126"/>
    </row>
    <row r="1027" ht="15.75" customHeight="1">
      <c r="A1027" s="143"/>
      <c r="B1027" s="137"/>
      <c r="C1027" s="130"/>
      <c r="D1027" s="62"/>
      <c r="E1027" s="62"/>
      <c r="F1027" s="62"/>
      <c r="G1027" s="62"/>
      <c r="H1027" s="62"/>
      <c r="I1027" s="62"/>
      <c r="J1027" s="62"/>
      <c r="K1027" s="130"/>
      <c r="L1027" s="130"/>
      <c r="M1027" s="132"/>
    </row>
    <row r="1028" ht="15.75" customHeight="1">
      <c r="A1028" s="142"/>
      <c r="B1028" s="138"/>
      <c r="C1028" s="125"/>
      <c r="D1028" s="124"/>
      <c r="E1028" s="124"/>
      <c r="F1028" s="124"/>
      <c r="G1028" s="124"/>
      <c r="H1028" s="124"/>
      <c r="I1028" s="124"/>
      <c r="J1028" s="124"/>
      <c r="K1028" s="125"/>
      <c r="L1028" s="125"/>
      <c r="M1028" s="126"/>
    </row>
    <row r="1029" ht="15.75" customHeight="1">
      <c r="A1029" s="143"/>
      <c r="B1029" s="137"/>
      <c r="C1029" s="130"/>
      <c r="D1029" s="62"/>
      <c r="E1029" s="62"/>
      <c r="F1029" s="62"/>
      <c r="G1029" s="62"/>
      <c r="H1029" s="62"/>
      <c r="I1029" s="62"/>
      <c r="J1029" s="62"/>
      <c r="K1029" s="130"/>
      <c r="L1029" s="130"/>
      <c r="M1029" s="132"/>
    </row>
    <row r="1030" ht="15.75" customHeight="1">
      <c r="A1030" s="142"/>
      <c r="B1030" s="138"/>
      <c r="C1030" s="125"/>
      <c r="D1030" s="124"/>
      <c r="E1030" s="124"/>
      <c r="F1030" s="124"/>
      <c r="G1030" s="124"/>
      <c r="H1030" s="124"/>
      <c r="I1030" s="124"/>
      <c r="J1030" s="124"/>
      <c r="K1030" s="125"/>
      <c r="L1030" s="125"/>
      <c r="M1030" s="126"/>
    </row>
    <row r="1031" ht="15.75" customHeight="1">
      <c r="A1031" s="143"/>
      <c r="B1031" s="137"/>
      <c r="C1031" s="130"/>
      <c r="D1031" s="62"/>
      <c r="E1031" s="62"/>
      <c r="F1031" s="62"/>
      <c r="G1031" s="62"/>
      <c r="H1031" s="62"/>
      <c r="I1031" s="62"/>
      <c r="J1031" s="62"/>
      <c r="K1031" s="130"/>
      <c r="L1031" s="130"/>
      <c r="M1031" s="132"/>
    </row>
    <row r="1032" ht="15.75" customHeight="1">
      <c r="A1032" s="142"/>
      <c r="B1032" s="138"/>
      <c r="C1032" s="125"/>
      <c r="D1032" s="124"/>
      <c r="E1032" s="124"/>
      <c r="F1032" s="124"/>
      <c r="G1032" s="124"/>
      <c r="H1032" s="124"/>
      <c r="I1032" s="124"/>
      <c r="J1032" s="124"/>
      <c r="K1032" s="125"/>
      <c r="L1032" s="125"/>
      <c r="M1032" s="126"/>
    </row>
    <row r="1033" ht="15.75" customHeight="1">
      <c r="A1033" s="143"/>
      <c r="B1033" s="137"/>
      <c r="C1033" s="130"/>
      <c r="D1033" s="62"/>
      <c r="E1033" s="62"/>
      <c r="F1033" s="62"/>
      <c r="G1033" s="62"/>
      <c r="H1033" s="62"/>
      <c r="I1033" s="62"/>
      <c r="J1033" s="62"/>
      <c r="K1033" s="130"/>
      <c r="L1033" s="130"/>
      <c r="M1033" s="132"/>
    </row>
    <row r="1034" ht="15.75" customHeight="1">
      <c r="A1034" s="142"/>
      <c r="B1034" s="138"/>
      <c r="C1034" s="125"/>
      <c r="D1034" s="124"/>
      <c r="E1034" s="124"/>
      <c r="F1034" s="124"/>
      <c r="G1034" s="124"/>
      <c r="H1034" s="124"/>
      <c r="I1034" s="124"/>
      <c r="J1034" s="124"/>
      <c r="K1034" s="125"/>
      <c r="L1034" s="125"/>
      <c r="M1034" s="126"/>
    </row>
    <row r="1035" ht="15.75" customHeight="1">
      <c r="A1035" s="143"/>
      <c r="B1035" s="137"/>
      <c r="C1035" s="130"/>
      <c r="D1035" s="62"/>
      <c r="E1035" s="62"/>
      <c r="F1035" s="62"/>
      <c r="G1035" s="62"/>
      <c r="H1035" s="62"/>
      <c r="I1035" s="62"/>
      <c r="J1035" s="62"/>
      <c r="K1035" s="130"/>
      <c r="L1035" s="62"/>
      <c r="M1035" s="132"/>
    </row>
    <row r="1036" ht="15.75" customHeight="1">
      <c r="A1036" s="142"/>
      <c r="B1036" s="138"/>
      <c r="C1036" s="125"/>
      <c r="D1036" s="124"/>
      <c r="E1036" s="124"/>
      <c r="F1036" s="124"/>
      <c r="G1036" s="124"/>
      <c r="H1036" s="124"/>
      <c r="I1036" s="124"/>
      <c r="J1036" s="124"/>
      <c r="K1036" s="125"/>
      <c r="L1036" s="125"/>
      <c r="M1036" s="126"/>
    </row>
    <row r="1037" ht="15.75" customHeight="1">
      <c r="A1037" s="143"/>
      <c r="B1037" s="137"/>
      <c r="C1037" s="130"/>
      <c r="D1037" s="62"/>
      <c r="E1037" s="62"/>
      <c r="F1037" s="62"/>
      <c r="G1037" s="62"/>
      <c r="H1037" s="62"/>
      <c r="I1037" s="62"/>
      <c r="J1037" s="62"/>
      <c r="K1037" s="130"/>
      <c r="L1037" s="130"/>
      <c r="M1037" s="132"/>
    </row>
    <row r="1038" ht="15.75" customHeight="1">
      <c r="A1038" s="142"/>
      <c r="B1038" s="138"/>
      <c r="C1038" s="125"/>
      <c r="D1038" s="124"/>
      <c r="E1038" s="124"/>
      <c r="F1038" s="124"/>
      <c r="G1038" s="124"/>
      <c r="H1038" s="124"/>
      <c r="I1038" s="124"/>
      <c r="J1038" s="124"/>
      <c r="K1038" s="125"/>
      <c r="L1038" s="125"/>
      <c r="M1038" s="126"/>
    </row>
    <row r="1039" ht="15.75" customHeight="1">
      <c r="A1039" s="143"/>
      <c r="B1039" s="137"/>
      <c r="C1039" s="130"/>
      <c r="D1039" s="62"/>
      <c r="E1039" s="62"/>
      <c r="F1039" s="62"/>
      <c r="G1039" s="62"/>
      <c r="H1039" s="62"/>
      <c r="I1039" s="62"/>
      <c r="J1039" s="62"/>
      <c r="K1039" s="130"/>
      <c r="L1039" s="130"/>
      <c r="M1039" s="132"/>
    </row>
    <row r="1040" ht="15.75" customHeight="1">
      <c r="A1040" s="142"/>
      <c r="B1040" s="138"/>
      <c r="C1040" s="125"/>
      <c r="D1040" s="124"/>
      <c r="E1040" s="124"/>
      <c r="F1040" s="124"/>
      <c r="G1040" s="124"/>
      <c r="H1040" s="124"/>
      <c r="I1040" s="124"/>
      <c r="J1040" s="124"/>
      <c r="K1040" s="125"/>
      <c r="L1040" s="125"/>
      <c r="M1040" s="126"/>
    </row>
    <row r="1041" ht="15.75" customHeight="1">
      <c r="A1041" s="143"/>
      <c r="B1041" s="137"/>
      <c r="C1041" s="130"/>
      <c r="D1041" s="62"/>
      <c r="E1041" s="62"/>
      <c r="F1041" s="62"/>
      <c r="G1041" s="62"/>
      <c r="H1041" s="62"/>
      <c r="I1041" s="62"/>
      <c r="J1041" s="62"/>
      <c r="K1041" s="130"/>
      <c r="L1041" s="62"/>
      <c r="M1041" s="132"/>
    </row>
    <row r="1042" ht="15.75" customHeight="1">
      <c r="A1042" s="142"/>
      <c r="B1042" s="138"/>
      <c r="C1042" s="125"/>
      <c r="D1042" s="124"/>
      <c r="E1042" s="124"/>
      <c r="F1042" s="124"/>
      <c r="G1042" s="124"/>
      <c r="H1042" s="124"/>
      <c r="I1042" s="124"/>
      <c r="J1042" s="124"/>
      <c r="K1042" s="125"/>
      <c r="L1042" s="124"/>
      <c r="M1042" s="126"/>
    </row>
    <row r="1043" ht="15.75" customHeight="1">
      <c r="A1043" s="143"/>
      <c r="B1043" s="137"/>
      <c r="C1043" s="130"/>
      <c r="D1043" s="62"/>
      <c r="E1043" s="62"/>
      <c r="F1043" s="62"/>
      <c r="G1043" s="62"/>
      <c r="H1043" s="62"/>
      <c r="I1043" s="62"/>
      <c r="J1043" s="62"/>
      <c r="K1043" s="130"/>
      <c r="L1043" s="130"/>
      <c r="M1043" s="132"/>
    </row>
    <row r="1044" ht="15.75" customHeight="1">
      <c r="A1044" s="142"/>
      <c r="B1044" s="138"/>
      <c r="C1044" s="125"/>
      <c r="D1044" s="124"/>
      <c r="E1044" s="124"/>
      <c r="F1044" s="124"/>
      <c r="G1044" s="124"/>
      <c r="H1044" s="124"/>
      <c r="I1044" s="124"/>
      <c r="J1044" s="124"/>
      <c r="K1044" s="125"/>
      <c r="L1044" s="125"/>
      <c r="M1044" s="126"/>
    </row>
    <row r="1045" ht="15.75" customHeight="1">
      <c r="A1045" s="143"/>
      <c r="B1045" s="137"/>
      <c r="C1045" s="130"/>
      <c r="D1045" s="62"/>
      <c r="E1045" s="62"/>
      <c r="F1045" s="62"/>
      <c r="G1045" s="62"/>
      <c r="H1045" s="62"/>
      <c r="I1045" s="62"/>
      <c r="J1045" s="62"/>
      <c r="K1045" s="130"/>
      <c r="L1045" s="62"/>
      <c r="M1045" s="132"/>
    </row>
    <row r="1046" ht="15.75" customHeight="1">
      <c r="A1046" s="142"/>
      <c r="B1046" s="138"/>
      <c r="C1046" s="125"/>
      <c r="D1046" s="124"/>
      <c r="E1046" s="124"/>
      <c r="F1046" s="124"/>
      <c r="G1046" s="124"/>
      <c r="H1046" s="124"/>
      <c r="I1046" s="124"/>
      <c r="J1046" s="124"/>
      <c r="K1046" s="125"/>
      <c r="L1046" s="124"/>
      <c r="M1046" s="126"/>
    </row>
    <row r="1047" ht="15.75" customHeight="1">
      <c r="A1047" s="143"/>
      <c r="B1047" s="137"/>
      <c r="C1047" s="130"/>
      <c r="D1047" s="62"/>
      <c r="E1047" s="62"/>
      <c r="F1047" s="62"/>
      <c r="G1047" s="62"/>
      <c r="H1047" s="62"/>
      <c r="I1047" s="62"/>
      <c r="J1047" s="62"/>
      <c r="K1047" s="130"/>
      <c r="L1047" s="62"/>
      <c r="M1047" s="132"/>
    </row>
    <row r="1048" ht="15.75" customHeight="1">
      <c r="A1048" s="142"/>
      <c r="B1048" s="138"/>
      <c r="C1048" s="125"/>
      <c r="D1048" s="124"/>
      <c r="E1048" s="124"/>
      <c r="F1048" s="124"/>
      <c r="G1048" s="124"/>
      <c r="H1048" s="124"/>
      <c r="I1048" s="124"/>
      <c r="J1048" s="124"/>
      <c r="K1048" s="125"/>
      <c r="L1048" s="125"/>
      <c r="M1048" s="126"/>
    </row>
    <row r="1049" ht="15.75" customHeight="1">
      <c r="A1049" s="143"/>
      <c r="B1049" s="137"/>
      <c r="C1049" s="130"/>
      <c r="D1049" s="62"/>
      <c r="E1049" s="62"/>
      <c r="F1049" s="62"/>
      <c r="G1049" s="62"/>
      <c r="H1049" s="62"/>
      <c r="I1049" s="62"/>
      <c r="J1049" s="62"/>
      <c r="K1049" s="130"/>
      <c r="L1049" s="62"/>
      <c r="M1049" s="132"/>
    </row>
    <row r="1050" ht="15.75" customHeight="1">
      <c r="A1050" s="142"/>
      <c r="B1050" s="138"/>
      <c r="C1050" s="125"/>
      <c r="D1050" s="124"/>
      <c r="E1050" s="124"/>
      <c r="F1050" s="124"/>
      <c r="G1050" s="124"/>
      <c r="H1050" s="124"/>
      <c r="I1050" s="124"/>
      <c r="J1050" s="124"/>
      <c r="K1050" s="125"/>
      <c r="L1050" s="125"/>
      <c r="M1050" s="126"/>
    </row>
    <row r="1051" ht="15.75" customHeight="1">
      <c r="A1051" s="143"/>
      <c r="B1051" s="137"/>
      <c r="C1051" s="130"/>
      <c r="D1051" s="62"/>
      <c r="E1051" s="62"/>
      <c r="F1051" s="62"/>
      <c r="G1051" s="62"/>
      <c r="H1051" s="62"/>
      <c r="I1051" s="62"/>
      <c r="J1051" s="62"/>
      <c r="K1051" s="130"/>
      <c r="L1051" s="130"/>
      <c r="M1051" s="132"/>
    </row>
    <row r="1052" ht="15.75" customHeight="1">
      <c r="A1052" s="142"/>
      <c r="B1052" s="138"/>
      <c r="C1052" s="125"/>
      <c r="D1052" s="124"/>
      <c r="E1052" s="124"/>
      <c r="F1052" s="124"/>
      <c r="G1052" s="124"/>
      <c r="H1052" s="124"/>
      <c r="I1052" s="124"/>
      <c r="J1052" s="124"/>
      <c r="K1052" s="125"/>
      <c r="L1052" s="125"/>
      <c r="M1052" s="126"/>
    </row>
    <row r="1053" ht="15.75" customHeight="1">
      <c r="A1053" s="143"/>
      <c r="B1053" s="137"/>
      <c r="C1053" s="130"/>
      <c r="D1053" s="62"/>
      <c r="E1053" s="62"/>
      <c r="F1053" s="62"/>
      <c r="G1053" s="62"/>
      <c r="H1053" s="62"/>
      <c r="I1053" s="62"/>
      <c r="J1053" s="62"/>
      <c r="K1053" s="130"/>
      <c r="L1053" s="62"/>
      <c r="M1053" s="132"/>
    </row>
    <row r="1054" ht="15.75" customHeight="1">
      <c r="A1054" s="142"/>
      <c r="B1054" s="138"/>
      <c r="C1054" s="125"/>
      <c r="D1054" s="124"/>
      <c r="E1054" s="124"/>
      <c r="F1054" s="124"/>
      <c r="G1054" s="124"/>
      <c r="H1054" s="124"/>
      <c r="I1054" s="124"/>
      <c r="J1054" s="124"/>
      <c r="K1054" s="125"/>
      <c r="L1054" s="125"/>
      <c r="M1054" s="126"/>
    </row>
    <row r="1055" ht="15.75" customHeight="1">
      <c r="A1055" s="143"/>
      <c r="B1055" s="137"/>
      <c r="C1055" s="130"/>
      <c r="D1055" s="62"/>
      <c r="E1055" s="62"/>
      <c r="F1055" s="62"/>
      <c r="G1055" s="62"/>
      <c r="H1055" s="62"/>
      <c r="I1055" s="62"/>
      <c r="J1055" s="62"/>
      <c r="K1055" s="130"/>
      <c r="L1055" s="130"/>
      <c r="M1055" s="132"/>
    </row>
    <row r="1056" ht="15.75" customHeight="1">
      <c r="A1056" s="142"/>
      <c r="B1056" s="138"/>
      <c r="C1056" s="125"/>
      <c r="D1056" s="124"/>
      <c r="E1056" s="124"/>
      <c r="F1056" s="124"/>
      <c r="G1056" s="124"/>
      <c r="H1056" s="124"/>
      <c r="I1056" s="124"/>
      <c r="J1056" s="124"/>
      <c r="K1056" s="125"/>
      <c r="L1056" s="125"/>
      <c r="M1056" s="126"/>
    </row>
    <row r="1057" ht="15.75" customHeight="1">
      <c r="A1057" s="143"/>
      <c r="B1057" s="137"/>
      <c r="C1057" s="130"/>
      <c r="D1057" s="62"/>
      <c r="E1057" s="62"/>
      <c r="F1057" s="62"/>
      <c r="G1057" s="62"/>
      <c r="H1057" s="62"/>
      <c r="I1057" s="62"/>
      <c r="J1057" s="62"/>
      <c r="K1057" s="130"/>
      <c r="L1057" s="130"/>
      <c r="M1057" s="132"/>
    </row>
    <row r="1058" ht="15.75" customHeight="1">
      <c r="A1058" s="142"/>
      <c r="B1058" s="138"/>
      <c r="C1058" s="125"/>
      <c r="D1058" s="124"/>
      <c r="E1058" s="124"/>
      <c r="F1058" s="124"/>
      <c r="G1058" s="124"/>
      <c r="H1058" s="124"/>
      <c r="I1058" s="124"/>
      <c r="J1058" s="124"/>
      <c r="K1058" s="125"/>
      <c r="L1058" s="124"/>
      <c r="M1058" s="126"/>
    </row>
    <row r="1059" ht="15.75" customHeight="1">
      <c r="A1059" s="143"/>
      <c r="B1059" s="137"/>
      <c r="C1059" s="130"/>
      <c r="D1059" s="62"/>
      <c r="E1059" s="62"/>
      <c r="F1059" s="62"/>
      <c r="G1059" s="62"/>
      <c r="H1059" s="62"/>
      <c r="I1059" s="62"/>
      <c r="J1059" s="62"/>
      <c r="K1059" s="130"/>
      <c r="L1059" s="130"/>
      <c r="M1059" s="132"/>
    </row>
    <row r="1060" ht="15.75" customHeight="1">
      <c r="A1060" s="142"/>
      <c r="B1060" s="138"/>
      <c r="C1060" s="125"/>
      <c r="D1060" s="124"/>
      <c r="E1060" s="124"/>
      <c r="F1060" s="124"/>
      <c r="G1060" s="124"/>
      <c r="H1060" s="124"/>
      <c r="I1060" s="124"/>
      <c r="J1060" s="124"/>
      <c r="K1060" s="125"/>
      <c r="L1060" s="125"/>
      <c r="M1060" s="126"/>
    </row>
    <row r="1061" ht="15.75" customHeight="1">
      <c r="A1061" s="143"/>
      <c r="B1061" s="137"/>
      <c r="C1061" s="130"/>
      <c r="D1061" s="62"/>
      <c r="E1061" s="62"/>
      <c r="F1061" s="62"/>
      <c r="G1061" s="62"/>
      <c r="H1061" s="62"/>
      <c r="I1061" s="62"/>
      <c r="J1061" s="62"/>
      <c r="K1061" s="130"/>
      <c r="L1061" s="130"/>
      <c r="M1061" s="132"/>
    </row>
    <row r="1062" ht="15.75" customHeight="1">
      <c r="A1062" s="142"/>
      <c r="B1062" s="138"/>
      <c r="C1062" s="125"/>
      <c r="D1062" s="124"/>
      <c r="E1062" s="124"/>
      <c r="F1062" s="124"/>
      <c r="G1062" s="124"/>
      <c r="H1062" s="124"/>
      <c r="I1062" s="124"/>
      <c r="J1062" s="124"/>
      <c r="K1062" s="125"/>
      <c r="L1062" s="125"/>
      <c r="M1062" s="134"/>
    </row>
    <row r="1063" ht="15.75" customHeight="1">
      <c r="A1063" s="143"/>
      <c r="B1063" s="137"/>
      <c r="C1063" s="130"/>
      <c r="D1063" s="62"/>
      <c r="E1063" s="62"/>
      <c r="F1063" s="62"/>
      <c r="G1063" s="62"/>
      <c r="H1063" s="62"/>
      <c r="I1063" s="62"/>
      <c r="J1063" s="62"/>
      <c r="K1063" s="130"/>
      <c r="L1063" s="62"/>
      <c r="M1063" s="132"/>
    </row>
    <row r="1064" ht="15.75" customHeight="1">
      <c r="A1064" s="142"/>
      <c r="B1064" s="138"/>
      <c r="C1064" s="125"/>
      <c r="D1064" s="124"/>
      <c r="E1064" s="124"/>
      <c r="F1064" s="124"/>
      <c r="G1064" s="124"/>
      <c r="H1064" s="124"/>
      <c r="I1064" s="124"/>
      <c r="J1064" s="124"/>
      <c r="K1064" s="125"/>
      <c r="L1064" s="125"/>
      <c r="M1064" s="126"/>
    </row>
    <row r="1065" ht="15.75" customHeight="1">
      <c r="A1065" s="143"/>
      <c r="B1065" s="137"/>
      <c r="C1065" s="130"/>
      <c r="D1065" s="62"/>
      <c r="E1065" s="62"/>
      <c r="F1065" s="62"/>
      <c r="G1065" s="62"/>
      <c r="H1065" s="62"/>
      <c r="I1065" s="62"/>
      <c r="J1065" s="62"/>
      <c r="K1065" s="130"/>
      <c r="L1065" s="130"/>
      <c r="M1065" s="132"/>
    </row>
    <row r="1066" ht="15.75" customHeight="1">
      <c r="A1066" s="142"/>
      <c r="B1066" s="138"/>
      <c r="C1066" s="125"/>
      <c r="D1066" s="124"/>
      <c r="E1066" s="124"/>
      <c r="F1066" s="124"/>
      <c r="G1066" s="124"/>
      <c r="H1066" s="124"/>
      <c r="I1066" s="124"/>
      <c r="J1066" s="124"/>
      <c r="K1066" s="125"/>
      <c r="L1066" s="124"/>
      <c r="M1066" s="126"/>
    </row>
    <row r="1067" ht="15.75" customHeight="1">
      <c r="A1067" s="143"/>
      <c r="B1067" s="137"/>
      <c r="C1067" s="130"/>
      <c r="D1067" s="62"/>
      <c r="E1067" s="62"/>
      <c r="F1067" s="62"/>
      <c r="G1067" s="62"/>
      <c r="H1067" s="62"/>
      <c r="I1067" s="62"/>
      <c r="J1067" s="62"/>
      <c r="K1067" s="130"/>
      <c r="L1067" s="130"/>
      <c r="M1067" s="132"/>
    </row>
    <row r="1068" ht="15.75" customHeight="1">
      <c r="A1068" s="142"/>
      <c r="B1068" s="138"/>
      <c r="C1068" s="125"/>
      <c r="D1068" s="124"/>
      <c r="E1068" s="124"/>
      <c r="F1068" s="124"/>
      <c r="G1068" s="124"/>
      <c r="H1068" s="124"/>
      <c r="I1068" s="124"/>
      <c r="J1068" s="124"/>
      <c r="K1068" s="125"/>
      <c r="L1068" s="125"/>
      <c r="M1068" s="126"/>
    </row>
    <row r="1069" ht="15.75" customHeight="1">
      <c r="A1069" s="143"/>
      <c r="B1069" s="137"/>
      <c r="C1069" s="130"/>
      <c r="D1069" s="62"/>
      <c r="E1069" s="62"/>
      <c r="F1069" s="62"/>
      <c r="G1069" s="62"/>
      <c r="H1069" s="62"/>
      <c r="I1069" s="62"/>
      <c r="J1069" s="62"/>
      <c r="K1069" s="130"/>
      <c r="L1069" s="130"/>
      <c r="M1069" s="133"/>
    </row>
    <row r="1070" ht="15.75" customHeight="1">
      <c r="A1070" s="142"/>
      <c r="B1070" s="138"/>
      <c r="C1070" s="125"/>
      <c r="D1070" s="124"/>
      <c r="E1070" s="124"/>
      <c r="F1070" s="124"/>
      <c r="G1070" s="124"/>
      <c r="H1070" s="124"/>
      <c r="I1070" s="124"/>
      <c r="J1070" s="124"/>
      <c r="K1070" s="125"/>
      <c r="L1070" s="124"/>
      <c r="M1070" s="126"/>
    </row>
    <row r="1071" ht="15.75" customHeight="1">
      <c r="A1071" s="143"/>
      <c r="B1071" s="137"/>
      <c r="C1071" s="130"/>
      <c r="D1071" s="62"/>
      <c r="E1071" s="62"/>
      <c r="F1071" s="62"/>
      <c r="G1071" s="62"/>
      <c r="H1071" s="62"/>
      <c r="I1071" s="62"/>
      <c r="J1071" s="62"/>
      <c r="K1071" s="130"/>
      <c r="L1071" s="130"/>
      <c r="M1071" s="133"/>
    </row>
    <row r="1072" ht="15.75" customHeight="1">
      <c r="A1072" s="142"/>
      <c r="B1072" s="138"/>
      <c r="C1072" s="125"/>
      <c r="D1072" s="124"/>
      <c r="E1072" s="124"/>
      <c r="F1072" s="124"/>
      <c r="G1072" s="124"/>
      <c r="H1072" s="124"/>
      <c r="I1072" s="124"/>
      <c r="J1072" s="124"/>
      <c r="K1072" s="125"/>
      <c r="L1072" s="124"/>
      <c r="M1072" s="126"/>
    </row>
    <row r="1073" ht="15.75" customHeight="1">
      <c r="A1073" s="143"/>
      <c r="B1073" s="137"/>
      <c r="C1073" s="130"/>
      <c r="D1073" s="62"/>
      <c r="E1073" s="62"/>
      <c r="F1073" s="62"/>
      <c r="G1073" s="62"/>
      <c r="H1073" s="62"/>
      <c r="I1073" s="62"/>
      <c r="J1073" s="62"/>
      <c r="K1073" s="130"/>
      <c r="L1073" s="62"/>
      <c r="M1073" s="132"/>
    </row>
    <row r="1074" ht="15.75" customHeight="1">
      <c r="A1074" s="142"/>
      <c r="B1074" s="138"/>
      <c r="C1074" s="125"/>
      <c r="D1074" s="124"/>
      <c r="E1074" s="124"/>
      <c r="F1074" s="124"/>
      <c r="G1074" s="124"/>
      <c r="H1074" s="124"/>
      <c r="I1074" s="124"/>
      <c r="J1074" s="124"/>
      <c r="K1074" s="125"/>
      <c r="L1074" s="124"/>
      <c r="M1074" s="126"/>
    </row>
    <row r="1075" ht="15.75" customHeight="1">
      <c r="A1075" s="143"/>
      <c r="B1075" s="137"/>
      <c r="C1075" s="130"/>
      <c r="D1075" s="62"/>
      <c r="E1075" s="62"/>
      <c r="F1075" s="62"/>
      <c r="G1075" s="62"/>
      <c r="H1075" s="62"/>
      <c r="I1075" s="62"/>
      <c r="J1075" s="62"/>
      <c r="K1075" s="130"/>
      <c r="L1075" s="62"/>
      <c r="M1075" s="132"/>
    </row>
    <row r="1076" ht="15.75" customHeight="1">
      <c r="A1076" s="142"/>
      <c r="B1076" s="138"/>
      <c r="C1076" s="125"/>
      <c r="D1076" s="124"/>
      <c r="E1076" s="124"/>
      <c r="F1076" s="124"/>
      <c r="G1076" s="124"/>
      <c r="H1076" s="124"/>
      <c r="I1076" s="124"/>
      <c r="J1076" s="124"/>
      <c r="K1076" s="125"/>
      <c r="L1076" s="125"/>
      <c r="M1076" s="126"/>
    </row>
    <row r="1077" ht="15.75" customHeight="1">
      <c r="A1077" s="143"/>
      <c r="B1077" s="137"/>
      <c r="C1077" s="130"/>
      <c r="D1077" s="62"/>
      <c r="E1077" s="62"/>
      <c r="F1077" s="62"/>
      <c r="G1077" s="62"/>
      <c r="H1077" s="62"/>
      <c r="I1077" s="62"/>
      <c r="J1077" s="62"/>
      <c r="K1077" s="130"/>
      <c r="L1077" s="130"/>
      <c r="M1077" s="133"/>
    </row>
    <row r="1078" ht="15.75" customHeight="1">
      <c r="A1078" s="142"/>
      <c r="B1078" s="138"/>
      <c r="C1078" s="125"/>
      <c r="D1078" s="124"/>
      <c r="E1078" s="124"/>
      <c r="F1078" s="124"/>
      <c r="G1078" s="124"/>
      <c r="H1078" s="124"/>
      <c r="I1078" s="124"/>
      <c r="J1078" s="124"/>
      <c r="K1078" s="125"/>
      <c r="L1078" s="125"/>
      <c r="M1078" s="126"/>
    </row>
    <row r="1079" ht="15.75" customHeight="1">
      <c r="A1079" s="143"/>
      <c r="B1079" s="137"/>
      <c r="C1079" s="130"/>
      <c r="D1079" s="62"/>
      <c r="E1079" s="62"/>
      <c r="F1079" s="62"/>
      <c r="G1079" s="62"/>
      <c r="H1079" s="62"/>
      <c r="I1079" s="62"/>
      <c r="J1079" s="62"/>
      <c r="K1079" s="130"/>
      <c r="L1079" s="130"/>
      <c r="M1079" s="132"/>
    </row>
    <row r="1080" ht="15.75" customHeight="1">
      <c r="A1080" s="142"/>
      <c r="B1080" s="138"/>
      <c r="C1080" s="125"/>
      <c r="D1080" s="124"/>
      <c r="E1080" s="124"/>
      <c r="F1080" s="124"/>
      <c r="G1080" s="124"/>
      <c r="H1080" s="124"/>
      <c r="I1080" s="124"/>
      <c r="J1080" s="124"/>
      <c r="K1080" s="125"/>
      <c r="L1080" s="124"/>
      <c r="M1080" s="126"/>
    </row>
    <row r="1081" ht="15.75" customHeight="1">
      <c r="A1081" s="143"/>
      <c r="B1081" s="137"/>
      <c r="C1081" s="130"/>
      <c r="D1081" s="62"/>
      <c r="E1081" s="62"/>
      <c r="F1081" s="62"/>
      <c r="G1081" s="62"/>
      <c r="H1081" s="62"/>
      <c r="I1081" s="62"/>
      <c r="J1081" s="62"/>
      <c r="K1081" s="130"/>
      <c r="L1081" s="62"/>
      <c r="M1081" s="132"/>
    </row>
    <row r="1082" ht="15.75" customHeight="1">
      <c r="A1082" s="142"/>
      <c r="B1082" s="138"/>
      <c r="C1082" s="125"/>
      <c r="D1082" s="124"/>
      <c r="E1082" s="124"/>
      <c r="F1082" s="124"/>
      <c r="G1082" s="124"/>
      <c r="H1082" s="124"/>
      <c r="I1082" s="124"/>
      <c r="J1082" s="124"/>
      <c r="K1082" s="125"/>
      <c r="L1082" s="125"/>
      <c r="M1082" s="126"/>
    </row>
    <row r="1083" ht="15.75" customHeight="1">
      <c r="A1083" s="143"/>
      <c r="B1083" s="137"/>
      <c r="C1083" s="130"/>
      <c r="D1083" s="62"/>
      <c r="E1083" s="62"/>
      <c r="F1083" s="62"/>
      <c r="G1083" s="62"/>
      <c r="H1083" s="62"/>
      <c r="I1083" s="62"/>
      <c r="J1083" s="62"/>
      <c r="K1083" s="130"/>
      <c r="L1083" s="130"/>
      <c r="M1083" s="133"/>
    </row>
    <row r="1084" ht="15.75" customHeight="1">
      <c r="A1084" s="142"/>
      <c r="B1084" s="138"/>
      <c r="C1084" s="125"/>
      <c r="D1084" s="124"/>
      <c r="E1084" s="124"/>
      <c r="F1084" s="124"/>
      <c r="G1084" s="124"/>
      <c r="H1084" s="124"/>
      <c r="I1084" s="124"/>
      <c r="J1084" s="124"/>
      <c r="K1084" s="125"/>
      <c r="L1084" s="125"/>
      <c r="M1084" s="126"/>
    </row>
    <row r="1085" ht="15.75" customHeight="1">
      <c r="A1085" s="143"/>
      <c r="B1085" s="137"/>
      <c r="C1085" s="130"/>
      <c r="D1085" s="62"/>
      <c r="E1085" s="62"/>
      <c r="F1085" s="62"/>
      <c r="G1085" s="62"/>
      <c r="H1085" s="62"/>
      <c r="I1085" s="62"/>
      <c r="J1085" s="62"/>
      <c r="K1085" s="130"/>
      <c r="L1085" s="130"/>
      <c r="M1085" s="132"/>
    </row>
    <row r="1086" ht="15.75" customHeight="1">
      <c r="A1086" s="142"/>
      <c r="B1086" s="138"/>
      <c r="C1086" s="125"/>
      <c r="D1086" s="124"/>
      <c r="E1086" s="124"/>
      <c r="F1086" s="124"/>
      <c r="G1086" s="124"/>
      <c r="H1086" s="124"/>
      <c r="I1086" s="124"/>
      <c r="J1086" s="124"/>
      <c r="K1086" s="125"/>
      <c r="L1086" s="125"/>
      <c r="M1086" s="126"/>
    </row>
    <row r="1087" ht="15.75" customHeight="1">
      <c r="A1087" s="143"/>
      <c r="B1087" s="137"/>
      <c r="C1087" s="130"/>
      <c r="D1087" s="62"/>
      <c r="E1087" s="62"/>
      <c r="F1087" s="62"/>
      <c r="G1087" s="62"/>
      <c r="H1087" s="62"/>
      <c r="I1087" s="62"/>
      <c r="J1087" s="62"/>
      <c r="K1087" s="130"/>
      <c r="L1087" s="130"/>
      <c r="M1087" s="133"/>
    </row>
    <row r="1088" ht="15.75" customHeight="1">
      <c r="A1088" s="142"/>
      <c r="B1088" s="138"/>
      <c r="C1088" s="125"/>
      <c r="D1088" s="124"/>
      <c r="E1088" s="124"/>
      <c r="F1088" s="124"/>
      <c r="G1088" s="124"/>
      <c r="H1088" s="124"/>
      <c r="I1088" s="124"/>
      <c r="J1088" s="124"/>
      <c r="K1088" s="125"/>
      <c r="L1088" s="125"/>
      <c r="M1088" s="126"/>
    </row>
    <row r="1089" ht="15.75" customHeight="1">
      <c r="A1089" s="143"/>
      <c r="B1089" s="137"/>
      <c r="C1089" s="130"/>
      <c r="D1089" s="62"/>
      <c r="E1089" s="62"/>
      <c r="F1089" s="62"/>
      <c r="G1089" s="62"/>
      <c r="H1089" s="62"/>
      <c r="I1089" s="62"/>
      <c r="J1089" s="62"/>
      <c r="K1089" s="130"/>
      <c r="L1089" s="62"/>
      <c r="M1089" s="132"/>
    </row>
    <row r="1090" ht="15.75" customHeight="1">
      <c r="A1090" s="142"/>
      <c r="B1090" s="138"/>
      <c r="C1090" s="125"/>
      <c r="D1090" s="124"/>
      <c r="E1090" s="124"/>
      <c r="F1090" s="124"/>
      <c r="G1090" s="124"/>
      <c r="H1090" s="124"/>
      <c r="I1090" s="124"/>
      <c r="J1090" s="124"/>
      <c r="K1090" s="125"/>
      <c r="L1090" s="124"/>
      <c r="M1090" s="126"/>
    </row>
    <row r="1091" ht="15.75" customHeight="1">
      <c r="A1091" s="143"/>
      <c r="B1091" s="137"/>
      <c r="C1091" s="130"/>
      <c r="D1091" s="62"/>
      <c r="E1091" s="62"/>
      <c r="F1091" s="62"/>
      <c r="G1091" s="62"/>
      <c r="H1091" s="62"/>
      <c r="I1091" s="62"/>
      <c r="J1091" s="62"/>
      <c r="K1091" s="130"/>
      <c r="L1091" s="62"/>
      <c r="M1091" s="132"/>
    </row>
    <row r="1092" ht="15.75" customHeight="1">
      <c r="A1092" s="142"/>
      <c r="B1092" s="138"/>
      <c r="C1092" s="125"/>
      <c r="D1092" s="124"/>
      <c r="E1092" s="124"/>
      <c r="F1092" s="124"/>
      <c r="G1092" s="124"/>
      <c r="H1092" s="124"/>
      <c r="I1092" s="124"/>
      <c r="J1092" s="124"/>
      <c r="K1092" s="125"/>
      <c r="L1092" s="125"/>
      <c r="M1092" s="126"/>
    </row>
    <row r="1093" ht="15.75" customHeight="1">
      <c r="A1093" s="143"/>
      <c r="B1093" s="137"/>
      <c r="C1093" s="130"/>
      <c r="D1093" s="62"/>
      <c r="E1093" s="62"/>
      <c r="F1093" s="62"/>
      <c r="G1093" s="62"/>
      <c r="H1093" s="62"/>
      <c r="I1093" s="62"/>
      <c r="J1093" s="62"/>
      <c r="K1093" s="130"/>
      <c r="L1093" s="130"/>
      <c r="M1093" s="132"/>
    </row>
    <row r="1094" ht="15.75" customHeight="1">
      <c r="A1094" s="142"/>
      <c r="B1094" s="138"/>
      <c r="C1094" s="125"/>
      <c r="D1094" s="124"/>
      <c r="E1094" s="124"/>
      <c r="F1094" s="124"/>
      <c r="G1094" s="124"/>
      <c r="H1094" s="124"/>
      <c r="I1094" s="124"/>
      <c r="J1094" s="124"/>
      <c r="K1094" s="125"/>
      <c r="L1094" s="125"/>
      <c r="M1094" s="134"/>
    </row>
    <row r="1095" ht="15.75" customHeight="1">
      <c r="A1095" s="143"/>
      <c r="B1095" s="137"/>
      <c r="C1095" s="130"/>
      <c r="D1095" s="62"/>
      <c r="E1095" s="62"/>
      <c r="F1095" s="62"/>
      <c r="G1095" s="62"/>
      <c r="H1095" s="62"/>
      <c r="I1095" s="62"/>
      <c r="J1095" s="62"/>
      <c r="K1095" s="130"/>
      <c r="L1095" s="62"/>
      <c r="M1095" s="132"/>
    </row>
    <row r="1096" ht="15.75" customHeight="1">
      <c r="A1096" s="142"/>
      <c r="B1096" s="138"/>
      <c r="C1096" s="125"/>
      <c r="D1096" s="124"/>
      <c r="E1096" s="124"/>
      <c r="F1096" s="124"/>
      <c r="G1096" s="124"/>
      <c r="H1096" s="124"/>
      <c r="I1096" s="124"/>
      <c r="J1096" s="124"/>
      <c r="K1096" s="125"/>
      <c r="L1096" s="125"/>
      <c r="M1096" s="126"/>
    </row>
    <row r="1097" ht="15.75" customHeight="1">
      <c r="A1097" s="143"/>
      <c r="B1097" s="137"/>
      <c r="C1097" s="130"/>
      <c r="D1097" s="62"/>
      <c r="E1097" s="62"/>
      <c r="F1097" s="62"/>
      <c r="G1097" s="62"/>
      <c r="H1097" s="62"/>
      <c r="I1097" s="62"/>
      <c r="J1097" s="62"/>
      <c r="K1097" s="130"/>
      <c r="L1097" s="130"/>
      <c r="M1097" s="132"/>
    </row>
    <row r="1098" ht="15.75" customHeight="1">
      <c r="A1098" s="142"/>
      <c r="B1098" s="138"/>
      <c r="C1098" s="125"/>
      <c r="D1098" s="124"/>
      <c r="E1098" s="124"/>
      <c r="F1098" s="124"/>
      <c r="G1098" s="124"/>
      <c r="H1098" s="124"/>
      <c r="I1098" s="124"/>
      <c r="J1098" s="124"/>
      <c r="K1098" s="125"/>
      <c r="L1098" s="124"/>
      <c r="M1098" s="126"/>
    </row>
    <row r="1099" ht="15.75" customHeight="1">
      <c r="A1099" s="143"/>
      <c r="B1099" s="137"/>
      <c r="C1099" s="130"/>
      <c r="D1099" s="62"/>
      <c r="E1099" s="62"/>
      <c r="F1099" s="62"/>
      <c r="G1099" s="62"/>
      <c r="H1099" s="62"/>
      <c r="I1099" s="62"/>
      <c r="J1099" s="62"/>
      <c r="K1099" s="130"/>
      <c r="L1099" s="130"/>
      <c r="M1099" s="132"/>
    </row>
    <row r="1100" ht="15.75" customHeight="1">
      <c r="A1100" s="142"/>
      <c r="B1100" s="138"/>
      <c r="C1100" s="125"/>
      <c r="D1100" s="124"/>
      <c r="E1100" s="124"/>
      <c r="F1100" s="124"/>
      <c r="G1100" s="124"/>
      <c r="H1100" s="124"/>
      <c r="I1100" s="124"/>
      <c r="J1100" s="124"/>
      <c r="K1100" s="125"/>
      <c r="L1100" s="125"/>
      <c r="M1100" s="126"/>
    </row>
    <row r="1101" ht="15.75" customHeight="1">
      <c r="A1101" s="143"/>
      <c r="B1101" s="137"/>
      <c r="C1101" s="130"/>
      <c r="D1101" s="62"/>
      <c r="E1101" s="62"/>
      <c r="F1101" s="62"/>
      <c r="G1101" s="62"/>
      <c r="H1101" s="62"/>
      <c r="I1101" s="62"/>
      <c r="J1101" s="62"/>
      <c r="K1101" s="130"/>
      <c r="L1101" s="130"/>
      <c r="M1101" s="132"/>
    </row>
    <row r="1102" ht="15.75" customHeight="1">
      <c r="A1102" s="142"/>
      <c r="B1102" s="138"/>
      <c r="C1102" s="125"/>
      <c r="D1102" s="124"/>
      <c r="E1102" s="124"/>
      <c r="F1102" s="124"/>
      <c r="G1102" s="124"/>
      <c r="H1102" s="124"/>
      <c r="I1102" s="124"/>
      <c r="J1102" s="124"/>
      <c r="K1102" s="125"/>
      <c r="L1102" s="124"/>
      <c r="M1102" s="126"/>
    </row>
    <row r="1103" ht="15.75" customHeight="1">
      <c r="A1103" s="143"/>
      <c r="B1103" s="137"/>
      <c r="C1103" s="130"/>
      <c r="D1103" s="62"/>
      <c r="E1103" s="62"/>
      <c r="F1103" s="62"/>
      <c r="G1103" s="62"/>
      <c r="H1103" s="62"/>
      <c r="I1103" s="62"/>
      <c r="J1103" s="62"/>
      <c r="K1103" s="130"/>
      <c r="L1103" s="130"/>
      <c r="M1103" s="132"/>
    </row>
    <row r="1104" ht="15.75" customHeight="1">
      <c r="A1104" s="142"/>
      <c r="B1104" s="138"/>
      <c r="C1104" s="125"/>
      <c r="D1104" s="124"/>
      <c r="E1104" s="124"/>
      <c r="F1104" s="124"/>
      <c r="G1104" s="124"/>
      <c r="H1104" s="124"/>
      <c r="I1104" s="124"/>
      <c r="J1104" s="124"/>
      <c r="K1104" s="125"/>
      <c r="L1104" s="124"/>
      <c r="M1104" s="126"/>
    </row>
    <row r="1105" ht="15.75" customHeight="1">
      <c r="A1105" s="143"/>
      <c r="B1105" s="137"/>
      <c r="C1105" s="130"/>
      <c r="D1105" s="62"/>
      <c r="E1105" s="62"/>
      <c r="F1105" s="62"/>
      <c r="G1105" s="62"/>
      <c r="H1105" s="62"/>
      <c r="I1105" s="62"/>
      <c r="J1105" s="62"/>
      <c r="K1105" s="130"/>
      <c r="L1105" s="62"/>
      <c r="M1105" s="132"/>
    </row>
    <row r="1106" ht="15.75" customHeight="1">
      <c r="A1106" s="142"/>
      <c r="B1106" s="138"/>
      <c r="C1106" s="125"/>
      <c r="D1106" s="124"/>
      <c r="E1106" s="124"/>
      <c r="F1106" s="124"/>
      <c r="G1106" s="124"/>
      <c r="H1106" s="124"/>
      <c r="I1106" s="124"/>
      <c r="J1106" s="124"/>
      <c r="K1106" s="125"/>
      <c r="L1106" s="125"/>
      <c r="M1106" s="126"/>
    </row>
    <row r="1107" ht="15.75" customHeight="1">
      <c r="A1107" s="143"/>
      <c r="B1107" s="137"/>
      <c r="C1107" s="130"/>
      <c r="D1107" s="62"/>
      <c r="E1107" s="62"/>
      <c r="F1107" s="62"/>
      <c r="G1107" s="62"/>
      <c r="H1107" s="62"/>
      <c r="I1107" s="62"/>
      <c r="J1107" s="62"/>
      <c r="K1107" s="130"/>
      <c r="L1107" s="130"/>
      <c r="M1107" s="132"/>
    </row>
    <row r="1108" ht="15.75" customHeight="1">
      <c r="A1108" s="142"/>
      <c r="B1108" s="138"/>
      <c r="C1108" s="125"/>
      <c r="D1108" s="124"/>
      <c r="E1108" s="124"/>
      <c r="F1108" s="124"/>
      <c r="G1108" s="124"/>
      <c r="H1108" s="124"/>
      <c r="I1108" s="124"/>
      <c r="J1108" s="124"/>
      <c r="K1108" s="125"/>
      <c r="L1108" s="124"/>
      <c r="M1108" s="126"/>
    </row>
    <row r="1109" ht="15.75" customHeight="1">
      <c r="A1109" s="143"/>
      <c r="B1109" s="137"/>
      <c r="C1109" s="130"/>
      <c r="D1109" s="62"/>
      <c r="E1109" s="62"/>
      <c r="F1109" s="62"/>
      <c r="G1109" s="62"/>
      <c r="H1109" s="62"/>
      <c r="I1109" s="62"/>
      <c r="J1109" s="62"/>
      <c r="K1109" s="130"/>
      <c r="L1109" s="130"/>
      <c r="M1109" s="132"/>
    </row>
    <row r="1110" ht="15.75" customHeight="1">
      <c r="A1110" s="142"/>
      <c r="B1110" s="138"/>
      <c r="C1110" s="125"/>
      <c r="D1110" s="124"/>
      <c r="E1110" s="124"/>
      <c r="F1110" s="124"/>
      <c r="G1110" s="124"/>
      <c r="H1110" s="124"/>
      <c r="I1110" s="124"/>
      <c r="J1110" s="124"/>
      <c r="K1110" s="125"/>
      <c r="L1110" s="124"/>
      <c r="M1110" s="126"/>
    </row>
    <row r="1111" ht="15.75" customHeight="1">
      <c r="A1111" s="143"/>
      <c r="B1111" s="137"/>
      <c r="C1111" s="130"/>
      <c r="D1111" s="62"/>
      <c r="E1111" s="62"/>
      <c r="F1111" s="62"/>
      <c r="G1111" s="62"/>
      <c r="H1111" s="62"/>
      <c r="I1111" s="62"/>
      <c r="J1111" s="62"/>
      <c r="K1111" s="130"/>
      <c r="L1111" s="130"/>
      <c r="M1111" s="132"/>
    </row>
    <row r="1112" ht="15.75" customHeight="1">
      <c r="A1112" s="142"/>
      <c r="B1112" s="138"/>
      <c r="C1112" s="125"/>
      <c r="D1112" s="124"/>
      <c r="E1112" s="124"/>
      <c r="F1112" s="124"/>
      <c r="G1112" s="124"/>
      <c r="H1112" s="124"/>
      <c r="I1112" s="124"/>
      <c r="J1112" s="124"/>
      <c r="K1112" s="125"/>
      <c r="L1112" s="125"/>
      <c r="M1112" s="126"/>
    </row>
    <row r="1113" ht="15.75" customHeight="1">
      <c r="A1113" s="143"/>
      <c r="B1113" s="137"/>
      <c r="C1113" s="130"/>
      <c r="D1113" s="62"/>
      <c r="E1113" s="62"/>
      <c r="F1113" s="62"/>
      <c r="G1113" s="62"/>
      <c r="H1113" s="62"/>
      <c r="I1113" s="62"/>
      <c r="J1113" s="62"/>
      <c r="K1113" s="130"/>
      <c r="L1113" s="62"/>
      <c r="M1113" s="132"/>
    </row>
    <row r="1114" ht="15.75" customHeight="1">
      <c r="A1114" s="142"/>
      <c r="B1114" s="138"/>
      <c r="C1114" s="125"/>
      <c r="D1114" s="124"/>
      <c r="E1114" s="124"/>
      <c r="F1114" s="124"/>
      <c r="G1114" s="124"/>
      <c r="H1114" s="124"/>
      <c r="I1114" s="124"/>
      <c r="J1114" s="124"/>
      <c r="K1114" s="125"/>
      <c r="L1114" s="125"/>
      <c r="M1114" s="134"/>
    </row>
    <row r="1115" ht="15.75" customHeight="1">
      <c r="A1115" s="143"/>
      <c r="B1115" s="137"/>
      <c r="C1115" s="130"/>
      <c r="D1115" s="62"/>
      <c r="E1115" s="62"/>
      <c r="F1115" s="62"/>
      <c r="G1115" s="62"/>
      <c r="H1115" s="62"/>
      <c r="I1115" s="62"/>
      <c r="J1115" s="62"/>
      <c r="K1115" s="130"/>
      <c r="L1115" s="130"/>
      <c r="M1115" s="132"/>
    </row>
    <row r="1116" ht="15.75" customHeight="1">
      <c r="A1116" s="142"/>
      <c r="B1116" s="138"/>
      <c r="C1116" s="125"/>
      <c r="D1116" s="124"/>
      <c r="E1116" s="124"/>
      <c r="F1116" s="124"/>
      <c r="G1116" s="124"/>
      <c r="H1116" s="124"/>
      <c r="I1116" s="124"/>
      <c r="J1116" s="124"/>
      <c r="K1116" s="125"/>
      <c r="L1116" s="125"/>
      <c r="M1116" s="126"/>
    </row>
    <row r="1117" ht="15.75" customHeight="1">
      <c r="A1117" s="143"/>
      <c r="B1117" s="137"/>
      <c r="C1117" s="130"/>
      <c r="D1117" s="62"/>
      <c r="E1117" s="62"/>
      <c r="F1117" s="62"/>
      <c r="G1117" s="62"/>
      <c r="H1117" s="62"/>
      <c r="I1117" s="62"/>
      <c r="J1117" s="62"/>
      <c r="K1117" s="130"/>
      <c r="L1117" s="130"/>
      <c r="M1117" s="132"/>
    </row>
    <row r="1118" ht="15.75" customHeight="1">
      <c r="A1118" s="142"/>
      <c r="B1118" s="138"/>
      <c r="C1118" s="125"/>
      <c r="D1118" s="124"/>
      <c r="E1118" s="124"/>
      <c r="F1118" s="124"/>
      <c r="G1118" s="124"/>
      <c r="H1118" s="124"/>
      <c r="I1118" s="124"/>
      <c r="J1118" s="124"/>
      <c r="K1118" s="125"/>
      <c r="L1118" s="124"/>
      <c r="M1118" s="126"/>
    </row>
    <row r="1119" ht="15.75" customHeight="1">
      <c r="A1119" s="143"/>
      <c r="B1119" s="137"/>
      <c r="C1119" s="130"/>
      <c r="D1119" s="62"/>
      <c r="E1119" s="62"/>
      <c r="F1119" s="62"/>
      <c r="G1119" s="62"/>
      <c r="H1119" s="62"/>
      <c r="I1119" s="62"/>
      <c r="J1119" s="62"/>
      <c r="K1119" s="130"/>
      <c r="L1119" s="130"/>
      <c r="M1119" s="132"/>
    </row>
    <row r="1120" ht="15.75" customHeight="1">
      <c r="A1120" s="142"/>
      <c r="B1120" s="138"/>
      <c r="C1120" s="125"/>
      <c r="D1120" s="124"/>
      <c r="E1120" s="124"/>
      <c r="F1120" s="124"/>
      <c r="G1120" s="124"/>
      <c r="H1120" s="124"/>
      <c r="I1120" s="124"/>
      <c r="J1120" s="124"/>
      <c r="K1120" s="125"/>
      <c r="L1120" s="125"/>
      <c r="M1120" s="126"/>
    </row>
    <row r="1121" ht="15.75" customHeight="1">
      <c r="A1121" s="143"/>
      <c r="B1121" s="137"/>
      <c r="C1121" s="130"/>
      <c r="D1121" s="62"/>
      <c r="E1121" s="62"/>
      <c r="F1121" s="62"/>
      <c r="G1121" s="62"/>
      <c r="H1121" s="62"/>
      <c r="I1121" s="62"/>
      <c r="J1121" s="62"/>
      <c r="K1121" s="130"/>
      <c r="L1121" s="130"/>
      <c r="M1121" s="132"/>
    </row>
    <row r="1122" ht="15.75" customHeight="1">
      <c r="A1122" s="142"/>
      <c r="B1122" s="138"/>
      <c r="C1122" s="125"/>
      <c r="D1122" s="124"/>
      <c r="E1122" s="124"/>
      <c r="F1122" s="124"/>
      <c r="G1122" s="124"/>
      <c r="H1122" s="124"/>
      <c r="I1122" s="124"/>
      <c r="J1122" s="124"/>
      <c r="K1122" s="125"/>
      <c r="L1122" s="124"/>
      <c r="M1122" s="126"/>
    </row>
    <row r="1123" ht="15.75" customHeight="1">
      <c r="A1123" s="143"/>
      <c r="B1123" s="137"/>
      <c r="C1123" s="130"/>
      <c r="D1123" s="62"/>
      <c r="E1123" s="62"/>
      <c r="F1123" s="62"/>
      <c r="G1123" s="62"/>
      <c r="H1123" s="62"/>
      <c r="I1123" s="62"/>
      <c r="J1123" s="62"/>
      <c r="K1123" s="130"/>
      <c r="L1123" s="62"/>
      <c r="M1123" s="132"/>
    </row>
    <row r="1124" ht="15.75" customHeight="1">
      <c r="A1124" s="142"/>
      <c r="B1124" s="138"/>
      <c r="C1124" s="125"/>
      <c r="D1124" s="124"/>
      <c r="E1124" s="124"/>
      <c r="F1124" s="124"/>
      <c r="G1124" s="124"/>
      <c r="H1124" s="124"/>
      <c r="I1124" s="124"/>
      <c r="J1124" s="124"/>
      <c r="K1124" s="125"/>
      <c r="L1124" s="125"/>
      <c r="M1124" s="126"/>
    </row>
    <row r="1125" ht="15.75" customHeight="1">
      <c r="A1125" s="143"/>
      <c r="B1125" s="137"/>
      <c r="C1125" s="130"/>
      <c r="D1125" s="62"/>
      <c r="E1125" s="62"/>
      <c r="F1125" s="62"/>
      <c r="G1125" s="62"/>
      <c r="H1125" s="62"/>
      <c r="I1125" s="62"/>
      <c r="J1125" s="62"/>
      <c r="K1125" s="130"/>
      <c r="L1125" s="130"/>
      <c r="M1125" s="132"/>
    </row>
    <row r="1126" ht="15.75" customHeight="1">
      <c r="A1126" s="142"/>
      <c r="B1126" s="138"/>
      <c r="C1126" s="125"/>
      <c r="D1126" s="124"/>
      <c r="E1126" s="124"/>
      <c r="F1126" s="124"/>
      <c r="G1126" s="124"/>
      <c r="H1126" s="124"/>
      <c r="I1126" s="124"/>
      <c r="J1126" s="124"/>
      <c r="K1126" s="125"/>
      <c r="L1126" s="125"/>
      <c r="M1126" s="126"/>
    </row>
    <row r="1127" ht="15.75" customHeight="1">
      <c r="A1127" s="143"/>
      <c r="B1127" s="137"/>
      <c r="C1127" s="130"/>
      <c r="D1127" s="62"/>
      <c r="E1127" s="62"/>
      <c r="F1127" s="62"/>
      <c r="G1127" s="62"/>
      <c r="H1127" s="62"/>
      <c r="I1127" s="62"/>
      <c r="J1127" s="62"/>
      <c r="K1127" s="130"/>
      <c r="L1127" s="130"/>
      <c r="M1127" s="132"/>
    </row>
    <row r="1128" ht="15.75" customHeight="1">
      <c r="A1128" s="142"/>
      <c r="B1128" s="138"/>
      <c r="C1128" s="125"/>
      <c r="D1128" s="124"/>
      <c r="E1128" s="124"/>
      <c r="F1128" s="124"/>
      <c r="G1128" s="124"/>
      <c r="H1128" s="124"/>
      <c r="I1128" s="124"/>
      <c r="J1128" s="124"/>
      <c r="K1128" s="125"/>
      <c r="L1128" s="125"/>
      <c r="M1128" s="126"/>
    </row>
    <row r="1129" ht="15.75" customHeight="1">
      <c r="A1129" s="143"/>
      <c r="B1129" s="137"/>
      <c r="C1129" s="130"/>
      <c r="D1129" s="62"/>
      <c r="E1129" s="62"/>
      <c r="F1129" s="62"/>
      <c r="G1129" s="62"/>
      <c r="H1129" s="62"/>
      <c r="I1129" s="62"/>
      <c r="J1129" s="62"/>
      <c r="K1129" s="130"/>
      <c r="L1129" s="62"/>
      <c r="M1129" s="132"/>
    </row>
    <row r="1130" ht="15.75" customHeight="1">
      <c r="A1130" s="142"/>
      <c r="B1130" s="138"/>
      <c r="C1130" s="125"/>
      <c r="D1130" s="124"/>
      <c r="E1130" s="124"/>
      <c r="F1130" s="124"/>
      <c r="G1130" s="124"/>
      <c r="H1130" s="124"/>
      <c r="I1130" s="124"/>
      <c r="J1130" s="124"/>
      <c r="K1130" s="125"/>
      <c r="L1130" s="124"/>
      <c r="M1130" s="126"/>
    </row>
    <row r="1131" ht="15.75" customHeight="1">
      <c r="A1131" s="143"/>
      <c r="B1131" s="137"/>
      <c r="C1131" s="130"/>
      <c r="D1131" s="62"/>
      <c r="E1131" s="62"/>
      <c r="F1131" s="62"/>
      <c r="G1131" s="62"/>
      <c r="H1131" s="62"/>
      <c r="I1131" s="62"/>
      <c r="J1131" s="62"/>
      <c r="K1131" s="130"/>
      <c r="L1131" s="62"/>
      <c r="M1131" s="132"/>
    </row>
    <row r="1132" ht="15.75" customHeight="1">
      <c r="A1132" s="142"/>
      <c r="B1132" s="138"/>
      <c r="C1132" s="125"/>
      <c r="D1132" s="124"/>
      <c r="E1132" s="124"/>
      <c r="F1132" s="124"/>
      <c r="G1132" s="124"/>
      <c r="H1132" s="124"/>
      <c r="I1132" s="124"/>
      <c r="J1132" s="124"/>
      <c r="K1132" s="125"/>
      <c r="L1132" s="125"/>
      <c r="M1132" s="126"/>
    </row>
    <row r="1133" ht="15.75" customHeight="1">
      <c r="A1133" s="143"/>
      <c r="B1133" s="137"/>
      <c r="C1133" s="130"/>
      <c r="D1133" s="62"/>
      <c r="E1133" s="62"/>
      <c r="F1133" s="62"/>
      <c r="G1133" s="62"/>
      <c r="H1133" s="62"/>
      <c r="I1133" s="62"/>
      <c r="J1133" s="62"/>
      <c r="K1133" s="130"/>
      <c r="L1133" s="62"/>
      <c r="M1133" s="132"/>
    </row>
    <row r="1134" ht="15.75" customHeight="1">
      <c r="A1134" s="142"/>
      <c r="B1134" s="138"/>
      <c r="C1134" s="125"/>
      <c r="D1134" s="124"/>
      <c r="E1134" s="124"/>
      <c r="F1134" s="124"/>
      <c r="G1134" s="124"/>
      <c r="H1134" s="124"/>
      <c r="I1134" s="124"/>
      <c r="J1134" s="124"/>
      <c r="K1134" s="125"/>
      <c r="L1134" s="124"/>
      <c r="M1134" s="126"/>
    </row>
    <row r="1135" ht="15.75" customHeight="1">
      <c r="A1135" s="143"/>
      <c r="B1135" s="137"/>
      <c r="C1135" s="130"/>
      <c r="D1135" s="62"/>
      <c r="E1135" s="62"/>
      <c r="F1135" s="62"/>
      <c r="G1135" s="62"/>
      <c r="H1135" s="62"/>
      <c r="I1135" s="62"/>
      <c r="J1135" s="62"/>
      <c r="K1135" s="130"/>
      <c r="L1135" s="62"/>
      <c r="M1135" s="132"/>
    </row>
    <row r="1136" ht="15.75" customHeight="1">
      <c r="A1136" s="142"/>
      <c r="B1136" s="138"/>
      <c r="C1136" s="125"/>
      <c r="D1136" s="124"/>
      <c r="E1136" s="124"/>
      <c r="F1136" s="124"/>
      <c r="G1136" s="124"/>
      <c r="H1136" s="124"/>
      <c r="I1136" s="124"/>
      <c r="J1136" s="124"/>
      <c r="K1136" s="125"/>
      <c r="L1136" s="125"/>
      <c r="M1136" s="134"/>
    </row>
    <row r="1137" ht="15.75" customHeight="1">
      <c r="A1137" s="143"/>
      <c r="B1137" s="137"/>
      <c r="C1137" s="130"/>
      <c r="D1137" s="62"/>
      <c r="E1137" s="62"/>
      <c r="F1137" s="62"/>
      <c r="G1137" s="62"/>
      <c r="H1137" s="62"/>
      <c r="I1137" s="62"/>
      <c r="J1137" s="62"/>
      <c r="K1137" s="130"/>
      <c r="L1137" s="130"/>
      <c r="M1137" s="132"/>
    </row>
    <row r="1138" ht="15.75" customHeight="1">
      <c r="A1138" s="142"/>
      <c r="B1138" s="138"/>
      <c r="C1138" s="125"/>
      <c r="D1138" s="124"/>
      <c r="E1138" s="124"/>
      <c r="F1138" s="124"/>
      <c r="G1138" s="124"/>
      <c r="H1138" s="124"/>
      <c r="I1138" s="124"/>
      <c r="J1138" s="124"/>
      <c r="K1138" s="125"/>
      <c r="L1138" s="125"/>
      <c r="M1138" s="126"/>
    </row>
    <row r="1139" ht="15.75" customHeight="1">
      <c r="A1139" s="143"/>
      <c r="B1139" s="137"/>
      <c r="C1139" s="130"/>
      <c r="D1139" s="62"/>
      <c r="E1139" s="62"/>
      <c r="F1139" s="62"/>
      <c r="G1139" s="62"/>
      <c r="H1139" s="62"/>
      <c r="I1139" s="62"/>
      <c r="J1139" s="62"/>
      <c r="K1139" s="130"/>
      <c r="L1139" s="130"/>
      <c r="M1139" s="132"/>
    </row>
    <row r="1140" ht="15.75" customHeight="1">
      <c r="A1140" s="142"/>
      <c r="B1140" s="138"/>
      <c r="C1140" s="125"/>
      <c r="D1140" s="124"/>
      <c r="E1140" s="124"/>
      <c r="F1140" s="124"/>
      <c r="G1140" s="124"/>
      <c r="H1140" s="124"/>
      <c r="I1140" s="124"/>
      <c r="J1140" s="124"/>
      <c r="K1140" s="125"/>
      <c r="L1140" s="125"/>
      <c r="M1140" s="126"/>
    </row>
    <row r="1141" ht="15.75" customHeight="1">
      <c r="A1141" s="143"/>
      <c r="B1141" s="137"/>
      <c r="C1141" s="130"/>
      <c r="D1141" s="62"/>
      <c r="E1141" s="62"/>
      <c r="F1141" s="62"/>
      <c r="G1141" s="62"/>
      <c r="H1141" s="62"/>
      <c r="I1141" s="62"/>
      <c r="J1141" s="62"/>
      <c r="K1141" s="130"/>
      <c r="L1141" s="130"/>
      <c r="M1141" s="132"/>
    </row>
    <row r="1142" ht="15.75" customHeight="1">
      <c r="A1142" s="142"/>
      <c r="B1142" s="138"/>
      <c r="C1142" s="125"/>
      <c r="D1142" s="124"/>
      <c r="E1142" s="124"/>
      <c r="F1142" s="124"/>
      <c r="G1142" s="124"/>
      <c r="H1142" s="124"/>
      <c r="I1142" s="124"/>
      <c r="J1142" s="124"/>
      <c r="K1142" s="125"/>
      <c r="L1142" s="125"/>
      <c r="M1142" s="126"/>
    </row>
    <row r="1143" ht="15.75" customHeight="1">
      <c r="A1143" s="143"/>
      <c r="B1143" s="137"/>
      <c r="C1143" s="130"/>
      <c r="D1143" s="62"/>
      <c r="E1143" s="62"/>
      <c r="F1143" s="62"/>
      <c r="G1143" s="62"/>
      <c r="H1143" s="62"/>
      <c r="I1143" s="62"/>
      <c r="J1143" s="62"/>
      <c r="K1143" s="130"/>
      <c r="L1143" s="130"/>
      <c r="M1143" s="132"/>
    </row>
    <row r="1144" ht="15.75" customHeight="1">
      <c r="A1144" s="142"/>
      <c r="B1144" s="138"/>
      <c r="C1144" s="125"/>
      <c r="D1144" s="124"/>
      <c r="E1144" s="124"/>
      <c r="F1144" s="124"/>
      <c r="G1144" s="124"/>
      <c r="H1144" s="124"/>
      <c r="I1144" s="124"/>
      <c r="J1144" s="124"/>
      <c r="K1144" s="125"/>
      <c r="L1144" s="125"/>
      <c r="M1144" s="126"/>
    </row>
    <row r="1145" ht="15.75" customHeight="1">
      <c r="A1145" s="143"/>
      <c r="B1145" s="137"/>
      <c r="C1145" s="130"/>
      <c r="D1145" s="62"/>
      <c r="E1145" s="62"/>
      <c r="F1145" s="62"/>
      <c r="G1145" s="62"/>
      <c r="H1145" s="62"/>
      <c r="I1145" s="62"/>
      <c r="J1145" s="62"/>
      <c r="K1145" s="130"/>
      <c r="L1145" s="62"/>
      <c r="M1145" s="132"/>
    </row>
    <row r="1146" ht="15.75" customHeight="1">
      <c r="A1146" s="142"/>
      <c r="B1146" s="138"/>
      <c r="C1146" s="125"/>
      <c r="D1146" s="124"/>
      <c r="E1146" s="124"/>
      <c r="F1146" s="124"/>
      <c r="G1146" s="124"/>
      <c r="H1146" s="124"/>
      <c r="I1146" s="124"/>
      <c r="J1146" s="124"/>
      <c r="K1146" s="125"/>
      <c r="L1146" s="124"/>
      <c r="M1146" s="126"/>
    </row>
    <row r="1147" ht="15.75" customHeight="1">
      <c r="A1147" s="143"/>
      <c r="B1147" s="137"/>
      <c r="C1147" s="130"/>
      <c r="D1147" s="62"/>
      <c r="E1147" s="62"/>
      <c r="F1147" s="62"/>
      <c r="G1147" s="62"/>
      <c r="H1147" s="62"/>
      <c r="I1147" s="62"/>
      <c r="J1147" s="62"/>
      <c r="K1147" s="130"/>
      <c r="L1147" s="130"/>
      <c r="M1147" s="132"/>
    </row>
    <row r="1148" ht="15.75" customHeight="1">
      <c r="A1148" s="142"/>
      <c r="B1148" s="138"/>
      <c r="C1148" s="125"/>
      <c r="D1148" s="124"/>
      <c r="E1148" s="124"/>
      <c r="F1148" s="124"/>
      <c r="G1148" s="124"/>
      <c r="H1148" s="124"/>
      <c r="I1148" s="124"/>
      <c r="J1148" s="124"/>
      <c r="K1148" s="125"/>
      <c r="L1148" s="125"/>
      <c r="M1148" s="126"/>
    </row>
    <row r="1149" ht="15.75" customHeight="1">
      <c r="A1149" s="143"/>
      <c r="B1149" s="137"/>
      <c r="C1149" s="130"/>
      <c r="D1149" s="62"/>
      <c r="E1149" s="62"/>
      <c r="F1149" s="62"/>
      <c r="G1149" s="62"/>
      <c r="H1149" s="62"/>
      <c r="I1149" s="62"/>
      <c r="J1149" s="62"/>
      <c r="K1149" s="130"/>
      <c r="L1149" s="62"/>
      <c r="M1149" s="132"/>
    </row>
    <row r="1150" ht="15.75" customHeight="1">
      <c r="A1150" s="142"/>
      <c r="B1150" s="138"/>
      <c r="C1150" s="125"/>
      <c r="D1150" s="124"/>
      <c r="E1150" s="124"/>
      <c r="F1150" s="124"/>
      <c r="G1150" s="124"/>
      <c r="H1150" s="124"/>
      <c r="I1150" s="124"/>
      <c r="J1150" s="124"/>
      <c r="K1150" s="125"/>
      <c r="L1150" s="125"/>
      <c r="M1150" s="126"/>
    </row>
    <row r="1151" ht="15.75" customHeight="1">
      <c r="A1151" s="143"/>
      <c r="B1151" s="137"/>
      <c r="C1151" s="130"/>
      <c r="D1151" s="62"/>
      <c r="E1151" s="62"/>
      <c r="F1151" s="62"/>
      <c r="G1151" s="62"/>
      <c r="H1151" s="62"/>
      <c r="I1151" s="62"/>
      <c r="J1151" s="62"/>
      <c r="K1151" s="130"/>
      <c r="L1151" s="62"/>
      <c r="M1151" s="132"/>
    </row>
    <row r="1152" ht="15.75" customHeight="1">
      <c r="A1152" s="142"/>
      <c r="B1152" s="138"/>
      <c r="C1152" s="125"/>
      <c r="D1152" s="124"/>
      <c r="E1152" s="124"/>
      <c r="F1152" s="124"/>
      <c r="G1152" s="124"/>
      <c r="H1152" s="124"/>
      <c r="I1152" s="124"/>
      <c r="J1152" s="124"/>
      <c r="K1152" s="125"/>
      <c r="L1152" s="125"/>
      <c r="M1152" s="134"/>
    </row>
    <row r="1153" ht="15.75" customHeight="1">
      <c r="A1153" s="143"/>
      <c r="B1153" s="137"/>
      <c r="C1153" s="130"/>
      <c r="D1153" s="62"/>
      <c r="E1153" s="62"/>
      <c r="F1153" s="62"/>
      <c r="G1153" s="62"/>
      <c r="H1153" s="62"/>
      <c r="I1153" s="62"/>
      <c r="J1153" s="62"/>
      <c r="K1153" s="130"/>
      <c r="L1153" s="130"/>
      <c r="M1153" s="132"/>
    </row>
    <row r="1154" ht="15.75" customHeight="1">
      <c r="A1154" s="142"/>
      <c r="B1154" s="138"/>
      <c r="C1154" s="125"/>
      <c r="D1154" s="124"/>
      <c r="E1154" s="124"/>
      <c r="F1154" s="124"/>
      <c r="G1154" s="124"/>
      <c r="H1154" s="124"/>
      <c r="I1154" s="124"/>
      <c r="J1154" s="124"/>
      <c r="K1154" s="125"/>
      <c r="L1154" s="124"/>
      <c r="M1154" s="126"/>
    </row>
    <row r="1155" ht="15.75" customHeight="1">
      <c r="A1155" s="143"/>
      <c r="B1155" s="137"/>
      <c r="C1155" s="130"/>
      <c r="D1155" s="62"/>
      <c r="E1155" s="62"/>
      <c r="F1155" s="62"/>
      <c r="G1155" s="62"/>
      <c r="H1155" s="62"/>
      <c r="I1155" s="62"/>
      <c r="J1155" s="62"/>
      <c r="K1155" s="130"/>
      <c r="L1155" s="130"/>
      <c r="M1155" s="132"/>
    </row>
    <row r="1156" ht="15.75" customHeight="1">
      <c r="A1156" s="142"/>
      <c r="B1156" s="138"/>
      <c r="C1156" s="125"/>
      <c r="D1156" s="124"/>
      <c r="E1156" s="124"/>
      <c r="F1156" s="124"/>
      <c r="G1156" s="124"/>
      <c r="H1156" s="124"/>
      <c r="I1156" s="124"/>
      <c r="J1156" s="124"/>
      <c r="K1156" s="125"/>
      <c r="L1156" s="125"/>
      <c r="M1156" s="126"/>
    </row>
    <row r="1157" ht="15.75" customHeight="1">
      <c r="A1157" s="143"/>
      <c r="B1157" s="137"/>
      <c r="C1157" s="130"/>
      <c r="D1157" s="62"/>
      <c r="E1157" s="62"/>
      <c r="F1157" s="62"/>
      <c r="G1157" s="62"/>
      <c r="H1157" s="62"/>
      <c r="I1157" s="62"/>
      <c r="J1157" s="62"/>
      <c r="K1157" s="130"/>
      <c r="L1157" s="130"/>
      <c r="M1157" s="133"/>
    </row>
    <row r="1158" ht="15.75" customHeight="1">
      <c r="A1158" s="142"/>
      <c r="B1158" s="138"/>
      <c r="C1158" s="125"/>
      <c r="D1158" s="124"/>
      <c r="E1158" s="124"/>
      <c r="F1158" s="124"/>
      <c r="G1158" s="124"/>
      <c r="H1158" s="124"/>
      <c r="I1158" s="124"/>
      <c r="J1158" s="124"/>
      <c r="K1158" s="125"/>
      <c r="L1158" s="125"/>
      <c r="M1158" s="126"/>
    </row>
    <row r="1159" ht="15.75" customHeight="1">
      <c r="A1159" s="143"/>
      <c r="B1159" s="137"/>
      <c r="C1159" s="130"/>
      <c r="D1159" s="62"/>
      <c r="E1159" s="62"/>
      <c r="F1159" s="62"/>
      <c r="G1159" s="62"/>
      <c r="H1159" s="62"/>
      <c r="I1159" s="62"/>
      <c r="J1159" s="62"/>
      <c r="K1159" s="130"/>
      <c r="L1159" s="62"/>
      <c r="M1159" s="132"/>
    </row>
    <row r="1160" ht="15.75" customHeight="1">
      <c r="A1160" s="142"/>
      <c r="B1160" s="138"/>
      <c r="C1160" s="125"/>
      <c r="D1160" s="124"/>
      <c r="E1160" s="124"/>
      <c r="F1160" s="124"/>
      <c r="G1160" s="124"/>
      <c r="H1160" s="124"/>
      <c r="I1160" s="124"/>
      <c r="J1160" s="124"/>
      <c r="K1160" s="125"/>
      <c r="L1160" s="125"/>
      <c r="M1160" s="126"/>
    </row>
    <row r="1161" ht="15.75" customHeight="1">
      <c r="A1161" s="143"/>
      <c r="B1161" s="137"/>
      <c r="C1161" s="130"/>
      <c r="D1161" s="62"/>
      <c r="E1161" s="62"/>
      <c r="F1161" s="62"/>
      <c r="G1161" s="62"/>
      <c r="H1161" s="62"/>
      <c r="I1161" s="62"/>
      <c r="J1161" s="62"/>
      <c r="K1161" s="130"/>
      <c r="L1161" s="62"/>
      <c r="M1161" s="132"/>
    </row>
    <row r="1162" ht="15.75" customHeight="1">
      <c r="A1162" s="142"/>
      <c r="B1162" s="138"/>
      <c r="C1162" s="125"/>
      <c r="D1162" s="124"/>
      <c r="E1162" s="124"/>
      <c r="F1162" s="124"/>
      <c r="G1162" s="124"/>
      <c r="H1162" s="124"/>
      <c r="I1162" s="124"/>
      <c r="J1162" s="124"/>
      <c r="K1162" s="125"/>
      <c r="L1162" s="125"/>
      <c r="M1162" s="126"/>
    </row>
    <row r="1163" ht="15.75" customHeight="1">
      <c r="A1163" s="143"/>
      <c r="B1163" s="137"/>
      <c r="C1163" s="130"/>
      <c r="D1163" s="62"/>
      <c r="E1163" s="62"/>
      <c r="F1163" s="62"/>
      <c r="G1163" s="62"/>
      <c r="H1163" s="62"/>
      <c r="I1163" s="62"/>
      <c r="J1163" s="62"/>
      <c r="K1163" s="130"/>
      <c r="L1163" s="130"/>
      <c r="M1163" s="132"/>
    </row>
    <row r="1164" ht="15.75" customHeight="1">
      <c r="A1164" s="142"/>
      <c r="B1164" s="138"/>
      <c r="C1164" s="125"/>
      <c r="D1164" s="124"/>
      <c r="E1164" s="124"/>
      <c r="F1164" s="124"/>
      <c r="G1164" s="124"/>
      <c r="H1164" s="124"/>
      <c r="I1164" s="124"/>
      <c r="J1164" s="124"/>
      <c r="K1164" s="125"/>
      <c r="L1164" s="125"/>
      <c r="M1164" s="126"/>
    </row>
    <row r="1165" ht="15.75" customHeight="1">
      <c r="A1165" s="143"/>
      <c r="B1165" s="137"/>
      <c r="C1165" s="130"/>
      <c r="D1165" s="62"/>
      <c r="E1165" s="62"/>
      <c r="F1165" s="62"/>
      <c r="G1165" s="62"/>
      <c r="H1165" s="62"/>
      <c r="I1165" s="62"/>
      <c r="J1165" s="62"/>
      <c r="K1165" s="130"/>
      <c r="L1165" s="130"/>
      <c r="M1165" s="132"/>
    </row>
    <row r="1166" ht="15.75" customHeight="1">
      <c r="A1166" s="142"/>
      <c r="B1166" s="138"/>
      <c r="C1166" s="125"/>
      <c r="D1166" s="124"/>
      <c r="E1166" s="124"/>
      <c r="F1166" s="124"/>
      <c r="G1166" s="124"/>
      <c r="H1166" s="124"/>
      <c r="I1166" s="124"/>
      <c r="J1166" s="124"/>
      <c r="K1166" s="125"/>
      <c r="L1166" s="125"/>
      <c r="M1166" s="126"/>
    </row>
    <row r="1167" ht="15.75" customHeight="1">
      <c r="A1167" s="143"/>
      <c r="B1167" s="137"/>
      <c r="C1167" s="130"/>
      <c r="D1167" s="62"/>
      <c r="E1167" s="62"/>
      <c r="F1167" s="62"/>
      <c r="G1167" s="62"/>
      <c r="H1167" s="62"/>
      <c r="I1167" s="62"/>
      <c r="J1167" s="62"/>
      <c r="K1167" s="130"/>
      <c r="L1167" s="130"/>
      <c r="M1167" s="133"/>
    </row>
    <row r="1168" ht="15.75" customHeight="1">
      <c r="A1168" s="142"/>
      <c r="B1168" s="138"/>
      <c r="C1168" s="125"/>
      <c r="D1168" s="124"/>
      <c r="E1168" s="124"/>
      <c r="F1168" s="124"/>
      <c r="G1168" s="124"/>
      <c r="H1168" s="124"/>
      <c r="I1168" s="124"/>
      <c r="J1168" s="124"/>
      <c r="K1168" s="125"/>
      <c r="L1168" s="125"/>
      <c r="M1168" s="134"/>
    </row>
    <row r="1169" ht="15.75" customHeight="1">
      <c r="A1169" s="143"/>
      <c r="B1169" s="137"/>
      <c r="C1169" s="130"/>
      <c r="D1169" s="62"/>
      <c r="E1169" s="62"/>
      <c r="F1169" s="62"/>
      <c r="G1169" s="62"/>
      <c r="H1169" s="62"/>
      <c r="I1169" s="62"/>
      <c r="J1169" s="62"/>
      <c r="K1169" s="130"/>
      <c r="L1169" s="130"/>
      <c r="M1169" s="132"/>
    </row>
    <row r="1170" ht="15.75" customHeight="1">
      <c r="A1170" s="142"/>
      <c r="B1170" s="138"/>
      <c r="C1170" s="125"/>
      <c r="D1170" s="124"/>
      <c r="E1170" s="124"/>
      <c r="F1170" s="124"/>
      <c r="G1170" s="124"/>
      <c r="H1170" s="124"/>
      <c r="I1170" s="124"/>
      <c r="J1170" s="124"/>
      <c r="K1170" s="125"/>
      <c r="L1170" s="125"/>
      <c r="M1170" s="126"/>
    </row>
    <row r="1171" ht="15.75" customHeight="1">
      <c r="A1171" s="143"/>
      <c r="B1171" s="137"/>
      <c r="C1171" s="130"/>
      <c r="D1171" s="62"/>
      <c r="E1171" s="62"/>
      <c r="F1171" s="62"/>
      <c r="G1171" s="62"/>
      <c r="H1171" s="62"/>
      <c r="I1171" s="62"/>
      <c r="J1171" s="62"/>
      <c r="K1171" s="130"/>
      <c r="L1171" s="130"/>
      <c r="M1171" s="132"/>
    </row>
    <row r="1172" ht="15.75" customHeight="1">
      <c r="A1172" s="142"/>
      <c r="B1172" s="138"/>
      <c r="C1172" s="125"/>
      <c r="D1172" s="124"/>
      <c r="E1172" s="124"/>
      <c r="F1172" s="124"/>
      <c r="G1172" s="124"/>
      <c r="H1172" s="124"/>
      <c r="I1172" s="124"/>
      <c r="J1172" s="124"/>
      <c r="K1172" s="125"/>
      <c r="L1172" s="124"/>
      <c r="M1172" s="126"/>
    </row>
    <row r="1173" ht="15.75" customHeight="1">
      <c r="A1173" s="143"/>
      <c r="B1173" s="137"/>
      <c r="C1173" s="130"/>
      <c r="D1173" s="62"/>
      <c r="E1173" s="62"/>
      <c r="F1173" s="62"/>
      <c r="G1173" s="62"/>
      <c r="H1173" s="62"/>
      <c r="I1173" s="62"/>
      <c r="J1173" s="62"/>
      <c r="K1173" s="130"/>
      <c r="L1173" s="130"/>
      <c r="M1173" s="132"/>
    </row>
    <row r="1174" ht="15.75" customHeight="1">
      <c r="A1174" s="142"/>
      <c r="B1174" s="138"/>
      <c r="C1174" s="125"/>
      <c r="D1174" s="124"/>
      <c r="E1174" s="124"/>
      <c r="F1174" s="124"/>
      <c r="G1174" s="124"/>
      <c r="H1174" s="124"/>
      <c r="I1174" s="124"/>
      <c r="J1174" s="124"/>
      <c r="K1174" s="125"/>
      <c r="L1174" s="124"/>
      <c r="M1174" s="126"/>
    </row>
    <row r="1175" ht="15.75" customHeight="1">
      <c r="A1175" s="143"/>
      <c r="B1175" s="137"/>
      <c r="C1175" s="130"/>
      <c r="D1175" s="62"/>
      <c r="E1175" s="62"/>
      <c r="F1175" s="62"/>
      <c r="G1175" s="62"/>
      <c r="H1175" s="62"/>
      <c r="I1175" s="62"/>
      <c r="J1175" s="62"/>
      <c r="K1175" s="130"/>
      <c r="L1175" s="62"/>
      <c r="M1175" s="132"/>
    </row>
    <row r="1176" ht="15.75" customHeight="1">
      <c r="A1176" s="142"/>
      <c r="B1176" s="138"/>
      <c r="C1176" s="125"/>
      <c r="D1176" s="124"/>
      <c r="E1176" s="124"/>
      <c r="F1176" s="124"/>
      <c r="G1176" s="124"/>
      <c r="H1176" s="124"/>
      <c r="I1176" s="124"/>
      <c r="J1176" s="124"/>
      <c r="K1176" s="125"/>
      <c r="L1176" s="125"/>
      <c r="M1176" s="126"/>
    </row>
    <row r="1177" ht="15.75" customHeight="1">
      <c r="A1177" s="143"/>
      <c r="B1177" s="137"/>
      <c r="C1177" s="130"/>
      <c r="D1177" s="62"/>
      <c r="E1177" s="62"/>
      <c r="F1177" s="62"/>
      <c r="G1177" s="62"/>
      <c r="H1177" s="62"/>
      <c r="I1177" s="62"/>
      <c r="J1177" s="62"/>
      <c r="K1177" s="130"/>
      <c r="L1177" s="62"/>
      <c r="M1177" s="132"/>
    </row>
    <row r="1178" ht="15.75" customHeight="1">
      <c r="A1178" s="142"/>
      <c r="B1178" s="138"/>
      <c r="C1178" s="125"/>
      <c r="D1178" s="124"/>
      <c r="E1178" s="124"/>
      <c r="F1178" s="124"/>
      <c r="G1178" s="124"/>
      <c r="H1178" s="124"/>
      <c r="I1178" s="124"/>
      <c r="J1178" s="124"/>
      <c r="K1178" s="125"/>
      <c r="L1178" s="125"/>
      <c r="M1178" s="126"/>
    </row>
    <row r="1179" ht="15.75" customHeight="1">
      <c r="A1179" s="143"/>
      <c r="B1179" s="137"/>
      <c r="C1179" s="130"/>
      <c r="D1179" s="62"/>
      <c r="E1179" s="62"/>
      <c r="F1179" s="62"/>
      <c r="G1179" s="62"/>
      <c r="H1179" s="62"/>
      <c r="I1179" s="62"/>
      <c r="J1179" s="62"/>
      <c r="K1179" s="130"/>
      <c r="L1179" s="130"/>
      <c r="M1179" s="132"/>
    </row>
    <row r="1180" ht="15.75" customHeight="1">
      <c r="A1180" s="142"/>
      <c r="B1180" s="138"/>
      <c r="C1180" s="125"/>
      <c r="D1180" s="124"/>
      <c r="E1180" s="124"/>
      <c r="F1180" s="124"/>
      <c r="G1180" s="124"/>
      <c r="H1180" s="124"/>
      <c r="I1180" s="124"/>
      <c r="J1180" s="124"/>
      <c r="K1180" s="125"/>
      <c r="L1180" s="124"/>
      <c r="M1180" s="126"/>
    </row>
    <row r="1181" ht="15.75" customHeight="1">
      <c r="A1181" s="143"/>
      <c r="B1181" s="137"/>
      <c r="C1181" s="130"/>
      <c r="D1181" s="62"/>
      <c r="E1181" s="62"/>
      <c r="F1181" s="62"/>
      <c r="G1181" s="62"/>
      <c r="H1181" s="62"/>
      <c r="I1181" s="62"/>
      <c r="J1181" s="62"/>
      <c r="K1181" s="130"/>
      <c r="L1181" s="62"/>
      <c r="M1181" s="132"/>
    </row>
    <row r="1182" ht="15.75" customHeight="1">
      <c r="A1182" s="142"/>
      <c r="B1182" s="138"/>
      <c r="C1182" s="125"/>
      <c r="D1182" s="124"/>
      <c r="E1182" s="124"/>
      <c r="F1182" s="124"/>
      <c r="G1182" s="124"/>
      <c r="H1182" s="124"/>
      <c r="I1182" s="124"/>
      <c r="J1182" s="124"/>
      <c r="K1182" s="125"/>
      <c r="L1182" s="124"/>
      <c r="M1182" s="126"/>
    </row>
    <row r="1183" ht="15.75" customHeight="1">
      <c r="A1183" s="143"/>
      <c r="B1183" s="137"/>
      <c r="C1183" s="130"/>
      <c r="D1183" s="62"/>
      <c r="E1183" s="62"/>
      <c r="F1183" s="62"/>
      <c r="G1183" s="62"/>
      <c r="H1183" s="62"/>
      <c r="I1183" s="62"/>
      <c r="J1183" s="62"/>
      <c r="K1183" s="130"/>
      <c r="L1183" s="130"/>
      <c r="M1183" s="132"/>
    </row>
    <row r="1184" ht="15.75" customHeight="1">
      <c r="A1184" s="142"/>
      <c r="B1184" s="138"/>
      <c r="C1184" s="125"/>
      <c r="D1184" s="124"/>
      <c r="E1184" s="124"/>
      <c r="F1184" s="124"/>
      <c r="G1184" s="124"/>
      <c r="H1184" s="124"/>
      <c r="I1184" s="124"/>
      <c r="J1184" s="124"/>
      <c r="K1184" s="125"/>
      <c r="L1184" s="125"/>
      <c r="M1184" s="126"/>
    </row>
    <row r="1185" ht="15.75" customHeight="1">
      <c r="A1185" s="143"/>
      <c r="B1185" s="137"/>
      <c r="C1185" s="130"/>
      <c r="D1185" s="62"/>
      <c r="E1185" s="62"/>
      <c r="F1185" s="62"/>
      <c r="G1185" s="62"/>
      <c r="H1185" s="62"/>
      <c r="I1185" s="62"/>
      <c r="J1185" s="62"/>
      <c r="K1185" s="130"/>
      <c r="L1185" s="130"/>
      <c r="M1185" s="132"/>
    </row>
    <row r="1186" ht="15.75" customHeight="1">
      <c r="A1186" s="142"/>
      <c r="B1186" s="138"/>
      <c r="C1186" s="125"/>
      <c r="D1186" s="124"/>
      <c r="E1186" s="124"/>
      <c r="F1186" s="124"/>
      <c r="G1186" s="124"/>
      <c r="H1186" s="124"/>
      <c r="I1186" s="124"/>
      <c r="J1186" s="124"/>
      <c r="K1186" s="125"/>
      <c r="L1186" s="124"/>
      <c r="M1186" s="126"/>
    </row>
    <row r="1187" ht="15.75" customHeight="1">
      <c r="A1187" s="143"/>
      <c r="B1187" s="137"/>
      <c r="C1187" s="130"/>
      <c r="D1187" s="62"/>
      <c r="E1187" s="62"/>
      <c r="F1187" s="62"/>
      <c r="G1187" s="62"/>
      <c r="H1187" s="62"/>
      <c r="I1187" s="62"/>
      <c r="J1187" s="62"/>
      <c r="K1187" s="130"/>
      <c r="L1187" s="130"/>
      <c r="M1187" s="132"/>
    </row>
    <row r="1188" ht="15.75" customHeight="1">
      <c r="A1188" s="142"/>
      <c r="B1188" s="138"/>
      <c r="C1188" s="125"/>
      <c r="D1188" s="124"/>
      <c r="E1188" s="124"/>
      <c r="F1188" s="124"/>
      <c r="G1188" s="124"/>
      <c r="H1188" s="124"/>
      <c r="I1188" s="124"/>
      <c r="J1188" s="124"/>
      <c r="K1188" s="125"/>
      <c r="L1188" s="125"/>
      <c r="M1188" s="126"/>
    </row>
    <row r="1189" ht="15.75" customHeight="1">
      <c r="A1189" s="143"/>
      <c r="B1189" s="137"/>
      <c r="C1189" s="130"/>
      <c r="D1189" s="62"/>
      <c r="E1189" s="62"/>
      <c r="F1189" s="62"/>
      <c r="G1189" s="62"/>
      <c r="H1189" s="62"/>
      <c r="I1189" s="62"/>
      <c r="J1189" s="62"/>
      <c r="K1189" s="130"/>
      <c r="L1189" s="62"/>
      <c r="M1189" s="132"/>
    </row>
    <row r="1190" ht="15.75" customHeight="1">
      <c r="A1190" s="142"/>
      <c r="B1190" s="138"/>
      <c r="C1190" s="125"/>
      <c r="D1190" s="124"/>
      <c r="E1190" s="124"/>
      <c r="F1190" s="124"/>
      <c r="G1190" s="124"/>
      <c r="H1190" s="124"/>
      <c r="I1190" s="124"/>
      <c r="J1190" s="124"/>
      <c r="K1190" s="125"/>
      <c r="L1190" s="125"/>
      <c r="M1190" s="126"/>
    </row>
    <row r="1191" ht="15.75" customHeight="1">
      <c r="A1191" s="143"/>
      <c r="B1191" s="137"/>
      <c r="C1191" s="130"/>
      <c r="D1191" s="62"/>
      <c r="E1191" s="62"/>
      <c r="F1191" s="62"/>
      <c r="G1191" s="62"/>
      <c r="H1191" s="62"/>
      <c r="I1191" s="62"/>
      <c r="J1191" s="62"/>
      <c r="K1191" s="130"/>
      <c r="L1191" s="62"/>
      <c r="M1191" s="132"/>
    </row>
  </sheetData>
  <autoFilter ref="$A$1:$O$991">
    <filterColumn colId="10">
      <filters>
        <filter val="TPH"/>
        <filter val="CSAT"/>
      </filters>
    </filterColumn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2" max="6" width="14.43"/>
  </cols>
  <sheetData>
    <row r="1" ht="15.75" customHeight="1">
      <c r="A1" s="1" t="s">
        <v>191</v>
      </c>
      <c r="B1" s="1" t="s">
        <v>15</v>
      </c>
      <c r="C1" s="1" t="s">
        <v>5724</v>
      </c>
      <c r="D1" s="1" t="s">
        <v>130</v>
      </c>
      <c r="E1" s="1" t="s">
        <v>5725</v>
      </c>
    </row>
    <row r="2" ht="15.75" customHeight="1">
      <c r="A2" s="25">
        <v>45705.549710844905</v>
      </c>
      <c r="B2" s="1">
        <v>1270458.0</v>
      </c>
      <c r="C2" s="1" t="s">
        <v>3</v>
      </c>
      <c r="D2" s="1" t="s">
        <v>7</v>
      </c>
      <c r="E2" s="1">
        <v>16.0</v>
      </c>
    </row>
    <row r="3" ht="15.75" customHeight="1">
      <c r="A3" s="25">
        <v>45705.54971865741</v>
      </c>
      <c r="B3" s="1">
        <v>1270458.0</v>
      </c>
      <c r="C3" s="1" t="s">
        <v>3</v>
      </c>
      <c r="D3" s="1" t="s">
        <v>153</v>
      </c>
      <c r="E3" s="1">
        <v>10.0</v>
      </c>
    </row>
    <row r="4" ht="15.75" customHeight="1">
      <c r="A4" s="25">
        <v>45705.54972166667</v>
      </c>
      <c r="B4" s="1">
        <v>1270458.0</v>
      </c>
      <c r="C4" s="1" t="s">
        <v>3</v>
      </c>
      <c r="D4" s="1" t="s">
        <v>155</v>
      </c>
      <c r="E4" s="1">
        <v>3.67</v>
      </c>
    </row>
    <row r="5" ht="15.75" customHeight="1">
      <c r="A5" s="25">
        <v>45705.54972488426</v>
      </c>
      <c r="B5" s="1">
        <v>1270458.0</v>
      </c>
      <c r="C5" s="1" t="s">
        <v>3</v>
      </c>
      <c r="D5" s="1" t="s">
        <v>5726</v>
      </c>
      <c r="E5" s="1">
        <v>90.0</v>
      </c>
    </row>
    <row r="6" ht="15.75" customHeight="1">
      <c r="A6" s="25">
        <v>45705.54972793981</v>
      </c>
      <c r="B6" s="1">
        <v>1270458.0</v>
      </c>
      <c r="C6" s="1" t="s">
        <v>3</v>
      </c>
      <c r="D6" s="1" t="s">
        <v>139</v>
      </c>
      <c r="E6" s="1">
        <v>8.5</v>
      </c>
    </row>
    <row r="7" ht="15.75" customHeight="1">
      <c r="A7" s="25">
        <v>45705.66229875</v>
      </c>
      <c r="B7" s="1">
        <v>1270458.0</v>
      </c>
      <c r="C7" s="1" t="s">
        <v>3</v>
      </c>
      <c r="D7" s="1" t="s">
        <v>7</v>
      </c>
      <c r="E7" s="1">
        <v>16.0</v>
      </c>
    </row>
    <row r="8" ht="15.75" customHeight="1">
      <c r="A8" s="25">
        <v>45705.66230096065</v>
      </c>
      <c r="B8" s="1">
        <v>1270458.0</v>
      </c>
      <c r="C8" s="1" t="s">
        <v>3</v>
      </c>
      <c r="D8" s="1" t="s">
        <v>7</v>
      </c>
      <c r="E8" s="1">
        <v>23.0</v>
      </c>
    </row>
    <row r="9" ht="15.75" customHeight="1">
      <c r="A9" s="25">
        <v>45705.66230309028</v>
      </c>
      <c r="B9" s="1">
        <v>1270458.0</v>
      </c>
      <c r="C9" s="1" t="s">
        <v>3</v>
      </c>
      <c r="D9" s="1" t="s">
        <v>7</v>
      </c>
      <c r="E9" s="1">
        <v>16.0</v>
      </c>
    </row>
    <row r="10" ht="15.75" customHeight="1">
      <c r="A10" s="25">
        <v>45705.66230553241</v>
      </c>
      <c r="B10" s="1">
        <v>1270458.0</v>
      </c>
      <c r="C10" s="1" t="s">
        <v>3</v>
      </c>
      <c r="D10" s="1" t="s">
        <v>153</v>
      </c>
      <c r="E10" s="1">
        <v>10.0</v>
      </c>
    </row>
    <row r="11" ht="15.75" customHeight="1">
      <c r="A11" s="25">
        <v>45705.66230776621</v>
      </c>
      <c r="B11" s="1">
        <v>1270458.0</v>
      </c>
      <c r="C11" s="1" t="s">
        <v>3</v>
      </c>
      <c r="D11" s="1" t="s">
        <v>153</v>
      </c>
      <c r="E11" s="1">
        <v>23.0</v>
      </c>
    </row>
    <row r="12" ht="15.75" customHeight="1">
      <c r="A12" s="25">
        <v>45705.66230989584</v>
      </c>
      <c r="B12" s="1">
        <v>1270458.0</v>
      </c>
      <c r="C12" s="1" t="s">
        <v>3</v>
      </c>
      <c r="D12" s="1" t="s">
        <v>153</v>
      </c>
      <c r="E12" s="1">
        <v>10.0</v>
      </c>
    </row>
    <row r="13" ht="15.75" customHeight="1">
      <c r="A13" s="25">
        <v>45705.66231223379</v>
      </c>
      <c r="B13" s="1">
        <v>1270458.0</v>
      </c>
      <c r="C13" s="1" t="s">
        <v>3</v>
      </c>
      <c r="D13" s="1" t="s">
        <v>155</v>
      </c>
      <c r="E13" s="1">
        <v>3.67</v>
      </c>
    </row>
    <row r="14" ht="15.75" customHeight="1">
      <c r="A14" s="25">
        <v>45705.662314664354</v>
      </c>
      <c r="B14" s="1">
        <v>1270458.0</v>
      </c>
      <c r="C14" s="1" t="s">
        <v>3</v>
      </c>
      <c r="D14" s="1" t="s">
        <v>155</v>
      </c>
      <c r="E14" s="1">
        <v>23.0</v>
      </c>
    </row>
    <row r="15" ht="15.75" customHeight="1">
      <c r="A15" s="25">
        <v>45705.66231684027</v>
      </c>
      <c r="B15" s="1">
        <v>1270458.0</v>
      </c>
      <c r="C15" s="1" t="s">
        <v>3</v>
      </c>
      <c r="D15" s="1" t="s">
        <v>155</v>
      </c>
      <c r="E15" s="1">
        <v>3.67</v>
      </c>
    </row>
    <row r="16" ht="15.75" customHeight="1">
      <c r="A16" s="25">
        <v>45705.66231914352</v>
      </c>
      <c r="B16" s="1">
        <v>1270458.0</v>
      </c>
      <c r="C16" s="1" t="s">
        <v>3</v>
      </c>
      <c r="D16" s="1" t="s">
        <v>5726</v>
      </c>
      <c r="E16" s="1">
        <v>90.0</v>
      </c>
    </row>
    <row r="17" ht="15.75" customHeight="1">
      <c r="A17" s="25">
        <v>45705.662321446755</v>
      </c>
      <c r="B17" s="1">
        <v>1270458.0</v>
      </c>
      <c r="C17" s="1" t="s">
        <v>3</v>
      </c>
      <c r="D17" s="1" t="s">
        <v>5726</v>
      </c>
      <c r="E17" s="1">
        <v>23.0</v>
      </c>
    </row>
    <row r="18" ht="15.75" customHeight="1">
      <c r="A18" s="25">
        <v>45705.66232373843</v>
      </c>
      <c r="B18" s="1">
        <v>1270458.0</v>
      </c>
      <c r="C18" s="1" t="s">
        <v>3</v>
      </c>
      <c r="D18" s="1" t="s">
        <v>5726</v>
      </c>
      <c r="E18" s="1">
        <v>90.0</v>
      </c>
    </row>
    <row r="19" ht="15.75" customHeight="1">
      <c r="A19" s="25">
        <v>45705.66232625</v>
      </c>
      <c r="B19" s="1">
        <v>1270458.0</v>
      </c>
      <c r="C19" s="1" t="s">
        <v>3</v>
      </c>
      <c r="D19" s="1" t="s">
        <v>139</v>
      </c>
      <c r="E19" s="1">
        <v>8.5</v>
      </c>
    </row>
    <row r="20" ht="15.75" customHeight="1">
      <c r="A20" s="25">
        <v>45705.66232856482</v>
      </c>
      <c r="B20" s="1">
        <v>1270458.0</v>
      </c>
      <c r="C20" s="1" t="s">
        <v>3</v>
      </c>
      <c r="D20" s="1" t="s">
        <v>139</v>
      </c>
      <c r="E20" s="1">
        <v>23.0</v>
      </c>
    </row>
    <row r="21" ht="15.75" customHeight="1">
      <c r="A21" s="25">
        <v>45705.662330879626</v>
      </c>
      <c r="B21" s="1">
        <v>1270458.0</v>
      </c>
      <c r="C21" s="1" t="s">
        <v>3</v>
      </c>
      <c r="D21" s="1" t="s">
        <v>139</v>
      </c>
      <c r="E21" s="1">
        <v>8.5</v>
      </c>
    </row>
    <row r="22" ht="15.75" customHeight="1">
      <c r="A22" s="25">
        <v>45705.66233324074</v>
      </c>
      <c r="B22" s="1">
        <v>1270458.0</v>
      </c>
      <c r="C22" s="1" t="s">
        <v>3</v>
      </c>
      <c r="D22" s="1" t="s">
        <v>7</v>
      </c>
      <c r="E22" s="1">
        <v>16.0</v>
      </c>
    </row>
    <row r="23" ht="15.75" customHeight="1">
      <c r="A23" s="25">
        <v>45705.6623355787</v>
      </c>
      <c r="B23" s="1">
        <v>1270458.0</v>
      </c>
      <c r="C23" s="1" t="s">
        <v>3</v>
      </c>
      <c r="D23" s="1" t="s">
        <v>7</v>
      </c>
      <c r="E23" s="1">
        <v>23.0</v>
      </c>
    </row>
    <row r="24" ht="15.75" customHeight="1">
      <c r="A24" s="25">
        <v>45705.66233782408</v>
      </c>
      <c r="B24" s="1">
        <v>1270458.0</v>
      </c>
      <c r="C24" s="1" t="s">
        <v>3</v>
      </c>
      <c r="D24" s="1" t="s">
        <v>7</v>
      </c>
      <c r="E24" s="1">
        <v>16.0</v>
      </c>
    </row>
    <row r="25" ht="15.75" customHeight="1">
      <c r="A25" s="25">
        <v>45705.66234016204</v>
      </c>
      <c r="B25" s="1">
        <v>1270458.0</v>
      </c>
      <c r="C25" s="1" t="s">
        <v>3</v>
      </c>
      <c r="D25" s="1" t="s">
        <v>153</v>
      </c>
      <c r="E25" s="1">
        <v>10.0</v>
      </c>
    </row>
    <row r="26" ht="15.75" customHeight="1">
      <c r="A26" s="25">
        <v>45705.66234309028</v>
      </c>
      <c r="B26" s="1">
        <v>1270458.0</v>
      </c>
      <c r="C26" s="1" t="s">
        <v>3</v>
      </c>
      <c r="D26" s="1" t="s">
        <v>153</v>
      </c>
      <c r="E26" s="1">
        <v>23.0</v>
      </c>
    </row>
    <row r="27" ht="15.75" customHeight="1">
      <c r="A27" s="25">
        <v>45705.66234524305</v>
      </c>
      <c r="B27" s="1">
        <v>1270458.0</v>
      </c>
      <c r="C27" s="1" t="s">
        <v>3</v>
      </c>
      <c r="D27" s="1" t="s">
        <v>153</v>
      </c>
      <c r="E27" s="1">
        <v>10.0</v>
      </c>
    </row>
    <row r="28" ht="15.75" customHeight="1">
      <c r="A28" s="25">
        <v>45705.66234736111</v>
      </c>
      <c r="B28" s="1">
        <v>1270458.0</v>
      </c>
      <c r="C28" s="1" t="s">
        <v>3</v>
      </c>
      <c r="D28" s="1" t="s">
        <v>155</v>
      </c>
      <c r="E28" s="1">
        <v>3.67</v>
      </c>
    </row>
    <row r="29" ht="15.75" customHeight="1">
      <c r="A29" s="25">
        <v>45705.6623495949</v>
      </c>
      <c r="B29" s="1">
        <v>1270458.0</v>
      </c>
      <c r="C29" s="1" t="s">
        <v>3</v>
      </c>
      <c r="D29" s="1" t="s">
        <v>155</v>
      </c>
      <c r="E29" s="1">
        <v>23.0</v>
      </c>
    </row>
    <row r="30" ht="15.75" customHeight="1">
      <c r="A30" s="25">
        <v>45705.66235189815</v>
      </c>
      <c r="B30" s="1">
        <v>1270458.0</v>
      </c>
      <c r="C30" s="1" t="s">
        <v>3</v>
      </c>
      <c r="D30" s="1" t="s">
        <v>155</v>
      </c>
      <c r="E30" s="1">
        <v>3.67</v>
      </c>
    </row>
    <row r="31" ht="15.75" customHeight="1">
      <c r="A31" s="25">
        <v>45705.66235424769</v>
      </c>
      <c r="B31" s="1">
        <v>1270458.0</v>
      </c>
      <c r="C31" s="1" t="s">
        <v>3</v>
      </c>
      <c r="D31" s="1" t="s">
        <v>5726</v>
      </c>
      <c r="E31" s="1">
        <v>90.0</v>
      </c>
    </row>
    <row r="32" ht="15.75" customHeight="1">
      <c r="A32" s="25">
        <v>45705.66235653935</v>
      </c>
      <c r="B32" s="1">
        <v>1270458.0</v>
      </c>
      <c r="C32" s="1" t="s">
        <v>3</v>
      </c>
      <c r="D32" s="1" t="s">
        <v>5726</v>
      </c>
      <c r="E32" s="1">
        <v>23.0</v>
      </c>
    </row>
    <row r="33" ht="15.75" customHeight="1">
      <c r="A33" s="25">
        <v>45705.662358761576</v>
      </c>
      <c r="B33" s="1">
        <v>1270458.0</v>
      </c>
      <c r="C33" s="1" t="s">
        <v>3</v>
      </c>
      <c r="D33" s="1" t="s">
        <v>5726</v>
      </c>
      <c r="E33" s="1">
        <v>90.0</v>
      </c>
    </row>
    <row r="34" ht="15.75" customHeight="1">
      <c r="A34" s="25">
        <v>45705.66236086805</v>
      </c>
      <c r="B34" s="1">
        <v>1270458.0</v>
      </c>
      <c r="C34" s="1" t="s">
        <v>3</v>
      </c>
      <c r="D34" s="1" t="s">
        <v>139</v>
      </c>
      <c r="E34" s="1">
        <v>8.5</v>
      </c>
    </row>
    <row r="35" ht="15.75" customHeight="1">
      <c r="A35" s="25">
        <v>45705.662363043986</v>
      </c>
      <c r="B35" s="1">
        <v>1270458.0</v>
      </c>
      <c r="C35" s="1" t="s">
        <v>3</v>
      </c>
      <c r="D35" s="1" t="s">
        <v>139</v>
      </c>
      <c r="E35" s="1">
        <v>23.0</v>
      </c>
    </row>
    <row r="36" ht="15.75" customHeight="1">
      <c r="A36" s="25">
        <v>45705.662365625</v>
      </c>
      <c r="B36" s="1">
        <v>1270458.0</v>
      </c>
      <c r="C36" s="1" t="s">
        <v>3</v>
      </c>
      <c r="D36" s="1" t="s">
        <v>139</v>
      </c>
      <c r="E36" s="1">
        <v>8.5</v>
      </c>
    </row>
    <row r="37" ht="15.75" customHeight="1">
      <c r="A37" s="25">
        <v>45705.66236802083</v>
      </c>
      <c r="B37" s="1">
        <v>1270458.0</v>
      </c>
      <c r="C37" s="1" t="s">
        <v>3</v>
      </c>
      <c r="D37" s="1" t="s">
        <v>138</v>
      </c>
      <c r="E37" s="1">
        <v>23.0</v>
      </c>
    </row>
    <row r="38" ht="15.75" customHeight="1">
      <c r="A38" s="25">
        <v>45705.66237021991</v>
      </c>
      <c r="B38" s="1">
        <v>1270458.0</v>
      </c>
      <c r="C38" s="1" t="s">
        <v>3</v>
      </c>
      <c r="D38" s="1" t="s">
        <v>7</v>
      </c>
      <c r="E38" s="1">
        <v>16.0</v>
      </c>
    </row>
    <row r="39" ht="15.75" customHeight="1">
      <c r="A39" s="25">
        <v>45705.662372418985</v>
      </c>
      <c r="B39" s="1">
        <v>1270458.0</v>
      </c>
      <c r="C39" s="1" t="s">
        <v>3</v>
      </c>
      <c r="D39" s="1" t="s">
        <v>7</v>
      </c>
      <c r="E39" s="1">
        <v>23.0</v>
      </c>
    </row>
    <row r="40" ht="15.75" customHeight="1">
      <c r="A40" s="25">
        <v>45705.662374629625</v>
      </c>
      <c r="B40" s="1">
        <v>1270458.0</v>
      </c>
      <c r="C40" s="1" t="s">
        <v>3</v>
      </c>
      <c r="D40" s="1" t="s">
        <v>7</v>
      </c>
      <c r="E40" s="1">
        <v>16.0</v>
      </c>
    </row>
    <row r="41" ht="15.75" customHeight="1">
      <c r="A41" s="25">
        <v>45705.6623768287</v>
      </c>
      <c r="B41" s="1">
        <v>1270458.0</v>
      </c>
      <c r="C41" s="1" t="s">
        <v>3</v>
      </c>
      <c r="D41" s="1" t="s">
        <v>153</v>
      </c>
      <c r="E41" s="1">
        <v>10.0</v>
      </c>
    </row>
    <row r="42" ht="15.75" customHeight="1">
      <c r="A42" s="25">
        <v>45705.662379270834</v>
      </c>
      <c r="B42" s="1">
        <v>1270458.0</v>
      </c>
      <c r="C42" s="1" t="s">
        <v>3</v>
      </c>
      <c r="D42" s="1" t="s">
        <v>153</v>
      </c>
      <c r="E42" s="1">
        <v>23.0</v>
      </c>
    </row>
    <row r="43" ht="15.75" customHeight="1">
      <c r="A43" s="25">
        <v>45705.66238137732</v>
      </c>
      <c r="B43" s="1">
        <v>1270458.0</v>
      </c>
      <c r="C43" s="1" t="s">
        <v>3</v>
      </c>
      <c r="D43" s="1" t="s">
        <v>153</v>
      </c>
      <c r="E43" s="1">
        <v>10.0</v>
      </c>
    </row>
    <row r="44" ht="15.75" customHeight="1">
      <c r="A44" s="25">
        <v>45705.66238371527</v>
      </c>
      <c r="B44" s="1">
        <v>1270458.0</v>
      </c>
      <c r="C44" s="1" t="s">
        <v>3</v>
      </c>
      <c r="D44" s="1" t="s">
        <v>155</v>
      </c>
      <c r="E44" s="1">
        <v>3.67</v>
      </c>
    </row>
    <row r="45" ht="15.75" customHeight="1">
      <c r="A45" s="25">
        <v>45705.662386435186</v>
      </c>
      <c r="B45" s="1">
        <v>1270458.0</v>
      </c>
      <c r="C45" s="1" t="s">
        <v>3</v>
      </c>
      <c r="D45" s="1" t="s">
        <v>155</v>
      </c>
      <c r="E45" s="1">
        <v>23.0</v>
      </c>
    </row>
    <row r="46" ht="15.75" customHeight="1">
      <c r="A46" s="25">
        <v>45705.66238866898</v>
      </c>
      <c r="B46" s="1">
        <v>1270458.0</v>
      </c>
      <c r="C46" s="1" t="s">
        <v>3</v>
      </c>
      <c r="D46" s="1" t="s">
        <v>155</v>
      </c>
      <c r="E46" s="1">
        <v>3.67</v>
      </c>
    </row>
    <row r="47" ht="15.75" customHeight="1">
      <c r="A47" s="25">
        <v>45705.662392569444</v>
      </c>
      <c r="B47" s="1">
        <v>1270458.0</v>
      </c>
      <c r="C47" s="1" t="s">
        <v>3</v>
      </c>
      <c r="D47" s="1" t="s">
        <v>5726</v>
      </c>
      <c r="E47" s="1">
        <v>90.0</v>
      </c>
    </row>
    <row r="48" ht="15.75" customHeight="1">
      <c r="A48" s="25">
        <v>45705.66239547454</v>
      </c>
      <c r="B48" s="1">
        <v>1270458.0</v>
      </c>
      <c r="C48" s="1" t="s">
        <v>3</v>
      </c>
      <c r="D48" s="1" t="s">
        <v>5726</v>
      </c>
      <c r="E48" s="1">
        <v>23.0</v>
      </c>
    </row>
    <row r="49" ht="15.75" customHeight="1">
      <c r="A49" s="25">
        <v>45705.66239761574</v>
      </c>
      <c r="B49" s="1">
        <v>1270458.0</v>
      </c>
      <c r="C49" s="1" t="s">
        <v>3</v>
      </c>
      <c r="D49" s="1" t="s">
        <v>5726</v>
      </c>
      <c r="E49" s="1">
        <v>90.0</v>
      </c>
    </row>
    <row r="50" ht="15.75" customHeight="1">
      <c r="A50" s="25">
        <v>45705.662399849534</v>
      </c>
      <c r="B50" s="1">
        <v>1270458.0</v>
      </c>
      <c r="C50" s="1" t="s">
        <v>3</v>
      </c>
      <c r="D50" s="1" t="s">
        <v>139</v>
      </c>
      <c r="E50" s="1">
        <v>8.5</v>
      </c>
    </row>
    <row r="51" ht="15.75" customHeight="1">
      <c r="A51" s="25">
        <v>45705.66240212963</v>
      </c>
      <c r="B51" s="1">
        <v>1270458.0</v>
      </c>
      <c r="C51" s="1" t="s">
        <v>3</v>
      </c>
      <c r="D51" s="1" t="s">
        <v>139</v>
      </c>
      <c r="E51" s="1">
        <v>23.0</v>
      </c>
    </row>
    <row r="52" ht="15.75" customHeight="1">
      <c r="A52" s="25">
        <v>45705.66240443287</v>
      </c>
      <c r="B52" s="1">
        <v>1270458.0</v>
      </c>
      <c r="C52" s="1" t="s">
        <v>3</v>
      </c>
      <c r="D52" s="1" t="s">
        <v>139</v>
      </c>
      <c r="E52" s="1">
        <v>8.5</v>
      </c>
    </row>
    <row r="53" ht="15.75" customHeight="1">
      <c r="A53" s="25">
        <v>45705.6687150463</v>
      </c>
      <c r="B53" s="1" t="s">
        <v>5727</v>
      </c>
      <c r="C53" s="1">
        <v>1270458.0</v>
      </c>
      <c r="D53" s="1" t="s">
        <v>3</v>
      </c>
      <c r="E53" s="1" t="s">
        <v>7</v>
      </c>
      <c r="F53" s="1">
        <v>0.11</v>
      </c>
    </row>
    <row r="54" ht="15.75" customHeight="1">
      <c r="A54" s="25">
        <v>45705.66871900463</v>
      </c>
      <c r="B54" s="1" t="s">
        <v>5727</v>
      </c>
      <c r="C54" s="1">
        <v>1270458.0</v>
      </c>
      <c r="D54" s="1" t="s">
        <v>3</v>
      </c>
      <c r="E54" s="1" t="s">
        <v>153</v>
      </c>
      <c r="F54" s="1" t="s">
        <v>5728</v>
      </c>
    </row>
    <row r="55" ht="15.75" customHeight="1">
      <c r="A55" s="25">
        <v>45705.66872097222</v>
      </c>
      <c r="B55" s="1" t="s">
        <v>5727</v>
      </c>
      <c r="C55" s="1">
        <v>1270458.0</v>
      </c>
      <c r="D55" s="1" t="s">
        <v>3</v>
      </c>
      <c r="E55" s="1" t="s">
        <v>155</v>
      </c>
      <c r="F55" s="1">
        <v>4.1</v>
      </c>
    </row>
    <row r="56" ht="15.75" customHeight="1">
      <c r="A56" s="25">
        <v>45705.668723055554</v>
      </c>
      <c r="B56" s="1" t="s">
        <v>5727</v>
      </c>
      <c r="C56" s="1">
        <v>1270458.0</v>
      </c>
      <c r="D56" s="1" t="s">
        <v>3</v>
      </c>
      <c r="E56" s="1" t="s">
        <v>5726</v>
      </c>
      <c r="F56" s="1">
        <v>0.9</v>
      </c>
    </row>
    <row r="57" ht="15.75" customHeight="1">
      <c r="A57" s="25">
        <v>45705.66872552084</v>
      </c>
      <c r="B57" s="1" t="s">
        <v>5727</v>
      </c>
      <c r="C57" s="1">
        <v>1270458.0</v>
      </c>
      <c r="D57" s="1" t="s">
        <v>3</v>
      </c>
      <c r="E57" s="1" t="s">
        <v>139</v>
      </c>
      <c r="F57" s="1">
        <v>10.0</v>
      </c>
    </row>
    <row r="58" ht="15.75" customHeight="1">
      <c r="A58" s="25">
        <v>45705.66872778935</v>
      </c>
      <c r="B58" s="1" t="s">
        <v>5727</v>
      </c>
      <c r="C58" s="1">
        <v>1270458.0</v>
      </c>
      <c r="D58" s="1" t="s">
        <v>3</v>
      </c>
      <c r="E58" s="1" t="s">
        <v>7</v>
      </c>
      <c r="F58" s="1">
        <v>0.11</v>
      </c>
    </row>
    <row r="59" ht="15.75" customHeight="1">
      <c r="A59" s="25">
        <v>45705.66872994213</v>
      </c>
      <c r="B59" s="1" t="s">
        <v>5727</v>
      </c>
      <c r="C59" s="1">
        <v>1270458.0</v>
      </c>
      <c r="D59" s="1" t="s">
        <v>3</v>
      </c>
      <c r="E59" s="1" t="s">
        <v>153</v>
      </c>
      <c r="F59" s="1" t="s">
        <v>5728</v>
      </c>
    </row>
    <row r="60" ht="15.75" customHeight="1">
      <c r="A60" s="25">
        <v>45705.66873203704</v>
      </c>
      <c r="B60" s="1" t="s">
        <v>5727</v>
      </c>
      <c r="C60" s="1">
        <v>1270458.0</v>
      </c>
      <c r="D60" s="1" t="s">
        <v>3</v>
      </c>
      <c r="E60" s="1" t="s">
        <v>155</v>
      </c>
      <c r="F60" s="1">
        <v>4.1</v>
      </c>
    </row>
    <row r="61" ht="15.75" customHeight="1">
      <c r="A61" s="25">
        <v>45705.66873424768</v>
      </c>
      <c r="B61" s="1" t="s">
        <v>5727</v>
      </c>
      <c r="C61" s="1">
        <v>1270458.0</v>
      </c>
      <c r="D61" s="1" t="s">
        <v>3</v>
      </c>
      <c r="E61" s="1" t="s">
        <v>5726</v>
      </c>
      <c r="F61" s="1">
        <v>0.9</v>
      </c>
    </row>
    <row r="62" ht="15.75" customHeight="1">
      <c r="A62" s="25">
        <v>45705.66873664352</v>
      </c>
      <c r="B62" s="1" t="s">
        <v>5727</v>
      </c>
      <c r="C62" s="1">
        <v>1270458.0</v>
      </c>
      <c r="D62" s="1" t="s">
        <v>3</v>
      </c>
      <c r="E62" s="1" t="s">
        <v>139</v>
      </c>
      <c r="F62" s="1">
        <v>10.0</v>
      </c>
    </row>
    <row r="63" ht="15.75" customHeight="1">
      <c r="A63" s="25">
        <v>45705.66873875</v>
      </c>
      <c r="B63" s="1" t="s">
        <v>5727</v>
      </c>
      <c r="C63" s="1">
        <v>1270458.0</v>
      </c>
      <c r="D63" s="1" t="s">
        <v>3</v>
      </c>
      <c r="E63" s="1" t="s">
        <v>7</v>
      </c>
      <c r="F63" s="1">
        <v>0.11</v>
      </c>
    </row>
    <row r="64" ht="15.75" customHeight="1">
      <c r="A64" s="25">
        <v>45705.668743946764</v>
      </c>
      <c r="B64" s="1" t="s">
        <v>5727</v>
      </c>
      <c r="C64" s="1">
        <v>1270458.0</v>
      </c>
      <c r="D64" s="1" t="s">
        <v>3</v>
      </c>
      <c r="E64" s="1" t="s">
        <v>153</v>
      </c>
      <c r="F64" s="1" t="s">
        <v>5728</v>
      </c>
    </row>
    <row r="65" ht="15.75" customHeight="1">
      <c r="A65" s="25">
        <v>45705.66874612268</v>
      </c>
      <c r="B65" s="1" t="s">
        <v>5727</v>
      </c>
      <c r="C65" s="1">
        <v>1270458.0</v>
      </c>
      <c r="D65" s="1" t="s">
        <v>3</v>
      </c>
      <c r="E65" s="1" t="s">
        <v>155</v>
      </c>
      <c r="F65" s="1">
        <v>4.1</v>
      </c>
    </row>
    <row r="66" ht="15.75" customHeight="1">
      <c r="A66" s="25">
        <v>45705.668748125</v>
      </c>
      <c r="B66" s="1" t="s">
        <v>5727</v>
      </c>
      <c r="C66" s="1">
        <v>1270458.0</v>
      </c>
      <c r="D66" s="1" t="s">
        <v>3</v>
      </c>
      <c r="E66" s="1" t="s">
        <v>5726</v>
      </c>
      <c r="F66" s="1">
        <v>0.9</v>
      </c>
    </row>
    <row r="67" ht="15.75" customHeight="1">
      <c r="A67" s="25">
        <v>45705.6687502662</v>
      </c>
      <c r="B67" s="1" t="s">
        <v>5727</v>
      </c>
      <c r="C67" s="1">
        <v>1270458.0</v>
      </c>
      <c r="D67" s="1" t="s">
        <v>3</v>
      </c>
      <c r="E67" s="1" t="s">
        <v>139</v>
      </c>
      <c r="F67" s="1">
        <v>10.0</v>
      </c>
    </row>
    <row r="68" ht="15.75" customHeight="1">
      <c r="A68" s="25">
        <v>45705.69743516204</v>
      </c>
      <c r="B68" s="1" t="s">
        <v>5727</v>
      </c>
      <c r="C68" s="1" t="s">
        <v>5729</v>
      </c>
      <c r="D68" s="1">
        <v>1270458.0</v>
      </c>
      <c r="E68" s="1" t="s">
        <v>3</v>
      </c>
      <c r="F68" s="1" t="s">
        <v>7</v>
      </c>
      <c r="G68" s="1">
        <v>0.06</v>
      </c>
    </row>
    <row r="69" ht="15.75" customHeight="1">
      <c r="A69" s="25">
        <v>45705.69743752315</v>
      </c>
      <c r="B69" s="1" t="s">
        <v>5727</v>
      </c>
      <c r="C69" s="1" t="s">
        <v>5729</v>
      </c>
      <c r="D69" s="1">
        <v>1270458.0</v>
      </c>
      <c r="E69" s="1" t="s">
        <v>3</v>
      </c>
      <c r="F69" s="1" t="s">
        <v>153</v>
      </c>
      <c r="G69" s="1">
        <v>450.0</v>
      </c>
    </row>
    <row r="70" ht="15.75" customHeight="1">
      <c r="A70" s="25">
        <v>45705.69743969907</v>
      </c>
      <c r="B70" s="1" t="s">
        <v>5727</v>
      </c>
      <c r="C70" s="1" t="s">
        <v>5729</v>
      </c>
      <c r="D70" s="1">
        <v>1270458.0</v>
      </c>
      <c r="E70" s="1" t="s">
        <v>3</v>
      </c>
      <c r="F70" s="1" t="s">
        <v>155</v>
      </c>
      <c r="G70" s="1">
        <v>4.2</v>
      </c>
    </row>
    <row r="71" ht="15.75" customHeight="1">
      <c r="A71" s="25">
        <v>45705.69745126157</v>
      </c>
      <c r="B71" s="1" t="s">
        <v>5727</v>
      </c>
      <c r="C71" s="1" t="s">
        <v>5729</v>
      </c>
      <c r="D71" s="1">
        <v>1270458.0</v>
      </c>
      <c r="E71" s="1" t="s">
        <v>3</v>
      </c>
      <c r="F71" s="1" t="s">
        <v>5726</v>
      </c>
      <c r="G71" s="1">
        <v>0.9</v>
      </c>
    </row>
    <row r="72" ht="15.75" customHeight="1">
      <c r="A72" s="25">
        <v>45705.69745373842</v>
      </c>
      <c r="B72" s="1" t="s">
        <v>5727</v>
      </c>
      <c r="C72" s="1" t="s">
        <v>5729</v>
      </c>
      <c r="D72" s="1">
        <v>1270458.0</v>
      </c>
      <c r="E72" s="1" t="s">
        <v>3</v>
      </c>
      <c r="F72" s="1" t="s">
        <v>139</v>
      </c>
      <c r="G72" s="1" t="s">
        <v>5728</v>
      </c>
    </row>
    <row r="73" ht="15.75" customHeight="1">
      <c r="A73" s="25">
        <v>45705.69745586805</v>
      </c>
      <c r="B73" s="1" t="s">
        <v>5727</v>
      </c>
      <c r="C73" s="1" t="s">
        <v>5729</v>
      </c>
      <c r="D73" s="1">
        <v>1270458.0</v>
      </c>
      <c r="E73" s="1" t="s">
        <v>3</v>
      </c>
      <c r="F73" s="1" t="s">
        <v>7</v>
      </c>
      <c r="G73" s="1">
        <v>0.06</v>
      </c>
    </row>
    <row r="74" ht="15.75" customHeight="1">
      <c r="A74" s="25">
        <v>45705.69745774305</v>
      </c>
      <c r="B74" s="1" t="s">
        <v>5727</v>
      </c>
      <c r="C74" s="1" t="s">
        <v>5729</v>
      </c>
      <c r="D74" s="1">
        <v>1270458.0</v>
      </c>
      <c r="E74" s="1" t="s">
        <v>3</v>
      </c>
      <c r="F74" s="1" t="s">
        <v>153</v>
      </c>
      <c r="G74" s="1">
        <v>450.0</v>
      </c>
    </row>
    <row r="75" ht="15.75" customHeight="1">
      <c r="A75" s="25">
        <v>45705.69745958333</v>
      </c>
      <c r="B75" s="1" t="s">
        <v>5727</v>
      </c>
      <c r="C75" s="1" t="s">
        <v>5729</v>
      </c>
      <c r="D75" s="1">
        <v>1270458.0</v>
      </c>
      <c r="E75" s="1" t="s">
        <v>3</v>
      </c>
      <c r="F75" s="1" t="s">
        <v>155</v>
      </c>
      <c r="G75" s="1">
        <v>4.2</v>
      </c>
    </row>
    <row r="76" ht="15.75" customHeight="1">
      <c r="A76" s="25">
        <v>45705.69746152778</v>
      </c>
      <c r="B76" s="1" t="s">
        <v>5727</v>
      </c>
      <c r="C76" s="1" t="s">
        <v>5729</v>
      </c>
      <c r="D76" s="1">
        <v>1270458.0</v>
      </c>
      <c r="E76" s="1" t="s">
        <v>3</v>
      </c>
      <c r="F76" s="1" t="s">
        <v>5726</v>
      </c>
      <c r="G76" s="1">
        <v>0.9</v>
      </c>
    </row>
    <row r="77" ht="15.75" customHeight="1">
      <c r="A77" s="25">
        <v>45705.69746380787</v>
      </c>
      <c r="B77" s="1" t="s">
        <v>5727</v>
      </c>
      <c r="C77" s="1" t="s">
        <v>5729</v>
      </c>
      <c r="D77" s="1">
        <v>1270458.0</v>
      </c>
      <c r="E77" s="1" t="s">
        <v>3</v>
      </c>
      <c r="F77" s="1" t="s">
        <v>139</v>
      </c>
      <c r="G77" s="1" t="s">
        <v>5728</v>
      </c>
    </row>
    <row r="78" ht="15.75" customHeight="1">
      <c r="A78" s="25">
        <v>45705.69746642361</v>
      </c>
      <c r="B78" s="1" t="s">
        <v>5727</v>
      </c>
      <c r="C78" s="1" t="s">
        <v>5729</v>
      </c>
      <c r="D78" s="1">
        <v>1270458.0</v>
      </c>
      <c r="E78" s="1" t="s">
        <v>3</v>
      </c>
      <c r="F78" s="1" t="s">
        <v>7</v>
      </c>
      <c r="G78" s="1">
        <v>0.06</v>
      </c>
    </row>
    <row r="79" ht="15.75" customHeight="1">
      <c r="A79" s="25">
        <v>45705.697469328705</v>
      </c>
      <c r="B79" s="1" t="s">
        <v>5727</v>
      </c>
      <c r="C79" s="1" t="s">
        <v>5729</v>
      </c>
      <c r="D79" s="1">
        <v>1270458.0</v>
      </c>
      <c r="E79" s="1" t="s">
        <v>3</v>
      </c>
      <c r="F79" s="1" t="s">
        <v>153</v>
      </c>
      <c r="G79" s="1">
        <v>450.0</v>
      </c>
    </row>
    <row r="80" ht="15.75" customHeight="1">
      <c r="A80" s="25">
        <v>45705.69747204861</v>
      </c>
      <c r="B80" s="1" t="s">
        <v>5727</v>
      </c>
      <c r="C80" s="1" t="s">
        <v>5729</v>
      </c>
      <c r="D80" s="1">
        <v>1270458.0</v>
      </c>
      <c r="E80" s="1" t="s">
        <v>3</v>
      </c>
      <c r="F80" s="1" t="s">
        <v>155</v>
      </c>
      <c r="G80" s="1">
        <v>4.2</v>
      </c>
    </row>
    <row r="81" ht="15.75" customHeight="1">
      <c r="A81" s="25">
        <v>45705.697478726855</v>
      </c>
      <c r="B81" s="1" t="s">
        <v>5727</v>
      </c>
      <c r="C81" s="1" t="s">
        <v>5729</v>
      </c>
      <c r="D81" s="1">
        <v>1270458.0</v>
      </c>
      <c r="E81" s="1" t="s">
        <v>3</v>
      </c>
      <c r="F81" s="1" t="s">
        <v>5726</v>
      </c>
      <c r="G81" s="1">
        <v>0.9</v>
      </c>
    </row>
    <row r="82" ht="15.75" customHeight="1">
      <c r="A82" s="25">
        <v>45705.69748084491</v>
      </c>
      <c r="B82" s="1" t="s">
        <v>5727</v>
      </c>
      <c r="C82" s="1" t="s">
        <v>5729</v>
      </c>
      <c r="D82" s="1">
        <v>1270458.0</v>
      </c>
      <c r="E82" s="1" t="s">
        <v>3</v>
      </c>
      <c r="F82" s="1" t="s">
        <v>139</v>
      </c>
      <c r="G82" s="1" t="s">
        <v>5728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16</v>
      </c>
      <c r="B1" s="1" t="s">
        <v>130</v>
      </c>
    </row>
    <row r="2" ht="15.75" customHeight="1">
      <c r="A2" s="1" t="s">
        <v>5730</v>
      </c>
      <c r="B2" s="1" t="s">
        <v>5731</v>
      </c>
    </row>
    <row r="3" ht="15.75" customHeight="1">
      <c r="A3" s="1" t="s">
        <v>5732</v>
      </c>
      <c r="B3" s="1" t="s">
        <v>5731</v>
      </c>
    </row>
    <row r="4" ht="15.75" customHeight="1">
      <c r="A4" s="1" t="s">
        <v>5732</v>
      </c>
      <c r="B4" s="1" t="s">
        <v>5731</v>
      </c>
    </row>
    <row r="5" ht="15.75" customHeight="1">
      <c r="A5" s="1" t="s">
        <v>5732</v>
      </c>
      <c r="B5" s="1" t="s">
        <v>5731</v>
      </c>
    </row>
    <row r="6" ht="15.75" customHeight="1">
      <c r="A6" s="1" t="s">
        <v>5732</v>
      </c>
      <c r="B6" s="1" t="s">
        <v>5731</v>
      </c>
    </row>
    <row r="7" ht="15.75" customHeight="1">
      <c r="A7" s="1" t="s">
        <v>5732</v>
      </c>
      <c r="B7" s="1" t="s">
        <v>5731</v>
      </c>
    </row>
    <row r="8" ht="15.75" customHeight="1">
      <c r="A8" s="1" t="s">
        <v>5732</v>
      </c>
      <c r="B8" s="1" t="s">
        <v>5731</v>
      </c>
    </row>
    <row r="9" ht="15.75" customHeight="1">
      <c r="A9" s="1" t="s">
        <v>5732</v>
      </c>
      <c r="B9" s="1" t="s">
        <v>5731</v>
      </c>
    </row>
    <row r="10" ht="15.75" customHeight="1">
      <c r="A10" s="1" t="s">
        <v>5732</v>
      </c>
      <c r="B10" s="1" t="s">
        <v>5731</v>
      </c>
    </row>
    <row r="11" ht="15.75" customHeight="1">
      <c r="A11" s="1" t="s">
        <v>5732</v>
      </c>
      <c r="B11" s="1" t="s">
        <v>5731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34.14"/>
    <col customWidth="1" min="3" max="3" width="16.57"/>
    <col customWidth="1" min="4" max="6" width="14.43"/>
    <col customWidth="1" min="14" max="14" width="18.43"/>
    <col customWidth="1" min="20" max="20" width="15.43"/>
    <col customWidth="1" min="24" max="24" width="19.29"/>
  </cols>
  <sheetData>
    <row r="1" ht="15.75" customHeight="1">
      <c r="A1" s="42" t="s">
        <v>191</v>
      </c>
      <c r="B1" s="42" t="s">
        <v>17</v>
      </c>
      <c r="C1" s="42" t="s">
        <v>5</v>
      </c>
      <c r="D1" s="42" t="s">
        <v>5647</v>
      </c>
      <c r="E1" s="51" t="s">
        <v>5648</v>
      </c>
      <c r="F1" s="52" t="s">
        <v>5649</v>
      </c>
      <c r="G1" s="42" t="s">
        <v>5650</v>
      </c>
      <c r="H1" s="42" t="s">
        <v>5651</v>
      </c>
      <c r="I1" s="42" t="s">
        <v>5652</v>
      </c>
      <c r="J1" s="53" t="s">
        <v>5655</v>
      </c>
      <c r="K1" s="42" t="s">
        <v>5656</v>
      </c>
      <c r="L1" s="42" t="s">
        <v>5657</v>
      </c>
      <c r="M1" s="42" t="s">
        <v>5658</v>
      </c>
      <c r="N1" s="42" t="s">
        <v>5660</v>
      </c>
      <c r="O1" s="42" t="s">
        <v>5661</v>
      </c>
      <c r="P1" s="42" t="s">
        <v>5658</v>
      </c>
      <c r="Q1" s="42" t="s">
        <v>5662</v>
      </c>
      <c r="R1" s="42" t="s">
        <v>5663</v>
      </c>
      <c r="S1" s="42" t="s">
        <v>5658</v>
      </c>
      <c r="T1" s="42" t="s">
        <v>5664</v>
      </c>
      <c r="U1" s="42" t="s">
        <v>5665</v>
      </c>
      <c r="V1" s="42" t="s">
        <v>5658</v>
      </c>
      <c r="W1" s="58" t="s">
        <v>5666</v>
      </c>
      <c r="X1" s="42" t="s">
        <v>136</v>
      </c>
      <c r="Y1" s="42" t="s">
        <v>5667</v>
      </c>
      <c r="Z1" s="42" t="s">
        <v>5658</v>
      </c>
      <c r="AA1" s="42" t="s">
        <v>5668</v>
      </c>
      <c r="AB1" s="42" t="s">
        <v>5669</v>
      </c>
      <c r="AC1" s="42" t="s">
        <v>5658</v>
      </c>
      <c r="AD1" s="42" t="s">
        <v>5670</v>
      </c>
      <c r="AE1" s="42" t="s">
        <v>5671</v>
      </c>
      <c r="AF1" s="42" t="s">
        <v>5658</v>
      </c>
      <c r="AG1" s="59" t="s">
        <v>5672</v>
      </c>
      <c r="AH1" s="42" t="s">
        <v>5673</v>
      </c>
      <c r="AI1" s="42" t="s">
        <v>5674</v>
      </c>
      <c r="AJ1" s="42" t="s">
        <v>5658</v>
      </c>
      <c r="AK1" s="42" t="s">
        <v>5675</v>
      </c>
      <c r="AL1" s="42" t="s">
        <v>5676</v>
      </c>
      <c r="AM1" s="42" t="s">
        <v>5658</v>
      </c>
      <c r="AN1" s="42"/>
      <c r="AO1" s="65" t="s">
        <v>5733</v>
      </c>
      <c r="AP1" s="42"/>
      <c r="AQ1" s="42"/>
      <c r="AR1" s="42"/>
      <c r="AS1" s="42"/>
    </row>
    <row r="2" ht="15.75" customHeight="1">
      <c r="A2" s="65" t="s">
        <v>111</v>
      </c>
      <c r="B2" s="60" t="s">
        <v>432</v>
      </c>
      <c r="C2" s="65" t="s">
        <v>5681</v>
      </c>
      <c r="D2" s="75" t="s">
        <v>3</v>
      </c>
      <c r="E2" s="51">
        <f>COUNTIFS(H_C!B:B, B2, H_C!D:D, "&lt;&gt;Soporte")
</f>
        <v>6</v>
      </c>
      <c r="F2" s="42" t="s">
        <v>5734</v>
      </c>
      <c r="G2" s="65" t="s">
        <v>5735</v>
      </c>
      <c r="H2" s="65" t="s">
        <v>138</v>
      </c>
      <c r="I2" s="42" t="s">
        <v>5736</v>
      </c>
      <c r="J2" s="60"/>
      <c r="K2" s="42" t="s">
        <v>5737</v>
      </c>
      <c r="L2" s="67">
        <v>0.97</v>
      </c>
      <c r="M2" s="67">
        <v>0.3</v>
      </c>
      <c r="N2" s="65" t="s">
        <v>5738</v>
      </c>
      <c r="O2" s="70">
        <v>0.0</v>
      </c>
      <c r="P2" s="67">
        <v>0.4</v>
      </c>
      <c r="Q2" s="65" t="s">
        <v>5739</v>
      </c>
      <c r="R2" s="42" t="s">
        <v>5740</v>
      </c>
      <c r="S2" s="67">
        <v>0.3</v>
      </c>
      <c r="T2" s="42" t="s">
        <v>138</v>
      </c>
      <c r="U2" s="61">
        <v>6.25</v>
      </c>
      <c r="V2" s="67">
        <v>0.2</v>
      </c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42" t="s">
        <v>5741</v>
      </c>
      <c r="AI2" s="65" t="s">
        <v>5742</v>
      </c>
      <c r="AJ2" s="67">
        <v>-1.0</v>
      </c>
      <c r="AK2" s="60"/>
      <c r="AL2" s="60"/>
      <c r="AM2" s="60"/>
      <c r="AN2" s="60"/>
      <c r="AO2" s="60"/>
      <c r="AP2" s="60"/>
      <c r="AQ2" s="60"/>
      <c r="AR2" s="42"/>
      <c r="AS2" s="60"/>
    </row>
    <row r="3" ht="15.75" customHeight="1">
      <c r="A3" s="42"/>
      <c r="B3" s="42"/>
      <c r="C3" s="42"/>
      <c r="D3" s="37"/>
      <c r="E3" s="51"/>
      <c r="F3" s="53"/>
      <c r="G3" s="53"/>
      <c r="H3" s="42"/>
      <c r="I3" s="42"/>
      <c r="J3" s="60"/>
      <c r="K3" s="81"/>
      <c r="L3" s="81"/>
      <c r="M3" s="144"/>
      <c r="N3" s="82"/>
      <c r="O3" s="82"/>
      <c r="P3" s="145"/>
      <c r="Q3" s="84"/>
      <c r="R3" s="84"/>
      <c r="S3" s="85"/>
      <c r="T3" s="84"/>
      <c r="U3" s="84"/>
      <c r="V3" s="146"/>
      <c r="W3" s="60"/>
      <c r="X3" s="42"/>
      <c r="Y3" s="42"/>
      <c r="Z3" s="67"/>
      <c r="AA3" s="42"/>
      <c r="AB3" s="42"/>
      <c r="AC3" s="67"/>
      <c r="AD3" s="42"/>
      <c r="AE3" s="42"/>
      <c r="AF3" s="67"/>
      <c r="AG3" s="60"/>
      <c r="AH3" s="42"/>
      <c r="AI3" s="42"/>
      <c r="AJ3" s="67"/>
      <c r="AK3" s="42"/>
      <c r="AL3" s="42"/>
      <c r="AM3" s="67"/>
      <c r="AN3" s="72"/>
      <c r="AO3" s="72"/>
      <c r="AP3" s="72"/>
      <c r="AQ3" s="72"/>
      <c r="AR3" s="72"/>
      <c r="AS3" s="72"/>
    </row>
    <row r="4" ht="15.75" customHeight="1">
      <c r="A4" s="65"/>
      <c r="B4" s="65"/>
      <c r="C4" s="65"/>
      <c r="D4" s="75"/>
      <c r="E4" s="51"/>
      <c r="F4" s="65"/>
      <c r="G4" s="65"/>
      <c r="H4" s="65"/>
      <c r="I4" s="65"/>
      <c r="J4" s="60"/>
      <c r="K4" s="65"/>
      <c r="L4" s="65"/>
      <c r="M4" s="65"/>
      <c r="N4" s="65"/>
      <c r="O4" s="65"/>
      <c r="P4" s="65"/>
      <c r="Q4" s="65"/>
      <c r="R4" s="65"/>
      <c r="S4" s="65"/>
      <c r="T4" s="60"/>
      <c r="U4" s="60"/>
      <c r="V4" s="60"/>
      <c r="W4" s="60"/>
      <c r="X4" s="65"/>
      <c r="Y4" s="65"/>
      <c r="Z4" s="65"/>
      <c r="AA4" s="65"/>
      <c r="AB4" s="65"/>
      <c r="AC4" s="65"/>
      <c r="AD4" s="60"/>
      <c r="AE4" s="60"/>
      <c r="AF4" s="60"/>
      <c r="AG4" s="60"/>
      <c r="AH4" s="65"/>
      <c r="AI4" s="65"/>
      <c r="AJ4" s="65"/>
      <c r="AK4" s="60"/>
      <c r="AL4" s="60"/>
      <c r="AM4" s="60"/>
      <c r="AN4" s="60"/>
      <c r="AO4" s="60"/>
      <c r="AP4" s="60"/>
      <c r="AQ4" s="60"/>
      <c r="AR4" s="60"/>
      <c r="AS4" s="60"/>
    </row>
    <row r="5" ht="15.75" customHeight="1">
      <c r="A5" s="65" t="s">
        <v>111</v>
      </c>
      <c r="B5" s="65" t="s">
        <v>412</v>
      </c>
      <c r="C5" s="65" t="s">
        <v>5681</v>
      </c>
      <c r="D5" s="75" t="s">
        <v>3</v>
      </c>
      <c r="E5" s="51">
        <f>COUNTIFS(H_C!B:B, B5, H_C!D:D, "&lt;&gt;Soporte")
</f>
        <v>53</v>
      </c>
      <c r="F5" s="65" t="s">
        <v>5743</v>
      </c>
      <c r="G5" s="65" t="s">
        <v>5744</v>
      </c>
      <c r="H5" s="61">
        <v>0.0</v>
      </c>
      <c r="I5" s="61">
        <v>0.0</v>
      </c>
      <c r="J5" s="60"/>
      <c r="K5" s="65" t="s">
        <v>7</v>
      </c>
      <c r="L5" s="65" t="s">
        <v>5682</v>
      </c>
      <c r="M5" s="67">
        <v>0.4</v>
      </c>
      <c r="N5" s="65" t="s">
        <v>5745</v>
      </c>
      <c r="O5" s="70">
        <v>7.5</v>
      </c>
      <c r="P5" s="67">
        <v>0.35</v>
      </c>
      <c r="Q5" s="65" t="s">
        <v>5746</v>
      </c>
      <c r="R5" s="65" t="s">
        <v>5747</v>
      </c>
      <c r="S5" s="67">
        <v>0.25</v>
      </c>
      <c r="T5" s="61">
        <v>0.0</v>
      </c>
      <c r="U5" s="61">
        <v>0.0</v>
      </c>
      <c r="V5" s="60"/>
      <c r="W5" s="60"/>
      <c r="X5" s="65"/>
      <c r="Y5" s="65"/>
      <c r="Z5" s="65"/>
      <c r="AA5" s="60"/>
      <c r="AB5" s="60"/>
      <c r="AC5" s="60"/>
      <c r="AD5" s="60"/>
      <c r="AE5" s="60"/>
      <c r="AF5" s="60"/>
      <c r="AG5" s="60"/>
      <c r="AH5" s="65" t="s">
        <v>149</v>
      </c>
      <c r="AI5" s="65" t="s">
        <v>5736</v>
      </c>
      <c r="AJ5" s="70">
        <v>-20.0</v>
      </c>
      <c r="AK5" s="42" t="s">
        <v>5741</v>
      </c>
      <c r="AL5" s="42" t="s">
        <v>5748</v>
      </c>
      <c r="AM5" s="67">
        <v>-0.5</v>
      </c>
      <c r="AN5" s="72"/>
      <c r="AO5" s="72"/>
      <c r="AP5" s="72"/>
      <c r="AQ5" s="72"/>
      <c r="AR5" s="72"/>
      <c r="AS5" s="72"/>
    </row>
    <row r="6" ht="15.75" customHeight="1">
      <c r="A6" s="65" t="s">
        <v>111</v>
      </c>
      <c r="B6" s="65" t="s">
        <v>506</v>
      </c>
      <c r="C6" s="42" t="s">
        <v>5681</v>
      </c>
      <c r="D6" s="75" t="s">
        <v>3</v>
      </c>
      <c r="E6" s="51">
        <f>COUNTIFS(H_C!B:B, B6, H_C!D:D, "&lt;&gt;Soporte")
</f>
        <v>34</v>
      </c>
      <c r="F6" s="65" t="s">
        <v>5743</v>
      </c>
      <c r="G6" s="65" t="s">
        <v>5749</v>
      </c>
      <c r="H6" s="61">
        <v>0.0</v>
      </c>
      <c r="I6" s="61">
        <v>0.0</v>
      </c>
      <c r="J6" s="60"/>
      <c r="K6" s="65" t="s">
        <v>7</v>
      </c>
      <c r="L6" s="65" t="s">
        <v>5735</v>
      </c>
      <c r="M6" s="67">
        <v>0.4</v>
      </c>
      <c r="N6" s="65" t="s">
        <v>5745</v>
      </c>
      <c r="O6" s="70">
        <v>10.0</v>
      </c>
      <c r="P6" s="67">
        <v>0.3</v>
      </c>
      <c r="Q6" s="42" t="s">
        <v>5746</v>
      </c>
      <c r="R6" s="42" t="s">
        <v>5747</v>
      </c>
      <c r="S6" s="67">
        <v>0.3</v>
      </c>
      <c r="T6" s="61">
        <v>0.0</v>
      </c>
      <c r="U6" s="61">
        <v>0.0</v>
      </c>
      <c r="V6" s="60"/>
      <c r="W6" s="60"/>
      <c r="X6" s="65"/>
      <c r="Y6" s="65"/>
      <c r="Z6" s="60"/>
      <c r="AA6" s="60"/>
      <c r="AB6" s="60"/>
      <c r="AC6" s="60"/>
      <c r="AD6" s="60"/>
      <c r="AE6" s="60"/>
      <c r="AF6" s="60"/>
      <c r="AG6" s="60"/>
      <c r="AH6" s="42" t="s">
        <v>149</v>
      </c>
      <c r="AI6" s="42" t="s">
        <v>5736</v>
      </c>
      <c r="AJ6" s="61">
        <v>-20.0</v>
      </c>
      <c r="AK6" s="42" t="s">
        <v>5741</v>
      </c>
      <c r="AL6" s="42" t="s">
        <v>5748</v>
      </c>
      <c r="AM6" s="67">
        <v>-0.5</v>
      </c>
      <c r="AN6" s="72"/>
      <c r="AO6" s="72"/>
      <c r="AP6" s="72"/>
      <c r="AQ6" s="72"/>
      <c r="AR6" s="72"/>
      <c r="AS6" s="72"/>
    </row>
    <row r="7" ht="15.75" customHeight="1">
      <c r="A7" s="42" t="s">
        <v>111</v>
      </c>
      <c r="B7" s="42" t="s">
        <v>81</v>
      </c>
      <c r="C7" s="42" t="s">
        <v>5681</v>
      </c>
      <c r="D7" s="37" t="s">
        <v>3</v>
      </c>
      <c r="E7" s="51">
        <f>COUNTIFS(H_C!B:B, B7, H_C!D:D, "&lt;&gt;Soporte")
</f>
        <v>21</v>
      </c>
      <c r="F7" s="65" t="s">
        <v>139</v>
      </c>
      <c r="G7" s="65" t="s">
        <v>5750</v>
      </c>
      <c r="H7" s="42" t="s">
        <v>149</v>
      </c>
      <c r="I7" s="42" t="s">
        <v>5751</v>
      </c>
      <c r="J7" s="60"/>
      <c r="K7" s="42" t="s">
        <v>7</v>
      </c>
      <c r="L7" s="42" t="s">
        <v>5752</v>
      </c>
      <c r="M7" s="67">
        <v>0.4</v>
      </c>
      <c r="N7" s="42" t="s">
        <v>12</v>
      </c>
      <c r="O7" s="42" t="s">
        <v>5747</v>
      </c>
      <c r="P7" s="67">
        <v>0.15</v>
      </c>
      <c r="Q7" s="42" t="s">
        <v>153</v>
      </c>
      <c r="R7" s="42" t="s">
        <v>5753</v>
      </c>
      <c r="S7" s="67">
        <v>0.25</v>
      </c>
      <c r="T7" s="42" t="s">
        <v>5754</v>
      </c>
      <c r="U7" s="42" t="s">
        <v>5755</v>
      </c>
      <c r="V7" s="67">
        <v>0.2</v>
      </c>
      <c r="W7" s="60"/>
      <c r="X7" s="42" t="s">
        <v>12</v>
      </c>
      <c r="Y7" s="42" t="s">
        <v>5756</v>
      </c>
      <c r="Z7" s="67">
        <v>0.05</v>
      </c>
      <c r="AA7" s="42" t="s">
        <v>12</v>
      </c>
      <c r="AB7" s="42" t="s">
        <v>5757</v>
      </c>
      <c r="AC7" s="78">
        <v>0.0225</v>
      </c>
      <c r="AD7" s="42" t="s">
        <v>7</v>
      </c>
      <c r="AE7" s="42" t="s">
        <v>5688</v>
      </c>
      <c r="AF7" s="67">
        <v>0.05</v>
      </c>
      <c r="AG7" s="60"/>
      <c r="AH7" s="42" t="s">
        <v>12</v>
      </c>
      <c r="AI7" s="42" t="s">
        <v>5756</v>
      </c>
      <c r="AJ7" s="67">
        <v>-1.0</v>
      </c>
      <c r="AK7" s="42" t="s">
        <v>7</v>
      </c>
      <c r="AL7" s="42" t="s">
        <v>5758</v>
      </c>
      <c r="AM7" s="61">
        <v>10.0</v>
      </c>
      <c r="AN7" s="60"/>
      <c r="AO7" s="60"/>
      <c r="AP7" s="60"/>
      <c r="AQ7" s="60"/>
      <c r="AR7" s="60"/>
      <c r="AS7" s="60"/>
    </row>
    <row r="8" ht="15.75" customHeight="1">
      <c r="A8" s="65" t="s">
        <v>111</v>
      </c>
      <c r="B8" s="65" t="s">
        <v>120</v>
      </c>
      <c r="C8" s="65" t="s">
        <v>5681</v>
      </c>
      <c r="D8" s="75" t="s">
        <v>3</v>
      </c>
      <c r="E8" s="51">
        <f>COUNTIFS(H_C!B:B, B8, H_C!D:D, "&lt;&gt;Soporte")
</f>
        <v>39</v>
      </c>
      <c r="F8" s="65" t="s">
        <v>5759</v>
      </c>
      <c r="G8" s="65" t="s">
        <v>5751</v>
      </c>
      <c r="H8" s="65" t="s">
        <v>5741</v>
      </c>
      <c r="I8" s="61">
        <v>0.0</v>
      </c>
      <c r="J8" s="60"/>
      <c r="K8" s="65" t="s">
        <v>5760</v>
      </c>
      <c r="L8" s="65" t="s">
        <v>5761</v>
      </c>
      <c r="M8" s="67">
        <v>0.33</v>
      </c>
      <c r="N8" s="65" t="s">
        <v>5762</v>
      </c>
      <c r="O8" s="65" t="s">
        <v>5763</v>
      </c>
      <c r="P8" s="67">
        <v>0.15</v>
      </c>
      <c r="Q8" s="42" t="s">
        <v>153</v>
      </c>
      <c r="R8" s="42" t="s">
        <v>5764</v>
      </c>
      <c r="S8" s="67">
        <v>0.25</v>
      </c>
      <c r="T8" s="42" t="s">
        <v>5754</v>
      </c>
      <c r="U8" s="42" t="s">
        <v>5755</v>
      </c>
      <c r="V8" s="67">
        <v>0.2</v>
      </c>
      <c r="W8" s="60"/>
      <c r="X8" s="65" t="s">
        <v>149</v>
      </c>
      <c r="Y8" s="70">
        <v>0.0</v>
      </c>
      <c r="Z8" s="67">
        <v>0.05</v>
      </c>
      <c r="AA8" s="42" t="s">
        <v>137</v>
      </c>
      <c r="AB8" s="42" t="s">
        <v>5757</v>
      </c>
      <c r="AC8" s="78">
        <v>0.0225</v>
      </c>
      <c r="AD8" s="60"/>
      <c r="AE8" s="60"/>
      <c r="AF8" s="60"/>
      <c r="AG8" s="60"/>
      <c r="AH8" s="65" t="s">
        <v>5741</v>
      </c>
      <c r="AI8" s="65" t="s">
        <v>5748</v>
      </c>
      <c r="AJ8" s="67">
        <v>-1.0</v>
      </c>
      <c r="AK8" s="42" t="s">
        <v>5762</v>
      </c>
      <c r="AL8" s="60"/>
      <c r="AM8" s="60"/>
      <c r="AN8" s="60"/>
      <c r="AO8" s="60"/>
      <c r="AP8" s="60"/>
      <c r="AQ8" s="60"/>
      <c r="AR8" s="60"/>
      <c r="AS8" s="60"/>
    </row>
    <row r="9" ht="15.75" customHeight="1">
      <c r="A9" s="42"/>
      <c r="B9" s="42"/>
      <c r="C9" s="42"/>
      <c r="D9" s="37"/>
      <c r="E9" s="51"/>
      <c r="F9" s="42"/>
      <c r="G9" s="42"/>
      <c r="H9" s="42"/>
      <c r="I9" s="42"/>
      <c r="J9" s="60"/>
      <c r="K9" s="42"/>
      <c r="L9" s="42"/>
      <c r="M9" s="67"/>
      <c r="N9" s="42"/>
      <c r="O9" s="42"/>
      <c r="P9" s="67"/>
      <c r="Q9" s="42"/>
      <c r="R9" s="42"/>
      <c r="S9" s="67"/>
      <c r="T9" s="42"/>
      <c r="U9" s="42"/>
      <c r="V9" s="67"/>
      <c r="W9" s="60"/>
      <c r="X9" s="42"/>
      <c r="Y9" s="42"/>
      <c r="Z9" s="67"/>
      <c r="AA9" s="42"/>
      <c r="AB9" s="42"/>
      <c r="AC9" s="67"/>
      <c r="AD9" s="60"/>
      <c r="AE9" s="60"/>
      <c r="AF9" s="60"/>
      <c r="AG9" s="60"/>
      <c r="AH9" s="42" t="s">
        <v>5765</v>
      </c>
      <c r="AI9" s="42" t="s">
        <v>5766</v>
      </c>
      <c r="AJ9" s="67">
        <v>-0.15</v>
      </c>
      <c r="AK9" s="60"/>
      <c r="AL9" s="60"/>
      <c r="AM9" s="60"/>
      <c r="AN9" s="60"/>
      <c r="AO9" s="60"/>
      <c r="AP9" s="60"/>
      <c r="AQ9" s="60"/>
      <c r="AR9" s="60"/>
      <c r="AS9" s="60"/>
    </row>
    <row r="10" ht="15.75" customHeight="1">
      <c r="A10" s="65"/>
      <c r="B10" s="65"/>
      <c r="C10" s="65"/>
      <c r="D10" s="75"/>
      <c r="E10" s="147"/>
      <c r="F10" s="42"/>
      <c r="G10" s="42"/>
      <c r="H10" s="42"/>
      <c r="I10" s="65"/>
      <c r="J10" s="86"/>
      <c r="K10" s="70"/>
      <c r="L10" s="65"/>
      <c r="M10" s="65"/>
      <c r="N10" s="65"/>
      <c r="O10" s="42"/>
      <c r="P10" s="72"/>
      <c r="Q10" s="42"/>
      <c r="R10" s="42"/>
      <c r="S10" s="72"/>
      <c r="T10" s="42"/>
      <c r="U10" s="65"/>
      <c r="V10" s="70"/>
      <c r="W10" s="86"/>
      <c r="X10" s="42"/>
      <c r="Y10" s="42"/>
      <c r="Z10" s="148"/>
      <c r="AA10" s="42"/>
      <c r="AB10" s="42"/>
      <c r="AC10" s="148"/>
      <c r="AD10" s="65"/>
      <c r="AE10" s="70"/>
      <c r="AF10" s="70"/>
      <c r="AG10" s="60"/>
      <c r="AH10" s="42"/>
      <c r="AI10" s="42"/>
      <c r="AJ10" s="67">
        <v>-0.2</v>
      </c>
      <c r="AK10" s="60"/>
      <c r="AL10" s="60"/>
      <c r="AM10" s="60"/>
      <c r="AN10" s="60"/>
      <c r="AO10" s="60"/>
      <c r="AP10" s="60"/>
      <c r="AQ10" s="60"/>
      <c r="AR10" s="60"/>
      <c r="AS10" s="60"/>
    </row>
    <row r="11" ht="15.75" customHeight="1">
      <c r="A11" s="65"/>
      <c r="B11" s="65"/>
      <c r="C11" s="65"/>
      <c r="D11" s="75"/>
      <c r="E11" s="147"/>
      <c r="F11" s="65"/>
      <c r="G11" s="65"/>
      <c r="H11" s="42"/>
      <c r="I11" s="65"/>
      <c r="J11" s="86"/>
      <c r="K11" s="70"/>
      <c r="L11" s="65"/>
      <c r="M11" s="72"/>
      <c r="N11" s="42"/>
      <c r="O11" s="42"/>
      <c r="P11" s="72"/>
      <c r="Q11" s="42"/>
      <c r="R11" s="42"/>
      <c r="S11" s="72"/>
      <c r="T11" s="42"/>
      <c r="U11" s="65"/>
      <c r="V11" s="70"/>
      <c r="W11" s="86"/>
      <c r="X11" s="42"/>
      <c r="Y11" s="42"/>
      <c r="Z11" s="148"/>
      <c r="AA11" s="42"/>
      <c r="AB11" s="42"/>
      <c r="AC11" s="148"/>
      <c r="AD11" s="65"/>
      <c r="AE11" s="70"/>
      <c r="AF11" s="70"/>
      <c r="AG11" s="60"/>
      <c r="AH11" s="42"/>
      <c r="AI11" s="42"/>
      <c r="AJ11" s="67">
        <v>-0.2</v>
      </c>
      <c r="AK11" s="60"/>
      <c r="AL11" s="60"/>
      <c r="AM11" s="60"/>
      <c r="AN11" s="60"/>
      <c r="AO11" s="60"/>
      <c r="AP11" s="60"/>
      <c r="AQ11" s="60"/>
      <c r="AR11" s="60"/>
      <c r="AS11" s="60"/>
    </row>
    <row r="12" ht="15.75" customHeight="1">
      <c r="A12" s="42"/>
      <c r="B12" s="42"/>
      <c r="C12" s="42"/>
      <c r="D12" s="37"/>
      <c r="E12" s="51"/>
      <c r="F12" s="42"/>
      <c r="G12" s="42"/>
      <c r="H12" s="42"/>
      <c r="I12" s="42"/>
      <c r="J12" s="60"/>
      <c r="K12" s="42"/>
      <c r="L12" s="42"/>
      <c r="M12" s="149"/>
      <c r="N12" s="42"/>
      <c r="O12" s="42"/>
      <c r="P12" s="149"/>
      <c r="Q12" s="42"/>
      <c r="R12" s="42"/>
      <c r="S12" s="67"/>
      <c r="T12" s="60"/>
      <c r="U12" s="60"/>
      <c r="V12" s="72"/>
      <c r="W12" s="60"/>
      <c r="X12" s="42"/>
      <c r="Y12" s="42"/>
      <c r="Z12" s="150"/>
      <c r="AA12" s="42"/>
      <c r="AB12" s="42"/>
      <c r="AC12" s="150"/>
      <c r="AD12" s="60"/>
      <c r="AE12" s="60"/>
      <c r="AF12" s="151"/>
      <c r="AG12" s="60"/>
      <c r="AH12" s="42" t="s">
        <v>5741</v>
      </c>
      <c r="AI12" s="42" t="s">
        <v>5767</v>
      </c>
      <c r="AJ12" s="67">
        <v>-0.2</v>
      </c>
      <c r="AK12" s="60"/>
      <c r="AL12" s="60"/>
      <c r="AM12" s="60"/>
      <c r="AN12" s="60"/>
      <c r="AO12" s="60"/>
      <c r="AP12" s="60"/>
      <c r="AQ12" s="60"/>
      <c r="AR12" s="60"/>
      <c r="AS12" s="60"/>
    </row>
    <row r="13" ht="15.75" customHeight="1">
      <c r="A13" s="42"/>
      <c r="B13" s="42"/>
      <c r="C13" s="42"/>
      <c r="D13" s="75"/>
      <c r="E13" s="51"/>
      <c r="F13" s="42"/>
      <c r="G13" s="42"/>
      <c r="H13" s="42"/>
      <c r="I13" s="42"/>
      <c r="J13" s="60"/>
      <c r="K13" s="42"/>
      <c r="L13" s="42"/>
      <c r="M13" s="149"/>
      <c r="N13" s="42"/>
      <c r="O13" s="42"/>
      <c r="P13" s="149"/>
      <c r="Q13" s="42"/>
      <c r="R13" s="42"/>
      <c r="S13" s="67"/>
      <c r="T13" s="42"/>
      <c r="U13" s="42"/>
      <c r="V13" s="67"/>
      <c r="W13" s="60"/>
      <c r="X13" s="42"/>
      <c r="Y13" s="42"/>
      <c r="Z13" s="150"/>
      <c r="AA13" s="42"/>
      <c r="AB13" s="42"/>
      <c r="AC13" s="150"/>
      <c r="AD13" s="60"/>
      <c r="AE13" s="60"/>
      <c r="AF13" s="151"/>
      <c r="AG13" s="60"/>
      <c r="AH13" s="42" t="s">
        <v>5741</v>
      </c>
      <c r="AI13" s="42" t="s">
        <v>5767</v>
      </c>
      <c r="AJ13" s="67">
        <v>-0.1</v>
      </c>
      <c r="AK13" s="42" t="s">
        <v>5768</v>
      </c>
      <c r="AL13" s="42" t="s">
        <v>5769</v>
      </c>
      <c r="AM13" s="67">
        <v>-0.1</v>
      </c>
      <c r="AN13" s="72"/>
      <c r="AO13" s="72"/>
      <c r="AP13" s="72"/>
      <c r="AQ13" s="72"/>
      <c r="AR13" s="72"/>
      <c r="AS13" s="72"/>
    </row>
    <row r="14" ht="15.75" customHeight="1">
      <c r="A14" s="65"/>
      <c r="B14" s="77"/>
      <c r="C14" s="65"/>
      <c r="D14" s="75"/>
      <c r="E14" s="147"/>
      <c r="F14" s="42"/>
      <c r="G14" s="42"/>
      <c r="H14" s="42"/>
      <c r="I14" s="65"/>
      <c r="J14" s="86"/>
      <c r="K14" s="70"/>
      <c r="L14" s="42"/>
      <c r="M14" s="152"/>
      <c r="N14" s="42"/>
      <c r="O14" s="42"/>
      <c r="P14" s="152"/>
      <c r="Q14" s="42"/>
      <c r="R14" s="42"/>
      <c r="S14" s="72"/>
      <c r="T14" s="42"/>
      <c r="U14" s="65"/>
      <c r="V14" s="70"/>
      <c r="W14" s="86"/>
      <c r="X14" s="42"/>
      <c r="Y14" s="42"/>
      <c r="Z14" s="148"/>
      <c r="AA14" s="42"/>
      <c r="AB14" s="42"/>
      <c r="AC14" s="148"/>
      <c r="AD14" s="60"/>
      <c r="AE14" s="86"/>
      <c r="AF14" s="70"/>
      <c r="AG14" s="60"/>
      <c r="AH14" s="42"/>
      <c r="AI14" s="42"/>
      <c r="AJ14" s="67">
        <v>-0.1</v>
      </c>
      <c r="AK14" s="42" t="s">
        <v>5768</v>
      </c>
      <c r="AL14" s="42" t="s">
        <v>5769</v>
      </c>
      <c r="AM14" s="67">
        <v>-0.1</v>
      </c>
      <c r="AN14" s="72"/>
      <c r="AO14" s="72"/>
      <c r="AP14" s="72"/>
      <c r="AQ14" s="72"/>
      <c r="AR14" s="72"/>
      <c r="AS14" s="72"/>
    </row>
    <row r="15" ht="15.75" customHeight="1">
      <c r="A15" s="50" t="s">
        <v>5770</v>
      </c>
      <c r="B15" s="42" t="s">
        <v>81</v>
      </c>
      <c r="C15" s="42" t="s">
        <v>5681</v>
      </c>
      <c r="D15" s="37" t="s">
        <v>3</v>
      </c>
      <c r="E15" s="51">
        <f>COUNTIFS(H_C!B:B, B15, H_C!D:D, "&lt;&gt;Soporte")
</f>
        <v>21</v>
      </c>
      <c r="F15" s="42" t="s">
        <v>5771</v>
      </c>
      <c r="G15" s="42" t="s">
        <v>5772</v>
      </c>
      <c r="H15" s="42" t="s">
        <v>11</v>
      </c>
      <c r="I15" s="42" t="s">
        <v>5682</v>
      </c>
      <c r="J15" s="60"/>
      <c r="K15" s="42" t="s">
        <v>5737</v>
      </c>
      <c r="L15" s="42" t="s">
        <v>5683</v>
      </c>
      <c r="M15" s="149">
        <v>0.3</v>
      </c>
      <c r="N15" s="42" t="s">
        <v>5773</v>
      </c>
      <c r="O15" s="42" t="s">
        <v>5774</v>
      </c>
      <c r="P15" s="149">
        <v>0.2</v>
      </c>
      <c r="Q15" s="42" t="s">
        <v>139</v>
      </c>
      <c r="R15" s="42" t="s">
        <v>5775</v>
      </c>
      <c r="S15" s="67">
        <v>0.3</v>
      </c>
      <c r="T15" s="42" t="s">
        <v>156</v>
      </c>
      <c r="U15" s="42" t="s">
        <v>5776</v>
      </c>
      <c r="V15" s="67">
        <v>0.2</v>
      </c>
      <c r="W15" s="60"/>
      <c r="X15" s="42" t="s">
        <v>139</v>
      </c>
      <c r="Y15" s="42" t="s">
        <v>5777</v>
      </c>
      <c r="Z15" s="150">
        <f>67107.86/367843</f>
        <v>0.182436148</v>
      </c>
      <c r="AA15" s="42" t="s">
        <v>142</v>
      </c>
      <c r="AB15" s="42" t="s">
        <v>5778</v>
      </c>
      <c r="AC15" s="150">
        <f>54906.43/367843</f>
        <v>0.1492659368</v>
      </c>
      <c r="AD15" s="60"/>
      <c r="AE15" s="60"/>
      <c r="AF15" s="151"/>
      <c r="AG15" s="60"/>
      <c r="AH15" s="42" t="s">
        <v>5741</v>
      </c>
      <c r="AI15" s="42" t="s">
        <v>5767</v>
      </c>
      <c r="AJ15" s="67">
        <v>-0.1</v>
      </c>
      <c r="AK15" s="42" t="s">
        <v>5768</v>
      </c>
      <c r="AL15" s="42" t="s">
        <v>5769</v>
      </c>
      <c r="AM15" s="67">
        <v>-0.1</v>
      </c>
      <c r="AN15" s="72"/>
      <c r="AO15" s="72"/>
      <c r="AP15" s="72"/>
      <c r="AQ15" s="72"/>
      <c r="AR15" s="72"/>
      <c r="AS15" s="72"/>
    </row>
    <row r="16" ht="15.75" customHeight="1">
      <c r="A16" s="50"/>
      <c r="B16" s="60"/>
      <c r="C16" s="42"/>
      <c r="D16" s="37"/>
      <c r="E16" s="51"/>
      <c r="F16" s="42"/>
      <c r="G16" s="42"/>
      <c r="H16" s="42"/>
      <c r="I16" s="42"/>
      <c r="J16" s="60"/>
      <c r="K16" s="42"/>
      <c r="L16" s="42"/>
      <c r="M16" s="149"/>
      <c r="N16" s="42"/>
      <c r="O16" s="42"/>
      <c r="P16" s="149"/>
      <c r="Q16" s="42"/>
      <c r="R16" s="42"/>
      <c r="S16" s="67"/>
      <c r="T16" s="42"/>
      <c r="U16" s="42"/>
      <c r="V16" s="67"/>
      <c r="W16" s="60"/>
      <c r="X16" s="42"/>
      <c r="Y16" s="42"/>
      <c r="Z16" s="150"/>
      <c r="AA16" s="42"/>
      <c r="AB16" s="42"/>
      <c r="AC16" s="150"/>
      <c r="AD16" s="60"/>
      <c r="AE16" s="60"/>
      <c r="AF16" s="151"/>
      <c r="AG16" s="60"/>
      <c r="AH16" s="42"/>
      <c r="AI16" s="42"/>
      <c r="AJ16" s="67"/>
      <c r="AK16" s="42"/>
      <c r="AL16" s="42"/>
      <c r="AM16" s="67"/>
      <c r="AN16" s="72"/>
      <c r="AO16" s="72"/>
      <c r="AP16" s="72"/>
      <c r="AQ16" s="72"/>
      <c r="AR16" s="72"/>
      <c r="AS16" s="72"/>
    </row>
    <row r="17" ht="15.75" customHeight="1">
      <c r="A17" s="65"/>
      <c r="B17" s="42"/>
      <c r="C17" s="42"/>
      <c r="D17" s="37"/>
      <c r="E17" s="51"/>
      <c r="F17" s="53"/>
      <c r="G17" s="53"/>
      <c r="H17" s="42"/>
      <c r="I17" s="42"/>
      <c r="J17" s="60"/>
      <c r="K17" s="81"/>
      <c r="L17" s="81"/>
      <c r="M17" s="144"/>
      <c r="N17" s="82"/>
      <c r="O17" s="82"/>
      <c r="P17" s="145"/>
      <c r="Q17" s="84"/>
      <c r="R17" s="84"/>
      <c r="S17" s="85"/>
      <c r="T17" s="84"/>
      <c r="U17" s="84"/>
      <c r="V17" s="146"/>
      <c r="W17" s="60"/>
      <c r="X17" s="42"/>
      <c r="Y17" s="42"/>
      <c r="Z17" s="67"/>
      <c r="AA17" s="42"/>
      <c r="AB17" s="42"/>
      <c r="AC17" s="67"/>
      <c r="AD17" s="42"/>
      <c r="AE17" s="42"/>
      <c r="AF17" s="67"/>
      <c r="AG17" s="60"/>
      <c r="AH17" s="42"/>
      <c r="AI17" s="42"/>
      <c r="AJ17" s="67"/>
      <c r="AK17" s="42"/>
      <c r="AL17" s="42"/>
      <c r="AM17" s="67"/>
      <c r="AN17" s="42"/>
      <c r="AO17" s="42"/>
      <c r="AP17" s="42"/>
      <c r="AQ17" s="42"/>
      <c r="AR17" s="42"/>
      <c r="AS17" s="42"/>
    </row>
    <row r="18" ht="15.75" customHeight="1">
      <c r="A18" s="88"/>
      <c r="B18" s="60"/>
      <c r="C18" s="60"/>
      <c r="D18" s="60"/>
      <c r="E18" s="42"/>
      <c r="F18" s="60"/>
      <c r="G18" s="60"/>
      <c r="H18" s="60"/>
      <c r="I18" s="60"/>
      <c r="J18" s="60"/>
      <c r="K18" s="60"/>
      <c r="L18" s="72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</row>
    <row r="19" ht="15.75" customHeight="1">
      <c r="A19" s="60"/>
      <c r="B19" s="60"/>
      <c r="C19" s="60"/>
      <c r="D19" s="60"/>
      <c r="E19" s="42"/>
      <c r="F19" s="60"/>
      <c r="G19" s="60"/>
      <c r="H19" s="60"/>
      <c r="I19" s="60"/>
      <c r="J19" s="60" t="s">
        <v>5779</v>
      </c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</row>
    <row r="20" ht="15.75" customHeight="1">
      <c r="A20" s="88"/>
      <c r="B20" s="60"/>
      <c r="C20" s="60"/>
      <c r="D20" s="60"/>
      <c r="E20" s="42"/>
      <c r="F20" s="60"/>
      <c r="G20" s="60"/>
      <c r="H20" s="60"/>
      <c r="I20" s="60"/>
      <c r="J20" s="60" t="s">
        <v>5780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</row>
    <row r="21" ht="15.75" customHeight="1">
      <c r="A21" s="50" t="s">
        <v>5770</v>
      </c>
      <c r="B21" s="50" t="s">
        <v>425</v>
      </c>
      <c r="C21" s="50" t="s">
        <v>312</v>
      </c>
      <c r="D21" s="50" t="s">
        <v>3</v>
      </c>
      <c r="E21" s="61"/>
      <c r="F21" s="105" t="s">
        <v>166</v>
      </c>
      <c r="G21" s="50" t="s">
        <v>5781</v>
      </c>
      <c r="H21" s="50" t="s">
        <v>175</v>
      </c>
      <c r="I21" s="50" t="s">
        <v>5782</v>
      </c>
      <c r="J21" s="65"/>
      <c r="K21" s="50" t="s">
        <v>175</v>
      </c>
      <c r="L21" s="105" t="s">
        <v>5782</v>
      </c>
      <c r="M21" s="105">
        <v>30.0</v>
      </c>
      <c r="N21" s="50" t="s">
        <v>5783</v>
      </c>
      <c r="O21" s="105" t="s">
        <v>5784</v>
      </c>
      <c r="P21" s="105">
        <v>30.0</v>
      </c>
      <c r="Q21" s="50" t="s">
        <v>153</v>
      </c>
      <c r="R21" s="105" t="s">
        <v>5785</v>
      </c>
      <c r="S21" s="105">
        <v>30.0</v>
      </c>
      <c r="T21" s="50" t="s">
        <v>175</v>
      </c>
      <c r="U21" s="50" t="s">
        <v>5784</v>
      </c>
      <c r="V21" s="50">
        <v>10.0</v>
      </c>
      <c r="W21" s="65"/>
      <c r="X21" s="105" t="s">
        <v>158</v>
      </c>
      <c r="Y21" s="105" t="s">
        <v>5782</v>
      </c>
      <c r="Z21" s="50">
        <v>23.0</v>
      </c>
      <c r="AA21" s="65"/>
      <c r="AB21" s="65"/>
      <c r="AC21" s="65"/>
      <c r="AD21" s="65"/>
      <c r="AE21" s="42"/>
      <c r="AF21" s="65"/>
      <c r="AG21" s="70"/>
      <c r="AH21" s="105" t="s">
        <v>170</v>
      </c>
      <c r="AI21" s="50" t="s">
        <v>5782</v>
      </c>
      <c r="AJ21" s="50">
        <v>23.0</v>
      </c>
      <c r="AK21" s="65"/>
      <c r="AL21" s="65"/>
      <c r="AM21" s="42"/>
      <c r="AN21" s="65"/>
      <c r="AO21" s="42"/>
      <c r="AP21" s="42"/>
      <c r="AQ21" s="42"/>
      <c r="AR21" s="42"/>
      <c r="AS21" s="42"/>
    </row>
    <row r="22" ht="15.75" customHeight="1">
      <c r="A22" s="65"/>
      <c r="B22" s="60"/>
      <c r="C22" s="60"/>
      <c r="D22" s="60"/>
      <c r="E22" s="147"/>
      <c r="F22" s="60"/>
      <c r="G22" s="60"/>
      <c r="H22" s="60"/>
      <c r="I22" s="60"/>
      <c r="J22" s="86"/>
      <c r="K22" s="86"/>
      <c r="L22" s="60"/>
      <c r="M22" s="86"/>
      <c r="N22" s="86"/>
      <c r="O22" s="60"/>
      <c r="P22" s="86"/>
      <c r="Q22" s="86"/>
      <c r="R22" s="60"/>
      <c r="S22" s="60"/>
      <c r="T22" s="60"/>
      <c r="U22" s="60"/>
      <c r="V22" s="86"/>
      <c r="W22" s="86"/>
      <c r="X22" s="60"/>
      <c r="Y22" s="86"/>
      <c r="Z22" s="86"/>
      <c r="AA22" s="60"/>
      <c r="AB22" s="60"/>
      <c r="AC22" s="60"/>
      <c r="AD22" s="60"/>
      <c r="AE22" s="86"/>
      <c r="AF22" s="86"/>
      <c r="AG22" s="60"/>
      <c r="AH22" s="86"/>
      <c r="AI22" s="86"/>
      <c r="AJ22" s="60"/>
      <c r="AK22" s="60"/>
      <c r="AL22" s="60"/>
      <c r="AM22" s="60"/>
      <c r="AN22" s="60"/>
      <c r="AO22" s="60"/>
      <c r="AP22" s="60"/>
      <c r="AQ22" s="60"/>
      <c r="AR22" s="60"/>
      <c r="AS22" s="60"/>
    </row>
    <row r="23" ht="15.75" customHeight="1">
      <c r="A23" s="65"/>
      <c r="B23" s="60"/>
      <c r="C23" s="60"/>
      <c r="D23" s="60"/>
      <c r="E23" s="42"/>
      <c r="F23" s="60"/>
      <c r="G23" s="86"/>
      <c r="H23" s="60"/>
      <c r="I23" s="60"/>
      <c r="J23" s="80"/>
      <c r="K23" s="77"/>
      <c r="L23" s="87"/>
      <c r="M23" s="86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86"/>
      <c r="Z23" s="86"/>
      <c r="AA23" s="60"/>
      <c r="AB23" s="60"/>
      <c r="AC23" s="60"/>
      <c r="AD23" s="60"/>
      <c r="AE23" s="60"/>
      <c r="AF23" s="60"/>
      <c r="AG23" s="60"/>
      <c r="AH23" s="60"/>
      <c r="AI23" s="86"/>
      <c r="AJ23" s="86"/>
      <c r="AK23" s="60"/>
      <c r="AL23" s="60"/>
      <c r="AM23" s="60"/>
      <c r="AN23" s="60"/>
      <c r="AO23" s="60"/>
      <c r="AP23" s="60"/>
      <c r="AQ23" s="60"/>
      <c r="AR23" s="60"/>
      <c r="AS23" s="60"/>
    </row>
    <row r="24" ht="15.75" customHeight="1">
      <c r="A24" s="50"/>
      <c r="B24" s="50"/>
      <c r="C24" s="50"/>
      <c r="D24" s="50"/>
      <c r="E24" s="42"/>
      <c r="F24" s="50"/>
      <c r="G24" s="50"/>
      <c r="H24" s="60"/>
      <c r="I24" s="60"/>
      <c r="J24" s="80"/>
      <c r="K24" s="50"/>
      <c r="L24" s="50"/>
      <c r="M24" s="50"/>
      <c r="N24" s="50"/>
      <c r="O24" s="50"/>
      <c r="P24" s="50"/>
      <c r="Q24" s="50"/>
      <c r="R24" s="50"/>
      <c r="S24" s="50"/>
      <c r="T24" s="60"/>
      <c r="U24" s="60"/>
      <c r="V24" s="60"/>
      <c r="W24" s="60"/>
      <c r="X24" s="50"/>
      <c r="Y24" s="50"/>
      <c r="Z24" s="50"/>
      <c r="AA24" s="60"/>
      <c r="AB24" s="60"/>
      <c r="AC24" s="60"/>
      <c r="AD24" s="60"/>
      <c r="AE24" s="60"/>
      <c r="AF24" s="60"/>
      <c r="AG24" s="60"/>
      <c r="AH24" s="50"/>
      <c r="AI24" s="50"/>
      <c r="AJ24" s="50"/>
      <c r="AK24" s="60"/>
      <c r="AL24" s="60"/>
      <c r="AM24" s="60"/>
      <c r="AN24" s="60"/>
      <c r="AO24" s="60"/>
      <c r="AP24" s="60"/>
      <c r="AQ24" s="60"/>
      <c r="AR24" s="60"/>
      <c r="AS24" s="60"/>
    </row>
    <row r="25" ht="15.75" customHeight="1">
      <c r="A25" s="88"/>
      <c r="B25" s="60"/>
      <c r="C25" s="60"/>
      <c r="D25" s="60"/>
      <c r="E25" s="42"/>
      <c r="F25" s="60"/>
      <c r="G25" s="60"/>
      <c r="H25" s="60"/>
      <c r="I25" s="60"/>
      <c r="J25" s="153"/>
      <c r="K25" s="42"/>
      <c r="L25" s="65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</row>
    <row r="26" ht="15.75" customHeight="1">
      <c r="A26" s="88"/>
      <c r="B26" s="60"/>
      <c r="C26" s="60"/>
      <c r="D26" s="60"/>
      <c r="E26" s="42"/>
      <c r="F26" s="60"/>
      <c r="G26" s="60"/>
      <c r="H26" s="60"/>
      <c r="I26" s="60"/>
      <c r="J26" s="80"/>
      <c r="K26" s="42"/>
      <c r="L26" s="42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</row>
    <row r="27" ht="15.75" customHeight="1">
      <c r="A27" s="88"/>
      <c r="B27" s="60"/>
      <c r="C27" s="60"/>
      <c r="D27" s="60"/>
      <c r="E27" s="42"/>
      <c r="F27" s="60"/>
      <c r="G27" s="60"/>
      <c r="H27" s="60"/>
      <c r="I27" s="60"/>
      <c r="J27" s="80"/>
      <c r="K27" s="42"/>
      <c r="L27" s="42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</row>
    <row r="28" ht="15.75" customHeight="1">
      <c r="A28" s="88"/>
      <c r="B28" s="65"/>
      <c r="C28" s="60"/>
      <c r="D28" s="60"/>
      <c r="E28" s="42"/>
      <c r="F28" s="60"/>
      <c r="G28" s="60"/>
      <c r="H28" s="60"/>
      <c r="I28" s="60"/>
      <c r="J28" s="8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</row>
    <row r="29" ht="15.75" customHeight="1">
      <c r="A29" s="88"/>
      <c r="B29" s="65"/>
      <c r="C29" s="60"/>
      <c r="D29" s="60"/>
      <c r="E29" s="42"/>
      <c r="F29" s="60"/>
      <c r="G29" s="60"/>
      <c r="H29" s="60"/>
      <c r="I29" s="60"/>
      <c r="J29" s="8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</row>
    <row r="30" ht="15.75" customHeight="1">
      <c r="A30" s="88"/>
      <c r="B30" s="42"/>
      <c r="C30" s="60"/>
      <c r="D30" s="60"/>
      <c r="E30" s="42"/>
      <c r="F30" s="60"/>
      <c r="G30" s="60"/>
      <c r="H30" s="60"/>
      <c r="I30" s="60"/>
      <c r="J30" s="8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</row>
    <row r="31" ht="15.75" customHeight="1">
      <c r="A31" s="88"/>
      <c r="B31" s="42"/>
      <c r="C31" s="60"/>
      <c r="D31" s="60"/>
      <c r="E31" s="42"/>
      <c r="F31" s="60"/>
      <c r="G31" s="60"/>
      <c r="H31" s="60"/>
      <c r="I31" s="60"/>
      <c r="J31" s="8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</row>
    <row r="32" ht="15.75" customHeight="1">
      <c r="A32" s="88"/>
      <c r="B32" s="42"/>
      <c r="C32" s="60"/>
      <c r="D32" s="60"/>
      <c r="E32" s="42"/>
      <c r="F32" s="60"/>
      <c r="G32" s="60"/>
      <c r="H32" s="60"/>
      <c r="I32" s="60"/>
      <c r="J32" s="8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</row>
    <row r="33" ht="15.75" customHeight="1">
      <c r="A33" s="88"/>
      <c r="B33" s="60"/>
      <c r="C33" s="60"/>
      <c r="D33" s="60"/>
      <c r="E33" s="42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</row>
    <row r="34" ht="15.75" customHeight="1">
      <c r="A34" s="88"/>
      <c r="B34" s="60"/>
      <c r="C34" s="60"/>
      <c r="D34" s="60"/>
      <c r="E34" s="42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</row>
    <row r="35" ht="15.75" customHeight="1">
      <c r="A35" s="88"/>
      <c r="B35" s="60"/>
      <c r="C35" s="60"/>
      <c r="D35" s="60"/>
      <c r="E35" s="42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</row>
    <row r="36" ht="15.75" customHeight="1">
      <c r="A36" s="88"/>
      <c r="B36" s="60"/>
      <c r="C36" s="60"/>
      <c r="D36" s="60"/>
      <c r="E36" s="42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</row>
    <row r="37" ht="15.75" customHeight="1">
      <c r="A37" s="89"/>
      <c r="B37" s="60"/>
      <c r="C37" s="60"/>
      <c r="D37" s="60"/>
      <c r="E37" s="42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</row>
    <row r="38" ht="15.75" customHeight="1">
      <c r="A38" s="89"/>
      <c r="B38" s="60"/>
      <c r="C38" s="60"/>
      <c r="D38" s="60"/>
      <c r="E38" s="42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</row>
    <row r="39" ht="15.75" customHeight="1">
      <c r="A39" s="89"/>
      <c r="B39" s="60"/>
      <c r="C39" s="60"/>
      <c r="D39" s="60"/>
      <c r="E39" s="42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</row>
    <row r="40" ht="15.75" customHeight="1">
      <c r="A40" s="89"/>
      <c r="B40" s="60"/>
      <c r="C40" s="60"/>
      <c r="D40" s="60"/>
      <c r="E40" s="42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</row>
    <row r="41" ht="15.75" customHeight="1">
      <c r="A41" s="89"/>
      <c r="B41" s="60"/>
      <c r="C41" s="60"/>
      <c r="D41" s="60"/>
      <c r="E41" s="42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</row>
    <row r="42" ht="15.75" customHeight="1">
      <c r="A42" s="65"/>
      <c r="B42" s="60"/>
      <c r="C42" s="60"/>
      <c r="D42" s="60"/>
      <c r="E42" s="42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</row>
    <row r="43" ht="15.75" customHeight="1">
      <c r="A43" s="88"/>
      <c r="B43" s="60"/>
      <c r="C43" s="60"/>
      <c r="D43" s="60"/>
      <c r="E43" s="42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</row>
    <row r="44" ht="15.75" customHeight="1">
      <c r="A44" s="88"/>
      <c r="B44" s="60"/>
      <c r="C44" s="60"/>
      <c r="D44" s="60"/>
      <c r="E44" s="42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</row>
    <row r="45" ht="15.75" customHeight="1">
      <c r="A45" s="88"/>
      <c r="B45" s="60"/>
      <c r="C45" s="60"/>
      <c r="D45" s="60"/>
      <c r="E45" s="42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</row>
    <row r="46" ht="15.75" customHeight="1">
      <c r="A46" s="88"/>
      <c r="B46" s="60"/>
      <c r="C46" s="60"/>
      <c r="D46" s="60"/>
      <c r="E46" s="42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</row>
    <row r="47" ht="15.75" customHeight="1">
      <c r="A47" s="88"/>
      <c r="B47" s="60"/>
      <c r="C47" s="60"/>
      <c r="D47" s="60"/>
      <c r="E47" s="42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</row>
    <row r="48" ht="15.75" customHeight="1">
      <c r="A48" s="88"/>
      <c r="B48" s="60"/>
      <c r="C48" s="60"/>
      <c r="D48" s="60"/>
      <c r="E48" s="42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</row>
    <row r="49" ht="15.75" customHeight="1">
      <c r="A49" s="88"/>
      <c r="B49" s="60"/>
      <c r="C49" s="60"/>
      <c r="D49" s="60"/>
      <c r="E49" s="42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</row>
    <row r="50" ht="15.75" customHeight="1">
      <c r="A50" s="88"/>
      <c r="B50" s="60"/>
      <c r="C50" s="60"/>
      <c r="D50" s="60"/>
      <c r="E50" s="42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</row>
    <row r="51" ht="15.75" customHeight="1">
      <c r="A51" s="88"/>
      <c r="B51" s="60"/>
      <c r="C51" s="60"/>
      <c r="D51" s="60"/>
      <c r="E51" s="42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</row>
    <row r="52" ht="15.75" customHeight="1">
      <c r="A52" s="88"/>
      <c r="B52" s="60"/>
      <c r="C52" s="60"/>
      <c r="D52" s="60"/>
      <c r="E52" s="42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</row>
    <row r="53" ht="15.75" customHeight="1">
      <c r="A53" s="88"/>
      <c r="B53" s="60"/>
      <c r="C53" s="60"/>
      <c r="D53" s="60"/>
      <c r="E53" s="42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</row>
    <row r="54" ht="15.75" customHeight="1">
      <c r="A54" s="88"/>
      <c r="B54" s="60"/>
      <c r="C54" s="60"/>
      <c r="D54" s="60"/>
      <c r="E54" s="42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</row>
    <row r="55" ht="15.75" customHeight="1">
      <c r="A55" s="88"/>
      <c r="B55" s="60"/>
      <c r="C55" s="60"/>
      <c r="D55" s="60"/>
      <c r="E55" s="42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</row>
    <row r="56" ht="15.75" customHeight="1">
      <c r="A56" s="88"/>
      <c r="B56" s="60"/>
      <c r="C56" s="60"/>
      <c r="D56" s="60"/>
      <c r="E56" s="42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</row>
    <row r="57" ht="15.75" customHeight="1">
      <c r="A57" s="88"/>
      <c r="B57" s="60"/>
      <c r="C57" s="60"/>
      <c r="D57" s="60"/>
      <c r="E57" s="42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</row>
    <row r="58" ht="15.75" customHeight="1">
      <c r="A58" s="88"/>
      <c r="B58" s="60"/>
      <c r="C58" s="60"/>
      <c r="D58" s="60"/>
      <c r="E58" s="42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</row>
    <row r="59" ht="15.75" customHeight="1">
      <c r="A59" s="88"/>
      <c r="B59" s="60"/>
      <c r="C59" s="60"/>
      <c r="D59" s="60"/>
      <c r="E59" s="42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</row>
    <row r="60" ht="15.75" customHeight="1">
      <c r="A60" s="88"/>
      <c r="B60" s="60"/>
      <c r="C60" s="60"/>
      <c r="D60" s="60"/>
      <c r="E60" s="42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</row>
    <row r="61" ht="15.75" customHeight="1">
      <c r="A61" s="88"/>
      <c r="B61" s="60"/>
      <c r="C61" s="60"/>
      <c r="D61" s="60"/>
      <c r="E61" s="42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</row>
    <row r="62" ht="15.75" customHeight="1">
      <c r="A62" s="88"/>
      <c r="B62" s="60"/>
      <c r="C62" s="60"/>
      <c r="D62" s="60"/>
      <c r="E62" s="42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</row>
    <row r="63" ht="15.75" customHeight="1">
      <c r="A63" s="88"/>
      <c r="B63" s="60"/>
      <c r="C63" s="60"/>
      <c r="D63" s="60"/>
      <c r="E63" s="42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</row>
    <row r="64" ht="15.75" customHeight="1">
      <c r="A64" s="88"/>
      <c r="B64" s="60"/>
      <c r="C64" s="60"/>
      <c r="D64" s="60"/>
      <c r="E64" s="42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</row>
    <row r="65" ht="15.75" customHeight="1">
      <c r="A65" s="88"/>
      <c r="B65" s="60"/>
      <c r="C65" s="60"/>
      <c r="D65" s="60"/>
      <c r="E65" s="42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</row>
    <row r="66" ht="15.75" customHeight="1">
      <c r="A66" s="88"/>
      <c r="B66" s="60"/>
      <c r="C66" s="60"/>
      <c r="D66" s="60"/>
      <c r="E66" s="42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</row>
    <row r="67" ht="15.75" customHeight="1">
      <c r="A67" s="88"/>
      <c r="B67" s="60"/>
      <c r="C67" s="60"/>
      <c r="D67" s="60"/>
      <c r="E67" s="42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</row>
    <row r="68" ht="15.75" customHeight="1">
      <c r="A68" s="88"/>
      <c r="B68" s="60"/>
      <c r="C68" s="60"/>
      <c r="D68" s="60"/>
      <c r="E68" s="42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</row>
    <row r="69" ht="15.75" customHeight="1">
      <c r="A69" s="88"/>
      <c r="B69" s="60"/>
      <c r="C69" s="60"/>
      <c r="D69" s="60"/>
      <c r="E69" s="42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</row>
    <row r="70" ht="15.75" customHeight="1">
      <c r="A70" s="88"/>
      <c r="B70" s="60"/>
      <c r="C70" s="60"/>
      <c r="D70" s="60"/>
      <c r="E70" s="42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</row>
    <row r="71" ht="15.75" customHeight="1">
      <c r="A71" s="88"/>
      <c r="B71" s="60"/>
      <c r="C71" s="60"/>
      <c r="D71" s="60"/>
      <c r="E71" s="42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</row>
    <row r="72" ht="15.75" customHeight="1">
      <c r="A72" s="88"/>
      <c r="B72" s="60"/>
      <c r="C72" s="60"/>
      <c r="D72" s="60"/>
      <c r="E72" s="42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</row>
    <row r="73" ht="15.75" customHeight="1">
      <c r="A73" s="88"/>
      <c r="B73" s="60"/>
      <c r="C73" s="60"/>
      <c r="D73" s="60"/>
      <c r="E73" s="42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</row>
    <row r="74" ht="15.75" customHeight="1">
      <c r="A74" s="88"/>
      <c r="B74" s="60"/>
      <c r="C74" s="60"/>
      <c r="D74" s="60"/>
      <c r="E74" s="42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</row>
    <row r="75" ht="15.75" customHeight="1">
      <c r="A75" s="88"/>
      <c r="B75" s="60"/>
      <c r="C75" s="60"/>
      <c r="D75" s="60"/>
      <c r="E75" s="42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</row>
    <row r="76" ht="15.75" customHeight="1">
      <c r="A76" s="88"/>
      <c r="B76" s="60"/>
      <c r="C76" s="60"/>
      <c r="D76" s="60"/>
      <c r="E76" s="42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</row>
    <row r="77" ht="15.75" customHeight="1">
      <c r="A77" s="88"/>
      <c r="B77" s="60"/>
      <c r="C77" s="60"/>
      <c r="D77" s="60"/>
      <c r="E77" s="42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</row>
    <row r="78" ht="15.75" customHeight="1">
      <c r="A78" s="88"/>
      <c r="B78" s="60"/>
      <c r="C78" s="60"/>
      <c r="D78" s="60"/>
      <c r="E78" s="42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</row>
    <row r="79" ht="15.75" customHeight="1">
      <c r="A79" s="88"/>
      <c r="B79" s="60"/>
      <c r="C79" s="60"/>
      <c r="D79" s="60"/>
      <c r="E79" s="42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</row>
    <row r="80" ht="15.75" customHeight="1">
      <c r="A80" s="88"/>
      <c r="B80" s="60"/>
      <c r="C80" s="60"/>
      <c r="D80" s="60"/>
      <c r="E80" s="42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</row>
    <row r="81" ht="15.75" customHeight="1">
      <c r="A81" s="88"/>
      <c r="B81" s="60"/>
      <c r="C81" s="60"/>
      <c r="D81" s="60"/>
      <c r="E81" s="42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</row>
    <row r="82" ht="15.75" customHeight="1">
      <c r="A82" s="88"/>
      <c r="B82" s="60"/>
      <c r="C82" s="60"/>
      <c r="D82" s="60"/>
      <c r="E82" s="42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</row>
    <row r="83" ht="15.75" customHeight="1">
      <c r="A83" s="88"/>
      <c r="B83" s="60"/>
      <c r="C83" s="60"/>
      <c r="D83" s="60"/>
      <c r="E83" s="42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</row>
    <row r="84" ht="15.75" customHeight="1">
      <c r="A84" s="88"/>
      <c r="B84" s="60"/>
      <c r="C84" s="60"/>
      <c r="D84" s="60"/>
      <c r="E84" s="42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</row>
    <row r="85" ht="15.75" customHeight="1">
      <c r="A85" s="88"/>
      <c r="B85" s="60"/>
      <c r="C85" s="60"/>
      <c r="D85" s="60"/>
      <c r="E85" s="42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</row>
    <row r="86" ht="15.75" customHeight="1">
      <c r="A86" s="88"/>
      <c r="B86" s="60"/>
      <c r="C86" s="60"/>
      <c r="D86" s="60"/>
      <c r="E86" s="42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</row>
    <row r="87" ht="15.75" customHeight="1">
      <c r="A87" s="88"/>
      <c r="B87" s="60"/>
      <c r="C87" s="60"/>
      <c r="D87" s="60"/>
      <c r="E87" s="42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</row>
    <row r="88" ht="15.75" customHeight="1">
      <c r="A88" s="88"/>
      <c r="B88" s="60"/>
      <c r="C88" s="60"/>
      <c r="D88" s="60"/>
      <c r="E88" s="42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</row>
    <row r="89" ht="15.75" customHeight="1">
      <c r="A89" s="88"/>
      <c r="B89" s="60"/>
      <c r="C89" s="60"/>
      <c r="D89" s="60"/>
      <c r="E89" s="42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</row>
    <row r="90" ht="15.75" customHeight="1">
      <c r="A90" s="88"/>
      <c r="B90" s="60"/>
      <c r="C90" s="60"/>
      <c r="D90" s="60"/>
      <c r="E90" s="42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</row>
    <row r="91" ht="15.75" customHeight="1">
      <c r="A91" s="88"/>
      <c r="B91" s="60"/>
      <c r="C91" s="60"/>
      <c r="D91" s="60"/>
      <c r="E91" s="42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</row>
    <row r="92" ht="15.75" customHeight="1">
      <c r="A92" s="88"/>
      <c r="B92" s="60"/>
      <c r="C92" s="60"/>
      <c r="D92" s="60"/>
      <c r="E92" s="42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</row>
    <row r="93" ht="15.75" customHeight="1">
      <c r="A93" s="88"/>
      <c r="B93" s="60"/>
      <c r="C93" s="60"/>
      <c r="D93" s="60"/>
      <c r="E93" s="42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ht="15.75" customHeight="1">
      <c r="A94" s="88"/>
      <c r="B94" s="60"/>
      <c r="C94" s="60"/>
      <c r="D94" s="60"/>
      <c r="E94" s="42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54" t="s">
        <v>5786</v>
      </c>
      <c r="B1" s="155" t="s">
        <v>5787</v>
      </c>
      <c r="C1" s="155" t="s">
        <v>5</v>
      </c>
      <c r="D1" s="155" t="s">
        <v>215</v>
      </c>
      <c r="E1" s="155" t="s">
        <v>219</v>
      </c>
      <c r="F1" s="155" t="s">
        <v>5788</v>
      </c>
    </row>
    <row r="2" ht="15.75" hidden="1" customHeight="1">
      <c r="A2" s="36">
        <v>1584677.0</v>
      </c>
      <c r="B2" s="156" t="s">
        <v>327</v>
      </c>
      <c r="C2" s="46" t="s">
        <v>319</v>
      </c>
      <c r="D2" s="46" t="s">
        <v>5789</v>
      </c>
      <c r="E2" s="46" t="s">
        <v>5790</v>
      </c>
      <c r="F2" s="156" t="s">
        <v>5791</v>
      </c>
    </row>
    <row r="3" ht="15.75" hidden="1" customHeight="1">
      <c r="A3" s="38">
        <v>1702877.0</v>
      </c>
      <c r="B3" s="157" t="s">
        <v>5792</v>
      </c>
      <c r="C3" s="45" t="s">
        <v>2083</v>
      </c>
      <c r="D3" s="45" t="s">
        <v>5793</v>
      </c>
      <c r="E3" s="45" t="s">
        <v>5794</v>
      </c>
      <c r="F3" s="157" t="s">
        <v>5795</v>
      </c>
    </row>
    <row r="4" ht="15.75" hidden="1" customHeight="1">
      <c r="A4" s="36">
        <v>1802502.0</v>
      </c>
      <c r="B4" s="156" t="s">
        <v>5796</v>
      </c>
      <c r="C4" s="46" t="s">
        <v>2083</v>
      </c>
      <c r="D4" s="46" t="s">
        <v>5797</v>
      </c>
      <c r="E4" s="46" t="s">
        <v>5798</v>
      </c>
      <c r="F4" s="156" t="s">
        <v>5799</v>
      </c>
    </row>
    <row r="5" ht="15.75" hidden="1" customHeight="1">
      <c r="A5" s="38">
        <v>1809093.0</v>
      </c>
      <c r="B5" s="157" t="s">
        <v>5800</v>
      </c>
      <c r="C5" s="45" t="s">
        <v>5801</v>
      </c>
      <c r="D5" s="45" t="s">
        <v>5802</v>
      </c>
      <c r="E5" s="45" t="s">
        <v>3646</v>
      </c>
      <c r="F5" s="157" t="s">
        <v>5803</v>
      </c>
    </row>
    <row r="6" ht="15.75" hidden="1" customHeight="1">
      <c r="A6" s="36">
        <v>1933493.0</v>
      </c>
      <c r="B6" s="156" t="s">
        <v>5804</v>
      </c>
      <c r="C6" s="46" t="s">
        <v>285</v>
      </c>
      <c r="D6" s="46" t="s">
        <v>5</v>
      </c>
      <c r="E6" s="46" t="s">
        <v>5805</v>
      </c>
      <c r="F6" s="156" t="s">
        <v>5806</v>
      </c>
    </row>
    <row r="7" ht="15.75" hidden="1" customHeight="1">
      <c r="A7" s="38">
        <v>2030733.0</v>
      </c>
      <c r="B7" s="157" t="s">
        <v>5807</v>
      </c>
      <c r="C7" s="45" t="s">
        <v>5808</v>
      </c>
      <c r="D7" s="45" t="s">
        <v>5809</v>
      </c>
      <c r="E7" s="45" t="s">
        <v>5810</v>
      </c>
      <c r="F7" s="157" t="s">
        <v>5811</v>
      </c>
    </row>
    <row r="8" ht="15.75" hidden="1" customHeight="1">
      <c r="A8" s="36">
        <v>2092436.0</v>
      </c>
      <c r="B8" s="156" t="s">
        <v>341</v>
      </c>
      <c r="C8" s="46" t="s">
        <v>5812</v>
      </c>
      <c r="D8" s="46" t="s">
        <v>5</v>
      </c>
      <c r="E8" s="46" t="s">
        <v>5813</v>
      </c>
      <c r="F8" s="156" t="s">
        <v>5814</v>
      </c>
    </row>
    <row r="9" ht="15.75" hidden="1" customHeight="1">
      <c r="A9" s="38">
        <v>2132347.0</v>
      </c>
      <c r="B9" s="157" t="s">
        <v>5815</v>
      </c>
      <c r="C9" s="45" t="s">
        <v>5816</v>
      </c>
      <c r="D9" s="45" t="s">
        <v>5809</v>
      </c>
      <c r="E9" s="45" t="s">
        <v>5817</v>
      </c>
      <c r="F9" s="157" t="s">
        <v>5818</v>
      </c>
    </row>
    <row r="10" ht="15.75" hidden="1" customHeight="1">
      <c r="A10" s="36">
        <v>1073048.0</v>
      </c>
      <c r="B10" s="156" t="s">
        <v>5819</v>
      </c>
      <c r="C10" s="46" t="s">
        <v>5424</v>
      </c>
      <c r="D10" s="46" t="s">
        <v>5820</v>
      </c>
      <c r="E10" s="46" t="s">
        <v>5821</v>
      </c>
      <c r="F10" s="156" t="s">
        <v>5822</v>
      </c>
    </row>
    <row r="11" ht="15.75" hidden="1" customHeight="1">
      <c r="A11" s="38">
        <v>828715.0</v>
      </c>
      <c r="B11" s="157" t="s">
        <v>5823</v>
      </c>
      <c r="C11" s="45" t="s">
        <v>2083</v>
      </c>
      <c r="D11" s="45" t="s">
        <v>5789</v>
      </c>
      <c r="E11" s="45" t="s">
        <v>5824</v>
      </c>
      <c r="F11" s="157" t="s">
        <v>5825</v>
      </c>
    </row>
    <row r="12" ht="15.75" hidden="1" customHeight="1">
      <c r="A12" s="36">
        <v>1339636.0</v>
      </c>
      <c r="B12" s="156" t="s">
        <v>5826</v>
      </c>
      <c r="C12" s="46" t="s">
        <v>327</v>
      </c>
      <c r="D12" s="46" t="s">
        <v>5</v>
      </c>
      <c r="E12" s="46" t="s">
        <v>5827</v>
      </c>
      <c r="F12" s="156" t="s">
        <v>5828</v>
      </c>
    </row>
    <row r="13" ht="15.75" customHeight="1">
      <c r="A13" s="38">
        <v>1270458.0</v>
      </c>
      <c r="B13" s="157" t="s">
        <v>3</v>
      </c>
      <c r="C13" s="45" t="s">
        <v>5681</v>
      </c>
      <c r="D13" s="45" t="s">
        <v>5829</v>
      </c>
      <c r="E13" s="45" t="s">
        <v>4</v>
      </c>
      <c r="F13" s="157" t="s">
        <v>5830</v>
      </c>
    </row>
    <row r="14" ht="15.75" hidden="1" customHeight="1">
      <c r="A14" s="36">
        <v>2046669.0</v>
      </c>
      <c r="B14" s="156" t="s">
        <v>5831</v>
      </c>
      <c r="C14" s="46" t="s">
        <v>5832</v>
      </c>
      <c r="D14" s="46" t="s">
        <v>5809</v>
      </c>
      <c r="E14" s="46" t="s">
        <v>5833</v>
      </c>
      <c r="F14" s="156" t="s">
        <v>5834</v>
      </c>
    </row>
    <row r="15" ht="15.75" hidden="1" customHeight="1">
      <c r="A15" s="38">
        <v>1404830.0</v>
      </c>
      <c r="B15" s="157" t="s">
        <v>5835</v>
      </c>
      <c r="C15" s="45" t="s">
        <v>5836</v>
      </c>
      <c r="D15" s="45" t="s">
        <v>5809</v>
      </c>
      <c r="E15" s="45" t="s">
        <v>5837</v>
      </c>
      <c r="F15" s="157" t="s">
        <v>5838</v>
      </c>
    </row>
    <row r="16" ht="15.75" hidden="1" customHeight="1">
      <c r="A16" s="36">
        <v>2052966.0</v>
      </c>
      <c r="B16" s="156" t="s">
        <v>5839</v>
      </c>
      <c r="C16" s="46" t="s">
        <v>5808</v>
      </c>
      <c r="D16" s="46" t="s">
        <v>5809</v>
      </c>
      <c r="E16" s="46" t="s">
        <v>5840</v>
      </c>
      <c r="F16" s="156" t="s">
        <v>5841</v>
      </c>
    </row>
    <row r="17" ht="15.75" hidden="1" customHeight="1">
      <c r="A17" s="38">
        <v>2199205.0</v>
      </c>
      <c r="B17" s="157" t="s">
        <v>5842</v>
      </c>
      <c r="C17" s="45" t="s">
        <v>5424</v>
      </c>
      <c r="D17" s="45" t="s">
        <v>5809</v>
      </c>
      <c r="E17" s="45" t="s">
        <v>5843</v>
      </c>
      <c r="F17" s="157" t="s">
        <v>5844</v>
      </c>
    </row>
    <row r="18" ht="15.75" hidden="1" customHeight="1">
      <c r="A18" s="36">
        <v>2080431.0</v>
      </c>
      <c r="B18" s="156" t="s">
        <v>5845</v>
      </c>
      <c r="C18" s="46" t="s">
        <v>5846</v>
      </c>
      <c r="D18" s="46" t="s">
        <v>5847</v>
      </c>
      <c r="E18" s="46" t="s">
        <v>3646</v>
      </c>
      <c r="F18" s="156" t="s">
        <v>5848</v>
      </c>
    </row>
    <row r="19" ht="15.75" hidden="1" customHeight="1">
      <c r="A19" s="38">
        <v>2190884.0</v>
      </c>
      <c r="B19" s="157" t="s">
        <v>5812</v>
      </c>
      <c r="C19" s="45" t="s">
        <v>5823</v>
      </c>
      <c r="D19" s="45" t="s">
        <v>5789</v>
      </c>
      <c r="E19" s="45" t="s">
        <v>5849</v>
      </c>
      <c r="F19" s="157" t="s">
        <v>5850</v>
      </c>
    </row>
    <row r="20" ht="15.75" hidden="1" customHeight="1">
      <c r="A20" s="36">
        <v>2199231.0</v>
      </c>
      <c r="B20" s="156" t="s">
        <v>679</v>
      </c>
      <c r="C20" s="46" t="s">
        <v>301</v>
      </c>
      <c r="D20" s="46" t="s">
        <v>5</v>
      </c>
      <c r="E20" s="46" t="s">
        <v>5851</v>
      </c>
      <c r="F20" s="156" t="s">
        <v>5852</v>
      </c>
    </row>
    <row r="21" ht="15.75" hidden="1" customHeight="1">
      <c r="A21" s="38">
        <v>2778799.0</v>
      </c>
      <c r="B21" s="157" t="s">
        <v>5853</v>
      </c>
      <c r="C21" s="45" t="s">
        <v>250</v>
      </c>
      <c r="D21" s="45" t="s">
        <v>5</v>
      </c>
      <c r="E21" s="45" t="s">
        <v>5854</v>
      </c>
      <c r="F21" s="157" t="s">
        <v>5855</v>
      </c>
    </row>
    <row r="22" ht="15.75" hidden="1" customHeight="1">
      <c r="A22" s="36">
        <v>2618504.0</v>
      </c>
      <c r="B22" s="156" t="s">
        <v>3641</v>
      </c>
      <c r="C22" s="46" t="s">
        <v>3456</v>
      </c>
      <c r="D22" s="46" t="s">
        <v>5856</v>
      </c>
      <c r="E22" s="46" t="s">
        <v>5857</v>
      </c>
      <c r="F22" s="156" t="s">
        <v>5858</v>
      </c>
    </row>
    <row r="23" ht="15.75" hidden="1" customHeight="1">
      <c r="A23" s="38">
        <v>1940863.0</v>
      </c>
      <c r="B23" s="157" t="s">
        <v>5859</v>
      </c>
      <c r="C23" s="45" t="s">
        <v>5816</v>
      </c>
      <c r="D23" s="45" t="s">
        <v>5809</v>
      </c>
      <c r="E23" s="45" t="s">
        <v>5860</v>
      </c>
      <c r="F23" s="157" t="s">
        <v>5861</v>
      </c>
    </row>
    <row r="24" ht="15.75" hidden="1" customHeight="1">
      <c r="A24" s="36">
        <v>1969411.0</v>
      </c>
      <c r="B24" s="156" t="s">
        <v>5862</v>
      </c>
      <c r="C24" s="46" t="s">
        <v>3641</v>
      </c>
      <c r="D24" s="46" t="s">
        <v>5856</v>
      </c>
      <c r="E24" s="46" t="s">
        <v>5863</v>
      </c>
      <c r="F24" s="156" t="s">
        <v>5864</v>
      </c>
    </row>
    <row r="25" ht="15.75" hidden="1" customHeight="1">
      <c r="A25" s="38">
        <v>1983939.0</v>
      </c>
      <c r="B25" s="157" t="s">
        <v>5865</v>
      </c>
      <c r="C25" s="45" t="s">
        <v>5816</v>
      </c>
      <c r="D25" s="45" t="s">
        <v>5809</v>
      </c>
      <c r="E25" s="45" t="s">
        <v>5866</v>
      </c>
      <c r="F25" s="157" t="s">
        <v>5867</v>
      </c>
    </row>
    <row r="26" ht="15.75" hidden="1" customHeight="1">
      <c r="A26" s="36">
        <v>1983937.0</v>
      </c>
      <c r="B26" s="156" t="s">
        <v>5816</v>
      </c>
      <c r="C26" s="46" t="s">
        <v>5819</v>
      </c>
      <c r="D26" s="46" t="s">
        <v>5868</v>
      </c>
      <c r="E26" s="46" t="s">
        <v>5869</v>
      </c>
      <c r="F26" s="156" t="s">
        <v>5870</v>
      </c>
    </row>
    <row r="27" ht="15.75" hidden="1" customHeight="1">
      <c r="A27" s="38">
        <v>2116711.0</v>
      </c>
      <c r="B27" s="157" t="s">
        <v>5871</v>
      </c>
      <c r="C27" s="45" t="s">
        <v>5872</v>
      </c>
      <c r="D27" s="45" t="s">
        <v>5873</v>
      </c>
      <c r="E27" s="45" t="s">
        <v>5874</v>
      </c>
      <c r="F27" s="157" t="s">
        <v>5875</v>
      </c>
    </row>
    <row r="28" ht="15.75" hidden="1" customHeight="1">
      <c r="A28" s="36">
        <v>2132360.0</v>
      </c>
      <c r="B28" s="156" t="s">
        <v>5876</v>
      </c>
      <c r="C28" s="46" t="s">
        <v>5877</v>
      </c>
      <c r="D28" s="46" t="s">
        <v>5878</v>
      </c>
      <c r="E28" s="46" t="s">
        <v>3646</v>
      </c>
      <c r="F28" s="156" t="s">
        <v>5879</v>
      </c>
    </row>
    <row r="29" ht="15.75" hidden="1" customHeight="1">
      <c r="A29" s="38">
        <v>2174883.0</v>
      </c>
      <c r="B29" s="157" t="s">
        <v>5880</v>
      </c>
      <c r="C29" s="45" t="s">
        <v>5881</v>
      </c>
      <c r="D29" s="45" t="s">
        <v>5882</v>
      </c>
      <c r="E29" s="45" t="s">
        <v>5883</v>
      </c>
      <c r="F29" s="157" t="s">
        <v>5884</v>
      </c>
    </row>
    <row r="30" ht="15.75" hidden="1" customHeight="1">
      <c r="A30" s="36">
        <v>2199229.0</v>
      </c>
      <c r="B30" s="156" t="s">
        <v>5885</v>
      </c>
      <c r="C30" s="46" t="s">
        <v>5808</v>
      </c>
      <c r="D30" s="46" t="s">
        <v>5809</v>
      </c>
      <c r="E30" s="46" t="s">
        <v>5886</v>
      </c>
      <c r="F30" s="156" t="s">
        <v>5887</v>
      </c>
    </row>
    <row r="31" ht="15.75" hidden="1" customHeight="1">
      <c r="A31" s="38">
        <v>2199230.0</v>
      </c>
      <c r="B31" s="157" t="s">
        <v>5888</v>
      </c>
      <c r="C31" s="45" t="s">
        <v>349</v>
      </c>
      <c r="D31" s="45" t="s">
        <v>5889</v>
      </c>
      <c r="E31" s="45" t="s">
        <v>5890</v>
      </c>
      <c r="F31" s="157" t="s">
        <v>5891</v>
      </c>
    </row>
    <row r="32" ht="15.75" hidden="1" customHeight="1">
      <c r="A32" s="36">
        <v>2209132.0</v>
      </c>
      <c r="B32" s="156" t="s">
        <v>5892</v>
      </c>
      <c r="C32" s="46" t="s">
        <v>5893</v>
      </c>
      <c r="D32" s="46" t="s">
        <v>5809</v>
      </c>
      <c r="E32" s="46" t="s">
        <v>5894</v>
      </c>
      <c r="F32" s="156" t="s">
        <v>5895</v>
      </c>
    </row>
    <row r="33" ht="15.75" hidden="1" customHeight="1">
      <c r="A33" s="38">
        <v>2218919.0</v>
      </c>
      <c r="B33" s="157" t="s">
        <v>5896</v>
      </c>
      <c r="C33" s="45" t="s">
        <v>5832</v>
      </c>
      <c r="D33" s="45" t="s">
        <v>5809</v>
      </c>
      <c r="E33" s="45" t="s">
        <v>5897</v>
      </c>
      <c r="F33" s="157" t="s">
        <v>5898</v>
      </c>
    </row>
    <row r="34" ht="15.75" hidden="1" customHeight="1">
      <c r="A34" s="36">
        <v>2217375.0</v>
      </c>
      <c r="B34" s="156" t="s">
        <v>5899</v>
      </c>
      <c r="C34" s="46" t="s">
        <v>5836</v>
      </c>
      <c r="D34" s="46" t="s">
        <v>5809</v>
      </c>
      <c r="E34" s="46" t="s">
        <v>5900</v>
      </c>
      <c r="F34" s="156" t="s">
        <v>5901</v>
      </c>
    </row>
    <row r="35" ht="15.75" hidden="1" customHeight="1">
      <c r="A35" s="38">
        <v>2262565.0</v>
      </c>
      <c r="B35" s="157" t="s">
        <v>5881</v>
      </c>
      <c r="C35" s="45" t="s">
        <v>349</v>
      </c>
      <c r="D35" s="45" t="s">
        <v>5889</v>
      </c>
      <c r="E35" s="45" t="s">
        <v>5902</v>
      </c>
      <c r="F35" s="157" t="s">
        <v>5903</v>
      </c>
    </row>
    <row r="36" ht="15.75" hidden="1" customHeight="1">
      <c r="A36" s="36">
        <v>2259300.0</v>
      </c>
      <c r="B36" s="156" t="s">
        <v>5893</v>
      </c>
      <c r="C36" s="46" t="s">
        <v>5819</v>
      </c>
      <c r="D36" s="46" t="s">
        <v>5868</v>
      </c>
      <c r="E36" s="46" t="s">
        <v>5904</v>
      </c>
      <c r="F36" s="156" t="s">
        <v>5905</v>
      </c>
    </row>
    <row r="37" ht="15.75" hidden="1" customHeight="1">
      <c r="A37" s="38">
        <v>2271030.0</v>
      </c>
      <c r="B37" s="157" t="s">
        <v>5906</v>
      </c>
      <c r="C37" s="45" t="s">
        <v>5836</v>
      </c>
      <c r="D37" s="45" t="s">
        <v>5809</v>
      </c>
      <c r="E37" s="45" t="s">
        <v>5907</v>
      </c>
      <c r="F37" s="157" t="s">
        <v>5908</v>
      </c>
    </row>
    <row r="38" ht="15.75" hidden="1" customHeight="1">
      <c r="A38" s="36">
        <v>2275824.0</v>
      </c>
      <c r="B38" s="156" t="s">
        <v>5909</v>
      </c>
      <c r="C38" s="46" t="s">
        <v>348</v>
      </c>
      <c r="D38" s="46" t="s">
        <v>5882</v>
      </c>
      <c r="E38" s="46" t="s">
        <v>5910</v>
      </c>
      <c r="F38" s="156" t="s">
        <v>5911</v>
      </c>
    </row>
    <row r="39" ht="15.75" hidden="1" customHeight="1">
      <c r="A39" s="38">
        <v>2310317.0</v>
      </c>
      <c r="B39" s="157" t="s">
        <v>5912</v>
      </c>
      <c r="C39" s="45" t="s">
        <v>5792</v>
      </c>
      <c r="D39" s="45" t="s">
        <v>5913</v>
      </c>
      <c r="E39" s="45" t="s">
        <v>5914</v>
      </c>
      <c r="F39" s="157" t="s">
        <v>5915</v>
      </c>
    </row>
    <row r="40" ht="15.75" hidden="1" customHeight="1">
      <c r="A40" s="36">
        <v>2292975.0</v>
      </c>
      <c r="B40" s="156" t="s">
        <v>5916</v>
      </c>
      <c r="C40" s="46" t="s">
        <v>5836</v>
      </c>
      <c r="D40" s="46" t="s">
        <v>5809</v>
      </c>
      <c r="E40" s="46" t="s">
        <v>5917</v>
      </c>
      <c r="F40" s="156" t="s">
        <v>5918</v>
      </c>
    </row>
    <row r="41" ht="15.75" hidden="1" customHeight="1">
      <c r="A41" s="38">
        <v>2359405.0</v>
      </c>
      <c r="B41" s="157" t="s">
        <v>541</v>
      </c>
      <c r="C41" s="45" t="s">
        <v>319</v>
      </c>
      <c r="D41" s="45" t="s">
        <v>5789</v>
      </c>
      <c r="E41" s="45" t="s">
        <v>5919</v>
      </c>
      <c r="F41" s="157" t="s">
        <v>5920</v>
      </c>
    </row>
    <row r="42" ht="15.75" hidden="1" customHeight="1">
      <c r="A42" s="36">
        <v>2127970.0</v>
      </c>
      <c r="B42" s="156" t="s">
        <v>348</v>
      </c>
      <c r="C42" s="46" t="s">
        <v>349</v>
      </c>
      <c r="D42" s="46" t="s">
        <v>5889</v>
      </c>
      <c r="E42" s="46" t="s">
        <v>5921</v>
      </c>
      <c r="F42" s="156" t="s">
        <v>5922</v>
      </c>
    </row>
    <row r="43" ht="15.75" hidden="1" customHeight="1">
      <c r="A43" s="38">
        <v>985835.0</v>
      </c>
      <c r="B43" s="157" t="s">
        <v>347</v>
      </c>
      <c r="C43" s="45" t="s">
        <v>348</v>
      </c>
      <c r="D43" s="45" t="s">
        <v>5882</v>
      </c>
      <c r="E43" s="45" t="s">
        <v>5923</v>
      </c>
      <c r="F43" s="157" t="s">
        <v>5924</v>
      </c>
    </row>
    <row r="44" ht="15.75" hidden="1" customHeight="1">
      <c r="A44" s="36">
        <v>2463460.0</v>
      </c>
      <c r="B44" s="156" t="s">
        <v>5925</v>
      </c>
      <c r="C44" s="46" t="s">
        <v>5816</v>
      </c>
      <c r="D44" s="46" t="s">
        <v>5809</v>
      </c>
      <c r="E44" s="46" t="s">
        <v>5926</v>
      </c>
      <c r="F44" s="156" t="s">
        <v>5927</v>
      </c>
    </row>
    <row r="45" ht="15.75" hidden="1" customHeight="1">
      <c r="A45" s="38">
        <v>2475018.0</v>
      </c>
      <c r="B45" s="157" t="s">
        <v>1525</v>
      </c>
      <c r="C45" s="45" t="s">
        <v>349</v>
      </c>
      <c r="D45" s="45" t="s">
        <v>5928</v>
      </c>
      <c r="E45" s="45" t="s">
        <v>5929</v>
      </c>
      <c r="F45" s="157" t="s">
        <v>5930</v>
      </c>
    </row>
    <row r="46" ht="15.75" hidden="1" customHeight="1">
      <c r="A46" s="36">
        <v>2474040.0</v>
      </c>
      <c r="B46" s="156" t="s">
        <v>5931</v>
      </c>
      <c r="C46" s="46" t="s">
        <v>5893</v>
      </c>
      <c r="D46" s="46" t="s">
        <v>5809</v>
      </c>
      <c r="E46" s="46" t="s">
        <v>5932</v>
      </c>
      <c r="F46" s="156" t="s">
        <v>5933</v>
      </c>
    </row>
    <row r="47" ht="15.75" hidden="1" customHeight="1">
      <c r="A47" s="38">
        <v>2470519.0</v>
      </c>
      <c r="B47" s="157" t="s">
        <v>5934</v>
      </c>
      <c r="C47" s="45" t="s">
        <v>5872</v>
      </c>
      <c r="D47" s="45" t="s">
        <v>5873</v>
      </c>
      <c r="E47" s="45" t="s">
        <v>5935</v>
      </c>
      <c r="F47" s="157" t="s">
        <v>5936</v>
      </c>
    </row>
    <row r="48" ht="15.75" hidden="1" customHeight="1">
      <c r="A48" s="36">
        <v>2495366.0</v>
      </c>
      <c r="B48" s="156" t="s">
        <v>5937</v>
      </c>
      <c r="C48" s="46" t="s">
        <v>5836</v>
      </c>
      <c r="D48" s="46" t="s">
        <v>5809</v>
      </c>
      <c r="E48" s="46" t="s">
        <v>5938</v>
      </c>
      <c r="F48" s="156" t="s">
        <v>5939</v>
      </c>
    </row>
    <row r="49" ht="15.75" hidden="1" customHeight="1">
      <c r="A49" s="38">
        <v>2493672.0</v>
      </c>
      <c r="B49" s="157" t="s">
        <v>540</v>
      </c>
      <c r="C49" s="45" t="s">
        <v>541</v>
      </c>
      <c r="D49" s="45" t="s">
        <v>5</v>
      </c>
      <c r="E49" s="45" t="s">
        <v>5940</v>
      </c>
      <c r="F49" s="157" t="s">
        <v>5941</v>
      </c>
    </row>
    <row r="50" ht="15.75" hidden="1" customHeight="1">
      <c r="A50" s="36">
        <v>2502361.0</v>
      </c>
      <c r="B50" s="156" t="s">
        <v>3456</v>
      </c>
      <c r="C50" s="46" t="s">
        <v>5424</v>
      </c>
      <c r="D50" s="46" t="s">
        <v>5942</v>
      </c>
      <c r="E50" s="46" t="s">
        <v>5943</v>
      </c>
      <c r="F50" s="156" t="s">
        <v>5944</v>
      </c>
    </row>
    <row r="51" ht="15.75" hidden="1" customHeight="1">
      <c r="A51" s="38">
        <v>2502250.0</v>
      </c>
      <c r="B51" s="157" t="s">
        <v>5945</v>
      </c>
      <c r="C51" s="45" t="s">
        <v>1525</v>
      </c>
      <c r="D51" s="45" t="s">
        <v>5889</v>
      </c>
      <c r="E51" s="45" t="s">
        <v>5946</v>
      </c>
      <c r="F51" s="157" t="s">
        <v>5947</v>
      </c>
    </row>
    <row r="52" ht="15.75" hidden="1" customHeight="1">
      <c r="A52" s="36">
        <v>2579210.0</v>
      </c>
      <c r="B52" s="156" t="s">
        <v>5948</v>
      </c>
      <c r="C52" s="46" t="s">
        <v>5832</v>
      </c>
      <c r="D52" s="46" t="s">
        <v>5809</v>
      </c>
      <c r="E52" s="46" t="s">
        <v>5949</v>
      </c>
      <c r="F52" s="156" t="s">
        <v>5950</v>
      </c>
    </row>
    <row r="53" ht="15.75" hidden="1" customHeight="1">
      <c r="A53" s="38">
        <v>2786618.0</v>
      </c>
      <c r="B53" s="157" t="s">
        <v>258</v>
      </c>
      <c r="C53" s="45" t="s">
        <v>5823</v>
      </c>
      <c r="D53" s="45" t="s">
        <v>5789</v>
      </c>
      <c r="E53" s="45" t="s">
        <v>5951</v>
      </c>
      <c r="F53" s="157" t="s">
        <v>5952</v>
      </c>
    </row>
    <row r="54" ht="15.75" hidden="1" customHeight="1">
      <c r="A54" s="36">
        <v>1693237.0</v>
      </c>
      <c r="B54" s="156" t="s">
        <v>5953</v>
      </c>
      <c r="C54" s="46" t="s">
        <v>1525</v>
      </c>
      <c r="D54" s="46" t="s">
        <v>5889</v>
      </c>
      <c r="E54" s="46" t="s">
        <v>5954</v>
      </c>
      <c r="F54" s="156" t="s">
        <v>5955</v>
      </c>
    </row>
    <row r="55" ht="15.75" hidden="1" customHeight="1">
      <c r="A55" s="38">
        <v>690890.0</v>
      </c>
      <c r="B55" s="157" t="s">
        <v>5956</v>
      </c>
      <c r="C55" s="45" t="s">
        <v>5881</v>
      </c>
      <c r="D55" s="45" t="s">
        <v>5882</v>
      </c>
      <c r="E55" s="45" t="s">
        <v>5957</v>
      </c>
      <c r="F55" s="157" t="s">
        <v>5958</v>
      </c>
    </row>
    <row r="56" ht="15.75" hidden="1" customHeight="1">
      <c r="A56" s="36">
        <v>1285623.0</v>
      </c>
      <c r="B56" s="156" t="s">
        <v>5959</v>
      </c>
      <c r="C56" s="46" t="s">
        <v>349</v>
      </c>
      <c r="D56" s="46" t="s">
        <v>5928</v>
      </c>
      <c r="E56" s="46" t="s">
        <v>5960</v>
      </c>
      <c r="F56" s="156" t="s">
        <v>5961</v>
      </c>
    </row>
    <row r="57" ht="15.75" hidden="1" customHeight="1">
      <c r="A57" s="38">
        <v>2382159.0</v>
      </c>
      <c r="B57" s="157" t="s">
        <v>293</v>
      </c>
      <c r="C57" s="45" t="s">
        <v>541</v>
      </c>
      <c r="D57" s="45" t="s">
        <v>5</v>
      </c>
      <c r="E57" s="45" t="s">
        <v>5962</v>
      </c>
      <c r="F57" s="157" t="s">
        <v>5963</v>
      </c>
    </row>
    <row r="58" ht="15.75" hidden="1" customHeight="1">
      <c r="A58" s="36">
        <v>2875774.0</v>
      </c>
      <c r="B58" s="156" t="s">
        <v>5964</v>
      </c>
      <c r="C58" s="46" t="s">
        <v>5424</v>
      </c>
      <c r="D58" s="46" t="s">
        <v>5820</v>
      </c>
      <c r="E58" s="46" t="s">
        <v>5965</v>
      </c>
      <c r="F58" s="156" t="s">
        <v>5966</v>
      </c>
    </row>
    <row r="59" ht="15.75" hidden="1" customHeight="1">
      <c r="A59" s="38">
        <v>2895850.0</v>
      </c>
      <c r="B59" s="157" t="s">
        <v>5967</v>
      </c>
      <c r="C59" s="45" t="s">
        <v>250</v>
      </c>
      <c r="D59" s="45" t="s">
        <v>5</v>
      </c>
      <c r="E59" s="45" t="s">
        <v>5968</v>
      </c>
      <c r="F59" s="157" t="s">
        <v>5969</v>
      </c>
    </row>
    <row r="60" ht="15.75" hidden="1" customHeight="1">
      <c r="A60" s="36">
        <v>2912068.0</v>
      </c>
      <c r="B60" s="156" t="s">
        <v>5970</v>
      </c>
      <c r="C60" s="46" t="s">
        <v>1525</v>
      </c>
      <c r="D60" s="46" t="s">
        <v>5889</v>
      </c>
      <c r="E60" s="46" t="s">
        <v>5971</v>
      </c>
      <c r="F60" s="156" t="s">
        <v>5972</v>
      </c>
    </row>
    <row r="61" ht="15.75" hidden="1" customHeight="1">
      <c r="A61" s="38">
        <v>2910663.0</v>
      </c>
      <c r="B61" s="157" t="s">
        <v>5973</v>
      </c>
      <c r="C61" s="45" t="s">
        <v>327</v>
      </c>
      <c r="D61" s="45" t="s">
        <v>5</v>
      </c>
      <c r="E61" s="45" t="s">
        <v>5974</v>
      </c>
      <c r="F61" s="157" t="s">
        <v>5975</v>
      </c>
    </row>
    <row r="62" ht="15.75" hidden="1" customHeight="1">
      <c r="A62" s="36">
        <v>1986586.0</v>
      </c>
      <c r="B62" s="156" t="s">
        <v>5976</v>
      </c>
      <c r="C62" s="46" t="s">
        <v>5977</v>
      </c>
      <c r="D62" s="46" t="s">
        <v>5978</v>
      </c>
      <c r="E62" s="46" t="s">
        <v>5979</v>
      </c>
      <c r="F62" s="156" t="s">
        <v>5980</v>
      </c>
    </row>
    <row r="63" ht="15.75" hidden="1" customHeight="1">
      <c r="A63" s="38">
        <v>2994032.0</v>
      </c>
      <c r="B63" s="157" t="s">
        <v>5981</v>
      </c>
      <c r="C63" s="45" t="s">
        <v>5982</v>
      </c>
      <c r="D63" s="45" t="s">
        <v>5809</v>
      </c>
      <c r="E63" s="45" t="s">
        <v>5983</v>
      </c>
      <c r="F63" s="157" t="s">
        <v>5984</v>
      </c>
    </row>
    <row r="64" ht="15.75" hidden="1" customHeight="1">
      <c r="A64" s="36">
        <v>3010816.0</v>
      </c>
      <c r="B64" s="156" t="s">
        <v>5985</v>
      </c>
      <c r="C64" s="46" t="s">
        <v>250</v>
      </c>
      <c r="D64" s="46" t="s">
        <v>5809</v>
      </c>
      <c r="E64" s="46" t="s">
        <v>5986</v>
      </c>
      <c r="F64" s="156" t="s">
        <v>5987</v>
      </c>
    </row>
    <row r="65" ht="15.75" hidden="1" customHeight="1">
      <c r="A65" s="38">
        <v>3017461.0</v>
      </c>
      <c r="B65" s="157" t="s">
        <v>5988</v>
      </c>
      <c r="C65" s="45" t="s">
        <v>349</v>
      </c>
      <c r="D65" s="45" t="s">
        <v>5889</v>
      </c>
      <c r="E65" s="45" t="s">
        <v>5989</v>
      </c>
      <c r="F65" s="157" t="s">
        <v>5990</v>
      </c>
    </row>
    <row r="66" ht="15.75" hidden="1" customHeight="1">
      <c r="A66" s="36">
        <v>3034883.0</v>
      </c>
      <c r="B66" s="156" t="s">
        <v>481</v>
      </c>
      <c r="C66" s="46" t="s">
        <v>301</v>
      </c>
      <c r="D66" s="46" t="s">
        <v>5</v>
      </c>
      <c r="E66" s="46" t="s">
        <v>5991</v>
      </c>
      <c r="F66" s="156" t="s">
        <v>5992</v>
      </c>
    </row>
    <row r="67" ht="15.75" hidden="1" customHeight="1">
      <c r="A67" s="38">
        <v>3066268.0</v>
      </c>
      <c r="B67" s="157" t="s">
        <v>5119</v>
      </c>
      <c r="C67" s="45" t="s">
        <v>3641</v>
      </c>
      <c r="D67" s="45" t="s">
        <v>5856</v>
      </c>
      <c r="E67" s="45" t="s">
        <v>5993</v>
      </c>
      <c r="F67" s="157" t="s">
        <v>5994</v>
      </c>
    </row>
    <row r="68" ht="15.75" hidden="1" customHeight="1">
      <c r="A68" s="36">
        <v>3070801.0</v>
      </c>
      <c r="B68" s="156" t="s">
        <v>5995</v>
      </c>
      <c r="C68" s="46" t="s">
        <v>5888</v>
      </c>
      <c r="D68" s="46" t="s">
        <v>5882</v>
      </c>
      <c r="E68" s="46" t="s">
        <v>5996</v>
      </c>
      <c r="F68" s="156" t="s">
        <v>5997</v>
      </c>
    </row>
    <row r="69" ht="15.75" hidden="1" customHeight="1">
      <c r="A69" s="38">
        <v>3067837.0</v>
      </c>
      <c r="B69" s="157" t="s">
        <v>5998</v>
      </c>
      <c r="C69" s="45" t="s">
        <v>5832</v>
      </c>
      <c r="D69" s="45" t="s">
        <v>5809</v>
      </c>
      <c r="E69" s="45" t="s">
        <v>5999</v>
      </c>
      <c r="F69" s="157" t="s">
        <v>6000</v>
      </c>
    </row>
    <row r="70" ht="15.75" hidden="1" customHeight="1">
      <c r="A70" s="36">
        <v>3104035.0</v>
      </c>
      <c r="B70" s="156" t="s">
        <v>6001</v>
      </c>
      <c r="C70" s="46" t="s">
        <v>5988</v>
      </c>
      <c r="D70" s="46" t="s">
        <v>5882</v>
      </c>
      <c r="E70" s="46" t="s">
        <v>6002</v>
      </c>
      <c r="F70" s="156" t="s">
        <v>6003</v>
      </c>
    </row>
    <row r="71" ht="15.75" hidden="1" customHeight="1">
      <c r="A71" s="38">
        <v>3118237.0</v>
      </c>
      <c r="B71" s="157" t="s">
        <v>6004</v>
      </c>
      <c r="C71" s="45" t="s">
        <v>5319</v>
      </c>
      <c r="D71" s="45" t="s">
        <v>6005</v>
      </c>
      <c r="E71" s="45" t="s">
        <v>6006</v>
      </c>
      <c r="F71" s="157" t="s">
        <v>6007</v>
      </c>
    </row>
    <row r="72" ht="15.75" hidden="1" customHeight="1">
      <c r="A72" s="36">
        <v>3125898.0</v>
      </c>
      <c r="B72" s="156" t="s">
        <v>6008</v>
      </c>
      <c r="C72" s="46" t="s">
        <v>6009</v>
      </c>
      <c r="D72" s="46" t="s">
        <v>5882</v>
      </c>
      <c r="E72" s="46" t="s">
        <v>6010</v>
      </c>
      <c r="F72" s="156" t="s">
        <v>6011</v>
      </c>
    </row>
    <row r="73" ht="15.75" hidden="1" customHeight="1">
      <c r="A73" s="38">
        <v>1377048.0</v>
      </c>
      <c r="B73" s="157" t="s">
        <v>494</v>
      </c>
      <c r="C73" s="45" t="s">
        <v>5812</v>
      </c>
      <c r="D73" s="45" t="s">
        <v>5</v>
      </c>
      <c r="E73" s="45" t="s">
        <v>6012</v>
      </c>
      <c r="F73" s="157" t="s">
        <v>6013</v>
      </c>
    </row>
    <row r="74" ht="15.75" hidden="1" customHeight="1">
      <c r="A74" s="36">
        <v>3144744.0</v>
      </c>
      <c r="B74" s="156" t="s">
        <v>6014</v>
      </c>
      <c r="C74" s="46" t="s">
        <v>5888</v>
      </c>
      <c r="D74" s="46" t="s">
        <v>5882</v>
      </c>
      <c r="E74" s="46" t="s">
        <v>6015</v>
      </c>
      <c r="F74" s="156" t="s">
        <v>6016</v>
      </c>
    </row>
    <row r="75" ht="15.75" hidden="1" customHeight="1">
      <c r="A75" s="38">
        <v>3150071.0</v>
      </c>
      <c r="B75" s="157" t="s">
        <v>6017</v>
      </c>
      <c r="C75" s="45" t="s">
        <v>6018</v>
      </c>
      <c r="D75" s="45" t="s">
        <v>5873</v>
      </c>
      <c r="E75" s="45" t="s">
        <v>6019</v>
      </c>
      <c r="F75" s="157" t="s">
        <v>6020</v>
      </c>
    </row>
    <row r="76" ht="15.75" hidden="1" customHeight="1">
      <c r="A76" s="36">
        <v>2508542.0</v>
      </c>
      <c r="B76" s="156" t="s">
        <v>6021</v>
      </c>
      <c r="C76" s="46" t="s">
        <v>6018</v>
      </c>
      <c r="D76" s="46" t="s">
        <v>5873</v>
      </c>
      <c r="E76" s="46" t="s">
        <v>6022</v>
      </c>
      <c r="F76" s="156" t="s">
        <v>6023</v>
      </c>
    </row>
    <row r="77" ht="15.75" hidden="1" customHeight="1">
      <c r="A77" s="38">
        <v>3144673.0</v>
      </c>
      <c r="B77" s="157" t="s">
        <v>5982</v>
      </c>
      <c r="C77" s="45" t="s">
        <v>5964</v>
      </c>
      <c r="D77" s="45" t="s">
        <v>5868</v>
      </c>
      <c r="E77" s="45" t="s">
        <v>6024</v>
      </c>
      <c r="F77" s="157" t="s">
        <v>6025</v>
      </c>
    </row>
    <row r="78" ht="15.75" hidden="1" customHeight="1">
      <c r="A78" s="36">
        <v>3149870.0</v>
      </c>
      <c r="B78" s="156" t="s">
        <v>6026</v>
      </c>
      <c r="C78" s="46" t="s">
        <v>5808</v>
      </c>
      <c r="D78" s="46" t="s">
        <v>5809</v>
      </c>
      <c r="E78" s="46" t="s">
        <v>6027</v>
      </c>
      <c r="F78" s="156" t="s">
        <v>6028</v>
      </c>
    </row>
    <row r="79" ht="15.75" hidden="1" customHeight="1">
      <c r="A79" s="38">
        <v>3165511.0</v>
      </c>
      <c r="B79" s="157" t="s">
        <v>470</v>
      </c>
      <c r="C79" s="45" t="s">
        <v>327</v>
      </c>
      <c r="D79" s="45" t="s">
        <v>5</v>
      </c>
      <c r="E79" s="45" t="s">
        <v>6029</v>
      </c>
      <c r="F79" s="157" t="s">
        <v>6030</v>
      </c>
    </row>
    <row r="80" ht="15.75" hidden="1" customHeight="1">
      <c r="A80" s="36">
        <v>3161751.0</v>
      </c>
      <c r="B80" s="156" t="s">
        <v>285</v>
      </c>
      <c r="C80" s="46" t="s">
        <v>5823</v>
      </c>
      <c r="D80" s="46" t="s">
        <v>5789</v>
      </c>
      <c r="E80" s="46" t="s">
        <v>6031</v>
      </c>
      <c r="F80" s="156" t="s">
        <v>6032</v>
      </c>
    </row>
    <row r="81" ht="15.75" hidden="1" customHeight="1">
      <c r="A81" s="38">
        <v>3168504.0</v>
      </c>
      <c r="B81" s="157" t="s">
        <v>6033</v>
      </c>
      <c r="C81" s="45" t="s">
        <v>1525</v>
      </c>
      <c r="D81" s="45" t="s">
        <v>5889</v>
      </c>
      <c r="E81" s="45" t="s">
        <v>6034</v>
      </c>
      <c r="F81" s="157" t="s">
        <v>6035</v>
      </c>
    </row>
    <row r="82" ht="15.75" hidden="1" customHeight="1">
      <c r="A82" s="36">
        <v>3173473.0</v>
      </c>
      <c r="B82" s="156" t="s">
        <v>6036</v>
      </c>
      <c r="C82" s="46" t="s">
        <v>5953</v>
      </c>
      <c r="D82" s="46" t="s">
        <v>5882</v>
      </c>
      <c r="E82" s="46" t="s">
        <v>6037</v>
      </c>
      <c r="F82" s="156" t="s">
        <v>6038</v>
      </c>
    </row>
    <row r="83" ht="15.75" hidden="1" customHeight="1">
      <c r="A83" s="38">
        <v>3197267.0</v>
      </c>
      <c r="B83" s="157" t="s">
        <v>5808</v>
      </c>
      <c r="C83" s="45" t="s">
        <v>5819</v>
      </c>
      <c r="D83" s="45" t="s">
        <v>5868</v>
      </c>
      <c r="E83" s="45" t="s">
        <v>6039</v>
      </c>
      <c r="F83" s="157" t="s">
        <v>6040</v>
      </c>
    </row>
    <row r="84" ht="15.75" hidden="1" customHeight="1">
      <c r="A84" s="36">
        <v>3208634.0</v>
      </c>
      <c r="B84" s="156" t="s">
        <v>300</v>
      </c>
      <c r="C84" s="46" t="s">
        <v>301</v>
      </c>
      <c r="D84" s="46" t="s">
        <v>5</v>
      </c>
      <c r="E84" s="46" t="s">
        <v>6041</v>
      </c>
      <c r="F84" s="156" t="s">
        <v>6042</v>
      </c>
    </row>
    <row r="85" ht="15.75" hidden="1" customHeight="1">
      <c r="A85" s="38">
        <v>3247321.0</v>
      </c>
      <c r="B85" s="157" t="s">
        <v>6018</v>
      </c>
      <c r="C85" s="45" t="s">
        <v>5888</v>
      </c>
      <c r="D85" s="45" t="s">
        <v>5882</v>
      </c>
      <c r="E85" s="45" t="s">
        <v>6043</v>
      </c>
      <c r="F85" s="157" t="s">
        <v>6044</v>
      </c>
    </row>
    <row r="86" ht="15.75" hidden="1" customHeight="1">
      <c r="A86" s="36">
        <v>3229966.0</v>
      </c>
      <c r="B86" s="156" t="s">
        <v>6045</v>
      </c>
      <c r="C86" s="46" t="s">
        <v>6046</v>
      </c>
      <c r="D86" s="46" t="s">
        <v>6047</v>
      </c>
      <c r="E86" s="46" t="s">
        <v>6048</v>
      </c>
      <c r="F86" s="156" t="s">
        <v>6049</v>
      </c>
    </row>
    <row r="87" ht="15.75" hidden="1" customHeight="1">
      <c r="A87" s="38">
        <v>3252736.0</v>
      </c>
      <c r="B87" s="157" t="s">
        <v>6050</v>
      </c>
      <c r="C87" s="45" t="s">
        <v>5832</v>
      </c>
      <c r="D87" s="45" t="s">
        <v>5809</v>
      </c>
      <c r="E87" s="45" t="s">
        <v>6051</v>
      </c>
      <c r="F87" s="157" t="s">
        <v>6052</v>
      </c>
    </row>
    <row r="88" ht="15.75" hidden="1" customHeight="1">
      <c r="A88" s="36">
        <v>3276248.0</v>
      </c>
      <c r="B88" s="156" t="s">
        <v>6053</v>
      </c>
      <c r="C88" s="46" t="s">
        <v>541</v>
      </c>
      <c r="D88" s="46" t="s">
        <v>5</v>
      </c>
      <c r="E88" s="46" t="s">
        <v>6054</v>
      </c>
      <c r="F88" s="156" t="s">
        <v>6055</v>
      </c>
    </row>
    <row r="89" ht="15.75" hidden="1" customHeight="1">
      <c r="A89" s="38">
        <v>1164982.0</v>
      </c>
      <c r="B89" s="157" t="s">
        <v>284</v>
      </c>
      <c r="C89" s="45" t="s">
        <v>285</v>
      </c>
      <c r="D89" s="45" t="s">
        <v>5</v>
      </c>
      <c r="E89" s="45" t="s">
        <v>6056</v>
      </c>
      <c r="F89" s="157" t="s">
        <v>6057</v>
      </c>
    </row>
    <row r="90" ht="15.75" hidden="1" customHeight="1">
      <c r="A90" s="36">
        <v>3282032.0</v>
      </c>
      <c r="B90" s="156" t="s">
        <v>6058</v>
      </c>
      <c r="C90" s="46" t="s">
        <v>258</v>
      </c>
      <c r="D90" s="46" t="s">
        <v>5</v>
      </c>
      <c r="E90" s="46" t="s">
        <v>6059</v>
      </c>
      <c r="F90" s="156" t="s">
        <v>6060</v>
      </c>
    </row>
    <row r="91" ht="15.75" hidden="1" customHeight="1">
      <c r="A91" s="38">
        <v>3302210.0</v>
      </c>
      <c r="B91" s="157" t="s">
        <v>6061</v>
      </c>
      <c r="C91" s="45" t="s">
        <v>5832</v>
      </c>
      <c r="D91" s="45" t="s">
        <v>5809</v>
      </c>
      <c r="E91" s="45" t="s">
        <v>6062</v>
      </c>
      <c r="F91" s="157" t="s">
        <v>6063</v>
      </c>
    </row>
    <row r="92" ht="15.75" hidden="1" customHeight="1">
      <c r="A92" s="36">
        <v>3354355.0</v>
      </c>
      <c r="B92" s="156" t="s">
        <v>301</v>
      </c>
      <c r="C92" s="46" t="s">
        <v>319</v>
      </c>
      <c r="D92" s="46" t="s">
        <v>5789</v>
      </c>
      <c r="E92" s="46" t="s">
        <v>6064</v>
      </c>
      <c r="F92" s="156" t="s">
        <v>6065</v>
      </c>
    </row>
    <row r="93" ht="15.75" hidden="1" customHeight="1">
      <c r="A93" s="38">
        <v>3191795.0</v>
      </c>
      <c r="B93" s="157" t="s">
        <v>5877</v>
      </c>
      <c r="C93" s="45" t="s">
        <v>6066</v>
      </c>
      <c r="D93" s="45" t="s">
        <v>6067</v>
      </c>
      <c r="E93" s="45" t="s">
        <v>3646</v>
      </c>
      <c r="F93" s="157" t="s">
        <v>6068</v>
      </c>
    </row>
    <row r="94" ht="15.75" hidden="1" customHeight="1">
      <c r="A94" s="36">
        <v>3354580.0</v>
      </c>
      <c r="B94" s="156" t="s">
        <v>6069</v>
      </c>
      <c r="C94" s="46" t="s">
        <v>5792</v>
      </c>
      <c r="D94" s="46" t="s">
        <v>5913</v>
      </c>
      <c r="E94" s="46" t="s">
        <v>6070</v>
      </c>
      <c r="F94" s="156" t="s">
        <v>6071</v>
      </c>
    </row>
    <row r="95" ht="15.75" hidden="1" customHeight="1">
      <c r="A95" s="38">
        <v>3469149.0</v>
      </c>
      <c r="B95" s="157" t="s">
        <v>6072</v>
      </c>
      <c r="C95" s="45" t="s">
        <v>285</v>
      </c>
      <c r="D95" s="45" t="s">
        <v>5</v>
      </c>
      <c r="E95" s="45" t="s">
        <v>6073</v>
      </c>
      <c r="F95" s="157" t="s">
        <v>6074</v>
      </c>
    </row>
    <row r="96" ht="15.75" hidden="1" customHeight="1">
      <c r="A96" s="36">
        <v>3501547.0</v>
      </c>
      <c r="B96" s="156" t="s">
        <v>6075</v>
      </c>
      <c r="C96" s="46" t="s">
        <v>5982</v>
      </c>
      <c r="D96" s="46" t="s">
        <v>5809</v>
      </c>
      <c r="E96" s="46" t="s">
        <v>6076</v>
      </c>
      <c r="F96" s="156" t="s">
        <v>6077</v>
      </c>
    </row>
    <row r="97" ht="15.75" hidden="1" customHeight="1">
      <c r="A97" s="38">
        <v>3028088.0</v>
      </c>
      <c r="B97" s="157" t="s">
        <v>6078</v>
      </c>
      <c r="C97" s="45" t="s">
        <v>5846</v>
      </c>
      <c r="D97" s="45" t="s">
        <v>6079</v>
      </c>
      <c r="E97" s="45" t="s">
        <v>3646</v>
      </c>
      <c r="F97" s="157" t="s">
        <v>6080</v>
      </c>
    </row>
    <row r="98" ht="15.75" hidden="1" customHeight="1">
      <c r="A98" s="36">
        <v>3523764.0</v>
      </c>
      <c r="B98" s="156" t="s">
        <v>6081</v>
      </c>
      <c r="C98" s="46" t="s">
        <v>5872</v>
      </c>
      <c r="D98" s="46" t="s">
        <v>5873</v>
      </c>
      <c r="E98" s="46" t="s">
        <v>6082</v>
      </c>
      <c r="F98" s="156" t="s">
        <v>6083</v>
      </c>
    </row>
    <row r="99" ht="15.75" hidden="1" customHeight="1">
      <c r="A99" s="38">
        <v>3534310.0</v>
      </c>
      <c r="B99" s="157" t="s">
        <v>6084</v>
      </c>
      <c r="C99" s="45" t="s">
        <v>5893</v>
      </c>
      <c r="D99" s="45" t="s">
        <v>5809</v>
      </c>
      <c r="E99" s="45" t="s">
        <v>6085</v>
      </c>
      <c r="F99" s="157" t="s">
        <v>6086</v>
      </c>
    </row>
    <row r="100" ht="15.75" hidden="1" customHeight="1">
      <c r="A100" s="36">
        <v>3551498.0</v>
      </c>
      <c r="B100" s="156" t="s">
        <v>6087</v>
      </c>
      <c r="C100" s="46" t="s">
        <v>5812</v>
      </c>
      <c r="D100" s="46" t="s">
        <v>5</v>
      </c>
      <c r="E100" s="46" t="s">
        <v>6088</v>
      </c>
      <c r="F100" s="156" t="s">
        <v>6089</v>
      </c>
    </row>
    <row r="101" ht="15.75" hidden="1" customHeight="1">
      <c r="A101" s="38">
        <v>3564431.0</v>
      </c>
      <c r="B101" s="157" t="s">
        <v>6090</v>
      </c>
      <c r="C101" s="45" t="s">
        <v>6091</v>
      </c>
      <c r="D101" s="45" t="s">
        <v>5856</v>
      </c>
      <c r="E101" s="45" t="s">
        <v>6092</v>
      </c>
      <c r="F101" s="157" t="s">
        <v>6093</v>
      </c>
    </row>
    <row r="102" ht="15.75" hidden="1" customHeight="1">
      <c r="A102" s="36">
        <v>3574646.0</v>
      </c>
      <c r="B102" s="156" t="s">
        <v>6094</v>
      </c>
      <c r="C102" s="46" t="s">
        <v>5982</v>
      </c>
      <c r="D102" s="46" t="s">
        <v>5809</v>
      </c>
      <c r="E102" s="46" t="s">
        <v>6095</v>
      </c>
      <c r="F102" s="156" t="s">
        <v>6096</v>
      </c>
    </row>
    <row r="103" ht="15.75" hidden="1" customHeight="1">
      <c r="A103" s="38">
        <v>2014048.0</v>
      </c>
      <c r="B103" s="157" t="s">
        <v>6046</v>
      </c>
      <c r="C103" s="45" t="s">
        <v>6066</v>
      </c>
      <c r="D103" s="45" t="s">
        <v>6097</v>
      </c>
      <c r="E103" s="45" t="s">
        <v>3646</v>
      </c>
      <c r="F103" s="157" t="s">
        <v>6098</v>
      </c>
    </row>
    <row r="104" ht="15.75" hidden="1" customHeight="1">
      <c r="A104" s="36">
        <v>3523425.0</v>
      </c>
      <c r="B104" s="156" t="s">
        <v>6099</v>
      </c>
      <c r="C104" s="46" t="s">
        <v>6100</v>
      </c>
      <c r="D104" s="46" t="s">
        <v>6101</v>
      </c>
      <c r="E104" s="46" t="s">
        <v>3646</v>
      </c>
      <c r="F104" s="156" t="s">
        <v>6102</v>
      </c>
    </row>
    <row r="105" ht="15.75" hidden="1" customHeight="1">
      <c r="A105" s="38">
        <v>3227174.0</v>
      </c>
      <c r="B105" s="157" t="s">
        <v>6103</v>
      </c>
      <c r="C105" s="45" t="s">
        <v>6100</v>
      </c>
      <c r="D105" s="45" t="s">
        <v>6101</v>
      </c>
      <c r="E105" s="45" t="s">
        <v>3646</v>
      </c>
      <c r="F105" s="157" t="s">
        <v>6104</v>
      </c>
    </row>
    <row r="106" ht="15.75" hidden="1" customHeight="1">
      <c r="A106" s="36">
        <v>3227177.0</v>
      </c>
      <c r="B106" s="156" t="s">
        <v>6105</v>
      </c>
      <c r="C106" s="46" t="s">
        <v>6100</v>
      </c>
      <c r="D106" s="46" t="s">
        <v>6101</v>
      </c>
      <c r="E106" s="46" t="s">
        <v>3646</v>
      </c>
      <c r="F106" s="156" t="s">
        <v>6106</v>
      </c>
    </row>
    <row r="107" ht="15.75" hidden="1" customHeight="1">
      <c r="A107" s="38">
        <v>3229891.0</v>
      </c>
      <c r="B107" s="157" t="s">
        <v>6107</v>
      </c>
      <c r="C107" s="45" t="s">
        <v>6100</v>
      </c>
      <c r="D107" s="45" t="s">
        <v>6108</v>
      </c>
      <c r="E107" s="45" t="s">
        <v>3646</v>
      </c>
      <c r="F107" s="157" t="s">
        <v>6109</v>
      </c>
    </row>
    <row r="108" ht="15.75" hidden="1" customHeight="1">
      <c r="A108" s="36">
        <v>3630457.0</v>
      </c>
      <c r="B108" s="156" t="s">
        <v>257</v>
      </c>
      <c r="C108" s="46" t="s">
        <v>258</v>
      </c>
      <c r="D108" s="46" t="s">
        <v>5</v>
      </c>
      <c r="E108" s="46" t="s">
        <v>6110</v>
      </c>
      <c r="F108" s="156" t="s">
        <v>6111</v>
      </c>
    </row>
    <row r="109" ht="15.75" hidden="1" customHeight="1">
      <c r="A109" s="38">
        <v>2618473.0</v>
      </c>
      <c r="B109" s="157" t="s">
        <v>6112</v>
      </c>
      <c r="C109" s="45" t="s">
        <v>5816</v>
      </c>
      <c r="D109" s="45" t="s">
        <v>5809</v>
      </c>
      <c r="E109" s="45" t="s">
        <v>6113</v>
      </c>
      <c r="F109" s="157" t="s">
        <v>6114</v>
      </c>
    </row>
    <row r="110" ht="15.75" hidden="1" customHeight="1">
      <c r="A110" s="36">
        <v>3659179.0</v>
      </c>
      <c r="B110" s="156" t="s">
        <v>5451</v>
      </c>
      <c r="C110" s="46" t="s">
        <v>3455</v>
      </c>
      <c r="D110" s="46" t="s">
        <v>5856</v>
      </c>
      <c r="E110" s="46" t="s">
        <v>6115</v>
      </c>
      <c r="F110" s="156" t="s">
        <v>6116</v>
      </c>
    </row>
    <row r="111" ht="15.75" hidden="1" customHeight="1">
      <c r="A111" s="38">
        <v>4714890.0</v>
      </c>
      <c r="B111" s="157" t="s">
        <v>6117</v>
      </c>
      <c r="C111" s="45" t="s">
        <v>6004</v>
      </c>
      <c r="D111" s="45" t="s">
        <v>5809</v>
      </c>
      <c r="E111" s="45" t="s">
        <v>6118</v>
      </c>
      <c r="F111" s="157" t="s">
        <v>6119</v>
      </c>
    </row>
    <row r="112" ht="15.75" hidden="1" customHeight="1">
      <c r="A112" s="36">
        <v>3207031.0</v>
      </c>
      <c r="B112" s="156" t="s">
        <v>6120</v>
      </c>
      <c r="C112" s="46" t="s">
        <v>6100</v>
      </c>
      <c r="D112" s="46" t="s">
        <v>5878</v>
      </c>
      <c r="E112" s="46" t="s">
        <v>3646</v>
      </c>
      <c r="F112" s="156" t="s">
        <v>6121</v>
      </c>
    </row>
    <row r="113" ht="15.75" hidden="1" customHeight="1">
      <c r="A113" s="38">
        <v>3478540.0</v>
      </c>
      <c r="B113" s="157" t="s">
        <v>6122</v>
      </c>
      <c r="C113" s="45" t="s">
        <v>6018</v>
      </c>
      <c r="D113" s="45" t="s">
        <v>5873</v>
      </c>
      <c r="E113" s="45" t="s">
        <v>6123</v>
      </c>
      <c r="F113" s="157" t="s">
        <v>6124</v>
      </c>
    </row>
    <row r="114" ht="15.75" hidden="1" customHeight="1">
      <c r="A114" s="36">
        <v>664043.0</v>
      </c>
      <c r="B114" s="156" t="s">
        <v>6125</v>
      </c>
      <c r="C114" s="46" t="s">
        <v>5982</v>
      </c>
      <c r="D114" s="46" t="s">
        <v>5809</v>
      </c>
      <c r="E114" s="46" t="s">
        <v>6126</v>
      </c>
      <c r="F114" s="156" t="s">
        <v>6127</v>
      </c>
    </row>
    <row r="115" ht="15.75" hidden="1" customHeight="1">
      <c r="A115" s="38">
        <v>623312.0</v>
      </c>
      <c r="B115" s="157" t="s">
        <v>6128</v>
      </c>
      <c r="C115" s="45" t="s">
        <v>5982</v>
      </c>
      <c r="D115" s="45" t="s">
        <v>5809</v>
      </c>
      <c r="E115" s="45" t="s">
        <v>6129</v>
      </c>
      <c r="F115" s="157" t="s">
        <v>6130</v>
      </c>
    </row>
    <row r="116" ht="15.75" hidden="1" customHeight="1">
      <c r="A116" s="36">
        <v>898569.0</v>
      </c>
      <c r="B116" s="156" t="s">
        <v>6131</v>
      </c>
      <c r="C116" s="46" t="s">
        <v>250</v>
      </c>
      <c r="D116" s="46" t="s">
        <v>5809</v>
      </c>
      <c r="E116" s="46" t="s">
        <v>6132</v>
      </c>
      <c r="F116" s="156" t="s">
        <v>6133</v>
      </c>
    </row>
    <row r="117" ht="15.75" hidden="1" customHeight="1">
      <c r="A117" s="38">
        <v>3450397.0</v>
      </c>
      <c r="B117" s="157" t="s">
        <v>644</v>
      </c>
      <c r="C117" s="45" t="s">
        <v>285</v>
      </c>
      <c r="D117" s="45" t="s">
        <v>5</v>
      </c>
      <c r="E117" s="45" t="s">
        <v>6134</v>
      </c>
      <c r="F117" s="157" t="s">
        <v>6135</v>
      </c>
    </row>
    <row r="118" ht="15.75" hidden="1" customHeight="1">
      <c r="A118" s="36">
        <v>3826608.0</v>
      </c>
      <c r="B118" s="156" t="s">
        <v>6136</v>
      </c>
      <c r="C118" s="46" t="s">
        <v>250</v>
      </c>
      <c r="D118" s="46" t="s">
        <v>5</v>
      </c>
      <c r="E118" s="46" t="s">
        <v>6137</v>
      </c>
      <c r="F118" s="156" t="s">
        <v>6138</v>
      </c>
    </row>
    <row r="119" ht="15.75" hidden="1" customHeight="1">
      <c r="A119" s="38">
        <v>3821518.0</v>
      </c>
      <c r="B119" s="157" t="s">
        <v>6139</v>
      </c>
      <c r="C119" s="45" t="s">
        <v>5846</v>
      </c>
      <c r="D119" s="45" t="s">
        <v>5793</v>
      </c>
      <c r="E119" s="45" t="s">
        <v>3646</v>
      </c>
      <c r="F119" s="157" t="s">
        <v>6140</v>
      </c>
    </row>
    <row r="120" ht="15.75" hidden="1" customHeight="1">
      <c r="A120" s="36">
        <v>3125885.0</v>
      </c>
      <c r="B120" s="156" t="s">
        <v>6141</v>
      </c>
      <c r="C120" s="46" t="s">
        <v>5893</v>
      </c>
      <c r="D120" s="46" t="s">
        <v>5809</v>
      </c>
      <c r="E120" s="46" t="s">
        <v>6142</v>
      </c>
      <c r="F120" s="156" t="s">
        <v>6143</v>
      </c>
    </row>
    <row r="121" ht="15.75" hidden="1" customHeight="1">
      <c r="A121" s="38">
        <v>2545331.0</v>
      </c>
      <c r="B121" s="157" t="s">
        <v>6144</v>
      </c>
      <c r="C121" s="45" t="s">
        <v>5872</v>
      </c>
      <c r="D121" s="45" t="s">
        <v>5873</v>
      </c>
      <c r="E121" s="45" t="s">
        <v>6145</v>
      </c>
      <c r="F121" s="157" t="s">
        <v>6146</v>
      </c>
    </row>
    <row r="122" ht="15.75" hidden="1" customHeight="1">
      <c r="A122" s="36">
        <v>1434780.0</v>
      </c>
      <c r="B122" s="156" t="s">
        <v>5836</v>
      </c>
      <c r="C122" s="46" t="s">
        <v>5819</v>
      </c>
      <c r="D122" s="46" t="s">
        <v>5868</v>
      </c>
      <c r="E122" s="46" t="s">
        <v>6147</v>
      </c>
      <c r="F122" s="156" t="s">
        <v>6148</v>
      </c>
    </row>
    <row r="123" ht="15.75" hidden="1" customHeight="1">
      <c r="A123" s="38">
        <v>2099203.0</v>
      </c>
      <c r="B123" s="157" t="s">
        <v>6149</v>
      </c>
      <c r="C123" s="45" t="s">
        <v>5808</v>
      </c>
      <c r="D123" s="45" t="s">
        <v>5809</v>
      </c>
      <c r="E123" s="45" t="s">
        <v>6150</v>
      </c>
      <c r="F123" s="157" t="s">
        <v>6151</v>
      </c>
    </row>
    <row r="124" ht="15.75" hidden="1" customHeight="1">
      <c r="A124" s="36">
        <v>2209469.0</v>
      </c>
      <c r="B124" s="156" t="s">
        <v>6152</v>
      </c>
      <c r="C124" s="46" t="s">
        <v>5982</v>
      </c>
      <c r="D124" s="46" t="s">
        <v>5809</v>
      </c>
      <c r="E124" s="46" t="s">
        <v>6153</v>
      </c>
      <c r="F124" s="156" t="s">
        <v>6154</v>
      </c>
    </row>
    <row r="125" ht="15.75" hidden="1" customHeight="1">
      <c r="A125" s="38">
        <v>2582553.0</v>
      </c>
      <c r="B125" s="157" t="s">
        <v>6155</v>
      </c>
      <c r="C125" s="45" t="s">
        <v>5836</v>
      </c>
      <c r="D125" s="45" t="s">
        <v>5809</v>
      </c>
      <c r="E125" s="45" t="s">
        <v>6156</v>
      </c>
      <c r="F125" s="157" t="s">
        <v>6157</v>
      </c>
    </row>
    <row r="126" ht="15.75" hidden="1" customHeight="1">
      <c r="A126" s="36">
        <v>3953186.0</v>
      </c>
      <c r="B126" s="156" t="s">
        <v>6158</v>
      </c>
      <c r="C126" s="46" t="s">
        <v>312</v>
      </c>
      <c r="D126" s="46" t="s">
        <v>5</v>
      </c>
      <c r="E126" s="46" t="s">
        <v>6159</v>
      </c>
      <c r="F126" s="156" t="s">
        <v>6160</v>
      </c>
    </row>
    <row r="127" ht="15.75" hidden="1" customHeight="1">
      <c r="A127" s="38">
        <v>3960410.0</v>
      </c>
      <c r="B127" s="157" t="s">
        <v>6161</v>
      </c>
      <c r="C127" s="45" t="s">
        <v>5982</v>
      </c>
      <c r="D127" s="45" t="s">
        <v>5809</v>
      </c>
      <c r="E127" s="45" t="s">
        <v>6162</v>
      </c>
      <c r="F127" s="157" t="s">
        <v>6163</v>
      </c>
    </row>
    <row r="128" ht="15.75" hidden="1" customHeight="1">
      <c r="A128" s="36">
        <v>3961485.0</v>
      </c>
      <c r="B128" s="156" t="s">
        <v>6164</v>
      </c>
      <c r="C128" s="46" t="s">
        <v>5832</v>
      </c>
      <c r="D128" s="46" t="s">
        <v>5809</v>
      </c>
      <c r="E128" s="46" t="s">
        <v>6165</v>
      </c>
      <c r="F128" s="156" t="s">
        <v>6166</v>
      </c>
    </row>
    <row r="129" ht="15.75" hidden="1" customHeight="1">
      <c r="A129" s="38">
        <v>3992400.0</v>
      </c>
      <c r="B129" s="157" t="s">
        <v>377</v>
      </c>
      <c r="C129" s="45" t="s">
        <v>327</v>
      </c>
      <c r="D129" s="45" t="s">
        <v>5</v>
      </c>
      <c r="E129" s="45" t="s">
        <v>6167</v>
      </c>
      <c r="F129" s="157" t="s">
        <v>6168</v>
      </c>
    </row>
    <row r="130" ht="15.75" hidden="1" customHeight="1">
      <c r="A130" s="36">
        <v>4010017.0</v>
      </c>
      <c r="B130" s="156" t="s">
        <v>5832</v>
      </c>
      <c r="C130" s="46" t="s">
        <v>5964</v>
      </c>
      <c r="D130" s="46" t="s">
        <v>5868</v>
      </c>
      <c r="E130" s="46" t="s">
        <v>6169</v>
      </c>
      <c r="F130" s="156" t="s">
        <v>6170</v>
      </c>
    </row>
    <row r="131" ht="15.75" hidden="1" customHeight="1">
      <c r="A131" s="38">
        <v>2774916.0</v>
      </c>
      <c r="B131" s="157" t="s">
        <v>6171</v>
      </c>
      <c r="C131" s="45" t="s">
        <v>5945</v>
      </c>
      <c r="D131" s="45" t="s">
        <v>5882</v>
      </c>
      <c r="E131" s="45" t="s">
        <v>6172</v>
      </c>
      <c r="F131" s="157" t="s">
        <v>6173</v>
      </c>
    </row>
    <row r="132" ht="15.75" hidden="1" customHeight="1">
      <c r="A132" s="36">
        <v>2299538.0</v>
      </c>
      <c r="B132" s="156" t="s">
        <v>6174</v>
      </c>
      <c r="C132" s="46" t="s">
        <v>5319</v>
      </c>
      <c r="D132" s="46" t="s">
        <v>5868</v>
      </c>
      <c r="E132" s="46" t="s">
        <v>6175</v>
      </c>
      <c r="F132" s="156" t="s">
        <v>6176</v>
      </c>
    </row>
    <row r="133" ht="15.75" hidden="1" customHeight="1">
      <c r="A133" s="38">
        <v>2372744.0</v>
      </c>
      <c r="B133" s="157" t="s">
        <v>6177</v>
      </c>
      <c r="C133" s="45" t="s">
        <v>5970</v>
      </c>
      <c r="D133" s="45" t="s">
        <v>5882</v>
      </c>
      <c r="E133" s="45" t="s">
        <v>6178</v>
      </c>
      <c r="F133" s="157" t="s">
        <v>6179</v>
      </c>
    </row>
    <row r="134" ht="15.75" hidden="1" customHeight="1">
      <c r="A134" s="36">
        <v>2268906.0</v>
      </c>
      <c r="B134" s="156" t="s">
        <v>698</v>
      </c>
      <c r="C134" s="46" t="s">
        <v>541</v>
      </c>
      <c r="D134" s="46" t="s">
        <v>5</v>
      </c>
      <c r="E134" s="46" t="s">
        <v>6180</v>
      </c>
      <c r="F134" s="156" t="s">
        <v>6181</v>
      </c>
    </row>
    <row r="135" ht="15.75" hidden="1" customHeight="1">
      <c r="A135" s="38">
        <v>2381036.0</v>
      </c>
      <c r="B135" s="157" t="s">
        <v>6182</v>
      </c>
      <c r="C135" s="45" t="s">
        <v>5888</v>
      </c>
      <c r="D135" s="45" t="s">
        <v>5873</v>
      </c>
      <c r="E135" s="45" t="s">
        <v>6183</v>
      </c>
      <c r="F135" s="157" t="s">
        <v>6184</v>
      </c>
    </row>
    <row r="136" ht="15.75" hidden="1" customHeight="1">
      <c r="A136" s="36">
        <v>2372789.0</v>
      </c>
      <c r="B136" s="156" t="s">
        <v>6185</v>
      </c>
      <c r="C136" s="46" t="s">
        <v>227</v>
      </c>
      <c r="D136" s="46" t="s">
        <v>5</v>
      </c>
      <c r="E136" s="46" t="s">
        <v>6186</v>
      </c>
      <c r="F136" s="156" t="s">
        <v>6187</v>
      </c>
    </row>
    <row r="137" ht="15.75" hidden="1" customHeight="1">
      <c r="A137" s="38">
        <v>1915964.0</v>
      </c>
      <c r="B137" s="157" t="s">
        <v>6188</v>
      </c>
      <c r="C137" s="45" t="s">
        <v>6100</v>
      </c>
      <c r="D137" s="45" t="s">
        <v>5878</v>
      </c>
      <c r="E137" s="45" t="s">
        <v>3646</v>
      </c>
      <c r="F137" s="157" t="s">
        <v>6189</v>
      </c>
    </row>
    <row r="138" ht="15.75" customHeight="1">
      <c r="A138" s="36">
        <v>3585219.0</v>
      </c>
      <c r="B138" s="156" t="s">
        <v>6190</v>
      </c>
      <c r="C138" s="46" t="s">
        <v>5681</v>
      </c>
      <c r="D138" s="46" t="s">
        <v>5829</v>
      </c>
      <c r="E138" s="46" t="s">
        <v>6191</v>
      </c>
      <c r="F138" s="156" t="s">
        <v>6192</v>
      </c>
    </row>
    <row r="139" ht="15.75" hidden="1" customHeight="1">
      <c r="A139" s="38">
        <v>2438499.0</v>
      </c>
      <c r="B139" s="157" t="s">
        <v>319</v>
      </c>
      <c r="C139" s="45" t="s">
        <v>2083</v>
      </c>
      <c r="D139" s="45" t="s">
        <v>5797</v>
      </c>
      <c r="E139" s="45" t="s">
        <v>6193</v>
      </c>
      <c r="F139" s="157" t="s">
        <v>6194</v>
      </c>
    </row>
    <row r="140" ht="15.75" hidden="1" customHeight="1">
      <c r="A140" s="36">
        <v>2401276.0</v>
      </c>
      <c r="B140" s="156" t="s">
        <v>6195</v>
      </c>
      <c r="C140" s="46" t="s">
        <v>349</v>
      </c>
      <c r="D140" s="46" t="s">
        <v>5889</v>
      </c>
      <c r="E140" s="46" t="s">
        <v>6196</v>
      </c>
      <c r="F140" s="156" t="s">
        <v>6197</v>
      </c>
    </row>
    <row r="141" ht="15.75" hidden="1" customHeight="1">
      <c r="A141" s="38">
        <v>2305428.0</v>
      </c>
      <c r="B141" s="157" t="s">
        <v>6198</v>
      </c>
      <c r="C141" s="45" t="s">
        <v>6018</v>
      </c>
      <c r="D141" s="45" t="s">
        <v>5873</v>
      </c>
      <c r="E141" s="45" t="s">
        <v>6199</v>
      </c>
      <c r="F141" s="157" t="s">
        <v>6200</v>
      </c>
    </row>
    <row r="142" ht="15.75" hidden="1" customHeight="1">
      <c r="A142" s="36">
        <v>1808990.0</v>
      </c>
      <c r="B142" s="156" t="s">
        <v>227</v>
      </c>
      <c r="C142" s="46" t="s">
        <v>319</v>
      </c>
      <c r="D142" s="46" t="s">
        <v>5789</v>
      </c>
      <c r="E142" s="46" t="s">
        <v>6201</v>
      </c>
      <c r="F142" s="156" t="s">
        <v>6202</v>
      </c>
    </row>
    <row r="143" ht="15.75" hidden="1" customHeight="1">
      <c r="A143" s="38">
        <v>3773135.0</v>
      </c>
      <c r="B143" s="157" t="s">
        <v>5317</v>
      </c>
      <c r="C143" s="45" t="s">
        <v>6004</v>
      </c>
      <c r="D143" s="45" t="s">
        <v>5856</v>
      </c>
      <c r="E143" s="45" t="s">
        <v>6203</v>
      </c>
      <c r="F143" s="157" t="s">
        <v>6204</v>
      </c>
    </row>
    <row r="144" ht="15.75" hidden="1" customHeight="1">
      <c r="A144" s="36">
        <v>3116274.0</v>
      </c>
      <c r="B144" s="156" t="s">
        <v>6205</v>
      </c>
      <c r="C144" s="46" t="s">
        <v>6174</v>
      </c>
      <c r="D144" s="46" t="s">
        <v>5809</v>
      </c>
      <c r="E144" s="46" t="s">
        <v>6206</v>
      </c>
      <c r="F144" s="156" t="s">
        <v>6207</v>
      </c>
    </row>
    <row r="145" ht="15.75" hidden="1" customHeight="1">
      <c r="A145" s="38">
        <v>3227171.0</v>
      </c>
      <c r="B145" s="157" t="s">
        <v>6208</v>
      </c>
      <c r="C145" s="45" t="s">
        <v>6188</v>
      </c>
      <c r="D145" s="45" t="s">
        <v>6101</v>
      </c>
      <c r="E145" s="45" t="s">
        <v>3646</v>
      </c>
      <c r="F145" s="157" t="s">
        <v>6209</v>
      </c>
    </row>
    <row r="146" ht="15.75" customHeight="1">
      <c r="A146" s="36">
        <v>2305481.0</v>
      </c>
      <c r="B146" s="156" t="s">
        <v>6210</v>
      </c>
      <c r="C146" s="46" t="s">
        <v>6211</v>
      </c>
      <c r="D146" s="46" t="s">
        <v>5829</v>
      </c>
      <c r="E146" s="46" t="s">
        <v>6212</v>
      </c>
      <c r="F146" s="156" t="s">
        <v>6213</v>
      </c>
    </row>
    <row r="147" ht="15.75" hidden="1" customHeight="1">
      <c r="A147" s="38">
        <v>3300476.0</v>
      </c>
      <c r="B147" s="157" t="s">
        <v>6214</v>
      </c>
      <c r="C147" s="45" t="s">
        <v>6004</v>
      </c>
      <c r="D147" s="45" t="s">
        <v>5856</v>
      </c>
      <c r="E147" s="45" t="s">
        <v>6215</v>
      </c>
      <c r="F147" s="157" t="s">
        <v>6216</v>
      </c>
    </row>
    <row r="148" ht="15.75" hidden="1" customHeight="1">
      <c r="A148" s="36">
        <v>3623866.0</v>
      </c>
      <c r="B148" s="156" t="s">
        <v>6217</v>
      </c>
      <c r="C148" s="46" t="s">
        <v>348</v>
      </c>
      <c r="D148" s="46" t="s">
        <v>5882</v>
      </c>
      <c r="E148" s="46" t="s">
        <v>6218</v>
      </c>
      <c r="F148" s="156" t="s">
        <v>6219</v>
      </c>
    </row>
    <row r="149" ht="15.75" hidden="1" customHeight="1">
      <c r="A149" s="38">
        <v>3866242.0</v>
      </c>
      <c r="B149" s="157" t="s">
        <v>6220</v>
      </c>
      <c r="C149" s="45" t="s">
        <v>6174</v>
      </c>
      <c r="D149" s="45" t="s">
        <v>5809</v>
      </c>
      <c r="E149" s="45" t="s">
        <v>6221</v>
      </c>
      <c r="F149" s="157" t="s">
        <v>6222</v>
      </c>
    </row>
    <row r="150" ht="15.75" hidden="1" customHeight="1">
      <c r="A150" s="36">
        <v>3866159.0</v>
      </c>
      <c r="B150" s="156" t="s">
        <v>6223</v>
      </c>
      <c r="C150" s="46" t="s">
        <v>5808</v>
      </c>
      <c r="D150" s="46" t="s">
        <v>5809</v>
      </c>
      <c r="E150" s="46" t="s">
        <v>6224</v>
      </c>
      <c r="F150" s="156" t="s">
        <v>6225</v>
      </c>
    </row>
    <row r="151" ht="15.75" hidden="1" customHeight="1">
      <c r="A151" s="38">
        <v>4085847.0</v>
      </c>
      <c r="B151" s="157" t="s">
        <v>6226</v>
      </c>
      <c r="C151" s="45" t="s">
        <v>6174</v>
      </c>
      <c r="D151" s="45" t="s">
        <v>5809</v>
      </c>
      <c r="E151" s="45" t="s">
        <v>6227</v>
      </c>
      <c r="F151" s="157" t="s">
        <v>6228</v>
      </c>
    </row>
    <row r="152" ht="15.75" hidden="1" customHeight="1">
      <c r="A152" s="36">
        <v>3070824.0</v>
      </c>
      <c r="B152" s="156" t="s">
        <v>6229</v>
      </c>
      <c r="C152" s="46" t="s">
        <v>5832</v>
      </c>
      <c r="D152" s="46" t="s">
        <v>5809</v>
      </c>
      <c r="E152" s="46" t="s">
        <v>6230</v>
      </c>
      <c r="F152" s="156" t="s">
        <v>6231</v>
      </c>
    </row>
    <row r="153" ht="15.75" hidden="1" customHeight="1">
      <c r="A153" s="38">
        <v>4142847.0</v>
      </c>
      <c r="B153" s="157" t="s">
        <v>1301</v>
      </c>
      <c r="C153" s="45" t="s">
        <v>6018</v>
      </c>
      <c r="D153" s="45" t="s">
        <v>5873</v>
      </c>
      <c r="E153" s="45" t="s">
        <v>6232</v>
      </c>
      <c r="F153" s="157" t="s">
        <v>6233</v>
      </c>
    </row>
    <row r="154" ht="15.75" hidden="1" customHeight="1">
      <c r="A154" s="36">
        <v>4142819.0</v>
      </c>
      <c r="B154" s="156" t="s">
        <v>6234</v>
      </c>
      <c r="C154" s="46" t="s">
        <v>5836</v>
      </c>
      <c r="D154" s="46" t="s">
        <v>5809</v>
      </c>
      <c r="E154" s="46" t="s">
        <v>6235</v>
      </c>
      <c r="F154" s="156" t="s">
        <v>6236</v>
      </c>
    </row>
    <row r="155" ht="15.75" hidden="1" customHeight="1">
      <c r="A155" s="38">
        <v>3882363.0</v>
      </c>
      <c r="B155" s="157" t="s">
        <v>6237</v>
      </c>
      <c r="C155" s="45" t="s">
        <v>5877</v>
      </c>
      <c r="D155" s="45" t="s">
        <v>5878</v>
      </c>
      <c r="E155" s="45" t="s">
        <v>3646</v>
      </c>
      <c r="F155" s="157" t="s">
        <v>6238</v>
      </c>
    </row>
    <row r="156" ht="15.75" hidden="1" customHeight="1">
      <c r="A156" s="36">
        <v>4181809.0</v>
      </c>
      <c r="B156" s="156" t="s">
        <v>6091</v>
      </c>
      <c r="C156" s="46" t="s">
        <v>5424</v>
      </c>
      <c r="D156" s="46" t="s">
        <v>6005</v>
      </c>
      <c r="E156" s="46" t="s">
        <v>6239</v>
      </c>
      <c r="F156" s="156" t="s">
        <v>6240</v>
      </c>
    </row>
    <row r="157" ht="15.75" hidden="1" customHeight="1">
      <c r="A157" s="38">
        <v>3666559.0</v>
      </c>
      <c r="B157" s="157" t="s">
        <v>6241</v>
      </c>
      <c r="C157" s="45" t="s">
        <v>5970</v>
      </c>
      <c r="D157" s="45" t="s">
        <v>5882</v>
      </c>
      <c r="E157" s="45" t="s">
        <v>6242</v>
      </c>
      <c r="F157" s="157" t="s">
        <v>6243</v>
      </c>
    </row>
    <row r="158" ht="15.75" hidden="1" customHeight="1">
      <c r="A158" s="36">
        <v>4134570.0</v>
      </c>
      <c r="B158" s="156" t="s">
        <v>6244</v>
      </c>
      <c r="C158" s="46" t="s">
        <v>348</v>
      </c>
      <c r="D158" s="46" t="s">
        <v>5882</v>
      </c>
      <c r="E158" s="46" t="s">
        <v>6245</v>
      </c>
      <c r="F158" s="156" t="s">
        <v>6246</v>
      </c>
    </row>
    <row r="159" ht="15.75" hidden="1" customHeight="1">
      <c r="A159" s="38">
        <v>4161267.0</v>
      </c>
      <c r="B159" s="157" t="s">
        <v>6247</v>
      </c>
      <c r="C159" s="45" t="s">
        <v>6248</v>
      </c>
      <c r="D159" s="45" t="s">
        <v>6249</v>
      </c>
      <c r="E159" s="45" t="s">
        <v>3646</v>
      </c>
      <c r="F159" s="157" t="s">
        <v>6250</v>
      </c>
    </row>
    <row r="160" ht="15.75" hidden="1" customHeight="1">
      <c r="A160" s="36">
        <v>4191794.0</v>
      </c>
      <c r="B160" s="156" t="s">
        <v>6251</v>
      </c>
      <c r="C160" s="46" t="s">
        <v>5982</v>
      </c>
      <c r="D160" s="46" t="s">
        <v>5809</v>
      </c>
      <c r="E160" s="46" t="s">
        <v>6252</v>
      </c>
      <c r="F160" s="156" t="s">
        <v>6253</v>
      </c>
    </row>
    <row r="161" ht="15.75" hidden="1" customHeight="1">
      <c r="A161" s="38">
        <v>1724275.0</v>
      </c>
      <c r="B161" s="157" t="s">
        <v>6248</v>
      </c>
      <c r="C161" s="45" t="s">
        <v>6254</v>
      </c>
      <c r="D161" s="45" t="s">
        <v>6255</v>
      </c>
      <c r="E161" s="45" t="s">
        <v>3646</v>
      </c>
      <c r="F161" s="157" t="s">
        <v>6256</v>
      </c>
    </row>
    <row r="162" ht="15.75" hidden="1" customHeight="1">
      <c r="A162" s="36">
        <v>4210284.0</v>
      </c>
      <c r="B162" s="156" t="s">
        <v>6257</v>
      </c>
      <c r="C162" s="46" t="s">
        <v>5888</v>
      </c>
      <c r="D162" s="46" t="s">
        <v>5882</v>
      </c>
      <c r="E162" s="46" t="s">
        <v>6258</v>
      </c>
      <c r="F162" s="156" t="s">
        <v>6259</v>
      </c>
    </row>
    <row r="163" ht="15.75" hidden="1" customHeight="1">
      <c r="A163" s="38">
        <v>4217819.0</v>
      </c>
      <c r="B163" s="157" t="s">
        <v>6260</v>
      </c>
      <c r="C163" s="45" t="s">
        <v>5881</v>
      </c>
      <c r="D163" s="45" t="s">
        <v>5882</v>
      </c>
      <c r="E163" s="45" t="s">
        <v>6261</v>
      </c>
      <c r="F163" s="157" t="s">
        <v>6262</v>
      </c>
    </row>
    <row r="164" ht="15.75" hidden="1" customHeight="1">
      <c r="A164" s="36">
        <v>4262100.0</v>
      </c>
      <c r="B164" s="156" t="s">
        <v>6263</v>
      </c>
      <c r="C164" s="46" t="s">
        <v>5982</v>
      </c>
      <c r="D164" s="46" t="s">
        <v>5809</v>
      </c>
      <c r="E164" s="46" t="s">
        <v>6264</v>
      </c>
      <c r="F164" s="156" t="s">
        <v>6265</v>
      </c>
    </row>
    <row r="165" ht="15.75" hidden="1" customHeight="1">
      <c r="A165" s="38">
        <v>4232693.0</v>
      </c>
      <c r="B165" s="157" t="s">
        <v>6266</v>
      </c>
      <c r="C165" s="45" t="s">
        <v>6248</v>
      </c>
      <c r="D165" s="45" t="s">
        <v>6249</v>
      </c>
      <c r="E165" s="45" t="s">
        <v>3646</v>
      </c>
      <c r="F165" s="157" t="s">
        <v>6267</v>
      </c>
    </row>
    <row r="166" ht="15.75" hidden="1" customHeight="1">
      <c r="A166" s="36">
        <v>4271566.0</v>
      </c>
      <c r="B166" s="156" t="s">
        <v>6268</v>
      </c>
      <c r="C166" s="46" t="s">
        <v>6248</v>
      </c>
      <c r="D166" s="46" t="s">
        <v>6249</v>
      </c>
      <c r="E166" s="46" t="s">
        <v>3646</v>
      </c>
      <c r="F166" s="156" t="s">
        <v>6269</v>
      </c>
    </row>
    <row r="167" ht="15.75" hidden="1" customHeight="1">
      <c r="A167" s="38">
        <v>2100872.0</v>
      </c>
      <c r="B167" s="157" t="s">
        <v>6270</v>
      </c>
      <c r="C167" s="45" t="s">
        <v>5959</v>
      </c>
      <c r="D167" s="45" t="s">
        <v>5882</v>
      </c>
      <c r="E167" s="45" t="s">
        <v>6271</v>
      </c>
      <c r="F167" s="157" t="s">
        <v>6272</v>
      </c>
    </row>
    <row r="168" ht="15.75" hidden="1" customHeight="1">
      <c r="A168" s="36">
        <v>4187212.0</v>
      </c>
      <c r="B168" s="156" t="s">
        <v>6009</v>
      </c>
      <c r="C168" s="46" t="s">
        <v>349</v>
      </c>
      <c r="D168" s="46" t="s">
        <v>5889</v>
      </c>
      <c r="E168" s="46" t="s">
        <v>6273</v>
      </c>
      <c r="F168" s="156" t="s">
        <v>6274</v>
      </c>
    </row>
    <row r="169" ht="15.75" hidden="1" customHeight="1">
      <c r="A169" s="38">
        <v>2366744.0</v>
      </c>
      <c r="B169" s="157" t="s">
        <v>6275</v>
      </c>
      <c r="C169" s="45" t="s">
        <v>5988</v>
      </c>
      <c r="D169" s="45" t="s">
        <v>5882</v>
      </c>
      <c r="E169" s="45" t="s">
        <v>6276</v>
      </c>
      <c r="F169" s="157" t="s">
        <v>6277</v>
      </c>
    </row>
    <row r="170" ht="15.75" hidden="1" customHeight="1">
      <c r="A170" s="36">
        <v>4347639.0</v>
      </c>
      <c r="B170" s="156" t="s">
        <v>6278</v>
      </c>
      <c r="C170" s="46" t="s">
        <v>4102</v>
      </c>
      <c r="D170" s="46" t="s">
        <v>5856</v>
      </c>
      <c r="E170" s="46" t="s">
        <v>6279</v>
      </c>
      <c r="F170" s="156" t="s">
        <v>6280</v>
      </c>
    </row>
    <row r="171" ht="15.75" hidden="1" customHeight="1">
      <c r="A171" s="38">
        <v>4352995.0</v>
      </c>
      <c r="B171" s="157" t="s">
        <v>6281</v>
      </c>
      <c r="C171" s="45" t="s">
        <v>6091</v>
      </c>
      <c r="D171" s="45" t="s">
        <v>5856</v>
      </c>
      <c r="E171" s="45" t="s">
        <v>6282</v>
      </c>
      <c r="F171" s="157" t="s">
        <v>6283</v>
      </c>
    </row>
    <row r="172" ht="15.75" hidden="1" customHeight="1">
      <c r="A172" s="36">
        <v>4357197.0</v>
      </c>
      <c r="B172" s="156" t="s">
        <v>5593</v>
      </c>
      <c r="C172" s="46" t="s">
        <v>6091</v>
      </c>
      <c r="D172" s="46" t="s">
        <v>5856</v>
      </c>
      <c r="E172" s="46" t="s">
        <v>6284</v>
      </c>
      <c r="F172" s="156" t="s">
        <v>6285</v>
      </c>
    </row>
    <row r="173" ht="15.75" hidden="1" customHeight="1">
      <c r="A173" s="38">
        <v>3022448.0</v>
      </c>
      <c r="B173" s="157" t="s">
        <v>5319</v>
      </c>
      <c r="C173" s="45" t="s">
        <v>5424</v>
      </c>
      <c r="D173" s="45" t="s">
        <v>5942</v>
      </c>
      <c r="E173" s="45" t="s">
        <v>6286</v>
      </c>
      <c r="F173" s="157" t="s">
        <v>6287</v>
      </c>
    </row>
    <row r="174" ht="15.75" hidden="1" customHeight="1">
      <c r="A174" s="36">
        <v>4388033.0</v>
      </c>
      <c r="B174" s="156" t="s">
        <v>6288</v>
      </c>
      <c r="C174" s="46" t="s">
        <v>3455</v>
      </c>
      <c r="D174" s="46" t="s">
        <v>5856</v>
      </c>
      <c r="E174" s="46" t="s">
        <v>6289</v>
      </c>
      <c r="F174" s="156" t="s">
        <v>6290</v>
      </c>
    </row>
    <row r="175" ht="15.75" hidden="1" customHeight="1">
      <c r="A175" s="38">
        <v>4404244.0</v>
      </c>
      <c r="B175" s="157" t="s">
        <v>6291</v>
      </c>
      <c r="C175" s="45" t="s">
        <v>5912</v>
      </c>
      <c r="D175" s="45" t="s">
        <v>6292</v>
      </c>
      <c r="E175" s="45" t="s">
        <v>6293</v>
      </c>
      <c r="F175" s="157" t="s">
        <v>6294</v>
      </c>
    </row>
    <row r="176" ht="15.75" hidden="1" customHeight="1">
      <c r="A176" s="36">
        <v>4460191.0</v>
      </c>
      <c r="B176" s="156" t="s">
        <v>6295</v>
      </c>
      <c r="C176" s="46" t="s">
        <v>5988</v>
      </c>
      <c r="D176" s="46" t="s">
        <v>5882</v>
      </c>
      <c r="E176" s="46" t="s">
        <v>6296</v>
      </c>
      <c r="F176" s="156" t="s">
        <v>6297</v>
      </c>
    </row>
    <row r="177" ht="15.75" hidden="1" customHeight="1">
      <c r="A177" s="38">
        <v>4453312.0</v>
      </c>
      <c r="B177" s="157" t="s">
        <v>5603</v>
      </c>
      <c r="C177" s="45" t="s">
        <v>3641</v>
      </c>
      <c r="D177" s="45" t="s">
        <v>5856</v>
      </c>
      <c r="E177" s="45" t="s">
        <v>6298</v>
      </c>
      <c r="F177" s="157" t="s">
        <v>6299</v>
      </c>
    </row>
    <row r="178" ht="15.75" hidden="1" customHeight="1">
      <c r="A178" s="36">
        <v>4502088.0</v>
      </c>
      <c r="B178" s="156" t="s">
        <v>6300</v>
      </c>
      <c r="C178" s="46" t="s">
        <v>5893</v>
      </c>
      <c r="D178" s="46" t="s">
        <v>5809</v>
      </c>
      <c r="E178" s="46" t="s">
        <v>6301</v>
      </c>
      <c r="F178" s="156" t="s">
        <v>6302</v>
      </c>
    </row>
    <row r="179" ht="15.75" hidden="1" customHeight="1">
      <c r="A179" s="38">
        <v>4506596.0</v>
      </c>
      <c r="B179" s="157" t="s">
        <v>6303</v>
      </c>
      <c r="C179" s="45" t="s">
        <v>5832</v>
      </c>
      <c r="D179" s="45" t="s">
        <v>5809</v>
      </c>
      <c r="E179" s="45" t="s">
        <v>6304</v>
      </c>
      <c r="F179" s="157" t="s">
        <v>6305</v>
      </c>
    </row>
    <row r="180" ht="15.75" hidden="1" customHeight="1">
      <c r="A180" s="36">
        <v>4514203.0</v>
      </c>
      <c r="B180" s="156" t="s">
        <v>6306</v>
      </c>
      <c r="C180" s="46" t="s">
        <v>5816</v>
      </c>
      <c r="D180" s="46" t="s">
        <v>5809</v>
      </c>
      <c r="E180" s="46" t="s">
        <v>6307</v>
      </c>
      <c r="F180" s="156" t="s">
        <v>6308</v>
      </c>
    </row>
    <row r="181" ht="15.75" hidden="1" customHeight="1">
      <c r="A181" s="38">
        <v>930645.0</v>
      </c>
      <c r="B181" s="157" t="s">
        <v>6309</v>
      </c>
      <c r="C181" s="45" t="s">
        <v>5801</v>
      </c>
      <c r="D181" s="45" t="s">
        <v>5802</v>
      </c>
      <c r="E181" s="45" t="s">
        <v>3646</v>
      </c>
      <c r="F181" s="157" t="s">
        <v>6310</v>
      </c>
    </row>
    <row r="182" ht="15.75" hidden="1" customHeight="1">
      <c r="A182" s="36">
        <v>3160279.0</v>
      </c>
      <c r="B182" s="156" t="s">
        <v>6311</v>
      </c>
      <c r="C182" s="46" t="s">
        <v>349</v>
      </c>
      <c r="D182" s="46" t="s">
        <v>5889</v>
      </c>
      <c r="E182" s="46" t="s">
        <v>6312</v>
      </c>
      <c r="F182" s="156" t="s">
        <v>6313</v>
      </c>
    </row>
    <row r="183" ht="15.75" hidden="1" customHeight="1">
      <c r="A183" s="38">
        <v>4470298.0</v>
      </c>
      <c r="B183" s="157" t="s">
        <v>6314</v>
      </c>
      <c r="C183" s="45" t="s">
        <v>5912</v>
      </c>
      <c r="D183" s="45" t="s">
        <v>6292</v>
      </c>
      <c r="E183" s="45" t="s">
        <v>6315</v>
      </c>
      <c r="F183" s="157" t="s">
        <v>6316</v>
      </c>
    </row>
    <row r="184" ht="15.75" hidden="1" customHeight="1">
      <c r="A184" s="36">
        <v>4473918.0</v>
      </c>
      <c r="B184" s="156" t="s">
        <v>6317</v>
      </c>
      <c r="C184" s="46" t="s">
        <v>4102</v>
      </c>
      <c r="D184" s="46" t="s">
        <v>5856</v>
      </c>
      <c r="E184" s="46" t="s">
        <v>6318</v>
      </c>
      <c r="F184" s="156" t="s">
        <v>6319</v>
      </c>
    </row>
    <row r="185" ht="15.75" hidden="1" customHeight="1">
      <c r="A185" s="38">
        <v>4046925.0</v>
      </c>
      <c r="B185" s="157" t="s">
        <v>6320</v>
      </c>
      <c r="C185" s="45" t="s">
        <v>5832</v>
      </c>
      <c r="D185" s="45" t="s">
        <v>5809</v>
      </c>
      <c r="E185" s="45" t="s">
        <v>6321</v>
      </c>
      <c r="F185" s="157" t="s">
        <v>6322</v>
      </c>
    </row>
    <row r="186" ht="15.75" hidden="1" customHeight="1">
      <c r="A186" s="36">
        <v>4646376.0</v>
      </c>
      <c r="B186" s="156" t="s">
        <v>312</v>
      </c>
      <c r="C186" s="46" t="s">
        <v>258</v>
      </c>
      <c r="D186" s="46" t="s">
        <v>5</v>
      </c>
      <c r="E186" s="46" t="s">
        <v>6323</v>
      </c>
      <c r="F186" s="156" t="s">
        <v>6324</v>
      </c>
    </row>
    <row r="187" ht="15.75" hidden="1" customHeight="1">
      <c r="A187" s="38">
        <v>4632029.0</v>
      </c>
      <c r="B187" s="157" t="s">
        <v>6325</v>
      </c>
      <c r="C187" s="45" t="s">
        <v>6311</v>
      </c>
      <c r="D187" s="45" t="s">
        <v>5882</v>
      </c>
      <c r="E187" s="45" t="s">
        <v>6326</v>
      </c>
      <c r="F187" s="157" t="s">
        <v>6327</v>
      </c>
    </row>
    <row r="188" ht="15.75" hidden="1" customHeight="1">
      <c r="A188" s="36">
        <v>4632047.0</v>
      </c>
      <c r="B188" s="156" t="s">
        <v>6328</v>
      </c>
      <c r="C188" s="46" t="s">
        <v>5872</v>
      </c>
      <c r="D188" s="46" t="s">
        <v>5873</v>
      </c>
      <c r="E188" s="46" t="s">
        <v>6329</v>
      </c>
      <c r="F188" s="156" t="s">
        <v>6330</v>
      </c>
    </row>
    <row r="189" ht="15.75" hidden="1" customHeight="1">
      <c r="A189" s="38">
        <v>4647385.0</v>
      </c>
      <c r="B189" s="157" t="s">
        <v>6331</v>
      </c>
      <c r="C189" s="45" t="s">
        <v>5816</v>
      </c>
      <c r="D189" s="45" t="s">
        <v>5809</v>
      </c>
      <c r="E189" s="45" t="s">
        <v>6332</v>
      </c>
      <c r="F189" s="157" t="s">
        <v>6333</v>
      </c>
    </row>
    <row r="190" ht="15.75" hidden="1" customHeight="1">
      <c r="A190" s="36">
        <v>4647315.0</v>
      </c>
      <c r="B190" s="156" t="s">
        <v>6334</v>
      </c>
      <c r="C190" s="46" t="s">
        <v>5836</v>
      </c>
      <c r="D190" s="46" t="s">
        <v>5809</v>
      </c>
      <c r="E190" s="46" t="s">
        <v>6335</v>
      </c>
      <c r="F190" s="156" t="s">
        <v>6336</v>
      </c>
    </row>
    <row r="191" ht="15.75" hidden="1" customHeight="1">
      <c r="A191" s="38">
        <v>4647051.0</v>
      </c>
      <c r="B191" s="157" t="s">
        <v>3454</v>
      </c>
      <c r="C191" s="45" t="s">
        <v>3455</v>
      </c>
      <c r="D191" s="45" t="s">
        <v>5856</v>
      </c>
      <c r="E191" s="45" t="s">
        <v>6337</v>
      </c>
      <c r="F191" s="157" t="s">
        <v>6338</v>
      </c>
    </row>
    <row r="192" ht="15.75" hidden="1" customHeight="1">
      <c r="A192" s="36">
        <v>4682530.0</v>
      </c>
      <c r="B192" s="156" t="s">
        <v>6339</v>
      </c>
      <c r="C192" s="46" t="s">
        <v>5808</v>
      </c>
      <c r="D192" s="46" t="s">
        <v>5809</v>
      </c>
      <c r="E192" s="46" t="s">
        <v>6340</v>
      </c>
      <c r="F192" s="156" t="s">
        <v>6341</v>
      </c>
    </row>
    <row r="193" ht="15.75" hidden="1" customHeight="1">
      <c r="A193" s="38">
        <v>4682396.0</v>
      </c>
      <c r="B193" s="157" t="s">
        <v>6342</v>
      </c>
      <c r="C193" s="45" t="s">
        <v>5832</v>
      </c>
      <c r="D193" s="45" t="s">
        <v>5809</v>
      </c>
      <c r="E193" s="45" t="s">
        <v>6343</v>
      </c>
      <c r="F193" s="157" t="s">
        <v>6344</v>
      </c>
    </row>
    <row r="194" ht="15.75" hidden="1" customHeight="1">
      <c r="A194" s="36">
        <v>4290998.0</v>
      </c>
      <c r="B194" s="156" t="s">
        <v>6345</v>
      </c>
      <c r="C194" s="46" t="s">
        <v>6004</v>
      </c>
      <c r="D194" s="46" t="s">
        <v>5856</v>
      </c>
      <c r="E194" s="46" t="s">
        <v>6346</v>
      </c>
      <c r="F194" s="156" t="s">
        <v>6347</v>
      </c>
    </row>
    <row r="195" ht="15.75" hidden="1" customHeight="1">
      <c r="A195" s="38">
        <v>2887825.0</v>
      </c>
      <c r="B195" s="157" t="s">
        <v>1523</v>
      </c>
      <c r="C195" s="45" t="s">
        <v>6033</v>
      </c>
      <c r="D195" s="45" t="s">
        <v>5882</v>
      </c>
      <c r="E195" s="45" t="s">
        <v>6348</v>
      </c>
      <c r="F195" s="157" t="s">
        <v>6349</v>
      </c>
    </row>
    <row r="196" ht="15.75" hidden="1" customHeight="1">
      <c r="A196" s="36">
        <v>4757420.0</v>
      </c>
      <c r="B196" s="156" t="s">
        <v>6350</v>
      </c>
      <c r="C196" s="46" t="s">
        <v>5872</v>
      </c>
      <c r="D196" s="46" t="s">
        <v>5873</v>
      </c>
      <c r="E196" s="46" t="s">
        <v>6351</v>
      </c>
      <c r="F196" s="156" t="s">
        <v>6352</v>
      </c>
    </row>
    <row r="197" ht="15.75" hidden="1" customHeight="1">
      <c r="A197" s="38">
        <v>3323485.0</v>
      </c>
      <c r="B197" s="157" t="s">
        <v>6353</v>
      </c>
      <c r="C197" s="45" t="s">
        <v>5988</v>
      </c>
      <c r="D197" s="45" t="s">
        <v>5882</v>
      </c>
      <c r="E197" s="45" t="s">
        <v>6354</v>
      </c>
      <c r="F197" s="157" t="s">
        <v>6355</v>
      </c>
    </row>
    <row r="198" ht="15.75" hidden="1" customHeight="1">
      <c r="A198" s="36">
        <v>3934645.0</v>
      </c>
      <c r="B198" s="156" t="s">
        <v>6356</v>
      </c>
      <c r="C198" s="46" t="s">
        <v>6195</v>
      </c>
      <c r="D198" s="46" t="s">
        <v>5882</v>
      </c>
      <c r="E198" s="46" t="s">
        <v>6357</v>
      </c>
      <c r="F198" s="156" t="s">
        <v>6358</v>
      </c>
    </row>
    <row r="199" ht="15.75" hidden="1" customHeight="1">
      <c r="A199" s="38">
        <v>2959391.0</v>
      </c>
      <c r="B199" s="157" t="s">
        <v>6359</v>
      </c>
      <c r="C199" s="45" t="s">
        <v>5988</v>
      </c>
      <c r="D199" s="45" t="s">
        <v>5882</v>
      </c>
      <c r="E199" s="45" t="s">
        <v>6360</v>
      </c>
      <c r="F199" s="157" t="s">
        <v>6361</v>
      </c>
    </row>
    <row r="200" ht="15.75" hidden="1" customHeight="1">
      <c r="A200" s="36">
        <v>4800738.0</v>
      </c>
      <c r="B200" s="156" t="s">
        <v>6362</v>
      </c>
      <c r="C200" s="46" t="s">
        <v>5893</v>
      </c>
      <c r="D200" s="46" t="s">
        <v>5809</v>
      </c>
      <c r="E200" s="46" t="s">
        <v>6363</v>
      </c>
      <c r="F200" s="156" t="s">
        <v>6364</v>
      </c>
    </row>
    <row r="201" ht="15.75" hidden="1" customHeight="1">
      <c r="A201" s="38">
        <v>4801060.0</v>
      </c>
      <c r="B201" s="157" t="s">
        <v>6365</v>
      </c>
      <c r="C201" s="45" t="s">
        <v>5893</v>
      </c>
      <c r="D201" s="45" t="s">
        <v>5809</v>
      </c>
      <c r="E201" s="45" t="s">
        <v>6366</v>
      </c>
      <c r="F201" s="157" t="s">
        <v>6367</v>
      </c>
    </row>
    <row r="202" ht="15.75" hidden="1" customHeight="1">
      <c r="A202" s="36">
        <v>1274914.0</v>
      </c>
      <c r="B202" s="156" t="s">
        <v>349</v>
      </c>
      <c r="C202" s="46" t="s">
        <v>1302</v>
      </c>
      <c r="D202" s="46" t="s">
        <v>6368</v>
      </c>
      <c r="E202" s="46" t="s">
        <v>6369</v>
      </c>
      <c r="F202" s="156" t="s">
        <v>6370</v>
      </c>
    </row>
    <row r="203" ht="15.75" hidden="1" customHeight="1">
      <c r="A203" s="38">
        <v>4810531.0</v>
      </c>
      <c r="B203" s="157" t="s">
        <v>5568</v>
      </c>
      <c r="C203" s="45" t="s">
        <v>3641</v>
      </c>
      <c r="D203" s="45" t="s">
        <v>5856</v>
      </c>
      <c r="E203" s="45" t="s">
        <v>6371</v>
      </c>
      <c r="F203" s="157" t="s">
        <v>6372</v>
      </c>
    </row>
    <row r="204" ht="15.75" hidden="1" customHeight="1">
      <c r="A204" s="36">
        <v>3756632.0</v>
      </c>
      <c r="B204" s="156" t="s">
        <v>1524</v>
      </c>
      <c r="C204" s="46" t="s">
        <v>5988</v>
      </c>
      <c r="D204" s="46" t="s">
        <v>5882</v>
      </c>
      <c r="E204" s="46" t="s">
        <v>6373</v>
      </c>
      <c r="F204" s="156" t="s">
        <v>6374</v>
      </c>
    </row>
    <row r="205" ht="15.75" hidden="1" customHeight="1">
      <c r="A205" s="38">
        <v>4814796.0</v>
      </c>
      <c r="B205" s="157" t="s">
        <v>6375</v>
      </c>
      <c r="C205" s="45" t="s">
        <v>3641</v>
      </c>
      <c r="D205" s="45" t="s">
        <v>5856</v>
      </c>
      <c r="E205" s="45" t="s">
        <v>6376</v>
      </c>
      <c r="F205" s="157" t="s">
        <v>6377</v>
      </c>
    </row>
    <row r="206" ht="15.75" hidden="1" customHeight="1">
      <c r="A206" s="36">
        <v>4845130.0</v>
      </c>
      <c r="B206" s="156" t="s">
        <v>6378</v>
      </c>
      <c r="C206" s="46" t="s">
        <v>5808</v>
      </c>
      <c r="D206" s="46" t="s">
        <v>5809</v>
      </c>
      <c r="E206" s="46" t="s">
        <v>6379</v>
      </c>
      <c r="F206" s="156" t="s">
        <v>6380</v>
      </c>
    </row>
    <row r="207" ht="15.75" customHeight="1">
      <c r="A207" s="38">
        <v>4788472.0</v>
      </c>
      <c r="B207" s="157" t="s">
        <v>6381</v>
      </c>
      <c r="C207" s="45" t="s">
        <v>6211</v>
      </c>
      <c r="D207" s="45" t="s">
        <v>5829</v>
      </c>
      <c r="E207" s="45" t="s">
        <v>6382</v>
      </c>
      <c r="F207" s="157" t="s">
        <v>6383</v>
      </c>
    </row>
    <row r="208" ht="15.75" hidden="1" customHeight="1">
      <c r="A208" s="36">
        <v>4898403.0</v>
      </c>
      <c r="B208" s="156" t="s">
        <v>524</v>
      </c>
      <c r="C208" s="46" t="s">
        <v>5816</v>
      </c>
      <c r="D208" s="46" t="s">
        <v>5809</v>
      </c>
      <c r="E208" s="46" t="s">
        <v>6384</v>
      </c>
      <c r="F208" s="156" t="s">
        <v>6385</v>
      </c>
    </row>
    <row r="209" ht="15.75" hidden="1" customHeight="1">
      <c r="A209" s="38">
        <v>4721510.0</v>
      </c>
      <c r="B209" s="157" t="s">
        <v>6386</v>
      </c>
      <c r="C209" s="45" t="s">
        <v>349</v>
      </c>
      <c r="D209" s="45" t="s">
        <v>5873</v>
      </c>
      <c r="E209" s="45" t="s">
        <v>6387</v>
      </c>
      <c r="F209" s="157" t="s">
        <v>6388</v>
      </c>
    </row>
    <row r="210" ht="15.75" hidden="1" customHeight="1">
      <c r="A210" s="36">
        <v>4881905.0</v>
      </c>
      <c r="B210" s="156" t="s">
        <v>6389</v>
      </c>
      <c r="C210" s="46" t="s">
        <v>6018</v>
      </c>
      <c r="D210" s="46" t="s">
        <v>5873</v>
      </c>
      <c r="E210" s="46" t="s">
        <v>6390</v>
      </c>
      <c r="F210" s="156" t="s">
        <v>6391</v>
      </c>
    </row>
    <row r="211" ht="15.75" hidden="1" customHeight="1">
      <c r="A211" s="38">
        <v>4913998.0</v>
      </c>
      <c r="B211" s="157" t="s">
        <v>6392</v>
      </c>
      <c r="C211" s="45" t="s">
        <v>6004</v>
      </c>
      <c r="D211" s="45" t="s">
        <v>5809</v>
      </c>
      <c r="E211" s="45" t="s">
        <v>6393</v>
      </c>
      <c r="F211" s="157" t="s">
        <v>6394</v>
      </c>
    </row>
    <row r="212" ht="15.75" hidden="1" customHeight="1">
      <c r="A212" s="36">
        <v>4931631.0</v>
      </c>
      <c r="B212" s="156" t="s">
        <v>2071</v>
      </c>
      <c r="C212" s="46" t="s">
        <v>6174</v>
      </c>
      <c r="D212" s="46" t="s">
        <v>5809</v>
      </c>
      <c r="E212" s="46" t="s">
        <v>6395</v>
      </c>
      <c r="F212" s="156" t="s">
        <v>6396</v>
      </c>
    </row>
    <row r="213" ht="15.75" hidden="1" customHeight="1">
      <c r="A213" s="38">
        <v>4928485.0</v>
      </c>
      <c r="B213" s="157" t="s">
        <v>2083</v>
      </c>
      <c r="C213" s="45" t="s">
        <v>6397</v>
      </c>
      <c r="D213" s="45" t="s">
        <v>6398</v>
      </c>
      <c r="E213" s="45" t="s">
        <v>6399</v>
      </c>
      <c r="F213" s="157" t="s">
        <v>6400</v>
      </c>
    </row>
    <row r="214" ht="15.75" hidden="1" customHeight="1">
      <c r="A214" s="36">
        <v>2413230.0</v>
      </c>
      <c r="B214" s="156" t="s">
        <v>6401</v>
      </c>
      <c r="C214" s="46" t="s">
        <v>6311</v>
      </c>
      <c r="D214" s="46" t="s">
        <v>5882</v>
      </c>
      <c r="E214" s="46" t="s">
        <v>6402</v>
      </c>
      <c r="F214" s="156" t="s">
        <v>6403</v>
      </c>
    </row>
    <row r="215" ht="15.75" hidden="1" customHeight="1">
      <c r="A215" s="38">
        <v>3163647.0</v>
      </c>
      <c r="B215" s="157" t="s">
        <v>6404</v>
      </c>
      <c r="C215" s="45" t="s">
        <v>250</v>
      </c>
      <c r="D215" s="45" t="s">
        <v>5847</v>
      </c>
      <c r="E215" s="45" t="s">
        <v>6405</v>
      </c>
      <c r="F215" s="157" t="s">
        <v>6406</v>
      </c>
    </row>
    <row r="216" ht="15.75" hidden="1" customHeight="1">
      <c r="A216" s="36">
        <v>3308722.0</v>
      </c>
      <c r="B216" s="156" t="s">
        <v>6407</v>
      </c>
      <c r="C216" s="46" t="s">
        <v>5888</v>
      </c>
      <c r="D216" s="46" t="s">
        <v>5882</v>
      </c>
      <c r="E216" s="46" t="s">
        <v>6408</v>
      </c>
      <c r="F216" s="156" t="s">
        <v>6409</v>
      </c>
    </row>
    <row r="217" ht="15.75" hidden="1" customHeight="1">
      <c r="A217" s="38">
        <v>4950855.0</v>
      </c>
      <c r="B217" s="157" t="s">
        <v>6410</v>
      </c>
      <c r="C217" s="45" t="s">
        <v>5836</v>
      </c>
      <c r="D217" s="45" t="s">
        <v>5809</v>
      </c>
      <c r="E217" s="45" t="s">
        <v>6411</v>
      </c>
      <c r="F217" s="157" t="s">
        <v>6412</v>
      </c>
    </row>
    <row r="218" ht="15.75" hidden="1" customHeight="1">
      <c r="A218" s="36">
        <v>4960253.0</v>
      </c>
      <c r="B218" s="156" t="s">
        <v>6413</v>
      </c>
      <c r="C218" s="46" t="s">
        <v>6091</v>
      </c>
      <c r="D218" s="46" t="s">
        <v>5856</v>
      </c>
      <c r="E218" s="46" t="s">
        <v>6414</v>
      </c>
      <c r="F218" s="156" t="s">
        <v>6415</v>
      </c>
    </row>
    <row r="219" ht="15.75" hidden="1" customHeight="1">
      <c r="A219" s="38">
        <v>4933250.0</v>
      </c>
      <c r="B219" s="157" t="s">
        <v>6416</v>
      </c>
      <c r="C219" s="45" t="s">
        <v>4102</v>
      </c>
      <c r="D219" s="45" t="s">
        <v>5856</v>
      </c>
      <c r="E219" s="45" t="s">
        <v>6417</v>
      </c>
      <c r="F219" s="157" t="s">
        <v>6418</v>
      </c>
    </row>
    <row r="220" ht="15.75" hidden="1" customHeight="1">
      <c r="A220" s="36">
        <v>4074666.0</v>
      </c>
      <c r="B220" s="156" t="s">
        <v>6419</v>
      </c>
      <c r="C220" s="46" t="s">
        <v>6018</v>
      </c>
      <c r="D220" s="46" t="s">
        <v>5873</v>
      </c>
      <c r="E220" s="46" t="s">
        <v>6420</v>
      </c>
      <c r="F220" s="156" t="s">
        <v>6421</v>
      </c>
    </row>
    <row r="221" ht="15.75" hidden="1" customHeight="1">
      <c r="A221" s="38">
        <v>4998044.0</v>
      </c>
      <c r="B221" s="157" t="s">
        <v>4101</v>
      </c>
      <c r="C221" s="45" t="s">
        <v>4102</v>
      </c>
      <c r="D221" s="45" t="s">
        <v>5856</v>
      </c>
      <c r="E221" s="45" t="s">
        <v>6422</v>
      </c>
      <c r="F221" s="157" t="s">
        <v>6423</v>
      </c>
    </row>
    <row r="222" ht="15.75" hidden="1" customHeight="1">
      <c r="A222" s="36">
        <v>5005853.0</v>
      </c>
      <c r="B222" s="156" t="s">
        <v>6424</v>
      </c>
      <c r="C222" s="46" t="s">
        <v>6091</v>
      </c>
      <c r="D222" s="46" t="s">
        <v>5856</v>
      </c>
      <c r="E222" s="46" t="s">
        <v>6425</v>
      </c>
      <c r="F222" s="156" t="s">
        <v>6426</v>
      </c>
    </row>
    <row r="223" ht="15.75" hidden="1" customHeight="1">
      <c r="A223" s="38">
        <v>2275701.0</v>
      </c>
      <c r="B223" s="157" t="s">
        <v>6397</v>
      </c>
      <c r="C223" s="45" t="s">
        <v>6066</v>
      </c>
      <c r="D223" s="45" t="s">
        <v>6427</v>
      </c>
      <c r="E223" s="45" t="s">
        <v>3646</v>
      </c>
      <c r="F223" s="157" t="s">
        <v>6428</v>
      </c>
    </row>
    <row r="224" ht="15.75" hidden="1" customHeight="1">
      <c r="A224" s="36">
        <v>4197651.0</v>
      </c>
      <c r="B224" s="156" t="s">
        <v>6429</v>
      </c>
      <c r="C224" s="46" t="s">
        <v>6311</v>
      </c>
      <c r="D224" s="46" t="s">
        <v>5873</v>
      </c>
      <c r="E224" s="46" t="s">
        <v>6430</v>
      </c>
      <c r="F224" s="156" t="s">
        <v>6431</v>
      </c>
    </row>
    <row r="225" ht="15.75" hidden="1" customHeight="1">
      <c r="A225" s="38">
        <v>5013389.0</v>
      </c>
      <c r="B225" s="157" t="s">
        <v>6432</v>
      </c>
      <c r="C225" s="45" t="s">
        <v>5808</v>
      </c>
      <c r="D225" s="45" t="s">
        <v>5809</v>
      </c>
      <c r="E225" s="45" t="s">
        <v>6433</v>
      </c>
      <c r="F225" s="157" t="s">
        <v>6434</v>
      </c>
    </row>
    <row r="226" ht="15.75" hidden="1" customHeight="1">
      <c r="A226" s="36">
        <v>5013874.0</v>
      </c>
      <c r="B226" s="156" t="s">
        <v>3455</v>
      </c>
      <c r="C226" s="46" t="s">
        <v>3456</v>
      </c>
      <c r="D226" s="46" t="s">
        <v>5856</v>
      </c>
      <c r="E226" s="46" t="s">
        <v>6435</v>
      </c>
      <c r="F226" s="156" t="s">
        <v>6436</v>
      </c>
    </row>
    <row r="227" ht="15.75" hidden="1" customHeight="1">
      <c r="A227" s="38">
        <v>3740226.0</v>
      </c>
      <c r="B227" s="157" t="s">
        <v>6437</v>
      </c>
      <c r="C227" s="45" t="s">
        <v>6174</v>
      </c>
      <c r="D227" s="45" t="s">
        <v>5809</v>
      </c>
      <c r="E227" s="45" t="s">
        <v>6438</v>
      </c>
      <c r="F227" s="157" t="s">
        <v>6439</v>
      </c>
    </row>
    <row r="228" ht="15.75" hidden="1" customHeight="1">
      <c r="A228" s="36">
        <v>5033221.0</v>
      </c>
      <c r="B228" s="156" t="s">
        <v>6440</v>
      </c>
      <c r="C228" s="46" t="s">
        <v>6018</v>
      </c>
      <c r="D228" s="46" t="s">
        <v>5873</v>
      </c>
      <c r="E228" s="46" t="s">
        <v>6441</v>
      </c>
      <c r="F228" s="156" t="s">
        <v>6442</v>
      </c>
    </row>
    <row r="229" ht="15.75" hidden="1" customHeight="1">
      <c r="A229" s="38">
        <v>3114905.0</v>
      </c>
      <c r="B229" s="157" t="s">
        <v>6443</v>
      </c>
      <c r="C229" s="45" t="s">
        <v>6443</v>
      </c>
      <c r="D229" s="45" t="s">
        <v>6444</v>
      </c>
      <c r="E229" s="45" t="s">
        <v>6445</v>
      </c>
      <c r="F229" s="157" t="s">
        <v>6446</v>
      </c>
    </row>
    <row r="230" ht="15.75" hidden="1" customHeight="1">
      <c r="A230" s="36">
        <v>5039953.0</v>
      </c>
      <c r="B230" s="156" t="s">
        <v>6447</v>
      </c>
      <c r="C230" s="46" t="s">
        <v>5872</v>
      </c>
      <c r="D230" s="46" t="s">
        <v>5873</v>
      </c>
      <c r="E230" s="46" t="s">
        <v>6448</v>
      </c>
      <c r="F230" s="156" t="s">
        <v>6449</v>
      </c>
    </row>
    <row r="231" ht="15.75" hidden="1" customHeight="1">
      <c r="A231" s="38">
        <v>5041320.0</v>
      </c>
      <c r="B231" s="157" t="s">
        <v>6450</v>
      </c>
      <c r="C231" s="45" t="s">
        <v>5872</v>
      </c>
      <c r="D231" s="45" t="s">
        <v>5873</v>
      </c>
      <c r="E231" s="45" t="s">
        <v>6451</v>
      </c>
      <c r="F231" s="157" t="s">
        <v>6452</v>
      </c>
    </row>
    <row r="232" ht="15.75" hidden="1" customHeight="1">
      <c r="A232" s="36">
        <v>3419703.0</v>
      </c>
      <c r="B232" s="156" t="s">
        <v>5318</v>
      </c>
      <c r="C232" s="46" t="s">
        <v>6004</v>
      </c>
      <c r="D232" s="46" t="s">
        <v>5856</v>
      </c>
      <c r="E232" s="46" t="s">
        <v>6453</v>
      </c>
      <c r="F232" s="156" t="s">
        <v>6454</v>
      </c>
    </row>
    <row r="233" ht="15.75" hidden="1" customHeight="1">
      <c r="A233" s="38">
        <v>3862123.0</v>
      </c>
      <c r="B233" s="157" t="s">
        <v>6455</v>
      </c>
      <c r="C233" s="45" t="s">
        <v>3455</v>
      </c>
      <c r="D233" s="45" t="s">
        <v>5856</v>
      </c>
      <c r="E233" s="45" t="s">
        <v>6456</v>
      </c>
      <c r="F233" s="157" t="s">
        <v>6457</v>
      </c>
    </row>
    <row r="234" ht="15.75" hidden="1" customHeight="1">
      <c r="A234" s="36">
        <v>1959108.0</v>
      </c>
      <c r="B234" s="156" t="s">
        <v>250</v>
      </c>
      <c r="C234" s="46" t="s">
        <v>319</v>
      </c>
      <c r="D234" s="46" t="s">
        <v>5789</v>
      </c>
      <c r="E234" s="46" t="s">
        <v>6458</v>
      </c>
      <c r="F234" s="156" t="s">
        <v>6459</v>
      </c>
    </row>
    <row r="235" ht="15.75" hidden="1" customHeight="1">
      <c r="A235" s="38">
        <v>5065470.0</v>
      </c>
      <c r="B235" s="157" t="s">
        <v>6460</v>
      </c>
      <c r="C235" s="45" t="s">
        <v>5872</v>
      </c>
      <c r="D235" s="45" t="s">
        <v>5873</v>
      </c>
      <c r="E235" s="45" t="s">
        <v>6461</v>
      </c>
      <c r="F235" s="157" t="s">
        <v>6462</v>
      </c>
    </row>
    <row r="236" ht="15.75" hidden="1" customHeight="1">
      <c r="A236" s="36">
        <v>5068173.0</v>
      </c>
      <c r="B236" s="156" t="s">
        <v>6463</v>
      </c>
      <c r="C236" s="46" t="s">
        <v>6018</v>
      </c>
      <c r="D236" s="46" t="s">
        <v>5873</v>
      </c>
      <c r="E236" s="46" t="s">
        <v>6464</v>
      </c>
      <c r="F236" s="156" t="s">
        <v>6465</v>
      </c>
    </row>
    <row r="237" ht="15.75" hidden="1" customHeight="1">
      <c r="A237" s="38">
        <v>5070238.0</v>
      </c>
      <c r="B237" s="157" t="s">
        <v>6466</v>
      </c>
      <c r="C237" s="45" t="s">
        <v>5816</v>
      </c>
      <c r="D237" s="45" t="s">
        <v>5809</v>
      </c>
      <c r="E237" s="45" t="s">
        <v>6467</v>
      </c>
      <c r="F237" s="157" t="s">
        <v>6468</v>
      </c>
    </row>
    <row r="238" ht="15.75" hidden="1" customHeight="1">
      <c r="A238" s="36">
        <v>5069428.0</v>
      </c>
      <c r="B238" s="156" t="s">
        <v>6469</v>
      </c>
      <c r="C238" s="46" t="s">
        <v>5982</v>
      </c>
      <c r="D238" s="46" t="s">
        <v>5809</v>
      </c>
      <c r="E238" s="46" t="s">
        <v>6470</v>
      </c>
      <c r="F238" s="156" t="s">
        <v>6471</v>
      </c>
    </row>
    <row r="239" ht="15.75" hidden="1" customHeight="1">
      <c r="A239" s="38">
        <v>5030347.0</v>
      </c>
      <c r="B239" s="157" t="s">
        <v>6472</v>
      </c>
      <c r="C239" s="45" t="s">
        <v>6004</v>
      </c>
      <c r="D239" s="45" t="s">
        <v>5809</v>
      </c>
      <c r="E239" s="45" t="s">
        <v>2490</v>
      </c>
      <c r="F239" s="157" t="s">
        <v>6473</v>
      </c>
    </row>
    <row r="240" ht="15.75" hidden="1" customHeight="1">
      <c r="A240" s="36">
        <v>4901356.0</v>
      </c>
      <c r="B240" s="156" t="s">
        <v>6474</v>
      </c>
      <c r="C240" s="46" t="s">
        <v>6004</v>
      </c>
      <c r="D240" s="46" t="s">
        <v>5856</v>
      </c>
      <c r="E240" s="46" t="s">
        <v>6475</v>
      </c>
      <c r="F240" s="156" t="s">
        <v>6476</v>
      </c>
    </row>
    <row r="241" ht="15.75" hidden="1" customHeight="1">
      <c r="A241" s="38">
        <v>5088713.0</v>
      </c>
      <c r="B241" s="157" t="s">
        <v>6477</v>
      </c>
      <c r="C241" s="45" t="s">
        <v>5836</v>
      </c>
      <c r="D241" s="45" t="s">
        <v>5809</v>
      </c>
      <c r="E241" s="45" t="s">
        <v>6478</v>
      </c>
      <c r="F241" s="157" t="s">
        <v>6479</v>
      </c>
    </row>
    <row r="242" ht="15.75" hidden="1" customHeight="1">
      <c r="A242" s="36">
        <v>5091772.0</v>
      </c>
      <c r="B242" s="156" t="s">
        <v>5551</v>
      </c>
      <c r="C242" s="46" t="s">
        <v>3455</v>
      </c>
      <c r="D242" s="46" t="s">
        <v>5856</v>
      </c>
      <c r="E242" s="46" t="s">
        <v>6480</v>
      </c>
      <c r="F242" s="156" t="s">
        <v>6481</v>
      </c>
    </row>
    <row r="243" ht="15.75" hidden="1" customHeight="1">
      <c r="A243" s="38">
        <v>5091736.0</v>
      </c>
      <c r="B243" s="157" t="s">
        <v>6482</v>
      </c>
      <c r="C243" s="45" t="s">
        <v>5808</v>
      </c>
      <c r="D243" s="45" t="s">
        <v>5809</v>
      </c>
      <c r="E243" s="45" t="s">
        <v>6483</v>
      </c>
      <c r="F243" s="157" t="s">
        <v>6484</v>
      </c>
    </row>
    <row r="244" ht="15.75" hidden="1" customHeight="1">
      <c r="A244" s="36">
        <v>5092764.0</v>
      </c>
      <c r="B244" s="156" t="s">
        <v>6485</v>
      </c>
      <c r="C244" s="46" t="s">
        <v>6174</v>
      </c>
      <c r="D244" s="46" t="s">
        <v>5809</v>
      </c>
      <c r="E244" s="46" t="s">
        <v>6486</v>
      </c>
      <c r="F244" s="156" t="s">
        <v>6487</v>
      </c>
    </row>
    <row r="245" ht="15.75" customHeight="1">
      <c r="A245" s="38">
        <v>4013264.0</v>
      </c>
      <c r="B245" s="157" t="s">
        <v>6488</v>
      </c>
      <c r="C245" s="45" t="s">
        <v>6211</v>
      </c>
      <c r="D245" s="45" t="s">
        <v>5829</v>
      </c>
      <c r="E245" s="45" t="s">
        <v>6489</v>
      </c>
      <c r="F245" s="157" t="s">
        <v>6490</v>
      </c>
    </row>
    <row r="246" ht="15.75" customHeight="1">
      <c r="A246" s="36">
        <v>4881181.0</v>
      </c>
      <c r="B246" s="156" t="s">
        <v>6491</v>
      </c>
      <c r="C246" s="46" t="s">
        <v>5681</v>
      </c>
      <c r="D246" s="46" t="s">
        <v>5829</v>
      </c>
      <c r="E246" s="46" t="s">
        <v>6492</v>
      </c>
      <c r="F246" s="156" t="s">
        <v>6493</v>
      </c>
    </row>
    <row r="247" ht="15.75" customHeight="1">
      <c r="A247" s="38">
        <v>5019019.0</v>
      </c>
      <c r="B247" s="157" t="s">
        <v>6494</v>
      </c>
      <c r="C247" s="45" t="s">
        <v>6211</v>
      </c>
      <c r="D247" s="45" t="s">
        <v>5829</v>
      </c>
      <c r="E247" s="45" t="s">
        <v>6495</v>
      </c>
      <c r="F247" s="157" t="s">
        <v>6496</v>
      </c>
    </row>
    <row r="248" ht="15.75" customHeight="1">
      <c r="A248" s="36">
        <v>4643316.0</v>
      </c>
      <c r="B248" s="156" t="s">
        <v>5681</v>
      </c>
      <c r="C248" s="46" t="s">
        <v>6497</v>
      </c>
      <c r="D248" s="46" t="s">
        <v>6498</v>
      </c>
      <c r="E248" s="46" t="s">
        <v>6499</v>
      </c>
      <c r="F248" s="156" t="s">
        <v>6500</v>
      </c>
    </row>
    <row r="249" ht="15.75" customHeight="1">
      <c r="A249" s="38">
        <v>3886103.0</v>
      </c>
      <c r="B249" s="157" t="s">
        <v>6211</v>
      </c>
      <c r="C249" s="45" t="s">
        <v>6497</v>
      </c>
      <c r="D249" s="45" t="s">
        <v>6498</v>
      </c>
      <c r="E249" s="45" t="s">
        <v>6501</v>
      </c>
      <c r="F249" s="157" t="s">
        <v>6502</v>
      </c>
    </row>
    <row r="250" ht="15.75" customHeight="1">
      <c r="A250" s="36">
        <v>3392765.0</v>
      </c>
      <c r="B250" s="156" t="s">
        <v>6497</v>
      </c>
      <c r="C250" s="46" t="s">
        <v>6503</v>
      </c>
      <c r="D250" s="46" t="s">
        <v>6504</v>
      </c>
      <c r="E250" s="46" t="s">
        <v>3646</v>
      </c>
      <c r="F250" s="156" t="s">
        <v>6505</v>
      </c>
    </row>
    <row r="251" ht="15.75" hidden="1" customHeight="1">
      <c r="A251" s="38">
        <v>5107815.0</v>
      </c>
      <c r="B251" s="157" t="s">
        <v>6506</v>
      </c>
      <c r="C251" s="45" t="s">
        <v>5893</v>
      </c>
      <c r="D251" s="45" t="s">
        <v>5809</v>
      </c>
      <c r="E251" s="45" t="s">
        <v>6507</v>
      </c>
      <c r="F251" s="157" t="s">
        <v>6508</v>
      </c>
    </row>
    <row r="252" ht="15.75" hidden="1" customHeight="1">
      <c r="A252" s="36">
        <v>5107825.0</v>
      </c>
      <c r="B252" s="156" t="s">
        <v>5626</v>
      </c>
      <c r="C252" s="46" t="s">
        <v>3641</v>
      </c>
      <c r="D252" s="46" t="s">
        <v>5856</v>
      </c>
      <c r="E252" s="46" t="s">
        <v>6509</v>
      </c>
      <c r="F252" s="156" t="s">
        <v>6510</v>
      </c>
    </row>
    <row r="253" ht="15.75" hidden="1" customHeight="1">
      <c r="A253" s="38">
        <v>5122058.0</v>
      </c>
      <c r="B253" s="157" t="s">
        <v>6511</v>
      </c>
      <c r="C253" s="45" t="s">
        <v>6174</v>
      </c>
      <c r="D253" s="45" t="s">
        <v>5809</v>
      </c>
      <c r="E253" s="45" t="s">
        <v>6512</v>
      </c>
      <c r="F253" s="157" t="s">
        <v>6513</v>
      </c>
    </row>
    <row r="254" ht="15.75" hidden="1" customHeight="1">
      <c r="A254" s="36">
        <v>5124356.0</v>
      </c>
      <c r="B254" s="156" t="s">
        <v>6514</v>
      </c>
      <c r="C254" s="46" t="s">
        <v>5816</v>
      </c>
      <c r="D254" s="46" t="s">
        <v>5809</v>
      </c>
      <c r="E254" s="46" t="s">
        <v>6515</v>
      </c>
      <c r="F254" s="156" t="s">
        <v>6516</v>
      </c>
    </row>
    <row r="255" ht="15.75" hidden="1" customHeight="1">
      <c r="A255" s="38">
        <v>5136005.0</v>
      </c>
      <c r="B255" s="157" t="s">
        <v>6517</v>
      </c>
      <c r="C255" s="45" t="s">
        <v>5808</v>
      </c>
      <c r="D255" s="45" t="s">
        <v>5809</v>
      </c>
      <c r="E255" s="45" t="s">
        <v>6518</v>
      </c>
      <c r="F255" s="157" t="s">
        <v>6519</v>
      </c>
    </row>
    <row r="256" ht="15.75" hidden="1" customHeight="1">
      <c r="A256" s="36">
        <v>3868613.0</v>
      </c>
      <c r="B256" s="156" t="s">
        <v>5872</v>
      </c>
      <c r="C256" s="46" t="s">
        <v>5888</v>
      </c>
      <c r="D256" s="46" t="s">
        <v>5882</v>
      </c>
      <c r="E256" s="46" t="s">
        <v>6520</v>
      </c>
      <c r="F256" s="156" t="s">
        <v>6521</v>
      </c>
    </row>
    <row r="257" ht="15.75" hidden="1" customHeight="1">
      <c r="A257" s="38">
        <v>4582485.0</v>
      </c>
      <c r="B257" s="157" t="s">
        <v>6522</v>
      </c>
      <c r="C257" s="45" t="s">
        <v>5872</v>
      </c>
      <c r="D257" s="45" t="s">
        <v>5873</v>
      </c>
      <c r="E257" s="45" t="s">
        <v>6523</v>
      </c>
      <c r="F257" s="157" t="s">
        <v>6524</v>
      </c>
    </row>
    <row r="258" ht="15.75" hidden="1" customHeight="1">
      <c r="A258" s="36">
        <v>5145956.0</v>
      </c>
      <c r="B258" s="156" t="s">
        <v>6525</v>
      </c>
      <c r="C258" s="46" t="s">
        <v>5808</v>
      </c>
      <c r="D258" s="46" t="s">
        <v>5809</v>
      </c>
      <c r="E258" s="46" t="s">
        <v>6526</v>
      </c>
      <c r="F258" s="156" t="s">
        <v>6527</v>
      </c>
    </row>
    <row r="259" ht="15.75" hidden="1" customHeight="1">
      <c r="A259" s="38">
        <v>5148300.0</v>
      </c>
      <c r="B259" s="157" t="s">
        <v>6528</v>
      </c>
      <c r="C259" s="45" t="s">
        <v>5816</v>
      </c>
      <c r="D259" s="45" t="s">
        <v>5809</v>
      </c>
      <c r="E259" s="45" t="s">
        <v>6529</v>
      </c>
      <c r="F259" s="157" t="s">
        <v>6530</v>
      </c>
    </row>
    <row r="260" ht="15.75" hidden="1" customHeight="1">
      <c r="A260" s="36">
        <v>5012314.0</v>
      </c>
      <c r="B260" s="156" t="s">
        <v>6531</v>
      </c>
      <c r="C260" s="46" t="s">
        <v>6532</v>
      </c>
      <c r="D260" s="46" t="s">
        <v>6533</v>
      </c>
      <c r="E260" s="46" t="s">
        <v>3646</v>
      </c>
      <c r="F260" s="156" t="s">
        <v>3646</v>
      </c>
    </row>
    <row r="261" ht="15.75" customHeight="1">
      <c r="A261" s="38">
        <v>3845088.0</v>
      </c>
      <c r="B261" s="157" t="s">
        <v>6534</v>
      </c>
      <c r="C261" s="45" t="s">
        <v>5681</v>
      </c>
      <c r="D261" s="45" t="s">
        <v>5829</v>
      </c>
      <c r="E261" s="45" t="s">
        <v>6535</v>
      </c>
      <c r="F261" s="157" t="s">
        <v>6536</v>
      </c>
    </row>
    <row r="262" ht="15.75" hidden="1" customHeight="1">
      <c r="A262" s="36">
        <v>5133104.0</v>
      </c>
      <c r="B262" s="156" t="s">
        <v>6537</v>
      </c>
      <c r="C262" s="46" t="s">
        <v>5832</v>
      </c>
      <c r="D262" s="46" t="s">
        <v>5809</v>
      </c>
      <c r="E262" s="46" t="s">
        <v>6538</v>
      </c>
      <c r="F262" s="156" t="s">
        <v>6539</v>
      </c>
    </row>
    <row r="263" ht="15.75" hidden="1" customHeight="1">
      <c r="A263" s="38">
        <v>5155759.0</v>
      </c>
      <c r="B263" s="157" t="s">
        <v>6540</v>
      </c>
      <c r="C263" s="45" t="s">
        <v>5603</v>
      </c>
      <c r="D263" s="45" t="s">
        <v>5856</v>
      </c>
      <c r="E263" s="45" t="s">
        <v>6541</v>
      </c>
      <c r="F263" s="157" t="s">
        <v>6542</v>
      </c>
    </row>
    <row r="264" ht="15.75" hidden="1" customHeight="1">
      <c r="A264" s="36">
        <v>2274591.0</v>
      </c>
      <c r="B264" s="156" t="s">
        <v>6543</v>
      </c>
      <c r="C264" s="46" t="s">
        <v>5888</v>
      </c>
      <c r="D264" s="46" t="s">
        <v>5882</v>
      </c>
      <c r="E264" s="46" t="s">
        <v>6544</v>
      </c>
      <c r="F264" s="156" t="s">
        <v>6545</v>
      </c>
    </row>
    <row r="265" ht="15.75" hidden="1" customHeight="1">
      <c r="A265" s="38">
        <v>828713.0</v>
      </c>
      <c r="B265" s="157" t="s">
        <v>6546</v>
      </c>
      <c r="C265" s="45" t="s">
        <v>6547</v>
      </c>
      <c r="D265" s="45" t="s">
        <v>6548</v>
      </c>
      <c r="E265" s="45" t="s">
        <v>6549</v>
      </c>
      <c r="F265" s="157" t="s">
        <v>6550</v>
      </c>
    </row>
    <row r="266" ht="15.75" hidden="1" customHeight="1">
      <c r="A266" s="36">
        <v>4996647.0</v>
      </c>
      <c r="B266" s="156" t="s">
        <v>6551</v>
      </c>
      <c r="C266" s="46" t="s">
        <v>6078</v>
      </c>
      <c r="D266" s="46" t="s">
        <v>6292</v>
      </c>
      <c r="E266" s="46" t="s">
        <v>6552</v>
      </c>
      <c r="F266" s="156" t="s">
        <v>6553</v>
      </c>
    </row>
    <row r="267" ht="15.75" hidden="1" customHeight="1">
      <c r="A267" s="38">
        <v>2270883.0</v>
      </c>
      <c r="B267" s="157" t="s">
        <v>6554</v>
      </c>
      <c r="C267" s="45" t="s">
        <v>5812</v>
      </c>
      <c r="D267" s="45" t="s">
        <v>5</v>
      </c>
      <c r="E267" s="45" t="s">
        <v>6555</v>
      </c>
      <c r="F267" s="157" t="s">
        <v>6556</v>
      </c>
    </row>
    <row r="268" ht="15.75" hidden="1" customHeight="1">
      <c r="A268" s="36">
        <v>4066795.0</v>
      </c>
      <c r="B268" s="156" t="s">
        <v>6557</v>
      </c>
      <c r="C268" s="46" t="s">
        <v>6558</v>
      </c>
      <c r="D268" s="46" t="s">
        <v>6292</v>
      </c>
      <c r="E268" s="46" t="s">
        <v>6559</v>
      </c>
      <c r="F268" s="156" t="s">
        <v>6560</v>
      </c>
    </row>
    <row r="269" ht="15.75" hidden="1" customHeight="1">
      <c r="A269" s="38">
        <v>2805620.0</v>
      </c>
      <c r="B269" s="157" t="s">
        <v>6561</v>
      </c>
      <c r="C269" s="45" t="s">
        <v>6562</v>
      </c>
      <c r="D269" s="45" t="s">
        <v>6563</v>
      </c>
      <c r="E269" s="45" t="s">
        <v>6564</v>
      </c>
      <c r="F269" s="157" t="s">
        <v>6565</v>
      </c>
    </row>
    <row r="270" ht="15.75" hidden="1" customHeight="1">
      <c r="A270" s="36">
        <v>4795667.0</v>
      </c>
      <c r="B270" s="156" t="s">
        <v>6566</v>
      </c>
      <c r="C270" s="46" t="s">
        <v>6567</v>
      </c>
      <c r="D270" s="46" t="s">
        <v>6548</v>
      </c>
      <c r="E270" s="46" t="s">
        <v>6568</v>
      </c>
      <c r="F270" s="156" t="s">
        <v>6569</v>
      </c>
    </row>
    <row r="271" ht="15.75" hidden="1" customHeight="1">
      <c r="A271" s="38">
        <v>4364244.0</v>
      </c>
      <c r="B271" s="157" t="s">
        <v>6570</v>
      </c>
      <c r="C271" s="45" t="s">
        <v>6547</v>
      </c>
      <c r="D271" s="45" t="s">
        <v>6292</v>
      </c>
      <c r="E271" s="45" t="s">
        <v>6571</v>
      </c>
      <c r="F271" s="157" t="s">
        <v>6572</v>
      </c>
    </row>
    <row r="272" ht="15.75" hidden="1" customHeight="1">
      <c r="A272" s="36">
        <v>5284202.0</v>
      </c>
      <c r="B272" s="156" t="s">
        <v>6573</v>
      </c>
      <c r="C272" s="46" t="s">
        <v>6018</v>
      </c>
      <c r="D272" s="46" t="s">
        <v>5873</v>
      </c>
      <c r="E272" s="46" t="s">
        <v>6574</v>
      </c>
      <c r="F272" s="156" t="s">
        <v>6575</v>
      </c>
    </row>
    <row r="273" ht="15.75" hidden="1" customHeight="1">
      <c r="A273" s="38">
        <v>5284862.0</v>
      </c>
      <c r="B273" s="157" t="s">
        <v>6576</v>
      </c>
      <c r="C273" s="45" t="s">
        <v>5808</v>
      </c>
      <c r="D273" s="45" t="s">
        <v>5809</v>
      </c>
      <c r="E273" s="45" t="s">
        <v>6577</v>
      </c>
      <c r="F273" s="157" t="s">
        <v>6578</v>
      </c>
    </row>
    <row r="274" ht="15.75" customHeight="1">
      <c r="A274" s="36">
        <v>5284010.0</v>
      </c>
      <c r="B274" s="156" t="s">
        <v>6579</v>
      </c>
      <c r="C274" s="46" t="s">
        <v>6211</v>
      </c>
      <c r="D274" s="46" t="s">
        <v>5829</v>
      </c>
      <c r="E274" s="46" t="s">
        <v>6580</v>
      </c>
      <c r="F274" s="156" t="s">
        <v>6581</v>
      </c>
    </row>
    <row r="275" ht="15.75" hidden="1" customHeight="1">
      <c r="A275" s="38">
        <v>5292234.0</v>
      </c>
      <c r="B275" s="157" t="s">
        <v>6582</v>
      </c>
      <c r="C275" s="45" t="s">
        <v>6018</v>
      </c>
      <c r="D275" s="45" t="s">
        <v>5873</v>
      </c>
      <c r="E275" s="45" t="s">
        <v>6583</v>
      </c>
      <c r="F275" s="157" t="s">
        <v>6584</v>
      </c>
    </row>
    <row r="276" ht="15.75" hidden="1" customHeight="1">
      <c r="A276" s="36">
        <v>5292364.0</v>
      </c>
      <c r="B276" s="156" t="s">
        <v>6585</v>
      </c>
      <c r="C276" s="46" t="s">
        <v>5808</v>
      </c>
      <c r="D276" s="46" t="s">
        <v>5809</v>
      </c>
      <c r="E276" s="46" t="s">
        <v>6586</v>
      </c>
      <c r="F276" s="156" t="s">
        <v>6587</v>
      </c>
    </row>
    <row r="277" ht="15.75" hidden="1" customHeight="1">
      <c r="A277" s="38">
        <v>5305672.0</v>
      </c>
      <c r="B277" s="157" t="s">
        <v>6588</v>
      </c>
      <c r="C277" s="45" t="s">
        <v>5982</v>
      </c>
      <c r="D277" s="45" t="s">
        <v>5809</v>
      </c>
      <c r="E277" s="45" t="s">
        <v>6589</v>
      </c>
      <c r="F277" s="157" t="s">
        <v>6590</v>
      </c>
    </row>
    <row r="278" ht="15.75" hidden="1" customHeight="1">
      <c r="A278" s="36">
        <v>4087193.0</v>
      </c>
      <c r="B278" s="156" t="s">
        <v>6591</v>
      </c>
      <c r="C278" s="46" t="s">
        <v>6592</v>
      </c>
      <c r="D278" s="46" t="s">
        <v>6292</v>
      </c>
      <c r="E278" s="46" t="s">
        <v>6593</v>
      </c>
      <c r="F278" s="156" t="s">
        <v>6594</v>
      </c>
    </row>
    <row r="279" ht="15.75" hidden="1" customHeight="1">
      <c r="A279" s="38">
        <v>2640943.0</v>
      </c>
      <c r="B279" s="157" t="s">
        <v>6595</v>
      </c>
      <c r="C279" s="45" t="s">
        <v>6596</v>
      </c>
      <c r="D279" s="45" t="s">
        <v>6563</v>
      </c>
      <c r="E279" s="45" t="s">
        <v>6597</v>
      </c>
      <c r="F279" s="157" t="s">
        <v>6598</v>
      </c>
    </row>
    <row r="280" ht="15.75" hidden="1" customHeight="1">
      <c r="A280" s="36">
        <v>5085018.0</v>
      </c>
      <c r="B280" s="156" t="s">
        <v>6599</v>
      </c>
      <c r="C280" s="46" t="s">
        <v>6600</v>
      </c>
      <c r="D280" s="46" t="s">
        <v>6292</v>
      </c>
      <c r="E280" s="46" t="s">
        <v>6601</v>
      </c>
      <c r="F280" s="156" t="s">
        <v>6602</v>
      </c>
    </row>
    <row r="281" ht="15.75" hidden="1" customHeight="1">
      <c r="A281" s="38">
        <v>4262712.0</v>
      </c>
      <c r="B281" s="157" t="s">
        <v>6603</v>
      </c>
      <c r="C281" s="45" t="s">
        <v>6604</v>
      </c>
      <c r="D281" s="45" t="s">
        <v>6605</v>
      </c>
      <c r="E281" s="45" t="s">
        <v>6606</v>
      </c>
      <c r="F281" s="157" t="s">
        <v>6607</v>
      </c>
    </row>
    <row r="282" ht="15.75" hidden="1" customHeight="1">
      <c r="A282" s="36">
        <v>3526055.0</v>
      </c>
      <c r="B282" s="156" t="s">
        <v>6608</v>
      </c>
      <c r="C282" s="46" t="s">
        <v>6609</v>
      </c>
      <c r="D282" s="46" t="s">
        <v>6610</v>
      </c>
      <c r="E282" s="46" t="s">
        <v>6611</v>
      </c>
      <c r="F282" s="156" t="s">
        <v>6612</v>
      </c>
    </row>
    <row r="283" ht="15.75" hidden="1" customHeight="1">
      <c r="A283" s="38">
        <v>4358128.0</v>
      </c>
      <c r="B283" s="157" t="s">
        <v>6613</v>
      </c>
      <c r="C283" s="45" t="s">
        <v>6614</v>
      </c>
      <c r="D283" s="45" t="s">
        <v>6292</v>
      </c>
      <c r="E283" s="45" t="s">
        <v>6615</v>
      </c>
      <c r="F283" s="157" t="s">
        <v>6616</v>
      </c>
    </row>
    <row r="284" ht="15.75" hidden="1" customHeight="1">
      <c r="A284" s="36">
        <v>3297242.0</v>
      </c>
      <c r="B284" s="156" t="s">
        <v>6617</v>
      </c>
      <c r="C284" s="46" t="s">
        <v>6091</v>
      </c>
      <c r="D284" s="46" t="s">
        <v>5856</v>
      </c>
      <c r="E284" s="46" t="s">
        <v>808</v>
      </c>
      <c r="F284" s="156" t="s">
        <v>6618</v>
      </c>
    </row>
    <row r="285" ht="15.75" hidden="1" customHeight="1">
      <c r="A285" s="38">
        <v>3450144.0</v>
      </c>
      <c r="B285" s="157" t="s">
        <v>6619</v>
      </c>
      <c r="C285" s="45" t="s">
        <v>6547</v>
      </c>
      <c r="D285" s="45" t="s">
        <v>6548</v>
      </c>
      <c r="E285" s="45" t="s">
        <v>6620</v>
      </c>
      <c r="F285" s="157" t="s">
        <v>6621</v>
      </c>
    </row>
    <row r="286" ht="15.75" hidden="1" customHeight="1">
      <c r="A286" s="36">
        <v>5358519.0</v>
      </c>
      <c r="B286" s="156" t="s">
        <v>6622</v>
      </c>
      <c r="C286" s="46" t="s">
        <v>6004</v>
      </c>
      <c r="D286" s="46" t="s">
        <v>5809</v>
      </c>
      <c r="E286" s="46" t="s">
        <v>6623</v>
      </c>
      <c r="F286" s="156" t="s">
        <v>6624</v>
      </c>
    </row>
    <row r="287" ht="15.75" hidden="1" customHeight="1">
      <c r="A287" s="38">
        <v>5363143.0</v>
      </c>
      <c r="B287" s="157" t="s">
        <v>6625</v>
      </c>
      <c r="C287" s="45" t="s">
        <v>6091</v>
      </c>
      <c r="D287" s="45" t="s">
        <v>5856</v>
      </c>
      <c r="E287" s="45" t="s">
        <v>6626</v>
      </c>
      <c r="F287" s="157" t="s">
        <v>6627</v>
      </c>
    </row>
    <row r="288" ht="15.75" hidden="1" customHeight="1">
      <c r="A288" s="36">
        <v>3516804.0</v>
      </c>
      <c r="B288" s="156" t="s">
        <v>6628</v>
      </c>
      <c r="C288" s="46" t="s">
        <v>6248</v>
      </c>
      <c r="D288" s="46" t="s">
        <v>6249</v>
      </c>
      <c r="E288" s="46" t="s">
        <v>3646</v>
      </c>
      <c r="F288" s="156" t="s">
        <v>3646</v>
      </c>
    </row>
    <row r="289" ht="15.75" hidden="1" customHeight="1">
      <c r="A289" s="38">
        <v>1734240.0</v>
      </c>
      <c r="B289" s="157" t="s">
        <v>5424</v>
      </c>
      <c r="C289" s="45" t="s">
        <v>6045</v>
      </c>
      <c r="D289" s="45" t="s">
        <v>6047</v>
      </c>
      <c r="E289" s="45" t="s">
        <v>6629</v>
      </c>
      <c r="F289" s="157" t="s">
        <v>6630</v>
      </c>
    </row>
    <row r="290" ht="15.75" hidden="1" customHeight="1">
      <c r="A290" s="36">
        <v>5383499.0</v>
      </c>
      <c r="B290" s="156" t="s">
        <v>6631</v>
      </c>
      <c r="C290" s="46" t="s">
        <v>5982</v>
      </c>
      <c r="D290" s="46" t="s">
        <v>5809</v>
      </c>
      <c r="E290" s="46" t="s">
        <v>6632</v>
      </c>
      <c r="F290" s="156" t="s">
        <v>6633</v>
      </c>
    </row>
    <row r="291" ht="15.75" hidden="1" customHeight="1">
      <c r="A291" s="38">
        <v>5414513.0</v>
      </c>
      <c r="B291" s="157" t="s">
        <v>6634</v>
      </c>
      <c r="C291" s="45" t="s">
        <v>6004</v>
      </c>
      <c r="D291" s="45" t="s">
        <v>5809</v>
      </c>
      <c r="E291" s="45" t="s">
        <v>6635</v>
      </c>
      <c r="F291" s="157" t="s">
        <v>6636</v>
      </c>
    </row>
    <row r="292" ht="15.75" hidden="1" customHeight="1">
      <c r="A292" s="36">
        <v>4121654.0</v>
      </c>
      <c r="B292" s="156" t="s">
        <v>6637</v>
      </c>
      <c r="C292" s="46" t="s">
        <v>6638</v>
      </c>
      <c r="D292" s="46" t="s">
        <v>6639</v>
      </c>
      <c r="E292" s="46" t="s">
        <v>6640</v>
      </c>
      <c r="F292" s="156" t="s">
        <v>6641</v>
      </c>
    </row>
    <row r="293" ht="15.75" hidden="1" customHeight="1">
      <c r="A293" s="38">
        <v>4720648.0</v>
      </c>
      <c r="B293" s="157" t="s">
        <v>6642</v>
      </c>
      <c r="C293" s="45" t="s">
        <v>6643</v>
      </c>
      <c r="D293" s="45" t="s">
        <v>6639</v>
      </c>
      <c r="E293" s="45" t="s">
        <v>6644</v>
      </c>
      <c r="F293" s="157" t="s">
        <v>6645</v>
      </c>
    </row>
    <row r="294" ht="15.75" hidden="1" customHeight="1">
      <c r="A294" s="36">
        <v>2717449.0</v>
      </c>
      <c r="B294" s="156" t="s">
        <v>6646</v>
      </c>
      <c r="C294" s="46" t="s">
        <v>5424</v>
      </c>
      <c r="D294" s="46" t="s">
        <v>5856</v>
      </c>
      <c r="E294" s="46" t="s">
        <v>6647</v>
      </c>
      <c r="F294" s="156" t="s">
        <v>6648</v>
      </c>
    </row>
    <row r="295" ht="15.75" hidden="1" customHeight="1">
      <c r="A295" s="38">
        <v>4313180.0</v>
      </c>
      <c r="B295" s="157" t="s">
        <v>6649</v>
      </c>
      <c r="C295" s="45" t="s">
        <v>6596</v>
      </c>
      <c r="D295" s="45" t="s">
        <v>6650</v>
      </c>
      <c r="E295" s="45" t="s">
        <v>3646</v>
      </c>
      <c r="F295" s="157" t="s">
        <v>3646</v>
      </c>
    </row>
    <row r="296" ht="15.75" hidden="1" customHeight="1">
      <c r="A296" s="36">
        <v>4180373.0</v>
      </c>
      <c r="B296" s="156" t="s">
        <v>6651</v>
      </c>
      <c r="C296" s="46" t="s">
        <v>6652</v>
      </c>
      <c r="D296" s="46" t="s">
        <v>6108</v>
      </c>
      <c r="E296" s="46" t="s">
        <v>3646</v>
      </c>
      <c r="F296" s="156" t="s">
        <v>3646</v>
      </c>
    </row>
    <row r="297" ht="15.75" hidden="1" customHeight="1">
      <c r="A297" s="38">
        <v>1326705.0</v>
      </c>
      <c r="B297" s="157" t="s">
        <v>6653</v>
      </c>
      <c r="C297" s="45" t="s">
        <v>5801</v>
      </c>
      <c r="D297" s="45" t="s">
        <v>5802</v>
      </c>
      <c r="E297" s="45" t="s">
        <v>3646</v>
      </c>
      <c r="F297" s="157" t="s">
        <v>3646</v>
      </c>
    </row>
    <row r="298" ht="15.75" hidden="1" customHeight="1">
      <c r="A298" s="36">
        <v>2970046.0</v>
      </c>
      <c r="B298" s="156" t="s">
        <v>1302</v>
      </c>
      <c r="C298" s="46" t="s">
        <v>6654</v>
      </c>
      <c r="D298" s="46" t="s">
        <v>6655</v>
      </c>
      <c r="E298" s="46" t="s">
        <v>3646</v>
      </c>
      <c r="F298" s="156" t="s">
        <v>6656</v>
      </c>
    </row>
    <row r="299" ht="15.75" hidden="1" customHeight="1">
      <c r="A299" s="38">
        <v>4988691.0</v>
      </c>
      <c r="B299" s="157" t="s">
        <v>6657</v>
      </c>
      <c r="C299" s="45" t="s">
        <v>6018</v>
      </c>
      <c r="D299" s="45" t="s">
        <v>5873</v>
      </c>
      <c r="E299" s="45" t="s">
        <v>6658</v>
      </c>
      <c r="F299" s="157" t="s">
        <v>6659</v>
      </c>
    </row>
    <row r="300" ht="15.75" hidden="1" customHeight="1">
      <c r="A300" s="36">
        <v>5235586.0</v>
      </c>
      <c r="B300" s="156" t="s">
        <v>6660</v>
      </c>
      <c r="C300" s="46" t="s">
        <v>6661</v>
      </c>
      <c r="D300" s="46" t="s">
        <v>6101</v>
      </c>
      <c r="E300" s="46" t="s">
        <v>3646</v>
      </c>
      <c r="F300" s="156" t="s">
        <v>6662</v>
      </c>
    </row>
    <row r="301" ht="15.75" hidden="1" customHeight="1">
      <c r="A301" s="38">
        <v>4635649.0</v>
      </c>
      <c r="B301" s="157" t="s">
        <v>6663</v>
      </c>
      <c r="C301" s="45" t="s">
        <v>6311</v>
      </c>
      <c r="D301" s="45" t="s">
        <v>5873</v>
      </c>
      <c r="E301" s="45" t="s">
        <v>6664</v>
      </c>
      <c r="F301" s="157" t="s">
        <v>6665</v>
      </c>
    </row>
    <row r="302" ht="15.75" hidden="1" customHeight="1">
      <c r="A302" s="36">
        <v>5537614.0</v>
      </c>
      <c r="B302" s="156" t="s">
        <v>6666</v>
      </c>
      <c r="C302" s="46" t="s">
        <v>6174</v>
      </c>
      <c r="D302" s="46" t="s">
        <v>5809</v>
      </c>
      <c r="E302" s="46" t="s">
        <v>6667</v>
      </c>
      <c r="F302" s="156" t="s">
        <v>6668</v>
      </c>
    </row>
    <row r="303" ht="15.75" customHeight="1">
      <c r="A303" s="38">
        <v>5543739.0</v>
      </c>
      <c r="B303" s="157" t="s">
        <v>6669</v>
      </c>
      <c r="C303" s="45" t="s">
        <v>5681</v>
      </c>
      <c r="D303" s="45" t="s">
        <v>5829</v>
      </c>
      <c r="E303" s="45" t="s">
        <v>6670</v>
      </c>
      <c r="F303" s="157" t="s">
        <v>6671</v>
      </c>
    </row>
    <row r="304" ht="15.75" hidden="1" customHeight="1">
      <c r="A304" s="36">
        <v>3305765.0</v>
      </c>
      <c r="B304" s="156" t="s">
        <v>6672</v>
      </c>
      <c r="C304" s="46" t="s">
        <v>6045</v>
      </c>
      <c r="D304" s="46" t="s">
        <v>6673</v>
      </c>
      <c r="E304" s="46" t="s">
        <v>6674</v>
      </c>
      <c r="F304" s="156" t="s">
        <v>6675</v>
      </c>
    </row>
    <row r="305" ht="15.75" hidden="1" customHeight="1">
      <c r="A305" s="38">
        <v>4182162.0</v>
      </c>
      <c r="B305" s="157" t="s">
        <v>4102</v>
      </c>
      <c r="C305" s="45" t="s">
        <v>5424</v>
      </c>
      <c r="D305" s="45" t="s">
        <v>6005</v>
      </c>
      <c r="E305" s="45" t="s">
        <v>6676</v>
      </c>
      <c r="F305" s="157" t="s">
        <v>6677</v>
      </c>
    </row>
    <row r="306" ht="15.75" hidden="1" customHeight="1">
      <c r="A306" s="36">
        <v>4092301.0</v>
      </c>
      <c r="B306" s="156" t="s">
        <v>6678</v>
      </c>
      <c r="C306" s="46" t="s">
        <v>6045</v>
      </c>
      <c r="D306" s="46" t="s">
        <v>6673</v>
      </c>
      <c r="E306" s="46" t="s">
        <v>6679</v>
      </c>
      <c r="F306" s="156" t="s">
        <v>6680</v>
      </c>
    </row>
    <row r="307" ht="15.75" hidden="1" customHeight="1">
      <c r="A307" s="38">
        <v>3747757.0</v>
      </c>
      <c r="B307" s="157" t="s">
        <v>6681</v>
      </c>
      <c r="C307" s="45" t="s">
        <v>5823</v>
      </c>
      <c r="D307" s="45" t="s">
        <v>5913</v>
      </c>
      <c r="E307" s="45" t="s">
        <v>3646</v>
      </c>
      <c r="F307" s="157" t="s">
        <v>3646</v>
      </c>
    </row>
    <row r="308" ht="15.75" customHeight="1">
      <c r="A308" s="36">
        <v>5572821.0</v>
      </c>
      <c r="B308" s="156" t="s">
        <v>6682</v>
      </c>
      <c r="C308" s="46" t="s">
        <v>5681</v>
      </c>
      <c r="D308" s="46" t="s">
        <v>5829</v>
      </c>
      <c r="E308" s="46" t="s">
        <v>6683</v>
      </c>
      <c r="F308" s="156" t="s">
        <v>6684</v>
      </c>
    </row>
    <row r="309" ht="15.75" hidden="1" customHeight="1">
      <c r="A309" s="38">
        <v>5096258.0</v>
      </c>
      <c r="B309" s="157" t="s">
        <v>6685</v>
      </c>
      <c r="C309" s="45" t="s">
        <v>6686</v>
      </c>
      <c r="D309" s="45" t="s">
        <v>6650</v>
      </c>
      <c r="E309" s="45" t="s">
        <v>3646</v>
      </c>
      <c r="F309" s="157" t="s">
        <v>3646</v>
      </c>
    </row>
    <row r="310" ht="15.75" hidden="1" customHeight="1">
      <c r="A310" s="36">
        <v>851996.0</v>
      </c>
      <c r="B310" s="156" t="s">
        <v>6687</v>
      </c>
      <c r="C310" s="46" t="s">
        <v>4102</v>
      </c>
      <c r="D310" s="46" t="s">
        <v>5856</v>
      </c>
      <c r="E310" s="46" t="s">
        <v>6688</v>
      </c>
      <c r="F310" s="156" t="s">
        <v>6689</v>
      </c>
    </row>
    <row r="311" ht="15.75" hidden="1" customHeight="1">
      <c r="A311" s="38">
        <v>1783545.0</v>
      </c>
      <c r="B311" s="157" t="s">
        <v>6690</v>
      </c>
      <c r="C311" s="45" t="s">
        <v>6654</v>
      </c>
      <c r="D311" s="45" t="s">
        <v>6691</v>
      </c>
      <c r="E311" s="45" t="s">
        <v>6692</v>
      </c>
      <c r="F311" s="157" t="s">
        <v>6693</v>
      </c>
    </row>
    <row r="312" ht="15.75" hidden="1" customHeight="1">
      <c r="A312" s="36">
        <v>4592783.0</v>
      </c>
      <c r="B312" s="156" t="s">
        <v>6694</v>
      </c>
      <c r="C312" s="46" t="s">
        <v>6695</v>
      </c>
      <c r="D312" s="46" t="s">
        <v>5878</v>
      </c>
      <c r="E312" s="46" t="s">
        <v>3646</v>
      </c>
      <c r="F312" s="156" t="s">
        <v>6696</v>
      </c>
    </row>
    <row r="313" ht="15.75" hidden="1" customHeight="1">
      <c r="A313" s="38">
        <v>3161628.0</v>
      </c>
      <c r="B313" s="157" t="s">
        <v>6697</v>
      </c>
      <c r="C313" s="45" t="s">
        <v>5424</v>
      </c>
      <c r="D313" s="45" t="s">
        <v>5820</v>
      </c>
      <c r="E313" s="45" t="s">
        <v>6698</v>
      </c>
      <c r="F313" s="157" t="s">
        <v>6699</v>
      </c>
    </row>
    <row r="314" ht="15.75" customHeight="1">
      <c r="A314" s="158"/>
      <c r="B314" s="158"/>
      <c r="C314" s="158"/>
      <c r="D314" s="158"/>
      <c r="E314" s="158"/>
      <c r="F314" s="158"/>
    </row>
    <row r="315" ht="15.75" customHeight="1">
      <c r="A315" s="158"/>
      <c r="B315" s="158"/>
      <c r="C315" s="158"/>
      <c r="D315" s="158"/>
      <c r="E315" s="158"/>
      <c r="F315" s="158"/>
    </row>
    <row r="316" ht="15.75" customHeight="1">
      <c r="A316" s="158"/>
      <c r="B316" s="158"/>
      <c r="C316" s="158"/>
      <c r="D316" s="158"/>
      <c r="E316" s="158"/>
      <c r="F316" s="158"/>
    </row>
    <row r="317" ht="15.75" customHeight="1">
      <c r="A317" s="158"/>
      <c r="B317" s="158"/>
      <c r="C317" s="158"/>
      <c r="D317" s="158"/>
      <c r="E317" s="158"/>
      <c r="F317" s="158"/>
    </row>
    <row r="318" ht="15.75" customHeight="1">
      <c r="A318" s="158"/>
      <c r="B318" s="158"/>
      <c r="C318" s="158"/>
      <c r="D318" s="158"/>
      <c r="E318" s="158"/>
      <c r="F318" s="158"/>
    </row>
    <row r="319" ht="15.75" customHeight="1">
      <c r="A319" s="158"/>
      <c r="B319" s="158"/>
      <c r="C319" s="158"/>
      <c r="D319" s="158"/>
      <c r="E319" s="158"/>
      <c r="F319" s="158"/>
    </row>
    <row r="320" ht="15.75" customHeight="1">
      <c r="A320" s="158"/>
      <c r="B320" s="158"/>
      <c r="C320" s="158"/>
      <c r="D320" s="158"/>
      <c r="E320" s="158"/>
      <c r="F320" s="158"/>
    </row>
    <row r="321" ht="15.75" customHeight="1">
      <c r="A321" s="158"/>
      <c r="B321" s="158"/>
      <c r="C321" s="158"/>
      <c r="D321" s="158"/>
      <c r="E321" s="158"/>
      <c r="F321" s="158"/>
    </row>
    <row r="322" ht="15.75" customHeight="1">
      <c r="A322" s="158"/>
      <c r="B322" s="158"/>
      <c r="C322" s="158"/>
      <c r="D322" s="158"/>
      <c r="E322" s="158"/>
      <c r="F322" s="158"/>
    </row>
    <row r="323" ht="15.75" customHeight="1">
      <c r="A323" s="158"/>
      <c r="B323" s="158"/>
      <c r="C323" s="158"/>
      <c r="D323" s="158"/>
      <c r="E323" s="158"/>
      <c r="F323" s="158"/>
    </row>
    <row r="324" ht="15.75" customHeight="1">
      <c r="A324" s="158"/>
      <c r="B324" s="158"/>
      <c r="C324" s="158"/>
      <c r="D324" s="158"/>
      <c r="E324" s="158"/>
      <c r="F324" s="158"/>
    </row>
    <row r="325" ht="15.75" customHeight="1">
      <c r="A325" s="158"/>
      <c r="B325" s="158"/>
      <c r="C325" s="158"/>
      <c r="D325" s="158"/>
      <c r="E325" s="158"/>
      <c r="F325" s="158"/>
    </row>
    <row r="326" ht="15.75" customHeight="1">
      <c r="A326" s="158"/>
      <c r="B326" s="158"/>
      <c r="C326" s="158"/>
      <c r="D326" s="158"/>
      <c r="E326" s="158"/>
      <c r="F326" s="158"/>
    </row>
    <row r="327" ht="15.75" customHeight="1">
      <c r="A327" s="158"/>
      <c r="B327" s="158"/>
      <c r="C327" s="158"/>
      <c r="D327" s="158"/>
      <c r="E327" s="158"/>
      <c r="F327" s="158"/>
    </row>
    <row r="328" ht="15.75" customHeight="1">
      <c r="A328" s="158"/>
      <c r="B328" s="158"/>
      <c r="C328" s="158"/>
      <c r="D328" s="158"/>
      <c r="E328" s="158"/>
      <c r="F328" s="158"/>
    </row>
    <row r="329" ht="15.75" customHeight="1">
      <c r="A329" s="158"/>
      <c r="B329" s="158"/>
      <c r="C329" s="158"/>
      <c r="D329" s="158"/>
      <c r="E329" s="158"/>
      <c r="F329" s="158"/>
    </row>
    <row r="330" ht="15.75" customHeight="1">
      <c r="A330" s="158"/>
      <c r="B330" s="158"/>
      <c r="C330" s="158"/>
      <c r="D330" s="158"/>
      <c r="E330" s="158"/>
      <c r="F330" s="158"/>
    </row>
    <row r="331" ht="15.75" customHeight="1">
      <c r="A331" s="158"/>
      <c r="B331" s="158"/>
      <c r="C331" s="158"/>
      <c r="D331" s="158"/>
      <c r="E331" s="158"/>
      <c r="F331" s="158"/>
    </row>
    <row r="332" ht="15.75" customHeight="1">
      <c r="A332" s="158"/>
      <c r="B332" s="158"/>
      <c r="C332" s="158"/>
      <c r="D332" s="158"/>
      <c r="E332" s="158"/>
      <c r="F332" s="158"/>
    </row>
    <row r="333" ht="15.75" customHeight="1">
      <c r="A333" s="158"/>
      <c r="B333" s="158"/>
      <c r="C333" s="158"/>
      <c r="D333" s="158"/>
      <c r="E333" s="158"/>
      <c r="F333" s="158"/>
    </row>
    <row r="334" ht="15.75" customHeight="1">
      <c r="A334" s="158"/>
      <c r="B334" s="158"/>
      <c r="C334" s="158"/>
      <c r="D334" s="158"/>
      <c r="E334" s="158"/>
      <c r="F334" s="158"/>
    </row>
    <row r="335" ht="15.75" customHeight="1">
      <c r="A335" s="158"/>
      <c r="B335" s="158"/>
      <c r="C335" s="158"/>
      <c r="D335" s="158"/>
      <c r="E335" s="158"/>
      <c r="F335" s="158"/>
    </row>
    <row r="336" ht="15.75" customHeight="1">
      <c r="A336" s="158"/>
      <c r="B336" s="158"/>
      <c r="C336" s="158"/>
      <c r="D336" s="158"/>
      <c r="E336" s="158"/>
      <c r="F336" s="158"/>
    </row>
    <row r="337" ht="15.75" customHeight="1">
      <c r="A337" s="158"/>
      <c r="B337" s="158"/>
      <c r="C337" s="158"/>
      <c r="D337" s="158"/>
      <c r="E337" s="158"/>
      <c r="F337" s="158"/>
    </row>
    <row r="338" ht="15.75" customHeight="1">
      <c r="A338" s="158"/>
      <c r="B338" s="158"/>
      <c r="C338" s="158"/>
      <c r="D338" s="158"/>
      <c r="E338" s="158"/>
      <c r="F338" s="158"/>
    </row>
    <row r="339" ht="15.75" customHeight="1">
      <c r="A339" s="158"/>
      <c r="B339" s="158"/>
      <c r="C339" s="158"/>
      <c r="D339" s="158"/>
      <c r="E339" s="158"/>
      <c r="F339" s="158"/>
    </row>
    <row r="340" ht="15.75" customHeight="1">
      <c r="A340" s="158"/>
      <c r="B340" s="158"/>
      <c r="C340" s="158"/>
      <c r="D340" s="158"/>
      <c r="E340" s="158"/>
      <c r="F340" s="158"/>
    </row>
    <row r="341" ht="15.75" customHeight="1">
      <c r="A341" s="158"/>
      <c r="B341" s="158"/>
      <c r="C341" s="158"/>
      <c r="D341" s="158"/>
      <c r="E341" s="158"/>
      <c r="F341" s="158"/>
    </row>
    <row r="342" ht="15.75" customHeight="1">
      <c r="A342" s="158"/>
      <c r="B342" s="158"/>
      <c r="C342" s="158"/>
      <c r="D342" s="158"/>
      <c r="E342" s="158"/>
      <c r="F342" s="158"/>
    </row>
    <row r="343" ht="15.75" customHeight="1">
      <c r="A343" s="158"/>
      <c r="B343" s="158"/>
      <c r="C343" s="158"/>
      <c r="D343" s="158"/>
      <c r="E343" s="158"/>
      <c r="F343" s="158"/>
    </row>
    <row r="344" ht="15.75" customHeight="1">
      <c r="A344" s="158"/>
      <c r="B344" s="158"/>
      <c r="C344" s="158"/>
      <c r="D344" s="158"/>
      <c r="E344" s="158"/>
      <c r="F344" s="158"/>
    </row>
    <row r="345" ht="15.75" customHeight="1">
      <c r="A345" s="158"/>
      <c r="B345" s="158"/>
      <c r="C345" s="158"/>
      <c r="D345" s="158"/>
      <c r="E345" s="158"/>
      <c r="F345" s="158"/>
    </row>
    <row r="346" ht="15.75" customHeight="1">
      <c r="A346" s="158"/>
      <c r="B346" s="158"/>
      <c r="C346" s="158"/>
      <c r="D346" s="158"/>
      <c r="E346" s="158"/>
      <c r="F346" s="158"/>
    </row>
    <row r="347" ht="15.75" customHeight="1">
      <c r="A347" s="158"/>
      <c r="B347" s="158"/>
      <c r="C347" s="158"/>
      <c r="D347" s="158"/>
      <c r="E347" s="158"/>
      <c r="F347" s="158"/>
    </row>
    <row r="348" ht="15.75" customHeight="1">
      <c r="A348" s="158"/>
      <c r="B348" s="158"/>
      <c r="C348" s="158"/>
      <c r="D348" s="158"/>
      <c r="E348" s="158"/>
      <c r="F348" s="158"/>
    </row>
    <row r="349" ht="15.75" customHeight="1">
      <c r="A349" s="158"/>
      <c r="B349" s="158"/>
      <c r="C349" s="158"/>
      <c r="D349" s="158"/>
      <c r="E349" s="158"/>
      <c r="F349" s="158"/>
    </row>
    <row r="350" ht="15.75" customHeight="1">
      <c r="A350" s="158"/>
      <c r="B350" s="158"/>
      <c r="C350" s="158"/>
      <c r="D350" s="158"/>
      <c r="E350" s="158"/>
      <c r="F350" s="158"/>
    </row>
    <row r="351" ht="15.75" customHeight="1">
      <c r="A351" s="158"/>
      <c r="B351" s="158"/>
      <c r="C351" s="158"/>
      <c r="D351" s="158"/>
      <c r="E351" s="158"/>
      <c r="F351" s="158"/>
    </row>
    <row r="352" ht="15.75" customHeight="1">
      <c r="A352" s="158"/>
      <c r="B352" s="158"/>
      <c r="C352" s="158"/>
      <c r="D352" s="158"/>
      <c r="E352" s="158"/>
      <c r="F352" s="158"/>
    </row>
    <row r="353" ht="15.75" customHeight="1">
      <c r="A353" s="158"/>
      <c r="B353" s="158"/>
      <c r="C353" s="158"/>
      <c r="D353" s="158"/>
      <c r="E353" s="158"/>
      <c r="F353" s="158"/>
    </row>
    <row r="354" ht="15.75" customHeight="1">
      <c r="A354" s="158"/>
      <c r="B354" s="158"/>
      <c r="C354" s="158"/>
      <c r="D354" s="158"/>
      <c r="E354" s="158"/>
      <c r="F354" s="158"/>
    </row>
    <row r="355" ht="15.75" customHeight="1">
      <c r="A355" s="158"/>
      <c r="B355" s="158"/>
      <c r="C355" s="158"/>
      <c r="D355" s="158"/>
      <c r="E355" s="158"/>
      <c r="F355" s="158"/>
    </row>
    <row r="356" ht="15.75" customHeight="1">
      <c r="A356" s="158"/>
      <c r="B356" s="158"/>
      <c r="C356" s="158"/>
      <c r="D356" s="158"/>
      <c r="E356" s="158"/>
      <c r="F356" s="158"/>
    </row>
    <row r="357" ht="15.75" customHeight="1">
      <c r="A357" s="158"/>
      <c r="B357" s="158"/>
      <c r="C357" s="158"/>
      <c r="D357" s="158"/>
      <c r="E357" s="158"/>
      <c r="F357" s="158"/>
    </row>
    <row r="358" ht="15.75" customHeight="1">
      <c r="A358" s="158"/>
      <c r="B358" s="158"/>
      <c r="C358" s="158"/>
      <c r="D358" s="158"/>
      <c r="E358" s="158"/>
      <c r="F358" s="158"/>
    </row>
    <row r="359" ht="15.75" customHeight="1">
      <c r="A359" s="158"/>
      <c r="B359" s="158"/>
      <c r="C359" s="158"/>
      <c r="D359" s="158"/>
      <c r="E359" s="158"/>
      <c r="F359" s="158"/>
    </row>
    <row r="360" ht="15.75" customHeight="1">
      <c r="A360" s="158"/>
      <c r="B360" s="158"/>
      <c r="C360" s="158"/>
      <c r="D360" s="158"/>
      <c r="E360" s="158"/>
      <c r="F360" s="158"/>
    </row>
    <row r="361" ht="15.75" customHeight="1">
      <c r="A361" s="158"/>
      <c r="B361" s="158"/>
      <c r="C361" s="158"/>
      <c r="D361" s="158"/>
      <c r="E361" s="158"/>
      <c r="F361" s="158"/>
    </row>
    <row r="362" ht="15.75" customHeight="1">
      <c r="A362" s="158"/>
      <c r="B362" s="158"/>
      <c r="C362" s="158"/>
      <c r="D362" s="158"/>
      <c r="E362" s="158"/>
      <c r="F362" s="158"/>
    </row>
    <row r="363" ht="15.75" customHeight="1">
      <c r="A363" s="158"/>
      <c r="B363" s="158"/>
      <c r="C363" s="158"/>
      <c r="D363" s="158"/>
      <c r="E363" s="158"/>
      <c r="F363" s="158"/>
    </row>
    <row r="364" ht="15.75" customHeight="1">
      <c r="A364" s="158"/>
      <c r="B364" s="158"/>
      <c r="C364" s="158"/>
      <c r="D364" s="158"/>
      <c r="E364" s="158"/>
      <c r="F364" s="158"/>
    </row>
    <row r="365" ht="15.75" customHeight="1">
      <c r="A365" s="158"/>
      <c r="B365" s="158"/>
      <c r="C365" s="158"/>
      <c r="D365" s="158"/>
      <c r="E365" s="158"/>
      <c r="F365" s="158"/>
    </row>
    <row r="366" ht="15.75" customHeight="1">
      <c r="A366" s="158"/>
      <c r="B366" s="158"/>
      <c r="C366" s="158"/>
      <c r="D366" s="158"/>
      <c r="E366" s="158"/>
      <c r="F366" s="158"/>
    </row>
    <row r="367" ht="15.75" customHeight="1">
      <c r="A367" s="158"/>
      <c r="B367" s="158"/>
      <c r="C367" s="158"/>
      <c r="D367" s="158"/>
      <c r="E367" s="158"/>
      <c r="F367" s="158"/>
    </row>
    <row r="368" ht="15.75" customHeight="1">
      <c r="A368" s="158"/>
      <c r="B368" s="158"/>
      <c r="C368" s="158"/>
      <c r="D368" s="158"/>
      <c r="E368" s="158"/>
      <c r="F368" s="158"/>
    </row>
    <row r="369" ht="15.75" customHeight="1">
      <c r="A369" s="158"/>
      <c r="B369" s="158"/>
      <c r="C369" s="158"/>
      <c r="D369" s="158"/>
      <c r="E369" s="158"/>
      <c r="F369" s="158"/>
    </row>
    <row r="370" ht="15.75" customHeight="1">
      <c r="A370" s="158"/>
      <c r="B370" s="158"/>
      <c r="C370" s="158"/>
      <c r="D370" s="158"/>
      <c r="E370" s="158"/>
      <c r="F370" s="158"/>
    </row>
    <row r="371" ht="15.75" customHeight="1">
      <c r="A371" s="158"/>
      <c r="B371" s="158"/>
      <c r="C371" s="158"/>
      <c r="D371" s="158"/>
      <c r="E371" s="158"/>
      <c r="F371" s="158"/>
    </row>
    <row r="372" ht="15.75" customHeight="1">
      <c r="A372" s="158"/>
      <c r="B372" s="158"/>
      <c r="C372" s="158"/>
      <c r="D372" s="158"/>
      <c r="E372" s="158"/>
      <c r="F372" s="158"/>
    </row>
    <row r="373" ht="15.75" customHeight="1">
      <c r="A373" s="158"/>
      <c r="B373" s="158"/>
      <c r="C373" s="158"/>
      <c r="D373" s="158"/>
      <c r="E373" s="158"/>
      <c r="F373" s="158"/>
    </row>
    <row r="374" ht="15.75" customHeight="1">
      <c r="A374" s="158"/>
      <c r="B374" s="158"/>
      <c r="C374" s="158"/>
      <c r="D374" s="158"/>
      <c r="E374" s="158"/>
      <c r="F374" s="158"/>
    </row>
    <row r="375" ht="15.75" customHeight="1">
      <c r="A375" s="158"/>
      <c r="B375" s="158"/>
      <c r="C375" s="158"/>
      <c r="D375" s="158"/>
      <c r="E375" s="158"/>
      <c r="F375" s="158"/>
    </row>
    <row r="376" ht="15.75" customHeight="1">
      <c r="A376" s="158"/>
      <c r="B376" s="158"/>
      <c r="C376" s="158"/>
      <c r="D376" s="158"/>
      <c r="E376" s="158"/>
      <c r="F376" s="158"/>
    </row>
    <row r="377" ht="15.75" customHeight="1">
      <c r="A377" s="158"/>
      <c r="B377" s="158"/>
      <c r="C377" s="158"/>
      <c r="D377" s="158"/>
      <c r="E377" s="158"/>
      <c r="F377" s="158"/>
    </row>
    <row r="378" ht="15.75" customHeight="1">
      <c r="A378" s="158"/>
      <c r="B378" s="158"/>
      <c r="C378" s="158"/>
      <c r="D378" s="158"/>
      <c r="E378" s="158"/>
      <c r="F378" s="158"/>
    </row>
    <row r="379" ht="15.75" customHeight="1">
      <c r="A379" s="158"/>
      <c r="B379" s="158"/>
      <c r="C379" s="158"/>
      <c r="D379" s="158"/>
      <c r="E379" s="158"/>
      <c r="F379" s="158"/>
    </row>
    <row r="380" ht="15.75" customHeight="1">
      <c r="A380" s="158"/>
      <c r="B380" s="158"/>
      <c r="C380" s="158"/>
      <c r="D380" s="158"/>
      <c r="E380" s="158"/>
      <c r="F380" s="158"/>
    </row>
    <row r="381" ht="15.75" customHeight="1">
      <c r="A381" s="158"/>
      <c r="B381" s="158"/>
      <c r="C381" s="158"/>
      <c r="D381" s="158"/>
      <c r="E381" s="158"/>
      <c r="F381" s="158"/>
    </row>
    <row r="382" ht="15.75" customHeight="1">
      <c r="A382" s="158"/>
      <c r="B382" s="158"/>
      <c r="C382" s="158"/>
      <c r="D382" s="158"/>
      <c r="E382" s="158"/>
      <c r="F382" s="158"/>
    </row>
    <row r="383" ht="15.75" customHeight="1">
      <c r="A383" s="158"/>
      <c r="B383" s="158"/>
      <c r="C383" s="158"/>
      <c r="D383" s="158"/>
      <c r="E383" s="158"/>
      <c r="F383" s="158"/>
    </row>
    <row r="384" ht="15.75" customHeight="1">
      <c r="A384" s="158"/>
      <c r="B384" s="158"/>
      <c r="C384" s="158"/>
      <c r="D384" s="158"/>
      <c r="E384" s="158"/>
      <c r="F384" s="158"/>
    </row>
    <row r="385" ht="15.75" customHeight="1">
      <c r="A385" s="158"/>
      <c r="B385" s="158"/>
      <c r="C385" s="158"/>
      <c r="D385" s="158"/>
      <c r="E385" s="158"/>
      <c r="F385" s="158"/>
    </row>
    <row r="386" ht="15.75" customHeight="1">
      <c r="A386" s="158"/>
      <c r="B386" s="158"/>
      <c r="C386" s="158"/>
      <c r="D386" s="158"/>
      <c r="E386" s="158"/>
      <c r="F386" s="158"/>
    </row>
    <row r="387" ht="15.75" customHeight="1">
      <c r="A387" s="158"/>
      <c r="B387" s="158"/>
      <c r="C387" s="158"/>
      <c r="D387" s="158"/>
      <c r="E387" s="158"/>
      <c r="F387" s="158"/>
    </row>
    <row r="388" ht="15.75" customHeight="1">
      <c r="A388" s="158"/>
      <c r="B388" s="158"/>
      <c r="C388" s="158"/>
      <c r="D388" s="158"/>
      <c r="E388" s="158"/>
      <c r="F388" s="158"/>
    </row>
    <row r="389" ht="15.75" customHeight="1">
      <c r="A389" s="158"/>
      <c r="B389" s="158"/>
      <c r="C389" s="158"/>
      <c r="D389" s="158"/>
      <c r="E389" s="158"/>
      <c r="F389" s="158"/>
    </row>
    <row r="390" ht="15.75" customHeight="1">
      <c r="A390" s="158"/>
      <c r="B390" s="158"/>
      <c r="C390" s="158"/>
      <c r="D390" s="158"/>
      <c r="E390" s="158"/>
      <c r="F390" s="158"/>
    </row>
    <row r="391" ht="15.75" customHeight="1">
      <c r="A391" s="158"/>
      <c r="B391" s="158"/>
      <c r="C391" s="158"/>
      <c r="D391" s="158"/>
      <c r="E391" s="158"/>
      <c r="F391" s="158"/>
    </row>
    <row r="392" ht="15.75" customHeight="1">
      <c r="A392" s="158"/>
      <c r="B392" s="158"/>
      <c r="C392" s="158"/>
      <c r="D392" s="158"/>
      <c r="E392" s="158"/>
      <c r="F392" s="158"/>
    </row>
    <row r="393" ht="15.75" customHeight="1">
      <c r="A393" s="158"/>
      <c r="B393" s="158"/>
      <c r="C393" s="158"/>
      <c r="D393" s="158"/>
      <c r="E393" s="158"/>
      <c r="F393" s="158"/>
    </row>
    <row r="394" ht="15.75" customHeight="1">
      <c r="A394" s="158"/>
      <c r="B394" s="158"/>
      <c r="C394" s="158"/>
      <c r="D394" s="158"/>
      <c r="E394" s="158"/>
      <c r="F394" s="158"/>
    </row>
    <row r="395" ht="15.75" customHeight="1">
      <c r="A395" s="158"/>
      <c r="B395" s="158"/>
      <c r="C395" s="158"/>
      <c r="D395" s="158"/>
      <c r="E395" s="158"/>
      <c r="F395" s="158"/>
    </row>
    <row r="396" ht="15.75" customHeight="1">
      <c r="A396" s="158"/>
      <c r="B396" s="158"/>
      <c r="C396" s="158"/>
      <c r="D396" s="158"/>
      <c r="E396" s="158"/>
      <c r="F396" s="158"/>
    </row>
    <row r="397" ht="15.75" customHeight="1">
      <c r="A397" s="158"/>
      <c r="B397" s="158"/>
      <c r="C397" s="158"/>
      <c r="D397" s="158"/>
      <c r="E397" s="158"/>
      <c r="F397" s="158"/>
    </row>
    <row r="398" ht="15.75" customHeight="1">
      <c r="A398" s="158"/>
      <c r="B398" s="158"/>
      <c r="C398" s="158"/>
      <c r="D398" s="158"/>
      <c r="E398" s="158"/>
      <c r="F398" s="158"/>
    </row>
    <row r="399" ht="15.75" customHeight="1">
      <c r="A399" s="158"/>
      <c r="B399" s="158"/>
      <c r="C399" s="158"/>
      <c r="D399" s="158"/>
      <c r="E399" s="158"/>
      <c r="F399" s="158"/>
    </row>
    <row r="400" ht="15.75" customHeight="1">
      <c r="A400" s="158"/>
      <c r="B400" s="158"/>
      <c r="C400" s="158"/>
      <c r="D400" s="158"/>
      <c r="E400" s="158"/>
      <c r="F400" s="158"/>
    </row>
    <row r="401" ht="15.75" customHeight="1">
      <c r="A401" s="158"/>
      <c r="B401" s="158"/>
      <c r="C401" s="158"/>
      <c r="D401" s="158"/>
      <c r="E401" s="158"/>
      <c r="F401" s="158"/>
    </row>
    <row r="402" ht="15.75" customHeight="1">
      <c r="A402" s="158"/>
      <c r="B402" s="158"/>
      <c r="C402" s="158"/>
      <c r="D402" s="158"/>
      <c r="E402" s="158"/>
      <c r="F402" s="158"/>
    </row>
    <row r="403" ht="15.75" customHeight="1">
      <c r="A403" s="158"/>
      <c r="B403" s="158"/>
      <c r="C403" s="158"/>
      <c r="D403" s="158"/>
      <c r="E403" s="158"/>
      <c r="F403" s="158"/>
    </row>
    <row r="404" ht="15.75" customHeight="1">
      <c r="A404" s="158"/>
      <c r="B404" s="158"/>
      <c r="C404" s="158"/>
      <c r="D404" s="158"/>
      <c r="E404" s="158"/>
      <c r="F404" s="158"/>
    </row>
    <row r="405" ht="15.75" customHeight="1">
      <c r="A405" s="158"/>
      <c r="B405" s="158"/>
      <c r="C405" s="158"/>
      <c r="D405" s="158"/>
      <c r="E405" s="158"/>
      <c r="F405" s="158"/>
    </row>
    <row r="406" ht="15.75" customHeight="1">
      <c r="A406" s="158"/>
      <c r="B406" s="158"/>
      <c r="C406" s="158"/>
      <c r="D406" s="158"/>
      <c r="E406" s="158"/>
      <c r="F406" s="158"/>
    </row>
    <row r="407" ht="15.75" customHeight="1">
      <c r="A407" s="158"/>
      <c r="B407" s="158"/>
      <c r="C407" s="158"/>
      <c r="D407" s="158"/>
      <c r="E407" s="158"/>
      <c r="F407" s="158"/>
    </row>
    <row r="408" ht="15.75" customHeight="1">
      <c r="A408" s="158"/>
      <c r="B408" s="158"/>
      <c r="C408" s="158"/>
      <c r="D408" s="158"/>
      <c r="E408" s="158"/>
      <c r="F408" s="158"/>
    </row>
    <row r="409" ht="15.75" customHeight="1">
      <c r="A409" s="158"/>
      <c r="B409" s="158"/>
      <c r="C409" s="158"/>
      <c r="D409" s="158"/>
      <c r="E409" s="158"/>
      <c r="F409" s="158"/>
    </row>
    <row r="410" ht="15.75" customHeight="1">
      <c r="A410" s="158"/>
      <c r="B410" s="158"/>
      <c r="C410" s="158"/>
      <c r="D410" s="158"/>
      <c r="E410" s="158"/>
      <c r="F410" s="158"/>
    </row>
    <row r="411" ht="15.75" customHeight="1">
      <c r="A411" s="158"/>
      <c r="B411" s="158"/>
      <c r="C411" s="158"/>
      <c r="D411" s="158"/>
      <c r="E411" s="158"/>
      <c r="F411" s="158"/>
    </row>
    <row r="412" ht="15.75" customHeight="1">
      <c r="A412" s="158"/>
      <c r="B412" s="158"/>
      <c r="C412" s="158"/>
      <c r="D412" s="158"/>
      <c r="E412" s="158"/>
      <c r="F412" s="158"/>
    </row>
    <row r="413" ht="15.75" customHeight="1">
      <c r="A413" s="158"/>
      <c r="B413" s="158"/>
      <c r="C413" s="158"/>
      <c r="D413" s="158"/>
      <c r="E413" s="158"/>
      <c r="F413" s="158"/>
    </row>
    <row r="414" ht="15.75" customHeight="1">
      <c r="A414" s="158"/>
      <c r="B414" s="158"/>
      <c r="C414" s="158"/>
      <c r="D414" s="158"/>
      <c r="E414" s="158"/>
      <c r="F414" s="158"/>
    </row>
    <row r="415" ht="15.75" customHeight="1">
      <c r="A415" s="158"/>
      <c r="B415" s="158"/>
      <c r="C415" s="158"/>
      <c r="D415" s="158"/>
      <c r="E415" s="158"/>
      <c r="F415" s="158"/>
    </row>
    <row r="416" ht="15.75" customHeight="1">
      <c r="A416" s="158"/>
      <c r="B416" s="158"/>
      <c r="C416" s="158"/>
      <c r="D416" s="158"/>
      <c r="E416" s="158"/>
      <c r="F416" s="158"/>
    </row>
    <row r="417" ht="15.75" customHeight="1">
      <c r="A417" s="158"/>
      <c r="B417" s="158"/>
      <c r="C417" s="158"/>
      <c r="D417" s="158"/>
      <c r="E417" s="158"/>
      <c r="F417" s="158"/>
    </row>
    <row r="418" ht="15.75" customHeight="1">
      <c r="A418" s="158"/>
      <c r="B418" s="158"/>
      <c r="C418" s="158"/>
      <c r="D418" s="158"/>
      <c r="E418" s="158"/>
      <c r="F418" s="158"/>
    </row>
    <row r="419" ht="15.75" customHeight="1">
      <c r="A419" s="158"/>
      <c r="B419" s="158"/>
      <c r="C419" s="158"/>
      <c r="D419" s="158"/>
      <c r="E419" s="158"/>
      <c r="F419" s="158"/>
    </row>
    <row r="420" ht="15.75" customHeight="1">
      <c r="A420" s="158"/>
      <c r="B420" s="158"/>
      <c r="C420" s="158"/>
      <c r="D420" s="158"/>
      <c r="E420" s="158"/>
      <c r="F420" s="158"/>
    </row>
    <row r="421" ht="15.75" customHeight="1">
      <c r="A421" s="158"/>
      <c r="B421" s="158"/>
      <c r="C421" s="158"/>
      <c r="D421" s="158"/>
      <c r="E421" s="158"/>
      <c r="F421" s="158"/>
    </row>
    <row r="422" ht="15.75" customHeight="1">
      <c r="A422" s="158"/>
      <c r="B422" s="158"/>
      <c r="C422" s="158"/>
      <c r="D422" s="158"/>
      <c r="E422" s="158"/>
      <c r="F422" s="158"/>
    </row>
    <row r="423" ht="15.75" customHeight="1">
      <c r="A423" s="158"/>
      <c r="B423" s="158"/>
      <c r="C423" s="158"/>
      <c r="D423" s="158"/>
      <c r="E423" s="158"/>
      <c r="F423" s="158"/>
    </row>
    <row r="424" ht="15.75" customHeight="1">
      <c r="A424" s="158"/>
      <c r="B424" s="158"/>
      <c r="C424" s="158"/>
      <c r="D424" s="158"/>
      <c r="E424" s="158"/>
      <c r="F424" s="158"/>
    </row>
    <row r="425" ht="15.75" customHeight="1">
      <c r="A425" s="158"/>
      <c r="B425" s="158"/>
      <c r="C425" s="158"/>
      <c r="D425" s="158"/>
      <c r="E425" s="158"/>
      <c r="F425" s="158"/>
    </row>
    <row r="426" ht="15.75" customHeight="1">
      <c r="A426" s="158"/>
      <c r="B426" s="158"/>
      <c r="C426" s="158"/>
      <c r="D426" s="158"/>
      <c r="E426" s="158"/>
      <c r="F426" s="158"/>
    </row>
    <row r="427" ht="15.75" customHeight="1">
      <c r="A427" s="158"/>
      <c r="B427" s="158"/>
      <c r="C427" s="158"/>
      <c r="D427" s="158"/>
      <c r="E427" s="158"/>
      <c r="F427" s="158"/>
    </row>
    <row r="428" ht="15.75" customHeight="1">
      <c r="A428" s="158"/>
      <c r="B428" s="158"/>
      <c r="C428" s="158"/>
      <c r="D428" s="158"/>
      <c r="E428" s="158"/>
      <c r="F428" s="158"/>
    </row>
    <row r="429" ht="15.75" customHeight="1">
      <c r="A429" s="158"/>
      <c r="B429" s="158"/>
      <c r="C429" s="158"/>
      <c r="D429" s="158"/>
      <c r="E429" s="158"/>
      <c r="F429" s="158"/>
    </row>
    <row r="430" ht="15.75" customHeight="1">
      <c r="A430" s="158"/>
      <c r="B430" s="158"/>
      <c r="C430" s="158"/>
      <c r="D430" s="158"/>
      <c r="E430" s="158"/>
      <c r="F430" s="158"/>
    </row>
    <row r="431" ht="15.75" customHeight="1">
      <c r="A431" s="158"/>
      <c r="B431" s="158"/>
      <c r="C431" s="158"/>
      <c r="D431" s="158"/>
      <c r="E431" s="158"/>
      <c r="F431" s="158"/>
    </row>
    <row r="432" ht="15.75" customHeight="1">
      <c r="A432" s="158"/>
      <c r="B432" s="158"/>
      <c r="C432" s="158"/>
      <c r="D432" s="158"/>
      <c r="E432" s="158"/>
      <c r="F432" s="158"/>
    </row>
    <row r="433" ht="15.75" customHeight="1">
      <c r="A433" s="158"/>
      <c r="B433" s="158"/>
      <c r="C433" s="158"/>
      <c r="D433" s="158"/>
      <c r="E433" s="158"/>
      <c r="F433" s="158"/>
    </row>
    <row r="434" ht="15.75" customHeight="1">
      <c r="A434" s="158"/>
      <c r="B434" s="158"/>
      <c r="C434" s="158"/>
      <c r="D434" s="158"/>
      <c r="E434" s="158"/>
      <c r="F434" s="158"/>
    </row>
    <row r="435" ht="15.75" customHeight="1">
      <c r="A435" s="158"/>
      <c r="B435" s="158"/>
      <c r="C435" s="158"/>
      <c r="D435" s="158"/>
      <c r="E435" s="158"/>
      <c r="F435" s="158"/>
    </row>
    <row r="436" ht="15.75" customHeight="1">
      <c r="A436" s="158"/>
      <c r="B436" s="158"/>
      <c r="C436" s="158"/>
      <c r="D436" s="158"/>
      <c r="E436" s="158"/>
      <c r="F436" s="158"/>
    </row>
    <row r="437" ht="15.75" customHeight="1">
      <c r="A437" s="158"/>
      <c r="B437" s="158"/>
      <c r="C437" s="158"/>
      <c r="D437" s="158"/>
      <c r="E437" s="158"/>
      <c r="F437" s="158"/>
    </row>
    <row r="438" ht="15.75" customHeight="1">
      <c r="A438" s="158"/>
      <c r="B438" s="158"/>
      <c r="C438" s="158"/>
      <c r="D438" s="158"/>
      <c r="E438" s="158"/>
      <c r="F438" s="158"/>
    </row>
    <row r="439" ht="15.75" customHeight="1">
      <c r="A439" s="158"/>
      <c r="B439" s="158"/>
      <c r="C439" s="158"/>
      <c r="D439" s="158"/>
      <c r="E439" s="158"/>
      <c r="F439" s="158"/>
    </row>
    <row r="440" ht="15.75" customHeight="1">
      <c r="A440" s="158"/>
      <c r="B440" s="158"/>
      <c r="C440" s="158"/>
      <c r="D440" s="158"/>
      <c r="E440" s="158"/>
      <c r="F440" s="158"/>
    </row>
    <row r="441" ht="15.75" customHeight="1">
      <c r="A441" s="158"/>
      <c r="B441" s="158"/>
      <c r="C441" s="158"/>
      <c r="D441" s="158"/>
      <c r="E441" s="158"/>
      <c r="F441" s="158"/>
    </row>
    <row r="442" ht="15.75" customHeight="1">
      <c r="A442" s="158"/>
      <c r="B442" s="158"/>
      <c r="C442" s="158"/>
      <c r="D442" s="158"/>
      <c r="E442" s="158"/>
      <c r="F442" s="158"/>
    </row>
    <row r="443" ht="15.75" customHeight="1">
      <c r="A443" s="158"/>
      <c r="B443" s="158"/>
      <c r="C443" s="158"/>
      <c r="D443" s="158"/>
      <c r="E443" s="158"/>
      <c r="F443" s="158"/>
    </row>
    <row r="444" ht="15.75" customHeight="1">
      <c r="A444" s="158"/>
      <c r="B444" s="158"/>
      <c r="C444" s="158"/>
      <c r="D444" s="158"/>
      <c r="E444" s="158"/>
      <c r="F444" s="158"/>
    </row>
    <row r="445" ht="15.75" customHeight="1">
      <c r="A445" s="158"/>
      <c r="B445" s="158"/>
      <c r="C445" s="158"/>
      <c r="D445" s="158"/>
      <c r="E445" s="158"/>
      <c r="F445" s="158"/>
    </row>
    <row r="446" ht="15.75" customHeight="1">
      <c r="A446" s="158"/>
      <c r="B446" s="158"/>
      <c r="C446" s="158"/>
      <c r="D446" s="158"/>
      <c r="E446" s="158"/>
      <c r="F446" s="158"/>
    </row>
    <row r="447" ht="15.75" customHeight="1">
      <c r="A447" s="158"/>
      <c r="B447" s="158"/>
      <c r="C447" s="158"/>
      <c r="D447" s="158"/>
      <c r="E447" s="158"/>
      <c r="F447" s="158"/>
    </row>
    <row r="448" ht="15.75" customHeight="1">
      <c r="A448" s="158"/>
      <c r="B448" s="158"/>
      <c r="C448" s="158"/>
      <c r="D448" s="158"/>
      <c r="E448" s="158"/>
      <c r="F448" s="158"/>
    </row>
    <row r="449" ht="15.75" customHeight="1">
      <c r="A449" s="158"/>
      <c r="B449" s="158"/>
      <c r="C449" s="158"/>
      <c r="D449" s="158"/>
      <c r="E449" s="158"/>
      <c r="F449" s="158"/>
    </row>
    <row r="450" ht="15.75" customHeight="1">
      <c r="A450" s="158"/>
      <c r="B450" s="158"/>
      <c r="C450" s="158"/>
      <c r="D450" s="158"/>
      <c r="E450" s="158"/>
      <c r="F450" s="158"/>
    </row>
    <row r="451" ht="15.75" customHeight="1">
      <c r="A451" s="158"/>
      <c r="B451" s="158"/>
      <c r="C451" s="158"/>
      <c r="D451" s="158"/>
      <c r="E451" s="158"/>
      <c r="F451" s="158"/>
    </row>
    <row r="452" ht="15.75" customHeight="1">
      <c r="A452" s="158"/>
      <c r="B452" s="158"/>
      <c r="C452" s="158"/>
      <c r="D452" s="158"/>
      <c r="E452" s="158"/>
      <c r="F452" s="158"/>
    </row>
    <row r="453" ht="15.75" customHeight="1">
      <c r="A453" s="158"/>
      <c r="B453" s="158"/>
      <c r="C453" s="158"/>
      <c r="D453" s="158"/>
      <c r="E453" s="158"/>
      <c r="F453" s="158"/>
    </row>
    <row r="454" ht="15.75" customHeight="1">
      <c r="A454" s="158"/>
      <c r="B454" s="158"/>
      <c r="C454" s="158"/>
      <c r="D454" s="158"/>
      <c r="E454" s="158"/>
      <c r="F454" s="158"/>
    </row>
    <row r="455" ht="15.75" customHeight="1">
      <c r="A455" s="158"/>
      <c r="B455" s="158"/>
      <c r="C455" s="158"/>
      <c r="D455" s="158"/>
      <c r="E455" s="158"/>
      <c r="F455" s="158"/>
    </row>
    <row r="456" ht="15.75" customHeight="1">
      <c r="A456" s="158"/>
      <c r="B456" s="158"/>
      <c r="C456" s="158"/>
      <c r="D456" s="158"/>
      <c r="E456" s="158"/>
      <c r="F456" s="158"/>
    </row>
    <row r="457" ht="15.75" customHeight="1">
      <c r="A457" s="158"/>
      <c r="B457" s="158"/>
      <c r="C457" s="158"/>
      <c r="D457" s="158"/>
      <c r="E457" s="158"/>
      <c r="F457" s="158"/>
    </row>
    <row r="458" ht="15.75" customHeight="1">
      <c r="A458" s="158"/>
      <c r="B458" s="158"/>
      <c r="C458" s="158"/>
      <c r="D458" s="158"/>
      <c r="E458" s="158"/>
      <c r="F458" s="158"/>
    </row>
    <row r="459" ht="15.75" customHeight="1">
      <c r="A459" s="158"/>
      <c r="B459" s="158"/>
      <c r="C459" s="158"/>
      <c r="D459" s="158"/>
      <c r="E459" s="158"/>
      <c r="F459" s="158"/>
    </row>
    <row r="460" ht="15.75" customHeight="1">
      <c r="A460" s="158"/>
      <c r="B460" s="158"/>
      <c r="C460" s="158"/>
      <c r="D460" s="158"/>
      <c r="E460" s="158"/>
      <c r="F460" s="158"/>
    </row>
    <row r="461" ht="15.75" customHeight="1">
      <c r="A461" s="158"/>
      <c r="B461" s="158"/>
      <c r="C461" s="158"/>
      <c r="D461" s="158"/>
      <c r="E461" s="158"/>
      <c r="F461" s="158"/>
    </row>
    <row r="462" ht="15.75" customHeight="1">
      <c r="A462" s="158"/>
      <c r="B462" s="158"/>
      <c r="C462" s="158"/>
      <c r="D462" s="158"/>
      <c r="E462" s="158"/>
      <c r="F462" s="158"/>
    </row>
    <row r="463" ht="15.75" customHeight="1">
      <c r="A463" s="158"/>
      <c r="B463" s="158"/>
      <c r="C463" s="158"/>
      <c r="D463" s="158"/>
      <c r="E463" s="158"/>
      <c r="F463" s="158"/>
    </row>
    <row r="464" ht="15.75" customHeight="1">
      <c r="A464" s="158"/>
      <c r="B464" s="158"/>
      <c r="C464" s="158"/>
      <c r="D464" s="158"/>
      <c r="E464" s="158"/>
      <c r="F464" s="158"/>
    </row>
    <row r="465" ht="15.75" customHeight="1">
      <c r="A465" s="158"/>
      <c r="B465" s="158"/>
      <c r="C465" s="158"/>
      <c r="D465" s="158"/>
      <c r="E465" s="158"/>
      <c r="F465" s="158"/>
    </row>
    <row r="466" ht="15.75" customHeight="1">
      <c r="A466" s="158"/>
      <c r="B466" s="158"/>
      <c r="C466" s="158"/>
      <c r="D466" s="158"/>
      <c r="E466" s="158"/>
      <c r="F466" s="158"/>
    </row>
    <row r="467" ht="15.75" customHeight="1">
      <c r="A467" s="158"/>
      <c r="B467" s="158"/>
      <c r="C467" s="158"/>
      <c r="D467" s="158"/>
      <c r="E467" s="158"/>
      <c r="F467" s="158"/>
    </row>
    <row r="468" ht="15.75" customHeight="1">
      <c r="A468" s="158"/>
      <c r="B468" s="158"/>
      <c r="C468" s="158"/>
      <c r="D468" s="158"/>
      <c r="E468" s="158"/>
      <c r="F468" s="158"/>
    </row>
    <row r="469" ht="15.75" customHeight="1">
      <c r="A469" s="158"/>
      <c r="B469" s="158"/>
      <c r="C469" s="158"/>
      <c r="D469" s="158"/>
      <c r="E469" s="158"/>
      <c r="F469" s="158"/>
    </row>
    <row r="470" ht="15.75" customHeight="1">
      <c r="A470" s="158"/>
      <c r="B470" s="158"/>
      <c r="C470" s="158"/>
      <c r="D470" s="158"/>
      <c r="E470" s="158"/>
      <c r="F470" s="158"/>
    </row>
    <row r="471" ht="15.75" customHeight="1">
      <c r="A471" s="158"/>
      <c r="B471" s="158"/>
      <c r="C471" s="158"/>
      <c r="D471" s="158"/>
      <c r="E471" s="158"/>
      <c r="F471" s="158"/>
    </row>
    <row r="472" ht="15.75" customHeight="1">
      <c r="A472" s="158"/>
      <c r="B472" s="158"/>
      <c r="C472" s="158"/>
      <c r="D472" s="158"/>
      <c r="E472" s="158"/>
      <c r="F472" s="158"/>
    </row>
    <row r="473" ht="15.75" customHeight="1">
      <c r="A473" s="158"/>
      <c r="B473" s="158"/>
      <c r="C473" s="158"/>
      <c r="D473" s="158"/>
      <c r="E473" s="158"/>
      <c r="F473" s="158"/>
    </row>
    <row r="474" ht="15.75" customHeight="1">
      <c r="A474" s="158"/>
      <c r="B474" s="158"/>
      <c r="C474" s="158"/>
      <c r="D474" s="158"/>
      <c r="E474" s="158"/>
      <c r="F474" s="158"/>
    </row>
    <row r="475" ht="15.75" customHeight="1">
      <c r="A475" s="158"/>
      <c r="B475" s="158"/>
      <c r="C475" s="158"/>
      <c r="D475" s="158"/>
      <c r="E475" s="158"/>
      <c r="F475" s="158"/>
    </row>
    <row r="476" ht="15.75" customHeight="1">
      <c r="A476" s="158"/>
      <c r="B476" s="158"/>
      <c r="C476" s="158"/>
      <c r="D476" s="158"/>
      <c r="E476" s="158"/>
      <c r="F476" s="158"/>
    </row>
    <row r="477" ht="15.75" customHeight="1">
      <c r="A477" s="158"/>
      <c r="B477" s="158"/>
      <c r="C477" s="158"/>
      <c r="D477" s="158"/>
      <c r="E477" s="158"/>
      <c r="F477" s="158"/>
    </row>
    <row r="478" ht="15.75" customHeight="1">
      <c r="A478" s="158"/>
      <c r="B478" s="158"/>
      <c r="C478" s="158"/>
      <c r="D478" s="158"/>
      <c r="E478" s="158"/>
      <c r="F478" s="158"/>
    </row>
    <row r="479" ht="15.75" customHeight="1">
      <c r="A479" s="158"/>
      <c r="B479" s="158"/>
      <c r="C479" s="158"/>
      <c r="D479" s="158"/>
      <c r="E479" s="158"/>
      <c r="F479" s="158"/>
    </row>
    <row r="480" ht="15.75" customHeight="1">
      <c r="A480" s="158"/>
      <c r="B480" s="158"/>
      <c r="C480" s="158"/>
      <c r="D480" s="158"/>
      <c r="E480" s="158"/>
      <c r="F480" s="158"/>
    </row>
    <row r="481" ht="15.75" customHeight="1">
      <c r="A481" s="158"/>
      <c r="B481" s="158"/>
      <c r="C481" s="158"/>
      <c r="D481" s="158"/>
      <c r="E481" s="158"/>
      <c r="F481" s="158"/>
    </row>
    <row r="482" ht="15.75" customHeight="1">
      <c r="A482" s="158"/>
      <c r="B482" s="158"/>
      <c r="C482" s="158"/>
      <c r="D482" s="158"/>
      <c r="E482" s="158"/>
      <c r="F482" s="158"/>
    </row>
    <row r="483" ht="15.75" customHeight="1">
      <c r="A483" s="158"/>
      <c r="B483" s="158"/>
      <c r="C483" s="158"/>
      <c r="D483" s="158"/>
      <c r="E483" s="158"/>
      <c r="F483" s="158"/>
    </row>
    <row r="484" ht="15.75" customHeight="1">
      <c r="A484" s="158"/>
      <c r="B484" s="158"/>
      <c r="C484" s="158"/>
      <c r="D484" s="158"/>
      <c r="E484" s="158"/>
      <c r="F484" s="158"/>
    </row>
    <row r="485" ht="15.75" customHeight="1">
      <c r="A485" s="158"/>
      <c r="B485" s="158"/>
      <c r="C485" s="158"/>
      <c r="D485" s="158"/>
      <c r="E485" s="158"/>
      <c r="F485" s="158"/>
    </row>
    <row r="486" ht="15.75" customHeight="1">
      <c r="A486" s="158"/>
      <c r="B486" s="158"/>
      <c r="C486" s="158"/>
      <c r="D486" s="158"/>
      <c r="E486" s="158"/>
      <c r="F486" s="158"/>
    </row>
    <row r="487" ht="15.75" customHeight="1">
      <c r="A487" s="158"/>
      <c r="B487" s="158"/>
      <c r="C487" s="158"/>
      <c r="D487" s="158"/>
      <c r="E487" s="158"/>
      <c r="F487" s="158"/>
    </row>
    <row r="488" ht="15.75" customHeight="1">
      <c r="A488" s="158"/>
      <c r="B488" s="158"/>
      <c r="C488" s="158"/>
      <c r="D488" s="158"/>
      <c r="E488" s="158"/>
      <c r="F488" s="158"/>
    </row>
    <row r="489" ht="15.75" customHeight="1">
      <c r="A489" s="158"/>
      <c r="B489" s="158"/>
      <c r="C489" s="158"/>
      <c r="D489" s="158"/>
      <c r="E489" s="158"/>
      <c r="F489" s="158"/>
    </row>
    <row r="490" ht="15.75" customHeight="1">
      <c r="A490" s="158"/>
      <c r="B490" s="158"/>
      <c r="C490" s="158"/>
      <c r="D490" s="158"/>
      <c r="E490" s="158"/>
      <c r="F490" s="158"/>
    </row>
    <row r="491" ht="15.75" customHeight="1">
      <c r="A491" s="158"/>
      <c r="B491" s="158"/>
      <c r="C491" s="158"/>
      <c r="D491" s="158"/>
      <c r="E491" s="158"/>
      <c r="F491" s="158"/>
    </row>
    <row r="492" ht="15.75" customHeight="1">
      <c r="A492" s="158"/>
      <c r="B492" s="158"/>
      <c r="C492" s="158"/>
      <c r="D492" s="158"/>
      <c r="E492" s="158"/>
      <c r="F492" s="158"/>
    </row>
    <row r="493" ht="15.75" customHeight="1">
      <c r="A493" s="158"/>
      <c r="B493" s="158"/>
      <c r="C493" s="158"/>
      <c r="D493" s="158"/>
      <c r="E493" s="158"/>
      <c r="F493" s="158"/>
    </row>
    <row r="494" ht="15.75" customHeight="1">
      <c r="A494" s="158"/>
      <c r="B494" s="158"/>
      <c r="C494" s="158"/>
      <c r="D494" s="158"/>
      <c r="E494" s="158"/>
      <c r="F494" s="158"/>
    </row>
    <row r="495" ht="15.75" customHeight="1">
      <c r="A495" s="158"/>
      <c r="B495" s="158"/>
      <c r="C495" s="158"/>
      <c r="D495" s="158"/>
      <c r="E495" s="158"/>
      <c r="F495" s="158"/>
    </row>
    <row r="496" ht="15.75" customHeight="1">
      <c r="A496" s="158"/>
      <c r="B496" s="158"/>
      <c r="C496" s="158"/>
      <c r="D496" s="158"/>
      <c r="E496" s="158"/>
      <c r="F496" s="158"/>
    </row>
    <row r="497" ht="15.75" customHeight="1">
      <c r="A497" s="158"/>
      <c r="B497" s="158"/>
      <c r="C497" s="158"/>
      <c r="D497" s="158"/>
      <c r="E497" s="158"/>
      <c r="F497" s="158"/>
    </row>
    <row r="498" ht="15.75" customHeight="1">
      <c r="A498" s="158"/>
      <c r="B498" s="158"/>
      <c r="C498" s="158"/>
      <c r="D498" s="158"/>
      <c r="E498" s="158"/>
      <c r="F498" s="158"/>
    </row>
    <row r="499" ht="15.75" customHeight="1">
      <c r="A499" s="158"/>
      <c r="B499" s="158"/>
      <c r="C499" s="158"/>
      <c r="D499" s="158"/>
      <c r="E499" s="158"/>
      <c r="F499" s="158"/>
    </row>
    <row r="500" ht="15.75" customHeight="1">
      <c r="A500" s="158"/>
      <c r="B500" s="158"/>
      <c r="C500" s="158"/>
      <c r="D500" s="158"/>
      <c r="E500" s="158"/>
      <c r="F500" s="158"/>
    </row>
    <row r="501" ht="15.75" customHeight="1">
      <c r="A501" s="158"/>
      <c r="B501" s="158"/>
      <c r="C501" s="158"/>
      <c r="D501" s="158"/>
      <c r="E501" s="158"/>
      <c r="F501" s="158"/>
    </row>
    <row r="502" ht="15.75" customHeight="1">
      <c r="A502" s="158"/>
      <c r="B502" s="158"/>
      <c r="C502" s="158"/>
      <c r="D502" s="158"/>
      <c r="E502" s="158"/>
      <c r="F502" s="158"/>
    </row>
    <row r="503" ht="15.75" customHeight="1">
      <c r="A503" s="158"/>
      <c r="B503" s="158"/>
      <c r="C503" s="158"/>
      <c r="D503" s="158"/>
      <c r="E503" s="158"/>
      <c r="F503" s="158"/>
    </row>
    <row r="504" ht="15.75" customHeight="1">
      <c r="A504" s="158"/>
      <c r="B504" s="158"/>
      <c r="C504" s="158"/>
      <c r="D504" s="158"/>
      <c r="E504" s="158"/>
      <c r="F504" s="158"/>
    </row>
    <row r="505" ht="15.75" customHeight="1">
      <c r="A505" s="158"/>
      <c r="B505" s="158"/>
      <c r="C505" s="158"/>
      <c r="D505" s="158"/>
      <c r="E505" s="158"/>
      <c r="F505" s="158"/>
    </row>
    <row r="506" ht="15.75" customHeight="1">
      <c r="A506" s="158"/>
      <c r="B506" s="158"/>
      <c r="C506" s="158"/>
      <c r="D506" s="158"/>
      <c r="E506" s="158"/>
      <c r="F506" s="158"/>
    </row>
    <row r="507" ht="15.75" customHeight="1">
      <c r="A507" s="158"/>
      <c r="B507" s="158"/>
      <c r="C507" s="158"/>
      <c r="D507" s="158"/>
      <c r="E507" s="158"/>
      <c r="F507" s="158"/>
    </row>
    <row r="508" ht="15.75" customHeight="1">
      <c r="A508" s="158"/>
      <c r="B508" s="158"/>
      <c r="C508" s="158"/>
      <c r="D508" s="158"/>
      <c r="E508" s="158"/>
      <c r="F508" s="158"/>
    </row>
    <row r="509" ht="15.75" customHeight="1">
      <c r="A509" s="158"/>
      <c r="B509" s="158"/>
      <c r="C509" s="158"/>
      <c r="D509" s="158"/>
      <c r="E509" s="158"/>
      <c r="F509" s="158"/>
    </row>
    <row r="510" ht="15.75" customHeight="1">
      <c r="A510" s="158"/>
      <c r="B510" s="158"/>
      <c r="C510" s="158"/>
      <c r="D510" s="158"/>
      <c r="E510" s="158"/>
      <c r="F510" s="158"/>
    </row>
    <row r="511" ht="15.75" customHeight="1">
      <c r="A511" s="158"/>
      <c r="B511" s="158"/>
      <c r="C511" s="158"/>
      <c r="D511" s="158"/>
      <c r="E511" s="158"/>
      <c r="F511" s="158"/>
    </row>
    <row r="512" ht="15.75" customHeight="1">
      <c r="A512" s="158"/>
      <c r="B512" s="158"/>
      <c r="C512" s="158"/>
      <c r="D512" s="158"/>
      <c r="E512" s="158"/>
      <c r="F512" s="158"/>
    </row>
    <row r="513" ht="15.75" customHeight="1">
      <c r="A513" s="158"/>
      <c r="B513" s="158"/>
      <c r="C513" s="158"/>
      <c r="D513" s="158"/>
      <c r="E513" s="158"/>
      <c r="F513" s="158"/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13">
    <filterColumn colId="3">
      <filters>
        <filter val="Reporting Analyst"/>
        <filter val="Reporting Coordinator"/>
        <filter val="Reporting Manager"/>
      </filters>
    </filterColumn>
  </autoFil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19.86"/>
    <col customWidth="1" min="5" max="7" width="33.71"/>
    <col customWidth="1" min="10" max="10" width="17.29"/>
  </cols>
  <sheetData>
    <row r="1" ht="15.75" customHeight="1">
      <c r="A1" s="159" t="s">
        <v>6700</v>
      </c>
      <c r="B1" s="160" t="s">
        <v>6701</v>
      </c>
      <c r="C1" s="161" t="s">
        <v>219</v>
      </c>
      <c r="D1" s="1" t="s">
        <v>5733</v>
      </c>
      <c r="E1" s="1" t="s">
        <v>17</v>
      </c>
      <c r="F1" s="1" t="s">
        <v>6702</v>
      </c>
      <c r="G1" s="1" t="s">
        <v>5647</v>
      </c>
      <c r="H1" s="162" t="s">
        <v>19</v>
      </c>
      <c r="I1" s="1" t="s">
        <v>6703</v>
      </c>
      <c r="J1" s="3" t="s">
        <v>6704</v>
      </c>
    </row>
    <row r="2" ht="15.75" customHeight="1">
      <c r="A2" s="161">
        <v>728954.0</v>
      </c>
      <c r="B2" s="1" t="s">
        <v>223</v>
      </c>
      <c r="C2" s="161" t="s">
        <v>228</v>
      </c>
      <c r="D2" s="1" t="s">
        <v>224</v>
      </c>
      <c r="E2" s="1" t="s">
        <v>222</v>
      </c>
      <c r="F2" s="1" t="s">
        <v>6705</v>
      </c>
      <c r="G2" s="1" t="str">
        <f>IFERROR(VLOOKUP(A2,H_C!$A$2:$G$2628,7,0),"Validar HC",)</f>
        <v>#N/A</v>
      </c>
      <c r="H2" s="163"/>
      <c r="I2" s="1">
        <v>42.0</v>
      </c>
      <c r="L2" s="1" t="str">
        <f t="array" ref="L2:L54">UNIQUE(D1:D4619)</f>
        <v>Roll</v>
      </c>
    </row>
    <row r="3" ht="15.75" customHeight="1">
      <c r="A3" s="161">
        <v>752718.0</v>
      </c>
      <c r="B3" s="1" t="s">
        <v>233</v>
      </c>
      <c r="C3" s="161" t="s">
        <v>236</v>
      </c>
      <c r="D3" s="1" t="s">
        <v>224</v>
      </c>
      <c r="E3" s="1" t="s">
        <v>232</v>
      </c>
      <c r="F3" s="1" t="s">
        <v>6705</v>
      </c>
      <c r="G3" s="1" t="str">
        <f>IFERROR(VLOOKUP(A3,H_C!$A$2:$G$2628,7,0),"Validar HC")</f>
        <v>Soler, Maria</v>
      </c>
      <c r="H3" s="164">
        <v>1623501.0</v>
      </c>
      <c r="I3" s="1">
        <v>42.0</v>
      </c>
      <c r="L3" s="1" t="s">
        <v>224</v>
      </c>
    </row>
    <row r="4" ht="15.75" customHeight="1">
      <c r="A4" s="1">
        <v>801763.0</v>
      </c>
      <c r="B4" s="1" t="s">
        <v>240</v>
      </c>
      <c r="C4" s="1" t="s">
        <v>243</v>
      </c>
      <c r="D4" s="1" t="s">
        <v>224</v>
      </c>
      <c r="E4" s="1" t="s">
        <v>239</v>
      </c>
      <c r="F4" s="1" t="s">
        <v>6705</v>
      </c>
      <c r="G4" s="1" t="str">
        <f>IFERROR(VLOOKUP(A4,H_C!$A$2:$G$2628,7,0),"Validar HC")</f>
        <v>Soler, Maria</v>
      </c>
      <c r="H4" s="164">
        <v>1623501.0</v>
      </c>
      <c r="I4" s="1">
        <v>42.0</v>
      </c>
      <c r="L4" s="1"/>
      <c r="N4" s="1">
        <v>2200286.0</v>
      </c>
      <c r="O4" s="1">
        <f>N4*30%</f>
        <v>660085.8</v>
      </c>
      <c r="P4" s="1">
        <f>O4*40%</f>
        <v>264034.32</v>
      </c>
    </row>
    <row r="5" ht="15.75" customHeight="1">
      <c r="A5" s="1">
        <v>951124.0</v>
      </c>
      <c r="B5" s="1" t="s">
        <v>247</v>
      </c>
      <c r="C5" s="1" t="s">
        <v>251</v>
      </c>
      <c r="D5" s="1" t="s">
        <v>224</v>
      </c>
      <c r="E5" s="1" t="s">
        <v>246</v>
      </c>
      <c r="F5" s="1" t="s">
        <v>6705</v>
      </c>
      <c r="G5" s="1" t="str">
        <f>IFERROR(VLOOKUP(A5,H_C!$A$2:$G$2628,7,0),"Validar HC")</f>
        <v>Garcia, Helmer</v>
      </c>
      <c r="H5" s="164">
        <v>1623501.0</v>
      </c>
      <c r="I5" s="1">
        <v>42.0</v>
      </c>
      <c r="K5" s="41">
        <f>H5/30%</f>
        <v>5411670</v>
      </c>
      <c r="L5" s="1">
        <v>127.0</v>
      </c>
    </row>
    <row r="6" ht="15.75" customHeight="1">
      <c r="A6" s="1">
        <v>1204240.0</v>
      </c>
      <c r="B6" s="1" t="s">
        <v>255</v>
      </c>
      <c r="C6" s="1" t="s">
        <v>259</v>
      </c>
      <c r="D6" s="1" t="s">
        <v>224</v>
      </c>
      <c r="E6" s="1" t="s">
        <v>254</v>
      </c>
      <c r="F6" s="1" t="s">
        <v>6705</v>
      </c>
      <c r="G6" s="1" t="str">
        <f>IFERROR(VLOOKUP(A6,H_C!$A$2:$G$2628,7,0),"Validar HC")</f>
        <v>Gonzalez, Cristian</v>
      </c>
      <c r="H6" s="164">
        <v>1623501.0</v>
      </c>
      <c r="I6" s="1">
        <v>42.0</v>
      </c>
      <c r="L6" s="1" t="s">
        <v>5809</v>
      </c>
    </row>
    <row r="7" ht="15.75" customHeight="1">
      <c r="A7" s="1">
        <v>1289223.0</v>
      </c>
      <c r="B7" s="1" t="s">
        <v>264</v>
      </c>
      <c r="C7" s="1" t="s">
        <v>267</v>
      </c>
      <c r="D7" s="1" t="s">
        <v>224</v>
      </c>
      <c r="E7" s="1" t="s">
        <v>263</v>
      </c>
      <c r="F7" s="1" t="s">
        <v>6705</v>
      </c>
      <c r="G7" s="1" t="str">
        <f>IFERROR(VLOOKUP(A7,H_C!$A$2:$G$2628,7,0),"Validar HC")</f>
        <v>Garcia, Helmer</v>
      </c>
      <c r="H7" s="164">
        <v>1623501.0</v>
      </c>
      <c r="I7" s="1">
        <v>42.0</v>
      </c>
      <c r="L7" s="1" t="s">
        <v>6706</v>
      </c>
    </row>
    <row r="8" ht="15.75" customHeight="1">
      <c r="A8" s="1">
        <v>1351571.0</v>
      </c>
      <c r="B8" s="1" t="s">
        <v>271</v>
      </c>
      <c r="C8" s="1" t="s">
        <v>273</v>
      </c>
      <c r="D8" s="1" t="s">
        <v>224</v>
      </c>
      <c r="E8" s="1" t="s">
        <v>254</v>
      </c>
      <c r="F8" s="1" t="s">
        <v>6705</v>
      </c>
      <c r="G8" s="1" t="str">
        <f>IFERROR(VLOOKUP(A8,H_C!$A$2:$G$2628,7,0),"Validar HC")</f>
        <v>Gonzalez, Cristian</v>
      </c>
      <c r="H8" s="164">
        <v>1623501.0</v>
      </c>
      <c r="I8" s="1">
        <v>42.0</v>
      </c>
      <c r="L8" s="1" t="s">
        <v>6548</v>
      </c>
    </row>
    <row r="9" ht="15.75" customHeight="1">
      <c r="A9" s="1">
        <v>1780877.0</v>
      </c>
      <c r="B9" s="1" t="s">
        <v>277</v>
      </c>
      <c r="C9" s="1" t="s">
        <v>279</v>
      </c>
      <c r="D9" s="1" t="s">
        <v>224</v>
      </c>
      <c r="E9" s="1" t="s">
        <v>276</v>
      </c>
      <c r="F9" s="1" t="s">
        <v>6705</v>
      </c>
      <c r="G9" s="1" t="str">
        <f>IFERROR(VLOOKUP(A9,H_C!$A$2:$G$2628,7,0),"Validar HC")</f>
        <v>Gonzalez, Cristian</v>
      </c>
      <c r="H9" s="164">
        <v>1623501.0</v>
      </c>
      <c r="I9" s="1">
        <v>42.0</v>
      </c>
      <c r="L9" s="1" t="s">
        <v>5797</v>
      </c>
    </row>
    <row r="10" ht="15.75" customHeight="1">
      <c r="A10" s="1">
        <v>1843950.0</v>
      </c>
      <c r="B10" s="1" t="s">
        <v>282</v>
      </c>
      <c r="C10" s="1" t="s">
        <v>286</v>
      </c>
      <c r="D10" s="1" t="s">
        <v>224</v>
      </c>
      <c r="E10" s="1" t="s">
        <v>118</v>
      </c>
      <c r="F10" s="1" t="s">
        <v>6705</v>
      </c>
      <c r="G10" s="1" t="str">
        <f>IFERROR(VLOOKUP(A10,H_C!$A$2:$G$2628,7,0),"Validar HC")</f>
        <v>Rodriguez, Moises</v>
      </c>
      <c r="H10" s="164">
        <v>1623501.0</v>
      </c>
      <c r="I10" s="1">
        <v>42.0</v>
      </c>
      <c r="L10" s="1" t="s">
        <v>5856</v>
      </c>
      <c r="M10" s="1" t="s">
        <v>6707</v>
      </c>
    </row>
    <row r="11" ht="15.75" customHeight="1">
      <c r="A11" s="1">
        <v>1924474.0</v>
      </c>
      <c r="B11" s="1" t="s">
        <v>290</v>
      </c>
      <c r="C11" s="1" t="s">
        <v>294</v>
      </c>
      <c r="D11" s="1" t="s">
        <v>224</v>
      </c>
      <c r="E11" s="1" t="s">
        <v>289</v>
      </c>
      <c r="F11" s="1" t="s">
        <v>6705</v>
      </c>
      <c r="G11" s="1" t="str">
        <f>IFERROR(VLOOKUP(A11,H_C!$A$2:$G$2628,7,0),"Validar HC")</f>
        <v>Celi, Juan</v>
      </c>
      <c r="H11" s="164">
        <v>1623501.0</v>
      </c>
      <c r="I11" s="1">
        <v>42.0</v>
      </c>
      <c r="L11" s="1" t="s">
        <v>6708</v>
      </c>
    </row>
    <row r="12" ht="15.75" customHeight="1">
      <c r="A12" s="1">
        <v>1999004.0</v>
      </c>
      <c r="B12" s="1" t="s">
        <v>298</v>
      </c>
      <c r="C12" s="1" t="s">
        <v>302</v>
      </c>
      <c r="D12" s="1" t="s">
        <v>224</v>
      </c>
      <c r="E12" s="1" t="s">
        <v>297</v>
      </c>
      <c r="F12" s="1" t="s">
        <v>6705</v>
      </c>
      <c r="G12" s="1" t="str">
        <f>IFERROR(VLOOKUP(A12,H_C!$A$2:$G$2628,7,0),"Validar HC")</f>
        <v>Garatejo, Natalia</v>
      </c>
      <c r="H12" s="164">
        <v>1623501.0</v>
      </c>
      <c r="I12" s="1">
        <v>42.0</v>
      </c>
      <c r="L12" s="1" t="s">
        <v>5802</v>
      </c>
    </row>
    <row r="13" ht="15.75" customHeight="1">
      <c r="A13" s="1">
        <v>1999005.0</v>
      </c>
      <c r="B13" s="1" t="s">
        <v>305</v>
      </c>
      <c r="C13" s="1" t="s">
        <v>306</v>
      </c>
      <c r="D13" s="1" t="s">
        <v>224</v>
      </c>
      <c r="E13" s="1" t="s">
        <v>297</v>
      </c>
      <c r="F13" s="1" t="s">
        <v>6705</v>
      </c>
      <c r="G13" s="1" t="str">
        <f>IFERROR(VLOOKUP(A13,H_C!$A$2:$G$2628,7,0),"Validar HC")</f>
        <v>Garatejo, Natalia</v>
      </c>
      <c r="H13" s="164">
        <v>1623501.0</v>
      </c>
      <c r="I13" s="1">
        <v>42.0</v>
      </c>
      <c r="L13" s="1" t="s">
        <v>217</v>
      </c>
    </row>
    <row r="14" ht="15.75" customHeight="1">
      <c r="A14" s="1">
        <v>2015461.0</v>
      </c>
      <c r="B14" s="1" t="s">
        <v>310</v>
      </c>
      <c r="C14" s="1" t="s">
        <v>313</v>
      </c>
      <c r="D14" s="1" t="s">
        <v>224</v>
      </c>
      <c r="E14" s="1" t="s">
        <v>309</v>
      </c>
      <c r="F14" s="1" t="s">
        <v>6705</v>
      </c>
      <c r="G14" s="1" t="str">
        <f>IFERROR(VLOOKUP(A14,H_C!$A$2:$G$2628,7,0),"Validar HC")</f>
        <v>Gonzalez, Cristian</v>
      </c>
      <c r="H14" s="164">
        <v>1623501.0</v>
      </c>
      <c r="I14" s="1">
        <v>42.0</v>
      </c>
      <c r="L14" s="1" t="s">
        <v>6709</v>
      </c>
    </row>
    <row r="15" ht="15.75" customHeight="1">
      <c r="A15" s="1">
        <v>2022938.0</v>
      </c>
      <c r="B15" s="1" t="s">
        <v>317</v>
      </c>
      <c r="C15" s="1" t="s">
        <v>320</v>
      </c>
      <c r="D15" s="1" t="s">
        <v>224</v>
      </c>
      <c r="E15" s="1" t="s">
        <v>316</v>
      </c>
      <c r="F15" s="1" t="s">
        <v>6705</v>
      </c>
      <c r="G15" s="1" t="str">
        <f>IFERROR(VLOOKUP(A15,H_C!$A$2:$G$2628,7,0),"Validar HC")</f>
        <v>Osorio, Julian</v>
      </c>
      <c r="H15" s="164">
        <v>1623501.0</v>
      </c>
      <c r="I15" s="1">
        <v>42.0</v>
      </c>
      <c r="L15" s="1" t="s">
        <v>5928</v>
      </c>
    </row>
    <row r="16" ht="15.75" customHeight="1">
      <c r="A16" s="1">
        <v>2030739.0</v>
      </c>
      <c r="B16" s="1" t="s">
        <v>324</v>
      </c>
      <c r="C16" s="1" t="s">
        <v>328</v>
      </c>
      <c r="D16" s="1" t="s">
        <v>224</v>
      </c>
      <c r="E16" s="1" t="s">
        <v>323</v>
      </c>
      <c r="F16" s="1" t="s">
        <v>6705</v>
      </c>
      <c r="G16" s="1" t="str">
        <f>IFERROR(VLOOKUP(A16,H_C!$A$2:$G$2628,7,0),"Validar HC")</f>
        <v>Martinez, Wendy</v>
      </c>
      <c r="H16" s="164">
        <v>1623501.0</v>
      </c>
      <c r="I16" s="1">
        <v>42.0</v>
      </c>
      <c r="L16" s="1" t="s">
        <v>5868</v>
      </c>
      <c r="O16" s="165"/>
      <c r="P16" s="73"/>
    </row>
    <row r="17" ht="15.75" customHeight="1">
      <c r="A17" s="1">
        <v>2096488.0</v>
      </c>
      <c r="B17" s="1" t="s">
        <v>335</v>
      </c>
      <c r="C17" s="1" t="s">
        <v>337</v>
      </c>
      <c r="D17" s="1" t="s">
        <v>224</v>
      </c>
      <c r="E17" s="1" t="s">
        <v>246</v>
      </c>
      <c r="F17" s="1" t="s">
        <v>6705</v>
      </c>
      <c r="G17" s="1" t="str">
        <f>IFERROR(VLOOKUP(A17,H_C!$A$2:$G$2628,7,0),"Validar HC")</f>
        <v>Garcia, Helmer</v>
      </c>
      <c r="H17" s="164">
        <v>1623501.0</v>
      </c>
      <c r="I17" s="1">
        <v>42.0</v>
      </c>
      <c r="L17" s="1" t="s">
        <v>218</v>
      </c>
      <c r="O17" s="165"/>
      <c r="P17" s="73"/>
    </row>
    <row r="18" ht="15.75" customHeight="1">
      <c r="A18" s="1">
        <v>2116682.0</v>
      </c>
      <c r="B18" s="1" t="s">
        <v>28</v>
      </c>
      <c r="C18" s="1" t="s">
        <v>342</v>
      </c>
      <c r="D18" s="1" t="s">
        <v>224</v>
      </c>
      <c r="E18" s="1" t="s">
        <v>13</v>
      </c>
      <c r="F18" s="1" t="s">
        <v>6705</v>
      </c>
      <c r="G18" s="1" t="str">
        <f>IFERROR(VLOOKUP(A18,H_C!$A$2:$G$2628,7,0),"Validar HC")</f>
        <v>Ospina, Michel</v>
      </c>
      <c r="H18" s="162">
        <v>1600000.0</v>
      </c>
      <c r="I18" s="1">
        <v>42.0</v>
      </c>
      <c r="L18" s="1" t="s">
        <v>6710</v>
      </c>
    </row>
    <row r="19" ht="15.75" customHeight="1">
      <c r="A19" s="1">
        <v>2116701.0</v>
      </c>
      <c r="B19" s="1" t="s">
        <v>345</v>
      </c>
      <c r="C19" s="1" t="s">
        <v>350</v>
      </c>
      <c r="D19" s="1" t="s">
        <v>224</v>
      </c>
      <c r="E19" s="1" t="s">
        <v>331</v>
      </c>
      <c r="F19" s="1" t="s">
        <v>6705</v>
      </c>
      <c r="G19" s="1" t="str">
        <f>IFERROR(VLOOKUP(A19,H_C!$A$2:$G$2628,7,0),"Validar HC")</f>
        <v>Parra, Jeimmy</v>
      </c>
      <c r="H19" s="164">
        <v>1623501.0</v>
      </c>
      <c r="I19" s="1">
        <v>42.0</v>
      </c>
      <c r="L19" s="1" t="s">
        <v>5793</v>
      </c>
      <c r="N19" s="165"/>
    </row>
    <row r="20" ht="15.75" customHeight="1">
      <c r="A20" s="1">
        <v>2164857.0</v>
      </c>
      <c r="B20" s="1" t="s">
        <v>353</v>
      </c>
      <c r="C20" s="1" t="s">
        <v>354</v>
      </c>
      <c r="D20" s="1" t="s">
        <v>224</v>
      </c>
      <c r="E20" s="1" t="s">
        <v>254</v>
      </c>
      <c r="F20" s="1" t="s">
        <v>6705</v>
      </c>
      <c r="G20" s="1" t="str">
        <f>IFERROR(VLOOKUP(A20,H_C!$A$2:$G$2628,7,0),"Validar HC")</f>
        <v>Gonzalez, Cristian</v>
      </c>
      <c r="H20" s="164">
        <v>1623501.0</v>
      </c>
      <c r="I20" s="1">
        <v>42.0</v>
      </c>
      <c r="L20" s="1" t="s">
        <v>6255</v>
      </c>
      <c r="N20" s="165">
        <v>588000.0</v>
      </c>
      <c r="O20" s="73">
        <v>0.3</v>
      </c>
    </row>
    <row r="21" ht="15.75" customHeight="1">
      <c r="A21" s="1">
        <v>2164860.0</v>
      </c>
      <c r="B21" s="1" t="s">
        <v>87</v>
      </c>
      <c r="C21" s="1" t="s">
        <v>358</v>
      </c>
      <c r="D21" s="1" t="s">
        <v>224</v>
      </c>
      <c r="E21" s="1" t="s">
        <v>81</v>
      </c>
      <c r="F21" s="1" t="s">
        <v>6705</v>
      </c>
      <c r="G21" s="1" t="str">
        <f>IFERROR(VLOOKUP(A21,H_C!$A$2:$G$2628,7,0),"Validar HC")</f>
        <v>Ospina, Michel</v>
      </c>
      <c r="H21" s="164">
        <v>1623501.0</v>
      </c>
      <c r="I21" s="1">
        <v>42.0</v>
      </c>
      <c r="L21" s="1" t="s">
        <v>6047</v>
      </c>
    </row>
    <row r="22" ht="15.75" customHeight="1">
      <c r="A22" s="1">
        <v>2167116.0</v>
      </c>
      <c r="B22" s="1" t="s">
        <v>362</v>
      </c>
      <c r="C22" s="1" t="s">
        <v>363</v>
      </c>
      <c r="D22" s="1" t="s">
        <v>224</v>
      </c>
      <c r="E22" s="1" t="s">
        <v>361</v>
      </c>
      <c r="F22" s="1" t="s">
        <v>6705</v>
      </c>
      <c r="G22" s="1" t="str">
        <f>IFERROR(VLOOKUP(A22,H_C!$A$2:$G$2628,7,0),"Validar HC")</f>
        <v>Gonzalez, Cristian</v>
      </c>
      <c r="H22" s="164">
        <v>1623501.0</v>
      </c>
      <c r="I22" s="1">
        <v>42.0</v>
      </c>
      <c r="L22" s="1" t="s">
        <v>5878</v>
      </c>
      <c r="N22" s="165">
        <v>2200000.0</v>
      </c>
      <c r="O22" s="1" t="s">
        <v>6711</v>
      </c>
    </row>
    <row r="23" ht="15.75" customHeight="1">
      <c r="A23" s="1">
        <v>2172302.0</v>
      </c>
      <c r="B23" s="1" t="s">
        <v>366</v>
      </c>
      <c r="C23" s="1" t="s">
        <v>367</v>
      </c>
      <c r="D23" s="1" t="s">
        <v>224</v>
      </c>
      <c r="E23" s="1" t="s">
        <v>297</v>
      </c>
      <c r="F23" s="1" t="s">
        <v>6705</v>
      </c>
      <c r="G23" s="1" t="str">
        <f>IFERROR(VLOOKUP(A23,H_C!$A$2:$G$2628,7,0),"Validar HC")</f>
        <v>Garatejo, Natalia</v>
      </c>
      <c r="H23" s="164">
        <v>1623501.0</v>
      </c>
      <c r="I23" s="1">
        <v>42.0</v>
      </c>
      <c r="L23" s="1" t="s">
        <v>6712</v>
      </c>
      <c r="N23" s="166">
        <v>550000.0</v>
      </c>
      <c r="O23" s="73">
        <v>0.25</v>
      </c>
    </row>
    <row r="24" ht="15.75" customHeight="1">
      <c r="A24" s="1">
        <v>2185277.0</v>
      </c>
      <c r="B24" s="1" t="s">
        <v>370</v>
      </c>
      <c r="C24" s="1" t="s">
        <v>371</v>
      </c>
      <c r="D24" s="1" t="s">
        <v>224</v>
      </c>
      <c r="E24" s="1" t="s">
        <v>254</v>
      </c>
      <c r="F24" s="1" t="s">
        <v>6705</v>
      </c>
      <c r="G24" s="1" t="str">
        <f>IFERROR(VLOOKUP(A24,H_C!$A$2:$G$2628,7,0),"Validar HC")</f>
        <v>Gonzalez, Cristian</v>
      </c>
      <c r="H24" s="164">
        <v>1623501.0</v>
      </c>
      <c r="I24" s="1">
        <v>42.0</v>
      </c>
      <c r="L24" s="1" t="s">
        <v>5978</v>
      </c>
    </row>
    <row r="25" ht="15.75" customHeight="1">
      <c r="A25" s="1">
        <v>2190483.0</v>
      </c>
      <c r="B25" s="1" t="s">
        <v>375</v>
      </c>
      <c r="C25" s="1" t="s">
        <v>378</v>
      </c>
      <c r="D25" s="1" t="s">
        <v>224</v>
      </c>
      <c r="E25" s="1" t="s">
        <v>374</v>
      </c>
      <c r="F25" s="1" t="s">
        <v>6705</v>
      </c>
      <c r="G25" s="1" t="str">
        <f>IFERROR(VLOOKUP(A25,H_C!$A$2:$G$2628,7,0),"Validar HC")</f>
        <v>Martinez, Wendy</v>
      </c>
      <c r="H25" s="164">
        <v>1623501.0</v>
      </c>
      <c r="I25" s="1">
        <v>42.0</v>
      </c>
      <c r="L25" s="1" t="s">
        <v>6097</v>
      </c>
      <c r="N25" s="165">
        <v>2200000.0</v>
      </c>
      <c r="O25" s="1" t="s">
        <v>6713</v>
      </c>
    </row>
    <row r="26" ht="15.75" customHeight="1">
      <c r="A26" s="1">
        <v>2816053.0</v>
      </c>
      <c r="B26" s="1" t="s">
        <v>30</v>
      </c>
      <c r="C26" s="1" t="s">
        <v>519</v>
      </c>
      <c r="D26" s="1" t="s">
        <v>224</v>
      </c>
      <c r="E26" s="1" t="s">
        <v>13</v>
      </c>
      <c r="F26" s="1" t="s">
        <v>6705</v>
      </c>
      <c r="G26" s="1" t="str">
        <f>IFERROR(VLOOKUP(A26,H_C!$A$2:$G$2628,7,0),"Validar HC")</f>
        <v>Ospina, Michel</v>
      </c>
      <c r="H26" s="162">
        <v>1600000.0</v>
      </c>
      <c r="I26" s="1">
        <v>42.0</v>
      </c>
      <c r="L26" s="1" t="s">
        <v>5847</v>
      </c>
      <c r="N26" s="166">
        <v>550000.0</v>
      </c>
      <c r="O26" s="73">
        <v>0.25</v>
      </c>
    </row>
    <row r="27" ht="15.75" customHeight="1">
      <c r="A27" s="1">
        <v>2218922.0</v>
      </c>
      <c r="B27" s="1" t="s">
        <v>386</v>
      </c>
      <c r="C27" s="1" t="s">
        <v>388</v>
      </c>
      <c r="D27" s="1" t="s">
        <v>224</v>
      </c>
      <c r="E27" s="1" t="s">
        <v>385</v>
      </c>
      <c r="F27" s="1" t="s">
        <v>6705</v>
      </c>
      <c r="G27" s="1" t="str">
        <f>IFERROR(VLOOKUP(A27,H_C!$A$2:$G$2628,7,0),"Validar HC")</f>
        <v>Garatejo, Natalia</v>
      </c>
      <c r="H27" s="164">
        <v>1623501.0</v>
      </c>
      <c r="I27" s="1">
        <v>42.0</v>
      </c>
      <c r="L27" s="1" t="s">
        <v>6714</v>
      </c>
    </row>
    <row r="28" ht="15.75" customHeight="1">
      <c r="A28" s="1">
        <v>2225563.0</v>
      </c>
      <c r="B28" s="1" t="s">
        <v>392</v>
      </c>
      <c r="C28" s="1" t="s">
        <v>394</v>
      </c>
      <c r="D28" s="1" t="s">
        <v>224</v>
      </c>
      <c r="E28" s="1" t="s">
        <v>391</v>
      </c>
      <c r="F28" s="1" t="s">
        <v>6705</v>
      </c>
      <c r="G28" s="1" t="str">
        <f>IFERROR(VLOOKUP(A28,H_C!$A$2:$G$2628,7,0),"Validar HC")</f>
        <v>Garcia, Helmer</v>
      </c>
      <c r="H28" s="164">
        <v>1623501.0</v>
      </c>
      <c r="I28" s="1">
        <v>42.0</v>
      </c>
      <c r="L28" s="1" t="s">
        <v>6715</v>
      </c>
    </row>
    <row r="29" ht="15.75" customHeight="1">
      <c r="A29" s="1">
        <v>2240540.0</v>
      </c>
      <c r="B29" s="1" t="s">
        <v>397</v>
      </c>
      <c r="C29" s="1" t="s">
        <v>398</v>
      </c>
      <c r="D29" s="1" t="s">
        <v>224</v>
      </c>
      <c r="E29" s="1" t="s">
        <v>246</v>
      </c>
      <c r="F29" s="1" t="s">
        <v>6705</v>
      </c>
      <c r="G29" s="1" t="str">
        <f>IFERROR(VLOOKUP(A29,H_C!$A$2:$G$2628,7,0),"Validar HC")</f>
        <v>Garcia, Helmer</v>
      </c>
      <c r="H29" s="164">
        <v>1623501.0</v>
      </c>
      <c r="I29" s="1">
        <v>42.0</v>
      </c>
      <c r="L29" s="1" t="s">
        <v>6716</v>
      </c>
    </row>
    <row r="30" ht="15.75" customHeight="1">
      <c r="A30" s="1">
        <v>2248847.0</v>
      </c>
      <c r="B30" s="1" t="s">
        <v>402</v>
      </c>
      <c r="C30" s="1" t="s">
        <v>404</v>
      </c>
      <c r="D30" s="1" t="s">
        <v>224</v>
      </c>
      <c r="E30" s="1" t="s">
        <v>401</v>
      </c>
      <c r="F30" s="1" t="s">
        <v>6717</v>
      </c>
      <c r="G30" s="1" t="str">
        <f>IFERROR(VLOOKUP(A30,H_C!$A$2:$G$2628,7,0),"Validar HC")</f>
        <v>Martinez, Wendy</v>
      </c>
      <c r="H30" s="164">
        <v>1623501.0</v>
      </c>
      <c r="I30" s="1">
        <v>42.0</v>
      </c>
      <c r="L30" s="1" t="s">
        <v>6427</v>
      </c>
      <c r="N30" s="165">
        <v>1995000.0</v>
      </c>
      <c r="O30" s="1" t="s">
        <v>6718</v>
      </c>
    </row>
    <row r="31" ht="15.75" customHeight="1">
      <c r="A31" s="1">
        <v>2258969.0</v>
      </c>
      <c r="B31" s="1" t="s">
        <v>407</v>
      </c>
      <c r="C31" s="1" t="s">
        <v>409</v>
      </c>
      <c r="D31" s="1" t="s">
        <v>224</v>
      </c>
      <c r="E31" s="1" t="s">
        <v>116</v>
      </c>
      <c r="F31" s="1" t="s">
        <v>6717</v>
      </c>
      <c r="G31" s="1" t="str">
        <f>IFERROR(VLOOKUP(A31,H_C!$A$2:$G$2628,7,0),"Validar HC")</f>
        <v>Ospina, Michel</v>
      </c>
      <c r="H31" s="164">
        <v>1623501.0</v>
      </c>
      <c r="I31" s="1">
        <v>42.0</v>
      </c>
      <c r="L31" s="1" t="s">
        <v>6719</v>
      </c>
      <c r="N31" s="165" t="s">
        <v>6720</v>
      </c>
      <c r="O31" s="73">
        <v>0.3</v>
      </c>
    </row>
    <row r="32" ht="15.75" customHeight="1">
      <c r="A32" s="1">
        <v>2259318.0</v>
      </c>
      <c r="B32" s="1" t="s">
        <v>413</v>
      </c>
      <c r="C32" s="1" t="s">
        <v>415</v>
      </c>
      <c r="D32" s="1" t="s">
        <v>224</v>
      </c>
      <c r="E32" s="1" t="s">
        <v>412</v>
      </c>
      <c r="F32" s="1" t="s">
        <v>6717</v>
      </c>
      <c r="G32" s="1" t="str">
        <f>IFERROR(VLOOKUP(A32,H_C!$A$2:$G$2628,7,0),"Validar HC")</f>
        <v>Ospina, Michel</v>
      </c>
      <c r="H32" s="164">
        <v>1623501.0</v>
      </c>
      <c r="I32" s="1">
        <v>42.0</v>
      </c>
      <c r="L32" s="1" t="s">
        <v>6721</v>
      </c>
    </row>
    <row r="33" ht="15.75" customHeight="1">
      <c r="A33" s="1">
        <v>2269452.0</v>
      </c>
      <c r="B33" s="1" t="s">
        <v>419</v>
      </c>
      <c r="C33" s="1" t="s">
        <v>422</v>
      </c>
      <c r="D33" s="1" t="s">
        <v>224</v>
      </c>
      <c r="E33" s="1" t="s">
        <v>113</v>
      </c>
      <c r="F33" s="1" t="s">
        <v>6717</v>
      </c>
      <c r="G33" s="1" t="str">
        <f>IFERROR(VLOOKUP(A33,H_C!$A$2:$G$2628,7,0),"Validar HC")</f>
        <v>Soler, Maria</v>
      </c>
      <c r="H33" s="164">
        <v>1623501.0</v>
      </c>
      <c r="I33" s="1">
        <v>42.0</v>
      </c>
      <c r="L33" s="1" t="s">
        <v>5942</v>
      </c>
      <c r="N33" s="165">
        <v>1400000.0</v>
      </c>
      <c r="O33" s="1" t="s">
        <v>6722</v>
      </c>
    </row>
    <row r="34" ht="15.75" customHeight="1">
      <c r="A34" s="1">
        <v>2269729.0</v>
      </c>
      <c r="B34" s="1" t="s">
        <v>426</v>
      </c>
      <c r="C34" s="1" t="s">
        <v>428</v>
      </c>
      <c r="D34" s="1" t="s">
        <v>224</v>
      </c>
      <c r="E34" s="1" t="s">
        <v>425</v>
      </c>
      <c r="F34" s="1" t="s">
        <v>6717</v>
      </c>
      <c r="G34" s="1" t="str">
        <f>IFERROR(VLOOKUP(A34,H_C!$A$2:$G$2628,7,0),"Validar HC")</f>
        <v>Ospina, Michel</v>
      </c>
      <c r="H34" s="164">
        <v>1623501.0</v>
      </c>
      <c r="I34" s="1">
        <v>42.0</v>
      </c>
      <c r="L34" s="1" t="s">
        <v>6005</v>
      </c>
      <c r="N34" s="165" t="s">
        <v>6723</v>
      </c>
      <c r="O34" s="73">
        <v>0.3</v>
      </c>
    </row>
    <row r="35" ht="15.75" customHeight="1">
      <c r="A35" s="1">
        <v>2275797.0</v>
      </c>
      <c r="B35" s="1" t="s">
        <v>429</v>
      </c>
      <c r="C35" s="1" t="s">
        <v>431</v>
      </c>
      <c r="D35" s="1" t="s">
        <v>224</v>
      </c>
      <c r="E35" s="1" t="s">
        <v>412</v>
      </c>
      <c r="F35" s="1" t="s">
        <v>6717</v>
      </c>
      <c r="G35" s="1" t="str">
        <f>IFERROR(VLOOKUP(A35,H_C!$A$2:$G$2628,7,0),"Validar HC")</f>
        <v>Ospina, Michel</v>
      </c>
      <c r="H35" s="164">
        <v>1623501.0</v>
      </c>
      <c r="I35" s="1">
        <v>42.0</v>
      </c>
      <c r="L35" s="1" t="s">
        <v>6563</v>
      </c>
    </row>
    <row r="36" ht="15.75" customHeight="1">
      <c r="A36" s="1">
        <v>2282732.0</v>
      </c>
      <c r="B36" s="1" t="s">
        <v>436</v>
      </c>
      <c r="C36" s="1" t="s">
        <v>438</v>
      </c>
      <c r="D36" s="1" t="s">
        <v>224</v>
      </c>
      <c r="E36" s="1" t="s">
        <v>435</v>
      </c>
      <c r="F36" s="1" t="s">
        <v>6717</v>
      </c>
      <c r="G36" s="1" t="str">
        <f>IFERROR(VLOOKUP(A36,H_C!$A$2:$G$2628,7,0),"Validar HC")</f>
        <v>Soler, Maria</v>
      </c>
      <c r="H36" s="164">
        <v>1623501.0</v>
      </c>
      <c r="I36" s="1">
        <v>42.0</v>
      </c>
      <c r="L36" s="1" t="s">
        <v>6498</v>
      </c>
      <c r="N36" s="165">
        <v>1400000.0</v>
      </c>
      <c r="O36" s="1" t="s">
        <v>6724</v>
      </c>
    </row>
    <row r="37" ht="15.75" customHeight="1">
      <c r="A37" s="1">
        <v>2292985.0</v>
      </c>
      <c r="B37" s="1" t="s">
        <v>442</v>
      </c>
      <c r="C37" s="1" t="s">
        <v>444</v>
      </c>
      <c r="D37" s="1" t="s">
        <v>224</v>
      </c>
      <c r="E37" s="1" t="s">
        <v>441</v>
      </c>
      <c r="F37" s="1" t="s">
        <v>6717</v>
      </c>
      <c r="G37" s="1" t="str">
        <f>IFERROR(VLOOKUP(A37,H_C!$A$2:$G$2628,7,0),"Validar HC")</f>
        <v>Gonzalez, Cristian</v>
      </c>
      <c r="H37" s="164">
        <v>1623501.0</v>
      </c>
      <c r="I37" s="1">
        <v>42.0</v>
      </c>
      <c r="L37" s="1" t="s">
        <v>6655</v>
      </c>
      <c r="N37" s="165" t="s">
        <v>6723</v>
      </c>
      <c r="O37" s="73">
        <v>0.3</v>
      </c>
    </row>
    <row r="38" ht="15.75" customHeight="1">
      <c r="A38" s="1">
        <v>2306026.0</v>
      </c>
      <c r="B38" s="1" t="s">
        <v>447</v>
      </c>
      <c r="C38" s="1" t="s">
        <v>448</v>
      </c>
      <c r="D38" s="1" t="s">
        <v>224</v>
      </c>
      <c r="E38" s="1" t="s">
        <v>263</v>
      </c>
      <c r="F38" s="1" t="s">
        <v>6717</v>
      </c>
      <c r="G38" s="1" t="str">
        <f>IFERROR(VLOOKUP(A38,H_C!$A$2:$G$2628,7,0),"Validar HC")</f>
        <v>Garcia, Helmer</v>
      </c>
      <c r="H38" s="164">
        <v>1623501.0</v>
      </c>
      <c r="I38" s="1">
        <v>42.0</v>
      </c>
      <c r="L38" s="1" t="s">
        <v>6079</v>
      </c>
    </row>
    <row r="39" ht="15.75" customHeight="1">
      <c r="A39" s="1">
        <v>2307854.0</v>
      </c>
      <c r="B39" s="1" t="s">
        <v>451</v>
      </c>
      <c r="C39" s="1" t="s">
        <v>452</v>
      </c>
      <c r="D39" s="1" t="s">
        <v>224</v>
      </c>
      <c r="E39" s="1" t="s">
        <v>276</v>
      </c>
      <c r="F39" s="1" t="s">
        <v>6717</v>
      </c>
      <c r="G39" s="1" t="str">
        <f>IFERROR(VLOOKUP(A39,H_C!$A$2:$G$2628,7,0),"Validar HC")</f>
        <v>Gonzalez, Cristian</v>
      </c>
      <c r="H39" s="164">
        <v>1623501.0</v>
      </c>
      <c r="I39" s="1">
        <v>42.0</v>
      </c>
      <c r="L39" s="1" t="s">
        <v>6444</v>
      </c>
    </row>
    <row r="40" ht="15.75" customHeight="1">
      <c r="A40" s="1">
        <v>2384414.0</v>
      </c>
      <c r="B40" s="1" t="s">
        <v>458</v>
      </c>
      <c r="C40" s="1" t="s">
        <v>460</v>
      </c>
      <c r="D40" s="1" t="s">
        <v>224</v>
      </c>
      <c r="E40" s="1" t="s">
        <v>457</v>
      </c>
      <c r="F40" s="1" t="s">
        <v>6717</v>
      </c>
      <c r="G40" s="1" t="str">
        <f>IFERROR(VLOOKUP(A40,H_C!$A$2:$G$2628,7,0),"Validar HC")</f>
        <v>Celi, Juan</v>
      </c>
      <c r="H40" s="164">
        <v>1623501.0</v>
      </c>
      <c r="I40" s="1">
        <v>42.0</v>
      </c>
      <c r="L40" s="1" t="s">
        <v>5820</v>
      </c>
    </row>
    <row r="41" ht="15.75" customHeight="1">
      <c r="A41" s="1">
        <v>2430545.0</v>
      </c>
      <c r="B41" s="1" t="s">
        <v>463</v>
      </c>
      <c r="C41" s="1" t="s">
        <v>464</v>
      </c>
      <c r="D41" s="1" t="s">
        <v>224</v>
      </c>
      <c r="E41" s="1" t="s">
        <v>401</v>
      </c>
      <c r="F41" s="1" t="s">
        <v>6717</v>
      </c>
      <c r="G41" s="1" t="str">
        <f>IFERROR(VLOOKUP(A41,H_C!$A$2:$G$2628,7,0),"Validar HC")</f>
        <v>Martinez, Wendy</v>
      </c>
      <c r="H41" s="164">
        <v>1623501.0</v>
      </c>
      <c r="I41" s="1">
        <v>42.0</v>
      </c>
      <c r="L41" s="1" t="s">
        <v>5829</v>
      </c>
    </row>
    <row r="42" ht="15.75" customHeight="1">
      <c r="A42" s="1">
        <v>2452237.0</v>
      </c>
      <c r="B42" s="1" t="s">
        <v>468</v>
      </c>
      <c r="C42" s="1" t="s">
        <v>471</v>
      </c>
      <c r="D42" s="1" t="s">
        <v>224</v>
      </c>
      <c r="E42" s="1" t="s">
        <v>467</v>
      </c>
      <c r="F42" s="1" t="s">
        <v>6717</v>
      </c>
      <c r="G42" s="1" t="str">
        <f>IFERROR(VLOOKUP(A42,H_C!$A$2:$G$2628,7,0),"Validar HC")</f>
        <v>Martinez, Wendy</v>
      </c>
      <c r="H42" s="164">
        <v>1623501.0</v>
      </c>
      <c r="I42" s="1">
        <v>42.0</v>
      </c>
      <c r="L42" s="1" t="s">
        <v>6725</v>
      </c>
    </row>
    <row r="43" ht="15.75" customHeight="1">
      <c r="A43" s="1">
        <v>2455514.0</v>
      </c>
      <c r="B43" s="1" t="s">
        <v>474</v>
      </c>
      <c r="C43" s="1" t="s">
        <v>475</v>
      </c>
      <c r="D43" s="1" t="s">
        <v>224</v>
      </c>
      <c r="E43" s="1" t="s">
        <v>276</v>
      </c>
      <c r="F43" s="1" t="s">
        <v>6717</v>
      </c>
      <c r="G43" s="1" t="str">
        <f>IFERROR(VLOOKUP(A43,H_C!$A$2:$G$2628,7,0),"Validar HC")</f>
        <v>Gonzalez, Cristian</v>
      </c>
      <c r="H43" s="164">
        <v>1623501.0</v>
      </c>
      <c r="I43" s="1">
        <v>42.0</v>
      </c>
      <c r="L43" s="1" t="s">
        <v>6067</v>
      </c>
    </row>
    <row r="44" ht="15.75" customHeight="1">
      <c r="A44" s="1">
        <v>2570479.0</v>
      </c>
      <c r="B44" s="1" t="s">
        <v>479</v>
      </c>
      <c r="C44" s="1" t="s">
        <v>482</v>
      </c>
      <c r="D44" s="1" t="s">
        <v>224</v>
      </c>
      <c r="E44" s="1" t="s">
        <v>478</v>
      </c>
      <c r="F44" s="1" t="s">
        <v>6717</v>
      </c>
      <c r="G44" s="1" t="str">
        <f>IFERROR(VLOOKUP(A44,H_C!$A$2:$G$2628,7,0),"Validar HC")</f>
        <v>Celi, Juan</v>
      </c>
      <c r="H44" s="164">
        <v>1623501.0</v>
      </c>
      <c r="I44" s="1">
        <v>42.0</v>
      </c>
      <c r="L44" s="1" t="s">
        <v>6726</v>
      </c>
    </row>
    <row r="45" ht="15.75" customHeight="1">
      <c r="A45" s="1">
        <v>2587731.0</v>
      </c>
      <c r="B45" s="1" t="s">
        <v>486</v>
      </c>
      <c r="C45" s="1" t="s">
        <v>488</v>
      </c>
      <c r="D45" s="1" t="s">
        <v>224</v>
      </c>
      <c r="E45" s="1" t="s">
        <v>485</v>
      </c>
      <c r="F45" s="1" t="s">
        <v>6717</v>
      </c>
      <c r="G45" s="1" t="str">
        <f>IFERROR(VLOOKUP(A45,H_C!$A$2:$G$2628,7,0),"Validar HC")</f>
        <v>Martinez, Wendy</v>
      </c>
      <c r="H45" s="164">
        <v>1623501.0</v>
      </c>
      <c r="I45" s="1">
        <v>42.0</v>
      </c>
      <c r="L45" s="1" t="s">
        <v>6673</v>
      </c>
    </row>
    <row r="46" ht="15.75" customHeight="1">
      <c r="A46" s="1">
        <v>2621136.0</v>
      </c>
      <c r="B46" s="1" t="s">
        <v>492</v>
      </c>
      <c r="C46" s="1" t="s">
        <v>495</v>
      </c>
      <c r="D46" s="1" t="s">
        <v>224</v>
      </c>
      <c r="E46" s="1" t="s">
        <v>491</v>
      </c>
      <c r="F46" s="1" t="s">
        <v>6717</v>
      </c>
      <c r="G46" s="1" t="str">
        <f>IFERROR(VLOOKUP(A46,H_C!$A$2:$G$2628,7,0),"Validar HC")</f>
        <v>Soler, Maria</v>
      </c>
      <c r="H46" s="164">
        <v>1623501.0</v>
      </c>
      <c r="I46" s="1">
        <v>42.0</v>
      </c>
      <c r="L46" s="1" t="s">
        <v>6504</v>
      </c>
    </row>
    <row r="47" ht="15.75" customHeight="1">
      <c r="A47" s="1">
        <v>2634994.0</v>
      </c>
      <c r="B47" s="1" t="s">
        <v>498</v>
      </c>
      <c r="C47" s="1" t="s">
        <v>500</v>
      </c>
      <c r="D47" s="1" t="s">
        <v>224</v>
      </c>
      <c r="E47" s="1" t="s">
        <v>232</v>
      </c>
      <c r="F47" s="1" t="s">
        <v>6717</v>
      </c>
      <c r="G47" s="1" t="str">
        <f>IFERROR(VLOOKUP(A47,H_C!$A$2:$G$2628,7,0),"Validar HC")</f>
        <v>Soler, Maria</v>
      </c>
      <c r="H47" s="164">
        <v>1623501.0</v>
      </c>
      <c r="I47" s="1">
        <v>42.0</v>
      </c>
      <c r="L47" s="1" t="s">
        <v>6249</v>
      </c>
    </row>
    <row r="48" ht="15.75" customHeight="1">
      <c r="A48" s="1">
        <v>2644855.0</v>
      </c>
      <c r="B48" s="1" t="s">
        <v>134</v>
      </c>
      <c r="C48" s="1" t="s">
        <v>505</v>
      </c>
      <c r="D48" s="1" t="s">
        <v>224</v>
      </c>
      <c r="E48" s="1" t="s">
        <v>81</v>
      </c>
      <c r="F48" s="1" t="s">
        <v>6717</v>
      </c>
      <c r="G48" s="1" t="str">
        <f>IFERROR(VLOOKUP(A48,H_C!$A$2:$G$2628,7,0),"Validar HC")</f>
        <v>Ospina, Michel</v>
      </c>
      <c r="H48" s="164">
        <v>1623501.0</v>
      </c>
      <c r="I48" s="1">
        <v>42.0</v>
      </c>
      <c r="L48" s="1" t="s">
        <v>6727</v>
      </c>
    </row>
    <row r="49" ht="15.75" customHeight="1">
      <c r="A49" s="1">
        <v>2704721.0</v>
      </c>
      <c r="B49" s="1" t="s">
        <v>509</v>
      </c>
      <c r="C49" s="1" t="s">
        <v>511</v>
      </c>
      <c r="D49" s="1" t="s">
        <v>224</v>
      </c>
      <c r="E49" s="1" t="s">
        <v>506</v>
      </c>
      <c r="F49" s="1" t="s">
        <v>6717</v>
      </c>
      <c r="G49" s="1" t="str">
        <f>IFERROR(VLOOKUP(A49,H_C!$A$2:$G$2628,7,0),"Validar HC")</f>
        <v>Ospina, Michel</v>
      </c>
      <c r="H49" s="164">
        <v>1623501.0</v>
      </c>
      <c r="I49" s="1">
        <v>42.0</v>
      </c>
      <c r="L49" s="1" t="s">
        <v>6639</v>
      </c>
    </row>
    <row r="50" ht="15.75" customHeight="1">
      <c r="A50" s="1">
        <v>2768293.0</v>
      </c>
      <c r="B50" s="1" t="s">
        <v>515</v>
      </c>
      <c r="C50" s="1" t="s">
        <v>516</v>
      </c>
      <c r="D50" s="1" t="s">
        <v>224</v>
      </c>
      <c r="E50" s="1" t="s">
        <v>514</v>
      </c>
      <c r="F50" s="1" t="s">
        <v>6717</v>
      </c>
      <c r="G50" s="1" t="str">
        <f>IFERROR(VLOOKUP(A50,H_C!$A$2:$G$2628,7,0),"Validar HC")</f>
        <v>Garatejo, Natalia</v>
      </c>
      <c r="H50" s="164">
        <v>1623501.0</v>
      </c>
      <c r="I50" s="1">
        <v>42.0</v>
      </c>
      <c r="L50" s="1" t="s">
        <v>6108</v>
      </c>
    </row>
    <row r="51" ht="15.75" customHeight="1">
      <c r="A51" s="1">
        <v>3195695.0</v>
      </c>
      <c r="B51" s="1" t="s">
        <v>31</v>
      </c>
      <c r="C51" s="1" t="s">
        <v>744</v>
      </c>
      <c r="D51" s="1" t="s">
        <v>224</v>
      </c>
      <c r="E51" s="1" t="s">
        <v>13</v>
      </c>
      <c r="F51" s="1" t="s">
        <v>6717</v>
      </c>
      <c r="G51" s="1" t="str">
        <f>IFERROR(VLOOKUP(A51,H_C!$A$2:$G$2628,7,0),"Validar HC")</f>
        <v>Ospina, Michel</v>
      </c>
      <c r="H51" s="162">
        <v>1600000.0</v>
      </c>
      <c r="I51" s="1">
        <v>42.0</v>
      </c>
      <c r="L51" s="1" t="s">
        <v>6605</v>
      </c>
    </row>
    <row r="52" ht="15.75" customHeight="1">
      <c r="A52" s="1">
        <v>2912072.0</v>
      </c>
      <c r="B52" s="1" t="s">
        <v>523</v>
      </c>
      <c r="C52" s="1" t="s">
        <v>525</v>
      </c>
      <c r="D52" s="1" t="s">
        <v>224</v>
      </c>
      <c r="E52" s="1" t="s">
        <v>522</v>
      </c>
      <c r="F52" s="1" t="s">
        <v>6717</v>
      </c>
      <c r="G52" s="1" t="str">
        <f>IFERROR(VLOOKUP(A52,H_C!$A$2:$G$2628,7,0),"Validar HC")</f>
        <v>Martinez, Wendy</v>
      </c>
      <c r="H52" s="164">
        <v>1623501.0</v>
      </c>
      <c r="I52" s="1">
        <v>42.0</v>
      </c>
      <c r="L52" s="1" t="s">
        <v>6650</v>
      </c>
    </row>
    <row r="53" ht="15.75" customHeight="1">
      <c r="A53" s="1">
        <v>2956647.0</v>
      </c>
      <c r="B53" s="1" t="s">
        <v>531</v>
      </c>
      <c r="C53" s="1" t="s">
        <v>534</v>
      </c>
      <c r="D53" s="1" t="s">
        <v>224</v>
      </c>
      <c r="E53" s="1" t="s">
        <v>530</v>
      </c>
      <c r="F53" s="1" t="s">
        <v>6717</v>
      </c>
      <c r="G53" s="1" t="str">
        <f>IFERROR(VLOOKUP(A53,H_C!$A$2:$G$2628,7,0),"Validar HC")</f>
        <v>Garcia, Helmer</v>
      </c>
      <c r="H53" s="164">
        <v>1623501.0</v>
      </c>
      <c r="I53" s="1">
        <v>42.0</v>
      </c>
      <c r="L53" s="1" t="s">
        <v>6398</v>
      </c>
    </row>
    <row r="54" ht="15.75" customHeight="1">
      <c r="A54" s="1">
        <v>2987885.0</v>
      </c>
      <c r="B54" s="1" t="s">
        <v>538</v>
      </c>
      <c r="C54" s="1" t="s">
        <v>542</v>
      </c>
      <c r="D54" s="1" t="s">
        <v>224</v>
      </c>
      <c r="E54" s="1" t="s">
        <v>537</v>
      </c>
      <c r="F54" s="1" t="s">
        <v>6717</v>
      </c>
      <c r="G54" s="1" t="str">
        <f>IFERROR(VLOOKUP(A54,H_C!$A$2:$G$2628,7,0),"Validar HC")</f>
        <v>Ayala, Giselle</v>
      </c>
      <c r="H54" s="164">
        <v>1623501.0</v>
      </c>
      <c r="I54" s="1">
        <v>42.0</v>
      </c>
      <c r="L54" s="1" t="s">
        <v>6728</v>
      </c>
    </row>
    <row r="55" ht="15.75" customHeight="1">
      <c r="A55" s="1">
        <v>3024170.0</v>
      </c>
      <c r="B55" s="1" t="s">
        <v>545</v>
      </c>
      <c r="C55" s="1" t="s">
        <v>546</v>
      </c>
      <c r="D55" s="1" t="s">
        <v>224</v>
      </c>
      <c r="E55" s="1" t="s">
        <v>374</v>
      </c>
      <c r="F55" s="1" t="s">
        <v>6717</v>
      </c>
      <c r="G55" s="1" t="str">
        <f>IFERROR(VLOOKUP(A55,H_C!$A$2:$G$2628,7,0),"Validar HC")</f>
        <v>Martinez, Wendy</v>
      </c>
      <c r="H55" s="164">
        <v>1623501.0</v>
      </c>
      <c r="I55" s="1">
        <v>42.0</v>
      </c>
    </row>
    <row r="56" ht="15.75" customHeight="1">
      <c r="A56" s="1">
        <v>3046244.0</v>
      </c>
      <c r="B56" s="1" t="s">
        <v>550</v>
      </c>
      <c r="C56" s="1" t="s">
        <v>552</v>
      </c>
      <c r="D56" s="1" t="s">
        <v>224</v>
      </c>
      <c r="E56" s="1" t="s">
        <v>549</v>
      </c>
      <c r="F56" s="1" t="s">
        <v>6717</v>
      </c>
      <c r="G56" s="1" t="str">
        <f>IFERROR(VLOOKUP(A56,H_C!$A$2:$G$2628,7,0),"Validar HC")</f>
        <v>Soler, Maria</v>
      </c>
      <c r="H56" s="164">
        <v>1623501.0</v>
      </c>
      <c r="I56" s="1">
        <v>42.0</v>
      </c>
    </row>
    <row r="57" ht="15.75" customHeight="1">
      <c r="A57" s="1">
        <v>3050288.0</v>
      </c>
      <c r="B57" s="1" t="s">
        <v>556</v>
      </c>
      <c r="C57" s="1" t="s">
        <v>559</v>
      </c>
      <c r="D57" s="1" t="s">
        <v>224</v>
      </c>
      <c r="E57" s="1" t="s">
        <v>555</v>
      </c>
      <c r="F57" s="1" t="s">
        <v>6717</v>
      </c>
      <c r="G57" s="1" t="str">
        <f>IFERROR(VLOOKUP(A57,H_C!$A$2:$G$2628,7,0),"Validar HC")</f>
        <v>Ayala, Giselle</v>
      </c>
      <c r="H57" s="164">
        <v>1623501.0</v>
      </c>
      <c r="I57" s="1">
        <v>42.0</v>
      </c>
    </row>
    <row r="58" ht="15.75" customHeight="1">
      <c r="A58" s="1">
        <v>3052449.0</v>
      </c>
      <c r="B58" s="1" t="s">
        <v>562</v>
      </c>
      <c r="C58" s="1" t="s">
        <v>564</v>
      </c>
      <c r="D58" s="1" t="s">
        <v>224</v>
      </c>
      <c r="E58" s="1" t="s">
        <v>361</v>
      </c>
      <c r="F58" s="1" t="s">
        <v>6717</v>
      </c>
      <c r="G58" s="1" t="str">
        <f>IFERROR(VLOOKUP(A58,H_C!$A$2:$G$2628,7,0),"Validar HC")</f>
        <v>Gonzalez, Cristian</v>
      </c>
      <c r="H58" s="164">
        <v>1623501.0</v>
      </c>
      <c r="I58" s="1">
        <v>42.0</v>
      </c>
    </row>
    <row r="59" ht="15.75" customHeight="1">
      <c r="A59" s="1">
        <v>3053672.0</v>
      </c>
      <c r="B59" s="1" t="s">
        <v>568</v>
      </c>
      <c r="C59" s="1" t="s">
        <v>569</v>
      </c>
      <c r="D59" s="1" t="s">
        <v>224</v>
      </c>
      <c r="E59" s="1" t="s">
        <v>567</v>
      </c>
      <c r="F59" s="1" t="s">
        <v>6717</v>
      </c>
      <c r="G59" s="1" t="str">
        <f>IFERROR(VLOOKUP(A59,H_C!$A$2:$G$2628,7,0),"Validar HC")</f>
        <v>Martinez, Wendy</v>
      </c>
      <c r="H59" s="164">
        <v>1623501.0</v>
      </c>
      <c r="I59" s="1">
        <v>42.0</v>
      </c>
    </row>
    <row r="60" ht="15.75" customHeight="1">
      <c r="A60" s="1">
        <v>3061299.0</v>
      </c>
      <c r="B60" s="1" t="s">
        <v>572</v>
      </c>
      <c r="C60" s="1" t="s">
        <v>574</v>
      </c>
      <c r="D60" s="1" t="s">
        <v>224</v>
      </c>
      <c r="E60" s="1" t="s">
        <v>491</v>
      </c>
      <c r="F60" s="1" t="s">
        <v>6717</v>
      </c>
      <c r="G60" s="1" t="str">
        <f>IFERROR(VLOOKUP(A60,H_C!$A$2:$G$2628,7,0),"Validar HC")</f>
        <v>Soler, Maria</v>
      </c>
      <c r="H60" s="164">
        <v>1623501.0</v>
      </c>
      <c r="I60" s="1">
        <v>42.0</v>
      </c>
    </row>
    <row r="61" ht="15.75" customHeight="1">
      <c r="A61" s="1">
        <v>3066276.0</v>
      </c>
      <c r="B61" s="1" t="s">
        <v>577</v>
      </c>
      <c r="C61" s="1" t="s">
        <v>579</v>
      </c>
      <c r="D61" s="1" t="s">
        <v>224</v>
      </c>
      <c r="E61" s="1" t="s">
        <v>537</v>
      </c>
      <c r="F61" s="1" t="s">
        <v>6717</v>
      </c>
      <c r="G61" s="1" t="str">
        <f>IFERROR(VLOOKUP(A61,H_C!$A$2:$G$2628,7,0),"Validar HC")</f>
        <v>Ayala, Giselle</v>
      </c>
      <c r="H61" s="164">
        <v>1623501.0</v>
      </c>
      <c r="I61" s="1">
        <v>42.0</v>
      </c>
    </row>
    <row r="62" ht="15.75" customHeight="1">
      <c r="A62" s="1">
        <v>3070802.0</v>
      </c>
      <c r="B62" s="1" t="s">
        <v>582</v>
      </c>
      <c r="C62" s="1" t="s">
        <v>584</v>
      </c>
      <c r="D62" s="1" t="s">
        <v>224</v>
      </c>
      <c r="E62" s="1" t="s">
        <v>323</v>
      </c>
      <c r="F62" s="1" t="s">
        <v>6717</v>
      </c>
      <c r="G62" s="1" t="str">
        <f>IFERROR(VLOOKUP(A62,H_C!$A$2:$G$2628,7,0),"Validar HC")</f>
        <v>Martinez, Wendy</v>
      </c>
      <c r="H62" s="164">
        <v>1623501.0</v>
      </c>
      <c r="I62" s="1">
        <v>42.0</v>
      </c>
    </row>
    <row r="63" ht="15.75" customHeight="1">
      <c r="A63" s="1">
        <v>3070804.0</v>
      </c>
      <c r="B63" s="1" t="s">
        <v>588</v>
      </c>
      <c r="C63" s="1" t="s">
        <v>589</v>
      </c>
      <c r="D63" s="1" t="s">
        <v>224</v>
      </c>
      <c r="E63" s="1" t="s">
        <v>587</v>
      </c>
      <c r="F63" s="1" t="s">
        <v>6717</v>
      </c>
      <c r="G63" s="1" t="str">
        <f>IFERROR(VLOOKUP(A63,H_C!$A$2:$G$2628,7,0),"Validar HC")</f>
        <v>Garcia, Helmer</v>
      </c>
      <c r="H63" s="164">
        <v>1623501.0</v>
      </c>
      <c r="I63" s="1">
        <v>42.0</v>
      </c>
    </row>
    <row r="64" ht="15.75" customHeight="1">
      <c r="A64" s="1">
        <v>3070810.0</v>
      </c>
      <c r="B64" s="1" t="s">
        <v>593</v>
      </c>
      <c r="C64" s="1" t="s">
        <v>594</v>
      </c>
      <c r="D64" s="1" t="s">
        <v>224</v>
      </c>
      <c r="E64" s="1" t="s">
        <v>592</v>
      </c>
      <c r="F64" s="1" t="s">
        <v>6717</v>
      </c>
      <c r="G64" s="1" t="str">
        <f>IFERROR(VLOOKUP(A64,H_C!$A$2:$G$2628,7,0),"Validar HC")</f>
        <v>Garcia, Helmer</v>
      </c>
      <c r="H64" s="164">
        <v>1623501.0</v>
      </c>
      <c r="I64" s="1">
        <v>42.0</v>
      </c>
    </row>
    <row r="65" ht="15.75" customHeight="1">
      <c r="A65" s="1">
        <v>3070813.0</v>
      </c>
      <c r="B65" s="1" t="s">
        <v>597</v>
      </c>
      <c r="C65" s="1" t="s">
        <v>599</v>
      </c>
      <c r="D65" s="1" t="s">
        <v>224</v>
      </c>
      <c r="E65" s="1" t="s">
        <v>246</v>
      </c>
      <c r="F65" s="1" t="s">
        <v>6717</v>
      </c>
      <c r="G65" s="1" t="str">
        <f>IFERROR(VLOOKUP(A65,H_C!$A$2:$G$2628,7,0),"Validar HC")</f>
        <v>Garcia, Helmer</v>
      </c>
      <c r="H65" s="164">
        <v>1623501.0</v>
      </c>
      <c r="I65" s="1">
        <v>42.0</v>
      </c>
    </row>
    <row r="66" ht="15.75" customHeight="1">
      <c r="A66" s="1">
        <v>3070828.0</v>
      </c>
      <c r="B66" s="1" t="s">
        <v>602</v>
      </c>
      <c r="C66" s="1" t="s">
        <v>603</v>
      </c>
      <c r="D66" s="1" t="s">
        <v>224</v>
      </c>
      <c r="E66" s="1" t="s">
        <v>587</v>
      </c>
      <c r="F66" s="1" t="s">
        <v>6717</v>
      </c>
      <c r="G66" s="1" t="str">
        <f>IFERROR(VLOOKUP(A66,H_C!$A$2:$G$2628,7,0),"Validar HC")</f>
        <v>Garcia, Helmer</v>
      </c>
      <c r="H66" s="164">
        <v>1623501.0</v>
      </c>
      <c r="I66" s="1">
        <v>42.0</v>
      </c>
    </row>
    <row r="67" ht="15.75" customHeight="1">
      <c r="A67" s="1">
        <v>3075981.0</v>
      </c>
      <c r="B67" s="1" t="s">
        <v>606</v>
      </c>
      <c r="C67" s="1" t="s">
        <v>607</v>
      </c>
      <c r="D67" s="1" t="s">
        <v>224</v>
      </c>
      <c r="E67" s="1" t="s">
        <v>514</v>
      </c>
      <c r="F67" s="1" t="s">
        <v>6717</v>
      </c>
      <c r="G67" s="1" t="str">
        <f>IFERROR(VLOOKUP(A67,H_C!$A$2:$G$2628,7,0),"Validar HC")</f>
        <v>Garatejo, Natalia</v>
      </c>
      <c r="H67" s="164">
        <v>1623501.0</v>
      </c>
      <c r="I67" s="1">
        <v>42.0</v>
      </c>
    </row>
    <row r="68" ht="15.75" customHeight="1">
      <c r="A68" s="1">
        <v>3083590.0</v>
      </c>
      <c r="B68" s="1" t="s">
        <v>610</v>
      </c>
      <c r="C68" s="1" t="s">
        <v>611</v>
      </c>
      <c r="D68" s="1" t="s">
        <v>224</v>
      </c>
      <c r="E68" s="1" t="s">
        <v>297</v>
      </c>
      <c r="F68" s="1" t="s">
        <v>6717</v>
      </c>
      <c r="G68" s="1" t="str">
        <f>IFERROR(VLOOKUP(A68,H_C!$A$2:$G$2628,7,0),"Validar HC")</f>
        <v>Garatejo, Natalia</v>
      </c>
      <c r="H68" s="164">
        <v>1623501.0</v>
      </c>
      <c r="I68" s="1">
        <v>42.0</v>
      </c>
    </row>
    <row r="69" ht="15.75" customHeight="1">
      <c r="A69" s="1">
        <v>3083610.0</v>
      </c>
      <c r="B69" s="1" t="s">
        <v>614</v>
      </c>
      <c r="C69" s="1" t="s">
        <v>615</v>
      </c>
      <c r="D69" s="1" t="s">
        <v>224</v>
      </c>
      <c r="E69" s="1" t="s">
        <v>385</v>
      </c>
      <c r="F69" s="1" t="s">
        <v>6717</v>
      </c>
      <c r="G69" s="1" t="str">
        <f>IFERROR(VLOOKUP(A69,H_C!$A$2:$G$2628,7,0),"Validar HC")</f>
        <v>Garatejo, Natalia</v>
      </c>
      <c r="H69" s="164">
        <v>1623501.0</v>
      </c>
      <c r="I69" s="1">
        <v>42.0</v>
      </c>
    </row>
    <row r="70" ht="15.75" customHeight="1">
      <c r="A70" s="1">
        <v>3101495.0</v>
      </c>
      <c r="B70" s="1" t="s">
        <v>620</v>
      </c>
      <c r="C70" s="1" t="s">
        <v>621</v>
      </c>
      <c r="D70" s="1" t="s">
        <v>224</v>
      </c>
      <c r="E70" s="1" t="s">
        <v>587</v>
      </c>
      <c r="F70" s="1" t="s">
        <v>6717</v>
      </c>
      <c r="G70" s="1" t="str">
        <f>IFERROR(VLOOKUP(A70,H_C!$A$2:$G$2628,7,0),"Validar HC")</f>
        <v>Garcia, Helmer</v>
      </c>
      <c r="H70" s="164">
        <v>1623501.0</v>
      </c>
      <c r="I70" s="1">
        <v>42.0</v>
      </c>
    </row>
    <row r="71" ht="15.75" customHeight="1">
      <c r="A71" s="1">
        <v>3101825.0</v>
      </c>
      <c r="B71" s="1" t="s">
        <v>624</v>
      </c>
      <c r="C71" s="1" t="s">
        <v>625</v>
      </c>
      <c r="D71" s="1" t="s">
        <v>224</v>
      </c>
      <c r="E71" s="1" t="s">
        <v>116</v>
      </c>
      <c r="F71" s="1" t="s">
        <v>6717</v>
      </c>
      <c r="G71" s="1" t="str">
        <f>IFERROR(VLOOKUP(A71,H_C!$A$2:$G$2628,7,0),"Validar HC")</f>
        <v>Ospina, Michel</v>
      </c>
      <c r="H71" s="164">
        <v>1623501.0</v>
      </c>
      <c r="I71" s="1">
        <v>42.0</v>
      </c>
    </row>
    <row r="72" ht="15.75" customHeight="1">
      <c r="A72" s="1">
        <v>3104166.0</v>
      </c>
      <c r="B72" s="1" t="s">
        <v>628</v>
      </c>
      <c r="C72" s="1" t="s">
        <v>629</v>
      </c>
      <c r="D72" s="1" t="s">
        <v>224</v>
      </c>
      <c r="E72" s="1" t="s">
        <v>391</v>
      </c>
      <c r="F72" s="1" t="s">
        <v>6717</v>
      </c>
      <c r="G72" s="1" t="str">
        <f>IFERROR(VLOOKUP(A72,H_C!$A$2:$G$2628,7,0),"Validar HC")</f>
        <v>Garcia, Helmer</v>
      </c>
      <c r="H72" s="164">
        <v>1623501.0</v>
      </c>
      <c r="I72" s="1">
        <v>42.0</v>
      </c>
    </row>
    <row r="73" ht="15.75" customHeight="1">
      <c r="A73" s="1">
        <v>3112109.0</v>
      </c>
      <c r="B73" s="1" t="s">
        <v>633</v>
      </c>
      <c r="C73" s="1" t="s">
        <v>635</v>
      </c>
      <c r="D73" s="1" t="s">
        <v>224</v>
      </c>
      <c r="E73" s="1" t="s">
        <v>806</v>
      </c>
      <c r="F73" s="1" t="s">
        <v>6717</v>
      </c>
      <c r="G73" s="1" t="str">
        <f>IFERROR(VLOOKUP(A73,H_C!$A$2:$G$2628,7,0),"Validar HC")</f>
        <v>Gonzalez, Cristian</v>
      </c>
      <c r="H73" s="164">
        <v>1623501.0</v>
      </c>
      <c r="I73" s="1">
        <v>42.0</v>
      </c>
    </row>
    <row r="74" ht="15.75" customHeight="1">
      <c r="A74" s="1">
        <v>3115262.0</v>
      </c>
      <c r="B74" s="1" t="s">
        <v>638</v>
      </c>
      <c r="C74" s="1" t="s">
        <v>639</v>
      </c>
      <c r="D74" s="1" t="s">
        <v>224</v>
      </c>
      <c r="E74" s="1" t="s">
        <v>323</v>
      </c>
      <c r="F74" s="1" t="s">
        <v>6717</v>
      </c>
      <c r="G74" s="1" t="str">
        <f>IFERROR(VLOOKUP(A74,H_C!$A$2:$G$2628,7,0),"Validar HC")</f>
        <v>Martinez, Wendy</v>
      </c>
      <c r="H74" s="164">
        <v>1623501.0</v>
      </c>
      <c r="I74" s="1">
        <v>42.0</v>
      </c>
    </row>
    <row r="75" ht="15.75" customHeight="1">
      <c r="A75" s="1">
        <v>3123300.0</v>
      </c>
      <c r="B75" s="1" t="s">
        <v>642</v>
      </c>
      <c r="C75" s="1" t="s">
        <v>645</v>
      </c>
      <c r="D75" s="1" t="s">
        <v>224</v>
      </c>
      <c r="E75" s="1" t="s">
        <v>121</v>
      </c>
      <c r="F75" s="1" t="s">
        <v>6717</v>
      </c>
      <c r="G75" s="1" t="str">
        <f>IFERROR(VLOOKUP(A75,H_C!$A$2:$G$2628,7,0),"Validar HC")</f>
        <v>Ospina, Michel</v>
      </c>
      <c r="H75" s="164">
        <v>1623501.0</v>
      </c>
      <c r="I75" s="1">
        <v>42.0</v>
      </c>
    </row>
    <row r="76" ht="15.75" customHeight="1">
      <c r="A76" s="1">
        <v>3125870.0</v>
      </c>
      <c r="B76" s="1" t="s">
        <v>648</v>
      </c>
      <c r="C76" s="1" t="s">
        <v>650</v>
      </c>
      <c r="D76" s="1" t="s">
        <v>224</v>
      </c>
      <c r="E76" s="1" t="s">
        <v>526</v>
      </c>
      <c r="F76" s="1" t="s">
        <v>6717</v>
      </c>
      <c r="G76" s="1" t="str">
        <f>IFERROR(VLOOKUP(A76,H_C!$A$2:$G$2628,7,0),"Validar HC")</f>
        <v>Martinez, Wendy</v>
      </c>
      <c r="H76" s="164">
        <v>1623501.0</v>
      </c>
      <c r="I76" s="1">
        <v>42.0</v>
      </c>
    </row>
    <row r="77" ht="15.75" customHeight="1">
      <c r="A77" s="1">
        <v>3125875.0</v>
      </c>
      <c r="B77" s="1" t="s">
        <v>6729</v>
      </c>
      <c r="C77" s="1" t="s">
        <v>6730</v>
      </c>
      <c r="D77" s="1" t="s">
        <v>224</v>
      </c>
      <c r="E77" s="1" t="s">
        <v>457</v>
      </c>
      <c r="F77" s="1" t="s">
        <v>6717</v>
      </c>
      <c r="G77" s="1" t="str">
        <f>IFERROR(VLOOKUP(A77,H_C!$A$2:$G$2628,7,0),"Validar HC")</f>
        <v>Validar HC</v>
      </c>
      <c r="H77" s="164">
        <v>1623501.0</v>
      </c>
      <c r="I77" s="1">
        <v>42.0</v>
      </c>
    </row>
    <row r="78" ht="15.75" customHeight="1">
      <c r="A78" s="1">
        <v>3129228.0</v>
      </c>
      <c r="B78" s="1" t="s">
        <v>653</v>
      </c>
      <c r="C78" s="1" t="s">
        <v>654</v>
      </c>
      <c r="D78" s="1" t="s">
        <v>224</v>
      </c>
      <c r="E78" s="1" t="s">
        <v>425</v>
      </c>
      <c r="F78" s="1" t="s">
        <v>6717</v>
      </c>
      <c r="G78" s="1" t="str">
        <f>IFERROR(VLOOKUP(A78,H_C!$A$2:$G$2628,7,0),"Validar HC")</f>
        <v>Ospina, Michel</v>
      </c>
      <c r="H78" s="164">
        <v>1623501.0</v>
      </c>
      <c r="I78" s="1">
        <v>42.0</v>
      </c>
    </row>
    <row r="79" ht="15.75" customHeight="1">
      <c r="A79" s="1">
        <v>3139193.0</v>
      </c>
      <c r="B79" s="1" t="s">
        <v>657</v>
      </c>
      <c r="C79" s="1" t="s">
        <v>659</v>
      </c>
      <c r="D79" s="1" t="s">
        <v>224</v>
      </c>
      <c r="E79" s="1" t="s">
        <v>522</v>
      </c>
      <c r="F79" s="1" t="s">
        <v>6717</v>
      </c>
      <c r="G79" s="1" t="str">
        <f>IFERROR(VLOOKUP(A79,H_C!$A$2:$G$2628,7,0),"Validar HC")</f>
        <v>Martinez, Wendy</v>
      </c>
      <c r="H79" s="164">
        <v>1623501.0</v>
      </c>
      <c r="I79" s="1">
        <v>42.0</v>
      </c>
    </row>
    <row r="80" ht="15.75" customHeight="1">
      <c r="A80" s="1">
        <v>3144705.0</v>
      </c>
      <c r="B80" s="1" t="s">
        <v>662</v>
      </c>
      <c r="C80" s="1" t="s">
        <v>663</v>
      </c>
      <c r="D80" s="1" t="s">
        <v>224</v>
      </c>
      <c r="E80" s="1" t="s">
        <v>522</v>
      </c>
      <c r="F80" s="1" t="s">
        <v>6717</v>
      </c>
      <c r="G80" s="1" t="str">
        <f>IFERROR(VLOOKUP(A80,H_C!$A$2:$G$2628,7,0),"Validar HC")</f>
        <v>Martinez, Wendy</v>
      </c>
      <c r="H80" s="164">
        <v>1623501.0</v>
      </c>
      <c r="I80" s="1">
        <v>42.0</v>
      </c>
    </row>
    <row r="81" ht="15.75" customHeight="1">
      <c r="A81" s="1">
        <v>3144719.0</v>
      </c>
      <c r="B81" s="1" t="s">
        <v>666</v>
      </c>
      <c r="C81" s="1" t="s">
        <v>668</v>
      </c>
      <c r="D81" s="1" t="s">
        <v>224</v>
      </c>
      <c r="E81" s="1" t="s">
        <v>526</v>
      </c>
      <c r="F81" s="1" t="s">
        <v>6717</v>
      </c>
      <c r="G81" s="1" t="str">
        <f>IFERROR(VLOOKUP(A81,H_C!$A$2:$G$2628,7,0),"Validar HC")</f>
        <v>Martinez, Wendy</v>
      </c>
      <c r="H81" s="164">
        <v>1623501.0</v>
      </c>
      <c r="I81" s="1">
        <v>42.0</v>
      </c>
    </row>
    <row r="82" ht="15.75" customHeight="1">
      <c r="A82" s="1">
        <v>3144735.0</v>
      </c>
      <c r="B82" s="1" t="s">
        <v>671</v>
      </c>
      <c r="C82" s="1" t="s">
        <v>673</v>
      </c>
      <c r="D82" s="1" t="s">
        <v>224</v>
      </c>
      <c r="E82" s="1" t="s">
        <v>485</v>
      </c>
      <c r="F82" s="1" t="s">
        <v>6717</v>
      </c>
      <c r="G82" s="1" t="str">
        <f>IFERROR(VLOOKUP(A82,H_C!$A$2:$G$2628,7,0),"Validar HC")</f>
        <v>Martinez, Wendy</v>
      </c>
      <c r="H82" s="164">
        <v>1623501.0</v>
      </c>
      <c r="I82" s="1">
        <v>42.0</v>
      </c>
    </row>
    <row r="83" ht="15.75" customHeight="1">
      <c r="A83" s="1">
        <v>3147908.0</v>
      </c>
      <c r="B83" s="1" t="s">
        <v>677</v>
      </c>
      <c r="C83" s="1" t="s">
        <v>680</v>
      </c>
      <c r="D83" s="1" t="s">
        <v>224</v>
      </c>
      <c r="E83" s="1" t="s">
        <v>676</v>
      </c>
      <c r="F83" s="1" t="s">
        <v>6717</v>
      </c>
      <c r="G83" s="1" t="str">
        <f>IFERROR(VLOOKUP(A83,H_C!$A$2:$G$2628,7,0),"Validar HC")</f>
        <v>Garatejo, Natalia</v>
      </c>
      <c r="H83" s="164">
        <v>1623501.0</v>
      </c>
      <c r="I83" s="1">
        <v>42.0</v>
      </c>
    </row>
    <row r="84" ht="15.75" customHeight="1">
      <c r="A84" s="1">
        <v>3150056.0</v>
      </c>
      <c r="B84" s="1" t="s">
        <v>683</v>
      </c>
      <c r="C84" s="1" t="s">
        <v>684</v>
      </c>
      <c r="D84" s="1" t="s">
        <v>224</v>
      </c>
      <c r="E84" s="1" t="s">
        <v>506</v>
      </c>
      <c r="F84" s="1" t="s">
        <v>6717</v>
      </c>
      <c r="G84" s="1" t="str">
        <f>IFERROR(VLOOKUP(A84,H_C!$A$2:$G$2628,7,0),"Validar HC")</f>
        <v>Ospina, Michel</v>
      </c>
      <c r="H84" s="164">
        <v>1623501.0</v>
      </c>
      <c r="I84" s="1">
        <v>42.0</v>
      </c>
    </row>
    <row r="85" ht="15.75" customHeight="1">
      <c r="A85" s="1">
        <v>3150082.0</v>
      </c>
      <c r="B85" s="1" t="s">
        <v>687</v>
      </c>
      <c r="C85" s="1" t="s">
        <v>688</v>
      </c>
      <c r="D85" s="1" t="s">
        <v>224</v>
      </c>
      <c r="E85" s="1" t="s">
        <v>432</v>
      </c>
      <c r="F85" s="1" t="s">
        <v>6717</v>
      </c>
      <c r="G85" s="1" t="str">
        <f>IFERROR(VLOOKUP(A85,H_C!$A$2:$G$2628,7,0),"Validar HC")</f>
        <v>Ospina, Michel</v>
      </c>
      <c r="H85" s="164">
        <v>1623501.0</v>
      </c>
      <c r="I85" s="1">
        <v>42.0</v>
      </c>
    </row>
    <row r="86" ht="15.75" customHeight="1">
      <c r="A86" s="1">
        <v>3150088.0</v>
      </c>
      <c r="B86" s="1" t="s">
        <v>691</v>
      </c>
      <c r="C86" s="1" t="s">
        <v>692</v>
      </c>
      <c r="D86" s="1" t="s">
        <v>224</v>
      </c>
      <c r="E86" s="1" t="s">
        <v>401</v>
      </c>
      <c r="F86" s="1" t="s">
        <v>6717</v>
      </c>
      <c r="G86" s="1" t="str">
        <f>IFERROR(VLOOKUP(A86,H_C!$A$2:$G$2628,7,0),"Validar HC")</f>
        <v>Martinez, Wendy</v>
      </c>
      <c r="H86" s="164">
        <v>1623501.0</v>
      </c>
      <c r="I86" s="1">
        <v>42.0</v>
      </c>
    </row>
    <row r="87" ht="15.75" customHeight="1">
      <c r="A87" s="1">
        <v>3150380.0</v>
      </c>
      <c r="B87" s="1" t="s">
        <v>696</v>
      </c>
      <c r="C87" s="1" t="s">
        <v>699</v>
      </c>
      <c r="D87" s="1" t="s">
        <v>224</v>
      </c>
      <c r="E87" s="1" t="s">
        <v>695</v>
      </c>
      <c r="F87" s="1" t="s">
        <v>6717</v>
      </c>
      <c r="G87" s="1" t="str">
        <f>IFERROR(VLOOKUP(A87,H_C!$A$2:$G$2628,7,0),"Validar HC")</f>
        <v>Ayala, Giselle</v>
      </c>
      <c r="H87" s="164">
        <v>1623501.0</v>
      </c>
      <c r="I87" s="1">
        <v>42.0</v>
      </c>
    </row>
    <row r="88" ht="15.75" customHeight="1">
      <c r="A88" s="1">
        <v>3155793.0</v>
      </c>
      <c r="B88" s="1" t="s">
        <v>702</v>
      </c>
      <c r="C88" s="1" t="s">
        <v>703</v>
      </c>
      <c r="D88" s="1" t="s">
        <v>224</v>
      </c>
      <c r="E88" s="1" t="s">
        <v>485</v>
      </c>
      <c r="F88" s="1" t="s">
        <v>6717</v>
      </c>
      <c r="G88" s="1" t="str">
        <f>IFERROR(VLOOKUP(A88,H_C!$A$2:$G$2628,7,0),"Validar HC")</f>
        <v>Martinez, Wendy</v>
      </c>
      <c r="H88" s="164">
        <v>1623501.0</v>
      </c>
      <c r="I88" s="1">
        <v>42.0</v>
      </c>
    </row>
    <row r="89" ht="15.75" customHeight="1">
      <c r="A89" s="1">
        <v>3159760.0</v>
      </c>
      <c r="B89" s="1" t="s">
        <v>706</v>
      </c>
      <c r="C89" s="1" t="s">
        <v>707</v>
      </c>
      <c r="D89" s="1" t="s">
        <v>224</v>
      </c>
      <c r="E89" s="1" t="s">
        <v>485</v>
      </c>
      <c r="F89" s="1" t="s">
        <v>6717</v>
      </c>
      <c r="G89" s="1" t="str">
        <f>IFERROR(VLOOKUP(A89,H_C!$A$2:$G$2628,7,0),"Validar HC")</f>
        <v>Martinez, Wendy</v>
      </c>
      <c r="H89" s="164">
        <v>1623501.0</v>
      </c>
      <c r="I89" s="1">
        <v>42.0</v>
      </c>
    </row>
    <row r="90" ht="15.75" customHeight="1">
      <c r="A90" s="1">
        <v>3159907.0</v>
      </c>
      <c r="B90" s="1" t="s">
        <v>710</v>
      </c>
      <c r="C90" s="1" t="s">
        <v>712</v>
      </c>
      <c r="D90" s="1" t="s">
        <v>224</v>
      </c>
      <c r="E90" s="1" t="s">
        <v>478</v>
      </c>
      <c r="F90" s="1" t="s">
        <v>6717</v>
      </c>
      <c r="G90" s="1" t="str">
        <f>IFERROR(VLOOKUP(A90,H_C!$A$2:$G$2628,7,0),"Validar HC")</f>
        <v>Celi, Juan</v>
      </c>
      <c r="H90" s="164">
        <v>1623501.0</v>
      </c>
      <c r="I90" s="1">
        <v>42.0</v>
      </c>
    </row>
    <row r="91" ht="15.75" customHeight="1">
      <c r="A91" s="1">
        <v>3160386.0</v>
      </c>
      <c r="B91" s="1" t="s">
        <v>715</v>
      </c>
      <c r="C91" s="1" t="s">
        <v>716</v>
      </c>
      <c r="D91" s="1" t="s">
        <v>224</v>
      </c>
      <c r="E91" s="1" t="s">
        <v>276</v>
      </c>
      <c r="F91" s="1" t="s">
        <v>6717</v>
      </c>
      <c r="G91" s="1" t="str">
        <f>IFERROR(VLOOKUP(A91,H_C!$A$2:$G$2628,7,0),"Validar HC")</f>
        <v>Gonzalez, Cristian</v>
      </c>
      <c r="H91" s="164">
        <v>1623501.0</v>
      </c>
      <c r="I91" s="1">
        <v>42.0</v>
      </c>
    </row>
    <row r="92" ht="15.75" customHeight="1">
      <c r="A92" s="1">
        <v>3171770.0</v>
      </c>
      <c r="B92" s="1" t="s">
        <v>553</v>
      </c>
      <c r="C92" s="1" t="s">
        <v>554</v>
      </c>
      <c r="D92" s="1" t="s">
        <v>224</v>
      </c>
      <c r="E92" s="1" t="s">
        <v>526</v>
      </c>
      <c r="F92" s="1" t="s">
        <v>6717</v>
      </c>
      <c r="G92" s="1" t="str">
        <f>IFERROR(VLOOKUP(A92,H_C!$A$2:$G$2628,7,0),"Validar HC")</f>
        <v>Martinez, Wendy</v>
      </c>
      <c r="H92" s="164">
        <v>1623501.0</v>
      </c>
      <c r="I92" s="1">
        <v>42.0</v>
      </c>
    </row>
    <row r="93" ht="15.75" customHeight="1">
      <c r="A93" s="1">
        <v>3193947.0</v>
      </c>
      <c r="B93" s="1" t="s">
        <v>725</v>
      </c>
      <c r="C93" s="1" t="s">
        <v>727</v>
      </c>
      <c r="D93" s="1" t="s">
        <v>224</v>
      </c>
      <c r="E93" s="1" t="s">
        <v>724</v>
      </c>
      <c r="F93" s="1" t="s">
        <v>6717</v>
      </c>
      <c r="G93" s="1" t="str">
        <f>IFERROR(VLOOKUP(A93,H_C!$A$2:$G$2628,7,0),"Validar HC")</f>
        <v>Garcia, Helmer</v>
      </c>
      <c r="H93" s="164">
        <v>1623501.0</v>
      </c>
      <c r="I93" s="1">
        <v>42.0</v>
      </c>
    </row>
    <row r="94" ht="15.75" customHeight="1">
      <c r="A94" s="1">
        <v>3194171.0</v>
      </c>
      <c r="B94" s="1" t="s">
        <v>730</v>
      </c>
      <c r="C94" s="1" t="s">
        <v>731</v>
      </c>
      <c r="D94" s="1" t="s">
        <v>224</v>
      </c>
      <c r="E94" s="1" t="s">
        <v>246</v>
      </c>
      <c r="F94" s="1" t="s">
        <v>6717</v>
      </c>
      <c r="G94" s="1" t="str">
        <f>IFERROR(VLOOKUP(A94,H_C!$A$2:$G$2628,7,0),"Validar HC")</f>
        <v>Garcia, Helmer</v>
      </c>
      <c r="H94" s="164">
        <v>1623501.0</v>
      </c>
      <c r="I94" s="1">
        <v>42.0</v>
      </c>
    </row>
    <row r="95" ht="15.75" customHeight="1">
      <c r="A95" s="1">
        <v>3194289.0</v>
      </c>
      <c r="B95" s="1" t="s">
        <v>734</v>
      </c>
      <c r="C95" s="1" t="s">
        <v>735</v>
      </c>
      <c r="D95" s="1" t="s">
        <v>224</v>
      </c>
      <c r="E95" s="1" t="s">
        <v>297</v>
      </c>
      <c r="F95" s="1" t="s">
        <v>6717</v>
      </c>
      <c r="G95" s="1" t="str">
        <f>IFERROR(VLOOKUP(A95,H_C!$A$2:$G$2628,7,0),"Validar HC")</f>
        <v>Garatejo, Natalia</v>
      </c>
      <c r="H95" s="164">
        <v>1623501.0</v>
      </c>
      <c r="I95" s="1">
        <v>42.0</v>
      </c>
    </row>
    <row r="96" ht="15.75" customHeight="1">
      <c r="A96" s="1">
        <v>3195290.0</v>
      </c>
      <c r="B96" s="1" t="s">
        <v>739</v>
      </c>
      <c r="C96" s="1" t="s">
        <v>741</v>
      </c>
      <c r="D96" s="1" t="s">
        <v>224</v>
      </c>
      <c r="E96" s="1" t="s">
        <v>738</v>
      </c>
      <c r="F96" s="1" t="s">
        <v>6717</v>
      </c>
      <c r="G96" s="1" t="str">
        <f>IFERROR(VLOOKUP(A96,H_C!$A$2:$G$2628,7,0),"Validar HC")</f>
        <v>Garcia, Helmer</v>
      </c>
      <c r="H96" s="164">
        <v>1623501.0</v>
      </c>
      <c r="I96" s="1">
        <v>42.0</v>
      </c>
    </row>
    <row r="97" ht="15.75" customHeight="1">
      <c r="A97" s="1">
        <v>3460648.0</v>
      </c>
      <c r="B97" s="1" t="s">
        <v>32</v>
      </c>
      <c r="C97" s="1" t="s">
        <v>879</v>
      </c>
      <c r="D97" s="1" t="s">
        <v>224</v>
      </c>
      <c r="E97" s="1" t="s">
        <v>13</v>
      </c>
      <c r="F97" s="1" t="s">
        <v>6717</v>
      </c>
      <c r="G97" s="1" t="str">
        <f>IFERROR(VLOOKUP(A97,H_C!$A$2:$G$2628,7,0),"Validar HC")</f>
        <v>Ospina, Michel</v>
      </c>
      <c r="H97" s="162">
        <v>1600000.0</v>
      </c>
      <c r="I97" s="1">
        <v>42.0</v>
      </c>
    </row>
    <row r="98" ht="15.75" customHeight="1">
      <c r="A98" s="1">
        <v>3227012.0</v>
      </c>
      <c r="B98" s="1" t="s">
        <v>747</v>
      </c>
      <c r="C98" s="1" t="s">
        <v>748</v>
      </c>
      <c r="D98" s="1" t="s">
        <v>224</v>
      </c>
      <c r="E98" s="1" t="s">
        <v>297</v>
      </c>
      <c r="F98" s="1" t="s">
        <v>6717</v>
      </c>
      <c r="G98" s="1" t="str">
        <f>IFERROR(VLOOKUP(A98,H_C!$A$2:$G$2628,7,0),"Validar HC")</f>
        <v>Garatejo, Natalia</v>
      </c>
      <c r="H98" s="164">
        <v>1623501.0</v>
      </c>
      <c r="I98" s="1">
        <v>42.0</v>
      </c>
    </row>
    <row r="99" ht="15.75" customHeight="1">
      <c r="A99" s="1">
        <v>3235609.0</v>
      </c>
      <c r="B99" s="1" t="s">
        <v>751</v>
      </c>
      <c r="C99" s="1" t="s">
        <v>752</v>
      </c>
      <c r="D99" s="1" t="s">
        <v>224</v>
      </c>
      <c r="E99" s="1" t="s">
        <v>254</v>
      </c>
      <c r="F99" s="1" t="s">
        <v>6717</v>
      </c>
      <c r="G99" s="1" t="str">
        <f>IFERROR(VLOOKUP(A99,H_C!$A$2:$G$2628,7,0),"Validar HC")</f>
        <v>Gonzalez, Cristian</v>
      </c>
      <c r="H99" s="164">
        <v>1623501.0</v>
      </c>
      <c r="I99" s="1">
        <v>42.0</v>
      </c>
    </row>
    <row r="100" ht="15.75" customHeight="1">
      <c r="A100" s="1">
        <v>3242300.0</v>
      </c>
      <c r="B100" s="1" t="s">
        <v>755</v>
      </c>
      <c r="C100" s="1" t="s">
        <v>757</v>
      </c>
      <c r="D100" s="1" t="s">
        <v>224</v>
      </c>
      <c r="E100" s="1" t="s">
        <v>514</v>
      </c>
      <c r="F100" s="1" t="s">
        <v>6717</v>
      </c>
      <c r="G100" s="1" t="str">
        <f>IFERROR(VLOOKUP(A100,H_C!$A$2:$G$2628,7,0),"Validar HC")</f>
        <v>Garatejo, Natalia</v>
      </c>
      <c r="H100" s="164">
        <v>1623501.0</v>
      </c>
      <c r="I100" s="1">
        <v>42.0</v>
      </c>
    </row>
    <row r="101" ht="15.75" customHeight="1">
      <c r="A101" s="1">
        <v>3249291.0</v>
      </c>
      <c r="B101" s="1" t="s">
        <v>760</v>
      </c>
      <c r="C101" s="1" t="s">
        <v>762</v>
      </c>
      <c r="D101" s="1" t="s">
        <v>224</v>
      </c>
      <c r="E101" s="1" t="s">
        <v>316</v>
      </c>
      <c r="F101" s="1" t="s">
        <v>6717</v>
      </c>
      <c r="G101" s="1" t="str">
        <f>IFERROR(VLOOKUP(A101,H_C!$A$2:$G$2628,7,0),"Validar HC")</f>
        <v>Osorio, Julian</v>
      </c>
      <c r="H101" s="164">
        <v>1623501.0</v>
      </c>
      <c r="I101" s="1">
        <v>42.0</v>
      </c>
    </row>
    <row r="102" ht="15.75" customHeight="1">
      <c r="A102" s="1">
        <v>3252711.0</v>
      </c>
      <c r="B102" s="1" t="s">
        <v>765</v>
      </c>
      <c r="C102" s="1" t="s">
        <v>766</v>
      </c>
      <c r="D102" s="1" t="s">
        <v>224</v>
      </c>
      <c r="E102" s="1" t="s">
        <v>514</v>
      </c>
      <c r="F102" s="1" t="s">
        <v>6717</v>
      </c>
      <c r="G102" s="1" t="str">
        <f>IFERROR(VLOOKUP(A102,H_C!$A$2:$G$2628,7,0),"Validar HC")</f>
        <v>Garatejo, Natalia</v>
      </c>
      <c r="H102" s="164">
        <v>1623501.0</v>
      </c>
      <c r="I102" s="1">
        <v>42.0</v>
      </c>
    </row>
    <row r="103" ht="15.75" customHeight="1">
      <c r="A103" s="1">
        <v>3252818.0</v>
      </c>
      <c r="B103" s="1" t="s">
        <v>769</v>
      </c>
      <c r="C103" s="1" t="s">
        <v>770</v>
      </c>
      <c r="D103" s="1" t="s">
        <v>224</v>
      </c>
      <c r="E103" s="1" t="s">
        <v>514</v>
      </c>
      <c r="F103" s="1" t="s">
        <v>6717</v>
      </c>
      <c r="G103" s="1" t="str">
        <f>IFERROR(VLOOKUP(A103,H_C!$A$2:$G$2628,7,0),"Validar HC")</f>
        <v>Garatejo, Natalia</v>
      </c>
      <c r="H103" s="164">
        <v>1623501.0</v>
      </c>
      <c r="I103" s="1">
        <v>42.0</v>
      </c>
    </row>
    <row r="104" ht="15.75" customHeight="1">
      <c r="A104" s="1">
        <v>3265405.0</v>
      </c>
      <c r="B104" s="1" t="s">
        <v>773</v>
      </c>
      <c r="C104" s="1" t="s">
        <v>774</v>
      </c>
      <c r="D104" s="1" t="s">
        <v>224</v>
      </c>
      <c r="E104" s="1" t="s">
        <v>289</v>
      </c>
      <c r="F104" s="1" t="s">
        <v>6717</v>
      </c>
      <c r="G104" s="1" t="str">
        <f>IFERROR(VLOOKUP(A104,H_C!$A$2:$G$2628,7,0),"Validar HC")</f>
        <v>Celi, Juan</v>
      </c>
      <c r="H104" s="164">
        <v>1623501.0</v>
      </c>
      <c r="I104" s="1">
        <v>42.0</v>
      </c>
    </row>
    <row r="105" ht="15.75" customHeight="1">
      <c r="A105" s="1">
        <v>3267568.0</v>
      </c>
      <c r="B105" s="1" t="s">
        <v>777</v>
      </c>
      <c r="C105" s="1" t="s">
        <v>778</v>
      </c>
      <c r="D105" s="1" t="s">
        <v>224</v>
      </c>
      <c r="E105" s="1" t="s">
        <v>297</v>
      </c>
      <c r="F105" s="1" t="s">
        <v>6717</v>
      </c>
      <c r="G105" s="1" t="str">
        <f>IFERROR(VLOOKUP(A105,H_C!$A$2:$G$2628,7,0),"Validar HC")</f>
        <v>Garatejo, Natalia</v>
      </c>
      <c r="H105" s="164">
        <v>1623501.0</v>
      </c>
      <c r="I105" s="1">
        <v>42.0</v>
      </c>
    </row>
    <row r="106" ht="15.75" customHeight="1">
      <c r="A106" s="1">
        <v>3271041.0</v>
      </c>
      <c r="B106" s="1" t="s">
        <v>781</v>
      </c>
      <c r="C106" s="1" t="s">
        <v>782</v>
      </c>
      <c r="D106" s="1" t="s">
        <v>224</v>
      </c>
      <c r="E106" s="1" t="s">
        <v>738</v>
      </c>
      <c r="F106" s="1" t="s">
        <v>6717</v>
      </c>
      <c r="G106" s="1" t="str">
        <f>IFERROR(VLOOKUP(A106,H_C!$A$2:$G$2628,7,0),"Validar HC")</f>
        <v>Garcia, Helmer</v>
      </c>
      <c r="H106" s="164">
        <v>1623501.0</v>
      </c>
      <c r="I106" s="1">
        <v>42.0</v>
      </c>
    </row>
    <row r="107" ht="15.75" customHeight="1">
      <c r="A107" s="1">
        <v>3276210.0</v>
      </c>
      <c r="B107" s="1" t="s">
        <v>785</v>
      </c>
      <c r="C107" s="1" t="s">
        <v>786</v>
      </c>
      <c r="D107" s="1" t="s">
        <v>224</v>
      </c>
      <c r="E107" s="1" t="s">
        <v>555</v>
      </c>
      <c r="F107" s="1" t="s">
        <v>6717</v>
      </c>
      <c r="G107" s="1" t="str">
        <f>IFERROR(VLOOKUP(A107,H_C!$A$2:$G$2628,7,0),"Validar HC")</f>
        <v>Ayala, Giselle</v>
      </c>
      <c r="H107" s="164">
        <v>1623501.0</v>
      </c>
      <c r="I107" s="1">
        <v>42.0</v>
      </c>
    </row>
    <row r="108" ht="15.75" customHeight="1">
      <c r="A108" s="1">
        <v>3278344.0</v>
      </c>
      <c r="B108" s="1" t="s">
        <v>789</v>
      </c>
      <c r="C108" s="1" t="s">
        <v>791</v>
      </c>
      <c r="D108" s="1" t="s">
        <v>224</v>
      </c>
      <c r="E108" s="1" t="s">
        <v>232</v>
      </c>
      <c r="F108" s="1" t="s">
        <v>6717</v>
      </c>
      <c r="G108" s="1" t="str">
        <f>IFERROR(VLOOKUP(A108,H_C!$A$2:$G$2628,7,0),"Validar HC")</f>
        <v>Soler, Maria</v>
      </c>
      <c r="H108" s="164">
        <v>1623501.0</v>
      </c>
      <c r="I108" s="1">
        <v>42.0</v>
      </c>
    </row>
    <row r="109" ht="15.75" customHeight="1">
      <c r="A109" s="1">
        <v>3278512.0</v>
      </c>
      <c r="B109" s="1" t="s">
        <v>795</v>
      </c>
      <c r="C109" s="1" t="s">
        <v>797</v>
      </c>
      <c r="D109" s="1" t="s">
        <v>224</v>
      </c>
      <c r="E109" s="1" t="s">
        <v>794</v>
      </c>
      <c r="F109" s="1" t="s">
        <v>6717</v>
      </c>
      <c r="G109" s="1" t="str">
        <f>IFERROR(VLOOKUP(A109,H_C!$A$2:$G$2628,7,0),"Validar HC")</f>
        <v>Osorio, Julian</v>
      </c>
      <c r="H109" s="164">
        <v>1623501.0</v>
      </c>
      <c r="I109" s="1">
        <v>42.0</v>
      </c>
    </row>
    <row r="110" ht="15.75" customHeight="1">
      <c r="A110" s="1">
        <v>3280150.0</v>
      </c>
      <c r="B110" s="1" t="s">
        <v>801</v>
      </c>
      <c r="C110" s="1" t="s">
        <v>803</v>
      </c>
      <c r="D110" s="1" t="s">
        <v>224</v>
      </c>
      <c r="E110" s="1" t="s">
        <v>800</v>
      </c>
      <c r="F110" s="1" t="s">
        <v>6717</v>
      </c>
      <c r="G110" s="1" t="str">
        <f>IFERROR(VLOOKUP(A110,H_C!$A$2:$G$2628,7,0),"Validar HC")</f>
        <v>Garatejo, Natalia</v>
      </c>
      <c r="H110" s="164">
        <v>1623501.0</v>
      </c>
      <c r="I110" s="1">
        <v>42.0</v>
      </c>
    </row>
    <row r="111" ht="15.75" customHeight="1">
      <c r="A111" s="1">
        <v>3297242.0</v>
      </c>
      <c r="B111" s="1" t="s">
        <v>807</v>
      </c>
      <c r="C111" s="1" t="s">
        <v>808</v>
      </c>
      <c r="D111" s="1" t="s">
        <v>224</v>
      </c>
      <c r="E111" s="1" t="s">
        <v>806</v>
      </c>
      <c r="F111" s="1" t="s">
        <v>6717</v>
      </c>
      <c r="G111" s="1" t="str">
        <f>IFERROR(VLOOKUP(A111,H_C!$A$2:$G$2628,7,0),"Validar HC")</f>
        <v>Gonzalez, Cristian</v>
      </c>
      <c r="H111" s="164">
        <v>1623501.0</v>
      </c>
      <c r="I111" s="1">
        <v>42.0</v>
      </c>
    </row>
    <row r="112" ht="15.75" customHeight="1">
      <c r="A112" s="1">
        <v>3305729.0</v>
      </c>
      <c r="B112" s="1" t="s">
        <v>811</v>
      </c>
      <c r="C112" s="1" t="s">
        <v>812</v>
      </c>
      <c r="D112" s="1" t="s">
        <v>224</v>
      </c>
      <c r="E112" s="1" t="s">
        <v>116</v>
      </c>
      <c r="F112" s="1" t="s">
        <v>6717</v>
      </c>
      <c r="G112" s="1" t="str">
        <f>IFERROR(VLOOKUP(A112,H_C!$A$2:$G$2628,7,0),"Validar HC")</f>
        <v>Ospina, Michel</v>
      </c>
      <c r="H112" s="164">
        <v>1623501.0</v>
      </c>
      <c r="I112" s="1">
        <v>42.0</v>
      </c>
    </row>
    <row r="113" ht="15.75" customHeight="1">
      <c r="A113" s="1">
        <v>3320842.0</v>
      </c>
      <c r="B113" s="1" t="s">
        <v>814</v>
      </c>
      <c r="C113" s="1" t="s">
        <v>816</v>
      </c>
      <c r="D113" s="1" t="s">
        <v>224</v>
      </c>
      <c r="E113" s="1" t="s">
        <v>813</v>
      </c>
      <c r="F113" s="1" t="s">
        <v>6717</v>
      </c>
      <c r="G113" s="1" t="str">
        <f>IFERROR(VLOOKUP(A113,H_C!$A$2:$G$2628,7,0),"Validar HC")</f>
        <v>Garatejo, Natalia</v>
      </c>
      <c r="H113" s="164">
        <v>1623501.0</v>
      </c>
      <c r="I113" s="1">
        <v>42.0</v>
      </c>
    </row>
    <row r="114" ht="15.75" customHeight="1">
      <c r="A114" s="1">
        <v>3321242.0</v>
      </c>
      <c r="B114" s="1" t="s">
        <v>817</v>
      </c>
      <c r="C114" s="1" t="s">
        <v>818</v>
      </c>
      <c r="D114" s="1" t="s">
        <v>224</v>
      </c>
      <c r="E114" s="1" t="s">
        <v>276</v>
      </c>
      <c r="F114" s="1" t="s">
        <v>6717</v>
      </c>
      <c r="G114" s="1" t="str">
        <f>IFERROR(VLOOKUP(A114,H_C!$A$2:$G$2628,7,0),"Validar HC")</f>
        <v>Gonzalez, Cristian</v>
      </c>
      <c r="H114" s="164">
        <v>1623501.0</v>
      </c>
      <c r="I114" s="1">
        <v>42.0</v>
      </c>
    </row>
    <row r="115" ht="15.75" customHeight="1">
      <c r="A115" s="1">
        <v>3323328.0</v>
      </c>
      <c r="B115" s="1" t="s">
        <v>822</v>
      </c>
      <c r="C115" s="1" t="s">
        <v>823</v>
      </c>
      <c r="D115" s="1" t="s">
        <v>224</v>
      </c>
      <c r="E115" s="1" t="s">
        <v>821</v>
      </c>
      <c r="F115" s="1" t="s">
        <v>6717</v>
      </c>
      <c r="G115" s="1" t="str">
        <f>IFERROR(VLOOKUP(A115,H_C!$A$2:$G$2628,7,0),"Validar HC")</f>
        <v>Garatejo, Natalia</v>
      </c>
      <c r="H115" s="164">
        <v>1623501.0</v>
      </c>
      <c r="I115" s="1">
        <v>42.0</v>
      </c>
    </row>
    <row r="116" ht="15.75" customHeight="1">
      <c r="A116" s="1">
        <v>3323392.0</v>
      </c>
      <c r="B116" s="1" t="s">
        <v>824</v>
      </c>
      <c r="C116" s="1" t="s">
        <v>825</v>
      </c>
      <c r="D116" s="1" t="s">
        <v>224</v>
      </c>
      <c r="E116" s="1" t="s">
        <v>522</v>
      </c>
      <c r="F116" s="1" t="s">
        <v>6717</v>
      </c>
      <c r="G116" s="1" t="str">
        <f>IFERROR(VLOOKUP(A116,H_C!$A$2:$G$2628,7,0),"Validar HC")</f>
        <v>Martinez, Wendy</v>
      </c>
      <c r="H116" s="164">
        <v>1623501.0</v>
      </c>
      <c r="I116" s="1">
        <v>42.0</v>
      </c>
    </row>
    <row r="117" ht="15.75" customHeight="1">
      <c r="A117" s="1">
        <v>3333790.0</v>
      </c>
      <c r="B117" s="1" t="s">
        <v>828</v>
      </c>
      <c r="C117" s="1" t="s">
        <v>829</v>
      </c>
      <c r="D117" s="1" t="s">
        <v>224</v>
      </c>
      <c r="E117" s="1" t="s">
        <v>425</v>
      </c>
      <c r="F117" s="1" t="s">
        <v>6717</v>
      </c>
      <c r="G117" s="1" t="str">
        <f>IFERROR(VLOOKUP(A117,H_C!$A$2:$G$2628,7,0),"Validar HC")</f>
        <v>Ospina, Michel</v>
      </c>
      <c r="H117" s="164">
        <v>1623501.0</v>
      </c>
      <c r="I117" s="1">
        <v>42.0</v>
      </c>
    </row>
    <row r="118" ht="15.75" customHeight="1">
      <c r="A118" s="1">
        <v>3340535.0</v>
      </c>
      <c r="B118" s="1" t="s">
        <v>830</v>
      </c>
      <c r="C118" s="1" t="s">
        <v>832</v>
      </c>
      <c r="D118" s="1" t="s">
        <v>224</v>
      </c>
      <c r="E118" s="1" t="s">
        <v>506</v>
      </c>
      <c r="F118" s="1" t="s">
        <v>6717</v>
      </c>
      <c r="G118" s="1" t="str">
        <f>IFERROR(VLOOKUP(A118,H_C!$A$2:$G$2628,7,0),"Validar HC")</f>
        <v>Ospina, Michel</v>
      </c>
      <c r="H118" s="164">
        <v>1623501.0</v>
      </c>
      <c r="I118" s="1">
        <v>42.0</v>
      </c>
    </row>
    <row r="119" ht="15.75" customHeight="1">
      <c r="A119" s="1">
        <v>3347350.0</v>
      </c>
      <c r="B119" s="1" t="s">
        <v>836</v>
      </c>
      <c r="C119" s="1" t="s">
        <v>838</v>
      </c>
      <c r="D119" s="1" t="s">
        <v>224</v>
      </c>
      <c r="E119" s="1" t="s">
        <v>835</v>
      </c>
      <c r="F119" s="1" t="s">
        <v>6717</v>
      </c>
      <c r="G119" s="1" t="str">
        <f>IFERROR(VLOOKUP(A119,H_C!$A$2:$G$2628,7,0),"Validar HC")</f>
        <v>Martinez, Wendy</v>
      </c>
      <c r="H119" s="164">
        <v>1623501.0</v>
      </c>
      <c r="I119" s="1">
        <v>42.0</v>
      </c>
    </row>
    <row r="120" ht="15.75" customHeight="1">
      <c r="A120" s="1">
        <v>3384037.0</v>
      </c>
      <c r="B120" s="1" t="s">
        <v>842</v>
      </c>
      <c r="C120" s="1" t="s">
        <v>844</v>
      </c>
      <c r="D120" s="1" t="s">
        <v>224</v>
      </c>
      <c r="E120" s="1" t="s">
        <v>841</v>
      </c>
      <c r="F120" s="1" t="s">
        <v>6717</v>
      </c>
      <c r="G120" s="1" t="str">
        <f>IFERROR(VLOOKUP(A120,H_C!$A$2:$G$2628,7,0),"Validar HC")</f>
        <v>Soler, Maria</v>
      </c>
      <c r="H120" s="164">
        <v>1623501.0</v>
      </c>
      <c r="I120" s="1">
        <v>42.0</v>
      </c>
    </row>
    <row r="121" ht="15.75" customHeight="1">
      <c r="A121" s="1">
        <v>3386571.0</v>
      </c>
      <c r="B121" s="1" t="s">
        <v>848</v>
      </c>
      <c r="C121" s="1" t="s">
        <v>850</v>
      </c>
      <c r="D121" s="1" t="s">
        <v>224</v>
      </c>
      <c r="E121" s="1" t="s">
        <v>847</v>
      </c>
      <c r="F121" s="1" t="s">
        <v>6717</v>
      </c>
      <c r="G121" s="1" t="str">
        <f>IFERROR(VLOOKUP(A121,H_C!$A$2:$G$2628,7,0),"Validar HC")</f>
        <v>Garatejo, Natalia</v>
      </c>
      <c r="H121" s="164">
        <v>1623501.0</v>
      </c>
      <c r="I121" s="1">
        <v>42.0</v>
      </c>
    </row>
    <row r="122" ht="15.75" customHeight="1">
      <c r="A122" s="1">
        <v>3410052.0</v>
      </c>
      <c r="B122" s="1" t="s">
        <v>854</v>
      </c>
      <c r="C122" s="1" t="s">
        <v>856</v>
      </c>
      <c r="D122" s="1" t="s">
        <v>224</v>
      </c>
      <c r="E122" s="1" t="s">
        <v>853</v>
      </c>
      <c r="F122" s="1" t="s">
        <v>6717</v>
      </c>
      <c r="G122" s="1" t="str">
        <f>IFERROR(VLOOKUP(A122,H_C!$A$2:$G$2628,7,0),"Validar HC")</f>
        <v>Garcia, Helmer</v>
      </c>
      <c r="H122" s="164">
        <v>1623501.0</v>
      </c>
      <c r="I122" s="1">
        <v>42.0</v>
      </c>
    </row>
    <row r="123" ht="15.75" customHeight="1">
      <c r="A123" s="1">
        <v>3426611.0</v>
      </c>
      <c r="B123" s="1" t="s">
        <v>859</v>
      </c>
      <c r="C123" s="1" t="s">
        <v>860</v>
      </c>
      <c r="D123" s="1" t="s">
        <v>224</v>
      </c>
      <c r="E123" s="1" t="s">
        <v>374</v>
      </c>
      <c r="F123" s="1" t="s">
        <v>6717</v>
      </c>
      <c r="G123" s="1" t="str">
        <f>IFERROR(VLOOKUP(A123,H_C!$A$2:$G$2628,7,0),"Validar HC")</f>
        <v>Martinez, Wendy</v>
      </c>
      <c r="H123" s="164">
        <v>1623501.0</v>
      </c>
      <c r="I123" s="1">
        <v>42.0</v>
      </c>
    </row>
    <row r="124" ht="15.75" customHeight="1">
      <c r="A124" s="1">
        <v>3430414.0</v>
      </c>
      <c r="B124" s="1" t="s">
        <v>863</v>
      </c>
      <c r="C124" s="1" t="s">
        <v>864</v>
      </c>
      <c r="D124" s="1" t="s">
        <v>224</v>
      </c>
      <c r="E124" s="1" t="s">
        <v>514</v>
      </c>
      <c r="F124" s="1" t="s">
        <v>6717</v>
      </c>
      <c r="G124" s="1" t="str">
        <f>IFERROR(VLOOKUP(A124,H_C!$A$2:$G$2628,7,0),"Validar HC")</f>
        <v>Garatejo, Natalia</v>
      </c>
      <c r="H124" s="164">
        <v>1623501.0</v>
      </c>
      <c r="I124" s="1">
        <v>42.0</v>
      </c>
    </row>
    <row r="125" ht="15.75" customHeight="1">
      <c r="A125" s="1">
        <v>3434480.0</v>
      </c>
      <c r="B125" s="1" t="s">
        <v>6731</v>
      </c>
      <c r="C125" s="1" t="s">
        <v>6732</v>
      </c>
      <c r="D125" s="1" t="s">
        <v>224</v>
      </c>
      <c r="E125" s="1" t="s">
        <v>232</v>
      </c>
      <c r="F125" s="1" t="s">
        <v>6717</v>
      </c>
      <c r="G125" s="1" t="str">
        <f>IFERROR(VLOOKUP(A125,H_C!$A$2:$G$2628,7,0),"Validar HC")</f>
        <v>Validar HC</v>
      </c>
      <c r="H125" s="164">
        <v>1623501.0</v>
      </c>
      <c r="I125" s="1">
        <v>42.0</v>
      </c>
    </row>
    <row r="126" ht="15.75" customHeight="1">
      <c r="A126" s="1">
        <v>3436672.0</v>
      </c>
      <c r="B126" s="1" t="s">
        <v>867</v>
      </c>
      <c r="C126" s="1" t="s">
        <v>869</v>
      </c>
      <c r="D126" s="1" t="s">
        <v>224</v>
      </c>
      <c r="E126" s="1" t="s">
        <v>120</v>
      </c>
      <c r="F126" s="1" t="s">
        <v>6717</v>
      </c>
      <c r="G126" s="1" t="str">
        <f>IFERROR(VLOOKUP(A126,H_C!$A$2:$G$2628,7,0),"Validar HC")</f>
        <v>Ospina, Michel</v>
      </c>
      <c r="H126" s="164">
        <v>1623501.0</v>
      </c>
      <c r="I126" s="1">
        <v>42.0</v>
      </c>
    </row>
    <row r="127" ht="15.75" customHeight="1">
      <c r="A127" s="1">
        <v>3442227.0</v>
      </c>
      <c r="B127" s="1" t="s">
        <v>338</v>
      </c>
      <c r="C127" s="1" t="s">
        <v>339</v>
      </c>
      <c r="D127" s="1" t="s">
        <v>224</v>
      </c>
      <c r="E127" s="1" t="s">
        <v>329</v>
      </c>
      <c r="F127" s="1" t="s">
        <v>6717</v>
      </c>
      <c r="G127" s="1" t="str">
        <f>IFERROR(VLOOKUP(A127,H_C!$A$2:$G$2628,7,0),"Validar HC")</f>
        <v>Garatejo, Natalia</v>
      </c>
      <c r="H127" s="164">
        <v>1623501.0</v>
      </c>
      <c r="I127" s="1">
        <v>42.0</v>
      </c>
    </row>
    <row r="128" ht="15.75" customHeight="1">
      <c r="A128" s="1">
        <v>3452133.0</v>
      </c>
      <c r="B128" s="1" t="s">
        <v>874</v>
      </c>
      <c r="C128" s="1" t="s">
        <v>876</v>
      </c>
      <c r="D128" s="1" t="s">
        <v>224</v>
      </c>
      <c r="E128" s="1" t="s">
        <v>361</v>
      </c>
      <c r="F128" s="1" t="s">
        <v>6717</v>
      </c>
      <c r="G128" s="1" t="str">
        <f>IFERROR(VLOOKUP(A128,H_C!$A$2:$G$2628,7,0),"Validar HC")</f>
        <v>Gonzalez, Cristian</v>
      </c>
      <c r="H128" s="164">
        <v>1623501.0</v>
      </c>
      <c r="I128" s="1">
        <v>42.0</v>
      </c>
    </row>
    <row r="129" ht="15.75" customHeight="1">
      <c r="A129" s="1">
        <v>3524085.0</v>
      </c>
      <c r="B129" s="1" t="s">
        <v>33</v>
      </c>
      <c r="C129" s="1" t="s">
        <v>920</v>
      </c>
      <c r="D129" s="1" t="s">
        <v>224</v>
      </c>
      <c r="E129" s="1" t="s">
        <v>13</v>
      </c>
      <c r="F129" s="1" t="s">
        <v>6717</v>
      </c>
      <c r="G129" s="1" t="str">
        <f>IFERROR(VLOOKUP(A129,H_C!$A$2:$G$2628,7,0),"Validar HC")</f>
        <v>Ospina, Michel</v>
      </c>
      <c r="H129" s="162">
        <v>1600000.0</v>
      </c>
      <c r="I129" s="1">
        <v>42.0</v>
      </c>
    </row>
    <row r="130" ht="15.75" customHeight="1">
      <c r="A130" s="1">
        <v>3475529.0</v>
      </c>
      <c r="B130" s="1" t="s">
        <v>882</v>
      </c>
      <c r="C130" s="1" t="s">
        <v>883</v>
      </c>
      <c r="D130" s="1" t="s">
        <v>224</v>
      </c>
      <c r="E130" s="1" t="s">
        <v>506</v>
      </c>
      <c r="F130" s="1" t="s">
        <v>6717</v>
      </c>
      <c r="G130" s="1" t="str">
        <f>IFERROR(VLOOKUP(A130,H_C!$A$2:$G$2628,7,0),"Validar HC")</f>
        <v>Ospina, Michel</v>
      </c>
      <c r="H130" s="164">
        <v>1623501.0</v>
      </c>
      <c r="I130" s="1">
        <v>42.0</v>
      </c>
    </row>
    <row r="131" ht="15.75" customHeight="1">
      <c r="A131" s="1">
        <v>3475530.0</v>
      </c>
      <c r="B131" s="1" t="s">
        <v>886</v>
      </c>
      <c r="C131" s="1" t="s">
        <v>887</v>
      </c>
      <c r="D131" s="1" t="s">
        <v>224</v>
      </c>
      <c r="E131" s="1" t="s">
        <v>514</v>
      </c>
      <c r="F131" s="1" t="s">
        <v>6717</v>
      </c>
      <c r="G131" s="1" t="str">
        <f>IFERROR(VLOOKUP(A131,H_C!$A$2:$G$2628,7,0),"Validar HC")</f>
        <v>Garatejo, Natalia</v>
      </c>
      <c r="H131" s="164">
        <v>1623501.0</v>
      </c>
      <c r="I131" s="1">
        <v>42.0</v>
      </c>
    </row>
    <row r="132" ht="15.75" customHeight="1">
      <c r="A132" s="1">
        <v>3492793.0</v>
      </c>
      <c r="B132" s="1" t="s">
        <v>890</v>
      </c>
      <c r="C132" s="1" t="s">
        <v>892</v>
      </c>
      <c r="D132" s="1" t="s">
        <v>224</v>
      </c>
      <c r="E132" s="1" t="s">
        <v>276</v>
      </c>
      <c r="F132" s="1" t="s">
        <v>6717</v>
      </c>
      <c r="G132" s="1" t="str">
        <f>IFERROR(VLOOKUP(A132,H_C!$A$2:$G$2628,7,0),"Validar HC")</f>
        <v>Gonzalez, Cristian</v>
      </c>
      <c r="H132" s="164">
        <v>1623501.0</v>
      </c>
      <c r="I132" s="1">
        <v>42.0</v>
      </c>
    </row>
    <row r="133" ht="15.75" customHeight="1">
      <c r="A133" s="1">
        <v>3497700.0</v>
      </c>
      <c r="B133" s="1" t="s">
        <v>895</v>
      </c>
      <c r="C133" s="1" t="s">
        <v>896</v>
      </c>
      <c r="D133" s="1" t="s">
        <v>224</v>
      </c>
      <c r="E133" s="1" t="s">
        <v>361</v>
      </c>
      <c r="F133" s="1" t="s">
        <v>6717</v>
      </c>
      <c r="G133" s="1" t="str">
        <f>IFERROR(VLOOKUP(A133,H_C!$A$2:$G$2628,7,0),"Validar HC")</f>
        <v>Gonzalez, Cristian</v>
      </c>
      <c r="H133" s="164">
        <v>1623501.0</v>
      </c>
      <c r="I133" s="1">
        <v>42.0</v>
      </c>
    </row>
    <row r="134" ht="15.75" customHeight="1">
      <c r="A134" s="1">
        <v>3501555.0</v>
      </c>
      <c r="B134" s="1" t="s">
        <v>899</v>
      </c>
      <c r="C134" s="1" t="s">
        <v>900</v>
      </c>
      <c r="D134" s="1" t="s">
        <v>224</v>
      </c>
      <c r="E134" s="1" t="s">
        <v>506</v>
      </c>
      <c r="F134" s="1" t="s">
        <v>6717</v>
      </c>
      <c r="G134" s="1" t="str">
        <f>IFERROR(VLOOKUP(A134,H_C!$A$2:$G$2628,7,0),"Validar HC")</f>
        <v>Ospina, Michel</v>
      </c>
      <c r="H134" s="164">
        <v>1623501.0</v>
      </c>
      <c r="I134" s="1">
        <v>42.0</v>
      </c>
    </row>
    <row r="135" ht="15.75" customHeight="1">
      <c r="A135" s="1">
        <v>3508824.0</v>
      </c>
      <c r="B135" s="1" t="s">
        <v>903</v>
      </c>
      <c r="C135" s="1" t="s">
        <v>904</v>
      </c>
      <c r="D135" s="1" t="s">
        <v>224</v>
      </c>
      <c r="E135" s="1" t="s">
        <v>514</v>
      </c>
      <c r="F135" s="1" t="s">
        <v>6717</v>
      </c>
      <c r="G135" s="1" t="str">
        <f>IFERROR(VLOOKUP(A135,H_C!$A$2:$G$2628,7,0),"Validar HC")</f>
        <v>Garatejo, Natalia</v>
      </c>
      <c r="H135" s="164">
        <v>1623501.0</v>
      </c>
      <c r="I135" s="1">
        <v>42.0</v>
      </c>
    </row>
    <row r="136" ht="15.75" customHeight="1">
      <c r="A136" s="1">
        <v>3510466.0</v>
      </c>
      <c r="B136" s="1" t="s">
        <v>908</v>
      </c>
      <c r="C136" s="1" t="s">
        <v>909</v>
      </c>
      <c r="D136" s="1" t="s">
        <v>224</v>
      </c>
      <c r="E136" s="1" t="s">
        <v>907</v>
      </c>
      <c r="F136" s="1" t="s">
        <v>6717</v>
      </c>
      <c r="G136" s="1" t="str">
        <f>IFERROR(VLOOKUP(A136,H_C!$A$2:$G$2628,7,0),"Validar HC")</f>
        <v>Gonzalez, Cristian</v>
      </c>
      <c r="H136" s="164">
        <v>1623501.0</v>
      </c>
      <c r="I136" s="1">
        <v>42.0</v>
      </c>
    </row>
    <row r="137" ht="15.75" customHeight="1">
      <c r="A137" s="1">
        <v>3512423.0</v>
      </c>
      <c r="B137" s="1" t="s">
        <v>912</v>
      </c>
      <c r="C137" s="1" t="s">
        <v>913</v>
      </c>
      <c r="D137" s="1" t="s">
        <v>224</v>
      </c>
      <c r="E137" s="1" t="s">
        <v>514</v>
      </c>
      <c r="F137" s="1" t="s">
        <v>6717</v>
      </c>
      <c r="G137" s="1" t="str">
        <f>IFERROR(VLOOKUP(A137,H_C!$A$2:$G$2628,7,0),"Validar HC")</f>
        <v>Garatejo, Natalia</v>
      </c>
      <c r="H137" s="164">
        <v>1623501.0</v>
      </c>
      <c r="I137" s="1">
        <v>42.0</v>
      </c>
    </row>
    <row r="138" ht="15.75" customHeight="1">
      <c r="A138" s="1">
        <v>3524077.0</v>
      </c>
      <c r="B138" s="1" t="s">
        <v>916</v>
      </c>
      <c r="C138" s="1" t="s">
        <v>917</v>
      </c>
      <c r="D138" s="1" t="s">
        <v>224</v>
      </c>
      <c r="E138" s="1" t="s">
        <v>10</v>
      </c>
      <c r="F138" s="1" t="s">
        <v>6717</v>
      </c>
      <c r="G138" s="1" t="str">
        <f>IFERROR(VLOOKUP(A138,H_C!$A$2:$G$2628,7,0),"Validar HC")</f>
        <v>Gonzalez, Cristian</v>
      </c>
      <c r="H138" s="164">
        <v>1623501.0</v>
      </c>
      <c r="I138" s="1">
        <v>42.0</v>
      </c>
    </row>
    <row r="139" ht="15.75" customHeight="1">
      <c r="A139" s="1">
        <v>3570218.0</v>
      </c>
      <c r="B139" s="1" t="s">
        <v>34</v>
      </c>
      <c r="C139" s="1" t="s">
        <v>961</v>
      </c>
      <c r="D139" s="1" t="s">
        <v>224</v>
      </c>
      <c r="E139" s="1" t="s">
        <v>13</v>
      </c>
      <c r="F139" s="1" t="s">
        <v>6717</v>
      </c>
      <c r="G139" s="1" t="str">
        <f>IFERROR(VLOOKUP(A139,H_C!$A$2:$G$2628,7,0),"Validar HC")</f>
        <v>Ospina, Michel</v>
      </c>
      <c r="H139" s="162">
        <v>1600000.0</v>
      </c>
      <c r="I139" s="1">
        <v>42.0</v>
      </c>
    </row>
    <row r="140" ht="15.75" customHeight="1">
      <c r="A140" s="1">
        <v>3526370.0</v>
      </c>
      <c r="B140" s="1" t="s">
        <v>923</v>
      </c>
      <c r="C140" s="1" t="s">
        <v>924</v>
      </c>
      <c r="D140" s="1" t="s">
        <v>224</v>
      </c>
      <c r="E140" s="1" t="s">
        <v>385</v>
      </c>
      <c r="F140" s="1" t="s">
        <v>6717</v>
      </c>
      <c r="G140" s="1" t="str">
        <f>IFERROR(VLOOKUP(A140,H_C!$A$2:$G$2628,7,0),"Validar HC")</f>
        <v>Garatejo, Natalia</v>
      </c>
      <c r="H140" s="164">
        <v>1623501.0</v>
      </c>
      <c r="I140" s="1">
        <v>42.0</v>
      </c>
    </row>
    <row r="141" ht="15.75" customHeight="1">
      <c r="A141" s="1">
        <v>3526583.0</v>
      </c>
      <c r="B141" s="1" t="s">
        <v>927</v>
      </c>
      <c r="C141" s="1" t="s">
        <v>928</v>
      </c>
      <c r="D141" s="1" t="s">
        <v>224</v>
      </c>
      <c r="E141" s="1" t="s">
        <v>432</v>
      </c>
      <c r="F141" s="1" t="s">
        <v>6717</v>
      </c>
      <c r="G141" s="1" t="str">
        <f>IFERROR(VLOOKUP(A141,H_C!$A$2:$G$2628,7,0),"Validar HC")</f>
        <v>Ospina, Michel</v>
      </c>
      <c r="H141" s="164">
        <v>1623501.0</v>
      </c>
      <c r="I141" s="1">
        <v>42.0</v>
      </c>
    </row>
    <row r="142" ht="15.75" customHeight="1">
      <c r="A142" s="1">
        <v>3534523.0</v>
      </c>
      <c r="B142" s="1" t="s">
        <v>931</v>
      </c>
      <c r="C142" s="1" t="s">
        <v>933</v>
      </c>
      <c r="D142" s="1" t="s">
        <v>224</v>
      </c>
      <c r="E142" s="1" t="s">
        <v>232</v>
      </c>
      <c r="F142" s="1" t="s">
        <v>6717</v>
      </c>
      <c r="G142" s="1" t="str">
        <f>IFERROR(VLOOKUP(A142,H_C!$A$2:$G$2628,7,0),"Validar HC")</f>
        <v>Soler, Maria</v>
      </c>
      <c r="H142" s="164">
        <v>1623501.0</v>
      </c>
      <c r="I142" s="1">
        <v>42.0</v>
      </c>
    </row>
    <row r="143" ht="15.75" customHeight="1">
      <c r="A143" s="1">
        <v>3540870.0</v>
      </c>
      <c r="B143" s="1" t="s">
        <v>937</v>
      </c>
      <c r="C143" s="1" t="s">
        <v>939</v>
      </c>
      <c r="D143" s="1" t="s">
        <v>224</v>
      </c>
      <c r="E143" s="1" t="s">
        <v>936</v>
      </c>
      <c r="F143" s="1" t="s">
        <v>6717</v>
      </c>
      <c r="G143" s="1" t="str">
        <f>IFERROR(VLOOKUP(A143,H_C!$A$2:$G$2628,7,0),"Validar HC")</f>
        <v>Garcia, Helmer</v>
      </c>
      <c r="H143" s="164">
        <v>1623501.0</v>
      </c>
      <c r="I143" s="1">
        <v>42.0</v>
      </c>
    </row>
    <row r="144" ht="15.75" customHeight="1">
      <c r="A144" s="1">
        <v>3549914.0</v>
      </c>
      <c r="B144" s="1" t="s">
        <v>942</v>
      </c>
      <c r="C144" s="1" t="s">
        <v>943</v>
      </c>
      <c r="D144" s="1" t="s">
        <v>224</v>
      </c>
      <c r="E144" s="1" t="s">
        <v>514</v>
      </c>
      <c r="F144" s="1" t="s">
        <v>6717</v>
      </c>
      <c r="G144" s="1" t="str">
        <f>IFERROR(VLOOKUP(A144,H_C!$A$2:$G$2628,7,0),"Validar HC")</f>
        <v>Garatejo, Natalia</v>
      </c>
      <c r="H144" s="164">
        <v>1623501.0</v>
      </c>
      <c r="I144" s="1">
        <v>42.0</v>
      </c>
    </row>
    <row r="145" ht="15.75" customHeight="1">
      <c r="A145" s="1">
        <v>3557595.0</v>
      </c>
      <c r="B145" s="1" t="s">
        <v>946</v>
      </c>
      <c r="C145" s="1" t="s">
        <v>947</v>
      </c>
      <c r="D145" s="1" t="s">
        <v>224</v>
      </c>
      <c r="E145" s="1" t="s">
        <v>254</v>
      </c>
      <c r="F145" s="1" t="s">
        <v>6717</v>
      </c>
      <c r="G145" s="1" t="str">
        <f>IFERROR(VLOOKUP(A145,H_C!$A$2:$G$2628,7,0),"Validar HC")</f>
        <v>Gonzalez, Cristian</v>
      </c>
      <c r="H145" s="164">
        <v>1623501.0</v>
      </c>
      <c r="I145" s="1">
        <v>42.0</v>
      </c>
    </row>
    <row r="146" ht="15.75" customHeight="1">
      <c r="A146" s="1">
        <v>3563778.0</v>
      </c>
      <c r="B146" s="1" t="s">
        <v>950</v>
      </c>
      <c r="C146" s="1" t="s">
        <v>951</v>
      </c>
      <c r="D146" s="1" t="s">
        <v>224</v>
      </c>
      <c r="E146" s="1" t="s">
        <v>794</v>
      </c>
      <c r="F146" s="1" t="s">
        <v>6717</v>
      </c>
      <c r="G146" s="1" t="str">
        <f>IFERROR(VLOOKUP(A146,H_C!$A$2:$G$2628,7,0),"Validar HC")</f>
        <v>Osorio, Julian</v>
      </c>
      <c r="H146" s="164">
        <v>1623501.0</v>
      </c>
      <c r="I146" s="1">
        <v>42.0</v>
      </c>
    </row>
    <row r="147" ht="15.75" customHeight="1">
      <c r="A147" s="1">
        <v>3564385.0</v>
      </c>
      <c r="B147" s="1" t="s">
        <v>954</v>
      </c>
      <c r="C147" s="1" t="s">
        <v>955</v>
      </c>
      <c r="D147" s="1" t="s">
        <v>224</v>
      </c>
      <c r="E147" s="1" t="s">
        <v>821</v>
      </c>
      <c r="F147" s="1" t="s">
        <v>6717</v>
      </c>
      <c r="G147" s="1" t="str">
        <f>IFERROR(VLOOKUP(A147,H_C!$A$2:$G$2628,7,0),"Validar HC")</f>
        <v>Garatejo, Natalia</v>
      </c>
      <c r="H147" s="164">
        <v>1623501.0</v>
      </c>
      <c r="I147" s="1">
        <v>42.0</v>
      </c>
    </row>
    <row r="148" ht="15.75" customHeight="1">
      <c r="A148" s="1">
        <v>3568698.0</v>
      </c>
      <c r="B148" s="1" t="s">
        <v>958</v>
      </c>
      <c r="C148" s="1" t="s">
        <v>960</v>
      </c>
      <c r="D148" s="1" t="s">
        <v>224</v>
      </c>
      <c r="E148" s="1" t="s">
        <v>374</v>
      </c>
      <c r="F148" s="1" t="s">
        <v>6717</v>
      </c>
      <c r="G148" s="1" t="str">
        <f>IFERROR(VLOOKUP(A148,H_C!$A$2:$G$2628,7,0),"Validar HC")</f>
        <v>Martinez, Wendy</v>
      </c>
      <c r="H148" s="164">
        <v>1623501.0</v>
      </c>
      <c r="I148" s="1">
        <v>42.0</v>
      </c>
    </row>
    <row r="149" ht="15.75" customHeight="1">
      <c r="A149" s="1">
        <v>3924273.0</v>
      </c>
      <c r="B149" s="1" t="s">
        <v>35</v>
      </c>
      <c r="C149" s="1" t="s">
        <v>1213</v>
      </c>
      <c r="D149" s="1" t="s">
        <v>224</v>
      </c>
      <c r="E149" s="1" t="s">
        <v>13</v>
      </c>
      <c r="F149" s="1" t="s">
        <v>6717</v>
      </c>
      <c r="G149" s="1" t="str">
        <f>IFERROR(VLOOKUP(A149,H_C!$A$2:$G$2628,7,0),"Validar HC")</f>
        <v>Ospina, Michel</v>
      </c>
      <c r="H149" s="162">
        <v>1600000.0</v>
      </c>
      <c r="I149" s="1">
        <v>42.0</v>
      </c>
    </row>
    <row r="150" ht="15.75" customHeight="1">
      <c r="A150" s="1">
        <v>3587762.0</v>
      </c>
      <c r="B150" s="1" t="s">
        <v>964</v>
      </c>
      <c r="C150" s="1" t="s">
        <v>965</v>
      </c>
      <c r="D150" s="1" t="s">
        <v>224</v>
      </c>
      <c r="E150" s="1" t="s">
        <v>254</v>
      </c>
      <c r="F150" s="1" t="s">
        <v>6717</v>
      </c>
      <c r="G150" s="1" t="str">
        <f>IFERROR(VLOOKUP(A150,H_C!$A$2:$G$2628,7,0),"Validar HC")</f>
        <v>Gonzalez, Cristian</v>
      </c>
      <c r="H150" s="164">
        <v>1623501.0</v>
      </c>
      <c r="I150" s="1">
        <v>42.0</v>
      </c>
    </row>
    <row r="151" ht="15.75" customHeight="1">
      <c r="A151" s="1">
        <v>3591141.0</v>
      </c>
      <c r="B151" s="1" t="s">
        <v>966</v>
      </c>
      <c r="C151" s="1" t="s">
        <v>967</v>
      </c>
      <c r="D151" s="1" t="s">
        <v>224</v>
      </c>
      <c r="E151" s="1" t="s">
        <v>835</v>
      </c>
      <c r="F151" s="1" t="s">
        <v>6717</v>
      </c>
      <c r="G151" s="1" t="str">
        <f>IFERROR(VLOOKUP(A151,H_C!$A$2:$G$2628,7,0),"Validar HC")</f>
        <v>Martinez, Wendy</v>
      </c>
      <c r="H151" s="164">
        <v>1623501.0</v>
      </c>
      <c r="I151" s="1">
        <v>42.0</v>
      </c>
    </row>
    <row r="152" ht="15.75" customHeight="1">
      <c r="A152" s="1">
        <v>3611898.0</v>
      </c>
      <c r="B152" s="1" t="s">
        <v>970</v>
      </c>
      <c r="C152" s="1" t="s">
        <v>971</v>
      </c>
      <c r="D152" s="1" t="s">
        <v>224</v>
      </c>
      <c r="E152" s="1" t="s">
        <v>232</v>
      </c>
      <c r="F152" s="1" t="s">
        <v>6717</v>
      </c>
      <c r="G152" s="1" t="str">
        <f>IFERROR(VLOOKUP(A152,H_C!$A$2:$G$2628,7,0),"Validar HC")</f>
        <v>Soler, Maria</v>
      </c>
      <c r="H152" s="164">
        <v>1623501.0</v>
      </c>
      <c r="I152" s="1">
        <v>42.0</v>
      </c>
    </row>
    <row r="153" ht="15.75" customHeight="1">
      <c r="A153" s="1">
        <v>3612246.0</v>
      </c>
      <c r="B153" s="1" t="s">
        <v>974</v>
      </c>
      <c r="C153" s="1" t="s">
        <v>975</v>
      </c>
      <c r="D153" s="1" t="s">
        <v>224</v>
      </c>
      <c r="E153" s="1" t="s">
        <v>425</v>
      </c>
      <c r="F153" s="1" t="s">
        <v>6717</v>
      </c>
      <c r="G153" s="1" t="str">
        <f>IFERROR(VLOOKUP(A153,H_C!$A$2:$G$2628,7,0),"Validar HC")</f>
        <v>Ospina, Michel</v>
      </c>
      <c r="H153" s="164">
        <v>1623501.0</v>
      </c>
      <c r="I153" s="1">
        <v>42.0</v>
      </c>
    </row>
    <row r="154" ht="15.75" customHeight="1">
      <c r="A154" s="1">
        <v>3614461.0</v>
      </c>
      <c r="B154" s="1" t="s">
        <v>978</v>
      </c>
      <c r="C154" s="1" t="s">
        <v>979</v>
      </c>
      <c r="D154" s="1" t="s">
        <v>224</v>
      </c>
      <c r="E154" s="1" t="s">
        <v>821</v>
      </c>
      <c r="F154" s="1" t="s">
        <v>6717</v>
      </c>
      <c r="G154" s="1" t="str">
        <f>IFERROR(VLOOKUP(A154,H_C!$A$2:$G$2628,7,0),"Validar HC")</f>
        <v>Garatejo, Natalia</v>
      </c>
      <c r="H154" s="164">
        <v>1623501.0</v>
      </c>
      <c r="I154" s="1">
        <v>42.0</v>
      </c>
    </row>
    <row r="155" ht="15.75" customHeight="1">
      <c r="A155" s="1">
        <v>3616211.0</v>
      </c>
      <c r="B155" s="1" t="s">
        <v>982</v>
      </c>
      <c r="C155" s="1" t="s">
        <v>983</v>
      </c>
      <c r="D155" s="1" t="s">
        <v>224</v>
      </c>
      <c r="E155" s="1" t="s">
        <v>853</v>
      </c>
      <c r="F155" s="1" t="s">
        <v>6717</v>
      </c>
      <c r="G155" s="1" t="str">
        <f>IFERROR(VLOOKUP(A155,H_C!$A$2:$G$2628,7,0),"Validar HC")</f>
        <v>Celi, Juan</v>
      </c>
      <c r="H155" s="164">
        <v>1623501.0</v>
      </c>
      <c r="I155" s="1">
        <v>42.0</v>
      </c>
    </row>
    <row r="156" ht="15.75" customHeight="1">
      <c r="A156" s="1">
        <v>3619342.0</v>
      </c>
      <c r="B156" s="1" t="s">
        <v>987</v>
      </c>
      <c r="C156" s="1" t="s">
        <v>989</v>
      </c>
      <c r="D156" s="1" t="s">
        <v>224</v>
      </c>
      <c r="E156" s="1" t="s">
        <v>986</v>
      </c>
      <c r="F156" s="1" t="s">
        <v>6717</v>
      </c>
      <c r="G156" s="1" t="str">
        <f>IFERROR(VLOOKUP(A156,H_C!$A$2:$G$2628,7,0),"Validar HC")</f>
        <v>Garatejo, Natalia</v>
      </c>
      <c r="H156" s="164">
        <v>1623501.0</v>
      </c>
      <c r="I156" s="1">
        <v>42.0</v>
      </c>
    </row>
    <row r="157" ht="15.75" customHeight="1">
      <c r="A157" s="1">
        <v>3620469.0</v>
      </c>
      <c r="B157" s="1" t="s">
        <v>992</v>
      </c>
      <c r="C157" s="1" t="s">
        <v>993</v>
      </c>
      <c r="D157" s="1" t="s">
        <v>224</v>
      </c>
      <c r="E157" s="1" t="s">
        <v>592</v>
      </c>
      <c r="F157" s="1" t="s">
        <v>6717</v>
      </c>
      <c r="G157" s="1" t="str">
        <f>IFERROR(VLOOKUP(A157,H_C!$A$2:$G$2628,7,0),"Validar HC")</f>
        <v>Garcia, Helmer</v>
      </c>
      <c r="H157" s="164">
        <v>1623501.0</v>
      </c>
      <c r="I157" s="1">
        <v>42.0</v>
      </c>
    </row>
    <row r="158" ht="15.75" customHeight="1">
      <c r="A158" s="1">
        <v>3621787.0</v>
      </c>
      <c r="B158" s="1" t="s">
        <v>997</v>
      </c>
      <c r="C158" s="1" t="s">
        <v>998</v>
      </c>
      <c r="D158" s="1" t="s">
        <v>224</v>
      </c>
      <c r="E158" s="1" t="s">
        <v>522</v>
      </c>
      <c r="F158" s="1" t="s">
        <v>6717</v>
      </c>
      <c r="G158" s="1" t="str">
        <f>IFERROR(VLOOKUP(A158,H_C!$A$2:$G$2628,7,0),"Validar HC")</f>
        <v>Martinez, Wendy</v>
      </c>
      <c r="H158" s="164">
        <v>1623501.0</v>
      </c>
      <c r="I158" s="1">
        <v>42.0</v>
      </c>
    </row>
    <row r="159" ht="15.75" customHeight="1">
      <c r="A159" s="1">
        <v>3627380.0</v>
      </c>
      <c r="B159" s="1" t="s">
        <v>1001</v>
      </c>
      <c r="C159" s="1" t="s">
        <v>1003</v>
      </c>
      <c r="D159" s="1" t="s">
        <v>224</v>
      </c>
      <c r="E159" s="1" t="s">
        <v>986</v>
      </c>
      <c r="F159" s="1" t="s">
        <v>6717</v>
      </c>
      <c r="G159" s="1" t="str">
        <f>IFERROR(VLOOKUP(A159,H_C!$A$2:$G$2628,7,0),"Validar HC")</f>
        <v>Garatejo, Natalia</v>
      </c>
      <c r="H159" s="164">
        <v>1623501.0</v>
      </c>
      <c r="I159" s="1">
        <v>42.0</v>
      </c>
    </row>
    <row r="160" ht="15.75" customHeight="1">
      <c r="A160" s="1">
        <v>3628486.0</v>
      </c>
      <c r="B160" s="1" t="s">
        <v>1006</v>
      </c>
      <c r="C160" s="1" t="s">
        <v>1007</v>
      </c>
      <c r="D160" s="1" t="s">
        <v>224</v>
      </c>
      <c r="E160" s="1" t="s">
        <v>986</v>
      </c>
      <c r="F160" s="1" t="s">
        <v>6717</v>
      </c>
      <c r="G160" s="1" t="str">
        <f>IFERROR(VLOOKUP(A160,H_C!$A$2:$G$2628,7,0),"Validar HC")</f>
        <v>Garatejo, Natalia</v>
      </c>
      <c r="H160" s="164">
        <v>1623501.0</v>
      </c>
      <c r="I160" s="1">
        <v>42.0</v>
      </c>
    </row>
    <row r="161" ht="15.75" customHeight="1">
      <c r="A161" s="1">
        <v>3628764.0</v>
      </c>
      <c r="B161" s="1" t="s">
        <v>1010</v>
      </c>
      <c r="C161" s="1" t="s">
        <v>1012</v>
      </c>
      <c r="D161" s="1" t="s">
        <v>224</v>
      </c>
      <c r="E161" s="1" t="s">
        <v>316</v>
      </c>
      <c r="F161" s="1" t="s">
        <v>6717</v>
      </c>
      <c r="G161" s="1" t="str">
        <f>IFERROR(VLOOKUP(A161,H_C!$A$2:$G$2628,7,0),"Validar HC")</f>
        <v>Osorio, Julian</v>
      </c>
      <c r="H161" s="164">
        <v>1623501.0</v>
      </c>
      <c r="I161" s="1">
        <v>42.0</v>
      </c>
    </row>
    <row r="162" ht="15.75" customHeight="1">
      <c r="A162" s="1">
        <v>3628777.0</v>
      </c>
      <c r="B162" s="1" t="s">
        <v>119</v>
      </c>
      <c r="C162" s="1" t="s">
        <v>1016</v>
      </c>
      <c r="D162" s="1" t="s">
        <v>224</v>
      </c>
      <c r="E162" s="1" t="s">
        <v>120</v>
      </c>
      <c r="F162" s="1" t="s">
        <v>6717</v>
      </c>
      <c r="G162" s="1" t="str">
        <f>IFERROR(VLOOKUP(A162,H_C!$A$2:$G$2628,7,0),"Validar HC")</f>
        <v>Ospina, Michel</v>
      </c>
      <c r="H162" s="164">
        <v>1623501.0</v>
      </c>
      <c r="I162" s="1">
        <v>42.0</v>
      </c>
    </row>
    <row r="163" ht="15.75" customHeight="1">
      <c r="A163" s="1">
        <v>3629164.0</v>
      </c>
      <c r="B163" s="1" t="s">
        <v>1020</v>
      </c>
      <c r="C163" s="1" t="s">
        <v>1022</v>
      </c>
      <c r="D163" s="1" t="s">
        <v>224</v>
      </c>
      <c r="E163" s="1" t="s">
        <v>1019</v>
      </c>
      <c r="F163" s="1" t="s">
        <v>6717</v>
      </c>
      <c r="G163" s="1" t="str">
        <f>IFERROR(VLOOKUP(A163,H_C!$A$2:$G$2628,7,0),"Validar HC")</f>
        <v>Celi, Juan</v>
      </c>
      <c r="H163" s="164">
        <v>1623501.0</v>
      </c>
      <c r="I163" s="1">
        <v>42.0</v>
      </c>
    </row>
    <row r="164" ht="15.75" customHeight="1">
      <c r="A164" s="1">
        <v>3630038.0</v>
      </c>
      <c r="B164" s="1" t="s">
        <v>1025</v>
      </c>
      <c r="C164" s="1" t="s">
        <v>1026</v>
      </c>
      <c r="D164" s="1" t="s">
        <v>224</v>
      </c>
      <c r="E164" s="1" t="s">
        <v>276</v>
      </c>
      <c r="F164" s="1" t="s">
        <v>6717</v>
      </c>
      <c r="G164" s="1" t="str">
        <f>IFERROR(VLOOKUP(A164,H_C!$A$2:$G$2628,7,0),"Validar HC")</f>
        <v>Gonzalez, Cristian</v>
      </c>
      <c r="H164" s="164">
        <v>1623501.0</v>
      </c>
      <c r="I164" s="1">
        <v>42.0</v>
      </c>
    </row>
    <row r="165" ht="15.75" customHeight="1">
      <c r="A165" s="1">
        <v>3649592.0</v>
      </c>
      <c r="B165" s="1" t="s">
        <v>1031</v>
      </c>
      <c r="C165" s="1" t="s">
        <v>1032</v>
      </c>
      <c r="D165" s="1" t="s">
        <v>224</v>
      </c>
      <c r="E165" s="1" t="s">
        <v>676</v>
      </c>
      <c r="F165" s="1" t="s">
        <v>6717</v>
      </c>
      <c r="G165" s="1" t="str">
        <f>IFERROR(VLOOKUP(A165,H_C!$A$2:$G$2628,7,0),"Validar HC")</f>
        <v>Garatejo, Natalia</v>
      </c>
      <c r="H165" s="164">
        <v>1623501.0</v>
      </c>
      <c r="I165" s="1">
        <v>42.0</v>
      </c>
    </row>
    <row r="166" ht="15.75" customHeight="1">
      <c r="A166" s="1">
        <v>3661119.0</v>
      </c>
      <c r="B166" s="1" t="s">
        <v>1035</v>
      </c>
      <c r="C166" s="1" t="s">
        <v>1036</v>
      </c>
      <c r="D166" s="1" t="s">
        <v>224</v>
      </c>
      <c r="E166" s="1" t="s">
        <v>478</v>
      </c>
      <c r="F166" s="1" t="s">
        <v>6717</v>
      </c>
      <c r="G166" s="1" t="str">
        <f>IFERROR(VLOOKUP(A166,H_C!$A$2:$G$2628,7,0),"Validar HC")</f>
        <v>Celi, Juan</v>
      </c>
      <c r="H166" s="164">
        <v>1623501.0</v>
      </c>
      <c r="I166" s="1">
        <v>42.0</v>
      </c>
    </row>
    <row r="167" ht="15.75" customHeight="1">
      <c r="A167" s="1">
        <v>3662767.0</v>
      </c>
      <c r="B167" s="1" t="s">
        <v>1039</v>
      </c>
      <c r="C167" s="1" t="s">
        <v>1041</v>
      </c>
      <c r="D167" s="1" t="s">
        <v>224</v>
      </c>
      <c r="E167" s="1" t="s">
        <v>835</v>
      </c>
      <c r="F167" s="1" t="s">
        <v>6717</v>
      </c>
      <c r="G167" s="1" t="str">
        <f>IFERROR(VLOOKUP(A167,H_C!$A$2:$G$2628,7,0),"Validar HC")</f>
        <v>Martinez, Wendy</v>
      </c>
      <c r="H167" s="164">
        <v>1623501.0</v>
      </c>
      <c r="I167" s="1">
        <v>42.0</v>
      </c>
    </row>
    <row r="168" ht="15.75" customHeight="1">
      <c r="A168" s="1">
        <v>3663042.0</v>
      </c>
      <c r="B168" s="1" t="s">
        <v>1045</v>
      </c>
      <c r="C168" s="1" t="s">
        <v>1046</v>
      </c>
      <c r="D168" s="1" t="s">
        <v>224</v>
      </c>
      <c r="E168" s="1" t="s">
        <v>1044</v>
      </c>
      <c r="F168" s="1" t="s">
        <v>6717</v>
      </c>
      <c r="G168" s="1" t="str">
        <f>IFERROR(VLOOKUP(A168,H_C!$A$2:$G$2628,7,0),"Validar HC")</f>
        <v>Gonzalez, Cristian</v>
      </c>
      <c r="H168" s="164">
        <v>1623501.0</v>
      </c>
      <c r="I168" s="1">
        <v>42.0</v>
      </c>
    </row>
    <row r="169" ht="15.75" customHeight="1">
      <c r="A169" s="1">
        <v>3664638.0</v>
      </c>
      <c r="B169" s="1" t="s">
        <v>1047</v>
      </c>
      <c r="C169" s="1" t="s">
        <v>1049</v>
      </c>
      <c r="D169" s="1" t="s">
        <v>224</v>
      </c>
      <c r="E169" s="1" t="s">
        <v>289</v>
      </c>
      <c r="F169" s="1" t="s">
        <v>6717</v>
      </c>
      <c r="G169" s="1" t="str">
        <f>IFERROR(VLOOKUP(A169,H_C!$A$2:$G$2628,7,0),"Validar HC")</f>
        <v>Celi, Juan</v>
      </c>
      <c r="H169" s="164">
        <v>1623501.0</v>
      </c>
      <c r="I169" s="1">
        <v>42.0</v>
      </c>
    </row>
    <row r="170" ht="15.75" customHeight="1">
      <c r="A170" s="1">
        <v>3664943.0</v>
      </c>
      <c r="B170" s="1" t="s">
        <v>1052</v>
      </c>
      <c r="C170" s="1" t="s">
        <v>1053</v>
      </c>
      <c r="D170" s="1" t="s">
        <v>224</v>
      </c>
      <c r="E170" s="1" t="s">
        <v>800</v>
      </c>
      <c r="F170" s="1" t="s">
        <v>6717</v>
      </c>
      <c r="G170" s="1" t="str">
        <f>IFERROR(VLOOKUP(A170,H_C!$A$2:$G$2628,7,0),"Validar HC")</f>
        <v>Garatejo, Natalia</v>
      </c>
      <c r="H170" s="164">
        <v>1623501.0</v>
      </c>
      <c r="I170" s="1">
        <v>42.0</v>
      </c>
    </row>
    <row r="171" ht="15.75" customHeight="1">
      <c r="A171" s="1">
        <v>3668750.0</v>
      </c>
      <c r="B171" s="1" t="s">
        <v>1056</v>
      </c>
      <c r="C171" s="1" t="s">
        <v>1057</v>
      </c>
      <c r="D171" s="1" t="s">
        <v>224</v>
      </c>
      <c r="E171" s="1" t="s">
        <v>514</v>
      </c>
      <c r="F171" s="1" t="s">
        <v>6717</v>
      </c>
      <c r="G171" s="1" t="str">
        <f>IFERROR(VLOOKUP(A171,H_C!$A$2:$G$2628,7,0),"Validar HC")</f>
        <v>Garatejo, Natalia</v>
      </c>
      <c r="H171" s="164">
        <v>1623501.0</v>
      </c>
      <c r="I171" s="1">
        <v>42.0</v>
      </c>
    </row>
    <row r="172" ht="15.75" customHeight="1">
      <c r="A172" s="1">
        <v>3668755.0</v>
      </c>
      <c r="B172" s="1" t="s">
        <v>1061</v>
      </c>
      <c r="C172" s="1" t="s">
        <v>1063</v>
      </c>
      <c r="D172" s="1" t="s">
        <v>224</v>
      </c>
      <c r="E172" s="1" t="s">
        <v>1060</v>
      </c>
      <c r="F172" s="1" t="s">
        <v>6717</v>
      </c>
      <c r="G172" s="1" t="str">
        <f>IFERROR(VLOOKUP(A172,H_C!$A$2:$G$2628,7,0),"Validar HC")</f>
        <v>Garcia, Helmer</v>
      </c>
      <c r="H172" s="164">
        <v>1623501.0</v>
      </c>
      <c r="I172" s="1">
        <v>42.0</v>
      </c>
    </row>
    <row r="173" ht="15.75" customHeight="1">
      <c r="A173" s="1">
        <v>3671369.0</v>
      </c>
      <c r="B173" s="1" t="s">
        <v>630</v>
      </c>
      <c r="C173" s="1" t="s">
        <v>631</v>
      </c>
      <c r="D173" s="1" t="s">
        <v>224</v>
      </c>
      <c r="E173" s="1" t="s">
        <v>239</v>
      </c>
      <c r="F173" s="1" t="s">
        <v>6717</v>
      </c>
      <c r="G173" s="1" t="str">
        <f>IFERROR(VLOOKUP(A173,H_C!$A$2:$G$2628,7,0),"Validar HC")</f>
        <v>Soler, Maria</v>
      </c>
      <c r="H173" s="164">
        <v>1623501.0</v>
      </c>
      <c r="I173" s="1">
        <v>42.0</v>
      </c>
    </row>
    <row r="174" ht="15.75" customHeight="1">
      <c r="A174" s="1">
        <v>3674822.0</v>
      </c>
      <c r="B174" s="1" t="s">
        <v>1068</v>
      </c>
      <c r="C174" s="1" t="s">
        <v>1070</v>
      </c>
      <c r="D174" s="1" t="s">
        <v>224</v>
      </c>
      <c r="E174" s="1" t="s">
        <v>555</v>
      </c>
      <c r="F174" s="1" t="s">
        <v>6717</v>
      </c>
      <c r="G174" s="1" t="str">
        <f>IFERROR(VLOOKUP(A174,H_C!$A$2:$G$2628,7,0),"Validar HC")</f>
        <v>Ayala, Giselle</v>
      </c>
      <c r="H174" s="164">
        <v>1623501.0</v>
      </c>
      <c r="I174" s="1">
        <v>42.0</v>
      </c>
    </row>
    <row r="175" ht="15.75" customHeight="1">
      <c r="A175" s="1">
        <v>3676641.0</v>
      </c>
      <c r="B175" s="1" t="s">
        <v>1073</v>
      </c>
      <c r="C175" s="1" t="s">
        <v>1074</v>
      </c>
      <c r="D175" s="1" t="s">
        <v>224</v>
      </c>
      <c r="E175" s="1" t="s">
        <v>478</v>
      </c>
      <c r="F175" s="1" t="s">
        <v>6717</v>
      </c>
      <c r="G175" s="1" t="str">
        <f>IFERROR(VLOOKUP(A175,H_C!$A$2:$G$2628,7,0),"Validar HC")</f>
        <v>Celi, Juan</v>
      </c>
      <c r="H175" s="164">
        <v>1623501.0</v>
      </c>
      <c r="I175" s="1">
        <v>42.0</v>
      </c>
    </row>
    <row r="176" ht="15.75" customHeight="1">
      <c r="A176" s="1">
        <v>3686107.0</v>
      </c>
      <c r="B176" s="1" t="s">
        <v>880</v>
      </c>
      <c r="C176" s="1" t="s">
        <v>881</v>
      </c>
      <c r="D176" s="1" t="s">
        <v>224</v>
      </c>
      <c r="E176" s="1" t="s">
        <v>246</v>
      </c>
      <c r="F176" s="1" t="s">
        <v>6717</v>
      </c>
      <c r="G176" s="1" t="str">
        <f>IFERROR(VLOOKUP(A176,H_C!$A$2:$G$2628,7,0),"Validar HC")</f>
        <v>Garcia, Helmer</v>
      </c>
      <c r="H176" s="164">
        <v>1623501.0</v>
      </c>
      <c r="I176" s="1">
        <v>42.0</v>
      </c>
    </row>
    <row r="177" ht="15.75" customHeight="1">
      <c r="A177" s="1">
        <v>3686316.0</v>
      </c>
      <c r="B177" s="1" t="s">
        <v>1079</v>
      </c>
      <c r="C177" s="1" t="s">
        <v>1080</v>
      </c>
      <c r="D177" s="1" t="s">
        <v>224</v>
      </c>
      <c r="E177" s="1" t="s">
        <v>246</v>
      </c>
      <c r="F177" s="1" t="s">
        <v>6717</v>
      </c>
      <c r="G177" s="1" t="str">
        <f>IFERROR(VLOOKUP(A177,H_C!$A$2:$G$2628,7,0),"Validar HC")</f>
        <v>Garcia, Helmer</v>
      </c>
      <c r="H177" s="164">
        <v>1623501.0</v>
      </c>
      <c r="I177" s="1">
        <v>42.0</v>
      </c>
    </row>
    <row r="178" ht="15.75" customHeight="1">
      <c r="A178" s="1">
        <v>3686455.0</v>
      </c>
      <c r="B178" s="1" t="s">
        <v>1083</v>
      </c>
      <c r="C178" s="1" t="s">
        <v>1084</v>
      </c>
      <c r="D178" s="1" t="s">
        <v>224</v>
      </c>
      <c r="E178" s="1" t="s">
        <v>246</v>
      </c>
      <c r="F178" s="1" t="s">
        <v>6717</v>
      </c>
      <c r="G178" s="1" t="str">
        <f>IFERROR(VLOOKUP(A178,H_C!$A$2:$G$2628,7,0),"Validar HC")</f>
        <v>Garcia, Helmer</v>
      </c>
      <c r="H178" s="164">
        <v>1623501.0</v>
      </c>
      <c r="I178" s="1">
        <v>42.0</v>
      </c>
    </row>
    <row r="179" ht="15.75" customHeight="1">
      <c r="A179" s="1">
        <v>3688854.0</v>
      </c>
      <c r="B179" s="1" t="s">
        <v>1089</v>
      </c>
      <c r="C179" s="1" t="s">
        <v>1090</v>
      </c>
      <c r="D179" s="1" t="s">
        <v>224</v>
      </c>
      <c r="E179" s="1" t="s">
        <v>246</v>
      </c>
      <c r="F179" s="1" t="s">
        <v>6717</v>
      </c>
      <c r="G179" s="1" t="str">
        <f>IFERROR(VLOOKUP(A179,H_C!$A$2:$G$2628,7,0),"Validar HC")</f>
        <v>Garcia, Helmer</v>
      </c>
      <c r="H179" s="164">
        <v>1623501.0</v>
      </c>
      <c r="I179" s="1">
        <v>42.0</v>
      </c>
    </row>
    <row r="180" ht="15.75" customHeight="1">
      <c r="A180" s="1">
        <v>3692512.0</v>
      </c>
      <c r="B180" s="1" t="s">
        <v>1093</v>
      </c>
      <c r="C180" s="1" t="s">
        <v>1094</v>
      </c>
      <c r="D180" s="1" t="s">
        <v>224</v>
      </c>
      <c r="E180" s="1" t="s">
        <v>994</v>
      </c>
      <c r="F180" s="1" t="s">
        <v>6717</v>
      </c>
      <c r="G180" s="1" t="str">
        <f>IFERROR(VLOOKUP(A180,H_C!$A$2:$G$2628,7,0),"Validar HC")</f>
        <v>Gonzalez, Cristian</v>
      </c>
      <c r="H180" s="164">
        <v>1623501.0</v>
      </c>
      <c r="I180" s="1">
        <v>42.0</v>
      </c>
    </row>
    <row r="181" ht="15.75" customHeight="1">
      <c r="A181" s="1">
        <v>3698132.0</v>
      </c>
      <c r="B181" s="1" t="s">
        <v>1097</v>
      </c>
      <c r="C181" s="1" t="s">
        <v>1098</v>
      </c>
      <c r="D181" s="1" t="s">
        <v>224</v>
      </c>
      <c r="E181" s="1" t="s">
        <v>555</v>
      </c>
      <c r="F181" s="1" t="s">
        <v>6717</v>
      </c>
      <c r="G181" s="1" t="str">
        <f>IFERROR(VLOOKUP(A181,H_C!$A$2:$G$2628,7,0),"Validar HC")</f>
        <v>Ayala, Giselle</v>
      </c>
      <c r="H181" s="164">
        <v>1623501.0</v>
      </c>
      <c r="I181" s="1">
        <v>42.0</v>
      </c>
    </row>
    <row r="182" ht="15.75" customHeight="1">
      <c r="A182" s="1">
        <v>3700214.0</v>
      </c>
      <c r="B182" s="1" t="s">
        <v>1101</v>
      </c>
      <c r="C182" s="1" t="s">
        <v>1103</v>
      </c>
      <c r="D182" s="1" t="s">
        <v>224</v>
      </c>
      <c r="E182" s="1" t="s">
        <v>478</v>
      </c>
      <c r="F182" s="1" t="s">
        <v>6717</v>
      </c>
      <c r="G182" s="1" t="str">
        <f>IFERROR(VLOOKUP(A182,H_C!$A$2:$G$2628,7,0),"Validar HC")</f>
        <v>Celi, Juan</v>
      </c>
      <c r="H182" s="164">
        <v>1623501.0</v>
      </c>
      <c r="I182" s="1">
        <v>42.0</v>
      </c>
    </row>
    <row r="183" ht="15.75" customHeight="1">
      <c r="A183" s="1">
        <v>3711367.0</v>
      </c>
      <c r="B183" s="1" t="s">
        <v>1106</v>
      </c>
      <c r="C183" s="1" t="s">
        <v>1107</v>
      </c>
      <c r="D183" s="1" t="s">
        <v>224</v>
      </c>
      <c r="E183" s="1" t="s">
        <v>246</v>
      </c>
      <c r="F183" s="1" t="s">
        <v>6717</v>
      </c>
      <c r="G183" s="1" t="str">
        <f>IFERROR(VLOOKUP(A183,H_C!$A$2:$G$2628,7,0),"Validar HC")</f>
        <v>Garcia, Helmer</v>
      </c>
      <c r="H183" s="164">
        <v>1623501.0</v>
      </c>
      <c r="I183" s="1">
        <v>42.0</v>
      </c>
    </row>
    <row r="184" ht="15.75" customHeight="1">
      <c r="A184" s="1">
        <v>3740335.0</v>
      </c>
      <c r="B184" s="1" t="s">
        <v>1110</v>
      </c>
      <c r="C184" s="1" t="s">
        <v>1111</v>
      </c>
      <c r="D184" s="1" t="s">
        <v>224</v>
      </c>
      <c r="E184" s="1" t="s">
        <v>1019</v>
      </c>
      <c r="F184" s="1" t="s">
        <v>6717</v>
      </c>
      <c r="G184" s="1" t="str">
        <f>IFERROR(VLOOKUP(A184,H_C!$A$2:$G$2628,7,0),"Validar HC")</f>
        <v>Celi, Juan</v>
      </c>
      <c r="H184" s="164">
        <v>1623501.0</v>
      </c>
      <c r="I184" s="1">
        <v>42.0</v>
      </c>
    </row>
    <row r="185" ht="15.75" customHeight="1">
      <c r="A185" s="1">
        <v>3754441.0</v>
      </c>
      <c r="B185" s="1" t="s">
        <v>636</v>
      </c>
      <c r="C185" s="1" t="s">
        <v>637</v>
      </c>
      <c r="D185" s="1" t="s">
        <v>224</v>
      </c>
      <c r="E185" s="1" t="s">
        <v>239</v>
      </c>
      <c r="F185" s="1" t="s">
        <v>6717</v>
      </c>
      <c r="G185" s="1" t="str">
        <f>IFERROR(VLOOKUP(A185,H_C!$A$2:$G$2628,7,0),"Validar HC")</f>
        <v>Soler, Maria</v>
      </c>
      <c r="H185" s="164">
        <v>1623501.0</v>
      </c>
      <c r="I185" s="1">
        <v>42.0</v>
      </c>
    </row>
    <row r="186" ht="15.75" customHeight="1">
      <c r="A186" s="1">
        <v>3761171.0</v>
      </c>
      <c r="B186" s="1" t="s">
        <v>1116</v>
      </c>
      <c r="C186" s="1" t="s">
        <v>1117</v>
      </c>
      <c r="D186" s="1" t="s">
        <v>224</v>
      </c>
      <c r="E186" s="1" t="s">
        <v>316</v>
      </c>
      <c r="F186" s="1" t="s">
        <v>6717</v>
      </c>
      <c r="G186" s="1" t="str">
        <f>IFERROR(VLOOKUP(A186,H_C!$A$2:$G$2628,7,0),"Validar HC")</f>
        <v>Osorio, Julian</v>
      </c>
      <c r="H186" s="164">
        <v>1623501.0</v>
      </c>
      <c r="I186" s="1">
        <v>42.0</v>
      </c>
    </row>
    <row r="187" ht="15.75" customHeight="1">
      <c r="A187" s="1">
        <v>3773140.0</v>
      </c>
      <c r="B187" s="1" t="s">
        <v>230</v>
      </c>
      <c r="C187" s="1" t="s">
        <v>231</v>
      </c>
      <c r="D187" s="1" t="s">
        <v>224</v>
      </c>
      <c r="E187" s="1" t="s">
        <v>222</v>
      </c>
      <c r="F187" s="1" t="s">
        <v>6717</v>
      </c>
      <c r="G187" s="1" t="str">
        <f>IFERROR(VLOOKUP(A187,H_C!$A$2:$G$2628,7,0),"Validar HC")</f>
        <v>Soler, Maria</v>
      </c>
      <c r="H187" s="164">
        <v>1623501.0</v>
      </c>
      <c r="I187" s="1">
        <v>42.0</v>
      </c>
    </row>
    <row r="188" ht="15.75" customHeight="1">
      <c r="A188" s="1">
        <v>3773154.0</v>
      </c>
      <c r="B188" s="1" t="s">
        <v>1122</v>
      </c>
      <c r="C188" s="1" t="s">
        <v>1123</v>
      </c>
      <c r="D188" s="1" t="s">
        <v>224</v>
      </c>
      <c r="E188" s="1" t="s">
        <v>232</v>
      </c>
      <c r="F188" s="1" t="s">
        <v>6717</v>
      </c>
      <c r="G188" s="1" t="str">
        <f>IFERROR(VLOOKUP(A188,H_C!$A$2:$G$2628,7,0),"Validar HC")</f>
        <v>Soler, Maria</v>
      </c>
      <c r="H188" s="164">
        <v>1623501.0</v>
      </c>
      <c r="I188" s="1">
        <v>42.0</v>
      </c>
    </row>
    <row r="189" ht="15.75" customHeight="1">
      <c r="A189" s="1">
        <v>3773162.0</v>
      </c>
      <c r="B189" s="1" t="s">
        <v>1126</v>
      </c>
      <c r="C189" s="1" t="s">
        <v>1128</v>
      </c>
      <c r="D189" s="1" t="s">
        <v>224</v>
      </c>
      <c r="E189" s="1" t="s">
        <v>222</v>
      </c>
      <c r="F189" s="1" t="s">
        <v>6717</v>
      </c>
      <c r="G189" s="1" t="str">
        <f>IFERROR(VLOOKUP(A189,H_C!$A$2:$G$2628,7,0),"Validar HC")</f>
        <v>Soler, Maria</v>
      </c>
      <c r="H189" s="164">
        <v>1623501.0</v>
      </c>
      <c r="I189" s="1">
        <v>42.0</v>
      </c>
    </row>
    <row r="190" ht="15.75" customHeight="1">
      <c r="A190" s="1">
        <v>3774057.0</v>
      </c>
      <c r="B190" s="1" t="s">
        <v>1131</v>
      </c>
      <c r="C190" s="1" t="s">
        <v>1132</v>
      </c>
      <c r="D190" s="1" t="s">
        <v>224</v>
      </c>
      <c r="E190" s="1" t="s">
        <v>841</v>
      </c>
      <c r="F190" s="1" t="s">
        <v>6717</v>
      </c>
      <c r="G190" s="1" t="str">
        <f>IFERROR(VLOOKUP(A190,H_C!$A$2:$G$2628,7,0),"Validar HC")</f>
        <v>Soler, Maria</v>
      </c>
      <c r="H190" s="164">
        <v>1623501.0</v>
      </c>
      <c r="I190" s="1">
        <v>42.0</v>
      </c>
    </row>
    <row r="191" ht="15.75" customHeight="1">
      <c r="A191" s="1">
        <v>3774078.0</v>
      </c>
      <c r="B191" s="1" t="s">
        <v>1135</v>
      </c>
      <c r="C191" s="1" t="s">
        <v>1136</v>
      </c>
      <c r="D191" s="1" t="s">
        <v>224</v>
      </c>
      <c r="E191" s="1" t="s">
        <v>222</v>
      </c>
      <c r="F191" s="1" t="s">
        <v>6717</v>
      </c>
      <c r="G191" s="1" t="str">
        <f>IFERROR(VLOOKUP(A191,H_C!$A$2:$G$2628,7,0),"Validar HC")</f>
        <v>Soler, Maria</v>
      </c>
      <c r="H191" s="164">
        <v>1623501.0</v>
      </c>
      <c r="I191" s="1">
        <v>42.0</v>
      </c>
    </row>
    <row r="192" ht="15.75" customHeight="1">
      <c r="A192" s="1">
        <v>3792488.0</v>
      </c>
      <c r="B192" s="1" t="s">
        <v>1139</v>
      </c>
      <c r="C192" s="1" t="s">
        <v>1140</v>
      </c>
      <c r="D192" s="1" t="s">
        <v>224</v>
      </c>
      <c r="E192" s="1" t="s">
        <v>246</v>
      </c>
      <c r="F192" s="1" t="s">
        <v>6717</v>
      </c>
      <c r="G192" s="1" t="str">
        <f>IFERROR(VLOOKUP(A192,H_C!$A$2:$G$2628,7,0),"Validar HC")</f>
        <v>Garcia, Helmer</v>
      </c>
      <c r="H192" s="164">
        <v>1623501.0</v>
      </c>
      <c r="I192" s="1">
        <v>42.0</v>
      </c>
    </row>
    <row r="193" ht="15.75" customHeight="1">
      <c r="A193" s="1">
        <v>3808842.0</v>
      </c>
      <c r="B193" s="1" t="s">
        <v>1144</v>
      </c>
      <c r="C193" s="1" t="s">
        <v>1146</v>
      </c>
      <c r="D193" s="1" t="s">
        <v>224</v>
      </c>
      <c r="E193" s="1" t="s">
        <v>1143</v>
      </c>
      <c r="F193" s="1" t="s">
        <v>6717</v>
      </c>
      <c r="G193" s="1" t="str">
        <f>IFERROR(VLOOKUP(A193,H_C!$A$2:$G$2628,7,0),"Validar HC")</f>
        <v>Celi, Juan</v>
      </c>
      <c r="H193" s="164">
        <v>1623501.0</v>
      </c>
      <c r="I193" s="1">
        <v>42.0</v>
      </c>
    </row>
    <row r="194" ht="15.75" customHeight="1">
      <c r="A194" s="1">
        <v>3813001.0</v>
      </c>
      <c r="B194" s="1" t="s">
        <v>1149</v>
      </c>
      <c r="C194" s="1" t="s">
        <v>1150</v>
      </c>
      <c r="D194" s="1" t="s">
        <v>224</v>
      </c>
      <c r="E194" s="1" t="s">
        <v>1019</v>
      </c>
      <c r="F194" s="1" t="s">
        <v>6717</v>
      </c>
      <c r="G194" s="1" t="str">
        <f>IFERROR(VLOOKUP(A194,H_C!$A$2:$G$2628,7,0),"Validar HC")</f>
        <v>Celi, Juan</v>
      </c>
      <c r="H194" s="164">
        <v>1623501.0</v>
      </c>
      <c r="I194" s="1">
        <v>42.0</v>
      </c>
    </row>
    <row r="195" ht="15.75" customHeight="1">
      <c r="A195" s="1">
        <v>3813021.0</v>
      </c>
      <c r="B195" s="1" t="s">
        <v>1151</v>
      </c>
      <c r="C195" s="1" t="s">
        <v>1152</v>
      </c>
      <c r="D195" s="1" t="s">
        <v>224</v>
      </c>
      <c r="E195" s="1" t="s">
        <v>457</v>
      </c>
      <c r="F195" s="1" t="s">
        <v>6717</v>
      </c>
      <c r="G195" s="1" t="str">
        <f>IFERROR(VLOOKUP(A195,H_C!$A$2:$G$2628,7,0),"Validar HC")</f>
        <v>Celi, Juan</v>
      </c>
      <c r="H195" s="164">
        <v>1623501.0</v>
      </c>
      <c r="I195" s="1">
        <v>42.0</v>
      </c>
    </row>
    <row r="196" ht="15.75" customHeight="1">
      <c r="A196" s="1">
        <v>3820346.0</v>
      </c>
      <c r="B196" s="1" t="s">
        <v>1153</v>
      </c>
      <c r="C196" s="1" t="s">
        <v>1154</v>
      </c>
      <c r="D196" s="1" t="s">
        <v>224</v>
      </c>
      <c r="E196" s="1" t="s">
        <v>986</v>
      </c>
      <c r="F196" s="1" t="s">
        <v>6717</v>
      </c>
      <c r="G196" s="1" t="str">
        <f>IFERROR(VLOOKUP(A196,H_C!$A$2:$G$2628,7,0),"Validar HC")</f>
        <v>Garatejo, Natalia</v>
      </c>
      <c r="H196" s="164">
        <v>1623501.0</v>
      </c>
      <c r="I196" s="1">
        <v>42.0</v>
      </c>
    </row>
    <row r="197" ht="15.75" customHeight="1">
      <c r="A197" s="1">
        <v>3844824.0</v>
      </c>
      <c r="B197" s="1" t="s">
        <v>1159</v>
      </c>
      <c r="C197" s="1" t="s">
        <v>1160</v>
      </c>
      <c r="D197" s="1" t="s">
        <v>224</v>
      </c>
      <c r="E197" s="1" t="s">
        <v>800</v>
      </c>
      <c r="F197" s="1" t="s">
        <v>6717</v>
      </c>
      <c r="G197" s="1" t="str">
        <f>IFERROR(VLOOKUP(A197,H_C!$A$2:$G$2628,7,0),"Validar HC")</f>
        <v>Garatejo, Natalia</v>
      </c>
      <c r="H197" s="164">
        <v>1623501.0</v>
      </c>
      <c r="I197" s="1">
        <v>42.0</v>
      </c>
    </row>
    <row r="198" ht="15.75" customHeight="1">
      <c r="A198" s="1">
        <v>3844829.0</v>
      </c>
      <c r="B198" s="1" t="s">
        <v>1163</v>
      </c>
      <c r="C198" s="1" t="s">
        <v>1164</v>
      </c>
      <c r="D198" s="1" t="s">
        <v>224</v>
      </c>
      <c r="E198" s="1" t="s">
        <v>246</v>
      </c>
      <c r="F198" s="1" t="s">
        <v>6717</v>
      </c>
      <c r="G198" s="1" t="str">
        <f>IFERROR(VLOOKUP(A198,H_C!$A$2:$G$2628,7,0),"Validar HC")</f>
        <v>Garcia, Helmer</v>
      </c>
      <c r="H198" s="164">
        <v>1623501.0</v>
      </c>
      <c r="I198" s="1">
        <v>42.0</v>
      </c>
    </row>
    <row r="199" ht="15.75" customHeight="1">
      <c r="A199" s="1">
        <v>3851048.0</v>
      </c>
      <c r="B199" s="1" t="s">
        <v>1167</v>
      </c>
      <c r="C199" s="1" t="s">
        <v>1168</v>
      </c>
      <c r="D199" s="1" t="s">
        <v>224</v>
      </c>
      <c r="E199" s="1" t="s">
        <v>800</v>
      </c>
      <c r="F199" s="1" t="s">
        <v>6717</v>
      </c>
      <c r="G199" s="1" t="str">
        <f>IFERROR(VLOOKUP(A199,H_C!$A$2:$G$2628,7,0),"Validar HC")</f>
        <v>Garatejo, Natalia</v>
      </c>
      <c r="H199" s="164">
        <v>1623501.0</v>
      </c>
      <c r="I199" s="1">
        <v>42.0</v>
      </c>
    </row>
    <row r="200" ht="15.75" customHeight="1">
      <c r="A200" s="1">
        <v>3851060.0</v>
      </c>
      <c r="B200" s="1" t="s">
        <v>1171</v>
      </c>
      <c r="C200" s="1" t="s">
        <v>1172</v>
      </c>
      <c r="D200" s="1" t="s">
        <v>224</v>
      </c>
      <c r="E200" s="1" t="s">
        <v>526</v>
      </c>
      <c r="F200" s="1" t="s">
        <v>6717</v>
      </c>
      <c r="G200" s="1" t="str">
        <f>IFERROR(VLOOKUP(A200,H_C!$A$2:$G$2628,7,0),"Validar HC")</f>
        <v>Martinez, Wendy</v>
      </c>
      <c r="H200" s="164">
        <v>1623501.0</v>
      </c>
      <c r="I200" s="1">
        <v>42.0</v>
      </c>
    </row>
    <row r="201" ht="15.75" customHeight="1">
      <c r="A201" s="1">
        <v>3855618.0</v>
      </c>
      <c r="B201" s="1" t="s">
        <v>1178</v>
      </c>
      <c r="C201" s="1" t="s">
        <v>1179</v>
      </c>
      <c r="D201" s="1" t="s">
        <v>224</v>
      </c>
      <c r="E201" s="1" t="s">
        <v>1177</v>
      </c>
      <c r="F201" s="1" t="s">
        <v>6717</v>
      </c>
      <c r="G201" s="1" t="str">
        <f>IFERROR(VLOOKUP(A201,H_C!$A$2:$G$2628,7,0),"Validar HC")</f>
        <v>Martinez, Wendy</v>
      </c>
      <c r="H201" s="164">
        <v>1623501.0</v>
      </c>
      <c r="I201" s="1">
        <v>42.0</v>
      </c>
    </row>
    <row r="202" ht="15.75" customHeight="1">
      <c r="A202" s="1">
        <v>3855624.0</v>
      </c>
      <c r="B202" s="1" t="s">
        <v>1182</v>
      </c>
      <c r="C202" s="1" t="s">
        <v>1183</v>
      </c>
      <c r="D202" s="1" t="s">
        <v>224</v>
      </c>
      <c r="E202" s="1" t="s">
        <v>1019</v>
      </c>
      <c r="F202" s="1" t="s">
        <v>6717</v>
      </c>
      <c r="G202" s="1" t="str">
        <f>IFERROR(VLOOKUP(A202,H_C!$A$2:$G$2628,7,0),"Validar HC")</f>
        <v>Celi, Juan</v>
      </c>
      <c r="H202" s="164">
        <v>1623501.0</v>
      </c>
      <c r="I202" s="1">
        <v>42.0</v>
      </c>
    </row>
    <row r="203" ht="15.75" customHeight="1">
      <c r="A203" s="1">
        <v>3864144.0</v>
      </c>
      <c r="B203" s="1" t="s">
        <v>1187</v>
      </c>
      <c r="C203" s="1" t="s">
        <v>1189</v>
      </c>
      <c r="D203" s="1" t="s">
        <v>224</v>
      </c>
      <c r="E203" s="1" t="s">
        <v>1186</v>
      </c>
      <c r="F203" s="1" t="s">
        <v>6717</v>
      </c>
      <c r="G203" s="1" t="str">
        <f>IFERROR(VLOOKUP(A203,H_C!$A$2:$G$2628,7,0),"Validar HC")</f>
        <v>Soler, Maria</v>
      </c>
      <c r="H203" s="164">
        <v>1623501.0</v>
      </c>
      <c r="I203" s="1">
        <v>42.0</v>
      </c>
    </row>
    <row r="204" ht="15.75" customHeight="1">
      <c r="A204" s="1">
        <v>3865386.0</v>
      </c>
      <c r="B204" s="1" t="s">
        <v>1192</v>
      </c>
      <c r="C204" s="1" t="s">
        <v>1193</v>
      </c>
      <c r="D204" s="1" t="s">
        <v>224</v>
      </c>
      <c r="E204" s="1" t="s">
        <v>374</v>
      </c>
      <c r="F204" s="1" t="s">
        <v>6717</v>
      </c>
      <c r="G204" s="1" t="str">
        <f>IFERROR(VLOOKUP(A204,H_C!$A$2:$G$2628,7,0),"Validar HC")</f>
        <v>Martinez, Wendy</v>
      </c>
      <c r="H204" s="164">
        <v>1623501.0</v>
      </c>
      <c r="I204" s="1">
        <v>42.0</v>
      </c>
    </row>
    <row r="205" ht="15.75" customHeight="1">
      <c r="A205" s="1">
        <v>3865407.0</v>
      </c>
      <c r="B205" s="1" t="s">
        <v>1196</v>
      </c>
      <c r="C205" s="1" t="s">
        <v>1197</v>
      </c>
      <c r="D205" s="1" t="s">
        <v>224</v>
      </c>
      <c r="E205" s="1" t="s">
        <v>537</v>
      </c>
      <c r="F205" s="1" t="s">
        <v>6717</v>
      </c>
      <c r="G205" s="1" t="str">
        <f>IFERROR(VLOOKUP(A205,H_C!$A$2:$G$2628,7,0),"Validar HC")</f>
        <v>Ayala, Giselle</v>
      </c>
      <c r="H205" s="164">
        <v>1623501.0</v>
      </c>
      <c r="I205" s="1">
        <v>42.0</v>
      </c>
    </row>
    <row r="206" ht="15.75" customHeight="1">
      <c r="A206" s="1">
        <v>3866030.0</v>
      </c>
      <c r="B206" s="1" t="s">
        <v>1200</v>
      </c>
      <c r="C206" s="1" t="s">
        <v>1201</v>
      </c>
      <c r="D206" s="1" t="s">
        <v>224</v>
      </c>
      <c r="E206" s="1" t="s">
        <v>800</v>
      </c>
      <c r="F206" s="1" t="s">
        <v>6717</v>
      </c>
      <c r="G206" s="1" t="str">
        <f>IFERROR(VLOOKUP(A206,H_C!$A$2:$G$2628,7,0),"Validar HC")</f>
        <v>Garatejo, Natalia</v>
      </c>
      <c r="H206" s="164">
        <v>1623501.0</v>
      </c>
      <c r="I206" s="1">
        <v>42.0</v>
      </c>
    </row>
    <row r="207" ht="15.75" customHeight="1">
      <c r="A207" s="1">
        <v>3866156.0</v>
      </c>
      <c r="B207" s="1" t="s">
        <v>1202</v>
      </c>
      <c r="C207" s="1" t="s">
        <v>1203</v>
      </c>
      <c r="D207" s="1" t="s">
        <v>224</v>
      </c>
      <c r="E207" s="1" t="s">
        <v>222</v>
      </c>
      <c r="F207" s="1" t="s">
        <v>6717</v>
      </c>
      <c r="G207" s="1" t="str">
        <f>IFERROR(VLOOKUP(A207,H_C!$A$2:$G$2628,7,0),"Validar HC")</f>
        <v>Soler, Maria</v>
      </c>
      <c r="H207" s="164">
        <v>1623501.0</v>
      </c>
      <c r="I207" s="1">
        <v>42.0</v>
      </c>
    </row>
    <row r="208" ht="15.75" customHeight="1">
      <c r="A208" s="1">
        <v>3866230.0</v>
      </c>
      <c r="B208" s="1" t="s">
        <v>640</v>
      </c>
      <c r="C208" s="1" t="s">
        <v>641</v>
      </c>
      <c r="D208" s="1" t="s">
        <v>224</v>
      </c>
      <c r="E208" s="1" t="s">
        <v>239</v>
      </c>
      <c r="F208" s="1" t="s">
        <v>6717</v>
      </c>
      <c r="G208" s="1" t="str">
        <f>IFERROR(VLOOKUP(A208,H_C!$A$2:$G$2628,7,0),"Validar HC")</f>
        <v>Soler, Maria</v>
      </c>
      <c r="H208" s="164">
        <v>1623501.0</v>
      </c>
      <c r="I208" s="1">
        <v>42.0</v>
      </c>
    </row>
    <row r="209" ht="15.75" customHeight="1">
      <c r="A209" s="1">
        <v>3866238.0</v>
      </c>
      <c r="B209" s="1" t="s">
        <v>1206</v>
      </c>
      <c r="C209" s="1" t="s">
        <v>1208</v>
      </c>
      <c r="D209" s="1" t="s">
        <v>224</v>
      </c>
      <c r="E209" s="1" t="s">
        <v>232</v>
      </c>
      <c r="F209" s="1" t="s">
        <v>6717</v>
      </c>
      <c r="G209" s="1" t="str">
        <f>IFERROR(VLOOKUP(A209,H_C!$A$2:$G$2628,7,0),"Validar HC")</f>
        <v>Soler, Maria</v>
      </c>
      <c r="H209" s="164">
        <v>1623501.0</v>
      </c>
      <c r="I209" s="1">
        <v>42.0</v>
      </c>
    </row>
    <row r="210" ht="15.75" customHeight="1">
      <c r="A210" s="1">
        <v>3920301.0</v>
      </c>
      <c r="B210" s="1" t="s">
        <v>1209</v>
      </c>
      <c r="C210" s="1" t="s">
        <v>1210</v>
      </c>
      <c r="D210" s="1" t="s">
        <v>224</v>
      </c>
      <c r="E210" s="1" t="s">
        <v>526</v>
      </c>
      <c r="F210" s="1" t="s">
        <v>6717</v>
      </c>
      <c r="G210" s="1" t="str">
        <f>IFERROR(VLOOKUP(A210,H_C!$A$2:$G$2628,7,0),"Validar HC")</f>
        <v>Martinez, Wendy</v>
      </c>
      <c r="H210" s="164">
        <v>1623501.0</v>
      </c>
      <c r="I210" s="1">
        <v>42.0</v>
      </c>
    </row>
    <row r="211" ht="15.75" customHeight="1">
      <c r="A211" s="1">
        <v>5346664.0</v>
      </c>
      <c r="B211" s="1" t="s">
        <v>54</v>
      </c>
      <c r="C211" s="1" t="s">
        <v>1353</v>
      </c>
      <c r="D211" s="1" t="s">
        <v>224</v>
      </c>
      <c r="E211" s="1" t="s">
        <v>13</v>
      </c>
      <c r="F211" s="1" t="s">
        <v>6717</v>
      </c>
      <c r="G211" s="1" t="str">
        <f>IFERROR(VLOOKUP(A211,H_C!$A$2:$G$2628,7,0),"Validar HC")</f>
        <v>Ospina, Michel</v>
      </c>
      <c r="H211" s="162">
        <v>1600000.0</v>
      </c>
      <c r="I211" s="1">
        <v>42.0</v>
      </c>
    </row>
    <row r="212" ht="15.75" customHeight="1">
      <c r="A212" s="1">
        <v>3941842.0</v>
      </c>
      <c r="B212" s="1" t="s">
        <v>1216</v>
      </c>
      <c r="C212" s="1" t="s">
        <v>1217</v>
      </c>
      <c r="D212" s="1" t="s">
        <v>224</v>
      </c>
      <c r="E212" s="1" t="s">
        <v>1177</v>
      </c>
      <c r="F212" s="1" t="s">
        <v>6717</v>
      </c>
      <c r="G212" s="1" t="str">
        <f>IFERROR(VLOOKUP(A212,H_C!$A$2:$G$2628,7,0),"Validar HC")</f>
        <v>Martinez, Wendy</v>
      </c>
      <c r="H212" s="164">
        <v>1623501.0</v>
      </c>
      <c r="I212" s="1">
        <v>42.0</v>
      </c>
    </row>
    <row r="213" ht="15.75" customHeight="1">
      <c r="A213" s="1">
        <v>3946730.0</v>
      </c>
      <c r="B213" s="1" t="s">
        <v>1220</v>
      </c>
      <c r="C213" s="1" t="s">
        <v>1221</v>
      </c>
      <c r="D213" s="1" t="s">
        <v>224</v>
      </c>
      <c r="E213" s="1" t="s">
        <v>522</v>
      </c>
      <c r="F213" s="1" t="s">
        <v>6717</v>
      </c>
      <c r="G213" s="1" t="str">
        <f>IFERROR(VLOOKUP(A213,H_C!$A$2:$G$2628,7,0),"Validar HC")</f>
        <v>Martinez, Wendy</v>
      </c>
      <c r="H213" s="164">
        <v>1623501.0</v>
      </c>
      <c r="I213" s="1">
        <v>42.0</v>
      </c>
    </row>
    <row r="214" ht="15.75" customHeight="1">
      <c r="A214" s="1">
        <v>3946733.0</v>
      </c>
      <c r="B214" s="1" t="s">
        <v>1224</v>
      </c>
      <c r="C214" s="1" t="s">
        <v>1225</v>
      </c>
      <c r="D214" s="1" t="s">
        <v>224</v>
      </c>
      <c r="E214" s="1" t="s">
        <v>485</v>
      </c>
      <c r="F214" s="1" t="s">
        <v>6717</v>
      </c>
      <c r="G214" s="1" t="str">
        <f>IFERROR(VLOOKUP(A214,H_C!$A$2:$G$2628,7,0),"Validar HC")</f>
        <v>Martinez, Wendy</v>
      </c>
      <c r="H214" s="164">
        <v>1623501.0</v>
      </c>
      <c r="I214" s="1">
        <v>42.0</v>
      </c>
    </row>
    <row r="215" ht="15.75" customHeight="1">
      <c r="A215" s="1">
        <v>3952846.0</v>
      </c>
      <c r="B215" s="1" t="s">
        <v>1228</v>
      </c>
      <c r="C215" s="1" t="s">
        <v>1229</v>
      </c>
      <c r="D215" s="1" t="s">
        <v>224</v>
      </c>
      <c r="E215" s="1" t="s">
        <v>120</v>
      </c>
      <c r="F215" s="1" t="s">
        <v>6717</v>
      </c>
      <c r="G215" s="1" t="str">
        <f>IFERROR(VLOOKUP(A215,H_C!$A$2:$G$2628,7,0),"Validar HC")</f>
        <v>Ospina, Michel</v>
      </c>
      <c r="H215" s="164">
        <v>1623501.0</v>
      </c>
      <c r="I215" s="1">
        <v>42.0</v>
      </c>
    </row>
    <row r="216" ht="15.75" customHeight="1">
      <c r="A216" s="1">
        <v>3958188.0</v>
      </c>
      <c r="B216" s="1" t="s">
        <v>1232</v>
      </c>
      <c r="C216" s="1" t="s">
        <v>1233</v>
      </c>
      <c r="D216" s="1" t="s">
        <v>224</v>
      </c>
      <c r="E216" s="1" t="s">
        <v>361</v>
      </c>
      <c r="F216" s="1" t="s">
        <v>6717</v>
      </c>
      <c r="G216" s="1" t="str">
        <f>IFERROR(VLOOKUP(A216,H_C!$A$2:$G$2628,7,0),"Validar HC")</f>
        <v>Gonzalez, Cristian</v>
      </c>
      <c r="H216" s="164">
        <v>1623501.0</v>
      </c>
      <c r="I216" s="1">
        <v>42.0</v>
      </c>
    </row>
    <row r="217" ht="15.75" customHeight="1">
      <c r="A217" s="1">
        <v>3995758.0</v>
      </c>
      <c r="B217" s="1" t="s">
        <v>1236</v>
      </c>
      <c r="C217" s="1" t="s">
        <v>1238</v>
      </c>
      <c r="D217" s="1" t="s">
        <v>224</v>
      </c>
      <c r="E217" s="1" t="s">
        <v>416</v>
      </c>
      <c r="F217" s="1" t="s">
        <v>6717</v>
      </c>
      <c r="G217" s="1" t="str">
        <f>IFERROR(VLOOKUP(A217,H_C!$A$2:$G$2628,7,0),"Validar HC")</f>
        <v>Soler, Maria</v>
      </c>
      <c r="H217" s="164">
        <v>1623501.0</v>
      </c>
      <c r="I217" s="1">
        <v>42.0</v>
      </c>
    </row>
    <row r="218" ht="15.75" customHeight="1">
      <c r="A218" s="1">
        <v>3999849.0</v>
      </c>
      <c r="B218" s="1" t="s">
        <v>433</v>
      </c>
      <c r="C218" s="1" t="s">
        <v>434</v>
      </c>
      <c r="D218" s="1" t="s">
        <v>224</v>
      </c>
      <c r="E218" s="1" t="s">
        <v>232</v>
      </c>
      <c r="F218" s="1" t="s">
        <v>6717</v>
      </c>
      <c r="G218" s="1" t="str">
        <f>IFERROR(VLOOKUP(A218,H_C!$A$2:$G$2628,7,0),"Validar HC")</f>
        <v>Soler, Maria</v>
      </c>
      <c r="H218" s="164">
        <v>1623501.0</v>
      </c>
      <c r="I218" s="1">
        <v>42.0</v>
      </c>
    </row>
    <row r="219" ht="15.75" customHeight="1">
      <c r="A219" s="1">
        <v>4001928.0</v>
      </c>
      <c r="B219" s="1" t="s">
        <v>1054</v>
      </c>
      <c r="C219" s="1" t="s">
        <v>1055</v>
      </c>
      <c r="D219" s="1" t="s">
        <v>224</v>
      </c>
      <c r="E219" s="1" t="s">
        <v>724</v>
      </c>
      <c r="F219" s="1" t="s">
        <v>6717</v>
      </c>
      <c r="G219" s="1" t="str">
        <f>IFERROR(VLOOKUP(A219,H_C!$A$2:$G$2628,7,0),"Validar HC")</f>
        <v>Garcia, Helmer</v>
      </c>
      <c r="H219" s="164">
        <v>1623501.0</v>
      </c>
      <c r="I219" s="1">
        <v>42.0</v>
      </c>
    </row>
    <row r="220" ht="15.75" customHeight="1">
      <c r="A220" s="1">
        <v>4006113.0</v>
      </c>
      <c r="B220" s="1" t="s">
        <v>1245</v>
      </c>
      <c r="C220" s="1" t="s">
        <v>1246</v>
      </c>
      <c r="D220" s="1" t="s">
        <v>224</v>
      </c>
      <c r="E220" s="1" t="s">
        <v>385</v>
      </c>
      <c r="F220" s="1" t="s">
        <v>6717</v>
      </c>
      <c r="G220" s="1" t="str">
        <f>IFERROR(VLOOKUP(A220,H_C!$A$2:$G$2628,7,0),"Validar HC")</f>
        <v>Garatejo, Natalia</v>
      </c>
      <c r="H220" s="164">
        <v>1623501.0</v>
      </c>
      <c r="I220" s="1">
        <v>42.0</v>
      </c>
    </row>
    <row r="221" ht="15.75" customHeight="1">
      <c r="A221" s="1">
        <v>4012106.0</v>
      </c>
      <c r="B221" s="1" t="s">
        <v>1251</v>
      </c>
      <c r="C221" s="1" t="s">
        <v>1252</v>
      </c>
      <c r="D221" s="1" t="s">
        <v>224</v>
      </c>
      <c r="E221" s="1" t="s">
        <v>491</v>
      </c>
      <c r="F221" s="1" t="s">
        <v>6717</v>
      </c>
      <c r="G221" s="1" t="str">
        <f>IFERROR(VLOOKUP(A221,H_C!$A$2:$G$2628,7,0),"Validar HC")</f>
        <v>Soler, Maria</v>
      </c>
      <c r="H221" s="164">
        <v>1623501.0</v>
      </c>
      <c r="I221" s="1">
        <v>42.0</v>
      </c>
    </row>
    <row r="222" ht="15.75" customHeight="1">
      <c r="A222" s="1">
        <v>4012123.0</v>
      </c>
      <c r="B222" s="1" t="s">
        <v>439</v>
      </c>
      <c r="C222" s="1" t="s">
        <v>440</v>
      </c>
      <c r="D222" s="1" t="s">
        <v>224</v>
      </c>
      <c r="E222" s="1" t="s">
        <v>232</v>
      </c>
      <c r="F222" s="1" t="s">
        <v>6717</v>
      </c>
      <c r="G222" s="1" t="str">
        <f>IFERROR(VLOOKUP(A222,H_C!$A$2:$G$2628,7,0),"Validar HC")</f>
        <v>Soler, Maria</v>
      </c>
      <c r="H222" s="164">
        <v>1623501.0</v>
      </c>
      <c r="I222" s="1">
        <v>42.0</v>
      </c>
    </row>
    <row r="223" ht="15.75" customHeight="1">
      <c r="A223" s="1">
        <v>4015714.0</v>
      </c>
      <c r="B223" s="1" t="s">
        <v>1257</v>
      </c>
      <c r="C223" s="1" t="s">
        <v>1258</v>
      </c>
      <c r="D223" s="1" t="s">
        <v>224</v>
      </c>
      <c r="E223" s="1" t="s">
        <v>567</v>
      </c>
      <c r="F223" s="1" t="s">
        <v>6717</v>
      </c>
      <c r="G223" s="1" t="str">
        <f>IFERROR(VLOOKUP(A223,H_C!$A$2:$G$2628,7,0),"Validar HC")</f>
        <v>Martinez, Wendy</v>
      </c>
      <c r="H223" s="164">
        <v>1623501.0</v>
      </c>
      <c r="I223" s="1">
        <v>42.0</v>
      </c>
    </row>
    <row r="224" ht="15.75" customHeight="1">
      <c r="A224" s="1">
        <v>4024198.0</v>
      </c>
      <c r="B224" s="1" t="s">
        <v>1261</v>
      </c>
      <c r="C224" s="1" t="s">
        <v>1263</v>
      </c>
      <c r="D224" s="1" t="s">
        <v>224</v>
      </c>
      <c r="E224" s="1" t="s">
        <v>738</v>
      </c>
      <c r="F224" s="1" t="s">
        <v>6717</v>
      </c>
      <c r="G224" s="1" t="str">
        <f>IFERROR(VLOOKUP(A224,H_C!$A$2:$G$2628,7,0),"Validar HC")</f>
        <v>Garcia, Helmer</v>
      </c>
      <c r="H224" s="164">
        <v>1623501.0</v>
      </c>
      <c r="I224" s="1">
        <v>42.0</v>
      </c>
    </row>
    <row r="225" ht="15.75" customHeight="1">
      <c r="A225" s="1">
        <v>4042191.0</v>
      </c>
      <c r="B225" s="1" t="s">
        <v>1033</v>
      </c>
      <c r="C225" s="1" t="s">
        <v>1034</v>
      </c>
      <c r="D225" s="1" t="s">
        <v>224</v>
      </c>
      <c r="E225" s="1" t="s">
        <v>254</v>
      </c>
      <c r="F225" s="1" t="s">
        <v>6717</v>
      </c>
      <c r="G225" s="1" t="str">
        <f>IFERROR(VLOOKUP(A225,H_C!$A$2:$G$2628,7,0),"Validar HC")</f>
        <v>Gonzalez, Cristian</v>
      </c>
      <c r="H225" s="164">
        <v>1623501.0</v>
      </c>
      <c r="I225" s="1">
        <v>42.0</v>
      </c>
    </row>
    <row r="226" ht="15.75" customHeight="1">
      <c r="A226" s="1">
        <v>4043052.0</v>
      </c>
      <c r="B226" s="1" t="s">
        <v>1058</v>
      </c>
      <c r="C226" s="1" t="s">
        <v>1059</v>
      </c>
      <c r="D226" s="1" t="s">
        <v>224</v>
      </c>
      <c r="E226" s="1" t="s">
        <v>724</v>
      </c>
      <c r="F226" s="1" t="s">
        <v>6717</v>
      </c>
      <c r="G226" s="1" t="str">
        <f>IFERROR(VLOOKUP(A226,H_C!$A$2:$G$2628,7,0),"Validar HC")</f>
        <v>Garcia, Helmer</v>
      </c>
      <c r="H226" s="164">
        <v>1623501.0</v>
      </c>
      <c r="I226" s="1">
        <v>42.0</v>
      </c>
    </row>
    <row r="227" ht="15.75" customHeight="1">
      <c r="A227" s="1">
        <v>4047549.0</v>
      </c>
      <c r="B227" s="1" t="s">
        <v>1264</v>
      </c>
      <c r="C227" s="1" t="s">
        <v>1265</v>
      </c>
      <c r="D227" s="1" t="s">
        <v>224</v>
      </c>
      <c r="E227" s="1" t="s">
        <v>331</v>
      </c>
      <c r="F227" s="1" t="s">
        <v>6717</v>
      </c>
      <c r="G227" s="1" t="str">
        <f>IFERROR(VLOOKUP(A227,H_C!$A$2:$G$2628,7,0),"Validar HC")</f>
        <v>Parra, Jeimmy</v>
      </c>
      <c r="H227" s="164">
        <v>1623501.0</v>
      </c>
      <c r="I227" s="1">
        <v>42.0</v>
      </c>
    </row>
    <row r="228" ht="15.75" customHeight="1">
      <c r="A228" s="1">
        <v>4084220.0</v>
      </c>
      <c r="B228" s="1" t="s">
        <v>1266</v>
      </c>
      <c r="C228" s="1" t="s">
        <v>1267</v>
      </c>
      <c r="D228" s="1" t="s">
        <v>224</v>
      </c>
      <c r="E228" s="1" t="s">
        <v>10</v>
      </c>
      <c r="F228" s="1" t="s">
        <v>6717</v>
      </c>
      <c r="G228" s="1" t="str">
        <f>IFERROR(VLOOKUP(A228,H_C!$A$2:$G$2628,7,0),"Validar HC")</f>
        <v>Gonzalez, Cristian</v>
      </c>
      <c r="H228" s="164">
        <v>1623501.0</v>
      </c>
      <c r="I228" s="1">
        <v>42.0</v>
      </c>
    </row>
    <row r="229" ht="15.75" customHeight="1">
      <c r="A229" s="1">
        <v>4085665.0</v>
      </c>
      <c r="B229" s="1" t="s">
        <v>445</v>
      </c>
      <c r="C229" s="1" t="s">
        <v>446</v>
      </c>
      <c r="D229" s="1" t="s">
        <v>224</v>
      </c>
      <c r="E229" s="1" t="s">
        <v>232</v>
      </c>
      <c r="F229" s="1" t="s">
        <v>6717</v>
      </c>
      <c r="G229" s="1" t="str">
        <f>IFERROR(VLOOKUP(A229,H_C!$A$2:$G$2628,7,0),"Validar HC")</f>
        <v>Soler, Maria</v>
      </c>
      <c r="H229" s="164">
        <v>1623501.0</v>
      </c>
      <c r="I229" s="1">
        <v>42.0</v>
      </c>
    </row>
    <row r="230" ht="15.75" customHeight="1">
      <c r="A230" s="1">
        <v>4085674.0</v>
      </c>
      <c r="B230" s="1" t="s">
        <v>1268</v>
      </c>
      <c r="C230" s="1" t="s">
        <v>1269</v>
      </c>
      <c r="D230" s="1" t="s">
        <v>224</v>
      </c>
      <c r="E230" s="1" t="s">
        <v>113</v>
      </c>
      <c r="F230" s="1" t="s">
        <v>6717</v>
      </c>
      <c r="G230" s="1" t="str">
        <f>IFERROR(VLOOKUP(A230,H_C!$A$2:$G$2628,7,0),"Validar HC")</f>
        <v>Soler, Maria</v>
      </c>
      <c r="H230" s="164">
        <v>1623501.0</v>
      </c>
      <c r="I230" s="1">
        <v>42.0</v>
      </c>
    </row>
    <row r="231" ht="15.75" customHeight="1">
      <c r="A231" s="1">
        <v>4085838.0</v>
      </c>
      <c r="B231" s="1" t="s">
        <v>1272</v>
      </c>
      <c r="C231" s="1" t="s">
        <v>1273</v>
      </c>
      <c r="D231" s="1" t="s">
        <v>224</v>
      </c>
      <c r="E231" s="1" t="s">
        <v>232</v>
      </c>
      <c r="F231" s="1" t="s">
        <v>6717</v>
      </c>
      <c r="G231" s="1" t="str">
        <f>IFERROR(VLOOKUP(A231,H_C!$A$2:$G$2628,7,0),"Validar HC")</f>
        <v>Soler, Maria</v>
      </c>
      <c r="H231" s="164">
        <v>1623501.0</v>
      </c>
      <c r="I231" s="1">
        <v>42.0</v>
      </c>
    </row>
    <row r="232" ht="15.75" customHeight="1">
      <c r="A232" s="1">
        <v>4092940.0</v>
      </c>
      <c r="B232" s="1" t="s">
        <v>1276</v>
      </c>
      <c r="C232" s="1" t="s">
        <v>1277</v>
      </c>
      <c r="D232" s="1" t="s">
        <v>224</v>
      </c>
      <c r="E232" s="1" t="s">
        <v>232</v>
      </c>
      <c r="F232" s="1" t="s">
        <v>6717</v>
      </c>
      <c r="G232" s="1" t="str">
        <f>IFERROR(VLOOKUP(A232,H_C!$A$2:$G$2628,7,0),"Validar HC")</f>
        <v>Soler, Maria</v>
      </c>
      <c r="H232" s="164">
        <v>1623501.0</v>
      </c>
      <c r="I232" s="1">
        <v>42.0</v>
      </c>
    </row>
    <row r="233" ht="15.75" customHeight="1">
      <c r="A233" s="1">
        <v>4092975.0</v>
      </c>
      <c r="B233" s="1" t="s">
        <v>1280</v>
      </c>
      <c r="C233" s="1" t="s">
        <v>1281</v>
      </c>
      <c r="D233" s="1" t="s">
        <v>224</v>
      </c>
      <c r="E233" s="1" t="s">
        <v>522</v>
      </c>
      <c r="F233" s="1" t="s">
        <v>6717</v>
      </c>
      <c r="G233" s="1" t="str">
        <f>IFERROR(VLOOKUP(A233,H_C!$A$2:$G$2628,7,0),"Validar HC")</f>
        <v>Martinez, Wendy</v>
      </c>
      <c r="H233" s="164">
        <v>1623501.0</v>
      </c>
      <c r="I233" s="1">
        <v>42.0</v>
      </c>
    </row>
    <row r="234" ht="15.75" customHeight="1">
      <c r="A234" s="1">
        <v>4093108.0</v>
      </c>
      <c r="B234" s="1" t="s">
        <v>1284</v>
      </c>
      <c r="C234" s="1" t="s">
        <v>1285</v>
      </c>
      <c r="D234" s="1" t="s">
        <v>224</v>
      </c>
      <c r="E234" s="1" t="s">
        <v>485</v>
      </c>
      <c r="F234" s="1" t="s">
        <v>6717</v>
      </c>
      <c r="G234" s="1" t="str">
        <f>IFERROR(VLOOKUP(A234,H_C!$A$2:$G$2628,7,0),"Validar HC")</f>
        <v>Martinez, Wendy</v>
      </c>
      <c r="H234" s="164">
        <v>1623501.0</v>
      </c>
      <c r="I234" s="1">
        <v>42.0</v>
      </c>
    </row>
    <row r="235" ht="15.75" customHeight="1">
      <c r="A235" s="1">
        <v>4093150.0</v>
      </c>
      <c r="B235" s="1" t="s">
        <v>1288</v>
      </c>
      <c r="C235" s="1" t="s">
        <v>1289</v>
      </c>
      <c r="D235" s="1" t="s">
        <v>224</v>
      </c>
      <c r="E235" s="1" t="s">
        <v>361</v>
      </c>
      <c r="F235" s="1" t="s">
        <v>6717</v>
      </c>
      <c r="G235" s="1" t="str">
        <f>IFERROR(VLOOKUP(A235,H_C!$A$2:$G$2628,7,0),"Validar HC")</f>
        <v>Gonzalez, Cristian</v>
      </c>
      <c r="H235" s="164">
        <v>1623501.0</v>
      </c>
      <c r="I235" s="1">
        <v>42.0</v>
      </c>
    </row>
    <row r="236" ht="15.75" customHeight="1">
      <c r="A236" s="1">
        <v>4093815.0</v>
      </c>
      <c r="B236" s="1" t="s">
        <v>646</v>
      </c>
      <c r="C236" s="1" t="s">
        <v>647</v>
      </c>
      <c r="D236" s="1" t="s">
        <v>224</v>
      </c>
      <c r="E236" s="1" t="s">
        <v>239</v>
      </c>
      <c r="F236" s="1" t="s">
        <v>6717</v>
      </c>
      <c r="G236" s="1" t="str">
        <f>IFERROR(VLOOKUP(A236,H_C!$A$2:$G$2628,7,0),"Validar HC")</f>
        <v>Soler, Maria</v>
      </c>
      <c r="H236" s="164">
        <v>1623501.0</v>
      </c>
      <c r="I236" s="1">
        <v>42.0</v>
      </c>
    </row>
    <row r="237" ht="15.75" customHeight="1">
      <c r="A237" s="1">
        <v>4097531.0</v>
      </c>
      <c r="B237" s="1" t="s">
        <v>1064</v>
      </c>
      <c r="C237" s="1" t="s">
        <v>1065</v>
      </c>
      <c r="D237" s="1" t="s">
        <v>224</v>
      </c>
      <c r="E237" s="1" t="s">
        <v>724</v>
      </c>
      <c r="F237" s="1" t="s">
        <v>6717</v>
      </c>
      <c r="G237" s="1" t="str">
        <f>IFERROR(VLOOKUP(A237,H_C!$A$2:$G$2628,7,0),"Validar HC")</f>
        <v>Garcia, Helmer</v>
      </c>
      <c r="H237" s="164">
        <v>1623501.0</v>
      </c>
      <c r="I237" s="1">
        <v>42.0</v>
      </c>
    </row>
    <row r="238" ht="15.75" customHeight="1">
      <c r="A238" s="1">
        <v>4099108.0</v>
      </c>
      <c r="B238" s="1" t="s">
        <v>1296</v>
      </c>
      <c r="C238" s="1" t="s">
        <v>1297</v>
      </c>
      <c r="D238" s="1" t="s">
        <v>224</v>
      </c>
      <c r="E238" s="1" t="s">
        <v>232</v>
      </c>
      <c r="F238" s="1" t="s">
        <v>6717</v>
      </c>
      <c r="G238" s="1" t="str">
        <f>IFERROR(VLOOKUP(A238,H_C!$A$2:$G$2628,7,0),"Validar HC")</f>
        <v>Soler, Maria</v>
      </c>
      <c r="H238" s="164">
        <v>1623501.0</v>
      </c>
      <c r="I238" s="1">
        <v>42.0</v>
      </c>
    </row>
    <row r="239" ht="15.75" customHeight="1">
      <c r="A239" s="1">
        <v>4107207.0</v>
      </c>
      <c r="B239" s="1" t="s">
        <v>1300</v>
      </c>
      <c r="C239" s="1" t="s">
        <v>1303</v>
      </c>
      <c r="D239" s="1" t="s">
        <v>224</v>
      </c>
      <c r="E239" s="1" t="s">
        <v>331</v>
      </c>
      <c r="F239" s="1" t="s">
        <v>6717</v>
      </c>
      <c r="G239" s="1" t="str">
        <f>IFERROR(VLOOKUP(A239,H_C!$A$2:$G$2628,7,0),"Validar HC")</f>
        <v>Pereira, Jorge</v>
      </c>
      <c r="H239" s="164">
        <v>1623501.0</v>
      </c>
      <c r="I239" s="1">
        <v>42.0</v>
      </c>
    </row>
    <row r="240" ht="15.75" customHeight="1">
      <c r="A240" s="1">
        <v>4128304.0</v>
      </c>
      <c r="B240" s="1" t="s">
        <v>1306</v>
      </c>
      <c r="C240" s="1" t="s">
        <v>1307</v>
      </c>
      <c r="D240" s="1" t="s">
        <v>224</v>
      </c>
      <c r="E240" s="1" t="s">
        <v>841</v>
      </c>
      <c r="F240" s="1" t="s">
        <v>6717</v>
      </c>
      <c r="G240" s="1" t="str">
        <f>IFERROR(VLOOKUP(A240,H_C!$A$2:$G$2628,7,0),"Validar HC")</f>
        <v>Soler, Maria</v>
      </c>
      <c r="H240" s="164">
        <v>1623501.0</v>
      </c>
      <c r="I240" s="1">
        <v>42.0</v>
      </c>
    </row>
    <row r="241" ht="15.75" customHeight="1">
      <c r="A241" s="1">
        <v>4133927.0</v>
      </c>
      <c r="B241" s="1" t="s">
        <v>1310</v>
      </c>
      <c r="C241" s="1" t="s">
        <v>1311</v>
      </c>
      <c r="D241" s="1" t="s">
        <v>224</v>
      </c>
      <c r="E241" s="1" t="s">
        <v>222</v>
      </c>
      <c r="F241" s="1" t="s">
        <v>6717</v>
      </c>
      <c r="G241" s="1" t="str">
        <f>IFERROR(VLOOKUP(A241,H_C!$A$2:$G$2628,7,0),"Validar HC")</f>
        <v>Soler, Maria</v>
      </c>
      <c r="H241" s="164">
        <v>1623501.0</v>
      </c>
      <c r="I241" s="1">
        <v>42.0</v>
      </c>
    </row>
    <row r="242" ht="15.75" customHeight="1">
      <c r="A242" s="1">
        <v>4142845.0</v>
      </c>
      <c r="B242" s="1" t="s">
        <v>1314</v>
      </c>
      <c r="C242" s="1" t="s">
        <v>1315</v>
      </c>
      <c r="D242" s="1" t="s">
        <v>224</v>
      </c>
      <c r="E242" s="1" t="s">
        <v>1177</v>
      </c>
      <c r="F242" s="1" t="s">
        <v>6717</v>
      </c>
      <c r="G242" s="1" t="str">
        <f>IFERROR(VLOOKUP(A242,H_C!$A$2:$G$2628,7,0),"Validar HC")</f>
        <v>Martinez, Wendy</v>
      </c>
      <c r="H242" s="164">
        <v>1623501.0</v>
      </c>
      <c r="I242" s="1">
        <v>42.0</v>
      </c>
    </row>
    <row r="243" ht="15.75" customHeight="1">
      <c r="A243" s="1">
        <v>4142855.0</v>
      </c>
      <c r="B243" s="1" t="s">
        <v>1318</v>
      </c>
      <c r="C243" s="1" t="s">
        <v>1319</v>
      </c>
      <c r="D243" s="1" t="s">
        <v>224</v>
      </c>
      <c r="E243" s="1" t="s">
        <v>9</v>
      </c>
      <c r="F243" s="1" t="s">
        <v>6717</v>
      </c>
      <c r="G243" s="1" t="str">
        <f>IFERROR(VLOOKUP(A243,H_C!$A$2:$G$2628,7,0),"Validar HC")</f>
        <v>Celi, Juan</v>
      </c>
      <c r="H243" s="164">
        <v>1623501.0</v>
      </c>
      <c r="I243" s="1">
        <v>42.0</v>
      </c>
    </row>
    <row r="244" ht="15.75" customHeight="1">
      <c r="A244" s="1">
        <v>4142866.0</v>
      </c>
      <c r="B244" s="1" t="s">
        <v>1322</v>
      </c>
      <c r="C244" s="1" t="s">
        <v>1324</v>
      </c>
      <c r="D244" s="1" t="s">
        <v>224</v>
      </c>
      <c r="E244" s="1" t="s">
        <v>478</v>
      </c>
      <c r="F244" s="1" t="s">
        <v>6717</v>
      </c>
      <c r="G244" s="1" t="str">
        <f>IFERROR(VLOOKUP(A244,H_C!$A$2:$G$2628,7,0),"Validar HC")</f>
        <v>Celi, Juan</v>
      </c>
      <c r="H244" s="164">
        <v>1623501.0</v>
      </c>
      <c r="I244" s="1">
        <v>42.0</v>
      </c>
    </row>
    <row r="245" ht="15.75" customHeight="1">
      <c r="A245" s="1">
        <v>4178284.0</v>
      </c>
      <c r="B245" s="1" t="s">
        <v>1327</v>
      </c>
      <c r="C245" s="1" t="s">
        <v>1329</v>
      </c>
      <c r="D245" s="1" t="s">
        <v>224</v>
      </c>
      <c r="E245" s="1" t="s">
        <v>323</v>
      </c>
      <c r="F245" s="1" t="s">
        <v>6717</v>
      </c>
      <c r="G245" s="1" t="str">
        <f>IFERROR(VLOOKUP(A245,H_C!$A$2:$G$2628,7,0),"Validar HC")</f>
        <v>Martinez, Wendy</v>
      </c>
      <c r="H245" s="164">
        <v>1623501.0</v>
      </c>
      <c r="I245" s="1">
        <v>42.0</v>
      </c>
    </row>
    <row r="246" ht="15.75" customHeight="1">
      <c r="A246" s="1">
        <v>4185879.0</v>
      </c>
      <c r="B246" s="1" t="s">
        <v>1330</v>
      </c>
      <c r="C246" s="1" t="s">
        <v>1331</v>
      </c>
      <c r="D246" s="1" t="s">
        <v>224</v>
      </c>
      <c r="E246" s="1" t="s">
        <v>246</v>
      </c>
      <c r="F246" s="1" t="s">
        <v>6717</v>
      </c>
      <c r="G246" s="1" t="str">
        <f>IFERROR(VLOOKUP(A246,H_C!$A$2:$G$2628,7,0),"Validar HC")</f>
        <v>Garcia, Helmer</v>
      </c>
      <c r="H246" s="164">
        <v>1623501.0</v>
      </c>
      <c r="I246" s="1">
        <v>42.0</v>
      </c>
    </row>
    <row r="247" ht="15.75" customHeight="1">
      <c r="A247" s="1">
        <v>4214970.0</v>
      </c>
      <c r="B247" s="1" t="s">
        <v>1332</v>
      </c>
      <c r="C247" s="1" t="s">
        <v>1333</v>
      </c>
      <c r="D247" s="1" t="s">
        <v>224</v>
      </c>
      <c r="E247" s="1" t="s">
        <v>549</v>
      </c>
      <c r="F247" s="1" t="s">
        <v>6717</v>
      </c>
      <c r="G247" s="1" t="str">
        <f>IFERROR(VLOOKUP(A247,H_C!$A$2:$G$2628,7,0),"Validar HC")</f>
        <v>Soler, Maria</v>
      </c>
      <c r="H247" s="164">
        <v>1623501.0</v>
      </c>
      <c r="I247" s="1">
        <v>42.0</v>
      </c>
    </row>
    <row r="248" ht="15.75" customHeight="1">
      <c r="A248" s="1">
        <v>4242328.0</v>
      </c>
      <c r="B248" s="1" t="s">
        <v>1336</v>
      </c>
      <c r="C248" s="1" t="s">
        <v>1337</v>
      </c>
      <c r="D248" s="1" t="s">
        <v>224</v>
      </c>
      <c r="E248" s="1" t="s">
        <v>331</v>
      </c>
      <c r="F248" s="1" t="s">
        <v>6717</v>
      </c>
      <c r="G248" s="1" t="str">
        <f>IFERROR(VLOOKUP(A248,H_C!$A$2:$G$2628,7,0),"Validar HC")</f>
        <v>Pereira, Jorge</v>
      </c>
      <c r="H248" s="164">
        <v>1623501.0</v>
      </c>
      <c r="I248" s="1">
        <v>42.0</v>
      </c>
    </row>
    <row r="249" ht="15.75" customHeight="1">
      <c r="A249" s="1">
        <v>4262415.0</v>
      </c>
      <c r="B249" s="1" t="s">
        <v>6733</v>
      </c>
      <c r="C249" s="1" t="s">
        <v>6734</v>
      </c>
      <c r="D249" s="1" t="s">
        <v>224</v>
      </c>
      <c r="E249" s="1" t="s">
        <v>425</v>
      </c>
      <c r="F249" s="1" t="s">
        <v>6717</v>
      </c>
      <c r="G249" s="1" t="str">
        <f>IFERROR(VLOOKUP(A249,H_C!$A$2:$G$2628,7,0),"Validar HC")</f>
        <v>Validar HC</v>
      </c>
      <c r="H249" s="164">
        <v>1623501.0</v>
      </c>
      <c r="I249" s="1">
        <v>42.0</v>
      </c>
    </row>
    <row r="250" ht="15.75" customHeight="1">
      <c r="A250" s="1">
        <v>4274130.0</v>
      </c>
      <c r="B250" s="1" t="s">
        <v>1340</v>
      </c>
      <c r="C250" s="1" t="s">
        <v>1341</v>
      </c>
      <c r="D250" s="1" t="s">
        <v>224</v>
      </c>
      <c r="E250" s="1" t="s">
        <v>425</v>
      </c>
      <c r="F250" s="1" t="s">
        <v>6717</v>
      </c>
      <c r="G250" s="1" t="str">
        <f>IFERROR(VLOOKUP(A250,H_C!$A$2:$G$2628,7,0),"Validar HC")</f>
        <v>Ospina, Michel</v>
      </c>
      <c r="H250" s="164">
        <v>1623501.0</v>
      </c>
      <c r="I250" s="1">
        <v>42.0</v>
      </c>
    </row>
    <row r="251" ht="15.75" customHeight="1">
      <c r="A251" s="1">
        <v>4280014.0</v>
      </c>
      <c r="B251" s="1" t="s">
        <v>1344</v>
      </c>
      <c r="C251" s="1" t="s">
        <v>1345</v>
      </c>
      <c r="D251" s="1" t="s">
        <v>224</v>
      </c>
      <c r="E251" s="1" t="s">
        <v>254</v>
      </c>
      <c r="F251" s="1" t="s">
        <v>6717</v>
      </c>
      <c r="G251" s="1" t="str">
        <f>IFERROR(VLOOKUP(A251,H_C!$A$2:$G$2628,7,0),"Validar HC")</f>
        <v>Gonzalez, Cristian</v>
      </c>
      <c r="H251" s="164">
        <v>1623501.0</v>
      </c>
      <c r="I251" s="1">
        <v>42.0</v>
      </c>
    </row>
    <row r="252" ht="15.75" customHeight="1">
      <c r="A252" s="1">
        <v>4280032.0</v>
      </c>
      <c r="B252" s="1" t="s">
        <v>1349</v>
      </c>
      <c r="C252" s="1" t="s">
        <v>1350</v>
      </c>
      <c r="D252" s="1" t="s">
        <v>224</v>
      </c>
      <c r="E252" s="1" t="s">
        <v>1348</v>
      </c>
      <c r="F252" s="1" t="s">
        <v>6717</v>
      </c>
      <c r="G252" s="1" t="str">
        <f>IFERROR(VLOOKUP(A252,H_C!$A$2:$G$2628,7,0),"Validar HC")</f>
        <v>Celi, Juan</v>
      </c>
      <c r="H252" s="164">
        <v>1623501.0</v>
      </c>
      <c r="I252" s="1">
        <v>42.0</v>
      </c>
    </row>
    <row r="253" ht="15.75" customHeight="1">
      <c r="A253" s="1">
        <v>4286071.0</v>
      </c>
      <c r="B253" s="1" t="s">
        <v>1211</v>
      </c>
      <c r="C253" s="1" t="s">
        <v>1212</v>
      </c>
      <c r="D253" s="1" t="s">
        <v>224</v>
      </c>
      <c r="E253" s="1" t="s">
        <v>441</v>
      </c>
      <c r="F253" s="1" t="s">
        <v>6717</v>
      </c>
      <c r="G253" s="1" t="str">
        <f>IFERROR(VLOOKUP(A253,H_C!$A$2:$G$2628,7,0),"Validar HC")</f>
        <v>Gonzalez, Cristian</v>
      </c>
      <c r="H253" s="164">
        <v>1623501.0</v>
      </c>
      <c r="I253" s="1">
        <v>42.0</v>
      </c>
    </row>
    <row r="254" ht="15.75" customHeight="1">
      <c r="A254" s="1">
        <v>4293302.0</v>
      </c>
      <c r="B254" s="1" t="s">
        <v>1354</v>
      </c>
      <c r="C254" s="1" t="s">
        <v>1355</v>
      </c>
      <c r="D254" s="1" t="s">
        <v>224</v>
      </c>
      <c r="E254" s="1" t="s">
        <v>116</v>
      </c>
      <c r="F254" s="1" t="s">
        <v>6717</v>
      </c>
      <c r="G254" s="1" t="str">
        <f>IFERROR(VLOOKUP(A254,H_C!$A$2:$G$2628,7,0),"Validar HC")</f>
        <v>Ospina, Michel</v>
      </c>
      <c r="H254" s="164">
        <v>1623501.0</v>
      </c>
      <c r="I254" s="1">
        <v>42.0</v>
      </c>
    </row>
    <row r="255" ht="15.75" customHeight="1">
      <c r="A255" s="1">
        <v>4317851.0</v>
      </c>
      <c r="B255" s="1" t="s">
        <v>1356</v>
      </c>
      <c r="C255" s="1" t="s">
        <v>1357</v>
      </c>
      <c r="D255" s="1" t="s">
        <v>224</v>
      </c>
      <c r="E255" s="1" t="s">
        <v>835</v>
      </c>
      <c r="F255" s="1" t="s">
        <v>6717</v>
      </c>
      <c r="G255" s="1" t="str">
        <f>IFERROR(VLOOKUP(A255,H_C!$A$2:$G$2628,7,0),"Validar HC")</f>
        <v>Martinez, Wendy</v>
      </c>
      <c r="H255" s="164">
        <v>1623501.0</v>
      </c>
      <c r="I255" s="1">
        <v>42.0</v>
      </c>
    </row>
    <row r="256" ht="15.75" customHeight="1">
      <c r="A256" s="1">
        <v>4318761.0</v>
      </c>
      <c r="B256" s="1" t="s">
        <v>1358</v>
      </c>
      <c r="C256" s="1" t="s">
        <v>1359</v>
      </c>
      <c r="D256" s="1" t="s">
        <v>224</v>
      </c>
      <c r="E256" s="1" t="s">
        <v>232</v>
      </c>
      <c r="F256" s="1" t="s">
        <v>6717</v>
      </c>
      <c r="G256" s="1" t="str">
        <f>IFERROR(VLOOKUP(A256,H_C!$A$2:$G$2628,7,0),"Validar HC")</f>
        <v>Soler, Maria</v>
      </c>
      <c r="H256" s="164">
        <v>1623501.0</v>
      </c>
      <c r="I256" s="1">
        <v>42.0</v>
      </c>
    </row>
    <row r="257" ht="15.75" customHeight="1">
      <c r="A257" s="1">
        <v>4319095.0</v>
      </c>
      <c r="B257" s="1" t="s">
        <v>1360</v>
      </c>
      <c r="C257" s="1" t="s">
        <v>1361</v>
      </c>
      <c r="D257" s="1" t="s">
        <v>224</v>
      </c>
      <c r="E257" s="1" t="s">
        <v>485</v>
      </c>
      <c r="F257" s="1" t="s">
        <v>6717</v>
      </c>
      <c r="G257" s="1" t="str">
        <f>IFERROR(VLOOKUP(A257,H_C!$A$2:$G$2628,7,0),"Validar HC")</f>
        <v>Martinez, Wendy</v>
      </c>
      <c r="H257" s="164">
        <v>1623501.0</v>
      </c>
      <c r="I257" s="1">
        <v>42.0</v>
      </c>
    </row>
    <row r="258" ht="15.75" customHeight="1">
      <c r="A258" s="1">
        <v>4319097.0</v>
      </c>
      <c r="B258" s="1" t="s">
        <v>1364</v>
      </c>
      <c r="C258" s="1" t="s">
        <v>1365</v>
      </c>
      <c r="D258" s="1" t="s">
        <v>224</v>
      </c>
      <c r="E258" s="1" t="s">
        <v>1363</v>
      </c>
      <c r="F258" s="1" t="s">
        <v>6717</v>
      </c>
      <c r="G258" s="1" t="str">
        <f>IFERROR(VLOOKUP(A258,H_C!$A$2:$G$2628,7,0),"Validar HC")</f>
        <v>Osorio, Julian</v>
      </c>
      <c r="H258" s="164">
        <v>1623501.0</v>
      </c>
      <c r="I258" s="1">
        <v>42.0</v>
      </c>
    </row>
    <row r="259" ht="15.75" customHeight="1">
      <c r="A259" s="1">
        <v>4349922.0</v>
      </c>
      <c r="B259" s="1" t="s">
        <v>1367</v>
      </c>
      <c r="C259" s="1" t="s">
        <v>1368</v>
      </c>
      <c r="D259" s="1" t="s">
        <v>224</v>
      </c>
      <c r="E259" s="1" t="s">
        <v>116</v>
      </c>
      <c r="F259" s="1" t="s">
        <v>6717</v>
      </c>
      <c r="G259" s="1" t="str">
        <f>IFERROR(VLOOKUP(A259,H_C!$A$2:$G$2628,7,0),"Validar HC")</f>
        <v>Ospina, Michel</v>
      </c>
      <c r="H259" s="164">
        <v>1623501.0</v>
      </c>
      <c r="I259" s="1">
        <v>42.0</v>
      </c>
    </row>
    <row r="260" ht="15.75" customHeight="1">
      <c r="A260" s="1">
        <v>4360591.0</v>
      </c>
      <c r="B260" s="1" t="s">
        <v>1370</v>
      </c>
      <c r="C260" s="1" t="s">
        <v>1371</v>
      </c>
      <c r="D260" s="1" t="s">
        <v>224</v>
      </c>
      <c r="E260" s="1" t="s">
        <v>412</v>
      </c>
      <c r="F260" s="1" t="s">
        <v>6717</v>
      </c>
      <c r="G260" s="1" t="str">
        <f>IFERROR(VLOOKUP(A260,H_C!$A$2:$G$2628,7,0),"Validar HC")</f>
        <v>Ospina, Michel</v>
      </c>
      <c r="H260" s="164">
        <v>1623501.0</v>
      </c>
      <c r="I260" s="1">
        <v>42.0</v>
      </c>
    </row>
    <row r="261" ht="15.75" customHeight="1">
      <c r="A261" s="1">
        <v>4364806.0</v>
      </c>
      <c r="B261" s="1" t="s">
        <v>112</v>
      </c>
      <c r="C261" s="1" t="s">
        <v>1373</v>
      </c>
      <c r="D261" s="1" t="s">
        <v>224</v>
      </c>
      <c r="E261" s="1" t="s">
        <v>81</v>
      </c>
      <c r="F261" s="1" t="s">
        <v>6717</v>
      </c>
      <c r="G261" s="1" t="str">
        <f>IFERROR(VLOOKUP(A261,H_C!$A$2:$G$2628,7,0),"Validar HC")</f>
        <v>Ospina, Michel</v>
      </c>
      <c r="H261" s="164">
        <v>1623501.0</v>
      </c>
      <c r="I261" s="1">
        <v>42.0</v>
      </c>
    </row>
    <row r="262" ht="15.75" customHeight="1">
      <c r="A262" s="1">
        <v>4364808.0</v>
      </c>
      <c r="B262" s="1" t="s">
        <v>1375</v>
      </c>
      <c r="C262" s="1" t="s">
        <v>1376</v>
      </c>
      <c r="D262" s="1" t="s">
        <v>224</v>
      </c>
      <c r="E262" s="1" t="s">
        <v>425</v>
      </c>
      <c r="F262" s="1" t="s">
        <v>6717</v>
      </c>
      <c r="G262" s="1" t="str">
        <f>IFERROR(VLOOKUP(A262,H_C!$A$2:$G$2628,7,0),"Validar HC")</f>
        <v>Ospina, Michel</v>
      </c>
      <c r="H262" s="164">
        <v>1623501.0</v>
      </c>
      <c r="I262" s="1">
        <v>42.0</v>
      </c>
    </row>
    <row r="263" ht="15.75" customHeight="1">
      <c r="A263" s="1">
        <v>4364821.0</v>
      </c>
      <c r="B263" s="1" t="s">
        <v>1378</v>
      </c>
      <c r="C263" s="1" t="s">
        <v>1379</v>
      </c>
      <c r="D263" s="1" t="s">
        <v>224</v>
      </c>
      <c r="E263" s="1" t="s">
        <v>412</v>
      </c>
      <c r="F263" s="1" t="s">
        <v>6717</v>
      </c>
      <c r="G263" s="1" t="str">
        <f>IFERROR(VLOOKUP(A263,H_C!$A$2:$G$2628,7,0),"Validar HC")</f>
        <v>Ospina, Michel</v>
      </c>
      <c r="H263" s="164">
        <v>1623501.0</v>
      </c>
      <c r="I263" s="1">
        <v>42.0</v>
      </c>
    </row>
    <row r="264" ht="15.75" customHeight="1">
      <c r="A264" s="1">
        <v>4378753.0</v>
      </c>
      <c r="B264" s="1" t="s">
        <v>1381</v>
      </c>
      <c r="C264" s="1" t="s">
        <v>1382</v>
      </c>
      <c r="D264" s="1" t="s">
        <v>224</v>
      </c>
      <c r="E264" s="1" t="s">
        <v>361</v>
      </c>
      <c r="F264" s="1" t="s">
        <v>6717</v>
      </c>
      <c r="G264" s="1" t="str">
        <f>IFERROR(VLOOKUP(A264,H_C!$A$2:$G$2628,7,0),"Validar HC")</f>
        <v>Gonzalez, Cristian</v>
      </c>
      <c r="H264" s="164">
        <v>1623501.0</v>
      </c>
      <c r="I264" s="1">
        <v>42.0</v>
      </c>
    </row>
    <row r="265" ht="15.75" customHeight="1">
      <c r="A265" s="1">
        <v>4388054.0</v>
      </c>
      <c r="B265" s="1" t="s">
        <v>1384</v>
      </c>
      <c r="C265" s="1" t="s">
        <v>1385</v>
      </c>
      <c r="D265" s="1" t="s">
        <v>224</v>
      </c>
      <c r="E265" s="1" t="s">
        <v>412</v>
      </c>
      <c r="F265" s="1" t="s">
        <v>6717</v>
      </c>
      <c r="G265" s="1" t="str">
        <f>IFERROR(VLOOKUP(A265,H_C!$A$2:$G$2628,7,0),"Validar HC")</f>
        <v>Ospina, Michel</v>
      </c>
      <c r="H265" s="164">
        <v>1623501.0</v>
      </c>
      <c r="I265" s="1">
        <v>42.0</v>
      </c>
    </row>
    <row r="266" ht="15.75" customHeight="1">
      <c r="A266" s="1">
        <v>4404953.0</v>
      </c>
      <c r="B266" s="1" t="s">
        <v>1387</v>
      </c>
      <c r="C266" s="1" t="s">
        <v>1388</v>
      </c>
      <c r="D266" s="1" t="s">
        <v>224</v>
      </c>
      <c r="E266" s="1" t="s">
        <v>567</v>
      </c>
      <c r="F266" s="1" t="s">
        <v>6717</v>
      </c>
      <c r="G266" s="1" t="str">
        <f>IFERROR(VLOOKUP(A266,H_C!$A$2:$G$2628,7,0),"Validar HC")</f>
        <v>Martinez, Wendy</v>
      </c>
      <c r="H266" s="164">
        <v>1623501.0</v>
      </c>
      <c r="I266" s="1">
        <v>42.0</v>
      </c>
    </row>
    <row r="267" ht="15.75" customHeight="1">
      <c r="A267" s="1">
        <v>4414976.0</v>
      </c>
      <c r="B267" s="1" t="s">
        <v>1390</v>
      </c>
      <c r="C267" s="1" t="s">
        <v>1392</v>
      </c>
      <c r="D267" s="1" t="s">
        <v>224</v>
      </c>
      <c r="E267" s="1" t="s">
        <v>425</v>
      </c>
      <c r="F267" s="1" t="s">
        <v>6717</v>
      </c>
      <c r="G267" s="1" t="str">
        <f>IFERROR(VLOOKUP(A267,H_C!$A$2:$G$2628,7,0),"Validar HC")</f>
        <v>Ospina, Michel</v>
      </c>
      <c r="H267" s="164">
        <v>1623501.0</v>
      </c>
      <c r="I267" s="1">
        <v>42.0</v>
      </c>
    </row>
    <row r="268" ht="15.75" customHeight="1">
      <c r="A268" s="1">
        <v>4418455.0</v>
      </c>
      <c r="B268" s="1" t="s">
        <v>1394</v>
      </c>
      <c r="C268" s="1" t="s">
        <v>1395</v>
      </c>
      <c r="D268" s="1" t="s">
        <v>224</v>
      </c>
      <c r="E268" s="1" t="s">
        <v>323</v>
      </c>
      <c r="F268" s="1" t="s">
        <v>6717</v>
      </c>
      <c r="G268" s="1" t="str">
        <f>IFERROR(VLOOKUP(A268,H_C!$A$2:$G$2628,7,0),"Validar HC")</f>
        <v>Martinez, Wendy</v>
      </c>
      <c r="H268" s="164">
        <v>1623501.0</v>
      </c>
      <c r="I268" s="1">
        <v>42.0</v>
      </c>
    </row>
    <row r="269" ht="15.75" customHeight="1">
      <c r="A269" s="1">
        <v>4418459.0</v>
      </c>
      <c r="B269" s="1" t="s">
        <v>1397</v>
      </c>
      <c r="C269" s="1" t="s">
        <v>1398</v>
      </c>
      <c r="D269" s="1" t="s">
        <v>224</v>
      </c>
      <c r="E269" s="1" t="s">
        <v>537</v>
      </c>
      <c r="F269" s="1" t="s">
        <v>6717</v>
      </c>
      <c r="G269" s="1" t="str">
        <f>IFERROR(VLOOKUP(A269,H_C!$A$2:$G$2628,7,0),"Validar HC")</f>
        <v>Ayala, Giselle</v>
      </c>
      <c r="H269" s="164">
        <v>1623501.0</v>
      </c>
      <c r="I269" s="1">
        <v>42.0</v>
      </c>
    </row>
    <row r="270" ht="15.75" customHeight="1">
      <c r="A270" s="1">
        <v>4419160.0</v>
      </c>
      <c r="B270" s="1" t="s">
        <v>1066</v>
      </c>
      <c r="C270" s="1" t="s">
        <v>1067</v>
      </c>
      <c r="D270" s="1" t="s">
        <v>224</v>
      </c>
      <c r="E270" s="1" t="s">
        <v>724</v>
      </c>
      <c r="F270" s="1" t="s">
        <v>6717</v>
      </c>
      <c r="G270" s="1" t="str">
        <f>IFERROR(VLOOKUP(A270,H_C!$A$2:$G$2628,7,0),"Validar HC")</f>
        <v>Garcia, Helmer</v>
      </c>
      <c r="H270" s="164">
        <v>1623501.0</v>
      </c>
      <c r="I270" s="1">
        <v>42.0</v>
      </c>
    </row>
    <row r="271" ht="15.75" customHeight="1">
      <c r="A271" s="1">
        <v>4437039.0</v>
      </c>
      <c r="B271" s="1" t="s">
        <v>1402</v>
      </c>
      <c r="C271" s="1" t="s">
        <v>1404</v>
      </c>
      <c r="D271" s="1" t="s">
        <v>224</v>
      </c>
      <c r="E271" s="1" t="s">
        <v>738</v>
      </c>
      <c r="F271" s="1" t="s">
        <v>6717</v>
      </c>
      <c r="G271" s="1" t="str">
        <f>IFERROR(VLOOKUP(A271,H_C!$A$2:$G$2628,7,0),"Validar HC")</f>
        <v>Garcia, Helmer</v>
      </c>
      <c r="H271" s="164">
        <v>1623501.0</v>
      </c>
      <c r="I271" s="1">
        <v>42.0</v>
      </c>
    </row>
    <row r="272" ht="15.75" customHeight="1">
      <c r="A272" s="1">
        <v>4438977.0</v>
      </c>
      <c r="B272" s="1" t="s">
        <v>1406</v>
      </c>
      <c r="C272" s="1" t="s">
        <v>1408</v>
      </c>
      <c r="D272" s="1" t="s">
        <v>224</v>
      </c>
      <c r="E272" s="1" t="s">
        <v>329</v>
      </c>
      <c r="F272" s="1" t="s">
        <v>6717</v>
      </c>
      <c r="G272" s="1" t="str">
        <f>IFERROR(VLOOKUP(A272,H_C!$A$2:$G$2628,7,0),"Validar HC")</f>
        <v>Garatejo, Natalia</v>
      </c>
      <c r="H272" s="164">
        <v>1623501.0</v>
      </c>
      <c r="I272" s="1">
        <v>42.0</v>
      </c>
    </row>
    <row r="273" ht="15.75" customHeight="1">
      <c r="A273" s="1">
        <v>4451100.0</v>
      </c>
      <c r="B273" s="1" t="s">
        <v>1414</v>
      </c>
      <c r="C273" s="1" t="s">
        <v>1415</v>
      </c>
      <c r="D273" s="1" t="s">
        <v>224</v>
      </c>
      <c r="E273" s="1" t="s">
        <v>329</v>
      </c>
      <c r="F273" s="1" t="s">
        <v>6717</v>
      </c>
      <c r="G273" s="1" t="str">
        <f>IFERROR(VLOOKUP(A273,H_C!$A$2:$G$2628,7,0),"Validar HC")</f>
        <v>Garatejo, Natalia</v>
      </c>
      <c r="H273" s="164">
        <v>1623501.0</v>
      </c>
      <c r="I273" s="1">
        <v>42.0</v>
      </c>
    </row>
    <row r="274" ht="15.75" customHeight="1">
      <c r="A274" s="1">
        <v>4458679.0</v>
      </c>
      <c r="B274" s="1" t="s">
        <v>1417</v>
      </c>
      <c r="C274" s="1" t="s">
        <v>1419</v>
      </c>
      <c r="D274" s="1" t="s">
        <v>224</v>
      </c>
      <c r="E274" s="1" t="s">
        <v>847</v>
      </c>
      <c r="F274" s="1" t="s">
        <v>6717</v>
      </c>
      <c r="G274" s="1" t="str">
        <f>IFERROR(VLOOKUP(A274,H_C!$A$2:$G$2628,7,0),"Validar HC")</f>
        <v>Garatejo, Natalia</v>
      </c>
      <c r="H274" s="164">
        <v>1623501.0</v>
      </c>
      <c r="I274" s="1">
        <v>42.0</v>
      </c>
    </row>
    <row r="275" ht="15.75" customHeight="1">
      <c r="A275" s="1">
        <v>4459624.0</v>
      </c>
      <c r="B275" s="1" t="s">
        <v>1422</v>
      </c>
      <c r="C275" s="1" t="s">
        <v>1423</v>
      </c>
      <c r="D275" s="1" t="s">
        <v>224</v>
      </c>
      <c r="E275" s="1" t="s">
        <v>1019</v>
      </c>
      <c r="F275" s="1" t="s">
        <v>6717</v>
      </c>
      <c r="G275" s="1" t="str">
        <f>IFERROR(VLOOKUP(A275,H_C!$A$2:$G$2628,7,0),"Validar HC")</f>
        <v>Celi, Juan</v>
      </c>
      <c r="H275" s="164">
        <v>1623501.0</v>
      </c>
      <c r="I275" s="1">
        <v>42.0</v>
      </c>
    </row>
    <row r="276" ht="15.75" customHeight="1">
      <c r="A276" s="1">
        <v>4470344.0</v>
      </c>
      <c r="B276" s="1" t="s">
        <v>1424</v>
      </c>
      <c r="C276" s="1" t="s">
        <v>1425</v>
      </c>
      <c r="D276" s="1" t="s">
        <v>224</v>
      </c>
      <c r="E276" s="1" t="s">
        <v>806</v>
      </c>
      <c r="F276" s="1" t="s">
        <v>6717</v>
      </c>
      <c r="G276" s="1" t="str">
        <f>IFERROR(VLOOKUP(A276,H_C!$A$2:$G$2628,7,0),"Validar HC")</f>
        <v>Gonzalez, Cristian</v>
      </c>
      <c r="H276" s="164">
        <v>1623501.0</v>
      </c>
      <c r="I276" s="1">
        <v>42.0</v>
      </c>
    </row>
    <row r="277" ht="15.75" customHeight="1">
      <c r="A277" s="1">
        <v>4472084.0</v>
      </c>
      <c r="B277" s="1" t="s">
        <v>1428</v>
      </c>
      <c r="C277" s="1" t="s">
        <v>1429</v>
      </c>
      <c r="D277" s="1" t="s">
        <v>224</v>
      </c>
      <c r="E277" s="1" t="s">
        <v>847</v>
      </c>
      <c r="F277" s="1" t="s">
        <v>6717</v>
      </c>
      <c r="G277" s="1" t="str">
        <f>IFERROR(VLOOKUP(A277,H_C!$A$2:$G$2628,7,0),"Validar HC")</f>
        <v>Garatejo, Natalia</v>
      </c>
      <c r="H277" s="164">
        <v>1623501.0</v>
      </c>
      <c r="I277" s="1">
        <v>42.0</v>
      </c>
    </row>
    <row r="278" ht="15.75" customHeight="1">
      <c r="A278" s="1">
        <v>4474002.0</v>
      </c>
      <c r="B278" s="1" t="s">
        <v>1432</v>
      </c>
      <c r="C278" s="1" t="s">
        <v>1433</v>
      </c>
      <c r="D278" s="1" t="s">
        <v>224</v>
      </c>
      <c r="E278" s="1" t="s">
        <v>412</v>
      </c>
      <c r="F278" s="1" t="s">
        <v>6717</v>
      </c>
      <c r="G278" s="1" t="str">
        <f>IFERROR(VLOOKUP(A278,H_C!$A$2:$G$2628,7,0),"Validar HC")</f>
        <v>Ospina, Michel</v>
      </c>
      <c r="H278" s="164">
        <v>1623501.0</v>
      </c>
      <c r="I278" s="1">
        <v>42.0</v>
      </c>
    </row>
    <row r="279" ht="15.75" customHeight="1">
      <c r="A279" s="1">
        <v>4474754.0</v>
      </c>
      <c r="B279" s="1" t="s">
        <v>1436</v>
      </c>
      <c r="C279" s="1" t="s">
        <v>1437</v>
      </c>
      <c r="D279" s="1" t="s">
        <v>224</v>
      </c>
      <c r="E279" s="1" t="s">
        <v>361</v>
      </c>
      <c r="F279" s="1" t="s">
        <v>6717</v>
      </c>
      <c r="G279" s="1" t="str">
        <f>IFERROR(VLOOKUP(A279,H_C!$A$2:$G$2628,7,0),"Validar HC")</f>
        <v>Gonzalez, Cristian</v>
      </c>
      <c r="H279" s="164">
        <v>1623501.0</v>
      </c>
      <c r="I279" s="1">
        <v>42.0</v>
      </c>
    </row>
    <row r="280" ht="15.75" customHeight="1">
      <c r="A280" s="1">
        <v>4476984.0</v>
      </c>
      <c r="B280" s="1" t="s">
        <v>976</v>
      </c>
      <c r="C280" s="1" t="s">
        <v>977</v>
      </c>
      <c r="D280" s="1" t="s">
        <v>224</v>
      </c>
      <c r="E280" s="1" t="s">
        <v>254</v>
      </c>
      <c r="F280" s="1" t="s">
        <v>6717</v>
      </c>
      <c r="G280" s="1" t="str">
        <f>IFERROR(VLOOKUP(A280,H_C!$A$2:$G$2628,7,0),"Validar HC")</f>
        <v>Gonzalez, Cristian</v>
      </c>
      <c r="H280" s="164">
        <v>1623501.0</v>
      </c>
      <c r="I280" s="1">
        <v>42.0</v>
      </c>
    </row>
    <row r="281" ht="15.75" customHeight="1">
      <c r="A281" s="1">
        <v>4483564.0</v>
      </c>
      <c r="B281" s="1" t="s">
        <v>1442</v>
      </c>
      <c r="C281" s="1" t="s">
        <v>1443</v>
      </c>
      <c r="D281" s="1" t="s">
        <v>224</v>
      </c>
      <c r="E281" s="1" t="s">
        <v>522</v>
      </c>
      <c r="F281" s="1" t="s">
        <v>6717</v>
      </c>
      <c r="G281" s="1" t="str">
        <f>IFERROR(VLOOKUP(A281,H_C!$A$2:$G$2628,7,0),"Validar HC")</f>
        <v>Martinez, Wendy</v>
      </c>
      <c r="H281" s="164">
        <v>1623501.0</v>
      </c>
      <c r="I281" s="1">
        <v>42.0</v>
      </c>
    </row>
    <row r="282" ht="15.75" customHeight="1">
      <c r="A282" s="1">
        <v>4485955.0</v>
      </c>
      <c r="B282" s="1" t="s">
        <v>728</v>
      </c>
      <c r="C282" s="1" t="s">
        <v>729</v>
      </c>
      <c r="D282" s="1" t="s">
        <v>224</v>
      </c>
      <c r="E282" s="1" t="s">
        <v>289</v>
      </c>
      <c r="F282" s="1" t="s">
        <v>6717</v>
      </c>
      <c r="G282" s="1" t="str">
        <f>IFERROR(VLOOKUP(A282,H_C!$A$2:$G$2628,7,0),"Validar HC")</f>
        <v>Celi, Juan</v>
      </c>
      <c r="H282" s="164">
        <v>1623501.0</v>
      </c>
      <c r="I282" s="1">
        <v>42.0</v>
      </c>
    </row>
    <row r="283" ht="15.75" customHeight="1">
      <c r="A283" s="1">
        <v>4485975.0</v>
      </c>
      <c r="B283" s="1" t="s">
        <v>1446</v>
      </c>
      <c r="C283" s="1" t="s">
        <v>1447</v>
      </c>
      <c r="D283" s="1" t="s">
        <v>224</v>
      </c>
      <c r="E283" s="1" t="s">
        <v>289</v>
      </c>
      <c r="F283" s="1" t="s">
        <v>6717</v>
      </c>
      <c r="G283" s="1" t="str">
        <f>IFERROR(VLOOKUP(A283,H_C!$A$2:$G$2628,7,0),"Validar HC")</f>
        <v>Celi, Juan</v>
      </c>
      <c r="H283" s="164">
        <v>1623501.0</v>
      </c>
      <c r="I283" s="1">
        <v>42.0</v>
      </c>
    </row>
    <row r="284" ht="15.75" customHeight="1">
      <c r="A284" s="1">
        <v>4486052.0</v>
      </c>
      <c r="B284" s="1" t="s">
        <v>1448</v>
      </c>
      <c r="C284" s="1" t="s">
        <v>1449</v>
      </c>
      <c r="D284" s="1" t="s">
        <v>224</v>
      </c>
      <c r="E284" s="1" t="s">
        <v>222</v>
      </c>
      <c r="F284" s="1" t="s">
        <v>6717</v>
      </c>
      <c r="G284" s="1" t="str">
        <f>IFERROR(VLOOKUP(A284,H_C!$A$2:$G$2628,7,0),"Validar HC")</f>
        <v>Soler, Maria</v>
      </c>
      <c r="H284" s="164">
        <v>1623501.0</v>
      </c>
      <c r="I284" s="1">
        <v>42.0</v>
      </c>
    </row>
    <row r="285" ht="15.75" customHeight="1">
      <c r="A285" s="1">
        <v>4486170.0</v>
      </c>
      <c r="B285" s="1" t="s">
        <v>1452</v>
      </c>
      <c r="C285" s="1" t="s">
        <v>1454</v>
      </c>
      <c r="D285" s="1" t="s">
        <v>224</v>
      </c>
      <c r="E285" s="1" t="s">
        <v>316</v>
      </c>
      <c r="F285" s="1" t="s">
        <v>6717</v>
      </c>
      <c r="G285" s="1" t="str">
        <f>IFERROR(VLOOKUP(A285,H_C!$A$2:$G$2628,7,0),"Validar HC")</f>
        <v>Osorio, Julian</v>
      </c>
      <c r="H285" s="164">
        <v>1623501.0</v>
      </c>
      <c r="I285" s="1">
        <v>42.0</v>
      </c>
    </row>
    <row r="286" ht="15.75" customHeight="1">
      <c r="A286" s="1">
        <v>4489857.0</v>
      </c>
      <c r="B286" s="1" t="s">
        <v>1457</v>
      </c>
      <c r="C286" s="1" t="s">
        <v>1459</v>
      </c>
      <c r="D286" s="1" t="s">
        <v>224</v>
      </c>
      <c r="E286" s="1" t="s">
        <v>738</v>
      </c>
      <c r="F286" s="1" t="s">
        <v>6717</v>
      </c>
      <c r="G286" s="1" t="str">
        <f>IFERROR(VLOOKUP(A286,H_C!$A$2:$G$2628,7,0),"Validar HC")</f>
        <v>Garcia, Helmer</v>
      </c>
      <c r="H286" s="164">
        <v>1623501.0</v>
      </c>
      <c r="I286" s="1">
        <v>42.0</v>
      </c>
    </row>
    <row r="287" ht="15.75" customHeight="1">
      <c r="A287" s="1">
        <v>4490006.0</v>
      </c>
      <c r="B287" s="1" t="s">
        <v>1462</v>
      </c>
      <c r="C287" s="1" t="s">
        <v>1463</v>
      </c>
      <c r="D287" s="1" t="s">
        <v>224</v>
      </c>
      <c r="E287" s="1" t="s">
        <v>506</v>
      </c>
      <c r="F287" s="1" t="s">
        <v>6717</v>
      </c>
      <c r="G287" s="1" t="str">
        <f>IFERROR(VLOOKUP(A287,H_C!$A$2:$G$2628,7,0),"Validar HC")</f>
        <v>Ospina, Michel</v>
      </c>
      <c r="H287" s="164">
        <v>1623501.0</v>
      </c>
      <c r="I287" s="1">
        <v>42.0</v>
      </c>
    </row>
    <row r="288" ht="15.75" customHeight="1">
      <c r="A288" s="1">
        <v>4490024.0</v>
      </c>
      <c r="B288" s="1" t="s">
        <v>1466</v>
      </c>
      <c r="C288" s="1" t="s">
        <v>1467</v>
      </c>
      <c r="D288" s="1" t="s">
        <v>224</v>
      </c>
      <c r="E288" s="1" t="s">
        <v>435</v>
      </c>
      <c r="F288" s="1" t="s">
        <v>6717</v>
      </c>
      <c r="G288" s="1" t="str">
        <f>IFERROR(VLOOKUP(A288,H_C!$A$2:$G$2628,7,0),"Validar HC")</f>
        <v>Soler, Maria</v>
      </c>
      <c r="H288" s="164">
        <v>1623501.0</v>
      </c>
      <c r="I288" s="1">
        <v>42.0</v>
      </c>
    </row>
    <row r="289" ht="15.75" customHeight="1">
      <c r="A289" s="1">
        <v>4490877.0</v>
      </c>
      <c r="B289" s="1" t="s">
        <v>1204</v>
      </c>
      <c r="C289" s="1" t="s">
        <v>1205</v>
      </c>
      <c r="D289" s="1" t="s">
        <v>224</v>
      </c>
      <c r="E289" s="1" t="s">
        <v>254</v>
      </c>
      <c r="F289" s="1" t="s">
        <v>6717</v>
      </c>
      <c r="G289" s="1" t="str">
        <f>IFERROR(VLOOKUP(A289,H_C!$A$2:$G$2628,7,0),"Validar HC")</f>
        <v>Gonzalez, Cristian</v>
      </c>
      <c r="H289" s="164">
        <v>1623501.0</v>
      </c>
      <c r="I289" s="1">
        <v>42.0</v>
      </c>
    </row>
    <row r="290" ht="15.75" customHeight="1">
      <c r="A290" s="1">
        <v>4491619.0</v>
      </c>
      <c r="B290" s="1" t="s">
        <v>1472</v>
      </c>
      <c r="C290" s="1" t="s">
        <v>1473</v>
      </c>
      <c r="D290" s="1" t="s">
        <v>224</v>
      </c>
      <c r="E290" s="1" t="s">
        <v>526</v>
      </c>
      <c r="F290" s="1" t="s">
        <v>6717</v>
      </c>
      <c r="G290" s="1" t="str">
        <f>IFERROR(VLOOKUP(A290,H_C!$A$2:$G$2628,7,0),"Validar HC")</f>
        <v>Martinez, Wendy</v>
      </c>
      <c r="H290" s="164">
        <v>1623501.0</v>
      </c>
      <c r="I290" s="1">
        <v>42.0</v>
      </c>
    </row>
    <row r="291" ht="15.75" customHeight="1">
      <c r="A291" s="1">
        <v>4493841.0</v>
      </c>
      <c r="B291" s="1" t="s">
        <v>1476</v>
      </c>
      <c r="C291" s="1" t="s">
        <v>1477</v>
      </c>
      <c r="D291" s="1" t="s">
        <v>224</v>
      </c>
      <c r="E291" s="1" t="s">
        <v>478</v>
      </c>
      <c r="F291" s="1" t="s">
        <v>6717</v>
      </c>
      <c r="G291" s="1" t="str">
        <f>IFERROR(VLOOKUP(A291,H_C!$A$2:$G$2628,7,0),"Validar HC")</f>
        <v>Celi, Juan</v>
      </c>
      <c r="H291" s="164">
        <v>1623501.0</v>
      </c>
      <c r="I291" s="1">
        <v>42.0</v>
      </c>
    </row>
    <row r="292" ht="15.75" customHeight="1">
      <c r="A292" s="1">
        <v>4499084.0</v>
      </c>
      <c r="B292" s="1" t="s">
        <v>520</v>
      </c>
      <c r="C292" s="1" t="s">
        <v>521</v>
      </c>
      <c r="D292" s="1" t="s">
        <v>224</v>
      </c>
      <c r="E292" s="1" t="s">
        <v>232</v>
      </c>
      <c r="F292" s="1" t="s">
        <v>6717</v>
      </c>
      <c r="G292" s="1" t="str">
        <f>IFERROR(VLOOKUP(A292,H_C!$A$2:$G$2628,7,0),"Validar HC")</f>
        <v>Soler, Maria</v>
      </c>
      <c r="H292" s="164">
        <v>1623501.0</v>
      </c>
      <c r="I292" s="1">
        <v>42.0</v>
      </c>
    </row>
    <row r="293" ht="15.75" customHeight="1">
      <c r="A293" s="1">
        <v>4499161.0</v>
      </c>
      <c r="B293" s="1" t="s">
        <v>1482</v>
      </c>
      <c r="C293" s="1" t="s">
        <v>1483</v>
      </c>
      <c r="D293" s="1" t="s">
        <v>224</v>
      </c>
      <c r="E293" s="1" t="s">
        <v>232</v>
      </c>
      <c r="F293" s="1" t="s">
        <v>6717</v>
      </c>
      <c r="G293" s="1" t="str">
        <f>IFERROR(VLOOKUP(A293,H_C!$A$2:$G$2628,7,0),"Validar HC")</f>
        <v>Soler, Maria</v>
      </c>
      <c r="H293" s="164">
        <v>1623501.0</v>
      </c>
      <c r="I293" s="1">
        <v>42.0</v>
      </c>
    </row>
    <row r="294" ht="15.75" customHeight="1">
      <c r="A294" s="1">
        <v>4500098.0</v>
      </c>
      <c r="B294" s="1" t="s">
        <v>1486</v>
      </c>
      <c r="C294" s="1" t="s">
        <v>1487</v>
      </c>
      <c r="D294" s="1" t="s">
        <v>224</v>
      </c>
      <c r="E294" s="1" t="s">
        <v>297</v>
      </c>
      <c r="F294" s="1" t="s">
        <v>6717</v>
      </c>
      <c r="G294" s="1" t="str">
        <f>IFERROR(VLOOKUP(A294,H_C!$A$2:$G$2628,7,0),"Validar HC")</f>
        <v>Garatejo, Natalia</v>
      </c>
      <c r="H294" s="164">
        <v>1623501.0</v>
      </c>
      <c r="I294" s="1">
        <v>42.0</v>
      </c>
    </row>
    <row r="295" ht="15.75" customHeight="1">
      <c r="A295" s="1">
        <v>4500571.0</v>
      </c>
      <c r="B295" s="1" t="s">
        <v>1490</v>
      </c>
      <c r="C295" s="1" t="s">
        <v>1491</v>
      </c>
      <c r="D295" s="1" t="s">
        <v>224</v>
      </c>
      <c r="E295" s="1" t="s">
        <v>738</v>
      </c>
      <c r="F295" s="1" t="s">
        <v>6717</v>
      </c>
      <c r="G295" s="1" t="str">
        <f>IFERROR(VLOOKUP(A295,H_C!$A$2:$G$2628,7,0),"Validar HC")</f>
        <v>Garcia, Helmer</v>
      </c>
      <c r="H295" s="164">
        <v>1623501.0</v>
      </c>
      <c r="I295" s="1">
        <v>42.0</v>
      </c>
    </row>
    <row r="296" ht="15.75" customHeight="1">
      <c r="A296" s="1">
        <v>4500655.0</v>
      </c>
      <c r="B296" s="1" t="s">
        <v>1494</v>
      </c>
      <c r="C296" s="1" t="s">
        <v>1495</v>
      </c>
      <c r="D296" s="1" t="s">
        <v>224</v>
      </c>
      <c r="E296" s="1" t="s">
        <v>1348</v>
      </c>
      <c r="F296" s="1" t="s">
        <v>6717</v>
      </c>
      <c r="G296" s="1" t="str">
        <f>IFERROR(VLOOKUP(A296,H_C!$A$2:$G$2628,7,0),"Validar HC")</f>
        <v>Celi, Juan</v>
      </c>
      <c r="H296" s="164">
        <v>1623501.0</v>
      </c>
      <c r="I296" s="1">
        <v>42.0</v>
      </c>
    </row>
    <row r="297" ht="15.75" customHeight="1">
      <c r="A297" s="1">
        <v>4503270.0</v>
      </c>
      <c r="B297" s="1" t="s">
        <v>1214</v>
      </c>
      <c r="C297" s="1" t="s">
        <v>1215</v>
      </c>
      <c r="D297" s="1" t="s">
        <v>224</v>
      </c>
      <c r="E297" s="1" t="s">
        <v>309</v>
      </c>
      <c r="F297" s="1" t="s">
        <v>6717</v>
      </c>
      <c r="G297" s="1" t="str">
        <f>IFERROR(VLOOKUP(A297,H_C!$A$2:$G$2628,7,0),"Validar HC")</f>
        <v>Gonzalez, Cristian</v>
      </c>
      <c r="H297" s="164">
        <v>1623501.0</v>
      </c>
      <c r="I297" s="1">
        <v>42.0</v>
      </c>
    </row>
    <row r="298" ht="15.75" customHeight="1">
      <c r="A298" s="1">
        <v>4505938.0</v>
      </c>
      <c r="B298" s="1" t="s">
        <v>1500</v>
      </c>
      <c r="C298" s="1" t="s">
        <v>1501</v>
      </c>
      <c r="D298" s="1" t="s">
        <v>224</v>
      </c>
      <c r="E298" s="1" t="s">
        <v>555</v>
      </c>
      <c r="F298" s="1" t="s">
        <v>6717</v>
      </c>
      <c r="G298" s="1" t="str">
        <f>IFERROR(VLOOKUP(A298,H_C!$A$2:$G$2628,7,0),"Validar HC")</f>
        <v>Ayala, Giselle</v>
      </c>
      <c r="H298" s="164">
        <v>1623501.0</v>
      </c>
      <c r="I298" s="1">
        <v>42.0</v>
      </c>
    </row>
    <row r="299" ht="15.75" customHeight="1">
      <c r="A299" s="1">
        <v>4506659.0</v>
      </c>
      <c r="B299" s="1" t="s">
        <v>1504</v>
      </c>
      <c r="C299" s="1" t="s">
        <v>1506</v>
      </c>
      <c r="D299" s="1" t="s">
        <v>224</v>
      </c>
      <c r="E299" s="1" t="s">
        <v>121</v>
      </c>
      <c r="F299" s="1" t="s">
        <v>6717</v>
      </c>
      <c r="G299" s="1" t="str">
        <f>IFERROR(VLOOKUP(A299,H_C!$A$2:$G$2628,7,0),"Validar HC")</f>
        <v>Ospina, Michel</v>
      </c>
      <c r="H299" s="164">
        <v>1623501.0</v>
      </c>
      <c r="I299" s="1">
        <v>42.0</v>
      </c>
    </row>
    <row r="300" ht="15.75" customHeight="1">
      <c r="A300" s="1">
        <v>4512875.0</v>
      </c>
      <c r="B300" s="1" t="s">
        <v>1509</v>
      </c>
      <c r="C300" s="1" t="s">
        <v>1511</v>
      </c>
      <c r="D300" s="1" t="s">
        <v>224</v>
      </c>
      <c r="E300" s="1" t="s">
        <v>738</v>
      </c>
      <c r="F300" s="1" t="s">
        <v>6717</v>
      </c>
      <c r="G300" s="1" t="str">
        <f>IFERROR(VLOOKUP(A300,H_C!$A$2:$G$2628,7,0),"Validar HC")</f>
        <v>Garcia, Helmer</v>
      </c>
      <c r="H300" s="164">
        <v>1623501.0</v>
      </c>
      <c r="I300" s="1">
        <v>42.0</v>
      </c>
    </row>
    <row r="301" ht="15.75" customHeight="1">
      <c r="A301" s="1">
        <v>4513909.0</v>
      </c>
      <c r="B301" s="1" t="s">
        <v>901</v>
      </c>
      <c r="C301" s="1" t="s">
        <v>902</v>
      </c>
      <c r="D301" s="1" t="s">
        <v>224</v>
      </c>
      <c r="E301" s="1" t="s">
        <v>118</v>
      </c>
      <c r="F301" s="1" t="s">
        <v>6717</v>
      </c>
      <c r="G301" s="1" t="str">
        <f>IFERROR(VLOOKUP(A301,H_C!$A$2:$G$2628,7,0),"Validar HC")</f>
        <v>Ospina, Michel</v>
      </c>
      <c r="H301" s="164">
        <v>1623501.0</v>
      </c>
      <c r="I301" s="1">
        <v>42.0</v>
      </c>
    </row>
    <row r="302" ht="15.75" customHeight="1">
      <c r="A302" s="1">
        <v>4515221.0</v>
      </c>
      <c r="B302" s="1" t="s">
        <v>1517</v>
      </c>
      <c r="C302" s="1" t="s">
        <v>1519</v>
      </c>
      <c r="D302" s="1" t="s">
        <v>224</v>
      </c>
      <c r="E302" s="1" t="s">
        <v>695</v>
      </c>
      <c r="F302" s="1" t="s">
        <v>6717</v>
      </c>
      <c r="G302" s="1" t="str">
        <f>IFERROR(VLOOKUP(A302,H_C!$A$2:$G$2628,7,0),"Validar HC")</f>
        <v>Ayala, Giselle</v>
      </c>
      <c r="H302" s="164">
        <v>1623501.0</v>
      </c>
      <c r="I302" s="1">
        <v>42.0</v>
      </c>
    </row>
    <row r="303" ht="15.75" customHeight="1">
      <c r="A303" s="1">
        <v>4526822.0</v>
      </c>
      <c r="B303" s="1" t="s">
        <v>1522</v>
      </c>
      <c r="C303" s="1" t="s">
        <v>1526</v>
      </c>
      <c r="D303" s="1" t="s">
        <v>224</v>
      </c>
      <c r="E303" s="1" t="s">
        <v>331</v>
      </c>
      <c r="F303" s="1" t="s">
        <v>6717</v>
      </c>
      <c r="G303" s="1" t="str">
        <f>IFERROR(VLOOKUP(A303,H_C!$A$2:$G$2628,7,0),"Validar HC")</f>
        <v>Garzon, Maria</v>
      </c>
      <c r="H303" s="164">
        <v>1623501.0</v>
      </c>
      <c r="I303" s="1">
        <v>42.0</v>
      </c>
    </row>
    <row r="304" ht="15.75" customHeight="1">
      <c r="A304" s="1">
        <v>4526909.0</v>
      </c>
      <c r="B304" s="1" t="s">
        <v>1529</v>
      </c>
      <c r="C304" s="1" t="s">
        <v>1530</v>
      </c>
      <c r="D304" s="1" t="s">
        <v>224</v>
      </c>
      <c r="E304" s="1" t="s">
        <v>323</v>
      </c>
      <c r="F304" s="1" t="s">
        <v>6717</v>
      </c>
      <c r="G304" s="1" t="str">
        <f>IFERROR(VLOOKUP(A304,H_C!$A$2:$G$2628,7,0),"Validar HC")</f>
        <v>Martinez, Wendy</v>
      </c>
      <c r="H304" s="164">
        <v>1623501.0</v>
      </c>
      <c r="I304" s="1">
        <v>42.0</v>
      </c>
    </row>
    <row r="305" ht="15.75" customHeight="1">
      <c r="A305" s="1">
        <v>4539342.0</v>
      </c>
      <c r="B305" s="1" t="s">
        <v>1533</v>
      </c>
      <c r="C305" s="1" t="s">
        <v>1534</v>
      </c>
      <c r="D305" s="1" t="s">
        <v>224</v>
      </c>
      <c r="E305" s="1" t="s">
        <v>425</v>
      </c>
      <c r="F305" s="1" t="s">
        <v>6717</v>
      </c>
      <c r="G305" s="1" t="str">
        <f>IFERROR(VLOOKUP(A305,H_C!$A$2:$G$2628,7,0),"Validar HC")</f>
        <v>Ospina, Michel</v>
      </c>
      <c r="H305" s="164">
        <v>1623501.0</v>
      </c>
      <c r="I305" s="1">
        <v>42.0</v>
      </c>
    </row>
    <row r="306" ht="15.75" customHeight="1">
      <c r="A306" s="1">
        <v>4557291.0</v>
      </c>
      <c r="B306" s="1" t="s">
        <v>1537</v>
      </c>
      <c r="C306" s="1" t="s">
        <v>1538</v>
      </c>
      <c r="D306" s="1" t="s">
        <v>224</v>
      </c>
      <c r="E306" s="1" t="s">
        <v>800</v>
      </c>
      <c r="F306" s="1" t="s">
        <v>6717</v>
      </c>
      <c r="G306" s="1" t="str">
        <f>IFERROR(VLOOKUP(A306,H_C!$A$2:$G$2628,7,0),"Validar HC")</f>
        <v>Garatejo, Natalia</v>
      </c>
      <c r="H306" s="164">
        <v>1623501.0</v>
      </c>
      <c r="I306" s="1">
        <v>42.0</v>
      </c>
    </row>
    <row r="307" ht="15.75" customHeight="1">
      <c r="A307" s="1">
        <v>4570746.0</v>
      </c>
      <c r="B307" s="1" t="s">
        <v>1545</v>
      </c>
      <c r="C307" s="1" t="s">
        <v>1546</v>
      </c>
      <c r="D307" s="1" t="s">
        <v>224</v>
      </c>
      <c r="E307" s="1" t="s">
        <v>478</v>
      </c>
      <c r="F307" s="1" t="s">
        <v>6717</v>
      </c>
      <c r="G307" s="1" t="str">
        <f>IFERROR(VLOOKUP(A307,H_C!$A$2:$G$2628,7,0),"Validar HC")</f>
        <v>Celi, Juan</v>
      </c>
      <c r="H307" s="164">
        <v>1623501.0</v>
      </c>
      <c r="I307" s="1">
        <v>42.0</v>
      </c>
    </row>
    <row r="308" ht="15.75" customHeight="1">
      <c r="A308" s="1">
        <v>4570941.0</v>
      </c>
      <c r="B308" s="1" t="s">
        <v>1549</v>
      </c>
      <c r="C308" s="1" t="s">
        <v>1550</v>
      </c>
      <c r="D308" s="1" t="s">
        <v>224</v>
      </c>
      <c r="E308" s="1" t="s">
        <v>841</v>
      </c>
      <c r="F308" s="1" t="s">
        <v>6717</v>
      </c>
      <c r="G308" s="1" t="str">
        <f>IFERROR(VLOOKUP(A308,H_C!$A$2:$G$2628,7,0),"Validar HC")</f>
        <v>Soler, Maria</v>
      </c>
      <c r="H308" s="164">
        <v>1623501.0</v>
      </c>
      <c r="I308" s="1">
        <v>42.0</v>
      </c>
    </row>
    <row r="309" ht="15.75" customHeight="1">
      <c r="A309" s="1">
        <v>4582419.0</v>
      </c>
      <c r="B309" s="1" t="s">
        <v>1553</v>
      </c>
      <c r="C309" s="1" t="s">
        <v>1554</v>
      </c>
      <c r="D309" s="1" t="s">
        <v>224</v>
      </c>
      <c r="E309" s="1" t="s">
        <v>632</v>
      </c>
      <c r="F309" s="1" t="s">
        <v>6717</v>
      </c>
      <c r="G309" s="1" t="str">
        <f>IFERROR(VLOOKUP(A309,H_C!$A$2:$G$2628,7,0),"Validar HC")</f>
        <v>Gonzalez, Cristian</v>
      </c>
      <c r="H309" s="164">
        <v>1623501.0</v>
      </c>
      <c r="I309" s="1">
        <v>42.0</v>
      </c>
    </row>
    <row r="310" ht="15.75" customHeight="1">
      <c r="A310" s="1">
        <v>4582421.0</v>
      </c>
      <c r="B310" s="1" t="s">
        <v>1557</v>
      </c>
      <c r="C310" s="1" t="s">
        <v>1558</v>
      </c>
      <c r="D310" s="1" t="s">
        <v>224</v>
      </c>
      <c r="E310" s="1" t="s">
        <v>800</v>
      </c>
      <c r="F310" s="1" t="s">
        <v>6717</v>
      </c>
      <c r="G310" s="1" t="str">
        <f>IFERROR(VLOOKUP(A310,H_C!$A$2:$G$2628,7,0),"Validar HC")</f>
        <v>Garatejo, Natalia</v>
      </c>
      <c r="H310" s="164">
        <v>1623501.0</v>
      </c>
      <c r="I310" s="1">
        <v>42.0</v>
      </c>
    </row>
    <row r="311" ht="15.75" customHeight="1">
      <c r="A311" s="1">
        <v>4584347.0</v>
      </c>
      <c r="B311" s="1" t="s">
        <v>1561</v>
      </c>
      <c r="C311" s="1" t="s">
        <v>1563</v>
      </c>
      <c r="D311" s="1" t="s">
        <v>224</v>
      </c>
      <c r="E311" s="1" t="s">
        <v>813</v>
      </c>
      <c r="F311" s="1" t="s">
        <v>6717</v>
      </c>
      <c r="G311" s="1" t="str">
        <f>IFERROR(VLOOKUP(A311,H_C!$A$2:$G$2628,7,0),"Validar HC")</f>
        <v>Garatejo, Natalia</v>
      </c>
      <c r="H311" s="164">
        <v>1623501.0</v>
      </c>
      <c r="I311" s="1">
        <v>42.0</v>
      </c>
    </row>
    <row r="312" ht="15.75" customHeight="1">
      <c r="A312" s="1">
        <v>4586511.0</v>
      </c>
      <c r="B312" s="1" t="s">
        <v>1566</v>
      </c>
      <c r="C312" s="1" t="s">
        <v>1567</v>
      </c>
      <c r="D312" s="1" t="s">
        <v>224</v>
      </c>
      <c r="E312" s="1" t="s">
        <v>530</v>
      </c>
      <c r="F312" s="1" t="s">
        <v>6717</v>
      </c>
      <c r="G312" s="1" t="str">
        <f>IFERROR(VLOOKUP(A312,H_C!$A$2:$G$2628,7,0),"Validar HC")</f>
        <v>Garcia, Helmer</v>
      </c>
      <c r="H312" s="164">
        <v>1623501.0</v>
      </c>
      <c r="I312" s="1">
        <v>42.0</v>
      </c>
    </row>
    <row r="313" ht="15.75" customHeight="1">
      <c r="A313" s="1">
        <v>4586543.0</v>
      </c>
      <c r="B313" s="1" t="s">
        <v>1570</v>
      </c>
      <c r="C313" s="1" t="s">
        <v>1571</v>
      </c>
      <c r="D313" s="1" t="s">
        <v>224</v>
      </c>
      <c r="E313" s="1" t="s">
        <v>478</v>
      </c>
      <c r="F313" s="1" t="s">
        <v>6717</v>
      </c>
      <c r="G313" s="1" t="str">
        <f>IFERROR(VLOOKUP(A313,H_C!$A$2:$G$2628,7,0),"Validar HC")</f>
        <v>Celi, Juan</v>
      </c>
      <c r="H313" s="164">
        <v>1623501.0</v>
      </c>
      <c r="I313" s="1">
        <v>42.0</v>
      </c>
    </row>
    <row r="314" ht="15.75" customHeight="1">
      <c r="A314" s="1">
        <v>4588484.0</v>
      </c>
      <c r="B314" s="1" t="s">
        <v>1574</v>
      </c>
      <c r="C314" s="1" t="s">
        <v>1575</v>
      </c>
      <c r="D314" s="1" t="s">
        <v>224</v>
      </c>
      <c r="E314" s="1" t="s">
        <v>800</v>
      </c>
      <c r="F314" s="1" t="s">
        <v>6717</v>
      </c>
      <c r="G314" s="1" t="str">
        <f>IFERROR(VLOOKUP(A314,H_C!$A$2:$G$2628,7,0),"Validar HC")</f>
        <v>Garatejo, Natalia</v>
      </c>
      <c r="H314" s="164">
        <v>1623501.0</v>
      </c>
      <c r="I314" s="1">
        <v>42.0</v>
      </c>
    </row>
    <row r="315" ht="15.75" customHeight="1">
      <c r="A315" s="1">
        <v>4591181.0</v>
      </c>
      <c r="B315" s="1" t="s">
        <v>1578</v>
      </c>
      <c r="C315" s="1" t="s">
        <v>1579</v>
      </c>
      <c r="D315" s="1" t="s">
        <v>224</v>
      </c>
      <c r="E315" s="1" t="s">
        <v>246</v>
      </c>
      <c r="F315" s="1" t="s">
        <v>6717</v>
      </c>
      <c r="G315" s="1" t="str">
        <f>IFERROR(VLOOKUP(A315,H_C!$A$2:$G$2628,7,0),"Validar HC")</f>
        <v>Garcia, Helmer</v>
      </c>
      <c r="H315" s="164">
        <v>1623501.0</v>
      </c>
      <c r="I315" s="1">
        <v>42.0</v>
      </c>
    </row>
    <row r="316" ht="15.75" customHeight="1">
      <c r="A316" s="1">
        <v>4593096.0</v>
      </c>
      <c r="B316" s="1" t="s">
        <v>1582</v>
      </c>
      <c r="C316" s="1" t="s">
        <v>1583</v>
      </c>
      <c r="D316" s="1" t="s">
        <v>224</v>
      </c>
      <c r="E316" s="1" t="s">
        <v>120</v>
      </c>
      <c r="F316" s="1" t="s">
        <v>6717</v>
      </c>
      <c r="G316" s="1" t="str">
        <f>IFERROR(VLOOKUP(A316,H_C!$A$2:$G$2628,7,0),"Validar HC")</f>
        <v>Ospina, Michel</v>
      </c>
      <c r="H316" s="164">
        <v>1623501.0</v>
      </c>
      <c r="I316" s="1">
        <v>42.0</v>
      </c>
    </row>
    <row r="317" ht="15.75" customHeight="1">
      <c r="A317" s="1">
        <v>4593276.0</v>
      </c>
      <c r="B317" s="1" t="s">
        <v>1586</v>
      </c>
      <c r="C317" s="1" t="s">
        <v>1587</v>
      </c>
      <c r="D317" s="1" t="s">
        <v>224</v>
      </c>
      <c r="E317" s="1" t="s">
        <v>323</v>
      </c>
      <c r="F317" s="1" t="s">
        <v>6717</v>
      </c>
      <c r="G317" s="1" t="str">
        <f>IFERROR(VLOOKUP(A317,H_C!$A$2:$G$2628,7,0),"Validar HC")</f>
        <v>Martinez, Wendy</v>
      </c>
      <c r="H317" s="164">
        <v>1623501.0</v>
      </c>
      <c r="I317" s="1">
        <v>42.0</v>
      </c>
    </row>
    <row r="318" ht="15.75" customHeight="1">
      <c r="A318" s="1">
        <v>4594557.0</v>
      </c>
      <c r="B318" s="1" t="s">
        <v>1590</v>
      </c>
      <c r="C318" s="1" t="s">
        <v>1591</v>
      </c>
      <c r="D318" s="1" t="s">
        <v>224</v>
      </c>
      <c r="E318" s="1" t="s">
        <v>246</v>
      </c>
      <c r="F318" s="1" t="s">
        <v>6717</v>
      </c>
      <c r="G318" s="1" t="str">
        <f>IFERROR(VLOOKUP(A318,H_C!$A$2:$G$2628,7,0),"Validar HC")</f>
        <v>Garcia, Helmer</v>
      </c>
      <c r="H318" s="164">
        <v>1623501.0</v>
      </c>
      <c r="I318" s="1">
        <v>42.0</v>
      </c>
    </row>
    <row r="319" ht="15.75" customHeight="1">
      <c r="A319" s="1">
        <v>4598317.0</v>
      </c>
      <c r="B319" s="1" t="s">
        <v>1594</v>
      </c>
      <c r="C319" s="1" t="s">
        <v>1595</v>
      </c>
      <c r="D319" s="1" t="s">
        <v>224</v>
      </c>
      <c r="E319" s="1" t="s">
        <v>514</v>
      </c>
      <c r="F319" s="1" t="s">
        <v>6717</v>
      </c>
      <c r="G319" s="1" t="str">
        <f>IFERROR(VLOOKUP(A319,H_C!$A$2:$G$2628,7,0),"Validar HC")</f>
        <v>Garatejo, Natalia</v>
      </c>
      <c r="H319" s="164">
        <v>1623501.0</v>
      </c>
      <c r="I319" s="1">
        <v>42.0</v>
      </c>
    </row>
    <row r="320" ht="15.75" customHeight="1">
      <c r="A320" s="1">
        <v>4598318.0</v>
      </c>
      <c r="B320" s="1" t="s">
        <v>1598</v>
      </c>
      <c r="C320" s="1" t="s">
        <v>1599</v>
      </c>
      <c r="D320" s="1" t="s">
        <v>224</v>
      </c>
      <c r="E320" s="1" t="s">
        <v>385</v>
      </c>
      <c r="F320" s="1" t="s">
        <v>6717</v>
      </c>
      <c r="G320" s="1" t="str">
        <f>IFERROR(VLOOKUP(A320,H_C!$A$2:$G$2628,7,0),"Validar HC")</f>
        <v>Garatejo, Natalia</v>
      </c>
      <c r="H320" s="164">
        <v>1623501.0</v>
      </c>
      <c r="I320" s="1">
        <v>42.0</v>
      </c>
    </row>
    <row r="321" ht="15.75" customHeight="1">
      <c r="A321" s="1">
        <v>4598327.0</v>
      </c>
      <c r="B321" s="1" t="s">
        <v>1603</v>
      </c>
      <c r="C321" s="1" t="s">
        <v>1605</v>
      </c>
      <c r="D321" s="1" t="s">
        <v>224</v>
      </c>
      <c r="E321" s="1" t="s">
        <v>1602</v>
      </c>
      <c r="F321" s="1" t="s">
        <v>6717</v>
      </c>
      <c r="G321" s="1" t="str">
        <f>IFERROR(VLOOKUP(A321,H_C!$A$2:$G$2628,7,0),"Validar HC")</f>
        <v>Ayala, Giselle</v>
      </c>
      <c r="H321" s="164">
        <v>1623501.0</v>
      </c>
      <c r="I321" s="1">
        <v>42.0</v>
      </c>
    </row>
    <row r="322" ht="15.75" customHeight="1">
      <c r="A322" s="1">
        <v>4601920.0</v>
      </c>
      <c r="B322" s="1" t="s">
        <v>1606</v>
      </c>
      <c r="C322" s="1" t="s">
        <v>1607</v>
      </c>
      <c r="D322" s="1" t="s">
        <v>224</v>
      </c>
      <c r="E322" s="1" t="s">
        <v>514</v>
      </c>
      <c r="F322" s="1" t="s">
        <v>6717</v>
      </c>
      <c r="G322" s="1" t="str">
        <f>IFERROR(VLOOKUP(A322,H_C!$A$2:$G$2628,7,0),"Validar HC")</f>
        <v>Garatejo, Natalia</v>
      </c>
      <c r="H322" s="164">
        <v>1623501.0</v>
      </c>
      <c r="I322" s="1">
        <v>42.0</v>
      </c>
    </row>
    <row r="323" ht="15.75" customHeight="1">
      <c r="A323" s="1">
        <v>4601934.0</v>
      </c>
      <c r="B323" s="1" t="s">
        <v>1608</v>
      </c>
      <c r="C323" s="1" t="s">
        <v>1609</v>
      </c>
      <c r="D323" s="1" t="s">
        <v>224</v>
      </c>
      <c r="E323" s="1" t="s">
        <v>853</v>
      </c>
      <c r="F323" s="1" t="s">
        <v>6717</v>
      </c>
      <c r="G323" s="1" t="str">
        <f>IFERROR(VLOOKUP(A323,H_C!$A$2:$G$2628,7,0),"Validar HC")</f>
        <v>Garcia, Helmer</v>
      </c>
      <c r="H323" s="164">
        <v>1623501.0</v>
      </c>
      <c r="I323" s="1">
        <v>42.0</v>
      </c>
    </row>
    <row r="324" ht="15.75" customHeight="1">
      <c r="A324" s="1">
        <v>4602868.0</v>
      </c>
      <c r="B324" s="1" t="s">
        <v>1610</v>
      </c>
      <c r="C324" s="1" t="s">
        <v>1611</v>
      </c>
      <c r="D324" s="1" t="s">
        <v>224</v>
      </c>
      <c r="E324" s="1" t="s">
        <v>316</v>
      </c>
      <c r="F324" s="1" t="s">
        <v>6717</v>
      </c>
      <c r="G324" s="1" t="str">
        <f>IFERROR(VLOOKUP(A324,H_C!$A$2:$G$2628,7,0),"Validar HC")</f>
        <v>Osorio, Julian</v>
      </c>
      <c r="H324" s="164">
        <v>1623501.0</v>
      </c>
      <c r="I324" s="1">
        <v>42.0</v>
      </c>
    </row>
    <row r="325" ht="15.75" customHeight="1">
      <c r="A325" s="1">
        <v>4603469.0</v>
      </c>
      <c r="B325" s="1" t="s">
        <v>1612</v>
      </c>
      <c r="C325" s="1" t="s">
        <v>1613</v>
      </c>
      <c r="D325" s="1" t="s">
        <v>224</v>
      </c>
      <c r="E325" s="1" t="s">
        <v>246</v>
      </c>
      <c r="F325" s="1" t="s">
        <v>6717</v>
      </c>
      <c r="G325" s="1" t="str">
        <f>IFERROR(VLOOKUP(A325,H_C!$A$2:$G$2628,7,0),"Validar HC")</f>
        <v>Garcia, Helmer</v>
      </c>
      <c r="H325" s="164">
        <v>1623501.0</v>
      </c>
      <c r="I325" s="1">
        <v>42.0</v>
      </c>
    </row>
    <row r="326" ht="15.75" customHeight="1">
      <c r="A326" s="1">
        <v>4607099.0</v>
      </c>
      <c r="B326" s="1" t="s">
        <v>1616</v>
      </c>
      <c r="C326" s="1" t="s">
        <v>1617</v>
      </c>
      <c r="D326" s="1" t="s">
        <v>224</v>
      </c>
      <c r="E326" s="1" t="s">
        <v>374</v>
      </c>
      <c r="F326" s="1" t="s">
        <v>6717</v>
      </c>
      <c r="G326" s="1" t="str">
        <f>IFERROR(VLOOKUP(A326,H_C!$A$2:$G$2628,7,0),"Validar HC")</f>
        <v>Martinez, Wendy</v>
      </c>
      <c r="H326" s="164">
        <v>1623501.0</v>
      </c>
      <c r="I326" s="1">
        <v>42.0</v>
      </c>
    </row>
    <row r="327" ht="15.75" customHeight="1">
      <c r="A327" s="1">
        <v>4610924.0</v>
      </c>
      <c r="B327" s="1" t="s">
        <v>1618</v>
      </c>
      <c r="C327" s="1" t="s">
        <v>1619</v>
      </c>
      <c r="D327" s="1" t="s">
        <v>224</v>
      </c>
      <c r="E327" s="1" t="s">
        <v>835</v>
      </c>
      <c r="F327" s="1" t="s">
        <v>6717</v>
      </c>
      <c r="G327" s="1" t="str">
        <f>IFERROR(VLOOKUP(A327,H_C!$A$2:$G$2628,7,0),"Validar HC")</f>
        <v>Martinez, Wendy</v>
      </c>
      <c r="H327" s="164">
        <v>1623501.0</v>
      </c>
      <c r="I327" s="1">
        <v>42.0</v>
      </c>
    </row>
    <row r="328" ht="15.75" customHeight="1">
      <c r="A328" s="1">
        <v>4611835.0</v>
      </c>
      <c r="B328" s="1" t="s">
        <v>1620</v>
      </c>
      <c r="C328" s="1" t="s">
        <v>1621</v>
      </c>
      <c r="D328" s="1" t="s">
        <v>224</v>
      </c>
      <c r="E328" s="1" t="s">
        <v>478</v>
      </c>
      <c r="F328" s="1" t="s">
        <v>6717</v>
      </c>
      <c r="G328" s="1" t="str">
        <f>IFERROR(VLOOKUP(A328,H_C!$A$2:$G$2628,7,0),"Validar HC")</f>
        <v>Celi, Juan</v>
      </c>
      <c r="H328" s="164">
        <v>1623501.0</v>
      </c>
      <c r="I328" s="1">
        <v>42.0</v>
      </c>
    </row>
    <row r="329" ht="15.75" customHeight="1">
      <c r="A329" s="1">
        <v>4616138.0</v>
      </c>
      <c r="B329" s="1" t="s">
        <v>1622</v>
      </c>
      <c r="C329" s="1" t="s">
        <v>1623</v>
      </c>
      <c r="D329" s="1" t="s">
        <v>224</v>
      </c>
      <c r="E329" s="1" t="s">
        <v>738</v>
      </c>
      <c r="F329" s="1" t="s">
        <v>6717</v>
      </c>
      <c r="G329" s="1" t="str">
        <f>IFERROR(VLOOKUP(A329,H_C!$A$2:$G$2628,7,0),"Validar HC")</f>
        <v>Garcia, Helmer</v>
      </c>
      <c r="H329" s="164">
        <v>1623501.0</v>
      </c>
      <c r="I329" s="1">
        <v>42.0</v>
      </c>
    </row>
    <row r="330" ht="15.75" customHeight="1">
      <c r="A330" s="1">
        <v>4616256.0</v>
      </c>
      <c r="B330" s="1" t="s">
        <v>1626</v>
      </c>
      <c r="C330" s="1" t="s">
        <v>1627</v>
      </c>
      <c r="D330" s="1" t="s">
        <v>224</v>
      </c>
      <c r="E330" s="1" t="s">
        <v>835</v>
      </c>
      <c r="F330" s="1" t="s">
        <v>6717</v>
      </c>
      <c r="G330" s="1" t="str">
        <f>IFERROR(VLOOKUP(A330,H_C!$A$2:$G$2628,7,0),"Validar HC")</f>
        <v>Martinez, Wendy</v>
      </c>
      <c r="H330" s="164">
        <v>1623501.0</v>
      </c>
      <c r="I330" s="1">
        <v>42.0</v>
      </c>
    </row>
    <row r="331" ht="15.75" customHeight="1">
      <c r="A331" s="1">
        <v>4616259.0</v>
      </c>
      <c r="B331" s="1" t="s">
        <v>1630</v>
      </c>
      <c r="C331" s="1" t="s">
        <v>1631</v>
      </c>
      <c r="D331" s="1" t="s">
        <v>224</v>
      </c>
      <c r="E331" s="1" t="s">
        <v>316</v>
      </c>
      <c r="F331" s="1" t="s">
        <v>6717</v>
      </c>
      <c r="G331" s="1" t="str">
        <f>IFERROR(VLOOKUP(A331,H_C!$A$2:$G$2628,7,0),"Validar HC")</f>
        <v>Osorio, Julian</v>
      </c>
      <c r="H331" s="164">
        <v>1623501.0</v>
      </c>
      <c r="I331" s="1">
        <v>42.0</v>
      </c>
    </row>
    <row r="332" ht="15.75" customHeight="1">
      <c r="A332" s="1">
        <v>4616615.0</v>
      </c>
      <c r="B332" s="1" t="s">
        <v>1634</v>
      </c>
      <c r="C332" s="1" t="s">
        <v>1635</v>
      </c>
      <c r="D332" s="1" t="s">
        <v>224</v>
      </c>
      <c r="E332" s="1" t="s">
        <v>537</v>
      </c>
      <c r="F332" s="1" t="s">
        <v>6717</v>
      </c>
      <c r="G332" s="1" t="str">
        <f>IFERROR(VLOOKUP(A332,H_C!$A$2:$G$2628,7,0),"Validar HC")</f>
        <v>Ayala, Giselle</v>
      </c>
      <c r="H332" s="164">
        <v>1623501.0</v>
      </c>
      <c r="I332" s="1">
        <v>42.0</v>
      </c>
    </row>
    <row r="333" ht="15.75" customHeight="1">
      <c r="A333" s="1">
        <v>4617906.0</v>
      </c>
      <c r="B333" s="1" t="s">
        <v>1638</v>
      </c>
      <c r="C333" s="1" t="s">
        <v>1639</v>
      </c>
      <c r="D333" s="1" t="s">
        <v>224</v>
      </c>
      <c r="E333" s="1" t="s">
        <v>485</v>
      </c>
      <c r="F333" s="1" t="s">
        <v>6717</v>
      </c>
      <c r="G333" s="1" t="str">
        <f>IFERROR(VLOOKUP(A333,H_C!$A$2:$G$2628,7,0),"Validar HC")</f>
        <v>Martinez, Wendy</v>
      </c>
      <c r="H333" s="164">
        <v>1623501.0</v>
      </c>
      <c r="I333" s="1">
        <v>42.0</v>
      </c>
    </row>
    <row r="334" ht="15.75" customHeight="1">
      <c r="A334" s="1">
        <v>4617908.0</v>
      </c>
      <c r="B334" s="1" t="s">
        <v>1642</v>
      </c>
      <c r="C334" s="1" t="s">
        <v>1643</v>
      </c>
      <c r="D334" s="1" t="s">
        <v>224</v>
      </c>
      <c r="E334" s="1" t="s">
        <v>526</v>
      </c>
      <c r="F334" s="1" t="s">
        <v>6717</v>
      </c>
      <c r="G334" s="1" t="str">
        <f>IFERROR(VLOOKUP(A334,H_C!$A$2:$G$2628,7,0),"Validar HC")</f>
        <v>Martinez, Wendy</v>
      </c>
      <c r="H334" s="164">
        <v>1623501.0</v>
      </c>
      <c r="I334" s="1">
        <v>42.0</v>
      </c>
    </row>
    <row r="335" ht="15.75" customHeight="1">
      <c r="A335" s="1">
        <v>4625294.0</v>
      </c>
      <c r="B335" s="1" t="s">
        <v>1646</v>
      </c>
      <c r="C335" s="1" t="s">
        <v>1647</v>
      </c>
      <c r="D335" s="1" t="s">
        <v>224</v>
      </c>
      <c r="E335" s="1" t="s">
        <v>567</v>
      </c>
      <c r="F335" s="1" t="s">
        <v>6717</v>
      </c>
      <c r="G335" s="1" t="str">
        <f>IFERROR(VLOOKUP(A335,H_C!$A$2:$G$2628,7,0),"Validar HC")</f>
        <v>Martinez, Wendy</v>
      </c>
      <c r="H335" s="164">
        <v>1623501.0</v>
      </c>
      <c r="I335" s="1">
        <v>42.0</v>
      </c>
    </row>
    <row r="336" ht="15.75" customHeight="1">
      <c r="A336" s="1">
        <v>4628119.0</v>
      </c>
      <c r="B336" s="1" t="s">
        <v>1632</v>
      </c>
      <c r="C336" s="1" t="s">
        <v>1633</v>
      </c>
      <c r="D336" s="1" t="s">
        <v>224</v>
      </c>
      <c r="E336" s="1" t="s">
        <v>297</v>
      </c>
      <c r="F336" s="1" t="s">
        <v>6717</v>
      </c>
      <c r="G336" s="1" t="str">
        <f>IFERROR(VLOOKUP(A336,H_C!$A$2:$G$2628,7,0),"Validar HC")</f>
        <v>Garatejo, Natalia</v>
      </c>
      <c r="H336" s="164">
        <v>1623501.0</v>
      </c>
      <c r="I336" s="1">
        <v>42.0</v>
      </c>
    </row>
    <row r="337" ht="15.75" customHeight="1">
      <c r="A337" s="1">
        <v>4630822.0</v>
      </c>
      <c r="B337" s="1" t="s">
        <v>1652</v>
      </c>
      <c r="C337" s="1" t="s">
        <v>1653</v>
      </c>
      <c r="D337" s="1" t="s">
        <v>224</v>
      </c>
      <c r="E337" s="1" t="s">
        <v>847</v>
      </c>
      <c r="F337" s="1" t="s">
        <v>6717</v>
      </c>
      <c r="G337" s="1" t="str">
        <f>IFERROR(VLOOKUP(A337,H_C!$A$2:$G$2628,7,0),"Validar HC")</f>
        <v>Garatejo, Natalia</v>
      </c>
      <c r="H337" s="164">
        <v>1623501.0</v>
      </c>
      <c r="I337" s="1">
        <v>42.0</v>
      </c>
    </row>
    <row r="338" ht="15.75" customHeight="1">
      <c r="A338" s="1">
        <v>4631861.0</v>
      </c>
      <c r="B338" s="1" t="s">
        <v>1654</v>
      </c>
      <c r="C338" s="1" t="s">
        <v>1655</v>
      </c>
      <c r="D338" s="1" t="s">
        <v>224</v>
      </c>
      <c r="E338" s="1" t="s">
        <v>222</v>
      </c>
      <c r="F338" s="1" t="s">
        <v>6717</v>
      </c>
      <c r="G338" s="1" t="str">
        <f>IFERROR(VLOOKUP(A338,H_C!$A$2:$G$2628,7,0),"Validar HC")</f>
        <v>Soler, Maria</v>
      </c>
      <c r="H338" s="164">
        <v>1623501.0</v>
      </c>
      <c r="I338" s="1">
        <v>42.0</v>
      </c>
    </row>
    <row r="339" ht="15.75" customHeight="1">
      <c r="A339" s="1">
        <v>4632037.0</v>
      </c>
      <c r="B339" s="1" t="s">
        <v>1656</v>
      </c>
      <c r="C339" s="1" t="s">
        <v>1657</v>
      </c>
      <c r="D339" s="1" t="s">
        <v>224</v>
      </c>
      <c r="E339" s="1" t="s">
        <v>847</v>
      </c>
      <c r="F339" s="1" t="s">
        <v>6717</v>
      </c>
      <c r="G339" s="1" t="str">
        <f>IFERROR(VLOOKUP(A339,H_C!$A$2:$G$2628,7,0),"Validar HC")</f>
        <v>Garatejo, Natalia</v>
      </c>
      <c r="H339" s="164">
        <v>1623501.0</v>
      </c>
      <c r="I339" s="1">
        <v>42.0</v>
      </c>
    </row>
    <row r="340" ht="15.75" customHeight="1">
      <c r="A340" s="1">
        <v>4646364.0</v>
      </c>
      <c r="B340" s="1" t="s">
        <v>1660</v>
      </c>
      <c r="C340" s="1" t="s">
        <v>1661</v>
      </c>
      <c r="D340" s="1" t="s">
        <v>224</v>
      </c>
      <c r="E340" s="1" t="s">
        <v>907</v>
      </c>
      <c r="F340" s="1" t="s">
        <v>6717</v>
      </c>
      <c r="G340" s="1" t="str">
        <f>IFERROR(VLOOKUP(A340,H_C!$A$2:$G$2628,7,0),"Validar HC")</f>
        <v>Gonzalez, Cristian</v>
      </c>
      <c r="H340" s="164">
        <v>1623501.0</v>
      </c>
      <c r="I340" s="1">
        <v>42.0</v>
      </c>
    </row>
    <row r="341" ht="15.75" customHeight="1">
      <c r="A341" s="1">
        <v>4647256.0</v>
      </c>
      <c r="B341" s="1" t="s">
        <v>1662</v>
      </c>
      <c r="C341" s="1" t="s">
        <v>1663</v>
      </c>
      <c r="D341" s="1" t="s">
        <v>224</v>
      </c>
      <c r="E341" s="1" t="s">
        <v>478</v>
      </c>
      <c r="F341" s="1" t="s">
        <v>6717</v>
      </c>
      <c r="G341" s="1" t="str">
        <f>IFERROR(VLOOKUP(A341,H_C!$A$2:$G$2628,7,0),"Validar HC")</f>
        <v>Celi, Juan</v>
      </c>
      <c r="H341" s="164">
        <v>1623501.0</v>
      </c>
      <c r="I341" s="1">
        <v>42.0</v>
      </c>
    </row>
    <row r="342" ht="15.75" customHeight="1">
      <c r="A342" s="1">
        <v>4647279.0</v>
      </c>
      <c r="B342" s="1" t="s">
        <v>1666</v>
      </c>
      <c r="C342" s="1" t="s">
        <v>1667</v>
      </c>
      <c r="D342" s="1" t="s">
        <v>224</v>
      </c>
      <c r="E342" s="1" t="s">
        <v>522</v>
      </c>
      <c r="F342" s="1" t="s">
        <v>6717</v>
      </c>
      <c r="G342" s="1" t="str">
        <f>IFERROR(VLOOKUP(A342,H_C!$A$2:$G$2628,7,0),"Validar HC")</f>
        <v>Martinez, Wendy</v>
      </c>
      <c r="H342" s="164">
        <v>1623501.0</v>
      </c>
      <c r="I342" s="1">
        <v>42.0</v>
      </c>
    </row>
    <row r="343" ht="15.75" customHeight="1">
      <c r="A343" s="1">
        <v>4647281.0</v>
      </c>
      <c r="B343" s="1" t="s">
        <v>6735</v>
      </c>
      <c r="C343" s="1" t="s">
        <v>6736</v>
      </c>
      <c r="D343" s="1" t="s">
        <v>224</v>
      </c>
      <c r="E343" s="1" t="s">
        <v>478</v>
      </c>
      <c r="F343" s="1" t="s">
        <v>6717</v>
      </c>
      <c r="G343" s="1" t="str">
        <f>IFERROR(VLOOKUP(A343,H_C!$A$2:$G$2628,7,0),"Validar HC")</f>
        <v>Validar HC</v>
      </c>
      <c r="H343" s="164">
        <v>1623501.0</v>
      </c>
      <c r="I343" s="1">
        <v>42.0</v>
      </c>
    </row>
    <row r="344" ht="15.75" customHeight="1">
      <c r="A344" s="1">
        <v>4647291.0</v>
      </c>
      <c r="B344" s="1" t="s">
        <v>1670</v>
      </c>
      <c r="C344" s="1" t="s">
        <v>1671</v>
      </c>
      <c r="D344" s="1" t="s">
        <v>224</v>
      </c>
      <c r="E344" s="1" t="s">
        <v>695</v>
      </c>
      <c r="F344" s="1" t="s">
        <v>6717</v>
      </c>
      <c r="G344" s="1" t="str">
        <f>IFERROR(VLOOKUP(A344,H_C!$A$2:$G$2628,7,0),"Validar HC")</f>
        <v>Ayala, Giselle</v>
      </c>
      <c r="H344" s="164">
        <v>1623501.0</v>
      </c>
      <c r="I344" s="1">
        <v>42.0</v>
      </c>
    </row>
    <row r="345" ht="15.75" customHeight="1">
      <c r="A345" s="1">
        <v>4647296.0</v>
      </c>
      <c r="B345" s="1" t="s">
        <v>1672</v>
      </c>
      <c r="C345" s="1" t="s">
        <v>1673</v>
      </c>
      <c r="D345" s="1" t="s">
        <v>224</v>
      </c>
      <c r="E345" s="1" t="s">
        <v>316</v>
      </c>
      <c r="F345" s="1" t="s">
        <v>6717</v>
      </c>
      <c r="G345" s="1" t="str">
        <f>IFERROR(VLOOKUP(A345,H_C!$A$2:$G$2628,7,0),"Validar HC")</f>
        <v>Osorio, Julian</v>
      </c>
      <c r="H345" s="164">
        <v>1623501.0</v>
      </c>
      <c r="I345" s="1">
        <v>42.0</v>
      </c>
    </row>
    <row r="346" ht="15.75" customHeight="1">
      <c r="A346" s="1">
        <v>4647391.0</v>
      </c>
      <c r="B346" s="1" t="s">
        <v>1679</v>
      </c>
      <c r="C346" s="1" t="s">
        <v>1680</v>
      </c>
      <c r="D346" s="1" t="s">
        <v>224</v>
      </c>
      <c r="E346" s="1" t="s">
        <v>485</v>
      </c>
      <c r="F346" s="1" t="s">
        <v>6717</v>
      </c>
      <c r="G346" s="1" t="str">
        <f>IFERROR(VLOOKUP(A346,H_C!$A$2:$G$2628,7,0),"Validar HC")</f>
        <v>Martinez, Wendy</v>
      </c>
      <c r="H346" s="164">
        <v>1623501.0</v>
      </c>
      <c r="I346" s="1">
        <v>42.0</v>
      </c>
    </row>
    <row r="347" ht="15.75" customHeight="1">
      <c r="A347" s="1">
        <v>4647519.0</v>
      </c>
      <c r="B347" s="1" t="s">
        <v>1683</v>
      </c>
      <c r="C347" s="1" t="s">
        <v>1684</v>
      </c>
      <c r="D347" s="1" t="s">
        <v>224</v>
      </c>
      <c r="E347" s="1" t="s">
        <v>1186</v>
      </c>
      <c r="F347" s="1" t="s">
        <v>6717</v>
      </c>
      <c r="G347" s="1" t="str">
        <f>IFERROR(VLOOKUP(A347,H_C!$A$2:$G$2628,7,0),"Validar HC")</f>
        <v>Soler, Maria</v>
      </c>
      <c r="H347" s="164">
        <v>1623501.0</v>
      </c>
      <c r="I347" s="1">
        <v>42.0</v>
      </c>
    </row>
    <row r="348" ht="15.75" customHeight="1">
      <c r="A348" s="1">
        <v>4647654.0</v>
      </c>
      <c r="B348" s="1" t="s">
        <v>1687</v>
      </c>
      <c r="C348" s="1" t="s">
        <v>1688</v>
      </c>
      <c r="D348" s="1" t="s">
        <v>224</v>
      </c>
      <c r="E348" s="1" t="s">
        <v>813</v>
      </c>
      <c r="F348" s="1" t="s">
        <v>6717</v>
      </c>
      <c r="G348" s="1" t="str">
        <f>IFERROR(VLOOKUP(A348,H_C!$A$2:$G$2628,7,0),"Validar HC")</f>
        <v>Garatejo, Natalia</v>
      </c>
      <c r="H348" s="164">
        <v>1623501.0</v>
      </c>
      <c r="I348" s="1">
        <v>42.0</v>
      </c>
    </row>
    <row r="349" ht="15.75" customHeight="1">
      <c r="A349" s="1">
        <v>4647681.0</v>
      </c>
      <c r="B349" s="1" t="s">
        <v>6737</v>
      </c>
      <c r="C349" s="1" t="s">
        <v>6738</v>
      </c>
      <c r="D349" s="1" t="s">
        <v>224</v>
      </c>
      <c r="E349" s="1" t="s">
        <v>526</v>
      </c>
      <c r="F349" s="1" t="s">
        <v>6717</v>
      </c>
      <c r="G349" s="1" t="str">
        <f>IFERROR(VLOOKUP(A349,H_C!$A$2:$G$2628,7,0),"Validar HC")</f>
        <v>Validar HC</v>
      </c>
      <c r="H349" s="164">
        <v>1623501.0</v>
      </c>
      <c r="I349" s="1">
        <v>42.0</v>
      </c>
    </row>
    <row r="350" ht="15.75" customHeight="1">
      <c r="A350" s="1">
        <v>4648479.0</v>
      </c>
      <c r="B350" s="1" t="s">
        <v>1691</v>
      </c>
      <c r="C350" s="1" t="s">
        <v>1692</v>
      </c>
      <c r="D350" s="1" t="s">
        <v>224</v>
      </c>
      <c r="E350" s="1" t="s">
        <v>316</v>
      </c>
      <c r="F350" s="1" t="s">
        <v>6717</v>
      </c>
      <c r="G350" s="1" t="str">
        <f>IFERROR(VLOOKUP(A350,H_C!$A$2:$G$2628,7,0),"Validar HC")</f>
        <v>Osorio, Julian</v>
      </c>
      <c r="H350" s="164">
        <v>1623501.0</v>
      </c>
      <c r="I350" s="1">
        <v>42.0</v>
      </c>
    </row>
    <row r="351" ht="15.75" customHeight="1">
      <c r="A351" s="1">
        <v>4648498.0</v>
      </c>
      <c r="B351" s="1" t="s">
        <v>1696</v>
      </c>
      <c r="C351" s="1" t="s">
        <v>1698</v>
      </c>
      <c r="D351" s="1" t="s">
        <v>224</v>
      </c>
      <c r="E351" s="1" t="s">
        <v>1695</v>
      </c>
      <c r="F351" s="1" t="s">
        <v>6717</v>
      </c>
      <c r="G351" s="1" t="str">
        <f>IFERROR(VLOOKUP(A351,H_C!$A$2:$G$2628,7,0),"Validar HC")</f>
        <v>Ayala, Giselle</v>
      </c>
      <c r="H351" s="164">
        <v>1623501.0</v>
      </c>
      <c r="I351" s="1">
        <v>42.0</v>
      </c>
    </row>
    <row r="352" ht="15.75" customHeight="1">
      <c r="A352" s="1">
        <v>4648749.0</v>
      </c>
      <c r="B352" s="1" t="s">
        <v>1701</v>
      </c>
      <c r="C352" s="1" t="s">
        <v>1702</v>
      </c>
      <c r="D352" s="1" t="s">
        <v>224</v>
      </c>
      <c r="E352" s="1" t="s">
        <v>412</v>
      </c>
      <c r="F352" s="1" t="s">
        <v>6717</v>
      </c>
      <c r="G352" s="1" t="str">
        <f>IFERROR(VLOOKUP(A352,H_C!$A$2:$G$2628,7,0),"Validar HC")</f>
        <v>Ospina, Michel</v>
      </c>
      <c r="H352" s="164">
        <v>1623501.0</v>
      </c>
      <c r="I352" s="1">
        <v>42.0</v>
      </c>
    </row>
    <row r="353" ht="15.75" customHeight="1">
      <c r="A353" s="1">
        <v>4654319.0</v>
      </c>
      <c r="B353" s="1" t="s">
        <v>1705</v>
      </c>
      <c r="C353" s="1" t="s">
        <v>1706</v>
      </c>
      <c r="D353" s="1" t="s">
        <v>224</v>
      </c>
      <c r="E353" s="1" t="s">
        <v>986</v>
      </c>
      <c r="F353" s="1" t="s">
        <v>6717</v>
      </c>
      <c r="G353" s="1" t="str">
        <f>IFERROR(VLOOKUP(A353,H_C!$A$2:$G$2628,7,0),"Validar HC")</f>
        <v>Garatejo, Natalia</v>
      </c>
      <c r="H353" s="164">
        <v>1623501.0</v>
      </c>
      <c r="I353" s="1">
        <v>42.0</v>
      </c>
    </row>
    <row r="354" ht="15.75" customHeight="1">
      <c r="A354" s="1">
        <v>4655740.0</v>
      </c>
      <c r="B354" s="1" t="s">
        <v>1709</v>
      </c>
      <c r="C354" s="1" t="s">
        <v>1710</v>
      </c>
      <c r="D354" s="1" t="s">
        <v>224</v>
      </c>
      <c r="E354" s="1" t="s">
        <v>1695</v>
      </c>
      <c r="F354" s="1" t="s">
        <v>6717</v>
      </c>
      <c r="G354" s="1" t="str">
        <f>IFERROR(VLOOKUP(A354,H_C!$A$2:$G$2628,7,0),"Validar HC")</f>
        <v>Ayala, Giselle</v>
      </c>
      <c r="H354" s="164">
        <v>1623501.0</v>
      </c>
      <c r="I354" s="1">
        <v>42.0</v>
      </c>
    </row>
    <row r="355" ht="15.75" customHeight="1">
      <c r="A355" s="1">
        <v>4656008.0</v>
      </c>
      <c r="B355" s="1" t="s">
        <v>1713</v>
      </c>
      <c r="C355" s="1" t="s">
        <v>1715</v>
      </c>
      <c r="D355" s="1" t="s">
        <v>224</v>
      </c>
      <c r="E355" s="1" t="s">
        <v>695</v>
      </c>
      <c r="F355" s="1" t="s">
        <v>6717</v>
      </c>
      <c r="G355" s="1" t="str">
        <f>IFERROR(VLOOKUP(A355,H_C!$A$2:$G$2628,7,0),"Validar HC")</f>
        <v>Ayala, Giselle</v>
      </c>
      <c r="H355" s="164">
        <v>1623501.0</v>
      </c>
      <c r="I355" s="1">
        <v>42.0</v>
      </c>
    </row>
    <row r="356" ht="15.75" customHeight="1">
      <c r="A356" s="1">
        <v>4656055.0</v>
      </c>
      <c r="B356" s="1" t="s">
        <v>1718</v>
      </c>
      <c r="C356" s="1" t="s">
        <v>1719</v>
      </c>
      <c r="D356" s="1" t="s">
        <v>224</v>
      </c>
      <c r="E356" s="1" t="s">
        <v>555</v>
      </c>
      <c r="F356" s="1" t="s">
        <v>6717</v>
      </c>
      <c r="G356" s="1" t="str">
        <f>IFERROR(VLOOKUP(A356,H_C!$A$2:$G$2628,7,0),"Validar HC")</f>
        <v>Ayala, Giselle</v>
      </c>
      <c r="H356" s="164">
        <v>1623501.0</v>
      </c>
      <c r="I356" s="1">
        <v>42.0</v>
      </c>
    </row>
    <row r="357" ht="15.75" customHeight="1">
      <c r="A357" s="1">
        <v>4657167.0</v>
      </c>
      <c r="B357" s="1" t="s">
        <v>1722</v>
      </c>
      <c r="C357" s="1" t="s">
        <v>1723</v>
      </c>
      <c r="D357" s="1" t="s">
        <v>224</v>
      </c>
      <c r="E357" s="1" t="s">
        <v>1348</v>
      </c>
      <c r="F357" s="1" t="s">
        <v>6717</v>
      </c>
      <c r="G357" s="1" t="str">
        <f>IFERROR(VLOOKUP(A357,H_C!$A$2:$G$2628,7,0),"Validar HC")</f>
        <v>Celi, Juan</v>
      </c>
      <c r="H357" s="164">
        <v>1623501.0</v>
      </c>
      <c r="I357" s="1">
        <v>42.0</v>
      </c>
    </row>
    <row r="358" ht="15.75" customHeight="1">
      <c r="A358" s="1">
        <v>4657414.0</v>
      </c>
      <c r="B358" s="1" t="s">
        <v>1726</v>
      </c>
      <c r="C358" s="1" t="s">
        <v>1727</v>
      </c>
      <c r="D358" s="1" t="s">
        <v>224</v>
      </c>
      <c r="E358" s="1" t="s">
        <v>555</v>
      </c>
      <c r="F358" s="1" t="s">
        <v>6717</v>
      </c>
      <c r="G358" s="1" t="str">
        <f>IFERROR(VLOOKUP(A358,H_C!$A$2:$G$2628,7,0),"Validar HC")</f>
        <v>Ayala, Giselle</v>
      </c>
      <c r="H358" s="164">
        <v>1623501.0</v>
      </c>
      <c r="I358" s="1">
        <v>42.0</v>
      </c>
    </row>
    <row r="359" ht="15.75" customHeight="1">
      <c r="A359" s="1">
        <v>4659783.0</v>
      </c>
      <c r="B359" s="1" t="s">
        <v>1730</v>
      </c>
      <c r="C359" s="1" t="s">
        <v>1731</v>
      </c>
      <c r="D359" s="1" t="s">
        <v>224</v>
      </c>
      <c r="E359" s="1" t="s">
        <v>1060</v>
      </c>
      <c r="F359" s="1" t="s">
        <v>6717</v>
      </c>
      <c r="G359" s="1" t="str">
        <f>IFERROR(VLOOKUP(A359,H_C!$A$2:$G$2628,7,0),"Validar HC")</f>
        <v>Garcia, Helmer</v>
      </c>
      <c r="H359" s="164">
        <v>1623501.0</v>
      </c>
      <c r="I359" s="1">
        <v>42.0</v>
      </c>
    </row>
    <row r="360" ht="15.75" customHeight="1">
      <c r="A360" s="1">
        <v>4660750.0</v>
      </c>
      <c r="B360" s="1" t="s">
        <v>1320</v>
      </c>
      <c r="C360" s="1" t="s">
        <v>1321</v>
      </c>
      <c r="D360" s="1" t="s">
        <v>224</v>
      </c>
      <c r="E360" s="1" t="s">
        <v>1044</v>
      </c>
      <c r="F360" s="1" t="s">
        <v>6717</v>
      </c>
      <c r="G360" s="1" t="str">
        <f>IFERROR(VLOOKUP(A360,H_C!$A$2:$G$2628,7,0),"Validar HC")</f>
        <v>Gonzalez, Cristian</v>
      </c>
      <c r="H360" s="164">
        <v>1623501.0</v>
      </c>
      <c r="I360" s="1">
        <v>42.0</v>
      </c>
    </row>
    <row r="361" ht="15.75" customHeight="1">
      <c r="A361" s="1">
        <v>4665048.0</v>
      </c>
      <c r="B361" s="1" t="s">
        <v>1736</v>
      </c>
      <c r="C361" s="1" t="s">
        <v>1737</v>
      </c>
      <c r="D361" s="1" t="s">
        <v>224</v>
      </c>
      <c r="E361" s="1" t="s">
        <v>329</v>
      </c>
      <c r="F361" s="1" t="s">
        <v>6717</v>
      </c>
      <c r="G361" s="1" t="str">
        <f>IFERROR(VLOOKUP(A361,H_C!$A$2:$G$2628,7,0),"Validar HC")</f>
        <v>Garatejo, Natalia</v>
      </c>
      <c r="H361" s="164">
        <v>1623501.0</v>
      </c>
      <c r="I361" s="1">
        <v>42.0</v>
      </c>
    </row>
    <row r="362" ht="15.75" customHeight="1">
      <c r="A362" s="1">
        <v>4665286.0</v>
      </c>
      <c r="B362" s="1" t="s">
        <v>355</v>
      </c>
      <c r="C362" s="1" t="s">
        <v>356</v>
      </c>
      <c r="D362" s="1" t="s">
        <v>224</v>
      </c>
      <c r="E362" s="1" t="s">
        <v>329</v>
      </c>
      <c r="F362" s="1" t="s">
        <v>6717</v>
      </c>
      <c r="G362" s="1" t="str">
        <f>IFERROR(VLOOKUP(A362,H_C!$A$2:$G$2628,7,0),"Validar HC")</f>
        <v>Garatejo, Natalia</v>
      </c>
      <c r="H362" s="164">
        <v>1623501.0</v>
      </c>
      <c r="I362" s="1">
        <v>42.0</v>
      </c>
    </row>
    <row r="363" ht="15.75" customHeight="1">
      <c r="A363" s="1">
        <v>4677003.0</v>
      </c>
      <c r="B363" s="1" t="s">
        <v>1742</v>
      </c>
      <c r="C363" s="1" t="s">
        <v>1743</v>
      </c>
      <c r="D363" s="1" t="s">
        <v>224</v>
      </c>
      <c r="E363" s="1" t="s">
        <v>120</v>
      </c>
      <c r="F363" s="1" t="s">
        <v>6717</v>
      </c>
      <c r="G363" s="1" t="str">
        <f>IFERROR(VLOOKUP(A363,H_C!$A$2:$G$2628,7,0),"Validar HC")</f>
        <v>Ospina, Michel</v>
      </c>
      <c r="H363" s="164">
        <v>1623501.0</v>
      </c>
      <c r="I363" s="1">
        <v>42.0</v>
      </c>
    </row>
    <row r="364" ht="15.75" customHeight="1">
      <c r="A364" s="1">
        <v>4678776.0</v>
      </c>
      <c r="B364" s="1" t="s">
        <v>1747</v>
      </c>
      <c r="C364" s="1" t="s">
        <v>1748</v>
      </c>
      <c r="D364" s="1" t="s">
        <v>224</v>
      </c>
      <c r="E364" s="1" t="s">
        <v>1746</v>
      </c>
      <c r="F364" s="1" t="s">
        <v>6717</v>
      </c>
      <c r="G364" s="1" t="str">
        <f>IFERROR(VLOOKUP(A364,H_C!$A$2:$G$2628,7,0),"Validar HC")</f>
        <v>Ayala, Giselle</v>
      </c>
      <c r="H364" s="164">
        <v>1623501.0</v>
      </c>
      <c r="I364" s="1">
        <v>42.0</v>
      </c>
    </row>
    <row r="365" ht="15.75" customHeight="1">
      <c r="A365" s="1">
        <v>4678797.0</v>
      </c>
      <c r="B365" s="1" t="s">
        <v>1751</v>
      </c>
      <c r="C365" s="1" t="s">
        <v>1752</v>
      </c>
      <c r="D365" s="1" t="s">
        <v>224</v>
      </c>
      <c r="E365" s="1" t="s">
        <v>1177</v>
      </c>
      <c r="F365" s="1" t="s">
        <v>6717</v>
      </c>
      <c r="G365" s="1" t="str">
        <f>IFERROR(VLOOKUP(A365,H_C!$A$2:$G$2628,7,0),"Validar HC")</f>
        <v>Martinez, Wendy</v>
      </c>
      <c r="H365" s="164">
        <v>1623501.0</v>
      </c>
      <c r="I365" s="1">
        <v>42.0</v>
      </c>
    </row>
    <row r="366" ht="15.75" customHeight="1">
      <c r="A366" s="1">
        <v>4678834.0</v>
      </c>
      <c r="B366" s="1" t="s">
        <v>1753</v>
      </c>
      <c r="C366" s="1" t="s">
        <v>1754</v>
      </c>
      <c r="D366" s="1" t="s">
        <v>224</v>
      </c>
      <c r="E366" s="1" t="s">
        <v>323</v>
      </c>
      <c r="F366" s="1" t="s">
        <v>6717</v>
      </c>
      <c r="G366" s="1" t="str">
        <f>IFERROR(VLOOKUP(A366,H_C!$A$2:$G$2628,7,0),"Validar HC")</f>
        <v>Martinez, Wendy</v>
      </c>
      <c r="H366" s="164">
        <v>1623501.0</v>
      </c>
      <c r="I366" s="1">
        <v>42.0</v>
      </c>
    </row>
    <row r="367" ht="15.75" customHeight="1">
      <c r="A367" s="1">
        <v>4680287.0</v>
      </c>
      <c r="B367" s="1" t="s">
        <v>1755</v>
      </c>
      <c r="C367" s="1" t="s">
        <v>1756</v>
      </c>
      <c r="D367" s="1" t="s">
        <v>224</v>
      </c>
      <c r="E367" s="1" t="s">
        <v>10</v>
      </c>
      <c r="F367" s="1" t="s">
        <v>6717</v>
      </c>
      <c r="G367" s="1" t="str">
        <f>IFERROR(VLOOKUP(A367,H_C!$A$2:$G$2628,7,0),"Validar HC")</f>
        <v>Gonzalez, Cristian</v>
      </c>
      <c r="H367" s="164">
        <v>1623501.0</v>
      </c>
      <c r="I367" s="1">
        <v>42.0</v>
      </c>
    </row>
    <row r="368" ht="15.75" customHeight="1">
      <c r="A368" s="1">
        <v>4680288.0</v>
      </c>
      <c r="B368" s="1" t="s">
        <v>1274</v>
      </c>
      <c r="C368" s="1" t="s">
        <v>1275</v>
      </c>
      <c r="D368" s="1" t="s">
        <v>224</v>
      </c>
      <c r="E368" s="1" t="s">
        <v>276</v>
      </c>
      <c r="F368" s="1" t="s">
        <v>6717</v>
      </c>
      <c r="G368" s="1" t="str">
        <f>IFERROR(VLOOKUP(A368,H_C!$A$2:$G$2628,7,0),"Validar HC")</f>
        <v>Gonzalez, Cristian</v>
      </c>
      <c r="H368" s="164">
        <v>1623501.0</v>
      </c>
      <c r="I368" s="1">
        <v>42.0</v>
      </c>
    </row>
    <row r="369" ht="15.75" customHeight="1">
      <c r="A369" s="1">
        <v>4680342.0</v>
      </c>
      <c r="B369" s="1" t="s">
        <v>1759</v>
      </c>
      <c r="C369" s="1" t="s">
        <v>1761</v>
      </c>
      <c r="D369" s="1" t="s">
        <v>224</v>
      </c>
      <c r="E369" s="1" t="s">
        <v>530</v>
      </c>
      <c r="F369" s="1" t="s">
        <v>6717</v>
      </c>
      <c r="G369" s="1" t="str">
        <f>IFERROR(VLOOKUP(A369,H_C!$A$2:$G$2628,7,0),"Validar HC")</f>
        <v>Garcia, Helmer</v>
      </c>
      <c r="H369" s="164">
        <v>1623501.0</v>
      </c>
      <c r="I369" s="1">
        <v>42.0</v>
      </c>
    </row>
    <row r="370" ht="15.75" customHeight="1">
      <c r="A370" s="1">
        <v>4682428.0</v>
      </c>
      <c r="B370" s="1" t="s">
        <v>1764</v>
      </c>
      <c r="C370" s="1" t="s">
        <v>1765</v>
      </c>
      <c r="D370" s="1" t="s">
        <v>224</v>
      </c>
      <c r="E370" s="1" t="s">
        <v>316</v>
      </c>
      <c r="F370" s="1" t="s">
        <v>6717</v>
      </c>
      <c r="G370" s="1" t="str">
        <f>IFERROR(VLOOKUP(A370,H_C!$A$2:$G$2628,7,0),"Validar HC")</f>
        <v>Osorio, Julian</v>
      </c>
      <c r="H370" s="164">
        <v>1623501.0</v>
      </c>
      <c r="I370" s="1">
        <v>42.0</v>
      </c>
    </row>
    <row r="371" ht="15.75" customHeight="1">
      <c r="A371" s="1">
        <v>4683934.0</v>
      </c>
      <c r="B371" s="1" t="s">
        <v>1768</v>
      </c>
      <c r="C371" s="1" t="s">
        <v>1769</v>
      </c>
      <c r="D371" s="1" t="s">
        <v>224</v>
      </c>
      <c r="E371" s="1" t="s">
        <v>835</v>
      </c>
      <c r="F371" s="1" t="s">
        <v>6717</v>
      </c>
      <c r="G371" s="1" t="str">
        <f>IFERROR(VLOOKUP(A371,H_C!$A$2:$G$2628,7,0),"Validar HC")</f>
        <v>Martinez, Wendy</v>
      </c>
      <c r="H371" s="164">
        <v>1623501.0</v>
      </c>
      <c r="I371" s="1">
        <v>42.0</v>
      </c>
    </row>
    <row r="372" ht="15.75" customHeight="1">
      <c r="A372" s="1">
        <v>4684248.0</v>
      </c>
      <c r="B372" s="1" t="s">
        <v>1772</v>
      </c>
      <c r="C372" s="1" t="s">
        <v>1774</v>
      </c>
      <c r="D372" s="1" t="s">
        <v>224</v>
      </c>
      <c r="E372" s="1" t="s">
        <v>316</v>
      </c>
      <c r="F372" s="1" t="s">
        <v>6717</v>
      </c>
      <c r="G372" s="1" t="str">
        <f>IFERROR(VLOOKUP(A372,H_C!$A$2:$G$2628,7,0),"Validar HC")</f>
        <v>Osorio, Julian</v>
      </c>
      <c r="H372" s="164">
        <v>1623501.0</v>
      </c>
      <c r="I372" s="1">
        <v>42.0</v>
      </c>
    </row>
    <row r="373" ht="15.75" customHeight="1">
      <c r="A373" s="1">
        <v>4684312.0</v>
      </c>
      <c r="B373" s="1" t="s">
        <v>736</v>
      </c>
      <c r="C373" s="1" t="s">
        <v>737</v>
      </c>
      <c r="D373" s="1" t="s">
        <v>224</v>
      </c>
      <c r="E373" s="1" t="s">
        <v>289</v>
      </c>
      <c r="F373" s="1" t="s">
        <v>6717</v>
      </c>
      <c r="G373" s="1" t="str">
        <f>IFERROR(VLOOKUP(A373,H_C!$A$2:$G$2628,7,0),"Validar HC")</f>
        <v>Celi, Juan</v>
      </c>
      <c r="H373" s="164">
        <v>1623501.0</v>
      </c>
      <c r="I373" s="1">
        <v>42.0</v>
      </c>
    </row>
    <row r="374" ht="15.75" customHeight="1">
      <c r="A374" s="1">
        <v>4690165.0</v>
      </c>
      <c r="B374" s="1" t="s">
        <v>1779</v>
      </c>
      <c r="C374" s="1" t="s">
        <v>1780</v>
      </c>
      <c r="D374" s="1" t="s">
        <v>224</v>
      </c>
      <c r="E374" s="1" t="s">
        <v>1177</v>
      </c>
      <c r="F374" s="1" t="s">
        <v>6717</v>
      </c>
      <c r="G374" s="1" t="str">
        <f>IFERROR(VLOOKUP(A374,H_C!$A$2:$G$2628,7,0),"Validar HC")</f>
        <v>Martinez, Wendy</v>
      </c>
      <c r="H374" s="164">
        <v>1623501.0</v>
      </c>
      <c r="I374" s="1">
        <v>42.0</v>
      </c>
    </row>
    <row r="375" ht="15.75" customHeight="1">
      <c r="A375" s="1">
        <v>4690325.0</v>
      </c>
      <c r="B375" s="1" t="s">
        <v>1783</v>
      </c>
      <c r="C375" s="1" t="s">
        <v>1784</v>
      </c>
      <c r="D375" s="1" t="s">
        <v>224</v>
      </c>
      <c r="E375" s="1" t="s">
        <v>385</v>
      </c>
      <c r="F375" s="1" t="s">
        <v>6717</v>
      </c>
      <c r="G375" s="1" t="str">
        <f>IFERROR(VLOOKUP(A375,H_C!$A$2:$G$2628,7,0),"Validar HC")</f>
        <v>Garatejo, Natalia</v>
      </c>
      <c r="H375" s="164">
        <v>1623501.0</v>
      </c>
      <c r="I375" s="1">
        <v>42.0</v>
      </c>
    </row>
    <row r="376" ht="15.75" customHeight="1">
      <c r="A376" s="1">
        <v>4690620.0</v>
      </c>
      <c r="B376" s="1" t="s">
        <v>1787</v>
      </c>
      <c r="C376" s="1" t="s">
        <v>1788</v>
      </c>
      <c r="D376" s="1" t="s">
        <v>224</v>
      </c>
      <c r="E376" s="1" t="s">
        <v>1746</v>
      </c>
      <c r="F376" s="1" t="s">
        <v>6717</v>
      </c>
      <c r="G376" s="1" t="str">
        <f>IFERROR(VLOOKUP(A376,H_C!$A$2:$G$2628,7,0),"Validar HC")</f>
        <v>Ayala, Giselle</v>
      </c>
      <c r="H376" s="164">
        <v>1623501.0</v>
      </c>
      <c r="I376" s="1">
        <v>42.0</v>
      </c>
    </row>
    <row r="377" ht="15.75" customHeight="1">
      <c r="A377" s="1">
        <v>4691154.0</v>
      </c>
      <c r="B377" s="1" t="s">
        <v>1792</v>
      </c>
      <c r="C377" s="1" t="s">
        <v>1793</v>
      </c>
      <c r="D377" s="1" t="s">
        <v>224</v>
      </c>
      <c r="E377" s="1" t="s">
        <v>1791</v>
      </c>
      <c r="F377" s="1" t="s">
        <v>6717</v>
      </c>
      <c r="G377" s="1" t="str">
        <f>IFERROR(VLOOKUP(A377,H_C!$A$2:$G$2628,7,0),"Validar HC")</f>
        <v>Garcia, Helmer</v>
      </c>
      <c r="H377" s="164">
        <v>1623501.0</v>
      </c>
      <c r="I377" s="1">
        <v>42.0</v>
      </c>
    </row>
    <row r="378" ht="15.75" customHeight="1">
      <c r="A378" s="1">
        <v>4691958.0</v>
      </c>
      <c r="B378" s="1" t="s">
        <v>1796</v>
      </c>
      <c r="C378" s="1" t="s">
        <v>1797</v>
      </c>
      <c r="D378" s="1" t="s">
        <v>224</v>
      </c>
      <c r="E378" s="1" t="s">
        <v>567</v>
      </c>
      <c r="F378" s="1" t="s">
        <v>6717</v>
      </c>
      <c r="G378" s="1" t="str">
        <f>IFERROR(VLOOKUP(A378,H_C!$A$2:$G$2628,7,0),"Validar HC")</f>
        <v>Martinez, Wendy</v>
      </c>
      <c r="H378" s="164">
        <v>1623501.0</v>
      </c>
      <c r="I378" s="1">
        <v>42.0</v>
      </c>
    </row>
    <row r="379" ht="15.75" customHeight="1">
      <c r="A379" s="1">
        <v>4692981.0</v>
      </c>
      <c r="B379" s="1" t="s">
        <v>1800</v>
      </c>
      <c r="C379" s="1" t="s">
        <v>1801</v>
      </c>
      <c r="D379" s="1" t="s">
        <v>224</v>
      </c>
      <c r="E379" s="1" t="s">
        <v>695</v>
      </c>
      <c r="F379" s="1" t="s">
        <v>6717</v>
      </c>
      <c r="G379" s="1" t="str">
        <f>IFERROR(VLOOKUP(A379,H_C!$A$2:$G$2628,7,0),"Validar HC")</f>
        <v>Ayala, Giselle</v>
      </c>
      <c r="H379" s="164">
        <v>1623501.0</v>
      </c>
      <c r="I379" s="1">
        <v>42.0</v>
      </c>
    </row>
    <row r="380" ht="15.75" customHeight="1">
      <c r="A380" s="1">
        <v>4693268.0</v>
      </c>
      <c r="B380" s="1" t="s">
        <v>1804</v>
      </c>
      <c r="C380" s="1" t="s">
        <v>1805</v>
      </c>
      <c r="D380" s="1" t="s">
        <v>224</v>
      </c>
      <c r="E380" s="1" t="s">
        <v>316</v>
      </c>
      <c r="F380" s="1" t="s">
        <v>6717</v>
      </c>
      <c r="G380" s="1" t="str">
        <f>IFERROR(VLOOKUP(A380,H_C!$A$2:$G$2628,7,0),"Validar HC")</f>
        <v>Osorio, Julian</v>
      </c>
      <c r="H380" s="164">
        <v>1623501.0</v>
      </c>
      <c r="I380" s="1">
        <v>42.0</v>
      </c>
    </row>
    <row r="381" ht="15.75" customHeight="1">
      <c r="A381" s="1">
        <v>4699074.0</v>
      </c>
      <c r="B381" s="1" t="s">
        <v>1808</v>
      </c>
      <c r="C381" s="1" t="s">
        <v>1809</v>
      </c>
      <c r="D381" s="1" t="s">
        <v>224</v>
      </c>
      <c r="E381" s="1" t="s">
        <v>276</v>
      </c>
      <c r="F381" s="1" t="s">
        <v>6717</v>
      </c>
      <c r="G381" s="1" t="str">
        <f>IFERROR(VLOOKUP(A381,H_C!$A$2:$G$2628,7,0),"Validar HC")</f>
        <v>Gonzalez, Cristian</v>
      </c>
      <c r="H381" s="164">
        <v>1623501.0</v>
      </c>
      <c r="I381" s="1">
        <v>42.0</v>
      </c>
    </row>
    <row r="382" ht="15.75" customHeight="1">
      <c r="A382" s="1">
        <v>4705209.0</v>
      </c>
      <c r="B382" s="1" t="s">
        <v>1636</v>
      </c>
      <c r="C382" s="1" t="s">
        <v>1637</v>
      </c>
      <c r="D382" s="1" t="s">
        <v>224</v>
      </c>
      <c r="E382" s="1" t="s">
        <v>297</v>
      </c>
      <c r="F382" s="1" t="s">
        <v>6717</v>
      </c>
      <c r="G382" s="1" t="str">
        <f>IFERROR(VLOOKUP(A382,H_C!$A$2:$G$2628,7,0),"Validar HC")</f>
        <v>Garatejo, Natalia</v>
      </c>
      <c r="H382" s="164">
        <v>1623501.0</v>
      </c>
      <c r="I382" s="1">
        <v>42.0</v>
      </c>
    </row>
    <row r="383" ht="15.75" customHeight="1">
      <c r="A383" s="1">
        <v>4705238.0</v>
      </c>
      <c r="B383" s="1" t="s">
        <v>1596</v>
      </c>
      <c r="C383" s="1" t="s">
        <v>1597</v>
      </c>
      <c r="D383" s="1" t="s">
        <v>224</v>
      </c>
      <c r="E383" s="1" t="s">
        <v>478</v>
      </c>
      <c r="F383" s="1" t="s">
        <v>6717</v>
      </c>
      <c r="G383" s="1" t="str">
        <f>IFERROR(VLOOKUP(A383,H_C!$A$2:$G$2628,7,0),"Validar HC")</f>
        <v>Celi, Juan</v>
      </c>
      <c r="H383" s="164">
        <v>1623501.0</v>
      </c>
      <c r="I383" s="1">
        <v>42.0</v>
      </c>
    </row>
    <row r="384" ht="15.75" customHeight="1">
      <c r="A384" s="1">
        <v>4707071.0</v>
      </c>
      <c r="B384" s="1" t="s">
        <v>1816</v>
      </c>
      <c r="C384" s="1" t="s">
        <v>1817</v>
      </c>
      <c r="D384" s="1" t="s">
        <v>224</v>
      </c>
      <c r="E384" s="1" t="s">
        <v>800</v>
      </c>
      <c r="F384" s="1" t="s">
        <v>6717</v>
      </c>
      <c r="G384" s="1" t="str">
        <f>IFERROR(VLOOKUP(A384,H_C!$A$2:$G$2628,7,0),"Validar HC")</f>
        <v>Garatejo, Natalia</v>
      </c>
      <c r="H384" s="164">
        <v>1623501.0</v>
      </c>
      <c r="I384" s="1">
        <v>42.0</v>
      </c>
    </row>
    <row r="385" ht="15.75" customHeight="1">
      <c r="A385" s="1">
        <v>4709098.0</v>
      </c>
      <c r="B385" s="1" t="s">
        <v>1820</v>
      </c>
      <c r="C385" s="1" t="s">
        <v>1821</v>
      </c>
      <c r="D385" s="1" t="s">
        <v>224</v>
      </c>
      <c r="E385" s="1" t="s">
        <v>316</v>
      </c>
      <c r="F385" s="1" t="s">
        <v>6717</v>
      </c>
      <c r="G385" s="1" t="str">
        <f>IFERROR(VLOOKUP(A385,H_C!$A$2:$G$2628,7,0),"Validar HC")</f>
        <v>Osorio, Julian</v>
      </c>
      <c r="H385" s="164">
        <v>1623501.0</v>
      </c>
      <c r="I385" s="1">
        <v>42.0</v>
      </c>
    </row>
    <row r="386" ht="15.75" customHeight="1">
      <c r="A386" s="1">
        <v>4709109.0</v>
      </c>
      <c r="B386" s="1" t="s">
        <v>1824</v>
      </c>
      <c r="C386" s="1" t="s">
        <v>1825</v>
      </c>
      <c r="D386" s="1" t="s">
        <v>224</v>
      </c>
      <c r="E386" s="1" t="s">
        <v>316</v>
      </c>
      <c r="F386" s="1" t="s">
        <v>6717</v>
      </c>
      <c r="G386" s="1" t="str">
        <f>IFERROR(VLOOKUP(A386,H_C!$A$2:$G$2628,7,0),"Validar HC")</f>
        <v>Osorio, Julian</v>
      </c>
      <c r="H386" s="164">
        <v>1623501.0</v>
      </c>
      <c r="I386" s="1">
        <v>42.0</v>
      </c>
    </row>
    <row r="387" ht="15.75" customHeight="1">
      <c r="A387" s="1">
        <v>4711888.0</v>
      </c>
      <c r="B387" s="1" t="s">
        <v>1828</v>
      </c>
      <c r="C387" s="1" t="s">
        <v>1829</v>
      </c>
      <c r="D387" s="1" t="s">
        <v>224</v>
      </c>
      <c r="E387" s="1" t="s">
        <v>222</v>
      </c>
      <c r="F387" s="1" t="s">
        <v>6717</v>
      </c>
      <c r="G387" s="1" t="str">
        <f>IFERROR(VLOOKUP(A387,H_C!$A$2:$G$2628,7,0),"Validar HC")</f>
        <v>Soler, Maria</v>
      </c>
      <c r="H387" s="164">
        <v>1623501.0</v>
      </c>
      <c r="I387" s="1">
        <v>42.0</v>
      </c>
    </row>
    <row r="388" ht="15.75" customHeight="1">
      <c r="A388" s="1">
        <v>4712600.0</v>
      </c>
      <c r="B388" s="1" t="s">
        <v>1832</v>
      </c>
      <c r="C388" s="1" t="s">
        <v>1833</v>
      </c>
      <c r="D388" s="1" t="s">
        <v>224</v>
      </c>
      <c r="E388" s="1" t="s">
        <v>222</v>
      </c>
      <c r="F388" s="1" t="s">
        <v>6717</v>
      </c>
      <c r="G388" s="1" t="str">
        <f>IFERROR(VLOOKUP(A388,H_C!$A$2:$G$2628,7,0),"Validar HC")</f>
        <v>Soler, Maria</v>
      </c>
      <c r="H388" s="164">
        <v>1623501.0</v>
      </c>
      <c r="I388" s="1">
        <v>42.0</v>
      </c>
    </row>
    <row r="389" ht="15.75" customHeight="1">
      <c r="A389" s="1">
        <v>4714162.0</v>
      </c>
      <c r="B389" s="1" t="s">
        <v>1836</v>
      </c>
      <c r="C389" s="1" t="s">
        <v>1837</v>
      </c>
      <c r="D389" s="1" t="s">
        <v>224</v>
      </c>
      <c r="E389" s="1" t="s">
        <v>506</v>
      </c>
      <c r="F389" s="1" t="s">
        <v>6717</v>
      </c>
      <c r="G389" s="1" t="str">
        <f>IFERROR(VLOOKUP(A389,H_C!$A$2:$G$2628,7,0),"Validar HC")</f>
        <v>Ospina, Michel</v>
      </c>
      <c r="H389" s="164">
        <v>1623501.0</v>
      </c>
      <c r="I389" s="1">
        <v>42.0</v>
      </c>
    </row>
    <row r="390" ht="15.75" customHeight="1">
      <c r="A390" s="1">
        <v>4715856.0</v>
      </c>
      <c r="B390" s="1" t="s">
        <v>1840</v>
      </c>
      <c r="C390" s="1" t="s">
        <v>1841</v>
      </c>
      <c r="D390" s="1" t="s">
        <v>224</v>
      </c>
      <c r="E390" s="1" t="s">
        <v>1186</v>
      </c>
      <c r="F390" s="1" t="s">
        <v>6717</v>
      </c>
      <c r="G390" s="1" t="str">
        <f>IFERROR(VLOOKUP(A390,H_C!$A$2:$G$2628,7,0),"Validar HC")</f>
        <v>Soler, Maria</v>
      </c>
      <c r="H390" s="164">
        <v>1623501.0</v>
      </c>
      <c r="I390" s="1">
        <v>42.0</v>
      </c>
    </row>
    <row r="391" ht="15.75" customHeight="1">
      <c r="A391" s="1">
        <v>4716767.0</v>
      </c>
      <c r="B391" s="1" t="s">
        <v>1844</v>
      </c>
      <c r="C391" s="1" t="s">
        <v>1845</v>
      </c>
      <c r="D391" s="1" t="s">
        <v>224</v>
      </c>
      <c r="E391" s="1" t="s">
        <v>1602</v>
      </c>
      <c r="F391" s="1" t="s">
        <v>6717</v>
      </c>
      <c r="G391" s="1" t="str">
        <f>IFERROR(VLOOKUP(A391,H_C!$A$2:$G$2628,7,0),"Validar HC")</f>
        <v>Ayala, Giselle</v>
      </c>
      <c r="H391" s="164">
        <v>1623501.0</v>
      </c>
      <c r="I391" s="1">
        <v>42.0</v>
      </c>
    </row>
    <row r="392" ht="15.75" customHeight="1">
      <c r="A392" s="1">
        <v>4718663.0</v>
      </c>
      <c r="B392" s="1" t="s">
        <v>1848</v>
      </c>
      <c r="C392" s="1" t="s">
        <v>1849</v>
      </c>
      <c r="D392" s="1" t="s">
        <v>224</v>
      </c>
      <c r="E392" s="1" t="s">
        <v>316</v>
      </c>
      <c r="F392" s="1" t="s">
        <v>6717</v>
      </c>
      <c r="G392" s="1" t="str">
        <f>IFERROR(VLOOKUP(A392,H_C!$A$2:$G$2628,7,0),"Validar HC")</f>
        <v>Osorio, Julian</v>
      </c>
      <c r="H392" s="164">
        <v>1623501.0</v>
      </c>
      <c r="I392" s="1">
        <v>42.0</v>
      </c>
    </row>
    <row r="393" ht="15.75" customHeight="1">
      <c r="A393" s="1">
        <v>4718790.0</v>
      </c>
      <c r="B393" s="1" t="s">
        <v>1852</v>
      </c>
      <c r="C393" s="1" t="s">
        <v>1853</v>
      </c>
      <c r="D393" s="1" t="s">
        <v>224</v>
      </c>
      <c r="E393" s="1" t="s">
        <v>478</v>
      </c>
      <c r="F393" s="1" t="s">
        <v>6717</v>
      </c>
      <c r="G393" s="1" t="str">
        <f>IFERROR(VLOOKUP(A393,H_C!$A$2:$G$2628,7,0),"Validar HC")</f>
        <v>Celi, Juan</v>
      </c>
      <c r="H393" s="164">
        <v>1623501.0</v>
      </c>
      <c r="I393" s="1">
        <v>42.0</v>
      </c>
    </row>
    <row r="394" ht="15.75" customHeight="1">
      <c r="A394" s="1">
        <v>4720294.0</v>
      </c>
      <c r="B394" s="1" t="s">
        <v>1854</v>
      </c>
      <c r="C394" s="1" t="s">
        <v>1855</v>
      </c>
      <c r="D394" s="1" t="s">
        <v>224</v>
      </c>
      <c r="E394" s="1" t="s">
        <v>254</v>
      </c>
      <c r="F394" s="1" t="s">
        <v>6717</v>
      </c>
      <c r="G394" s="1" t="str">
        <f>IFERROR(VLOOKUP(A394,H_C!$A$2:$G$2628,7,0),"Validar HC")</f>
        <v>Gonzalez, Cristian</v>
      </c>
      <c r="H394" s="164">
        <v>1623501.0</v>
      </c>
      <c r="I394" s="1">
        <v>42.0</v>
      </c>
    </row>
    <row r="395" ht="15.75" customHeight="1">
      <c r="A395" s="1">
        <v>4720415.0</v>
      </c>
      <c r="B395" s="1" t="s">
        <v>1858</v>
      </c>
      <c r="C395" s="1" t="s">
        <v>1860</v>
      </c>
      <c r="D395" s="1" t="s">
        <v>224</v>
      </c>
      <c r="E395" s="1" t="s">
        <v>676</v>
      </c>
      <c r="F395" s="1" t="s">
        <v>6717</v>
      </c>
      <c r="G395" s="1" t="str">
        <f>IFERROR(VLOOKUP(A395,H_C!$A$2:$G$2628,7,0),"Validar HC")</f>
        <v>Garatejo, Natalia</v>
      </c>
      <c r="H395" s="164">
        <v>1623501.0</v>
      </c>
      <c r="I395" s="1">
        <v>42.0</v>
      </c>
    </row>
    <row r="396" ht="15.75" customHeight="1">
      <c r="A396" s="1">
        <v>4720713.0</v>
      </c>
      <c r="B396" s="1" t="s">
        <v>1861</v>
      </c>
      <c r="C396" s="1" t="s">
        <v>1862</v>
      </c>
      <c r="D396" s="1" t="s">
        <v>224</v>
      </c>
      <c r="E396" s="1" t="s">
        <v>676</v>
      </c>
      <c r="F396" s="1" t="s">
        <v>6717</v>
      </c>
      <c r="G396" s="1" t="str">
        <f>IFERROR(VLOOKUP(A396,H_C!$A$2:$G$2628,7,0),"Validar HC")</f>
        <v>Garatejo, Natalia</v>
      </c>
      <c r="H396" s="164">
        <v>1623501.0</v>
      </c>
      <c r="I396" s="1">
        <v>42.0</v>
      </c>
    </row>
    <row r="397" ht="15.75" customHeight="1">
      <c r="A397" s="1">
        <v>4721496.0</v>
      </c>
      <c r="B397" s="1" t="s">
        <v>364</v>
      </c>
      <c r="C397" s="1" t="s">
        <v>365</v>
      </c>
      <c r="D397" s="1" t="s">
        <v>224</v>
      </c>
      <c r="E397" s="1" t="s">
        <v>329</v>
      </c>
      <c r="F397" s="1" t="s">
        <v>6717</v>
      </c>
      <c r="G397" s="1" t="str">
        <f>IFERROR(VLOOKUP(A397,H_C!$A$2:$G$2628,7,0),"Validar HC")</f>
        <v>Garatejo, Natalia</v>
      </c>
      <c r="H397" s="164">
        <v>1623501.0</v>
      </c>
      <c r="I397" s="1">
        <v>42.0</v>
      </c>
    </row>
    <row r="398" ht="15.75" customHeight="1">
      <c r="A398" s="1">
        <v>4721590.0</v>
      </c>
      <c r="B398" s="1" t="s">
        <v>6739</v>
      </c>
      <c r="C398" s="1" t="s">
        <v>6740</v>
      </c>
      <c r="D398" s="1" t="s">
        <v>224</v>
      </c>
      <c r="E398" s="1" t="s">
        <v>821</v>
      </c>
      <c r="F398" s="1" t="s">
        <v>6717</v>
      </c>
      <c r="G398" s="1" t="str">
        <f>IFERROR(VLOOKUP(A398,H_C!$A$2:$G$2628,7,0),"Validar HC")</f>
        <v>Validar HC</v>
      </c>
      <c r="H398" s="164">
        <v>1623501.0</v>
      </c>
      <c r="I398" s="1">
        <v>42.0</v>
      </c>
    </row>
    <row r="399" ht="15.75" customHeight="1">
      <c r="A399" s="1">
        <v>4721591.0</v>
      </c>
      <c r="B399" s="1" t="s">
        <v>1869</v>
      </c>
      <c r="C399" s="1" t="s">
        <v>1870</v>
      </c>
      <c r="D399" s="1" t="s">
        <v>224</v>
      </c>
      <c r="E399" s="1" t="s">
        <v>401</v>
      </c>
      <c r="F399" s="1" t="s">
        <v>6717</v>
      </c>
      <c r="G399" s="1" t="str">
        <f>IFERROR(VLOOKUP(A399,H_C!$A$2:$G$2628,7,0),"Validar HC")</f>
        <v>Martinez, Wendy</v>
      </c>
      <c r="H399" s="164">
        <v>1623501.0</v>
      </c>
      <c r="I399" s="1">
        <v>42.0</v>
      </c>
    </row>
    <row r="400" ht="15.75" customHeight="1">
      <c r="A400" s="1">
        <v>4721814.0</v>
      </c>
      <c r="B400" s="1" t="s">
        <v>1873</v>
      </c>
      <c r="C400" s="1" t="s">
        <v>1874</v>
      </c>
      <c r="D400" s="1" t="s">
        <v>224</v>
      </c>
      <c r="E400" s="1" t="s">
        <v>813</v>
      </c>
      <c r="F400" s="1" t="s">
        <v>6717</v>
      </c>
      <c r="G400" s="1" t="str">
        <f>IFERROR(VLOOKUP(A400,H_C!$A$2:$G$2628,7,0),"Validar HC")</f>
        <v>Garatejo, Natalia</v>
      </c>
      <c r="H400" s="164">
        <v>1623501.0</v>
      </c>
      <c r="I400" s="1">
        <v>42.0</v>
      </c>
    </row>
    <row r="401" ht="15.75" customHeight="1">
      <c r="A401" s="1">
        <v>4722970.0</v>
      </c>
      <c r="B401" s="1" t="s">
        <v>1877</v>
      </c>
      <c r="C401" s="1" t="s">
        <v>1878</v>
      </c>
      <c r="D401" s="1" t="s">
        <v>224</v>
      </c>
      <c r="E401" s="1" t="s">
        <v>676</v>
      </c>
      <c r="F401" s="1" t="s">
        <v>6717</v>
      </c>
      <c r="G401" s="1" t="str">
        <f>IFERROR(VLOOKUP(A401,H_C!$A$2:$G$2628,7,0),"Validar HC")</f>
        <v>Garatejo, Natalia</v>
      </c>
      <c r="H401" s="164">
        <v>1623501.0</v>
      </c>
      <c r="I401" s="1">
        <v>42.0</v>
      </c>
    </row>
    <row r="402" ht="15.75" customHeight="1">
      <c r="A402" s="1">
        <v>4725016.0</v>
      </c>
      <c r="B402" s="1" t="s">
        <v>1881</v>
      </c>
      <c r="C402" s="1" t="s">
        <v>1882</v>
      </c>
      <c r="D402" s="1" t="s">
        <v>224</v>
      </c>
      <c r="E402" s="1" t="s">
        <v>555</v>
      </c>
      <c r="F402" s="1" t="s">
        <v>6717</v>
      </c>
      <c r="G402" s="1" t="str">
        <f>IFERROR(VLOOKUP(A402,H_C!$A$2:$G$2628,7,0),"Validar HC")</f>
        <v>Ayala, Giselle</v>
      </c>
      <c r="H402" s="164">
        <v>1623501.0</v>
      </c>
      <c r="I402" s="1">
        <v>42.0</v>
      </c>
    </row>
    <row r="403" ht="15.75" customHeight="1">
      <c r="A403" s="1">
        <v>4725026.0</v>
      </c>
      <c r="B403" s="1" t="s">
        <v>1885</v>
      </c>
      <c r="C403" s="1" t="s">
        <v>1886</v>
      </c>
      <c r="D403" s="1" t="s">
        <v>224</v>
      </c>
      <c r="E403" s="1" t="s">
        <v>289</v>
      </c>
      <c r="F403" s="1" t="s">
        <v>6717</v>
      </c>
      <c r="G403" s="1" t="str">
        <f>IFERROR(VLOOKUP(A403,H_C!$A$2:$G$2628,7,0),"Validar HC")</f>
        <v>Celi, Juan</v>
      </c>
      <c r="H403" s="164">
        <v>1623501.0</v>
      </c>
      <c r="I403" s="1">
        <v>42.0</v>
      </c>
    </row>
    <row r="404" ht="15.75" customHeight="1">
      <c r="A404" s="1">
        <v>4725252.0</v>
      </c>
      <c r="B404" s="1" t="s">
        <v>1889</v>
      </c>
      <c r="C404" s="1" t="s">
        <v>1890</v>
      </c>
      <c r="D404" s="1" t="s">
        <v>224</v>
      </c>
      <c r="E404" s="1" t="s">
        <v>289</v>
      </c>
      <c r="F404" s="1" t="s">
        <v>6717</v>
      </c>
      <c r="G404" s="1" t="str">
        <f>IFERROR(VLOOKUP(A404,H_C!$A$2:$G$2628,7,0),"Validar HC")</f>
        <v>Celi, Juan</v>
      </c>
      <c r="H404" s="164">
        <v>1623501.0</v>
      </c>
      <c r="I404" s="1">
        <v>42.0</v>
      </c>
    </row>
    <row r="405" ht="15.75" customHeight="1">
      <c r="A405" s="1">
        <v>4727234.0</v>
      </c>
      <c r="B405" s="1" t="s">
        <v>252</v>
      </c>
      <c r="C405" s="1" t="s">
        <v>253</v>
      </c>
      <c r="D405" s="1" t="s">
        <v>224</v>
      </c>
      <c r="E405" s="1" t="s">
        <v>222</v>
      </c>
      <c r="F405" s="1" t="s">
        <v>6717</v>
      </c>
      <c r="G405" s="1" t="str">
        <f>IFERROR(VLOOKUP(A405,H_C!$A$2:$G$2628,7,0),"Validar HC")</f>
        <v>Soler, Maria</v>
      </c>
      <c r="H405" s="164">
        <v>1623501.0</v>
      </c>
      <c r="I405" s="1">
        <v>42.0</v>
      </c>
    </row>
    <row r="406" ht="15.75" customHeight="1">
      <c r="A406" s="1">
        <v>4734433.0</v>
      </c>
      <c r="B406" s="1" t="s">
        <v>1744</v>
      </c>
      <c r="C406" s="1" t="s">
        <v>1745</v>
      </c>
      <c r="D406" s="1" t="s">
        <v>224</v>
      </c>
      <c r="E406" s="1" t="s">
        <v>835</v>
      </c>
      <c r="F406" s="1" t="s">
        <v>6717</v>
      </c>
      <c r="G406" s="1" t="str">
        <f>IFERROR(VLOOKUP(A406,H_C!$A$2:$G$2628,7,0),"Validar HC")</f>
        <v>Martinez, Wendy</v>
      </c>
      <c r="H406" s="164">
        <v>1623501.0</v>
      </c>
      <c r="I406" s="1">
        <v>42.0</v>
      </c>
    </row>
    <row r="407" ht="15.75" customHeight="1">
      <c r="A407" s="1">
        <v>4734478.0</v>
      </c>
      <c r="B407" s="1" t="s">
        <v>1897</v>
      </c>
      <c r="C407" s="1" t="s">
        <v>1898</v>
      </c>
      <c r="D407" s="1" t="s">
        <v>224</v>
      </c>
      <c r="E407" s="1" t="s">
        <v>1746</v>
      </c>
      <c r="F407" s="1" t="s">
        <v>6717</v>
      </c>
      <c r="G407" s="1" t="str">
        <f>IFERROR(VLOOKUP(A407,H_C!$A$2:$G$2628,7,0),"Validar HC")</f>
        <v>Ayala, Giselle</v>
      </c>
      <c r="H407" s="164">
        <v>1623501.0</v>
      </c>
      <c r="I407" s="1">
        <v>42.0</v>
      </c>
    </row>
    <row r="408" ht="15.75" customHeight="1">
      <c r="A408" s="1">
        <v>5349465.0</v>
      </c>
      <c r="B408" s="1" t="s">
        <v>56</v>
      </c>
      <c r="C408" s="1" t="s">
        <v>1362</v>
      </c>
      <c r="D408" s="1" t="s">
        <v>224</v>
      </c>
      <c r="E408" s="1" t="s">
        <v>13</v>
      </c>
      <c r="F408" s="1" t="s">
        <v>6717</v>
      </c>
      <c r="G408" s="1" t="str">
        <f>IFERROR(VLOOKUP(A408,H_C!$A$2:$G$2628,7,0),"Validar HC")</f>
        <v>Ospina, Michel</v>
      </c>
      <c r="H408" s="162">
        <v>1600000.0</v>
      </c>
      <c r="I408" s="1">
        <v>42.0</v>
      </c>
    </row>
    <row r="409" ht="15.75" customHeight="1">
      <c r="A409" s="1">
        <v>4737226.0</v>
      </c>
      <c r="B409" s="1" t="s">
        <v>237</v>
      </c>
      <c r="C409" s="1" t="s">
        <v>238</v>
      </c>
      <c r="D409" s="1" t="s">
        <v>224</v>
      </c>
      <c r="E409" s="1" t="s">
        <v>222</v>
      </c>
      <c r="F409" s="1" t="s">
        <v>6717</v>
      </c>
      <c r="G409" s="1" t="str">
        <f>IFERROR(VLOOKUP(A409,H_C!$A$2:$G$2628,7,0),"Validar HC")</f>
        <v>Soler, Maria</v>
      </c>
      <c r="H409" s="164">
        <v>1623501.0</v>
      </c>
      <c r="I409" s="1">
        <v>42.0</v>
      </c>
    </row>
    <row r="410" ht="15.75" customHeight="1">
      <c r="A410" s="1">
        <v>4737998.0</v>
      </c>
      <c r="B410" s="1" t="s">
        <v>910</v>
      </c>
      <c r="C410" s="1" t="s">
        <v>911</v>
      </c>
      <c r="D410" s="1" t="s">
        <v>224</v>
      </c>
      <c r="E410" s="1" t="s">
        <v>118</v>
      </c>
      <c r="F410" s="1" t="s">
        <v>6717</v>
      </c>
      <c r="G410" s="1" t="str">
        <f>IFERROR(VLOOKUP(A410,H_C!$A$2:$G$2628,7,0),"Validar HC")</f>
        <v>Ospina, Michel</v>
      </c>
      <c r="H410" s="164">
        <v>1623501.0</v>
      </c>
      <c r="I410" s="1">
        <v>42.0</v>
      </c>
    </row>
    <row r="411" ht="15.75" customHeight="1">
      <c r="A411" s="1">
        <v>4740516.0</v>
      </c>
      <c r="B411" s="1" t="s">
        <v>1762</v>
      </c>
      <c r="C411" s="1" t="s">
        <v>1763</v>
      </c>
      <c r="D411" s="1" t="s">
        <v>224</v>
      </c>
      <c r="E411" s="1" t="s">
        <v>835</v>
      </c>
      <c r="F411" s="1" t="s">
        <v>6717</v>
      </c>
      <c r="G411" s="1" t="str">
        <f>IFERROR(VLOOKUP(A411,H_C!$A$2:$G$2628,7,0),"Validar HC")</f>
        <v>Martinez, Wendy</v>
      </c>
      <c r="H411" s="164">
        <v>1623501.0</v>
      </c>
      <c r="I411" s="1">
        <v>42.0</v>
      </c>
    </row>
    <row r="412" ht="15.75" customHeight="1">
      <c r="A412" s="1">
        <v>4746269.0</v>
      </c>
      <c r="B412" s="1" t="s">
        <v>1906</v>
      </c>
      <c r="C412" s="1" t="s">
        <v>1907</v>
      </c>
      <c r="D412" s="1" t="s">
        <v>224</v>
      </c>
      <c r="E412" s="1" t="s">
        <v>847</v>
      </c>
      <c r="F412" s="1" t="s">
        <v>6717</v>
      </c>
      <c r="G412" s="1" t="str">
        <f>IFERROR(VLOOKUP(A412,H_C!$A$2:$G$2628,7,0),"Validar HC")</f>
        <v>Garatejo, Natalia</v>
      </c>
      <c r="H412" s="164">
        <v>1623501.0</v>
      </c>
      <c r="I412" s="1">
        <v>42.0</v>
      </c>
    </row>
    <row r="413" ht="15.75" customHeight="1">
      <c r="A413" s="1">
        <v>5438244.0</v>
      </c>
      <c r="B413" s="1" t="s">
        <v>63</v>
      </c>
      <c r="C413" s="1" t="s">
        <v>1366</v>
      </c>
      <c r="D413" s="1" t="s">
        <v>224</v>
      </c>
      <c r="E413" s="1" t="s">
        <v>13</v>
      </c>
      <c r="F413" s="1" t="s">
        <v>6717</v>
      </c>
      <c r="G413" s="1" t="str">
        <f>IFERROR(VLOOKUP(A413,H_C!$A$2:$G$2628,7,0),"Validar HC")</f>
        <v>Ospina, Michel</v>
      </c>
      <c r="H413" s="162">
        <v>1600000.0</v>
      </c>
      <c r="I413" s="1">
        <v>42.0</v>
      </c>
    </row>
    <row r="414" ht="15.75" customHeight="1">
      <c r="A414" s="1">
        <v>4747354.0</v>
      </c>
      <c r="B414" s="1" t="s">
        <v>1075</v>
      </c>
      <c r="C414" s="1" t="s">
        <v>1076</v>
      </c>
      <c r="D414" s="1" t="s">
        <v>224</v>
      </c>
      <c r="E414" s="1" t="s">
        <v>724</v>
      </c>
      <c r="F414" s="1" t="s">
        <v>6717</v>
      </c>
      <c r="G414" s="1" t="str">
        <f>IFERROR(VLOOKUP(A414,H_C!$A$2:$G$2628,7,0),"Validar HC")</f>
        <v>Garcia, Helmer</v>
      </c>
      <c r="H414" s="164">
        <v>1623501.0</v>
      </c>
      <c r="I414" s="1">
        <v>42.0</v>
      </c>
    </row>
    <row r="415" ht="15.75" customHeight="1">
      <c r="A415" s="1">
        <v>4749280.0</v>
      </c>
      <c r="B415" s="1" t="s">
        <v>1909</v>
      </c>
      <c r="C415" s="1" t="s">
        <v>1910</v>
      </c>
      <c r="D415" s="1" t="s">
        <v>224</v>
      </c>
      <c r="E415" s="1" t="s">
        <v>522</v>
      </c>
      <c r="F415" s="1" t="s">
        <v>6717</v>
      </c>
      <c r="G415" s="1" t="str">
        <f>IFERROR(VLOOKUP(A415,H_C!$A$2:$G$2628,7,0),"Validar HC")</f>
        <v>Martinez, Wendy</v>
      </c>
      <c r="H415" s="164">
        <v>1623501.0</v>
      </c>
      <c r="I415" s="1">
        <v>42.0</v>
      </c>
    </row>
    <row r="416" ht="15.75" customHeight="1">
      <c r="A416" s="1">
        <v>4749282.0</v>
      </c>
      <c r="B416" s="1" t="s">
        <v>1911</v>
      </c>
      <c r="C416" s="1" t="s">
        <v>1912</v>
      </c>
      <c r="D416" s="1" t="s">
        <v>224</v>
      </c>
      <c r="E416" s="1" t="s">
        <v>323</v>
      </c>
      <c r="F416" s="1" t="s">
        <v>6717</v>
      </c>
      <c r="G416" s="1" t="str">
        <f>IFERROR(VLOOKUP(A416,H_C!$A$2:$G$2628,7,0),"Validar HC")</f>
        <v>Martinez, Wendy</v>
      </c>
      <c r="H416" s="164">
        <v>1623501.0</v>
      </c>
      <c r="I416" s="1">
        <v>42.0</v>
      </c>
    </row>
    <row r="417" ht="15.75" customHeight="1">
      <c r="A417" s="1">
        <v>4750614.0</v>
      </c>
      <c r="B417" s="1" t="s">
        <v>1077</v>
      </c>
      <c r="C417" s="1" t="s">
        <v>1078</v>
      </c>
      <c r="D417" s="1" t="s">
        <v>224</v>
      </c>
      <c r="E417" s="1" t="s">
        <v>724</v>
      </c>
      <c r="F417" s="1" t="s">
        <v>6717</v>
      </c>
      <c r="G417" s="1" t="str">
        <f>IFERROR(VLOOKUP(A417,H_C!$A$2:$G$2628,7,0),"Validar HC")</f>
        <v>Garcia, Helmer</v>
      </c>
      <c r="H417" s="164">
        <v>1623501.0</v>
      </c>
      <c r="I417" s="1">
        <v>42.0</v>
      </c>
    </row>
    <row r="418" ht="15.75" customHeight="1">
      <c r="A418" s="1">
        <v>4755132.0</v>
      </c>
      <c r="B418" s="1" t="s">
        <v>664</v>
      </c>
      <c r="C418" s="1" t="s">
        <v>665</v>
      </c>
      <c r="D418" s="1" t="s">
        <v>224</v>
      </c>
      <c r="E418" s="1" t="s">
        <v>239</v>
      </c>
      <c r="F418" s="1" t="s">
        <v>6717</v>
      </c>
      <c r="G418" s="1" t="str">
        <f>IFERROR(VLOOKUP(A418,H_C!$A$2:$G$2628,7,0),"Validar HC")</f>
        <v>Soler, Maria</v>
      </c>
      <c r="H418" s="164">
        <v>1623501.0</v>
      </c>
      <c r="I418" s="1">
        <v>42.0</v>
      </c>
    </row>
    <row r="419" ht="15.75" customHeight="1">
      <c r="A419" s="1">
        <v>4755141.0</v>
      </c>
      <c r="B419" s="1" t="s">
        <v>1913</v>
      </c>
      <c r="C419" s="1" t="s">
        <v>1914</v>
      </c>
      <c r="D419" s="1" t="s">
        <v>224</v>
      </c>
      <c r="E419" s="1" t="s">
        <v>232</v>
      </c>
      <c r="F419" s="1" t="s">
        <v>6717</v>
      </c>
      <c r="G419" s="1" t="str">
        <f>IFERROR(VLOOKUP(A419,H_C!$A$2:$G$2628,7,0),"Validar HC")</f>
        <v>Soler, Maria</v>
      </c>
      <c r="H419" s="164">
        <v>1623501.0</v>
      </c>
      <c r="I419" s="1">
        <v>42.0</v>
      </c>
    </row>
    <row r="420" ht="15.75" customHeight="1">
      <c r="A420" s="1">
        <v>4756641.0</v>
      </c>
      <c r="B420" s="1" t="s">
        <v>261</v>
      </c>
      <c r="C420" s="1" t="s">
        <v>262</v>
      </c>
      <c r="D420" s="1" t="s">
        <v>224</v>
      </c>
      <c r="E420" s="1" t="s">
        <v>222</v>
      </c>
      <c r="F420" s="1" t="s">
        <v>6717</v>
      </c>
      <c r="G420" s="1" t="str">
        <f>IFERROR(VLOOKUP(A420,H_C!$A$2:$G$2628,7,0),"Validar HC")</f>
        <v>Soler, Maria</v>
      </c>
      <c r="H420" s="164">
        <v>1623501.0</v>
      </c>
      <c r="I420" s="1">
        <v>42.0</v>
      </c>
    </row>
    <row r="421" ht="15.75" customHeight="1">
      <c r="A421" s="1">
        <v>4761384.0</v>
      </c>
      <c r="B421" s="1" t="s">
        <v>1917</v>
      </c>
      <c r="C421" s="1" t="s">
        <v>1918</v>
      </c>
      <c r="D421" s="1" t="s">
        <v>224</v>
      </c>
      <c r="E421" s="1" t="s">
        <v>323</v>
      </c>
      <c r="F421" s="1" t="s">
        <v>6717</v>
      </c>
      <c r="G421" s="1" t="str">
        <f>IFERROR(VLOOKUP(A421,H_C!$A$2:$G$2628,7,0),"Validar HC")</f>
        <v>Martinez, Wendy</v>
      </c>
      <c r="H421" s="164">
        <v>1623501.0</v>
      </c>
      <c r="I421" s="1">
        <v>42.0</v>
      </c>
    </row>
    <row r="422" ht="15.75" customHeight="1">
      <c r="A422" s="1">
        <v>4762259.0</v>
      </c>
      <c r="B422" s="1" t="s">
        <v>1922</v>
      </c>
      <c r="C422" s="1" t="s">
        <v>1923</v>
      </c>
      <c r="D422" s="1" t="s">
        <v>224</v>
      </c>
      <c r="E422" s="1" t="s">
        <v>1921</v>
      </c>
      <c r="F422" s="1" t="s">
        <v>6717</v>
      </c>
      <c r="G422" s="1" t="str">
        <f>IFERROR(VLOOKUP(A422,H_C!$A$2:$G$2628,7,0),"Validar HC")</f>
        <v>Garcia, Helmer</v>
      </c>
      <c r="H422" s="164">
        <v>1623501.0</v>
      </c>
      <c r="I422" s="1">
        <v>42.0</v>
      </c>
    </row>
    <row r="423" ht="15.75" customHeight="1">
      <c r="A423" s="1">
        <v>4765873.0</v>
      </c>
      <c r="B423" s="1" t="s">
        <v>980</v>
      </c>
      <c r="C423" s="1" t="s">
        <v>981</v>
      </c>
      <c r="D423" s="1" t="s">
        <v>224</v>
      </c>
      <c r="E423" s="1" t="s">
        <v>254</v>
      </c>
      <c r="F423" s="1" t="s">
        <v>6717</v>
      </c>
      <c r="G423" s="1" t="str">
        <f>IFERROR(VLOOKUP(A423,H_C!$A$2:$G$2628,7,0),"Validar HC")</f>
        <v>Gonzalez, Cristian</v>
      </c>
      <c r="H423" s="164">
        <v>1623501.0</v>
      </c>
      <c r="I423" s="1">
        <v>42.0</v>
      </c>
    </row>
    <row r="424" ht="15.75" customHeight="1">
      <c r="A424" s="1">
        <v>4766392.0</v>
      </c>
      <c r="B424" s="1" t="s">
        <v>732</v>
      </c>
      <c r="C424" s="1" t="s">
        <v>733</v>
      </c>
      <c r="D424" s="1" t="s">
        <v>224</v>
      </c>
      <c r="E424" s="1" t="s">
        <v>289</v>
      </c>
      <c r="F424" s="1" t="s">
        <v>6717</v>
      </c>
      <c r="G424" s="1" t="str">
        <f>IFERROR(VLOOKUP(A424,H_C!$A$2:$G$2628,7,0),"Validar HC")</f>
        <v>Celi, Juan</v>
      </c>
      <c r="H424" s="164">
        <v>1623501.0</v>
      </c>
      <c r="I424" s="1">
        <v>42.0</v>
      </c>
    </row>
    <row r="425" ht="15.75" customHeight="1">
      <c r="A425" s="1">
        <v>4779635.0</v>
      </c>
      <c r="B425" s="1" t="s">
        <v>1644</v>
      </c>
      <c r="C425" s="1" t="s">
        <v>1645</v>
      </c>
      <c r="D425" s="1" t="s">
        <v>224</v>
      </c>
      <c r="E425" s="1" t="s">
        <v>297</v>
      </c>
      <c r="F425" s="1" t="s">
        <v>6717</v>
      </c>
      <c r="G425" s="1" t="str">
        <f>IFERROR(VLOOKUP(A425,H_C!$A$2:$G$2628,7,0),"Validar HC")</f>
        <v>Garatejo, Natalia</v>
      </c>
      <c r="H425" s="164">
        <v>1623501.0</v>
      </c>
      <c r="I425" s="1">
        <v>42.0</v>
      </c>
    </row>
    <row r="426" ht="15.75" customHeight="1">
      <c r="A426" s="1">
        <v>4788510.0</v>
      </c>
      <c r="B426" s="1" t="s">
        <v>1674</v>
      </c>
      <c r="C426" s="1" t="s">
        <v>1675</v>
      </c>
      <c r="D426" s="1" t="s">
        <v>224</v>
      </c>
      <c r="E426" s="1" t="s">
        <v>416</v>
      </c>
      <c r="F426" s="1" t="s">
        <v>6717</v>
      </c>
      <c r="G426" s="1" t="str">
        <f>IFERROR(VLOOKUP(A426,H_C!$A$2:$G$2628,7,0),"Validar HC")</f>
        <v>Soler, Maria</v>
      </c>
      <c r="H426" s="164">
        <v>1623501.0</v>
      </c>
      <c r="I426" s="1">
        <v>42.0</v>
      </c>
    </row>
    <row r="427" ht="15.75" customHeight="1">
      <c r="A427" s="1">
        <v>4790225.0</v>
      </c>
      <c r="B427" s="1" t="s">
        <v>1930</v>
      </c>
      <c r="C427" s="1" t="s">
        <v>1931</v>
      </c>
      <c r="D427" s="1" t="s">
        <v>224</v>
      </c>
      <c r="E427" s="1" t="s">
        <v>254</v>
      </c>
      <c r="F427" s="1" t="s">
        <v>6717</v>
      </c>
      <c r="G427" s="1" t="str">
        <f>IFERROR(VLOOKUP(A427,H_C!$A$2:$G$2628,7,0),"Validar HC")</f>
        <v>Gonzalez, Cristian</v>
      </c>
      <c r="H427" s="164">
        <v>1623501.0</v>
      </c>
      <c r="I427" s="1">
        <v>42.0</v>
      </c>
    </row>
    <row r="428" ht="15.75" customHeight="1">
      <c r="A428" s="1">
        <v>4794011.0</v>
      </c>
      <c r="B428" s="1" t="s">
        <v>1933</v>
      </c>
      <c r="C428" s="1" t="s">
        <v>1935</v>
      </c>
      <c r="D428" s="1" t="s">
        <v>224</v>
      </c>
      <c r="E428" s="1" t="s">
        <v>1932</v>
      </c>
      <c r="F428" s="1" t="s">
        <v>6717</v>
      </c>
      <c r="G428" s="1" t="str">
        <f>IFERROR(VLOOKUP(A428,H_C!$A$2:$G$2628,7,0),"Validar HC")</f>
        <v>Garatejo, Natalia</v>
      </c>
      <c r="H428" s="164">
        <v>1623501.0</v>
      </c>
      <c r="I428" s="1">
        <v>42.0</v>
      </c>
    </row>
    <row r="429" ht="15.75" customHeight="1">
      <c r="A429" s="1">
        <v>4799070.0</v>
      </c>
      <c r="B429" s="1" t="s">
        <v>1940</v>
      </c>
      <c r="C429" s="1" t="s">
        <v>1941</v>
      </c>
      <c r="D429" s="1" t="s">
        <v>224</v>
      </c>
      <c r="E429" s="1" t="s">
        <v>118</v>
      </c>
      <c r="F429" s="1" t="s">
        <v>6717</v>
      </c>
      <c r="G429" s="1" t="str">
        <f>IFERROR(VLOOKUP(A429,H_C!$A$2:$G$2628,7,0),"Validar HC")</f>
        <v>Ospina, Michel</v>
      </c>
      <c r="H429" s="164">
        <v>1623501.0</v>
      </c>
      <c r="I429" s="1">
        <v>42.0</v>
      </c>
    </row>
    <row r="430" ht="15.75" customHeight="1">
      <c r="A430" s="1">
        <v>4799203.0</v>
      </c>
      <c r="B430" s="1" t="s">
        <v>1944</v>
      </c>
      <c r="C430" s="1" t="s">
        <v>1945</v>
      </c>
      <c r="D430" s="1" t="s">
        <v>224</v>
      </c>
      <c r="E430" s="1" t="s">
        <v>232</v>
      </c>
      <c r="F430" s="1" t="s">
        <v>6717</v>
      </c>
      <c r="G430" s="1" t="str">
        <f>IFERROR(VLOOKUP(A430,H_C!$A$2:$G$2628,7,0),"Validar HC")</f>
        <v>Soler, Maria</v>
      </c>
      <c r="H430" s="164">
        <v>1623501.0</v>
      </c>
      <c r="I430" s="1">
        <v>42.0</v>
      </c>
    </row>
    <row r="431" ht="15.75" customHeight="1">
      <c r="A431" s="1">
        <v>4799477.0</v>
      </c>
      <c r="B431" s="1" t="s">
        <v>1948</v>
      </c>
      <c r="C431" s="1" t="s">
        <v>1949</v>
      </c>
      <c r="D431" s="1" t="s">
        <v>224</v>
      </c>
      <c r="E431" s="1" t="s">
        <v>853</v>
      </c>
      <c r="F431" s="1" t="s">
        <v>6717</v>
      </c>
      <c r="G431" s="1" t="str">
        <f>IFERROR(VLOOKUP(A431,H_C!$A$2:$G$2628,7,0),"Validar HC")</f>
        <v>Celi, Juan</v>
      </c>
      <c r="H431" s="164">
        <v>1623501.0</v>
      </c>
      <c r="I431" s="1">
        <v>42.0</v>
      </c>
    </row>
    <row r="432" ht="15.75" customHeight="1">
      <c r="A432" s="1">
        <v>4799484.0</v>
      </c>
      <c r="B432" s="1" t="s">
        <v>1952</v>
      </c>
      <c r="C432" s="1" t="s">
        <v>1953</v>
      </c>
      <c r="D432" s="1" t="s">
        <v>224</v>
      </c>
      <c r="E432" s="1" t="s">
        <v>800</v>
      </c>
      <c r="F432" s="1" t="s">
        <v>6717</v>
      </c>
      <c r="G432" s="1" t="str">
        <f>IFERROR(VLOOKUP(A432,H_C!$A$2:$G$2628,7,0),"Validar HC")</f>
        <v>Garatejo, Natalia</v>
      </c>
      <c r="H432" s="164">
        <v>1623501.0</v>
      </c>
      <c r="I432" s="1">
        <v>42.0</v>
      </c>
    </row>
    <row r="433" ht="15.75" customHeight="1">
      <c r="A433" s="1">
        <v>4803844.0</v>
      </c>
      <c r="B433" s="1" t="s">
        <v>1956</v>
      </c>
      <c r="C433" s="1" t="s">
        <v>1957</v>
      </c>
      <c r="D433" s="1" t="s">
        <v>224</v>
      </c>
      <c r="E433" s="1" t="s">
        <v>491</v>
      </c>
      <c r="F433" s="1" t="s">
        <v>6717</v>
      </c>
      <c r="G433" s="1" t="str">
        <f>IFERROR(VLOOKUP(A433,H_C!$A$2:$G$2628,7,0),"Validar HC")</f>
        <v>Soler, Maria</v>
      </c>
      <c r="H433" s="164">
        <v>1623501.0</v>
      </c>
      <c r="I433" s="1">
        <v>42.0</v>
      </c>
    </row>
    <row r="434" ht="15.75" customHeight="1">
      <c r="A434" s="1">
        <v>4805655.0</v>
      </c>
      <c r="B434" s="1" t="s">
        <v>1960</v>
      </c>
      <c r="C434" s="1" t="s">
        <v>1961</v>
      </c>
      <c r="D434" s="1" t="s">
        <v>224</v>
      </c>
      <c r="E434" s="1" t="s">
        <v>526</v>
      </c>
      <c r="F434" s="1" t="s">
        <v>6717</v>
      </c>
      <c r="G434" s="1" t="str">
        <f>IFERROR(VLOOKUP(A434,H_C!$A$2:$G$2628,7,0),"Validar HC")</f>
        <v>Martinez, Wendy</v>
      </c>
      <c r="H434" s="164">
        <v>1623501.0</v>
      </c>
      <c r="I434" s="1">
        <v>42.0</v>
      </c>
    </row>
    <row r="435" ht="15.75" customHeight="1">
      <c r="A435" s="1">
        <v>4805662.0</v>
      </c>
      <c r="B435" s="1" t="s">
        <v>1964</v>
      </c>
      <c r="C435" s="1" t="s">
        <v>1965</v>
      </c>
      <c r="D435" s="1" t="s">
        <v>224</v>
      </c>
      <c r="E435" s="1" t="s">
        <v>522</v>
      </c>
      <c r="F435" s="1" t="s">
        <v>6717</v>
      </c>
      <c r="G435" s="1" t="str">
        <f>IFERROR(VLOOKUP(A435,H_C!$A$2:$G$2628,7,0),"Validar HC")</f>
        <v>Martinez, Wendy</v>
      </c>
      <c r="H435" s="164">
        <v>1623501.0</v>
      </c>
      <c r="I435" s="1">
        <v>42.0</v>
      </c>
    </row>
    <row r="436" ht="15.75" customHeight="1">
      <c r="A436" s="1">
        <v>4805691.0</v>
      </c>
      <c r="B436" s="1" t="s">
        <v>1968</v>
      </c>
      <c r="C436" s="1" t="s">
        <v>1969</v>
      </c>
      <c r="D436" s="1" t="s">
        <v>224</v>
      </c>
      <c r="E436" s="1" t="s">
        <v>526</v>
      </c>
      <c r="F436" s="1" t="s">
        <v>6717</v>
      </c>
      <c r="G436" s="1" t="str">
        <f>IFERROR(VLOOKUP(A436,H_C!$A$2:$G$2628,7,0),"Validar HC")</f>
        <v>Martinez, Wendy</v>
      </c>
      <c r="H436" s="164">
        <v>1623501.0</v>
      </c>
      <c r="I436" s="1">
        <v>42.0</v>
      </c>
    </row>
    <row r="437" ht="15.75" customHeight="1">
      <c r="A437" s="1">
        <v>4805692.0</v>
      </c>
      <c r="B437" s="1" t="s">
        <v>1972</v>
      </c>
      <c r="C437" s="1" t="s">
        <v>1973</v>
      </c>
      <c r="D437" s="1" t="s">
        <v>224</v>
      </c>
      <c r="E437" s="1" t="s">
        <v>485</v>
      </c>
      <c r="F437" s="1" t="s">
        <v>6717</v>
      </c>
      <c r="G437" s="1" t="str">
        <f>IFERROR(VLOOKUP(A437,H_C!$A$2:$G$2628,7,0),"Validar HC")</f>
        <v>Martinez, Wendy</v>
      </c>
      <c r="H437" s="164">
        <v>1623501.0</v>
      </c>
      <c r="I437" s="1">
        <v>42.0</v>
      </c>
    </row>
    <row r="438" ht="15.75" customHeight="1">
      <c r="A438" s="1">
        <v>4805716.0</v>
      </c>
      <c r="B438" s="1" t="s">
        <v>1976</v>
      </c>
      <c r="C438" s="1" t="s">
        <v>1977</v>
      </c>
      <c r="D438" s="1" t="s">
        <v>224</v>
      </c>
      <c r="E438" s="1" t="s">
        <v>695</v>
      </c>
      <c r="F438" s="1" t="s">
        <v>6717</v>
      </c>
      <c r="G438" s="1" t="str">
        <f>IFERROR(VLOOKUP(A438,H_C!$A$2:$G$2628,7,0),"Validar HC")</f>
        <v>Ayala, Giselle</v>
      </c>
      <c r="H438" s="164">
        <v>1623501.0</v>
      </c>
      <c r="I438" s="1">
        <v>42.0</v>
      </c>
    </row>
    <row r="439" ht="15.75" customHeight="1">
      <c r="A439" s="1">
        <v>4812986.0</v>
      </c>
      <c r="B439" s="1" t="s">
        <v>1980</v>
      </c>
      <c r="C439" s="1" t="s">
        <v>1981</v>
      </c>
      <c r="D439" s="1" t="s">
        <v>224</v>
      </c>
      <c r="E439" s="1" t="s">
        <v>478</v>
      </c>
      <c r="F439" s="1" t="s">
        <v>6717</v>
      </c>
      <c r="G439" s="1" t="str">
        <f>IFERROR(VLOOKUP(A439,H_C!$A$2:$G$2628,7,0),"Validar HC")</f>
        <v>Celi, Juan</v>
      </c>
      <c r="H439" s="164">
        <v>1623501.0</v>
      </c>
      <c r="I439" s="1">
        <v>42.0</v>
      </c>
    </row>
    <row r="440" ht="15.75" customHeight="1">
      <c r="A440" s="1">
        <v>4817978.0</v>
      </c>
      <c r="B440" s="1" t="s">
        <v>1942</v>
      </c>
      <c r="C440" s="1" t="s">
        <v>1943</v>
      </c>
      <c r="D440" s="1" t="s">
        <v>224</v>
      </c>
      <c r="E440" s="1" t="s">
        <v>794</v>
      </c>
      <c r="F440" s="1" t="s">
        <v>6717</v>
      </c>
      <c r="G440" s="1" t="str">
        <f>IFERROR(VLOOKUP(A440,H_C!$A$2:$G$2628,7,0),"Validar HC")</f>
        <v>Osorio, Julian</v>
      </c>
      <c r="H440" s="164">
        <v>1623501.0</v>
      </c>
      <c r="I440" s="1">
        <v>42.0</v>
      </c>
    </row>
    <row r="441" ht="15.75" customHeight="1">
      <c r="A441" s="1">
        <v>4818248.0</v>
      </c>
      <c r="B441" s="1" t="s">
        <v>1986</v>
      </c>
      <c r="C441" s="1" t="s">
        <v>1987</v>
      </c>
      <c r="D441" s="1" t="s">
        <v>224</v>
      </c>
      <c r="E441" s="1" t="s">
        <v>1019</v>
      </c>
      <c r="F441" s="1" t="s">
        <v>6717</v>
      </c>
      <c r="G441" s="1" t="str">
        <f>IFERROR(VLOOKUP(A441,H_C!$A$2:$G$2628,7,0),"Validar HC")</f>
        <v>Celi, Juan</v>
      </c>
      <c r="H441" s="164">
        <v>1623501.0</v>
      </c>
      <c r="I441" s="1">
        <v>42.0</v>
      </c>
    </row>
    <row r="442" ht="15.75" customHeight="1">
      <c r="A442" s="1">
        <v>4819756.0</v>
      </c>
      <c r="B442" s="1" t="s">
        <v>1990</v>
      </c>
      <c r="C442" s="1" t="s">
        <v>1991</v>
      </c>
      <c r="D442" s="1" t="s">
        <v>224</v>
      </c>
      <c r="E442" s="1" t="s">
        <v>246</v>
      </c>
      <c r="F442" s="1" t="s">
        <v>6717</v>
      </c>
      <c r="G442" s="1" t="str">
        <f>IFERROR(VLOOKUP(A442,H_C!$A$2:$G$2628,7,0),"Validar HC")</f>
        <v>Garcia, Helmer</v>
      </c>
      <c r="H442" s="164">
        <v>1623501.0</v>
      </c>
      <c r="I442" s="1">
        <v>42.0</v>
      </c>
    </row>
    <row r="443" ht="15.75" customHeight="1">
      <c r="A443" s="1">
        <v>4822094.0</v>
      </c>
      <c r="B443" s="1" t="s">
        <v>1994</v>
      </c>
      <c r="C443" s="1" t="s">
        <v>1995</v>
      </c>
      <c r="D443" s="1" t="s">
        <v>224</v>
      </c>
      <c r="E443" s="1" t="s">
        <v>1019</v>
      </c>
      <c r="F443" s="1" t="s">
        <v>6717</v>
      </c>
      <c r="G443" s="1" t="str">
        <f>IFERROR(VLOOKUP(A443,H_C!$A$2:$G$2628,7,0),"Validar HC")</f>
        <v>Celi, Juan</v>
      </c>
      <c r="H443" s="164">
        <v>1623501.0</v>
      </c>
      <c r="I443" s="1">
        <v>42.0</v>
      </c>
    </row>
    <row r="444" ht="15.75" customHeight="1">
      <c r="A444" s="1">
        <v>4822348.0</v>
      </c>
      <c r="B444" s="1" t="s">
        <v>1998</v>
      </c>
      <c r="C444" s="1" t="s">
        <v>1999</v>
      </c>
      <c r="D444" s="1" t="s">
        <v>224</v>
      </c>
      <c r="E444" s="1" t="s">
        <v>587</v>
      </c>
      <c r="F444" s="1" t="s">
        <v>6717</v>
      </c>
      <c r="G444" s="1" t="str">
        <f>IFERROR(VLOOKUP(A444,H_C!$A$2:$G$2628,7,0),"Validar HC")</f>
        <v>Garcia, Helmer</v>
      </c>
      <c r="H444" s="164">
        <v>1623501.0</v>
      </c>
      <c r="I444" s="1">
        <v>42.0</v>
      </c>
    </row>
    <row r="445" ht="15.75" customHeight="1">
      <c r="A445" s="1">
        <v>4824005.0</v>
      </c>
      <c r="B445" s="1" t="s">
        <v>2002</v>
      </c>
      <c r="C445" s="1" t="s">
        <v>2003</v>
      </c>
      <c r="D445" s="1" t="s">
        <v>224</v>
      </c>
      <c r="E445" s="1" t="s">
        <v>478</v>
      </c>
      <c r="F445" s="1" t="s">
        <v>6717</v>
      </c>
      <c r="G445" s="1" t="str">
        <f>IFERROR(VLOOKUP(A445,H_C!$A$2:$G$2628,7,0),"Validar HC")</f>
        <v>Celi, Juan</v>
      </c>
      <c r="H445" s="164">
        <v>1623501.0</v>
      </c>
      <c r="I445" s="1">
        <v>42.0</v>
      </c>
    </row>
    <row r="446" ht="15.75" customHeight="1">
      <c r="A446" s="1">
        <v>4825218.0</v>
      </c>
      <c r="B446" s="1" t="s">
        <v>1141</v>
      </c>
      <c r="C446" s="1" t="s">
        <v>1142</v>
      </c>
      <c r="D446" s="1" t="s">
        <v>224</v>
      </c>
      <c r="E446" s="1" t="s">
        <v>724</v>
      </c>
      <c r="F446" s="1" t="s">
        <v>6717</v>
      </c>
      <c r="G446" s="1" t="str">
        <f>IFERROR(VLOOKUP(A446,H_C!$A$2:$G$2628,7,0),"Validar HC")</f>
        <v>Garcia, Helmer</v>
      </c>
      <c r="H446" s="164">
        <v>1623501.0</v>
      </c>
      <c r="I446" s="1">
        <v>42.0</v>
      </c>
    </row>
    <row r="447" ht="15.75" customHeight="1">
      <c r="A447" s="1">
        <v>4825591.0</v>
      </c>
      <c r="B447" s="1" t="s">
        <v>1850</v>
      </c>
      <c r="C447" s="1" t="s">
        <v>1851</v>
      </c>
      <c r="D447" s="1" t="s">
        <v>224</v>
      </c>
      <c r="E447" s="1" t="s">
        <v>853</v>
      </c>
      <c r="F447" s="1" t="s">
        <v>6717</v>
      </c>
      <c r="G447" s="1" t="str">
        <f>IFERROR(VLOOKUP(A447,H_C!$A$2:$G$2628,7,0),"Validar HC")</f>
        <v>Garcia, Helmer</v>
      </c>
      <c r="H447" s="164">
        <v>1623501.0</v>
      </c>
      <c r="I447" s="1">
        <v>42.0</v>
      </c>
    </row>
    <row r="448" ht="15.75" customHeight="1">
      <c r="A448" s="1">
        <v>4827076.0</v>
      </c>
      <c r="B448" s="1" t="s">
        <v>2008</v>
      </c>
      <c r="C448" s="1" t="s">
        <v>2009</v>
      </c>
      <c r="D448" s="1" t="s">
        <v>224</v>
      </c>
      <c r="E448" s="1" t="s">
        <v>1186</v>
      </c>
      <c r="F448" s="1" t="s">
        <v>6717</v>
      </c>
      <c r="G448" s="1" t="str">
        <f>IFERROR(VLOOKUP(A448,H_C!$A$2:$G$2628,7,0),"Validar HC")</f>
        <v>Soler, Maria</v>
      </c>
      <c r="H448" s="164">
        <v>1623501.0</v>
      </c>
      <c r="I448" s="1">
        <v>42.0</v>
      </c>
    </row>
    <row r="449" ht="15.75" customHeight="1">
      <c r="A449" s="1">
        <v>4827401.0</v>
      </c>
      <c r="B449" s="1" t="s">
        <v>674</v>
      </c>
      <c r="C449" s="1" t="s">
        <v>675</v>
      </c>
      <c r="D449" s="1" t="s">
        <v>224</v>
      </c>
      <c r="E449" s="1" t="s">
        <v>239</v>
      </c>
      <c r="F449" s="1" t="s">
        <v>6717</v>
      </c>
      <c r="G449" s="1" t="str">
        <f>IFERROR(VLOOKUP(A449,H_C!$A$2:$G$2628,7,0),"Validar HC")</f>
        <v>Soler, Maria</v>
      </c>
      <c r="H449" s="164">
        <v>1623501.0</v>
      </c>
      <c r="I449" s="1">
        <v>42.0</v>
      </c>
    </row>
    <row r="450" ht="15.75" customHeight="1">
      <c r="A450" s="1">
        <v>4829415.0</v>
      </c>
      <c r="B450" s="1" t="s">
        <v>2014</v>
      </c>
      <c r="C450" s="1" t="s">
        <v>2015</v>
      </c>
      <c r="D450" s="1" t="s">
        <v>224</v>
      </c>
      <c r="E450" s="1" t="s">
        <v>246</v>
      </c>
      <c r="F450" s="1" t="s">
        <v>6717</v>
      </c>
      <c r="G450" s="1" t="str">
        <f>IFERROR(VLOOKUP(A450,H_C!$A$2:$G$2628,7,0),"Validar HC")</f>
        <v>Garcia, Helmer</v>
      </c>
      <c r="H450" s="164">
        <v>1623501.0</v>
      </c>
      <c r="I450" s="1">
        <v>42.0</v>
      </c>
    </row>
    <row r="451" ht="15.75" customHeight="1">
      <c r="A451" s="1">
        <v>4829681.0</v>
      </c>
      <c r="B451" s="1" t="s">
        <v>2016</v>
      </c>
      <c r="C451" s="1" t="s">
        <v>2017</v>
      </c>
      <c r="D451" s="1" t="s">
        <v>224</v>
      </c>
      <c r="E451" s="1" t="s">
        <v>120</v>
      </c>
      <c r="F451" s="1" t="s">
        <v>6717</v>
      </c>
      <c r="G451" s="1" t="str">
        <f>IFERROR(VLOOKUP(A451,H_C!$A$2:$G$2628,7,0),"Validar HC")</f>
        <v>Ospina, Michel</v>
      </c>
      <c r="H451" s="164">
        <v>1623501.0</v>
      </c>
      <c r="I451" s="1">
        <v>42.0</v>
      </c>
    </row>
    <row r="452" ht="15.75" customHeight="1">
      <c r="A452" s="1">
        <v>4831349.0</v>
      </c>
      <c r="B452" s="1" t="s">
        <v>2018</v>
      </c>
      <c r="C452" s="1" t="s">
        <v>2019</v>
      </c>
      <c r="D452" s="1" t="s">
        <v>224</v>
      </c>
      <c r="E452" s="1" t="s">
        <v>309</v>
      </c>
      <c r="F452" s="1" t="s">
        <v>6717</v>
      </c>
      <c r="G452" s="1" t="str">
        <f>IFERROR(VLOOKUP(A452,H_C!$A$2:$G$2628,7,0),"Validar HC")</f>
        <v>Gonzalez, Cristian</v>
      </c>
      <c r="H452" s="164">
        <v>1623501.0</v>
      </c>
      <c r="I452" s="1">
        <v>42.0</v>
      </c>
    </row>
    <row r="453" ht="15.75" customHeight="1">
      <c r="A453" s="1">
        <v>4833580.0</v>
      </c>
      <c r="B453" s="1" t="s">
        <v>1863</v>
      </c>
      <c r="C453" s="1" t="s">
        <v>1864</v>
      </c>
      <c r="D453" s="1" t="s">
        <v>224</v>
      </c>
      <c r="E453" s="1" t="s">
        <v>853</v>
      </c>
      <c r="F453" s="1" t="s">
        <v>6717</v>
      </c>
      <c r="G453" s="1" t="str">
        <f>IFERROR(VLOOKUP(A453,H_C!$A$2:$G$2628,7,0),"Validar HC")</f>
        <v>Garcia, Helmer</v>
      </c>
      <c r="H453" s="164">
        <v>1623501.0</v>
      </c>
      <c r="I453" s="1">
        <v>42.0</v>
      </c>
    </row>
    <row r="454" ht="15.75" customHeight="1">
      <c r="A454" s="1">
        <v>4834911.0</v>
      </c>
      <c r="B454" s="1" t="s">
        <v>2022</v>
      </c>
      <c r="C454" s="1" t="s">
        <v>2024</v>
      </c>
      <c r="D454" s="1" t="s">
        <v>224</v>
      </c>
      <c r="E454" s="1" t="s">
        <v>81</v>
      </c>
      <c r="F454" s="1" t="s">
        <v>6717</v>
      </c>
      <c r="G454" s="1" t="str">
        <f>IFERROR(VLOOKUP(A454,H_C!$A$2:$G$2628,7,0),"Validar HC")</f>
        <v>Ospina, Michel</v>
      </c>
      <c r="H454" s="164">
        <v>1623501.0</v>
      </c>
      <c r="I454" s="1">
        <v>42.0</v>
      </c>
    </row>
    <row r="455" ht="15.75" customHeight="1">
      <c r="A455" s="1">
        <v>4835112.0</v>
      </c>
      <c r="B455" s="1" t="s">
        <v>2025</v>
      </c>
      <c r="C455" s="1" t="s">
        <v>2026</v>
      </c>
      <c r="D455" s="1" t="s">
        <v>224</v>
      </c>
      <c r="E455" s="1" t="s">
        <v>116</v>
      </c>
      <c r="F455" s="1" t="s">
        <v>6717</v>
      </c>
      <c r="G455" s="1" t="str">
        <f>IFERROR(VLOOKUP(A455,H_C!$A$2:$G$2628,7,0),"Validar HC")</f>
        <v>Ospina, Michel</v>
      </c>
      <c r="H455" s="164">
        <v>1623501.0</v>
      </c>
      <c r="I455" s="1">
        <v>42.0</v>
      </c>
    </row>
    <row r="456" ht="15.75" customHeight="1">
      <c r="A456" s="1">
        <v>4838469.0</v>
      </c>
      <c r="B456" s="1" t="s">
        <v>2027</v>
      </c>
      <c r="C456" s="1" t="s">
        <v>2028</v>
      </c>
      <c r="D456" s="1" t="s">
        <v>224</v>
      </c>
      <c r="E456" s="1" t="s">
        <v>835</v>
      </c>
      <c r="F456" s="1" t="s">
        <v>6717</v>
      </c>
      <c r="G456" s="1" t="str">
        <f>IFERROR(VLOOKUP(A456,H_C!$A$2:$G$2628,7,0),"Validar HC")</f>
        <v>Martinez, Wendy</v>
      </c>
      <c r="H456" s="164">
        <v>1623501.0</v>
      </c>
      <c r="I456" s="1">
        <v>42.0</v>
      </c>
    </row>
    <row r="457" ht="15.75" customHeight="1">
      <c r="A457" s="1">
        <v>4843837.0</v>
      </c>
      <c r="B457" s="1" t="s">
        <v>2031</v>
      </c>
      <c r="C457" s="1" t="s">
        <v>2032</v>
      </c>
      <c r="D457" s="1" t="s">
        <v>224</v>
      </c>
      <c r="E457" s="1" t="s">
        <v>385</v>
      </c>
      <c r="F457" s="1" t="s">
        <v>6717</v>
      </c>
      <c r="G457" s="1" t="str">
        <f>IFERROR(VLOOKUP(A457,H_C!$A$2:$G$2628,7,0),"Validar HC")</f>
        <v>Garatejo, Natalia</v>
      </c>
      <c r="H457" s="164">
        <v>1623501.0</v>
      </c>
      <c r="I457" s="1">
        <v>42.0</v>
      </c>
    </row>
    <row r="458" ht="15.75" customHeight="1">
      <c r="A458" s="1">
        <v>4843840.0</v>
      </c>
      <c r="B458" s="1" t="s">
        <v>2035</v>
      </c>
      <c r="C458" s="1" t="s">
        <v>2036</v>
      </c>
      <c r="D458" s="1" t="s">
        <v>224</v>
      </c>
      <c r="E458" s="1" t="s">
        <v>986</v>
      </c>
      <c r="F458" s="1" t="s">
        <v>6717</v>
      </c>
      <c r="G458" s="1" t="str">
        <f>IFERROR(VLOOKUP(A458,H_C!$A$2:$G$2628,7,0),"Validar HC")</f>
        <v>Garatejo, Natalia</v>
      </c>
      <c r="H458" s="164">
        <v>1623501.0</v>
      </c>
      <c r="I458" s="1">
        <v>42.0</v>
      </c>
    </row>
    <row r="459" ht="15.75" customHeight="1">
      <c r="A459" s="1">
        <v>4843871.0</v>
      </c>
      <c r="B459" s="1" t="s">
        <v>2039</v>
      </c>
      <c r="C459" s="1" t="s">
        <v>2040</v>
      </c>
      <c r="D459" s="1" t="s">
        <v>224</v>
      </c>
      <c r="E459" s="1" t="s">
        <v>835</v>
      </c>
      <c r="F459" s="1" t="s">
        <v>6717</v>
      </c>
      <c r="G459" s="1" t="str">
        <f>IFERROR(VLOOKUP(A459,H_C!$A$2:$G$2628,7,0),"Validar HC")</f>
        <v>Martinez, Wendy</v>
      </c>
      <c r="H459" s="164">
        <v>1623501.0</v>
      </c>
      <c r="I459" s="1">
        <v>42.0</v>
      </c>
    </row>
    <row r="460" ht="15.75" customHeight="1">
      <c r="A460" s="1">
        <v>4843872.0</v>
      </c>
      <c r="B460" s="1" t="s">
        <v>2043</v>
      </c>
      <c r="C460" s="1" t="s">
        <v>2044</v>
      </c>
      <c r="D460" s="1" t="s">
        <v>224</v>
      </c>
      <c r="E460" s="1" t="s">
        <v>555</v>
      </c>
      <c r="F460" s="1" t="s">
        <v>6717</v>
      </c>
      <c r="G460" s="1" t="str">
        <f>IFERROR(VLOOKUP(A460,H_C!$A$2:$G$2628,7,0),"Validar HC")</f>
        <v>Ayala, Giselle</v>
      </c>
      <c r="H460" s="164">
        <v>1623501.0</v>
      </c>
      <c r="I460" s="1">
        <v>42.0</v>
      </c>
    </row>
    <row r="461" ht="15.75" customHeight="1">
      <c r="A461" s="1">
        <v>4844552.0</v>
      </c>
      <c r="B461" s="1" t="s">
        <v>2047</v>
      </c>
      <c r="C461" s="1" t="s">
        <v>2048</v>
      </c>
      <c r="D461" s="1" t="s">
        <v>224</v>
      </c>
      <c r="E461" s="1" t="s">
        <v>316</v>
      </c>
      <c r="F461" s="1" t="s">
        <v>6717</v>
      </c>
      <c r="G461" s="1" t="str">
        <f>IFERROR(VLOOKUP(A461,H_C!$A$2:$G$2628,7,0),"Validar HC")</f>
        <v>Osorio, Julian</v>
      </c>
      <c r="H461" s="164">
        <v>1623501.0</v>
      </c>
      <c r="I461" s="1">
        <v>42.0</v>
      </c>
    </row>
    <row r="462" ht="15.75" customHeight="1">
      <c r="A462" s="1">
        <v>4845114.0</v>
      </c>
      <c r="B462" s="1" t="s">
        <v>2051</v>
      </c>
      <c r="C462" s="1" t="s">
        <v>2052</v>
      </c>
      <c r="D462" s="1" t="s">
        <v>224</v>
      </c>
      <c r="E462" s="1" t="s">
        <v>835</v>
      </c>
      <c r="F462" s="1" t="s">
        <v>6717</v>
      </c>
      <c r="G462" s="1" t="str">
        <f>IFERROR(VLOOKUP(A462,H_C!$A$2:$G$2628,7,0),"Validar HC")</f>
        <v>Martinez, Wendy</v>
      </c>
      <c r="H462" s="164">
        <v>1623501.0</v>
      </c>
      <c r="I462" s="1">
        <v>42.0</v>
      </c>
    </row>
    <row r="463" ht="15.75" customHeight="1">
      <c r="A463" s="1">
        <v>4845119.0</v>
      </c>
      <c r="B463" s="1" t="s">
        <v>2055</v>
      </c>
      <c r="C463" s="1" t="s">
        <v>2056</v>
      </c>
      <c r="D463" s="1" t="s">
        <v>224</v>
      </c>
      <c r="E463" s="1" t="s">
        <v>9</v>
      </c>
      <c r="F463" s="1" t="s">
        <v>6717</v>
      </c>
      <c r="G463" s="1" t="str">
        <f>IFERROR(VLOOKUP(A463,H_C!$A$2:$G$2628,7,0),"Validar HC")</f>
        <v>Celi, Juan</v>
      </c>
      <c r="H463" s="164">
        <v>1623501.0</v>
      </c>
      <c r="I463" s="1">
        <v>42.0</v>
      </c>
    </row>
    <row r="464" ht="15.75" customHeight="1">
      <c r="A464" s="1">
        <v>4845134.0</v>
      </c>
      <c r="B464" s="1" t="s">
        <v>2059</v>
      </c>
      <c r="C464" s="1" t="s">
        <v>2060</v>
      </c>
      <c r="D464" s="1" t="s">
        <v>224</v>
      </c>
      <c r="E464" s="1" t="s">
        <v>676</v>
      </c>
      <c r="F464" s="1" t="s">
        <v>6717</v>
      </c>
      <c r="G464" s="1" t="str">
        <f>IFERROR(VLOOKUP(A464,H_C!$A$2:$G$2628,7,0),"Validar HC")</f>
        <v>Garatejo, Natalia</v>
      </c>
      <c r="H464" s="164">
        <v>1623501.0</v>
      </c>
      <c r="I464" s="1">
        <v>42.0</v>
      </c>
    </row>
    <row r="465" ht="15.75" customHeight="1">
      <c r="A465" s="1">
        <v>4845136.0</v>
      </c>
      <c r="B465" s="1" t="s">
        <v>2063</v>
      </c>
      <c r="C465" s="1" t="s">
        <v>2064</v>
      </c>
      <c r="D465" s="1" t="s">
        <v>224</v>
      </c>
      <c r="E465" s="1" t="s">
        <v>467</v>
      </c>
      <c r="F465" s="1" t="s">
        <v>6717</v>
      </c>
      <c r="G465" s="1" t="str">
        <f>IFERROR(VLOOKUP(A465,H_C!$A$2:$G$2628,7,0),"Validar HC")</f>
        <v>Martinez, Wendy</v>
      </c>
      <c r="H465" s="164">
        <v>1623501.0</v>
      </c>
      <c r="I465" s="1">
        <v>42.0</v>
      </c>
    </row>
    <row r="466" ht="15.75" customHeight="1">
      <c r="A466" s="1">
        <v>4845137.0</v>
      </c>
      <c r="B466" s="1" t="s">
        <v>2067</v>
      </c>
      <c r="C466" s="1" t="s">
        <v>2068</v>
      </c>
      <c r="D466" s="1" t="s">
        <v>224</v>
      </c>
      <c r="E466" s="1" t="s">
        <v>467</v>
      </c>
      <c r="F466" s="1" t="s">
        <v>6717</v>
      </c>
      <c r="G466" s="1" t="str">
        <f>IFERROR(VLOOKUP(A466,H_C!$A$2:$G$2628,7,0),"Validar HC")</f>
        <v>Martinez, Wendy</v>
      </c>
      <c r="H466" s="164">
        <v>1623501.0</v>
      </c>
      <c r="I466" s="1">
        <v>42.0</v>
      </c>
    </row>
    <row r="467" ht="15.75" customHeight="1">
      <c r="A467" s="1">
        <v>4846826.0</v>
      </c>
      <c r="B467" s="1" t="s">
        <v>2070</v>
      </c>
      <c r="C467" s="1" t="s">
        <v>2072</v>
      </c>
      <c r="D467" s="1" t="s">
        <v>224</v>
      </c>
      <c r="E467" s="1" t="s">
        <v>2069</v>
      </c>
      <c r="F467" s="1" t="s">
        <v>6717</v>
      </c>
      <c r="G467" s="1" t="str">
        <f>IFERROR(VLOOKUP(A467,H_C!$A$2:$G$2628,7,0),"Validar HC")</f>
        <v>Garatejo, Natalia</v>
      </c>
      <c r="H467" s="164">
        <v>1623501.0</v>
      </c>
      <c r="I467" s="1">
        <v>42.0</v>
      </c>
    </row>
    <row r="468" ht="15.75" customHeight="1">
      <c r="A468" s="1">
        <v>4849285.0</v>
      </c>
      <c r="B468" s="1" t="s">
        <v>2073</v>
      </c>
      <c r="C468" s="1" t="s">
        <v>2074</v>
      </c>
      <c r="D468" s="1" t="s">
        <v>224</v>
      </c>
      <c r="E468" s="1" t="s">
        <v>478</v>
      </c>
      <c r="F468" s="1" t="s">
        <v>6717</v>
      </c>
      <c r="G468" s="1" t="str">
        <f>IFERROR(VLOOKUP(A468,H_C!$A$2:$G$2628,7,0),"Validar HC")</f>
        <v>Celi, Juan</v>
      </c>
      <c r="H468" s="164">
        <v>1623501.0</v>
      </c>
      <c r="I468" s="1">
        <v>42.0</v>
      </c>
    </row>
    <row r="469" ht="15.75" customHeight="1">
      <c r="A469" s="1">
        <v>4853203.0</v>
      </c>
      <c r="B469" s="1" t="s">
        <v>2075</v>
      </c>
      <c r="C469" s="1" t="s">
        <v>2076</v>
      </c>
      <c r="D469" s="1" t="s">
        <v>224</v>
      </c>
      <c r="E469" s="1" t="s">
        <v>478</v>
      </c>
      <c r="F469" s="1" t="s">
        <v>6717</v>
      </c>
      <c r="G469" s="1" t="str">
        <f>IFERROR(VLOOKUP(A469,H_C!$A$2:$G$2628,7,0),"Validar HC")</f>
        <v>Celi, Juan</v>
      </c>
      <c r="H469" s="164">
        <v>1623501.0</v>
      </c>
      <c r="I469" s="1">
        <v>42.0</v>
      </c>
    </row>
    <row r="470" ht="15.75" customHeight="1">
      <c r="A470" s="1">
        <v>4853252.0</v>
      </c>
      <c r="B470" s="1" t="s">
        <v>1757</v>
      </c>
      <c r="C470" s="1" t="s">
        <v>1758</v>
      </c>
      <c r="D470" s="1" t="s">
        <v>224</v>
      </c>
      <c r="E470" s="1" t="s">
        <v>835</v>
      </c>
      <c r="F470" s="1" t="s">
        <v>6717</v>
      </c>
      <c r="G470" s="1" t="str">
        <f>IFERROR(VLOOKUP(A470,H_C!$A$2:$G$2628,7,0),"Validar HC")</f>
        <v>Martinez, Wendy</v>
      </c>
      <c r="H470" s="164">
        <v>1623501.0</v>
      </c>
      <c r="I470" s="1">
        <v>42.0</v>
      </c>
    </row>
    <row r="471" ht="15.75" customHeight="1">
      <c r="A471" s="1">
        <v>4856197.0</v>
      </c>
      <c r="B471" s="1" t="s">
        <v>2081</v>
      </c>
      <c r="C471" s="1" t="s">
        <v>2084</v>
      </c>
      <c r="D471" s="1" t="s">
        <v>224</v>
      </c>
      <c r="E471" s="1" t="s">
        <v>331</v>
      </c>
      <c r="F471" s="1" t="s">
        <v>6717</v>
      </c>
      <c r="G471" s="1" t="str">
        <f>IFERROR(VLOOKUP(A471,H_C!$A$2:$G$2628,7,0),"Validar HC")</f>
        <v>Castillo, Carlos</v>
      </c>
      <c r="H471" s="164">
        <v>1623501.0</v>
      </c>
      <c r="I471" s="1">
        <v>42.0</v>
      </c>
    </row>
    <row r="472" ht="15.75" customHeight="1">
      <c r="A472" s="1">
        <v>4856202.0</v>
      </c>
      <c r="B472" s="1" t="s">
        <v>2087</v>
      </c>
      <c r="C472" s="1" t="s">
        <v>2088</v>
      </c>
      <c r="D472" s="1" t="s">
        <v>224</v>
      </c>
      <c r="E472" s="1" t="s">
        <v>800</v>
      </c>
      <c r="F472" s="1" t="s">
        <v>6717</v>
      </c>
      <c r="G472" s="1" t="str">
        <f>IFERROR(VLOOKUP(A472,H_C!$A$2:$G$2628,7,0),"Validar HC")</f>
        <v>Garatejo, Natalia</v>
      </c>
      <c r="H472" s="164">
        <v>1623501.0</v>
      </c>
      <c r="I472" s="1">
        <v>42.0</v>
      </c>
    </row>
    <row r="473" ht="15.75" customHeight="1">
      <c r="A473" s="1">
        <v>4856214.0</v>
      </c>
      <c r="B473" s="1" t="s">
        <v>2091</v>
      </c>
      <c r="C473" s="1" t="s">
        <v>2092</v>
      </c>
      <c r="D473" s="1" t="s">
        <v>224</v>
      </c>
      <c r="E473" s="1" t="s">
        <v>316</v>
      </c>
      <c r="F473" s="1" t="s">
        <v>6717</v>
      </c>
      <c r="G473" s="1" t="str">
        <f>IFERROR(VLOOKUP(A473,H_C!$A$2:$G$2628,7,0),"Validar HC")</f>
        <v>Osorio, Julian</v>
      </c>
      <c r="H473" s="164">
        <v>1623501.0</v>
      </c>
      <c r="I473" s="1">
        <v>42.0</v>
      </c>
    </row>
    <row r="474" ht="15.75" customHeight="1">
      <c r="A474" s="1">
        <v>4856746.0</v>
      </c>
      <c r="B474" s="1" t="s">
        <v>2095</v>
      </c>
      <c r="C474" s="1" t="s">
        <v>2096</v>
      </c>
      <c r="D474" s="1" t="s">
        <v>224</v>
      </c>
      <c r="E474" s="1" t="s">
        <v>412</v>
      </c>
      <c r="F474" s="1" t="s">
        <v>6717</v>
      </c>
      <c r="G474" s="1" t="str">
        <f>IFERROR(VLOOKUP(A474,H_C!$A$2:$G$2628,7,0),"Validar HC")</f>
        <v>Ospina, Michel</v>
      </c>
      <c r="H474" s="164">
        <v>1623501.0</v>
      </c>
      <c r="I474" s="1">
        <v>42.0</v>
      </c>
    </row>
    <row r="475" ht="15.75" customHeight="1">
      <c r="A475" s="1">
        <v>4856769.0</v>
      </c>
      <c r="B475" s="1" t="s">
        <v>1515</v>
      </c>
      <c r="C475" s="1" t="s">
        <v>1516</v>
      </c>
      <c r="D475" s="1" t="s">
        <v>224</v>
      </c>
      <c r="E475" s="1" t="s">
        <v>478</v>
      </c>
      <c r="F475" s="1" t="s">
        <v>6717</v>
      </c>
      <c r="G475" s="1" t="str">
        <f>IFERROR(VLOOKUP(A475,H_C!$A$2:$G$2628,7,0),"Validar HC")</f>
        <v>Celi, Juan</v>
      </c>
      <c r="H475" s="164">
        <v>1623501.0</v>
      </c>
      <c r="I475" s="1">
        <v>42.0</v>
      </c>
    </row>
    <row r="476" ht="15.75" customHeight="1">
      <c r="A476" s="1">
        <v>4856826.0</v>
      </c>
      <c r="B476" s="1" t="s">
        <v>6741</v>
      </c>
      <c r="C476" s="1" t="s">
        <v>6742</v>
      </c>
      <c r="D476" s="1" t="s">
        <v>224</v>
      </c>
      <c r="E476" s="1" t="s">
        <v>232</v>
      </c>
      <c r="F476" s="1" t="s">
        <v>6717</v>
      </c>
      <c r="G476" s="1" t="str">
        <f>IFERROR(VLOOKUP(A476,H_C!$A$2:$G$2628,7,0),"Validar HC")</f>
        <v>Validar HC</v>
      </c>
      <c r="H476" s="164">
        <v>1623501.0</v>
      </c>
      <c r="I476" s="1">
        <v>42.0</v>
      </c>
    </row>
    <row r="477" ht="15.75" customHeight="1">
      <c r="A477" s="1">
        <v>4856991.0</v>
      </c>
      <c r="B477" s="1" t="s">
        <v>2099</v>
      </c>
      <c r="C477" s="1" t="s">
        <v>2100</v>
      </c>
      <c r="D477" s="1" t="s">
        <v>224</v>
      </c>
      <c r="E477" s="1" t="s">
        <v>530</v>
      </c>
      <c r="F477" s="1" t="s">
        <v>6717</v>
      </c>
      <c r="G477" s="1" t="str">
        <f>IFERROR(VLOOKUP(A477,H_C!$A$2:$G$2628,7,0),"Validar HC")</f>
        <v>Garcia, Helmer</v>
      </c>
      <c r="H477" s="164">
        <v>1623501.0</v>
      </c>
      <c r="I477" s="1">
        <v>42.0</v>
      </c>
    </row>
    <row r="478" ht="15.75" customHeight="1">
      <c r="A478" s="1">
        <v>4857036.0</v>
      </c>
      <c r="B478" s="1" t="s">
        <v>2103</v>
      </c>
      <c r="C478" s="1" t="s">
        <v>2104</v>
      </c>
      <c r="D478" s="1" t="s">
        <v>224</v>
      </c>
      <c r="E478" s="1" t="s">
        <v>232</v>
      </c>
      <c r="F478" s="1" t="s">
        <v>6717</v>
      </c>
      <c r="G478" s="1" t="str">
        <f>IFERROR(VLOOKUP(A478,H_C!$A$2:$G$2628,7,0),"Validar HC")</f>
        <v>Soler, Maria</v>
      </c>
      <c r="H478" s="164">
        <v>1623501.0</v>
      </c>
      <c r="I478" s="1">
        <v>42.0</v>
      </c>
    </row>
    <row r="479" ht="15.75" customHeight="1">
      <c r="A479" s="1">
        <v>4860514.0</v>
      </c>
      <c r="B479" s="1" t="s">
        <v>2107</v>
      </c>
      <c r="C479" s="1" t="s">
        <v>2108</v>
      </c>
      <c r="D479" s="1" t="s">
        <v>224</v>
      </c>
      <c r="E479" s="1" t="s">
        <v>276</v>
      </c>
      <c r="F479" s="1" t="s">
        <v>6717</v>
      </c>
      <c r="G479" s="1" t="str">
        <f>IFERROR(VLOOKUP(A479,H_C!$A$2:$G$2628,7,0),"Validar HC")</f>
        <v>Gonzalez, Cristian</v>
      </c>
      <c r="H479" s="164">
        <v>1623501.0</v>
      </c>
      <c r="I479" s="1">
        <v>42.0</v>
      </c>
    </row>
    <row r="480" ht="15.75" customHeight="1">
      <c r="A480" s="1">
        <v>4860977.0</v>
      </c>
      <c r="B480" s="1" t="s">
        <v>2111</v>
      </c>
      <c r="C480" s="1" t="s">
        <v>2112</v>
      </c>
      <c r="D480" s="1" t="s">
        <v>224</v>
      </c>
      <c r="E480" s="1" t="s">
        <v>1932</v>
      </c>
      <c r="F480" s="1" t="s">
        <v>6717</v>
      </c>
      <c r="G480" s="1" t="str">
        <f>IFERROR(VLOOKUP(A480,H_C!$A$2:$G$2628,7,0),"Validar HC")</f>
        <v>Garatejo, Natalia</v>
      </c>
      <c r="H480" s="164">
        <v>1623501.0</v>
      </c>
      <c r="I480" s="1">
        <v>42.0</v>
      </c>
    </row>
    <row r="481" ht="15.75" customHeight="1">
      <c r="A481" s="1">
        <v>4861965.0</v>
      </c>
      <c r="B481" s="1" t="s">
        <v>1157</v>
      </c>
      <c r="C481" s="1" t="s">
        <v>1158</v>
      </c>
      <c r="D481" s="1" t="s">
        <v>224</v>
      </c>
      <c r="E481" s="1" t="s">
        <v>263</v>
      </c>
      <c r="F481" s="1" t="s">
        <v>6717</v>
      </c>
      <c r="G481" s="1" t="str">
        <f>IFERROR(VLOOKUP(A481,H_C!$A$2:$G$2628,7,0),"Validar HC")</f>
        <v>Garcia, Helmer</v>
      </c>
      <c r="H481" s="164">
        <v>1623501.0</v>
      </c>
      <c r="I481" s="1">
        <v>42.0</v>
      </c>
    </row>
    <row r="482" ht="15.75" customHeight="1">
      <c r="A482" s="1">
        <v>4872126.0</v>
      </c>
      <c r="B482" s="1" t="s">
        <v>1648</v>
      </c>
      <c r="C482" s="1" t="s">
        <v>1649</v>
      </c>
      <c r="D482" s="1" t="s">
        <v>224</v>
      </c>
      <c r="E482" s="1" t="s">
        <v>821</v>
      </c>
      <c r="F482" s="1" t="s">
        <v>6717</v>
      </c>
      <c r="G482" s="1" t="str">
        <f>IFERROR(VLOOKUP(A482,H_C!$A$2:$G$2628,7,0),"Validar HC")</f>
        <v>Garatejo, Natalia</v>
      </c>
      <c r="H482" s="164">
        <v>1623501.0</v>
      </c>
      <c r="I482" s="1">
        <v>42.0</v>
      </c>
    </row>
    <row r="483" ht="15.75" customHeight="1">
      <c r="A483" s="1">
        <v>4879795.0</v>
      </c>
      <c r="B483" s="1" t="s">
        <v>2119</v>
      </c>
      <c r="C483" s="1" t="s">
        <v>2120</v>
      </c>
      <c r="D483" s="1" t="s">
        <v>224</v>
      </c>
      <c r="E483" s="1" t="s">
        <v>232</v>
      </c>
      <c r="F483" s="1" t="s">
        <v>6717</v>
      </c>
      <c r="G483" s="1" t="str">
        <f>IFERROR(VLOOKUP(A483,H_C!$A$2:$G$2628,7,0),"Validar HC")</f>
        <v>Soler, Maria</v>
      </c>
      <c r="H483" s="164">
        <v>1623501.0</v>
      </c>
      <c r="I483" s="1">
        <v>42.0</v>
      </c>
    </row>
    <row r="484" ht="15.75" customHeight="1">
      <c r="A484" s="1">
        <v>4885409.0</v>
      </c>
      <c r="B484" s="1" t="s">
        <v>2125</v>
      </c>
      <c r="C484" s="1" t="s">
        <v>2126</v>
      </c>
      <c r="D484" s="1" t="s">
        <v>224</v>
      </c>
      <c r="E484" s="1" t="s">
        <v>232</v>
      </c>
      <c r="F484" s="1" t="s">
        <v>6717</v>
      </c>
      <c r="G484" s="1" t="str">
        <f>IFERROR(VLOOKUP(A484,H_C!$A$2:$G$2628,7,0),"Validar HC")</f>
        <v>Soler, Maria</v>
      </c>
      <c r="H484" s="164">
        <v>1623501.0</v>
      </c>
      <c r="I484" s="1">
        <v>42.0</v>
      </c>
    </row>
    <row r="485" ht="15.75" customHeight="1">
      <c r="A485" s="1">
        <v>4888959.0</v>
      </c>
      <c r="B485" s="1" t="s">
        <v>1865</v>
      </c>
      <c r="C485" s="1" t="s">
        <v>1866</v>
      </c>
      <c r="D485" s="1" t="s">
        <v>224</v>
      </c>
      <c r="E485" s="1" t="s">
        <v>853</v>
      </c>
      <c r="F485" s="1" t="s">
        <v>6717</v>
      </c>
      <c r="G485" s="1" t="str">
        <f>IFERROR(VLOOKUP(A485,H_C!$A$2:$G$2628,7,0),"Validar HC")</f>
        <v>Garcia, Helmer</v>
      </c>
      <c r="H485" s="164">
        <v>1623501.0</v>
      </c>
      <c r="I485" s="1">
        <v>42.0</v>
      </c>
    </row>
    <row r="486" ht="15.75" customHeight="1">
      <c r="A486" s="1">
        <v>4890398.0</v>
      </c>
      <c r="B486" s="1" t="s">
        <v>2131</v>
      </c>
      <c r="C486" s="1" t="s">
        <v>2132</v>
      </c>
      <c r="D486" s="1" t="s">
        <v>224</v>
      </c>
      <c r="E486" s="1" t="s">
        <v>1019</v>
      </c>
      <c r="F486" s="1" t="s">
        <v>6717</v>
      </c>
      <c r="G486" s="1" t="str">
        <f>IFERROR(VLOOKUP(A486,H_C!$A$2:$G$2628,7,0),"Validar HC")</f>
        <v>Celi, Juan</v>
      </c>
      <c r="H486" s="164">
        <v>1623501.0</v>
      </c>
      <c r="I486" s="1">
        <v>42.0</v>
      </c>
    </row>
    <row r="487" ht="15.75" customHeight="1">
      <c r="A487" s="1">
        <v>4892209.0</v>
      </c>
      <c r="B487" s="1" t="s">
        <v>2135</v>
      </c>
      <c r="C487" s="1" t="s">
        <v>2136</v>
      </c>
      <c r="D487" s="1" t="s">
        <v>224</v>
      </c>
      <c r="E487" s="1" t="s">
        <v>416</v>
      </c>
      <c r="F487" s="1" t="s">
        <v>6717</v>
      </c>
      <c r="G487" s="1" t="str">
        <f>IFERROR(VLOOKUP(A487,H_C!$A$2:$G$2628,7,0),"Validar HC")</f>
        <v>Soler, Maria</v>
      </c>
      <c r="H487" s="164">
        <v>1623501.0</v>
      </c>
      <c r="I487" s="1">
        <v>42.0</v>
      </c>
    </row>
    <row r="488" ht="15.75" customHeight="1">
      <c r="A488" s="1">
        <v>4898296.0</v>
      </c>
      <c r="B488" s="1" t="s">
        <v>527</v>
      </c>
      <c r="C488" s="1" t="s">
        <v>529</v>
      </c>
      <c r="D488" s="1" t="s">
        <v>224</v>
      </c>
      <c r="E488" s="1" t="s">
        <v>526</v>
      </c>
      <c r="F488" s="1" t="s">
        <v>6717</v>
      </c>
      <c r="G488" s="1" t="str">
        <f>IFERROR(VLOOKUP(A488,H_C!$A$2:$G$2628,7,0),"Validar HC")</f>
        <v>Martinez, Wendy</v>
      </c>
      <c r="H488" s="164">
        <v>1623501.0</v>
      </c>
      <c r="I488" s="1">
        <v>42.0</v>
      </c>
    </row>
    <row r="489" ht="15.75" customHeight="1">
      <c r="A489" s="1">
        <v>4898376.0</v>
      </c>
      <c r="B489" s="1" t="s">
        <v>1658</v>
      </c>
      <c r="C489" s="1" t="s">
        <v>1659</v>
      </c>
      <c r="D489" s="1" t="s">
        <v>224</v>
      </c>
      <c r="E489" s="1" t="s">
        <v>297</v>
      </c>
      <c r="F489" s="1" t="s">
        <v>6717</v>
      </c>
      <c r="G489" s="1" t="str">
        <f>IFERROR(VLOOKUP(A489,H_C!$A$2:$G$2628,7,0),"Validar HC")</f>
        <v>Garatejo, Natalia</v>
      </c>
      <c r="H489" s="164">
        <v>1623501.0</v>
      </c>
      <c r="I489" s="1">
        <v>42.0</v>
      </c>
    </row>
    <row r="490" ht="15.75" customHeight="1">
      <c r="A490" s="1">
        <v>4898446.0</v>
      </c>
      <c r="B490" s="1" t="s">
        <v>2139</v>
      </c>
      <c r="C490" s="1" t="s">
        <v>2140</v>
      </c>
      <c r="D490" s="1" t="s">
        <v>224</v>
      </c>
      <c r="E490" s="1" t="s">
        <v>457</v>
      </c>
      <c r="F490" s="1" t="s">
        <v>6717</v>
      </c>
      <c r="G490" s="1" t="str">
        <f>IFERROR(VLOOKUP(A490,H_C!$A$2:$G$2628,7,0),"Validar HC")</f>
        <v>Celi, Juan</v>
      </c>
      <c r="H490" s="164">
        <v>1623501.0</v>
      </c>
      <c r="I490" s="1">
        <v>42.0</v>
      </c>
    </row>
    <row r="491" ht="15.75" customHeight="1">
      <c r="A491" s="1">
        <v>4898489.0</v>
      </c>
      <c r="B491" s="1" t="s">
        <v>2141</v>
      </c>
      <c r="C491" s="1" t="s">
        <v>2142</v>
      </c>
      <c r="D491" s="1" t="s">
        <v>224</v>
      </c>
      <c r="E491" s="1" t="s">
        <v>522</v>
      </c>
      <c r="F491" s="1" t="s">
        <v>6717</v>
      </c>
      <c r="G491" s="1" t="str">
        <f>IFERROR(VLOOKUP(A491,H_C!$A$2:$G$2628,7,0),"Validar HC")</f>
        <v>Martinez, Wendy</v>
      </c>
      <c r="H491" s="164">
        <v>1623501.0</v>
      </c>
      <c r="I491" s="1">
        <v>42.0</v>
      </c>
    </row>
    <row r="492" ht="15.75" customHeight="1">
      <c r="A492" s="1">
        <v>4898492.0</v>
      </c>
      <c r="B492" s="1" t="s">
        <v>2143</v>
      </c>
      <c r="C492" s="1" t="s">
        <v>2144</v>
      </c>
      <c r="D492" s="1" t="s">
        <v>224</v>
      </c>
      <c r="E492" s="1" t="s">
        <v>478</v>
      </c>
      <c r="F492" s="1" t="s">
        <v>6717</v>
      </c>
      <c r="G492" s="1" t="str">
        <f>IFERROR(VLOOKUP(A492,H_C!$A$2:$G$2628,7,0),"Validar HC")</f>
        <v>Celi, Juan</v>
      </c>
      <c r="H492" s="164">
        <v>1623501.0</v>
      </c>
      <c r="I492" s="1">
        <v>42.0</v>
      </c>
    </row>
    <row r="493" ht="15.75" customHeight="1">
      <c r="A493" s="1">
        <v>4899941.0</v>
      </c>
      <c r="B493" s="1" t="s">
        <v>2145</v>
      </c>
      <c r="C493" s="1" t="s">
        <v>2146</v>
      </c>
      <c r="D493" s="1" t="s">
        <v>224</v>
      </c>
      <c r="E493" s="1" t="s">
        <v>1019</v>
      </c>
      <c r="F493" s="1" t="s">
        <v>6717</v>
      </c>
      <c r="G493" s="1" t="str">
        <f>IFERROR(VLOOKUP(A493,H_C!$A$2:$G$2628,7,0),"Validar HC")</f>
        <v>Celi, Juan</v>
      </c>
      <c r="H493" s="164">
        <v>1623501.0</v>
      </c>
      <c r="I493" s="1">
        <v>42.0</v>
      </c>
    </row>
    <row r="494" ht="15.75" customHeight="1">
      <c r="A494" s="1">
        <v>4899975.0</v>
      </c>
      <c r="B494" s="1" t="s">
        <v>2147</v>
      </c>
      <c r="C494" s="1" t="s">
        <v>2148</v>
      </c>
      <c r="D494" s="1" t="s">
        <v>224</v>
      </c>
      <c r="E494" s="1" t="s">
        <v>9</v>
      </c>
      <c r="F494" s="1" t="s">
        <v>6717</v>
      </c>
      <c r="G494" s="1" t="str">
        <f>IFERROR(VLOOKUP(A494,H_C!$A$2:$G$2628,7,0),"Validar HC")</f>
        <v>Celi, Juan</v>
      </c>
      <c r="H494" s="164">
        <v>1623501.0</v>
      </c>
      <c r="I494" s="1">
        <v>42.0</v>
      </c>
    </row>
    <row r="495" ht="15.75" customHeight="1">
      <c r="A495" s="1">
        <v>4901124.0</v>
      </c>
      <c r="B495" s="1" t="s">
        <v>1867</v>
      </c>
      <c r="C495" s="1" t="s">
        <v>1868</v>
      </c>
      <c r="D495" s="1" t="s">
        <v>224</v>
      </c>
      <c r="E495" s="1" t="s">
        <v>853</v>
      </c>
      <c r="F495" s="1" t="s">
        <v>6717</v>
      </c>
      <c r="G495" s="1" t="str">
        <f>IFERROR(VLOOKUP(A495,H_C!$A$2:$G$2628,7,0),"Validar HC")</f>
        <v>Garcia, Helmer</v>
      </c>
      <c r="H495" s="164">
        <v>1623501.0</v>
      </c>
      <c r="I495" s="1">
        <v>42.0</v>
      </c>
    </row>
    <row r="496" ht="15.75" customHeight="1">
      <c r="A496" s="1">
        <v>4901213.0</v>
      </c>
      <c r="B496" s="1" t="s">
        <v>2151</v>
      </c>
      <c r="C496" s="1" t="s">
        <v>2153</v>
      </c>
      <c r="D496" s="1" t="s">
        <v>224</v>
      </c>
      <c r="E496" s="1" t="s">
        <v>323</v>
      </c>
      <c r="F496" s="1" t="s">
        <v>6717</v>
      </c>
      <c r="G496" s="1" t="str">
        <f>IFERROR(VLOOKUP(A496,H_C!$A$2:$G$2628,7,0),"Validar HC")</f>
        <v>Martinez, Wendy</v>
      </c>
      <c r="H496" s="164">
        <v>1623501.0</v>
      </c>
      <c r="I496" s="1">
        <v>42.0</v>
      </c>
    </row>
    <row r="497" ht="15.75" customHeight="1">
      <c r="A497" s="1">
        <v>4901230.0</v>
      </c>
      <c r="B497" s="1" t="s">
        <v>2156</v>
      </c>
      <c r="C497" s="1" t="s">
        <v>2157</v>
      </c>
      <c r="D497" s="1" t="s">
        <v>224</v>
      </c>
      <c r="E497" s="1" t="s">
        <v>485</v>
      </c>
      <c r="F497" s="1" t="s">
        <v>6717</v>
      </c>
      <c r="G497" s="1" t="str">
        <f>IFERROR(VLOOKUP(A497,H_C!$A$2:$G$2628,7,0),"Validar HC")</f>
        <v>Martinez, Wendy</v>
      </c>
      <c r="H497" s="164">
        <v>1623501.0</v>
      </c>
      <c r="I497" s="1">
        <v>42.0</v>
      </c>
    </row>
    <row r="498" ht="15.75" customHeight="1">
      <c r="A498" s="1">
        <v>4901372.0</v>
      </c>
      <c r="B498" s="1" t="s">
        <v>2160</v>
      </c>
      <c r="C498" s="1" t="s">
        <v>2161</v>
      </c>
      <c r="D498" s="1" t="s">
        <v>224</v>
      </c>
      <c r="E498" s="1" t="s">
        <v>676</v>
      </c>
      <c r="F498" s="1" t="s">
        <v>6717</v>
      </c>
      <c r="G498" s="1" t="str">
        <f>IFERROR(VLOOKUP(A498,H_C!$A$2:$G$2628,7,0),"Validar HC")</f>
        <v>Garatejo, Natalia</v>
      </c>
      <c r="H498" s="164">
        <v>1623501.0</v>
      </c>
      <c r="I498" s="1">
        <v>42.0</v>
      </c>
    </row>
    <row r="499" ht="15.75" customHeight="1">
      <c r="A499" s="1">
        <v>4904156.0</v>
      </c>
      <c r="B499" s="1" t="s">
        <v>2164</v>
      </c>
      <c r="C499" s="1" t="s">
        <v>2165</v>
      </c>
      <c r="D499" s="1" t="s">
        <v>224</v>
      </c>
      <c r="E499" s="1" t="s">
        <v>632</v>
      </c>
      <c r="F499" s="1" t="s">
        <v>6717</v>
      </c>
      <c r="G499" s="1" t="str">
        <f>IFERROR(VLOOKUP(A499,H_C!$A$2:$G$2628,7,0),"Validar HC")</f>
        <v>Gonzalez, Cristian</v>
      </c>
      <c r="H499" s="164">
        <v>1623501.0</v>
      </c>
      <c r="I499" s="1">
        <v>42.0</v>
      </c>
    </row>
    <row r="500" ht="15.75" customHeight="1">
      <c r="A500" s="1">
        <v>4905287.0</v>
      </c>
      <c r="B500" s="1" t="s">
        <v>2168</v>
      </c>
      <c r="C500" s="1" t="s">
        <v>2169</v>
      </c>
      <c r="D500" s="1" t="s">
        <v>224</v>
      </c>
      <c r="E500" s="1" t="s">
        <v>522</v>
      </c>
      <c r="F500" s="1" t="s">
        <v>6717</v>
      </c>
      <c r="G500" s="1" t="str">
        <f>IFERROR(VLOOKUP(A500,H_C!$A$2:$G$2628,7,0),"Validar HC")</f>
        <v>Martinez, Wendy</v>
      </c>
      <c r="H500" s="164">
        <v>1623501.0</v>
      </c>
      <c r="I500" s="1">
        <v>42.0</v>
      </c>
    </row>
    <row r="501" ht="15.75" customHeight="1">
      <c r="A501" s="1">
        <v>4905621.0</v>
      </c>
      <c r="B501" s="1" t="s">
        <v>2172</v>
      </c>
      <c r="C501" s="1" t="s">
        <v>2173</v>
      </c>
      <c r="D501" s="1" t="s">
        <v>224</v>
      </c>
      <c r="E501" s="1" t="s">
        <v>1791</v>
      </c>
      <c r="F501" s="1" t="s">
        <v>6717</v>
      </c>
      <c r="G501" s="1" t="str">
        <f>IFERROR(VLOOKUP(A501,H_C!$A$2:$G$2628,7,0),"Validar HC")</f>
        <v>Garcia, Helmer</v>
      </c>
      <c r="H501" s="164">
        <v>1623501.0</v>
      </c>
      <c r="I501" s="1">
        <v>42.0</v>
      </c>
    </row>
    <row r="502" ht="15.75" customHeight="1">
      <c r="A502" s="1">
        <v>4906839.0</v>
      </c>
      <c r="B502" s="1" t="s">
        <v>2176</v>
      </c>
      <c r="C502" s="1" t="s">
        <v>2177</v>
      </c>
      <c r="D502" s="1" t="s">
        <v>224</v>
      </c>
      <c r="E502" s="1" t="s">
        <v>385</v>
      </c>
      <c r="F502" s="1" t="s">
        <v>6717</v>
      </c>
      <c r="G502" s="1" t="str">
        <f>IFERROR(VLOOKUP(A502,H_C!$A$2:$G$2628,7,0),"Validar HC")</f>
        <v>Garatejo, Natalia</v>
      </c>
      <c r="H502" s="164">
        <v>1623501.0</v>
      </c>
      <c r="I502" s="1">
        <v>42.0</v>
      </c>
    </row>
    <row r="503" ht="15.75" customHeight="1">
      <c r="A503" s="1">
        <v>4909449.0</v>
      </c>
      <c r="B503" s="1" t="s">
        <v>2180</v>
      </c>
      <c r="C503" s="1" t="s">
        <v>2182</v>
      </c>
      <c r="D503" s="1" t="s">
        <v>224</v>
      </c>
      <c r="E503" s="1" t="s">
        <v>738</v>
      </c>
      <c r="F503" s="1" t="s">
        <v>6717</v>
      </c>
      <c r="G503" s="1" t="str">
        <f>IFERROR(VLOOKUP(A503,H_C!$A$2:$G$2628,7,0),"Validar HC")</f>
        <v>Garcia, Helmer</v>
      </c>
      <c r="H503" s="164">
        <v>1623501.0</v>
      </c>
      <c r="I503" s="1">
        <v>42.0</v>
      </c>
    </row>
    <row r="504" ht="15.75" customHeight="1">
      <c r="A504" s="1">
        <v>4909472.0</v>
      </c>
      <c r="B504" s="1" t="s">
        <v>2185</v>
      </c>
      <c r="C504" s="1" t="s">
        <v>2186</v>
      </c>
      <c r="D504" s="1" t="s">
        <v>224</v>
      </c>
      <c r="E504" s="1" t="s">
        <v>986</v>
      </c>
      <c r="F504" s="1" t="s">
        <v>6717</v>
      </c>
      <c r="G504" s="1" t="str">
        <f>IFERROR(VLOOKUP(A504,H_C!$A$2:$G$2628,7,0),"Validar HC")</f>
        <v>Garatejo, Natalia</v>
      </c>
      <c r="H504" s="164">
        <v>1623501.0</v>
      </c>
      <c r="I504" s="1">
        <v>42.0</v>
      </c>
    </row>
    <row r="505" ht="15.75" customHeight="1">
      <c r="A505" s="1">
        <v>4909513.0</v>
      </c>
      <c r="B505" s="1" t="s">
        <v>2189</v>
      </c>
      <c r="C505" s="1" t="s">
        <v>2190</v>
      </c>
      <c r="D505" s="1" t="s">
        <v>224</v>
      </c>
      <c r="E505" s="1" t="s">
        <v>907</v>
      </c>
      <c r="F505" s="1" t="s">
        <v>6717</v>
      </c>
      <c r="G505" s="1" t="str">
        <f>IFERROR(VLOOKUP(A505,H_C!$A$2:$G$2628,7,0),"Validar HC")</f>
        <v>Gonzalez, Cristian</v>
      </c>
      <c r="H505" s="164">
        <v>1623501.0</v>
      </c>
      <c r="I505" s="1">
        <v>42.0</v>
      </c>
    </row>
    <row r="506" ht="15.75" customHeight="1">
      <c r="A506" s="1">
        <v>4911283.0</v>
      </c>
      <c r="B506" s="1" t="s">
        <v>2193</v>
      </c>
      <c r="C506" s="1" t="s">
        <v>2194</v>
      </c>
      <c r="D506" s="1" t="s">
        <v>224</v>
      </c>
      <c r="E506" s="1" t="s">
        <v>121</v>
      </c>
      <c r="F506" s="1" t="s">
        <v>6717</v>
      </c>
      <c r="G506" s="1" t="str">
        <f>IFERROR(VLOOKUP(A506,H_C!$A$2:$G$2628,7,0),"Validar HC")</f>
        <v>Ospina, Michel</v>
      </c>
      <c r="H506" s="164">
        <v>1623501.0</v>
      </c>
      <c r="I506" s="1">
        <v>42.0</v>
      </c>
    </row>
    <row r="507" ht="15.75" customHeight="1">
      <c r="A507" s="1">
        <v>4911771.0</v>
      </c>
      <c r="B507" s="1" t="s">
        <v>984</v>
      </c>
      <c r="C507" s="1" t="s">
        <v>985</v>
      </c>
      <c r="D507" s="1" t="s">
        <v>224</v>
      </c>
      <c r="E507" s="1" t="s">
        <v>254</v>
      </c>
      <c r="F507" s="1" t="s">
        <v>6717</v>
      </c>
      <c r="G507" s="1" t="str">
        <f>IFERROR(VLOOKUP(A507,H_C!$A$2:$G$2628,7,0),"Validar HC")</f>
        <v>Gonzalez, Cristian</v>
      </c>
      <c r="H507" s="164">
        <v>1623501.0</v>
      </c>
      <c r="I507" s="1">
        <v>42.0</v>
      </c>
    </row>
    <row r="508" ht="15.75" customHeight="1">
      <c r="A508" s="1">
        <v>4919434.0</v>
      </c>
      <c r="B508" s="1" t="s">
        <v>2197</v>
      </c>
      <c r="C508" s="1" t="s">
        <v>2198</v>
      </c>
      <c r="D508" s="1" t="s">
        <v>224</v>
      </c>
      <c r="E508" s="1" t="s">
        <v>567</v>
      </c>
      <c r="F508" s="1" t="s">
        <v>6717</v>
      </c>
      <c r="G508" s="1" t="str">
        <f>IFERROR(VLOOKUP(A508,H_C!$A$2:$G$2628,7,0),"Validar HC")</f>
        <v>Martinez, Wendy</v>
      </c>
      <c r="H508" s="164">
        <v>1623501.0</v>
      </c>
      <c r="I508" s="1">
        <v>42.0</v>
      </c>
    </row>
    <row r="509" ht="15.75" customHeight="1">
      <c r="A509" s="1">
        <v>4919653.0</v>
      </c>
      <c r="B509" s="1" t="s">
        <v>2201</v>
      </c>
      <c r="C509" s="1" t="s">
        <v>2202</v>
      </c>
      <c r="D509" s="1" t="s">
        <v>224</v>
      </c>
      <c r="E509" s="1" t="s">
        <v>800</v>
      </c>
      <c r="F509" s="1" t="s">
        <v>6717</v>
      </c>
      <c r="G509" s="1" t="str">
        <f>IFERROR(VLOOKUP(A509,H_C!$A$2:$G$2628,7,0),"Validar HC")</f>
        <v>Garatejo, Natalia</v>
      </c>
      <c r="H509" s="164">
        <v>1623501.0</v>
      </c>
      <c r="I509" s="1">
        <v>42.0</v>
      </c>
    </row>
    <row r="510" ht="15.75" customHeight="1">
      <c r="A510" s="1">
        <v>4919670.0</v>
      </c>
      <c r="B510" s="1" t="s">
        <v>2205</v>
      </c>
      <c r="C510" s="1" t="s">
        <v>2206</v>
      </c>
      <c r="D510" s="1" t="s">
        <v>224</v>
      </c>
      <c r="E510" s="1" t="s">
        <v>800</v>
      </c>
      <c r="F510" s="1" t="s">
        <v>6717</v>
      </c>
      <c r="G510" s="1" t="str">
        <f>IFERROR(VLOOKUP(A510,H_C!$A$2:$G$2628,7,0),"Validar HC")</f>
        <v>Garatejo, Natalia</v>
      </c>
      <c r="H510" s="164">
        <v>1623501.0</v>
      </c>
      <c r="I510" s="1">
        <v>42.0</v>
      </c>
    </row>
    <row r="511" ht="15.75" customHeight="1">
      <c r="A511" s="1">
        <v>4920675.0</v>
      </c>
      <c r="B511" s="1" t="s">
        <v>2209</v>
      </c>
      <c r="C511" s="1" t="s">
        <v>2210</v>
      </c>
      <c r="D511" s="1" t="s">
        <v>224</v>
      </c>
      <c r="E511" s="1" t="s">
        <v>813</v>
      </c>
      <c r="F511" s="1" t="s">
        <v>6717</v>
      </c>
      <c r="G511" s="1" t="str">
        <f>IFERROR(VLOOKUP(A511,H_C!$A$2:$G$2628,7,0),"Validar HC")</f>
        <v>Garatejo, Natalia</v>
      </c>
      <c r="H511" s="164">
        <v>1623501.0</v>
      </c>
      <c r="I511" s="1">
        <v>42.0</v>
      </c>
    </row>
    <row r="512" ht="15.75" customHeight="1">
      <c r="A512" s="1">
        <v>4920677.0</v>
      </c>
      <c r="B512" s="1" t="s">
        <v>2213</v>
      </c>
      <c r="C512" s="1" t="s">
        <v>2214</v>
      </c>
      <c r="D512" s="1" t="s">
        <v>224</v>
      </c>
      <c r="E512" s="1" t="s">
        <v>506</v>
      </c>
      <c r="F512" s="1" t="s">
        <v>6717</v>
      </c>
      <c r="G512" s="1" t="str">
        <f>IFERROR(VLOOKUP(A512,H_C!$A$2:$G$2628,7,0),"Validar HC")</f>
        <v>Ospina, Michel</v>
      </c>
      <c r="H512" s="164">
        <v>1623501.0</v>
      </c>
      <c r="I512" s="1">
        <v>42.0</v>
      </c>
    </row>
    <row r="513" ht="15.75" customHeight="1">
      <c r="A513" s="1">
        <v>4921049.0</v>
      </c>
      <c r="B513" s="1" t="s">
        <v>2215</v>
      </c>
      <c r="C513" s="1" t="s">
        <v>2216</v>
      </c>
      <c r="D513" s="1" t="s">
        <v>224</v>
      </c>
      <c r="E513" s="1" t="s">
        <v>794</v>
      </c>
      <c r="F513" s="1" t="s">
        <v>6717</v>
      </c>
      <c r="G513" s="1" t="str">
        <f>IFERROR(VLOOKUP(A513,H_C!$A$2:$G$2628,7,0),"Validar HC")</f>
        <v>Osorio, Julian</v>
      </c>
      <c r="H513" s="164">
        <v>1623501.0</v>
      </c>
      <c r="I513" s="1">
        <v>42.0</v>
      </c>
    </row>
    <row r="514" ht="15.75" customHeight="1">
      <c r="A514" s="1">
        <v>4921090.0</v>
      </c>
      <c r="B514" s="1" t="s">
        <v>2217</v>
      </c>
      <c r="C514" s="1" t="s">
        <v>2218</v>
      </c>
      <c r="D514" s="1" t="s">
        <v>224</v>
      </c>
      <c r="E514" s="1" t="s">
        <v>457</v>
      </c>
      <c r="F514" s="1" t="s">
        <v>6717</v>
      </c>
      <c r="G514" s="1" t="str">
        <f>IFERROR(VLOOKUP(A514,H_C!$A$2:$G$2628,7,0),"Validar HC")</f>
        <v>Celi, Juan</v>
      </c>
      <c r="H514" s="164">
        <v>1623501.0</v>
      </c>
      <c r="I514" s="1">
        <v>42.0</v>
      </c>
    </row>
    <row r="515" ht="15.75" customHeight="1">
      <c r="A515" s="1">
        <v>4927103.0</v>
      </c>
      <c r="B515" s="1" t="s">
        <v>2221</v>
      </c>
      <c r="C515" s="1" t="s">
        <v>2222</v>
      </c>
      <c r="D515" s="1" t="s">
        <v>224</v>
      </c>
      <c r="E515" s="1" t="s">
        <v>491</v>
      </c>
      <c r="F515" s="1" t="s">
        <v>6717</v>
      </c>
      <c r="G515" s="1" t="str">
        <f>IFERROR(VLOOKUP(A515,H_C!$A$2:$G$2628,7,0),"Validar HC")</f>
        <v>Soler, Maria</v>
      </c>
      <c r="H515" s="164">
        <v>1623501.0</v>
      </c>
      <c r="I515" s="1">
        <v>42.0</v>
      </c>
    </row>
    <row r="516" ht="15.75" customHeight="1">
      <c r="A516" s="1">
        <v>4928992.0</v>
      </c>
      <c r="B516" s="1" t="s">
        <v>2225</v>
      </c>
      <c r="C516" s="1" t="s">
        <v>2226</v>
      </c>
      <c r="D516" s="1" t="s">
        <v>224</v>
      </c>
      <c r="E516" s="1" t="s">
        <v>986</v>
      </c>
      <c r="F516" s="1" t="s">
        <v>6717</v>
      </c>
      <c r="G516" s="1" t="str">
        <f>IFERROR(VLOOKUP(A516,H_C!$A$2:$G$2628,7,0),"Validar HC")</f>
        <v>Garatejo, Natalia</v>
      </c>
      <c r="H516" s="164">
        <v>1623501.0</v>
      </c>
      <c r="I516" s="1">
        <v>42.0</v>
      </c>
    </row>
    <row r="517" ht="15.75" customHeight="1">
      <c r="A517" s="1">
        <v>4930885.0</v>
      </c>
      <c r="B517" s="1" t="s">
        <v>1222</v>
      </c>
      <c r="C517" s="1" t="s">
        <v>1223</v>
      </c>
      <c r="D517" s="1" t="s">
        <v>224</v>
      </c>
      <c r="E517" s="1" t="s">
        <v>441</v>
      </c>
      <c r="F517" s="1" t="s">
        <v>6717</v>
      </c>
      <c r="G517" s="1" t="str">
        <f>IFERROR(VLOOKUP(A517,H_C!$A$2:$G$2628,7,0),"Validar HC")</f>
        <v>Gonzalez, Cristian</v>
      </c>
      <c r="H517" s="164">
        <v>1623501.0</v>
      </c>
      <c r="I517" s="1">
        <v>42.0</v>
      </c>
    </row>
    <row r="518" ht="15.75" customHeight="1">
      <c r="A518" s="1">
        <v>4931528.0</v>
      </c>
      <c r="B518" s="1" t="s">
        <v>2233</v>
      </c>
      <c r="C518" s="1" t="s">
        <v>2234</v>
      </c>
      <c r="D518" s="1" t="s">
        <v>224</v>
      </c>
      <c r="E518" s="1" t="s">
        <v>10</v>
      </c>
      <c r="F518" s="1" t="s">
        <v>6717</v>
      </c>
      <c r="G518" s="1" t="str">
        <f>IFERROR(VLOOKUP(A518,H_C!$A$2:$G$2628,7,0),"Validar HC")</f>
        <v>Gonzalez, Cristian</v>
      </c>
      <c r="H518" s="164">
        <v>1623501.0</v>
      </c>
      <c r="I518" s="1">
        <v>42.0</v>
      </c>
    </row>
    <row r="519" ht="15.75" customHeight="1">
      <c r="A519" s="1">
        <v>4931529.0</v>
      </c>
      <c r="B519" s="1" t="s">
        <v>2237</v>
      </c>
      <c r="C519" s="1" t="s">
        <v>2238</v>
      </c>
      <c r="D519" s="1" t="s">
        <v>224</v>
      </c>
      <c r="E519" s="1" t="s">
        <v>695</v>
      </c>
      <c r="F519" s="1" t="s">
        <v>6717</v>
      </c>
      <c r="G519" s="1" t="str">
        <f>IFERROR(VLOOKUP(A519,H_C!$A$2:$G$2628,7,0),"Validar HC")</f>
        <v>Ayala, Giselle</v>
      </c>
      <c r="H519" s="164">
        <v>1623501.0</v>
      </c>
      <c r="I519" s="1">
        <v>42.0</v>
      </c>
    </row>
    <row r="520" ht="15.75" customHeight="1">
      <c r="A520" s="1">
        <v>4931574.0</v>
      </c>
      <c r="B520" s="1" t="s">
        <v>2241</v>
      </c>
      <c r="C520" s="1" t="s">
        <v>2242</v>
      </c>
      <c r="D520" s="1" t="s">
        <v>224</v>
      </c>
      <c r="E520" s="1" t="s">
        <v>1019</v>
      </c>
      <c r="F520" s="1" t="s">
        <v>6717</v>
      </c>
      <c r="G520" s="1" t="str">
        <f>IFERROR(VLOOKUP(A520,H_C!$A$2:$G$2628,7,0),"Validar HC")</f>
        <v>Celi, Juan</v>
      </c>
      <c r="H520" s="164">
        <v>1623501.0</v>
      </c>
      <c r="I520" s="1">
        <v>42.0</v>
      </c>
    </row>
    <row r="521" ht="15.75" customHeight="1">
      <c r="A521" s="1">
        <v>4931575.0</v>
      </c>
      <c r="B521" s="1" t="s">
        <v>2245</v>
      </c>
      <c r="C521" s="1" t="s">
        <v>2246</v>
      </c>
      <c r="D521" s="1" t="s">
        <v>224</v>
      </c>
      <c r="E521" s="1" t="s">
        <v>1348</v>
      </c>
      <c r="F521" s="1" t="s">
        <v>6717</v>
      </c>
      <c r="G521" s="1" t="str">
        <f>IFERROR(VLOOKUP(A521,H_C!$A$2:$G$2628,7,0),"Validar HC")</f>
        <v>Celi, Juan</v>
      </c>
      <c r="H521" s="164">
        <v>1623501.0</v>
      </c>
      <c r="I521" s="1">
        <v>42.0</v>
      </c>
    </row>
    <row r="522" ht="15.75" customHeight="1">
      <c r="A522" s="1">
        <v>4931582.0</v>
      </c>
      <c r="B522" s="1" t="s">
        <v>2249</v>
      </c>
      <c r="C522" s="1" t="s">
        <v>2250</v>
      </c>
      <c r="D522" s="1" t="s">
        <v>224</v>
      </c>
      <c r="E522" s="1" t="s">
        <v>1143</v>
      </c>
      <c r="F522" s="1" t="s">
        <v>6717</v>
      </c>
      <c r="G522" s="1" t="str">
        <f>IFERROR(VLOOKUP(A522,H_C!$A$2:$G$2628,7,0),"Validar HC")</f>
        <v>Celi, Juan</v>
      </c>
      <c r="H522" s="164">
        <v>1623501.0</v>
      </c>
      <c r="I522" s="1">
        <v>42.0</v>
      </c>
    </row>
    <row r="523" ht="15.75" customHeight="1">
      <c r="A523" s="1">
        <v>4931604.0</v>
      </c>
      <c r="B523" s="1" t="s">
        <v>2253</v>
      </c>
      <c r="C523" s="1" t="s">
        <v>2254</v>
      </c>
      <c r="D523" s="1" t="s">
        <v>224</v>
      </c>
      <c r="E523" s="1" t="s">
        <v>1348</v>
      </c>
      <c r="F523" s="1" t="s">
        <v>6717</v>
      </c>
      <c r="G523" s="1" t="str">
        <f>IFERROR(VLOOKUP(A523,H_C!$A$2:$G$2628,7,0),"Validar HC")</f>
        <v>Celi, Juan</v>
      </c>
      <c r="H523" s="164">
        <v>1623501.0</v>
      </c>
      <c r="I523" s="1">
        <v>42.0</v>
      </c>
    </row>
    <row r="524" ht="15.75" customHeight="1">
      <c r="A524" s="1">
        <v>4932543.0</v>
      </c>
      <c r="B524" s="1" t="s">
        <v>2255</v>
      </c>
      <c r="C524" s="1" t="s">
        <v>2256</v>
      </c>
      <c r="D524" s="1" t="s">
        <v>224</v>
      </c>
      <c r="E524" s="1" t="s">
        <v>567</v>
      </c>
      <c r="F524" s="1" t="s">
        <v>6717</v>
      </c>
      <c r="G524" s="1" t="str">
        <f>IFERROR(VLOOKUP(A524,H_C!$A$2:$G$2628,7,0),"Validar HC")</f>
        <v>Martinez, Wendy</v>
      </c>
      <c r="H524" s="164">
        <v>1623501.0</v>
      </c>
      <c r="I524" s="1">
        <v>42.0</v>
      </c>
    </row>
    <row r="525" ht="15.75" customHeight="1">
      <c r="A525" s="1">
        <v>4932751.0</v>
      </c>
      <c r="B525" s="1" t="s">
        <v>2257</v>
      </c>
      <c r="C525" s="1" t="s">
        <v>2258</v>
      </c>
      <c r="D525" s="1" t="s">
        <v>224</v>
      </c>
      <c r="E525" s="1" t="s">
        <v>1348</v>
      </c>
      <c r="F525" s="1" t="s">
        <v>6717</v>
      </c>
      <c r="G525" s="1" t="str">
        <f>IFERROR(VLOOKUP(A525,H_C!$A$2:$G$2628,7,0),"Validar HC")</f>
        <v>Celi, Juan</v>
      </c>
      <c r="H525" s="164">
        <v>1623501.0</v>
      </c>
      <c r="I525" s="1">
        <v>42.0</v>
      </c>
    </row>
    <row r="526" ht="15.75" customHeight="1">
      <c r="A526" s="1">
        <v>4932840.0</v>
      </c>
      <c r="B526" s="1" t="s">
        <v>2261</v>
      </c>
      <c r="C526" s="1" t="s">
        <v>2262</v>
      </c>
      <c r="D526" s="1" t="s">
        <v>224</v>
      </c>
      <c r="E526" s="1" t="s">
        <v>120</v>
      </c>
      <c r="F526" s="1" t="s">
        <v>6717</v>
      </c>
      <c r="G526" s="1" t="str">
        <f>IFERROR(VLOOKUP(A526,H_C!$A$2:$G$2628,7,0),"Validar HC")</f>
        <v>Ospina, Michel</v>
      </c>
      <c r="H526" s="164">
        <v>1623501.0</v>
      </c>
      <c r="I526" s="1">
        <v>42.0</v>
      </c>
    </row>
    <row r="527" ht="15.75" customHeight="1">
      <c r="A527" s="1">
        <v>4933320.0</v>
      </c>
      <c r="B527" s="1" t="s">
        <v>2263</v>
      </c>
      <c r="C527" s="1" t="s">
        <v>2264</v>
      </c>
      <c r="D527" s="1" t="s">
        <v>224</v>
      </c>
      <c r="E527" s="1" t="s">
        <v>632</v>
      </c>
      <c r="F527" s="1" t="s">
        <v>6717</v>
      </c>
      <c r="G527" s="1" t="str">
        <f>IFERROR(VLOOKUP(A527,H_C!$A$2:$G$2628,7,0),"Validar HC")</f>
        <v>Gonzalez, Cristian</v>
      </c>
      <c r="H527" s="164">
        <v>1623501.0</v>
      </c>
      <c r="I527" s="1">
        <v>42.0</v>
      </c>
    </row>
    <row r="528" ht="15.75" customHeight="1">
      <c r="A528" s="1">
        <v>4934316.0</v>
      </c>
      <c r="B528" s="1" t="s">
        <v>2267</v>
      </c>
      <c r="C528" s="1" t="s">
        <v>2268</v>
      </c>
      <c r="D528" s="1" t="s">
        <v>224</v>
      </c>
      <c r="E528" s="1" t="s">
        <v>401</v>
      </c>
      <c r="F528" s="1" t="s">
        <v>6717</v>
      </c>
      <c r="G528" s="1" t="str">
        <f>IFERROR(VLOOKUP(A528,H_C!$A$2:$G$2628,7,0),"Validar HC")</f>
        <v>Martinez, Wendy</v>
      </c>
      <c r="H528" s="164">
        <v>1623501.0</v>
      </c>
      <c r="I528" s="1">
        <v>42.0</v>
      </c>
    </row>
    <row r="529" ht="15.75" customHeight="1">
      <c r="A529" s="1">
        <v>4938062.0</v>
      </c>
      <c r="B529" s="1" t="s">
        <v>2271</v>
      </c>
      <c r="C529" s="1" t="s">
        <v>2272</v>
      </c>
      <c r="D529" s="1" t="s">
        <v>224</v>
      </c>
      <c r="E529" s="1" t="s">
        <v>412</v>
      </c>
      <c r="F529" s="1" t="s">
        <v>6717</v>
      </c>
      <c r="G529" s="1" t="str">
        <f>IFERROR(VLOOKUP(A529,H_C!$A$2:$G$2628,7,0),"Validar HC")</f>
        <v>Ospina, Michel</v>
      </c>
      <c r="H529" s="164">
        <v>1623501.0</v>
      </c>
      <c r="I529" s="1">
        <v>42.0</v>
      </c>
    </row>
    <row r="530" ht="15.75" customHeight="1">
      <c r="A530" s="1">
        <v>4938065.0</v>
      </c>
      <c r="B530" s="1" t="s">
        <v>2275</v>
      </c>
      <c r="C530" s="1" t="s">
        <v>2276</v>
      </c>
      <c r="D530" s="1" t="s">
        <v>224</v>
      </c>
      <c r="E530" s="1" t="s">
        <v>847</v>
      </c>
      <c r="F530" s="1" t="s">
        <v>6717</v>
      </c>
      <c r="G530" s="1" t="str">
        <f>IFERROR(VLOOKUP(A530,H_C!$A$2:$G$2628,7,0),"Validar HC")</f>
        <v>Garatejo, Natalia</v>
      </c>
      <c r="H530" s="164">
        <v>1623501.0</v>
      </c>
      <c r="I530" s="1">
        <v>42.0</v>
      </c>
    </row>
    <row r="531" ht="15.75" customHeight="1">
      <c r="A531" s="1">
        <v>4938069.0</v>
      </c>
      <c r="B531" s="1" t="s">
        <v>2279</v>
      </c>
      <c r="C531" s="1" t="s">
        <v>2280</v>
      </c>
      <c r="D531" s="1" t="s">
        <v>224</v>
      </c>
      <c r="E531" s="1" t="s">
        <v>331</v>
      </c>
      <c r="F531" s="1" t="s">
        <v>6717</v>
      </c>
      <c r="G531" s="1" t="str">
        <f>IFERROR(VLOOKUP(A531,H_C!$A$2:$G$2628,7,0),"Validar HC")</f>
        <v>Garzon, Maria</v>
      </c>
      <c r="H531" s="164">
        <v>1623501.0</v>
      </c>
      <c r="I531" s="1">
        <v>42.0</v>
      </c>
    </row>
    <row r="532" ht="15.75" customHeight="1">
      <c r="A532" s="1">
        <v>4941896.0</v>
      </c>
      <c r="B532" s="1" t="s">
        <v>368</v>
      </c>
      <c r="C532" s="1" t="s">
        <v>369</v>
      </c>
      <c r="D532" s="1" t="s">
        <v>224</v>
      </c>
      <c r="E532" s="1" t="s">
        <v>329</v>
      </c>
      <c r="F532" s="1" t="s">
        <v>6717</v>
      </c>
      <c r="G532" s="1" t="str">
        <f>IFERROR(VLOOKUP(A532,H_C!$A$2:$G$2628,7,0),"Validar HC")</f>
        <v>Garatejo, Natalia</v>
      </c>
      <c r="H532" s="164">
        <v>1623501.0</v>
      </c>
      <c r="I532" s="1">
        <v>42.0</v>
      </c>
    </row>
    <row r="533" ht="15.75" customHeight="1">
      <c r="A533" s="1">
        <v>4942985.0</v>
      </c>
      <c r="B533" s="1" t="s">
        <v>2286</v>
      </c>
      <c r="C533" s="1" t="s">
        <v>2287</v>
      </c>
      <c r="D533" s="1" t="s">
        <v>224</v>
      </c>
      <c r="E533" s="1" t="s">
        <v>2285</v>
      </c>
      <c r="F533" s="1" t="s">
        <v>6717</v>
      </c>
      <c r="G533" s="1" t="str">
        <f>IFERROR(VLOOKUP(A533,H_C!$A$2:$G$2628,7,0),"Validar HC")</f>
        <v>Ayala, Giselle</v>
      </c>
      <c r="H533" s="164">
        <v>1623501.0</v>
      </c>
      <c r="I533" s="1">
        <v>42.0</v>
      </c>
    </row>
    <row r="534" ht="15.75" customHeight="1">
      <c r="A534" s="1">
        <v>4944374.0</v>
      </c>
      <c r="B534" s="1" t="s">
        <v>2029</v>
      </c>
      <c r="C534" s="1" t="s">
        <v>2030</v>
      </c>
      <c r="D534" s="1" t="s">
        <v>224</v>
      </c>
      <c r="E534" s="1" t="s">
        <v>592</v>
      </c>
      <c r="F534" s="1" t="s">
        <v>6717</v>
      </c>
      <c r="G534" s="1" t="str">
        <f>IFERROR(VLOOKUP(A534,H_C!$A$2:$G$2628,7,0),"Validar HC")</f>
        <v>Garcia, Helmer</v>
      </c>
      <c r="H534" s="164">
        <v>1623501.0</v>
      </c>
      <c r="I534" s="1">
        <v>42.0</v>
      </c>
    </row>
    <row r="535" ht="15.75" customHeight="1">
      <c r="A535" s="1">
        <v>4944380.0</v>
      </c>
      <c r="B535" s="1" t="s">
        <v>6743</v>
      </c>
      <c r="C535" s="1" t="s">
        <v>6744</v>
      </c>
      <c r="D535" s="1" t="s">
        <v>224</v>
      </c>
      <c r="E535" s="1" t="s">
        <v>331</v>
      </c>
      <c r="F535" s="1" t="s">
        <v>6717</v>
      </c>
      <c r="G535" s="1" t="str">
        <f>IFERROR(VLOOKUP(A535,H_C!$A$2:$G$2628,7,0),"Validar HC")</f>
        <v>Validar HC</v>
      </c>
      <c r="H535" s="164">
        <v>1623501.0</v>
      </c>
      <c r="I535" s="1">
        <v>42.0</v>
      </c>
    </row>
    <row r="536" ht="15.75" customHeight="1">
      <c r="A536" s="1">
        <v>4952936.0</v>
      </c>
      <c r="B536" s="1" t="s">
        <v>2292</v>
      </c>
      <c r="C536" s="1" t="s">
        <v>2293</v>
      </c>
      <c r="D536" s="1" t="s">
        <v>224</v>
      </c>
      <c r="E536" s="1" t="s">
        <v>794</v>
      </c>
      <c r="F536" s="1" t="s">
        <v>6717</v>
      </c>
      <c r="G536" s="1" t="str">
        <f>IFERROR(VLOOKUP(A536,H_C!$A$2:$G$2628,7,0),"Validar HC")</f>
        <v>Osorio, Julian</v>
      </c>
      <c r="H536" s="164">
        <v>1623501.0</v>
      </c>
      <c r="I536" s="1">
        <v>42.0</v>
      </c>
    </row>
    <row r="537" ht="15.75" customHeight="1">
      <c r="A537" s="1">
        <v>4954268.0</v>
      </c>
      <c r="B537" s="1" t="s">
        <v>1830</v>
      </c>
      <c r="C537" s="1" t="s">
        <v>1831</v>
      </c>
      <c r="D537" s="1" t="s">
        <v>224</v>
      </c>
      <c r="E537" s="1" t="s">
        <v>835</v>
      </c>
      <c r="F537" s="1" t="s">
        <v>6717</v>
      </c>
      <c r="G537" s="1" t="str">
        <f>IFERROR(VLOOKUP(A537,H_C!$A$2:$G$2628,7,0),"Validar HC")</f>
        <v>Martinez, Wendy</v>
      </c>
      <c r="H537" s="164">
        <v>1623501.0</v>
      </c>
      <c r="I537" s="1">
        <v>42.0</v>
      </c>
    </row>
    <row r="538" ht="15.75" customHeight="1">
      <c r="A538" s="1">
        <v>4958618.0</v>
      </c>
      <c r="B538" s="1" t="s">
        <v>2298</v>
      </c>
      <c r="C538" s="1" t="s">
        <v>2299</v>
      </c>
      <c r="D538" s="1" t="s">
        <v>224</v>
      </c>
      <c r="E538" s="1" t="s">
        <v>835</v>
      </c>
      <c r="F538" s="1" t="s">
        <v>6717</v>
      </c>
      <c r="G538" s="1" t="str">
        <f>IFERROR(VLOOKUP(A538,H_C!$A$2:$G$2628,7,0),"Validar HC")</f>
        <v>Martinez, Wendy</v>
      </c>
      <c r="H538" s="164">
        <v>1623501.0</v>
      </c>
      <c r="I538" s="1">
        <v>42.0</v>
      </c>
    </row>
    <row r="539" ht="15.75" customHeight="1">
      <c r="A539" s="1">
        <v>4958627.0</v>
      </c>
      <c r="B539" s="1" t="s">
        <v>2302</v>
      </c>
      <c r="C539" s="1" t="s">
        <v>2303</v>
      </c>
      <c r="D539" s="1" t="s">
        <v>224</v>
      </c>
      <c r="E539" s="1" t="s">
        <v>485</v>
      </c>
      <c r="F539" s="1" t="s">
        <v>6717</v>
      </c>
      <c r="G539" s="1" t="str">
        <f>IFERROR(VLOOKUP(A539,H_C!$A$2:$G$2628,7,0),"Validar HC")</f>
        <v>Martinez, Wendy</v>
      </c>
      <c r="H539" s="164">
        <v>1623501.0</v>
      </c>
      <c r="I539" s="1">
        <v>42.0</v>
      </c>
    </row>
    <row r="540" ht="15.75" customHeight="1">
      <c r="A540" s="1">
        <v>4959584.0</v>
      </c>
      <c r="B540" s="1" t="s">
        <v>2306</v>
      </c>
      <c r="C540" s="1" t="s">
        <v>2308</v>
      </c>
      <c r="D540" s="1" t="s">
        <v>224</v>
      </c>
      <c r="E540" s="1" t="s">
        <v>416</v>
      </c>
      <c r="F540" s="1" t="s">
        <v>6717</v>
      </c>
      <c r="G540" s="1" t="str">
        <f>IFERROR(VLOOKUP(A540,H_C!$A$2:$G$2628,7,0),"Validar HC")</f>
        <v>Soler, Maria</v>
      </c>
      <c r="H540" s="164">
        <v>1623501.0</v>
      </c>
      <c r="I540" s="1">
        <v>42.0</v>
      </c>
    </row>
    <row r="541" ht="15.75" customHeight="1">
      <c r="A541" s="1">
        <v>4961379.0</v>
      </c>
      <c r="B541" s="1" t="s">
        <v>745</v>
      </c>
      <c r="C541" s="1" t="s">
        <v>746</v>
      </c>
      <c r="D541" s="1" t="s">
        <v>224</v>
      </c>
      <c r="E541" s="1" t="s">
        <v>289</v>
      </c>
      <c r="F541" s="1" t="s">
        <v>6717</v>
      </c>
      <c r="G541" s="1" t="str">
        <f>IFERROR(VLOOKUP(A541,H_C!$A$2:$G$2628,7,0),"Validar HC")</f>
        <v>Celi, Juan</v>
      </c>
      <c r="H541" s="164">
        <v>1623501.0</v>
      </c>
      <c r="I541" s="1">
        <v>42.0</v>
      </c>
    </row>
    <row r="542" ht="15.75" customHeight="1">
      <c r="A542" s="1">
        <v>4961384.0</v>
      </c>
      <c r="B542" s="1" t="s">
        <v>1842</v>
      </c>
      <c r="C542" s="1" t="s">
        <v>1843</v>
      </c>
      <c r="D542" s="1" t="s">
        <v>224</v>
      </c>
      <c r="E542" s="1" t="s">
        <v>835</v>
      </c>
      <c r="F542" s="1" t="s">
        <v>6717</v>
      </c>
      <c r="G542" s="1" t="str">
        <f>IFERROR(VLOOKUP(A542,H_C!$A$2:$G$2628,7,0),"Validar HC")</f>
        <v>Martinez, Wendy</v>
      </c>
      <c r="H542" s="164">
        <v>1623501.0</v>
      </c>
      <c r="I542" s="1">
        <v>42.0</v>
      </c>
    </row>
    <row r="543" ht="15.75" customHeight="1">
      <c r="A543" s="1">
        <v>4964609.0</v>
      </c>
      <c r="B543" s="1" t="s">
        <v>2033</v>
      </c>
      <c r="C543" s="1" t="s">
        <v>2034</v>
      </c>
      <c r="D543" s="1" t="s">
        <v>224</v>
      </c>
      <c r="E543" s="1" t="s">
        <v>1921</v>
      </c>
      <c r="F543" s="1" t="s">
        <v>6717</v>
      </c>
      <c r="G543" s="1" t="str">
        <f>IFERROR(VLOOKUP(A543,H_C!$A$2:$G$2628,7,0),"Validar HC")</f>
        <v>Garcia, Helmer</v>
      </c>
      <c r="H543" s="164">
        <v>1623501.0</v>
      </c>
      <c r="I543" s="1">
        <v>42.0</v>
      </c>
    </row>
    <row r="544" ht="15.75" customHeight="1">
      <c r="A544" s="1">
        <v>4965764.0</v>
      </c>
      <c r="B544" s="1" t="s">
        <v>990</v>
      </c>
      <c r="C544" s="1" t="s">
        <v>991</v>
      </c>
      <c r="D544" s="1" t="s">
        <v>224</v>
      </c>
      <c r="E544" s="1" t="s">
        <v>254</v>
      </c>
      <c r="F544" s="1" t="s">
        <v>6717</v>
      </c>
      <c r="G544" s="1" t="str">
        <f>IFERROR(VLOOKUP(A544,H_C!$A$2:$G$2628,7,0),"Validar HC")</f>
        <v>Gonzalez, Cristian</v>
      </c>
      <c r="H544" s="164">
        <v>1623501.0</v>
      </c>
      <c r="I544" s="1">
        <v>42.0</v>
      </c>
    </row>
    <row r="545" ht="15.75" customHeight="1">
      <c r="A545" s="1">
        <v>4967709.0</v>
      </c>
      <c r="B545" s="1" t="s">
        <v>2319</v>
      </c>
      <c r="C545" s="1" t="s">
        <v>2320</v>
      </c>
      <c r="D545" s="1" t="s">
        <v>224</v>
      </c>
      <c r="E545" s="1" t="s">
        <v>232</v>
      </c>
      <c r="F545" s="1" t="s">
        <v>6717</v>
      </c>
      <c r="G545" s="1" t="str">
        <f>IFERROR(VLOOKUP(A545,H_C!$A$2:$G$2628,7,0),"Validar HC")</f>
        <v>Soler, Maria</v>
      </c>
      <c r="H545" s="164">
        <v>1623501.0</v>
      </c>
      <c r="I545" s="1">
        <v>42.0</v>
      </c>
    </row>
    <row r="546" ht="15.75" customHeight="1">
      <c r="A546" s="1">
        <v>4967985.0</v>
      </c>
      <c r="B546" s="1" t="s">
        <v>2323</v>
      </c>
      <c r="C546" s="1" t="s">
        <v>2324</v>
      </c>
      <c r="D546" s="1" t="s">
        <v>224</v>
      </c>
      <c r="E546" s="1" t="s">
        <v>1695</v>
      </c>
      <c r="F546" s="1" t="s">
        <v>6717</v>
      </c>
      <c r="G546" s="1" t="str">
        <f>IFERROR(VLOOKUP(A546,H_C!$A$2:$G$2628,7,0),"Validar HC")</f>
        <v>Ayala, Giselle</v>
      </c>
      <c r="H546" s="164">
        <v>1623501.0</v>
      </c>
      <c r="I546" s="1">
        <v>42.0</v>
      </c>
    </row>
    <row r="547" ht="15.75" customHeight="1">
      <c r="A547" s="1">
        <v>4968052.0</v>
      </c>
      <c r="B547" s="1" t="s">
        <v>2327</v>
      </c>
      <c r="C547" s="1" t="s">
        <v>2328</v>
      </c>
      <c r="D547" s="1" t="s">
        <v>224</v>
      </c>
      <c r="E547" s="1" t="s">
        <v>232</v>
      </c>
      <c r="F547" s="1" t="s">
        <v>6717</v>
      </c>
      <c r="G547" s="1" t="str">
        <f>IFERROR(VLOOKUP(A547,H_C!$A$2:$G$2628,7,0),"Validar HC")</f>
        <v>Soler, Maria</v>
      </c>
      <c r="H547" s="164">
        <v>1623501.0</v>
      </c>
      <c r="I547" s="1">
        <v>42.0</v>
      </c>
    </row>
    <row r="548" ht="15.75" customHeight="1">
      <c r="A548" s="1">
        <v>4968715.0</v>
      </c>
      <c r="B548" s="1" t="s">
        <v>268</v>
      </c>
      <c r="C548" s="1" t="s">
        <v>270</v>
      </c>
      <c r="D548" s="1" t="s">
        <v>224</v>
      </c>
      <c r="E548" s="1" t="s">
        <v>222</v>
      </c>
      <c r="F548" s="1" t="s">
        <v>6717</v>
      </c>
      <c r="G548" s="1" t="str">
        <f>IFERROR(VLOOKUP(A548,H_C!$A$2:$G$2628,7,0),"Validar HC")</f>
        <v>Soler, Maria</v>
      </c>
      <c r="H548" s="164">
        <v>1623501.0</v>
      </c>
      <c r="I548" s="1">
        <v>42.0</v>
      </c>
    </row>
    <row r="549" ht="15.75" customHeight="1">
      <c r="A549" s="1">
        <v>4969823.0</v>
      </c>
      <c r="B549" s="1" t="s">
        <v>2333</v>
      </c>
      <c r="C549" s="1" t="s">
        <v>2334</v>
      </c>
      <c r="D549" s="1" t="s">
        <v>224</v>
      </c>
      <c r="E549" s="1" t="s">
        <v>232</v>
      </c>
      <c r="F549" s="1" t="s">
        <v>6717</v>
      </c>
      <c r="G549" s="1" t="str">
        <f>IFERROR(VLOOKUP(A549,H_C!$A$2:$G$2628,7,0),"Validar HC")</f>
        <v>Soler, Maria</v>
      </c>
      <c r="H549" s="164">
        <v>1623501.0</v>
      </c>
      <c r="I549" s="1">
        <v>42.0</v>
      </c>
    </row>
    <row r="550" ht="15.75" customHeight="1">
      <c r="A550" s="1">
        <v>4973075.0</v>
      </c>
      <c r="B550" s="1" t="s">
        <v>1137</v>
      </c>
      <c r="C550" s="1" t="s">
        <v>1138</v>
      </c>
      <c r="D550" s="1" t="s">
        <v>224</v>
      </c>
      <c r="E550" s="1" t="s">
        <v>724</v>
      </c>
      <c r="F550" s="1" t="s">
        <v>6717</v>
      </c>
      <c r="G550" s="1" t="str">
        <f>IFERROR(VLOOKUP(A550,H_C!$A$2:$G$2628,7,0),"Validar HC")</f>
        <v>Garcia, Helmer</v>
      </c>
      <c r="H550" s="164">
        <v>1623501.0</v>
      </c>
      <c r="I550" s="1">
        <v>42.0</v>
      </c>
    </row>
    <row r="551" ht="15.75" customHeight="1">
      <c r="A551" s="1">
        <v>4975597.0</v>
      </c>
      <c r="B551" s="1" t="s">
        <v>2338</v>
      </c>
      <c r="C551" s="1" t="s">
        <v>2339</v>
      </c>
      <c r="D551" s="1" t="s">
        <v>224</v>
      </c>
      <c r="E551" s="1" t="s">
        <v>416</v>
      </c>
      <c r="F551" s="1" t="s">
        <v>6717</v>
      </c>
      <c r="G551" s="1" t="str">
        <f>IFERROR(VLOOKUP(A551,H_C!$A$2:$G$2628,7,0),"Validar HC")</f>
        <v>Soler, Maria</v>
      </c>
      <c r="H551" s="164">
        <v>1623501.0</v>
      </c>
      <c r="I551" s="1">
        <v>42.0</v>
      </c>
    </row>
    <row r="552" ht="15.75" customHeight="1">
      <c r="A552" s="1">
        <v>4980014.0</v>
      </c>
      <c r="B552" s="1" t="s">
        <v>2341</v>
      </c>
      <c r="C552" s="1" t="s">
        <v>2342</v>
      </c>
      <c r="D552" s="1" t="s">
        <v>224</v>
      </c>
      <c r="E552" s="1" t="s">
        <v>116</v>
      </c>
      <c r="F552" s="1" t="s">
        <v>6717</v>
      </c>
      <c r="G552" s="1" t="str">
        <f>IFERROR(VLOOKUP(A552,H_C!$A$2:$G$2628,7,0),"Validar HC")</f>
        <v>Ospina, Michel</v>
      </c>
      <c r="H552" s="164">
        <v>1623501.0</v>
      </c>
      <c r="I552" s="1">
        <v>42.0</v>
      </c>
    </row>
    <row r="553" ht="15.75" customHeight="1">
      <c r="A553" s="1">
        <v>4980685.0</v>
      </c>
      <c r="B553" s="1" t="s">
        <v>2344</v>
      </c>
      <c r="C553" s="1" t="s">
        <v>2345</v>
      </c>
      <c r="D553" s="1" t="s">
        <v>224</v>
      </c>
      <c r="E553" s="1" t="s">
        <v>1602</v>
      </c>
      <c r="F553" s="1" t="s">
        <v>6717</v>
      </c>
      <c r="G553" s="1" t="str">
        <f>IFERROR(VLOOKUP(A553,H_C!$A$2:$G$2628,7,0),"Validar HC")</f>
        <v>Ayala, Giselle</v>
      </c>
      <c r="H553" s="164">
        <v>1623501.0</v>
      </c>
      <c r="I553" s="1">
        <v>42.0</v>
      </c>
    </row>
    <row r="554" ht="15.75" customHeight="1">
      <c r="A554" s="1">
        <v>4981757.0</v>
      </c>
      <c r="B554" s="1" t="s">
        <v>2348</v>
      </c>
      <c r="C554" s="1" t="s">
        <v>2349</v>
      </c>
      <c r="D554" s="1" t="s">
        <v>224</v>
      </c>
      <c r="E554" s="1" t="s">
        <v>276</v>
      </c>
      <c r="F554" s="1" t="s">
        <v>6717</v>
      </c>
      <c r="G554" s="1" t="str">
        <f>IFERROR(VLOOKUP(A554,H_C!$A$2:$G$2628,7,0),"Validar HC")</f>
        <v>Gonzalez, Cristian</v>
      </c>
      <c r="H554" s="164">
        <v>1623501.0</v>
      </c>
      <c r="I554" s="1">
        <v>42.0</v>
      </c>
    </row>
    <row r="555" ht="15.75" customHeight="1">
      <c r="A555" s="1">
        <v>4981852.0</v>
      </c>
      <c r="B555" s="1" t="s">
        <v>2352</v>
      </c>
      <c r="C555" s="1" t="s">
        <v>2353</v>
      </c>
      <c r="D555" s="1" t="s">
        <v>224</v>
      </c>
      <c r="E555" s="1" t="s">
        <v>1602</v>
      </c>
      <c r="F555" s="1" t="s">
        <v>6717</v>
      </c>
      <c r="G555" s="1" t="str">
        <f>IFERROR(VLOOKUP(A555,H_C!$A$2:$G$2628,7,0),"Validar HC")</f>
        <v>Ayala, Giselle</v>
      </c>
      <c r="H555" s="164">
        <v>1623501.0</v>
      </c>
      <c r="I555" s="1">
        <v>42.0</v>
      </c>
    </row>
    <row r="556" ht="15.75" customHeight="1">
      <c r="A556" s="1">
        <v>4981904.0</v>
      </c>
      <c r="B556" s="1" t="s">
        <v>2037</v>
      </c>
      <c r="C556" s="1" t="s">
        <v>2038</v>
      </c>
      <c r="D556" s="1" t="s">
        <v>224</v>
      </c>
      <c r="E556" s="1" t="s">
        <v>391</v>
      </c>
      <c r="F556" s="1" t="s">
        <v>6717</v>
      </c>
      <c r="G556" s="1" t="str">
        <f>IFERROR(VLOOKUP(A556,H_C!$A$2:$G$2628,7,0),"Validar HC")</f>
        <v>Garcia, Helmer</v>
      </c>
      <c r="H556" s="164">
        <v>1623501.0</v>
      </c>
      <c r="I556" s="1">
        <v>42.0</v>
      </c>
    </row>
    <row r="557" ht="15.75" customHeight="1">
      <c r="A557" s="1">
        <v>4981957.0</v>
      </c>
      <c r="B557" s="1" t="s">
        <v>2358</v>
      </c>
      <c r="C557" s="1" t="s">
        <v>2359</v>
      </c>
      <c r="D557" s="1" t="s">
        <v>224</v>
      </c>
      <c r="E557" s="1" t="s">
        <v>526</v>
      </c>
      <c r="F557" s="1" t="s">
        <v>6717</v>
      </c>
      <c r="G557" s="1" t="str">
        <f>IFERROR(VLOOKUP(A557,H_C!$A$2:$G$2628,7,0),"Validar HC")</f>
        <v>Martinez, Wendy</v>
      </c>
      <c r="H557" s="164">
        <v>1623501.0</v>
      </c>
      <c r="I557" s="1">
        <v>42.0</v>
      </c>
    </row>
    <row r="558" ht="15.75" customHeight="1">
      <c r="A558" s="1">
        <v>4981959.0</v>
      </c>
      <c r="B558" s="1" t="s">
        <v>2361</v>
      </c>
      <c r="C558" s="1" t="s">
        <v>2362</v>
      </c>
      <c r="D558" s="1" t="s">
        <v>224</v>
      </c>
      <c r="E558" s="1" t="s">
        <v>1746</v>
      </c>
      <c r="F558" s="1" t="s">
        <v>6717</v>
      </c>
      <c r="G558" s="1" t="str">
        <f>IFERROR(VLOOKUP(A558,H_C!$A$2:$G$2628,7,0),"Validar HC")</f>
        <v>Ayala, Giselle</v>
      </c>
      <c r="H558" s="164">
        <v>1623501.0</v>
      </c>
      <c r="I558" s="1">
        <v>42.0</v>
      </c>
    </row>
    <row r="559" ht="15.75" customHeight="1">
      <c r="A559" s="1">
        <v>4983934.0</v>
      </c>
      <c r="B559" s="1" t="s">
        <v>2365</v>
      </c>
      <c r="C559" s="1" t="s">
        <v>2366</v>
      </c>
      <c r="D559" s="1" t="s">
        <v>224</v>
      </c>
      <c r="E559" s="1" t="s">
        <v>232</v>
      </c>
      <c r="F559" s="1" t="s">
        <v>6717</v>
      </c>
      <c r="G559" s="1" t="str">
        <f>IFERROR(VLOOKUP(A559,H_C!$A$2:$G$2628,7,0),"Validar HC")</f>
        <v>Soler, Maria</v>
      </c>
      <c r="H559" s="164">
        <v>1623501.0</v>
      </c>
      <c r="I559" s="1">
        <v>42.0</v>
      </c>
    </row>
    <row r="560" ht="15.75" customHeight="1">
      <c r="A560" s="1">
        <v>4984024.0</v>
      </c>
      <c r="B560" s="1" t="s">
        <v>2368</v>
      </c>
      <c r="C560" s="1" t="s">
        <v>2369</v>
      </c>
      <c r="D560" s="1" t="s">
        <v>224</v>
      </c>
      <c r="E560" s="1" t="s">
        <v>506</v>
      </c>
      <c r="F560" s="1" t="s">
        <v>6717</v>
      </c>
      <c r="G560" s="1" t="str">
        <f>IFERROR(VLOOKUP(A560,H_C!$A$2:$G$2628,7,0),"Validar HC")</f>
        <v>Ospina, Michel</v>
      </c>
      <c r="H560" s="164">
        <v>1623501.0</v>
      </c>
      <c r="I560" s="1">
        <v>42.0</v>
      </c>
    </row>
    <row r="561" ht="15.75" customHeight="1">
      <c r="A561" s="1">
        <v>4984206.0</v>
      </c>
      <c r="B561" s="1" t="s">
        <v>2373</v>
      </c>
      <c r="C561" s="1" t="s">
        <v>2375</v>
      </c>
      <c r="D561" s="1" t="s">
        <v>224</v>
      </c>
      <c r="E561" s="1" t="s">
        <v>2372</v>
      </c>
      <c r="F561" s="1" t="s">
        <v>6717</v>
      </c>
      <c r="G561" s="1" t="str">
        <f>IFERROR(VLOOKUP(A561,H_C!$A$2:$G$2628,7,0),"Validar HC")</f>
        <v>Garcia, Helmer</v>
      </c>
      <c r="H561" s="164">
        <v>1623501.0</v>
      </c>
      <c r="I561" s="1">
        <v>42.0</v>
      </c>
    </row>
    <row r="562" ht="15.75" customHeight="1">
      <c r="A562" s="1">
        <v>4990584.0</v>
      </c>
      <c r="B562" s="1" t="s">
        <v>2377</v>
      </c>
      <c r="C562" s="1" t="s">
        <v>2378</v>
      </c>
      <c r="D562" s="1" t="s">
        <v>224</v>
      </c>
      <c r="E562" s="1" t="s">
        <v>549</v>
      </c>
      <c r="F562" s="1" t="s">
        <v>6717</v>
      </c>
      <c r="G562" s="1" t="str">
        <f>IFERROR(VLOOKUP(A562,H_C!$A$2:$G$2628,7,0),"Validar HC")</f>
        <v>Soler, Maria</v>
      </c>
      <c r="H562" s="164">
        <v>1623501.0</v>
      </c>
      <c r="I562" s="1">
        <v>42.0</v>
      </c>
    </row>
    <row r="563" ht="15.75" customHeight="1">
      <c r="A563" s="1">
        <v>4993349.0</v>
      </c>
      <c r="B563" s="1" t="s">
        <v>1081</v>
      </c>
      <c r="C563" s="1" t="s">
        <v>1082</v>
      </c>
      <c r="D563" s="1" t="s">
        <v>224</v>
      </c>
      <c r="E563" s="1" t="s">
        <v>724</v>
      </c>
      <c r="F563" s="1" t="s">
        <v>6717</v>
      </c>
      <c r="G563" s="1" t="str">
        <f>IFERROR(VLOOKUP(A563,H_C!$A$2:$G$2628,7,0),"Validar HC")</f>
        <v>Garcia, Helmer</v>
      </c>
      <c r="H563" s="164">
        <v>1623501.0</v>
      </c>
      <c r="I563" s="1">
        <v>42.0</v>
      </c>
    </row>
    <row r="564" ht="15.75" customHeight="1">
      <c r="A564" s="1">
        <v>4997446.0</v>
      </c>
      <c r="B564" s="1" t="s">
        <v>2382</v>
      </c>
      <c r="C564" s="1" t="s">
        <v>2383</v>
      </c>
      <c r="D564" s="1" t="s">
        <v>224</v>
      </c>
      <c r="E564" s="1" t="s">
        <v>1602</v>
      </c>
      <c r="F564" s="1" t="s">
        <v>6717</v>
      </c>
      <c r="G564" s="1" t="str">
        <f>IFERROR(VLOOKUP(A564,H_C!$A$2:$G$2628,7,0),"Validar HC")</f>
        <v>Ayala, Giselle</v>
      </c>
      <c r="H564" s="164">
        <v>1623501.0</v>
      </c>
      <c r="I564" s="1">
        <v>42.0</v>
      </c>
    </row>
    <row r="565" ht="15.75" customHeight="1">
      <c r="A565" s="1">
        <v>5008040.0</v>
      </c>
      <c r="B565" s="1" t="s">
        <v>2385</v>
      </c>
      <c r="C565" s="1" t="s">
        <v>2386</v>
      </c>
      <c r="D565" s="1" t="s">
        <v>224</v>
      </c>
      <c r="E565" s="1" t="s">
        <v>263</v>
      </c>
      <c r="F565" s="1" t="s">
        <v>6717</v>
      </c>
      <c r="G565" s="1" t="str">
        <f>IFERROR(VLOOKUP(A565,H_C!$A$2:$G$2628,7,0),"Validar HC")</f>
        <v>Garcia, Helmer</v>
      </c>
      <c r="H565" s="164">
        <v>1623501.0</v>
      </c>
      <c r="I565" s="1">
        <v>42.0</v>
      </c>
    </row>
    <row r="566" ht="15.75" customHeight="1">
      <c r="A566" s="1">
        <v>5008124.0</v>
      </c>
      <c r="B566" s="1" t="s">
        <v>2389</v>
      </c>
      <c r="C566" s="1" t="s">
        <v>2390</v>
      </c>
      <c r="D566" s="1" t="s">
        <v>224</v>
      </c>
      <c r="E566" s="1" t="s">
        <v>289</v>
      </c>
      <c r="F566" s="1" t="s">
        <v>6717</v>
      </c>
      <c r="G566" s="1" t="str">
        <f>IFERROR(VLOOKUP(A566,H_C!$A$2:$G$2628,7,0),"Validar HC")</f>
        <v>Celi, Juan</v>
      </c>
      <c r="H566" s="164">
        <v>1623501.0</v>
      </c>
      <c r="I566" s="1">
        <v>42.0</v>
      </c>
    </row>
    <row r="567" ht="15.75" customHeight="1">
      <c r="A567" s="1">
        <v>5009813.0</v>
      </c>
      <c r="B567" s="1" t="s">
        <v>2393</v>
      </c>
      <c r="C567" s="1" t="s">
        <v>2394</v>
      </c>
      <c r="D567" s="1" t="s">
        <v>224</v>
      </c>
      <c r="E567" s="1" t="s">
        <v>289</v>
      </c>
      <c r="F567" s="1" t="s">
        <v>6717</v>
      </c>
      <c r="G567" s="1" t="str">
        <f>IFERROR(VLOOKUP(A567,H_C!$A$2:$G$2628,7,0),"Validar HC")</f>
        <v>Celi, Juan</v>
      </c>
      <c r="H567" s="164">
        <v>1623501.0</v>
      </c>
      <c r="I567" s="1">
        <v>42.0</v>
      </c>
    </row>
    <row r="568" ht="15.75" customHeight="1">
      <c r="A568" s="1">
        <v>5010063.0</v>
      </c>
      <c r="B568" s="1" t="s">
        <v>2397</v>
      </c>
      <c r="C568" s="1" t="s">
        <v>2399</v>
      </c>
      <c r="D568" s="1" t="s">
        <v>224</v>
      </c>
      <c r="E568" s="1" t="s">
        <v>1791</v>
      </c>
      <c r="F568" s="1" t="s">
        <v>6717</v>
      </c>
      <c r="G568" s="1" t="str">
        <f>IFERROR(VLOOKUP(A568,H_C!$A$2:$G$2628,7,0),"Validar HC")</f>
        <v>Garcia, Helmer</v>
      </c>
      <c r="H568" s="164">
        <v>1623501.0</v>
      </c>
      <c r="I568" s="1">
        <v>42.0</v>
      </c>
    </row>
    <row r="569" ht="15.75" customHeight="1">
      <c r="A569" s="1">
        <v>5012327.0</v>
      </c>
      <c r="B569" s="1" t="s">
        <v>2402</v>
      </c>
      <c r="C569" s="1" t="s">
        <v>2403</v>
      </c>
      <c r="D569" s="1" t="s">
        <v>224</v>
      </c>
      <c r="E569" s="1" t="s">
        <v>232</v>
      </c>
      <c r="F569" s="1" t="s">
        <v>6717</v>
      </c>
      <c r="G569" s="1" t="str">
        <f>IFERROR(VLOOKUP(A569,H_C!$A$2:$G$2628,7,0),"Validar HC")</f>
        <v>Soler, Maria</v>
      </c>
      <c r="H569" s="164">
        <v>1623501.0</v>
      </c>
      <c r="I569" s="1">
        <v>42.0</v>
      </c>
    </row>
    <row r="570" ht="15.75" customHeight="1">
      <c r="A570" s="1">
        <v>5012927.0</v>
      </c>
      <c r="B570" s="1" t="s">
        <v>2406</v>
      </c>
      <c r="C570" s="1" t="s">
        <v>2407</v>
      </c>
      <c r="D570" s="1" t="s">
        <v>224</v>
      </c>
      <c r="E570" s="1" t="s">
        <v>331</v>
      </c>
      <c r="F570" s="1" t="s">
        <v>6717</v>
      </c>
      <c r="G570" s="1" t="str">
        <f>IFERROR(VLOOKUP(A570,H_C!$A$2:$G$2628,7,0),"Validar HC")</f>
        <v>Pereira, Jorge</v>
      </c>
      <c r="H570" s="164">
        <v>1623501.0</v>
      </c>
      <c r="I570" s="1">
        <v>42.0</v>
      </c>
    </row>
    <row r="571" ht="15.75" customHeight="1">
      <c r="A571" s="1">
        <v>5013405.0</v>
      </c>
      <c r="B571" s="1" t="s">
        <v>2410</v>
      </c>
      <c r="C571" s="1" t="s">
        <v>2411</v>
      </c>
      <c r="D571" s="1" t="s">
        <v>224</v>
      </c>
      <c r="E571" s="1" t="s">
        <v>847</v>
      </c>
      <c r="F571" s="1" t="s">
        <v>6717</v>
      </c>
      <c r="G571" s="1" t="str">
        <f>IFERROR(VLOOKUP(A571,H_C!$A$2:$G$2628,7,0),"Validar HC")</f>
        <v>Garatejo, Natalia</v>
      </c>
      <c r="H571" s="164">
        <v>1623501.0</v>
      </c>
      <c r="I571" s="1">
        <v>42.0</v>
      </c>
    </row>
    <row r="572" ht="15.75" customHeight="1">
      <c r="A572" s="1">
        <v>5013887.0</v>
      </c>
      <c r="B572" s="1" t="s">
        <v>2414</v>
      </c>
      <c r="C572" s="1" t="s">
        <v>2415</v>
      </c>
      <c r="D572" s="1" t="s">
        <v>224</v>
      </c>
      <c r="E572" s="1" t="s">
        <v>1177</v>
      </c>
      <c r="F572" s="1" t="s">
        <v>6717</v>
      </c>
      <c r="G572" s="1" t="str">
        <f>IFERROR(VLOOKUP(A572,H_C!$A$2:$G$2628,7,0),"Validar HC")</f>
        <v>Martinez, Wendy</v>
      </c>
      <c r="H572" s="164">
        <v>1623501.0</v>
      </c>
      <c r="I572" s="1">
        <v>42.0</v>
      </c>
    </row>
    <row r="573" ht="15.75" customHeight="1">
      <c r="A573" s="1">
        <v>5013893.0</v>
      </c>
      <c r="B573" s="1" t="s">
        <v>2418</v>
      </c>
      <c r="C573" s="1" t="s">
        <v>2419</v>
      </c>
      <c r="D573" s="1" t="s">
        <v>224</v>
      </c>
      <c r="E573" s="1" t="s">
        <v>467</v>
      </c>
      <c r="F573" s="1" t="s">
        <v>6717</v>
      </c>
      <c r="G573" s="1" t="str">
        <f>IFERROR(VLOOKUP(A573,H_C!$A$2:$G$2628,7,0),"Validar HC")</f>
        <v>Martinez, Wendy</v>
      </c>
      <c r="H573" s="164">
        <v>1623501.0</v>
      </c>
      <c r="I573" s="1">
        <v>42.0</v>
      </c>
    </row>
    <row r="574" ht="15.75" customHeight="1">
      <c r="A574" s="1">
        <v>5013942.0</v>
      </c>
      <c r="B574" s="1" t="s">
        <v>2420</v>
      </c>
      <c r="C574" s="1" t="s">
        <v>2421</v>
      </c>
      <c r="D574" s="1" t="s">
        <v>224</v>
      </c>
      <c r="E574" s="1" t="s">
        <v>835</v>
      </c>
      <c r="F574" s="1" t="s">
        <v>6717</v>
      </c>
      <c r="G574" s="1" t="str">
        <f>IFERROR(VLOOKUP(A574,H_C!$A$2:$G$2628,7,0),"Validar HC")</f>
        <v>Martinez, Wendy</v>
      </c>
      <c r="H574" s="164">
        <v>1623501.0</v>
      </c>
      <c r="I574" s="1">
        <v>42.0</v>
      </c>
    </row>
    <row r="575" ht="15.75" customHeight="1">
      <c r="A575" s="1">
        <v>5013954.0</v>
      </c>
      <c r="B575" s="1" t="s">
        <v>2422</v>
      </c>
      <c r="C575" s="1" t="s">
        <v>2423</v>
      </c>
      <c r="D575" s="1" t="s">
        <v>224</v>
      </c>
      <c r="E575" s="1" t="s">
        <v>526</v>
      </c>
      <c r="F575" s="1" t="s">
        <v>6717</v>
      </c>
      <c r="G575" s="1" t="str">
        <f>IFERROR(VLOOKUP(A575,H_C!$A$2:$G$2628,7,0),"Validar HC")</f>
        <v>Martinez, Wendy</v>
      </c>
      <c r="H575" s="164">
        <v>1623501.0</v>
      </c>
      <c r="I575" s="1">
        <v>42.0</v>
      </c>
    </row>
    <row r="576" ht="15.75" customHeight="1">
      <c r="A576" s="1">
        <v>5014641.0</v>
      </c>
      <c r="B576" s="1" t="s">
        <v>2426</v>
      </c>
      <c r="C576" s="1" t="s">
        <v>2427</v>
      </c>
      <c r="D576" s="1" t="s">
        <v>224</v>
      </c>
      <c r="E576" s="1" t="s">
        <v>555</v>
      </c>
      <c r="F576" s="1" t="s">
        <v>6717</v>
      </c>
      <c r="G576" s="1" t="str">
        <f>IFERROR(VLOOKUP(A576,H_C!$A$2:$G$2628,7,0),"Validar HC")</f>
        <v>Ayala, Giselle</v>
      </c>
      <c r="H576" s="164">
        <v>1623501.0</v>
      </c>
      <c r="I576" s="1">
        <v>42.0</v>
      </c>
    </row>
    <row r="577" ht="15.75" customHeight="1">
      <c r="A577" s="1">
        <v>5014819.0</v>
      </c>
      <c r="B577" s="1" t="s">
        <v>2430</v>
      </c>
      <c r="C577" s="1" t="s">
        <v>2431</v>
      </c>
      <c r="D577" s="1" t="s">
        <v>224</v>
      </c>
      <c r="E577" s="1" t="s">
        <v>847</v>
      </c>
      <c r="F577" s="1" t="s">
        <v>6717</v>
      </c>
      <c r="G577" s="1" t="str">
        <f>IFERROR(VLOOKUP(A577,H_C!$A$2:$G$2628,7,0),"Validar HC")</f>
        <v>Garatejo, Natalia</v>
      </c>
      <c r="H577" s="164">
        <v>1623501.0</v>
      </c>
      <c r="I577" s="1">
        <v>42.0</v>
      </c>
    </row>
    <row r="578" ht="15.75" customHeight="1">
      <c r="A578" s="1">
        <v>5016217.0</v>
      </c>
      <c r="B578" s="1" t="s">
        <v>2432</v>
      </c>
      <c r="C578" s="1" t="s">
        <v>2433</v>
      </c>
      <c r="D578" s="1" t="s">
        <v>224</v>
      </c>
      <c r="E578" s="1" t="s">
        <v>374</v>
      </c>
      <c r="F578" s="1" t="s">
        <v>6717</v>
      </c>
      <c r="G578" s="1" t="str">
        <f>IFERROR(VLOOKUP(A578,H_C!$A$2:$G$2628,7,0),"Validar HC")</f>
        <v>Martinez, Wendy</v>
      </c>
      <c r="H578" s="164">
        <v>1623501.0</v>
      </c>
      <c r="I578" s="1">
        <v>42.0</v>
      </c>
    </row>
    <row r="579" ht="15.75" customHeight="1">
      <c r="A579" s="1">
        <v>5016219.0</v>
      </c>
      <c r="B579" s="1" t="s">
        <v>2436</v>
      </c>
      <c r="C579" s="1" t="s">
        <v>2437</v>
      </c>
      <c r="D579" s="1" t="s">
        <v>224</v>
      </c>
      <c r="E579" s="1" t="s">
        <v>478</v>
      </c>
      <c r="F579" s="1" t="s">
        <v>6717</v>
      </c>
      <c r="G579" s="1" t="str">
        <f>IFERROR(VLOOKUP(A579,H_C!$A$2:$G$2628,7,0),"Validar HC")</f>
        <v>Celi, Juan</v>
      </c>
      <c r="H579" s="164">
        <v>1623501.0</v>
      </c>
      <c r="I579" s="1">
        <v>42.0</v>
      </c>
    </row>
    <row r="580" ht="15.75" customHeight="1">
      <c r="A580" s="1">
        <v>5016450.0</v>
      </c>
      <c r="B580" s="1" t="s">
        <v>749</v>
      </c>
      <c r="C580" s="1" t="s">
        <v>750</v>
      </c>
      <c r="D580" s="1" t="s">
        <v>224</v>
      </c>
      <c r="E580" s="1" t="s">
        <v>289</v>
      </c>
      <c r="F580" s="1" t="s">
        <v>6717</v>
      </c>
      <c r="G580" s="1" t="str">
        <f>IFERROR(VLOOKUP(A580,H_C!$A$2:$G$2628,7,0),"Validar HC")</f>
        <v>Celi, Juan</v>
      </c>
      <c r="H580" s="164">
        <v>1623501.0</v>
      </c>
      <c r="I580" s="1">
        <v>42.0</v>
      </c>
    </row>
    <row r="581" ht="15.75" customHeight="1">
      <c r="A581" s="1">
        <v>5016557.0</v>
      </c>
      <c r="B581" s="1" t="s">
        <v>1455</v>
      </c>
      <c r="C581" s="1" t="s">
        <v>1456</v>
      </c>
      <c r="D581" s="1" t="s">
        <v>224</v>
      </c>
      <c r="E581" s="1" t="s">
        <v>289</v>
      </c>
      <c r="F581" s="1" t="s">
        <v>6717</v>
      </c>
      <c r="G581" s="1" t="str">
        <f>IFERROR(VLOOKUP(A581,H_C!$A$2:$G$2628,7,0),"Validar HC")</f>
        <v>Celi, Juan</v>
      </c>
      <c r="H581" s="164">
        <v>1623501.0</v>
      </c>
      <c r="I581" s="1">
        <v>42.0</v>
      </c>
    </row>
    <row r="582" ht="15.75" customHeight="1">
      <c r="A582" s="1">
        <v>5017426.0</v>
      </c>
      <c r="B582" s="1" t="s">
        <v>2444</v>
      </c>
      <c r="C582" s="1" t="s">
        <v>2445</v>
      </c>
      <c r="D582" s="1" t="s">
        <v>224</v>
      </c>
      <c r="E582" s="1" t="s">
        <v>232</v>
      </c>
      <c r="F582" s="1" t="s">
        <v>6717</v>
      </c>
      <c r="G582" s="1" t="str">
        <f>IFERROR(VLOOKUP(A582,H_C!$A$2:$G$2628,7,0),"Validar HC")</f>
        <v>Soler, Maria</v>
      </c>
      <c r="H582" s="164">
        <v>1623501.0</v>
      </c>
      <c r="I582" s="1">
        <v>42.0</v>
      </c>
    </row>
    <row r="583" ht="15.75" customHeight="1">
      <c r="A583" s="1">
        <v>5017444.0</v>
      </c>
      <c r="B583" s="1" t="s">
        <v>2448</v>
      </c>
      <c r="C583" s="1" t="s">
        <v>2449</v>
      </c>
      <c r="D583" s="1" t="s">
        <v>224</v>
      </c>
      <c r="E583" s="1" t="s">
        <v>232</v>
      </c>
      <c r="F583" s="1" t="s">
        <v>6717</v>
      </c>
      <c r="G583" s="1" t="str">
        <f>IFERROR(VLOOKUP(A583,H_C!$A$2:$G$2628,7,0),"Validar HC")</f>
        <v>Soler, Maria</v>
      </c>
      <c r="H583" s="164">
        <v>1623501.0</v>
      </c>
      <c r="I583" s="1">
        <v>42.0</v>
      </c>
    </row>
    <row r="584" ht="15.75" customHeight="1">
      <c r="A584" s="1">
        <v>5017778.0</v>
      </c>
      <c r="B584" s="1" t="s">
        <v>798</v>
      </c>
      <c r="C584" s="1" t="s">
        <v>799</v>
      </c>
      <c r="D584" s="1" t="s">
        <v>224</v>
      </c>
      <c r="E584" s="1" t="s">
        <v>289</v>
      </c>
      <c r="F584" s="1" t="s">
        <v>6717</v>
      </c>
      <c r="G584" s="1" t="str">
        <f>IFERROR(VLOOKUP(A584,H_C!$A$2:$G$2628,7,0),"Validar HC")</f>
        <v>Celi, Juan</v>
      </c>
      <c r="H584" s="164">
        <v>1623501.0</v>
      </c>
      <c r="I584" s="1">
        <v>42.0</v>
      </c>
    </row>
    <row r="585" ht="15.75" customHeight="1">
      <c r="A585" s="1">
        <v>5017910.0</v>
      </c>
      <c r="B585" s="1" t="s">
        <v>2454</v>
      </c>
      <c r="C585" s="1" t="s">
        <v>2455</v>
      </c>
      <c r="D585" s="1" t="s">
        <v>224</v>
      </c>
      <c r="E585" s="1" t="s">
        <v>695</v>
      </c>
      <c r="F585" s="1" t="s">
        <v>6717</v>
      </c>
      <c r="G585" s="1" t="str">
        <f>IFERROR(VLOOKUP(A585,H_C!$A$2:$G$2628,7,0),"Validar HC")</f>
        <v>Ayala, Giselle</v>
      </c>
      <c r="H585" s="164">
        <v>1623501.0</v>
      </c>
      <c r="I585" s="1">
        <v>42.0</v>
      </c>
    </row>
    <row r="586" ht="15.75" customHeight="1">
      <c r="A586" s="1">
        <v>5017920.0</v>
      </c>
      <c r="B586" s="1" t="s">
        <v>1520</v>
      </c>
      <c r="C586" s="1" t="s">
        <v>1521</v>
      </c>
      <c r="D586" s="1" t="s">
        <v>224</v>
      </c>
      <c r="E586" s="1" t="s">
        <v>478</v>
      </c>
      <c r="F586" s="1" t="s">
        <v>6717</v>
      </c>
      <c r="G586" s="1" t="str">
        <f>IFERROR(VLOOKUP(A586,H_C!$A$2:$G$2628,7,0),"Validar HC")</f>
        <v>Celi, Juan</v>
      </c>
      <c r="H586" s="164">
        <v>1623501.0</v>
      </c>
      <c r="I586" s="1">
        <v>42.0</v>
      </c>
    </row>
    <row r="587" ht="15.75" customHeight="1">
      <c r="A587" s="1">
        <v>5017922.0</v>
      </c>
      <c r="B587" s="1" t="s">
        <v>2460</v>
      </c>
      <c r="C587" s="1" t="s">
        <v>2461</v>
      </c>
      <c r="D587" s="1" t="s">
        <v>224</v>
      </c>
      <c r="E587" s="1" t="s">
        <v>847</v>
      </c>
      <c r="F587" s="1" t="s">
        <v>6717</v>
      </c>
      <c r="G587" s="1" t="str">
        <f>IFERROR(VLOOKUP(A587,H_C!$A$2:$G$2628,7,0),"Validar HC")</f>
        <v>Garatejo, Natalia</v>
      </c>
      <c r="H587" s="164">
        <v>1623501.0</v>
      </c>
      <c r="I587" s="1">
        <v>42.0</v>
      </c>
    </row>
    <row r="588" ht="15.75" customHeight="1">
      <c r="A588" s="1">
        <v>5528028.0</v>
      </c>
      <c r="B588" s="1" t="s">
        <v>67</v>
      </c>
      <c r="C588" s="1" t="s">
        <v>1369</v>
      </c>
      <c r="D588" s="1" t="s">
        <v>224</v>
      </c>
      <c r="E588" s="1" t="s">
        <v>13</v>
      </c>
      <c r="F588" s="1" t="s">
        <v>6717</v>
      </c>
      <c r="G588" s="1" t="str">
        <f>IFERROR(VLOOKUP(A588,H_C!$A$2:$G$2628,7,0),"Validar HC")</f>
        <v>Ospina, Michel</v>
      </c>
      <c r="H588" s="162">
        <v>1600000.0</v>
      </c>
      <c r="I588" s="1">
        <v>42.0</v>
      </c>
    </row>
    <row r="589" ht="15.75" customHeight="1">
      <c r="A589" s="1">
        <v>5327778.0</v>
      </c>
      <c r="B589" s="1" t="s">
        <v>49</v>
      </c>
      <c r="C589" s="1" t="s">
        <v>1372</v>
      </c>
      <c r="D589" s="1" t="s">
        <v>224</v>
      </c>
      <c r="E589" s="1" t="s">
        <v>13</v>
      </c>
      <c r="F589" s="1" t="s">
        <v>6717</v>
      </c>
      <c r="G589" s="1" t="str">
        <f>IFERROR(VLOOKUP(A589,H_C!$A$2:$G$2628,7,0),"Validar HC")</f>
        <v>Ospina, Michel</v>
      </c>
      <c r="H589" s="162">
        <v>1600000.0</v>
      </c>
      <c r="I589" s="1">
        <v>42.0</v>
      </c>
    </row>
    <row r="590" ht="15.75" customHeight="1">
      <c r="A590" s="1">
        <v>5022893.0</v>
      </c>
      <c r="B590" s="1" t="s">
        <v>2468</v>
      </c>
      <c r="C590" s="1" t="s">
        <v>2469</v>
      </c>
      <c r="D590" s="1" t="s">
        <v>224</v>
      </c>
      <c r="E590" s="1" t="s">
        <v>120</v>
      </c>
      <c r="F590" s="1" t="s">
        <v>6717</v>
      </c>
      <c r="G590" s="1" t="str">
        <f>IFERROR(VLOOKUP(A590,H_C!$A$2:$G$2628,7,0),"Validar HC")</f>
        <v>Ospina, Michel</v>
      </c>
      <c r="H590" s="164">
        <v>1623501.0</v>
      </c>
      <c r="I590" s="1">
        <v>42.0</v>
      </c>
    </row>
    <row r="591" ht="15.75" customHeight="1">
      <c r="A591" s="1">
        <v>5024081.0</v>
      </c>
      <c r="B591" s="1" t="s">
        <v>2472</v>
      </c>
      <c r="C591" s="1" t="s">
        <v>2473</v>
      </c>
      <c r="D591" s="1" t="s">
        <v>224</v>
      </c>
      <c r="E591" s="1" t="s">
        <v>567</v>
      </c>
      <c r="F591" s="1" t="s">
        <v>6717</v>
      </c>
      <c r="G591" s="1" t="str">
        <f>IFERROR(VLOOKUP(A591,H_C!$A$2:$G$2628,7,0),"Validar HC")</f>
        <v>Martinez, Wendy</v>
      </c>
      <c r="H591" s="164">
        <v>1623501.0</v>
      </c>
      <c r="I591" s="1">
        <v>42.0</v>
      </c>
    </row>
    <row r="592" ht="15.75" customHeight="1">
      <c r="A592" s="1">
        <v>5027198.0</v>
      </c>
      <c r="B592" s="1" t="s">
        <v>2476</v>
      </c>
      <c r="C592" s="1" t="s">
        <v>2477</v>
      </c>
      <c r="D592" s="1" t="s">
        <v>224</v>
      </c>
      <c r="E592" s="1" t="s">
        <v>491</v>
      </c>
      <c r="F592" s="1" t="s">
        <v>6717</v>
      </c>
      <c r="G592" s="1" t="str">
        <f>IFERROR(VLOOKUP(A592,H_C!$A$2:$G$2628,7,0),"Validar HC")</f>
        <v>Soler, Maria</v>
      </c>
      <c r="H592" s="164">
        <v>1623501.0</v>
      </c>
      <c r="I592" s="1">
        <v>42.0</v>
      </c>
    </row>
    <row r="593" ht="15.75" customHeight="1">
      <c r="A593" s="1">
        <v>5027588.0</v>
      </c>
      <c r="B593" s="1" t="s">
        <v>2480</v>
      </c>
      <c r="C593" s="1" t="s">
        <v>2481</v>
      </c>
      <c r="D593" s="1" t="s">
        <v>224</v>
      </c>
      <c r="E593" s="1" t="s">
        <v>567</v>
      </c>
      <c r="F593" s="1" t="s">
        <v>6717</v>
      </c>
      <c r="G593" s="1" t="str">
        <f>IFERROR(VLOOKUP(A593,H_C!$A$2:$G$2628,7,0),"Validar HC")</f>
        <v>Martinez, Wendy</v>
      </c>
      <c r="H593" s="164">
        <v>1623501.0</v>
      </c>
      <c r="I593" s="1">
        <v>42.0</v>
      </c>
    </row>
    <row r="594" ht="15.75" customHeight="1">
      <c r="A594" s="1">
        <v>5029423.0</v>
      </c>
      <c r="B594" s="1" t="s">
        <v>1255</v>
      </c>
      <c r="C594" s="1" t="s">
        <v>1256</v>
      </c>
      <c r="D594" s="1" t="s">
        <v>224</v>
      </c>
      <c r="E594" s="1" t="s">
        <v>309</v>
      </c>
      <c r="F594" s="1" t="s">
        <v>6717</v>
      </c>
      <c r="G594" s="1" t="str">
        <f>IFERROR(VLOOKUP(A594,H_C!$A$2:$G$2628,7,0),"Validar HC")</f>
        <v>Gonzalez, Cristian</v>
      </c>
      <c r="H594" s="164">
        <v>1623501.0</v>
      </c>
      <c r="I594" s="1">
        <v>42.0</v>
      </c>
    </row>
    <row r="595" ht="15.75" customHeight="1">
      <c r="A595" s="1">
        <v>5029446.0</v>
      </c>
      <c r="B595" s="1" t="s">
        <v>2486</v>
      </c>
      <c r="C595" s="1" t="s">
        <v>2488</v>
      </c>
      <c r="D595" s="1" t="s">
        <v>224</v>
      </c>
      <c r="E595" s="1" t="s">
        <v>329</v>
      </c>
      <c r="F595" s="1" t="s">
        <v>6717</v>
      </c>
      <c r="G595" s="1" t="str">
        <f>IFERROR(VLOOKUP(A595,H_C!$A$2:$G$2628,7,0),"Validar HC")</f>
        <v>Garatejo, Natalia</v>
      </c>
      <c r="H595" s="164">
        <v>1623501.0</v>
      </c>
      <c r="I595" s="1">
        <v>42.0</v>
      </c>
    </row>
    <row r="596" ht="15.75" customHeight="1">
      <c r="A596" s="1">
        <v>5030347.0</v>
      </c>
      <c r="B596" s="1" t="s">
        <v>2489</v>
      </c>
      <c r="C596" s="1" t="s">
        <v>2490</v>
      </c>
      <c r="D596" s="1" t="s">
        <v>224</v>
      </c>
      <c r="E596" s="1" t="s">
        <v>549</v>
      </c>
      <c r="F596" s="1" t="s">
        <v>6717</v>
      </c>
      <c r="G596" s="1" t="str">
        <f>IFERROR(VLOOKUP(A596,H_C!$A$2:$G$2628,7,0),"Validar HC")</f>
        <v>Soler, Maria</v>
      </c>
      <c r="H596" s="164">
        <v>1623501.0</v>
      </c>
      <c r="I596" s="1">
        <v>42.0</v>
      </c>
    </row>
    <row r="597" ht="15.75" customHeight="1">
      <c r="A597" s="1">
        <v>5437184.0</v>
      </c>
      <c r="B597" s="1" t="s">
        <v>61</v>
      </c>
      <c r="C597" s="1" t="s">
        <v>1374</v>
      </c>
      <c r="D597" s="1" t="s">
        <v>224</v>
      </c>
      <c r="E597" s="1" t="s">
        <v>13</v>
      </c>
      <c r="F597" s="1" t="s">
        <v>6717</v>
      </c>
      <c r="G597" s="1" t="str">
        <f>IFERROR(VLOOKUP(A597,H_C!$A$2:$G$2628,7,0),"Validar HC")</f>
        <v>Ospina, Michel</v>
      </c>
      <c r="H597" s="162">
        <v>1600000.0</v>
      </c>
      <c r="I597" s="1">
        <v>42.0</v>
      </c>
    </row>
    <row r="598" ht="15.75" customHeight="1">
      <c r="A598" s="1">
        <v>5031969.0</v>
      </c>
      <c r="B598" s="1" t="s">
        <v>2492</v>
      </c>
      <c r="C598" s="1" t="s">
        <v>2493</v>
      </c>
      <c r="D598" s="1" t="s">
        <v>224</v>
      </c>
      <c r="E598" s="1" t="s">
        <v>457</v>
      </c>
      <c r="F598" s="1" t="s">
        <v>6717</v>
      </c>
      <c r="G598" s="1" t="str">
        <f>IFERROR(VLOOKUP(A598,H_C!$A$2:$G$2628,7,0),"Validar HC")</f>
        <v>Celi, Juan</v>
      </c>
      <c r="H598" s="164">
        <v>1623501.0</v>
      </c>
      <c r="I598" s="1">
        <v>42.0</v>
      </c>
    </row>
    <row r="599" ht="15.75" customHeight="1">
      <c r="A599" s="1">
        <v>5031977.0</v>
      </c>
      <c r="B599" s="1" t="s">
        <v>1938</v>
      </c>
      <c r="C599" s="1" t="s">
        <v>1939</v>
      </c>
      <c r="D599" s="1" t="s">
        <v>224</v>
      </c>
      <c r="E599" s="1" t="s">
        <v>1363</v>
      </c>
      <c r="F599" s="1" t="s">
        <v>6717</v>
      </c>
      <c r="G599" s="1" t="str">
        <f>IFERROR(VLOOKUP(A599,H_C!$A$2:$G$2628,7,0),"Validar HC")</f>
        <v>Osorio, Julian</v>
      </c>
      <c r="H599" s="164">
        <v>1623501.0</v>
      </c>
      <c r="I599" s="1">
        <v>42.0</v>
      </c>
    </row>
    <row r="600" ht="15.75" customHeight="1">
      <c r="A600" s="1">
        <v>5031986.0</v>
      </c>
      <c r="B600" s="1" t="s">
        <v>2494</v>
      </c>
      <c r="C600" s="1" t="s">
        <v>2495</v>
      </c>
      <c r="D600" s="1" t="s">
        <v>224</v>
      </c>
      <c r="E600" s="1" t="s">
        <v>401</v>
      </c>
      <c r="F600" s="1" t="s">
        <v>6717</v>
      </c>
      <c r="G600" s="1" t="str">
        <f>IFERROR(VLOOKUP(A600,H_C!$A$2:$G$2628,7,0),"Validar HC")</f>
        <v>Martinez, Wendy</v>
      </c>
      <c r="H600" s="164">
        <v>1623501.0</v>
      </c>
      <c r="I600" s="1">
        <v>42.0</v>
      </c>
    </row>
    <row r="601" ht="15.75" customHeight="1">
      <c r="A601" s="1">
        <v>5032024.0</v>
      </c>
      <c r="B601" s="1" t="s">
        <v>2498</v>
      </c>
      <c r="C601" s="1" t="s">
        <v>2499</v>
      </c>
      <c r="D601" s="1" t="s">
        <v>224</v>
      </c>
      <c r="E601" s="1" t="s">
        <v>374</v>
      </c>
      <c r="F601" s="1" t="s">
        <v>6717</v>
      </c>
      <c r="G601" s="1" t="str">
        <f>IFERROR(VLOOKUP(A601,H_C!$A$2:$G$2628,7,0),"Validar HC")</f>
        <v>Martinez, Wendy</v>
      </c>
      <c r="H601" s="164">
        <v>1623501.0</v>
      </c>
      <c r="I601" s="1">
        <v>42.0</v>
      </c>
    </row>
    <row r="602" ht="15.75" customHeight="1">
      <c r="A602" s="1">
        <v>5032054.0</v>
      </c>
      <c r="B602" s="1" t="s">
        <v>2500</v>
      </c>
      <c r="C602" s="1" t="s">
        <v>2501</v>
      </c>
      <c r="D602" s="1" t="s">
        <v>224</v>
      </c>
      <c r="E602" s="1" t="s">
        <v>374</v>
      </c>
      <c r="F602" s="1" t="s">
        <v>6717</v>
      </c>
      <c r="G602" s="1" t="str">
        <f>IFERROR(VLOOKUP(A602,H_C!$A$2:$G$2628,7,0),"Validar HC")</f>
        <v>Martinez, Wendy</v>
      </c>
      <c r="H602" s="164">
        <v>1623501.0</v>
      </c>
      <c r="I602" s="1">
        <v>42.0</v>
      </c>
    </row>
    <row r="603" ht="15.75" customHeight="1">
      <c r="A603" s="1">
        <v>5032055.0</v>
      </c>
      <c r="B603" s="1" t="s">
        <v>2503</v>
      </c>
      <c r="C603" s="1" t="s">
        <v>2504</v>
      </c>
      <c r="D603" s="1" t="s">
        <v>224</v>
      </c>
      <c r="E603" s="1" t="s">
        <v>1602</v>
      </c>
      <c r="F603" s="1" t="s">
        <v>6717</v>
      </c>
      <c r="G603" s="1" t="str">
        <f>IFERROR(VLOOKUP(A603,H_C!$A$2:$G$2628,7,0),"Validar HC")</f>
        <v>Ayala, Giselle</v>
      </c>
      <c r="H603" s="164">
        <v>1623501.0</v>
      </c>
      <c r="I603" s="1">
        <v>42.0</v>
      </c>
    </row>
    <row r="604" ht="15.75" customHeight="1">
      <c r="A604" s="1">
        <v>5032931.0</v>
      </c>
      <c r="B604" s="1" t="s">
        <v>2506</v>
      </c>
      <c r="C604" s="1" t="s">
        <v>2507</v>
      </c>
      <c r="D604" s="1" t="s">
        <v>224</v>
      </c>
      <c r="E604" s="1" t="s">
        <v>222</v>
      </c>
      <c r="F604" s="1" t="s">
        <v>6717</v>
      </c>
      <c r="G604" s="1" t="str">
        <f>IFERROR(VLOOKUP(A604,H_C!$A$2:$G$2628,7,0),"Validar HC")</f>
        <v>Soler, Maria</v>
      </c>
      <c r="H604" s="164">
        <v>1623501.0</v>
      </c>
      <c r="I604" s="1">
        <v>42.0</v>
      </c>
    </row>
    <row r="605" ht="15.75" customHeight="1">
      <c r="A605" s="1">
        <v>5032989.0</v>
      </c>
      <c r="B605" s="1" t="s">
        <v>2509</v>
      </c>
      <c r="C605" s="1" t="s">
        <v>2510</v>
      </c>
      <c r="D605" s="1" t="s">
        <v>224</v>
      </c>
      <c r="E605" s="1" t="s">
        <v>1602</v>
      </c>
      <c r="F605" s="1" t="s">
        <v>6717</v>
      </c>
      <c r="G605" s="1" t="str">
        <f>IFERROR(VLOOKUP(A605,H_C!$A$2:$G$2628,7,0),"Validar HC")</f>
        <v>Ayala, Giselle</v>
      </c>
      <c r="H605" s="164">
        <v>1623501.0</v>
      </c>
      <c r="I605" s="1">
        <v>42.0</v>
      </c>
    </row>
    <row r="606" ht="15.75" customHeight="1">
      <c r="A606" s="1">
        <v>5033106.0</v>
      </c>
      <c r="B606" s="1" t="s">
        <v>1085</v>
      </c>
      <c r="C606" s="1" t="s">
        <v>1086</v>
      </c>
      <c r="D606" s="1" t="s">
        <v>224</v>
      </c>
      <c r="E606" s="1" t="s">
        <v>724</v>
      </c>
      <c r="F606" s="1" t="s">
        <v>6717</v>
      </c>
      <c r="G606" s="1" t="str">
        <f>IFERROR(VLOOKUP(A606,H_C!$A$2:$G$2628,7,0),"Validar HC")</f>
        <v>Garcia, Helmer</v>
      </c>
      <c r="H606" s="164">
        <v>1623501.0</v>
      </c>
      <c r="I606" s="1">
        <v>42.0</v>
      </c>
    </row>
    <row r="607" ht="15.75" customHeight="1">
      <c r="A607" s="1">
        <v>5033124.0</v>
      </c>
      <c r="B607" s="1" t="s">
        <v>2514</v>
      </c>
      <c r="C607" s="1" t="s">
        <v>2515</v>
      </c>
      <c r="D607" s="1" t="s">
        <v>224</v>
      </c>
      <c r="E607" s="1" t="s">
        <v>232</v>
      </c>
      <c r="F607" s="1" t="s">
        <v>6717</v>
      </c>
      <c r="G607" s="1" t="str">
        <f>IFERROR(VLOOKUP(A607,H_C!$A$2:$G$2628,7,0),"Validar HC")</f>
        <v>Soler, Maria</v>
      </c>
      <c r="H607" s="164">
        <v>1623501.0</v>
      </c>
      <c r="I607" s="1">
        <v>42.0</v>
      </c>
    </row>
    <row r="608" ht="15.75" customHeight="1">
      <c r="A608" s="1">
        <v>5033282.0</v>
      </c>
      <c r="B608" s="1" t="s">
        <v>6745</v>
      </c>
      <c r="C608" s="1" t="s">
        <v>6746</v>
      </c>
      <c r="D608" s="1" t="s">
        <v>224</v>
      </c>
      <c r="E608" s="1" t="s">
        <v>1602</v>
      </c>
      <c r="F608" s="1" t="s">
        <v>6717</v>
      </c>
      <c r="G608" s="1" t="str">
        <f>IFERROR(VLOOKUP(A608,H_C!$A$2:$G$2628,7,0),"Validar HC")</f>
        <v>Validar HC</v>
      </c>
      <c r="H608" s="164">
        <v>1623501.0</v>
      </c>
      <c r="I608" s="1">
        <v>42.0</v>
      </c>
    </row>
    <row r="609" ht="15.75" customHeight="1">
      <c r="A609" s="1">
        <v>5037110.0</v>
      </c>
      <c r="B609" s="1" t="s">
        <v>1775</v>
      </c>
      <c r="C609" s="1" t="s">
        <v>1776</v>
      </c>
      <c r="D609" s="1" t="s">
        <v>224</v>
      </c>
      <c r="E609" s="1" t="s">
        <v>835</v>
      </c>
      <c r="F609" s="1" t="s">
        <v>6717</v>
      </c>
      <c r="G609" s="1" t="str">
        <f>IFERROR(VLOOKUP(A609,H_C!$A$2:$G$2628,7,0),"Validar HC")</f>
        <v>Martinez, Wendy</v>
      </c>
      <c r="H609" s="164">
        <v>1623501.0</v>
      </c>
      <c r="I609" s="1">
        <v>42.0</v>
      </c>
    </row>
    <row r="610" ht="15.75" customHeight="1">
      <c r="A610" s="1">
        <v>5039856.0</v>
      </c>
      <c r="B610" s="1" t="s">
        <v>2521</v>
      </c>
      <c r="C610" s="1" t="s">
        <v>2523</v>
      </c>
      <c r="D610" s="1" t="s">
        <v>224</v>
      </c>
      <c r="E610" s="1" t="s">
        <v>416</v>
      </c>
      <c r="F610" s="1" t="s">
        <v>6717</v>
      </c>
      <c r="G610" s="1" t="str">
        <f>IFERROR(VLOOKUP(A610,H_C!$A$2:$G$2628,7,0),"Validar HC")</f>
        <v>Soler, Maria</v>
      </c>
      <c r="H610" s="164">
        <v>1623501.0</v>
      </c>
      <c r="I610" s="1">
        <v>42.0</v>
      </c>
    </row>
    <row r="611" ht="15.75" customHeight="1">
      <c r="A611" s="1">
        <v>5039971.0</v>
      </c>
      <c r="B611" s="1" t="s">
        <v>2526</v>
      </c>
      <c r="C611" s="1" t="s">
        <v>2527</v>
      </c>
      <c r="D611" s="1" t="s">
        <v>224</v>
      </c>
      <c r="E611" s="1" t="s">
        <v>331</v>
      </c>
      <c r="F611" s="1" t="s">
        <v>6717</v>
      </c>
      <c r="G611" s="1" t="str">
        <f>IFERROR(VLOOKUP(A611,H_C!$A$2:$G$2628,7,0),"Validar HC")</f>
        <v>Pereira, Jorge</v>
      </c>
      <c r="H611" s="164">
        <v>1623501.0</v>
      </c>
      <c r="I611" s="1">
        <v>42.0</v>
      </c>
    </row>
    <row r="612" ht="15.75" customHeight="1">
      <c r="A612" s="1">
        <v>5039974.0</v>
      </c>
      <c r="B612" s="1" t="s">
        <v>2529</v>
      </c>
      <c r="C612" s="1" t="s">
        <v>2530</v>
      </c>
      <c r="D612" s="1" t="s">
        <v>224</v>
      </c>
      <c r="E612" s="1" t="s">
        <v>121</v>
      </c>
      <c r="F612" s="1" t="s">
        <v>6717</v>
      </c>
      <c r="G612" s="1" t="str">
        <f>IFERROR(VLOOKUP(A612,H_C!$A$2:$G$2628,7,0),"Validar HC")</f>
        <v>Ospina, Michel</v>
      </c>
      <c r="H612" s="164">
        <v>1623501.0</v>
      </c>
      <c r="I612" s="1">
        <v>42.0</v>
      </c>
    </row>
    <row r="613" ht="15.75" customHeight="1">
      <c r="A613" s="1">
        <v>5039990.0</v>
      </c>
      <c r="B613" s="1" t="s">
        <v>2533</v>
      </c>
      <c r="C613" s="1" t="s">
        <v>2534</v>
      </c>
      <c r="D613" s="1" t="s">
        <v>224</v>
      </c>
      <c r="E613" s="1" t="s">
        <v>835</v>
      </c>
      <c r="F613" s="1" t="s">
        <v>6717</v>
      </c>
      <c r="G613" s="1" t="str">
        <f>IFERROR(VLOOKUP(A613,H_C!$A$2:$G$2628,7,0),"Validar HC")</f>
        <v>Martinez, Wendy</v>
      </c>
      <c r="H613" s="164">
        <v>1623501.0</v>
      </c>
      <c r="I613" s="1">
        <v>42.0</v>
      </c>
    </row>
    <row r="614" ht="15.75" customHeight="1">
      <c r="A614" s="1">
        <v>5041101.0</v>
      </c>
      <c r="B614" s="1" t="s">
        <v>1087</v>
      </c>
      <c r="C614" s="1" t="s">
        <v>1088</v>
      </c>
      <c r="D614" s="1" t="s">
        <v>224</v>
      </c>
      <c r="E614" s="1" t="s">
        <v>724</v>
      </c>
      <c r="F614" s="1" t="s">
        <v>6717</v>
      </c>
      <c r="G614" s="1" t="str">
        <f>IFERROR(VLOOKUP(A614,H_C!$A$2:$G$2628,7,0),"Validar HC")</f>
        <v>Garcia, Helmer</v>
      </c>
      <c r="H614" s="164">
        <v>1623501.0</v>
      </c>
      <c r="I614" s="1">
        <v>42.0</v>
      </c>
    </row>
    <row r="615" ht="15.75" customHeight="1">
      <c r="A615" s="1">
        <v>5041314.0</v>
      </c>
      <c r="B615" s="1" t="s">
        <v>2537</v>
      </c>
      <c r="C615" s="1" t="s">
        <v>2538</v>
      </c>
      <c r="D615" s="1" t="s">
        <v>224</v>
      </c>
      <c r="E615" s="1" t="s">
        <v>549</v>
      </c>
      <c r="F615" s="1" t="s">
        <v>6717</v>
      </c>
      <c r="G615" s="1" t="str">
        <f>IFERROR(VLOOKUP(A615,H_C!$A$2:$G$2628,7,0),"Validar HC")</f>
        <v>Soler, Maria</v>
      </c>
      <c r="H615" s="164">
        <v>1623501.0</v>
      </c>
      <c r="I615" s="1">
        <v>42.0</v>
      </c>
    </row>
    <row r="616" ht="15.75" customHeight="1">
      <c r="A616" s="1">
        <v>5043694.0</v>
      </c>
      <c r="B616" s="1" t="s">
        <v>2539</v>
      </c>
      <c r="C616" s="1" t="s">
        <v>2540</v>
      </c>
      <c r="D616" s="1" t="s">
        <v>224</v>
      </c>
      <c r="E616" s="1" t="s">
        <v>841</v>
      </c>
      <c r="F616" s="1" t="s">
        <v>6717</v>
      </c>
      <c r="G616" s="1" t="str">
        <f>IFERROR(VLOOKUP(A616,H_C!$A$2:$G$2628,7,0),"Validar HC")</f>
        <v>Soler, Maria</v>
      </c>
      <c r="H616" s="164">
        <v>1623501.0</v>
      </c>
      <c r="I616" s="1">
        <v>42.0</v>
      </c>
    </row>
    <row r="617" ht="15.75" customHeight="1">
      <c r="A617" s="1">
        <v>5043796.0</v>
      </c>
      <c r="B617" s="1" t="s">
        <v>2543</v>
      </c>
      <c r="C617" s="1" t="s">
        <v>2544</v>
      </c>
      <c r="D617" s="1" t="s">
        <v>224</v>
      </c>
      <c r="E617" s="1" t="s">
        <v>331</v>
      </c>
      <c r="F617" s="1" t="s">
        <v>6717</v>
      </c>
      <c r="G617" s="1" t="str">
        <f>IFERROR(VLOOKUP(A617,H_C!$A$2:$G$2628,7,0),"Validar HC")</f>
        <v>Pereira, Jorge</v>
      </c>
      <c r="H617" s="164">
        <v>1623501.0</v>
      </c>
      <c r="I617" s="1">
        <v>42.0</v>
      </c>
    </row>
    <row r="618" ht="15.75" customHeight="1">
      <c r="A618" s="1">
        <v>5043820.0</v>
      </c>
      <c r="B618" s="1" t="s">
        <v>2545</v>
      </c>
      <c r="C618" s="1" t="s">
        <v>2546</v>
      </c>
      <c r="D618" s="1" t="s">
        <v>224</v>
      </c>
      <c r="E618" s="1" t="s">
        <v>121</v>
      </c>
      <c r="F618" s="1" t="s">
        <v>6717</v>
      </c>
      <c r="G618" s="1" t="str">
        <f>IFERROR(VLOOKUP(A618,H_C!$A$2:$G$2628,7,0),"Validar HC")</f>
        <v>Ospina, Michel</v>
      </c>
      <c r="H618" s="164">
        <v>1623501.0</v>
      </c>
      <c r="I618" s="1">
        <v>42.0</v>
      </c>
    </row>
    <row r="619" ht="15.75" customHeight="1">
      <c r="A619" s="1">
        <v>5044499.0</v>
      </c>
      <c r="B619" s="1" t="s">
        <v>2547</v>
      </c>
      <c r="C619" s="1" t="s">
        <v>2548</v>
      </c>
      <c r="D619" s="1" t="s">
        <v>224</v>
      </c>
      <c r="E619" s="1" t="s">
        <v>506</v>
      </c>
      <c r="F619" s="1" t="s">
        <v>6717</v>
      </c>
      <c r="G619" s="1" t="str">
        <f>IFERROR(VLOOKUP(A619,H_C!$A$2:$G$2628,7,0),"Validar HC")</f>
        <v>Ospina, Michel</v>
      </c>
      <c r="H619" s="164">
        <v>1623501.0</v>
      </c>
      <c r="I619" s="1">
        <v>42.0</v>
      </c>
    </row>
    <row r="620" ht="15.75" customHeight="1">
      <c r="A620" s="1">
        <v>5044697.0</v>
      </c>
      <c r="B620" s="1" t="s">
        <v>280</v>
      </c>
      <c r="C620" s="1" t="s">
        <v>281</v>
      </c>
      <c r="D620" s="1" t="s">
        <v>224</v>
      </c>
      <c r="E620" s="1" t="s">
        <v>222</v>
      </c>
      <c r="F620" s="1" t="s">
        <v>6717</v>
      </c>
      <c r="G620" s="1" t="str">
        <f>IFERROR(VLOOKUP(A620,H_C!$A$2:$G$2628,7,0),"Validar HC")</f>
        <v>Soler, Maria</v>
      </c>
      <c r="H620" s="164">
        <v>1623501.0</v>
      </c>
      <c r="I620" s="1">
        <v>42.0</v>
      </c>
    </row>
    <row r="621" ht="15.75" customHeight="1">
      <c r="A621" s="1">
        <v>5047169.0</v>
      </c>
      <c r="B621" s="1" t="s">
        <v>713</v>
      </c>
      <c r="C621" s="1" t="s">
        <v>714</v>
      </c>
      <c r="D621" s="1" t="s">
        <v>224</v>
      </c>
      <c r="E621" s="1" t="s">
        <v>239</v>
      </c>
      <c r="F621" s="1" t="s">
        <v>6717</v>
      </c>
      <c r="G621" s="1" t="str">
        <f>IFERROR(VLOOKUP(A621,H_C!$A$2:$G$2628,7,0),"Validar HC")</f>
        <v>Soler, Maria</v>
      </c>
      <c r="H621" s="164">
        <v>1623501.0</v>
      </c>
      <c r="I621" s="1">
        <v>42.0</v>
      </c>
    </row>
    <row r="622" ht="15.75" customHeight="1">
      <c r="A622" s="1">
        <v>5048456.0</v>
      </c>
      <c r="B622" s="1" t="s">
        <v>2552</v>
      </c>
      <c r="C622" s="1" t="s">
        <v>2553</v>
      </c>
      <c r="D622" s="1" t="s">
        <v>224</v>
      </c>
      <c r="E622" s="1" t="s">
        <v>425</v>
      </c>
      <c r="F622" s="1" t="s">
        <v>6717</v>
      </c>
      <c r="G622" s="1" t="str">
        <f>IFERROR(VLOOKUP(A622,H_C!$A$2:$G$2628,7,0),"Validar HC")</f>
        <v>Ospina, Michel</v>
      </c>
      <c r="H622" s="164">
        <v>1623501.0</v>
      </c>
      <c r="I622" s="1">
        <v>42.0</v>
      </c>
    </row>
    <row r="623" ht="15.75" customHeight="1">
      <c r="A623" s="1">
        <v>5048462.0</v>
      </c>
      <c r="B623" s="1" t="s">
        <v>2554</v>
      </c>
      <c r="C623" s="1" t="s">
        <v>2555</v>
      </c>
      <c r="D623" s="1" t="s">
        <v>224</v>
      </c>
      <c r="E623" s="1" t="s">
        <v>121</v>
      </c>
      <c r="F623" s="1" t="s">
        <v>6717</v>
      </c>
      <c r="G623" s="1" t="str">
        <f>IFERROR(VLOOKUP(A623,H_C!$A$2:$G$2628,7,0),"Validar HC")</f>
        <v>Ospina, Michel</v>
      </c>
      <c r="H623" s="164">
        <v>1623501.0</v>
      </c>
      <c r="I623" s="1">
        <v>42.0</v>
      </c>
    </row>
    <row r="624" ht="15.75" customHeight="1">
      <c r="A624" s="1">
        <v>5048486.0</v>
      </c>
      <c r="B624" s="1" t="s">
        <v>2556</v>
      </c>
      <c r="C624" s="1" t="s">
        <v>2557</v>
      </c>
      <c r="D624" s="1" t="s">
        <v>224</v>
      </c>
      <c r="E624" s="1" t="s">
        <v>514</v>
      </c>
      <c r="F624" s="1" t="s">
        <v>6717</v>
      </c>
      <c r="G624" s="1" t="str">
        <f>IFERROR(VLOOKUP(A624,H_C!$A$2:$G$2628,7,0),"Validar HC")</f>
        <v>Garatejo, Natalia</v>
      </c>
      <c r="H624" s="164">
        <v>1623501.0</v>
      </c>
      <c r="I624" s="1">
        <v>42.0</v>
      </c>
    </row>
    <row r="625" ht="15.75" customHeight="1">
      <c r="A625" s="1">
        <v>5049543.0</v>
      </c>
      <c r="B625" s="1" t="s">
        <v>1685</v>
      </c>
      <c r="C625" s="1" t="s">
        <v>1686</v>
      </c>
      <c r="D625" s="1" t="s">
        <v>224</v>
      </c>
      <c r="E625" s="1" t="s">
        <v>416</v>
      </c>
      <c r="F625" s="1" t="s">
        <v>6717</v>
      </c>
      <c r="G625" s="1" t="str">
        <f>IFERROR(VLOOKUP(A625,H_C!$A$2:$G$2628,7,0),"Validar HC")</f>
        <v>Soler, Maria</v>
      </c>
      <c r="H625" s="164">
        <v>1623501.0</v>
      </c>
      <c r="I625" s="1">
        <v>42.0</v>
      </c>
    </row>
    <row r="626" ht="15.75" customHeight="1">
      <c r="A626" s="1">
        <v>5049544.0</v>
      </c>
      <c r="B626" s="1" t="s">
        <v>2558</v>
      </c>
      <c r="C626" s="1" t="s">
        <v>2559</v>
      </c>
      <c r="D626" s="1" t="s">
        <v>224</v>
      </c>
      <c r="E626" s="1" t="s">
        <v>506</v>
      </c>
      <c r="F626" s="1" t="s">
        <v>6717</v>
      </c>
      <c r="G626" s="1" t="str">
        <f>IFERROR(VLOOKUP(A626,H_C!$A$2:$G$2628,7,0),"Validar HC")</f>
        <v>Ospina, Michel</v>
      </c>
      <c r="H626" s="164">
        <v>1623501.0</v>
      </c>
      <c r="I626" s="1">
        <v>42.0</v>
      </c>
    </row>
    <row r="627" ht="15.75" customHeight="1">
      <c r="A627" s="1">
        <v>5050865.0</v>
      </c>
      <c r="B627" s="1" t="s">
        <v>2562</v>
      </c>
      <c r="C627" s="1" t="s">
        <v>2563</v>
      </c>
      <c r="D627" s="1" t="s">
        <v>224</v>
      </c>
      <c r="E627" s="1" t="s">
        <v>1932</v>
      </c>
      <c r="F627" s="1" t="s">
        <v>6717</v>
      </c>
      <c r="G627" s="1" t="str">
        <f>IFERROR(VLOOKUP(A627,H_C!$A$2:$G$2628,7,0),"Validar HC")</f>
        <v>Garatejo, Natalia</v>
      </c>
      <c r="H627" s="164">
        <v>1623501.0</v>
      </c>
      <c r="I627" s="1">
        <v>42.0</v>
      </c>
    </row>
    <row r="628" ht="15.75" customHeight="1">
      <c r="A628" s="1">
        <v>5021481.0</v>
      </c>
      <c r="B628" s="1" t="s">
        <v>39</v>
      </c>
      <c r="C628" s="1" t="s">
        <v>1377</v>
      </c>
      <c r="D628" s="1" t="s">
        <v>224</v>
      </c>
      <c r="E628" s="1" t="s">
        <v>13</v>
      </c>
      <c r="F628" s="1" t="s">
        <v>6717</v>
      </c>
      <c r="G628" s="1" t="str">
        <f>IFERROR(VLOOKUP(A628,H_C!$A$2:$G$2628,7,0),"Validar HC")</f>
        <v>Ospina, Michel</v>
      </c>
      <c r="H628" s="162">
        <v>1600000.0</v>
      </c>
      <c r="I628" s="1">
        <v>42.0</v>
      </c>
    </row>
    <row r="629" ht="15.75" customHeight="1">
      <c r="A629" s="1">
        <v>5388863.0</v>
      </c>
      <c r="B629" s="1" t="s">
        <v>59</v>
      </c>
      <c r="C629" s="1" t="s">
        <v>1380</v>
      </c>
      <c r="D629" s="1" t="s">
        <v>224</v>
      </c>
      <c r="E629" s="1" t="s">
        <v>13</v>
      </c>
      <c r="F629" s="1" t="s">
        <v>6717</v>
      </c>
      <c r="G629" s="1" t="str">
        <f>IFERROR(VLOOKUP(A629,H_C!$A$2:$G$2628,7,0),"Validar HC")</f>
        <v>Ospina, Michel</v>
      </c>
      <c r="H629" s="162">
        <v>1600000.0</v>
      </c>
      <c r="I629" s="1">
        <v>42.0</v>
      </c>
    </row>
    <row r="630" ht="15.75" customHeight="1">
      <c r="A630" s="1">
        <v>5051888.0</v>
      </c>
      <c r="B630" s="1" t="s">
        <v>1124</v>
      </c>
      <c r="C630" s="1" t="s">
        <v>1125</v>
      </c>
      <c r="D630" s="1" t="s">
        <v>224</v>
      </c>
      <c r="E630" s="1" t="s">
        <v>724</v>
      </c>
      <c r="F630" s="1" t="s">
        <v>6717</v>
      </c>
      <c r="G630" s="1" t="str">
        <f>IFERROR(VLOOKUP(A630,H_C!$A$2:$G$2628,7,0),"Validar HC")</f>
        <v>Garcia, Helmer</v>
      </c>
      <c r="H630" s="164">
        <v>1623501.0</v>
      </c>
      <c r="I630" s="1">
        <v>42.0</v>
      </c>
    </row>
    <row r="631" ht="15.75" customHeight="1">
      <c r="A631" s="1">
        <v>5051900.0</v>
      </c>
      <c r="B631" s="1" t="s">
        <v>453</v>
      </c>
      <c r="C631" s="1" t="s">
        <v>454</v>
      </c>
      <c r="D631" s="1" t="s">
        <v>224</v>
      </c>
      <c r="E631" s="1" t="s">
        <v>232</v>
      </c>
      <c r="F631" s="1" t="s">
        <v>6717</v>
      </c>
      <c r="G631" s="1" t="str">
        <f>IFERROR(VLOOKUP(A631,H_C!$A$2:$G$2628,7,0),"Validar HC")</f>
        <v>Soler, Maria</v>
      </c>
      <c r="H631" s="164">
        <v>1623501.0</v>
      </c>
      <c r="I631" s="1">
        <v>42.0</v>
      </c>
    </row>
    <row r="632" ht="15.75" customHeight="1">
      <c r="A632" s="1">
        <v>5052848.0</v>
      </c>
      <c r="B632" s="1" t="s">
        <v>287</v>
      </c>
      <c r="C632" s="1" t="s">
        <v>288</v>
      </c>
      <c r="D632" s="1" t="s">
        <v>224</v>
      </c>
      <c r="E632" s="1" t="s">
        <v>222</v>
      </c>
      <c r="F632" s="1" t="s">
        <v>6717</v>
      </c>
      <c r="G632" s="1" t="str">
        <f>IFERROR(VLOOKUP(A632,H_C!$A$2:$G$2628,7,0),"Validar HC")</f>
        <v>Soler, Maria</v>
      </c>
      <c r="H632" s="164">
        <v>1623501.0</v>
      </c>
      <c r="I632" s="1">
        <v>42.0</v>
      </c>
    </row>
    <row r="633" ht="15.75" customHeight="1">
      <c r="A633" s="1">
        <v>5053018.0</v>
      </c>
      <c r="B633" s="1" t="s">
        <v>2568</v>
      </c>
      <c r="C633" s="1" t="s">
        <v>2569</v>
      </c>
      <c r="D633" s="1" t="s">
        <v>224</v>
      </c>
      <c r="E633" s="1" t="s">
        <v>118</v>
      </c>
      <c r="F633" s="1" t="s">
        <v>6717</v>
      </c>
      <c r="G633" s="1" t="str">
        <f>IFERROR(VLOOKUP(A633,H_C!$A$2:$G$2628,7,0),"Validar HC")</f>
        <v>Ospina, Michel</v>
      </c>
      <c r="H633" s="164">
        <v>1623501.0</v>
      </c>
      <c r="I633" s="1">
        <v>42.0</v>
      </c>
    </row>
    <row r="634" ht="15.75" customHeight="1">
      <c r="A634" s="1">
        <v>5054791.0</v>
      </c>
      <c r="B634" s="1" t="s">
        <v>995</v>
      </c>
      <c r="C634" s="1" t="s">
        <v>996</v>
      </c>
      <c r="D634" s="1" t="s">
        <v>224</v>
      </c>
      <c r="E634" s="1" t="s">
        <v>994</v>
      </c>
      <c r="F634" s="1" t="s">
        <v>6717</v>
      </c>
      <c r="G634" s="1" t="str">
        <f>IFERROR(VLOOKUP(A634,H_C!$A$2:$G$2628,7,0),"Validar HC")</f>
        <v>Gonzalez, Cristian</v>
      </c>
      <c r="H634" s="164">
        <v>1623501.0</v>
      </c>
      <c r="I634" s="1">
        <v>42.0</v>
      </c>
    </row>
    <row r="635" ht="15.75" customHeight="1">
      <c r="A635" s="1">
        <v>5054849.0</v>
      </c>
      <c r="B635" s="1" t="s">
        <v>2574</v>
      </c>
      <c r="C635" s="1" t="s">
        <v>2575</v>
      </c>
      <c r="D635" s="1" t="s">
        <v>224</v>
      </c>
      <c r="E635" s="1" t="s">
        <v>695</v>
      </c>
      <c r="F635" s="1" t="s">
        <v>6717</v>
      </c>
      <c r="G635" s="1" t="str">
        <f>IFERROR(VLOOKUP(A635,H_C!$A$2:$G$2628,7,0),"Validar HC")</f>
        <v>Ayala, Giselle</v>
      </c>
      <c r="H635" s="164">
        <v>1623501.0</v>
      </c>
      <c r="I635" s="1">
        <v>42.0</v>
      </c>
    </row>
    <row r="636" ht="15.75" customHeight="1">
      <c r="A636" s="1">
        <v>5055464.0</v>
      </c>
      <c r="B636" s="1" t="s">
        <v>2578</v>
      </c>
      <c r="C636" s="1" t="s">
        <v>2579</v>
      </c>
      <c r="D636" s="1" t="s">
        <v>224</v>
      </c>
      <c r="E636" s="1" t="s">
        <v>329</v>
      </c>
      <c r="F636" s="1" t="s">
        <v>6717</v>
      </c>
      <c r="G636" s="1" t="str">
        <f>IFERROR(VLOOKUP(A636,H_C!$A$2:$G$2628,7,0),"Validar HC")</f>
        <v>Garatejo, Natalia</v>
      </c>
      <c r="H636" s="164">
        <v>1623501.0</v>
      </c>
      <c r="I636" s="1">
        <v>42.0</v>
      </c>
    </row>
    <row r="637" ht="15.75" customHeight="1">
      <c r="A637" s="1">
        <v>5055877.0</v>
      </c>
      <c r="B637" s="1" t="s">
        <v>2582</v>
      </c>
      <c r="C637" s="1" t="s">
        <v>2583</v>
      </c>
      <c r="D637" s="1" t="s">
        <v>224</v>
      </c>
      <c r="E637" s="1" t="s">
        <v>120</v>
      </c>
      <c r="F637" s="1" t="s">
        <v>6717</v>
      </c>
      <c r="G637" s="1" t="str">
        <f>IFERROR(VLOOKUP(A637,H_C!$A$2:$G$2628,7,0),"Validar HC")</f>
        <v>Ospina, Michel</v>
      </c>
      <c r="H637" s="164">
        <v>1623501.0</v>
      </c>
      <c r="I637" s="1">
        <v>42.0</v>
      </c>
    </row>
    <row r="638" ht="15.75" customHeight="1">
      <c r="A638" s="1">
        <v>5056463.0</v>
      </c>
      <c r="B638" s="1" t="s">
        <v>2584</v>
      </c>
      <c r="C638" s="1" t="s">
        <v>2585</v>
      </c>
      <c r="D638" s="1" t="s">
        <v>224</v>
      </c>
      <c r="E638" s="1" t="s">
        <v>232</v>
      </c>
      <c r="F638" s="1" t="s">
        <v>6717</v>
      </c>
      <c r="G638" s="1" t="str">
        <f>IFERROR(VLOOKUP(A638,H_C!$A$2:$G$2628,7,0),"Validar HC")</f>
        <v>Soler, Maria</v>
      </c>
      <c r="H638" s="164">
        <v>1623501.0</v>
      </c>
      <c r="I638" s="1">
        <v>42.0</v>
      </c>
    </row>
    <row r="639" ht="15.75" customHeight="1">
      <c r="A639" s="1">
        <v>5058132.0</v>
      </c>
      <c r="B639" s="1" t="s">
        <v>2588</v>
      </c>
      <c r="C639" s="1" t="s">
        <v>2589</v>
      </c>
      <c r="D639" s="1" t="s">
        <v>224</v>
      </c>
      <c r="E639" s="1" t="s">
        <v>1019</v>
      </c>
      <c r="F639" s="1" t="s">
        <v>6717</v>
      </c>
      <c r="G639" s="1" t="str">
        <f>IFERROR(VLOOKUP(A639,H_C!$A$2:$G$2628,7,0),"Validar HC")</f>
        <v>Celi, Juan</v>
      </c>
      <c r="H639" s="164">
        <v>1623501.0</v>
      </c>
      <c r="I639" s="1">
        <v>42.0</v>
      </c>
    </row>
    <row r="640" ht="15.75" customHeight="1">
      <c r="A640" s="1">
        <v>5058137.0</v>
      </c>
      <c r="B640" s="1" t="s">
        <v>2592</v>
      </c>
      <c r="C640" s="1" t="s">
        <v>2593</v>
      </c>
      <c r="D640" s="1" t="s">
        <v>224</v>
      </c>
      <c r="E640" s="1" t="s">
        <v>936</v>
      </c>
      <c r="F640" s="1" t="s">
        <v>6717</v>
      </c>
      <c r="G640" s="1" t="str">
        <f>IFERROR(VLOOKUP(A640,H_C!$A$2:$G$2628,7,0),"Validar HC")</f>
        <v>Garcia, Helmer</v>
      </c>
      <c r="H640" s="164">
        <v>1623501.0</v>
      </c>
      <c r="I640" s="1">
        <v>42.0</v>
      </c>
    </row>
    <row r="641" ht="15.75" customHeight="1">
      <c r="A641" s="1">
        <v>5058151.0</v>
      </c>
      <c r="B641" s="1" t="s">
        <v>2596</v>
      </c>
      <c r="C641" s="1" t="s">
        <v>2597</v>
      </c>
      <c r="D641" s="1" t="s">
        <v>224</v>
      </c>
      <c r="E641" s="1" t="s">
        <v>457</v>
      </c>
      <c r="F641" s="1" t="s">
        <v>6717</v>
      </c>
      <c r="G641" s="1" t="str">
        <f>IFERROR(VLOOKUP(A641,H_C!$A$2:$G$2628,7,0),"Validar HC")</f>
        <v>Celi, Juan</v>
      </c>
      <c r="H641" s="164">
        <v>1623501.0</v>
      </c>
      <c r="I641" s="1">
        <v>42.0</v>
      </c>
    </row>
    <row r="642" ht="15.75" customHeight="1">
      <c r="A642" s="1">
        <v>5059457.0</v>
      </c>
      <c r="B642" s="1" t="s">
        <v>1460</v>
      </c>
      <c r="C642" s="1" t="s">
        <v>1461</v>
      </c>
      <c r="D642" s="1" t="s">
        <v>224</v>
      </c>
      <c r="E642" s="1" t="s">
        <v>289</v>
      </c>
      <c r="F642" s="1" t="s">
        <v>6717</v>
      </c>
      <c r="G642" s="1" t="str">
        <f>IFERROR(VLOOKUP(A642,H_C!$A$2:$G$2628,7,0),"Validar HC")</f>
        <v>Celi, Juan</v>
      </c>
      <c r="H642" s="164">
        <v>1623501.0</v>
      </c>
      <c r="I642" s="1">
        <v>42.0</v>
      </c>
    </row>
    <row r="643" ht="15.75" customHeight="1">
      <c r="A643" s="1">
        <v>5059475.0</v>
      </c>
      <c r="B643" s="1" t="s">
        <v>2600</v>
      </c>
      <c r="C643" s="1" t="s">
        <v>2601</v>
      </c>
      <c r="D643" s="1" t="s">
        <v>224</v>
      </c>
      <c r="E643" s="1" t="s">
        <v>120</v>
      </c>
      <c r="F643" s="1" t="s">
        <v>6717</v>
      </c>
      <c r="G643" s="1" t="str">
        <f>IFERROR(VLOOKUP(A643,H_C!$A$2:$G$2628,7,0),"Validar HC")</f>
        <v>Ospina, Michel</v>
      </c>
      <c r="H643" s="164">
        <v>1623501.0</v>
      </c>
      <c r="I643" s="1">
        <v>42.0</v>
      </c>
    </row>
    <row r="644" ht="15.75" customHeight="1">
      <c r="A644" s="1">
        <v>5059679.0</v>
      </c>
      <c r="B644" s="1" t="s">
        <v>2604</v>
      </c>
      <c r="C644" s="1" t="s">
        <v>2605</v>
      </c>
      <c r="D644" s="1" t="s">
        <v>224</v>
      </c>
      <c r="E644" s="1" t="s">
        <v>441</v>
      </c>
      <c r="F644" s="1" t="s">
        <v>6717</v>
      </c>
      <c r="G644" s="1" t="str">
        <f>IFERROR(VLOOKUP(A644,H_C!$A$2:$G$2628,7,0),"Validar HC")</f>
        <v>Gonzalez, Cristian</v>
      </c>
      <c r="H644" s="164">
        <v>1623501.0</v>
      </c>
      <c r="I644" s="1">
        <v>42.0</v>
      </c>
    </row>
    <row r="645" ht="15.75" customHeight="1">
      <c r="A645" s="1">
        <v>5061098.0</v>
      </c>
      <c r="B645" s="1" t="s">
        <v>2606</v>
      </c>
      <c r="C645" s="1" t="s">
        <v>2607</v>
      </c>
      <c r="D645" s="1" t="s">
        <v>224</v>
      </c>
      <c r="E645" s="1" t="s">
        <v>738</v>
      </c>
      <c r="F645" s="1" t="s">
        <v>6717</v>
      </c>
      <c r="G645" s="1" t="str">
        <f>IFERROR(VLOOKUP(A645,H_C!$A$2:$G$2628,7,0),"Validar HC")</f>
        <v>Garcia, Helmer</v>
      </c>
      <c r="H645" s="164">
        <v>1623501.0</v>
      </c>
      <c r="I645" s="1">
        <v>42.0</v>
      </c>
    </row>
    <row r="646" ht="15.75" customHeight="1">
      <c r="A646" s="1">
        <v>5061258.0</v>
      </c>
      <c r="B646" s="1" t="s">
        <v>1091</v>
      </c>
      <c r="C646" s="1" t="s">
        <v>1092</v>
      </c>
      <c r="D646" s="1" t="s">
        <v>224</v>
      </c>
      <c r="E646" s="1" t="s">
        <v>724</v>
      </c>
      <c r="F646" s="1" t="s">
        <v>6717</v>
      </c>
      <c r="G646" s="1" t="str">
        <f>IFERROR(VLOOKUP(A646,H_C!$A$2:$G$2628,7,0),"Validar HC")</f>
        <v>Garcia, Helmer</v>
      </c>
      <c r="H646" s="164">
        <v>1623501.0</v>
      </c>
      <c r="I646" s="1">
        <v>42.0</v>
      </c>
    </row>
    <row r="647" ht="15.75" customHeight="1">
      <c r="A647" s="1">
        <v>5061311.0</v>
      </c>
      <c r="B647" s="1" t="s">
        <v>2610</v>
      </c>
      <c r="C647" s="1" t="s">
        <v>2611</v>
      </c>
      <c r="D647" s="1" t="s">
        <v>224</v>
      </c>
      <c r="E647" s="1" t="s">
        <v>695</v>
      </c>
      <c r="F647" s="1" t="s">
        <v>6717</v>
      </c>
      <c r="G647" s="1" t="str">
        <f>IFERROR(VLOOKUP(A647,H_C!$A$2:$G$2628,7,0),"Validar HC")</f>
        <v>Ayala, Giselle</v>
      </c>
      <c r="H647" s="164">
        <v>1623501.0</v>
      </c>
      <c r="I647" s="1">
        <v>42.0</v>
      </c>
    </row>
    <row r="648" ht="15.75" customHeight="1">
      <c r="A648" s="1">
        <v>5061315.0</v>
      </c>
      <c r="B648" s="1" t="s">
        <v>1230</v>
      </c>
      <c r="C648" s="1" t="s">
        <v>1231</v>
      </c>
      <c r="D648" s="1" t="s">
        <v>224</v>
      </c>
      <c r="E648" s="1" t="s">
        <v>254</v>
      </c>
      <c r="F648" s="1" t="s">
        <v>6717</v>
      </c>
      <c r="G648" s="1" t="str">
        <f>IFERROR(VLOOKUP(A648,H_C!$A$2:$G$2628,7,0),"Validar HC")</f>
        <v>Gonzalez, Cristian</v>
      </c>
      <c r="H648" s="164">
        <v>1623501.0</v>
      </c>
      <c r="I648" s="1">
        <v>42.0</v>
      </c>
    </row>
    <row r="649" ht="15.75" customHeight="1">
      <c r="A649" s="1">
        <v>5062328.0</v>
      </c>
      <c r="B649" s="1" t="s">
        <v>2616</v>
      </c>
      <c r="C649" s="1" t="s">
        <v>2617</v>
      </c>
      <c r="D649" s="1" t="s">
        <v>224</v>
      </c>
      <c r="E649" s="1" t="s">
        <v>676</v>
      </c>
      <c r="F649" s="1" t="s">
        <v>6717</v>
      </c>
      <c r="G649" s="1" t="str">
        <f>IFERROR(VLOOKUP(A649,H_C!$A$2:$G$2628,7,0),"Validar HC")</f>
        <v>Garatejo, Natalia</v>
      </c>
      <c r="H649" s="164">
        <v>1623501.0</v>
      </c>
      <c r="I649" s="1">
        <v>42.0</v>
      </c>
    </row>
    <row r="650" ht="15.75" customHeight="1">
      <c r="A650" s="1">
        <v>5062385.0</v>
      </c>
      <c r="B650" s="1" t="s">
        <v>1226</v>
      </c>
      <c r="C650" s="1" t="s">
        <v>1227</v>
      </c>
      <c r="D650" s="1" t="s">
        <v>224</v>
      </c>
      <c r="E650" s="1" t="s">
        <v>441</v>
      </c>
      <c r="F650" s="1" t="s">
        <v>6717</v>
      </c>
      <c r="G650" s="1" t="str">
        <f>IFERROR(VLOOKUP(A650,H_C!$A$2:$G$2628,7,0),"Validar HC")</f>
        <v>Gonzalez, Cristian</v>
      </c>
      <c r="H650" s="164">
        <v>1623501.0</v>
      </c>
      <c r="I650" s="1">
        <v>42.0</v>
      </c>
    </row>
    <row r="651" ht="15.75" customHeight="1">
      <c r="A651" s="1">
        <v>5064675.0</v>
      </c>
      <c r="B651" s="1" t="s">
        <v>2622</v>
      </c>
      <c r="C651" s="1" t="s">
        <v>2623</v>
      </c>
      <c r="D651" s="1" t="s">
        <v>224</v>
      </c>
      <c r="E651" s="1" t="s">
        <v>676</v>
      </c>
      <c r="F651" s="1" t="s">
        <v>6717</v>
      </c>
      <c r="G651" s="1" t="str">
        <f>IFERROR(VLOOKUP(A651,H_C!$A$2:$G$2628,7,0),"Validar HC")</f>
        <v>Garatejo, Natalia</v>
      </c>
      <c r="H651" s="164">
        <v>1623501.0</v>
      </c>
      <c r="I651" s="1">
        <v>42.0</v>
      </c>
    </row>
    <row r="652" ht="15.75" customHeight="1">
      <c r="A652" s="1">
        <v>5064916.0</v>
      </c>
      <c r="B652" s="1" t="s">
        <v>2628</v>
      </c>
      <c r="C652" s="1" t="s">
        <v>2630</v>
      </c>
      <c r="D652" s="1" t="s">
        <v>224</v>
      </c>
      <c r="E652" s="1" t="s">
        <v>1791</v>
      </c>
      <c r="F652" s="1" t="s">
        <v>6717</v>
      </c>
      <c r="G652" s="1" t="str">
        <f>IFERROR(VLOOKUP(A652,H_C!$A$2:$G$2628,7,0),"Validar HC")</f>
        <v>Garcia, Helmer</v>
      </c>
      <c r="H652" s="164">
        <v>1623501.0</v>
      </c>
      <c r="I652" s="1">
        <v>42.0</v>
      </c>
    </row>
    <row r="653" ht="15.75" customHeight="1">
      <c r="A653" s="1">
        <v>5064924.0</v>
      </c>
      <c r="B653" s="1" t="s">
        <v>2633</v>
      </c>
      <c r="C653" s="1" t="s">
        <v>2634</v>
      </c>
      <c r="D653" s="1" t="s">
        <v>224</v>
      </c>
      <c r="E653" s="1" t="s">
        <v>676</v>
      </c>
      <c r="F653" s="1" t="s">
        <v>6717</v>
      </c>
      <c r="G653" s="1" t="str">
        <f>IFERROR(VLOOKUP(A653,H_C!$A$2:$G$2628,7,0),"Validar HC")</f>
        <v>Garatejo, Natalia</v>
      </c>
      <c r="H653" s="164">
        <v>1623501.0</v>
      </c>
      <c r="I653" s="1">
        <v>42.0</v>
      </c>
    </row>
    <row r="654" ht="15.75" customHeight="1">
      <c r="A654" s="1">
        <v>5065475.0</v>
      </c>
      <c r="B654" s="1" t="s">
        <v>1338</v>
      </c>
      <c r="C654" s="1" t="s">
        <v>1339</v>
      </c>
      <c r="D654" s="1" t="s">
        <v>224</v>
      </c>
      <c r="E654" s="1" t="s">
        <v>331</v>
      </c>
      <c r="F654" s="1" t="s">
        <v>6717</v>
      </c>
      <c r="G654" s="1" t="str">
        <f>IFERROR(VLOOKUP(A654,H_C!$A$2:$G$2628,7,0),"Validar HC")</f>
        <v>Parra, Jeimmy</v>
      </c>
      <c r="H654" s="164">
        <v>1623501.0</v>
      </c>
      <c r="I654" s="1">
        <v>42.0</v>
      </c>
    </row>
    <row r="655" ht="15.75" customHeight="1">
      <c r="A655" s="1">
        <v>5065477.0</v>
      </c>
      <c r="B655" s="1" t="s">
        <v>2639</v>
      </c>
      <c r="C655" s="1" t="s">
        <v>2640</v>
      </c>
      <c r="D655" s="1" t="s">
        <v>224</v>
      </c>
      <c r="E655" s="1" t="s">
        <v>813</v>
      </c>
      <c r="F655" s="1" t="s">
        <v>6717</v>
      </c>
      <c r="G655" s="1" t="str">
        <f>IFERROR(VLOOKUP(A655,H_C!$A$2:$G$2628,7,0),"Validar HC")</f>
        <v>Garatejo, Natalia</v>
      </c>
      <c r="H655" s="164">
        <v>1623501.0</v>
      </c>
      <c r="I655" s="1">
        <v>42.0</v>
      </c>
    </row>
    <row r="656" ht="15.75" customHeight="1">
      <c r="A656" s="1">
        <v>5065480.0</v>
      </c>
      <c r="B656" s="1" t="s">
        <v>1592</v>
      </c>
      <c r="C656" s="1" t="s">
        <v>1593</v>
      </c>
      <c r="D656" s="1" t="s">
        <v>224</v>
      </c>
      <c r="E656" s="1" t="s">
        <v>478</v>
      </c>
      <c r="F656" s="1" t="s">
        <v>6717</v>
      </c>
      <c r="G656" s="1" t="str">
        <f>IFERROR(VLOOKUP(A656,H_C!$A$2:$G$2628,7,0),"Validar HC")</f>
        <v>Celi, Juan</v>
      </c>
      <c r="H656" s="164">
        <v>1623501.0</v>
      </c>
      <c r="I656" s="1">
        <v>42.0</v>
      </c>
    </row>
    <row r="657" ht="15.75" customHeight="1">
      <c r="A657" s="1">
        <v>5065481.0</v>
      </c>
      <c r="B657" s="1" t="s">
        <v>2645</v>
      </c>
      <c r="C657" s="1" t="s">
        <v>2646</v>
      </c>
      <c r="D657" s="1" t="s">
        <v>224</v>
      </c>
      <c r="E657" s="1" t="s">
        <v>9</v>
      </c>
      <c r="F657" s="1" t="s">
        <v>6717</v>
      </c>
      <c r="G657" s="1" t="str">
        <f>IFERROR(VLOOKUP(A657,H_C!$A$2:$G$2628,7,0),"Validar HC")</f>
        <v>Celi, Juan</v>
      </c>
      <c r="H657" s="164">
        <v>1623501.0</v>
      </c>
      <c r="I657" s="1">
        <v>42.0</v>
      </c>
    </row>
    <row r="658" ht="15.75" customHeight="1">
      <c r="A658" s="1">
        <v>5065734.0</v>
      </c>
      <c r="B658" s="1" t="s">
        <v>2649</v>
      </c>
      <c r="C658" s="1" t="s">
        <v>2650</v>
      </c>
      <c r="D658" s="1" t="s">
        <v>224</v>
      </c>
      <c r="E658" s="1" t="s">
        <v>537</v>
      </c>
      <c r="F658" s="1" t="s">
        <v>6717</v>
      </c>
      <c r="G658" s="1" t="str">
        <f>IFERROR(VLOOKUP(A658,H_C!$A$2:$G$2628,7,0),"Validar HC")</f>
        <v>Ayala, Giselle</v>
      </c>
      <c r="H658" s="164">
        <v>1623501.0</v>
      </c>
      <c r="I658" s="1">
        <v>42.0</v>
      </c>
    </row>
    <row r="659" ht="15.75" customHeight="1">
      <c r="A659" s="1">
        <v>5065737.0</v>
      </c>
      <c r="B659" s="1" t="s">
        <v>2653</v>
      </c>
      <c r="C659" s="1" t="s">
        <v>2654</v>
      </c>
      <c r="D659" s="1" t="s">
        <v>224</v>
      </c>
      <c r="E659" s="1" t="s">
        <v>537</v>
      </c>
      <c r="F659" s="1" t="s">
        <v>6717</v>
      </c>
      <c r="G659" s="1" t="str">
        <f>IFERROR(VLOOKUP(A659,H_C!$A$2:$G$2628,7,0),"Validar HC")</f>
        <v>Ayala, Giselle</v>
      </c>
      <c r="H659" s="164">
        <v>1623501.0</v>
      </c>
      <c r="I659" s="1">
        <v>42.0</v>
      </c>
    </row>
    <row r="660" ht="15.75" customHeight="1">
      <c r="A660" s="1">
        <v>5065750.0</v>
      </c>
      <c r="B660" s="1" t="s">
        <v>2657</v>
      </c>
      <c r="C660" s="1" t="s">
        <v>2658</v>
      </c>
      <c r="D660" s="1" t="s">
        <v>224</v>
      </c>
      <c r="E660" s="1" t="s">
        <v>813</v>
      </c>
      <c r="F660" s="1" t="s">
        <v>6717</v>
      </c>
      <c r="G660" s="1" t="str">
        <f>IFERROR(VLOOKUP(A660,H_C!$A$2:$G$2628,7,0),"Validar HC")</f>
        <v>Garatejo, Natalia</v>
      </c>
      <c r="H660" s="164">
        <v>1623501.0</v>
      </c>
      <c r="I660" s="1">
        <v>42.0</v>
      </c>
    </row>
    <row r="661" ht="15.75" customHeight="1">
      <c r="A661" s="1">
        <v>5065796.0</v>
      </c>
      <c r="B661" s="1" t="s">
        <v>2661</v>
      </c>
      <c r="C661" s="1" t="s">
        <v>2662</v>
      </c>
      <c r="D661" s="1" t="s">
        <v>224</v>
      </c>
      <c r="E661" s="1" t="s">
        <v>2069</v>
      </c>
      <c r="F661" s="1" t="s">
        <v>6717</v>
      </c>
      <c r="G661" s="1" t="str">
        <f>IFERROR(VLOOKUP(A661,H_C!$A$2:$G$2628,7,0),"Validar HC")</f>
        <v>Garatejo, Natalia</v>
      </c>
      <c r="H661" s="164">
        <v>1623501.0</v>
      </c>
      <c r="I661" s="1">
        <v>42.0</v>
      </c>
    </row>
    <row r="662" ht="15.75" customHeight="1">
      <c r="A662" s="1">
        <v>5065866.0</v>
      </c>
      <c r="B662" s="1" t="s">
        <v>1527</v>
      </c>
      <c r="C662" s="1" t="s">
        <v>1528</v>
      </c>
      <c r="D662" s="1" t="s">
        <v>224</v>
      </c>
      <c r="E662" s="1" t="s">
        <v>478</v>
      </c>
      <c r="F662" s="1" t="s">
        <v>6717</v>
      </c>
      <c r="G662" s="1" t="str">
        <f>IFERROR(VLOOKUP(A662,H_C!$A$2:$G$2628,7,0),"Validar HC")</f>
        <v>Celi, Juan</v>
      </c>
      <c r="H662" s="164">
        <v>1623501.0</v>
      </c>
      <c r="I662" s="1">
        <v>42.0</v>
      </c>
    </row>
    <row r="663" ht="15.75" customHeight="1">
      <c r="A663" s="1">
        <v>5068162.0</v>
      </c>
      <c r="B663" s="1" t="s">
        <v>2663</v>
      </c>
      <c r="C663" s="1" t="s">
        <v>2664</v>
      </c>
      <c r="D663" s="1" t="s">
        <v>224</v>
      </c>
      <c r="E663" s="1" t="s">
        <v>800</v>
      </c>
      <c r="F663" s="1" t="s">
        <v>6717</v>
      </c>
      <c r="G663" s="1" t="str">
        <f>IFERROR(VLOOKUP(A663,H_C!$A$2:$G$2628,7,0),"Validar HC")</f>
        <v>Garatejo, Natalia</v>
      </c>
      <c r="H663" s="164">
        <v>1623501.0</v>
      </c>
      <c r="I663" s="1">
        <v>42.0</v>
      </c>
    </row>
    <row r="664" ht="15.75" customHeight="1">
      <c r="A664" s="1">
        <v>5068312.0</v>
      </c>
      <c r="B664" s="1" t="s">
        <v>2667</v>
      </c>
      <c r="C664" s="1" t="s">
        <v>2668</v>
      </c>
      <c r="D664" s="1" t="s">
        <v>224</v>
      </c>
      <c r="E664" s="1" t="s">
        <v>246</v>
      </c>
      <c r="F664" s="1" t="s">
        <v>6717</v>
      </c>
      <c r="G664" s="1" t="str">
        <f>IFERROR(VLOOKUP(A664,H_C!$A$2:$G$2628,7,0),"Validar HC")</f>
        <v>Garcia, Helmer</v>
      </c>
      <c r="H664" s="164">
        <v>1623501.0</v>
      </c>
      <c r="I664" s="1">
        <v>42.0</v>
      </c>
    </row>
    <row r="665" ht="15.75" customHeight="1">
      <c r="A665" s="1">
        <v>5068359.0</v>
      </c>
      <c r="B665" s="1" t="s">
        <v>2671</v>
      </c>
      <c r="C665" s="1" t="s">
        <v>2672</v>
      </c>
      <c r="D665" s="1" t="s">
        <v>224</v>
      </c>
      <c r="E665" s="1" t="s">
        <v>537</v>
      </c>
      <c r="F665" s="1" t="s">
        <v>6717</v>
      </c>
      <c r="G665" s="1" t="str">
        <f>IFERROR(VLOOKUP(A665,H_C!$A$2:$G$2628,7,0),"Validar HC")</f>
        <v>Ayala, Giselle</v>
      </c>
      <c r="H665" s="164">
        <v>1623501.0</v>
      </c>
      <c r="I665" s="1">
        <v>42.0</v>
      </c>
    </row>
    <row r="666" ht="15.75" customHeight="1">
      <c r="A666" s="1">
        <v>5069238.0</v>
      </c>
      <c r="B666" s="1" t="s">
        <v>2354</v>
      </c>
      <c r="C666" s="1" t="s">
        <v>2355</v>
      </c>
      <c r="D666" s="1" t="s">
        <v>224</v>
      </c>
      <c r="E666" s="1" t="s">
        <v>81</v>
      </c>
      <c r="F666" s="1" t="s">
        <v>6717</v>
      </c>
      <c r="G666" s="1" t="str">
        <f>IFERROR(VLOOKUP(A666,H_C!$A$2:$G$2628,7,0),"Validar HC")</f>
        <v>Ospina, Michel</v>
      </c>
      <c r="H666" s="164">
        <v>1623501.0</v>
      </c>
      <c r="I666" s="1">
        <v>42.0</v>
      </c>
    </row>
    <row r="667" ht="15.75" customHeight="1">
      <c r="A667" s="1">
        <v>5069239.0</v>
      </c>
      <c r="B667" s="1" t="s">
        <v>2673</v>
      </c>
      <c r="C667" s="1" t="s">
        <v>2674</v>
      </c>
      <c r="D667" s="1" t="s">
        <v>224</v>
      </c>
      <c r="E667" s="1" t="s">
        <v>1044</v>
      </c>
      <c r="F667" s="1" t="s">
        <v>6717</v>
      </c>
      <c r="G667" s="1" t="str">
        <f>IFERROR(VLOOKUP(A667,H_C!$A$2:$G$2628,7,0),"Validar HC")</f>
        <v>Gonzalez, Cristian</v>
      </c>
      <c r="H667" s="164">
        <v>1623501.0</v>
      </c>
      <c r="I667" s="1">
        <v>42.0</v>
      </c>
    </row>
    <row r="668" ht="15.75" customHeight="1">
      <c r="A668" s="1">
        <v>5069241.0</v>
      </c>
      <c r="B668" s="1" t="s">
        <v>2677</v>
      </c>
      <c r="C668" s="1" t="s">
        <v>2678</v>
      </c>
      <c r="D668" s="1" t="s">
        <v>224</v>
      </c>
      <c r="E668" s="1" t="s">
        <v>847</v>
      </c>
      <c r="F668" s="1" t="s">
        <v>6717</v>
      </c>
      <c r="G668" s="1" t="str">
        <f>IFERROR(VLOOKUP(A668,H_C!$A$2:$G$2628,7,0),"Validar HC")</f>
        <v>Garatejo, Natalia</v>
      </c>
      <c r="H668" s="164">
        <v>1623501.0</v>
      </c>
      <c r="I668" s="1">
        <v>42.0</v>
      </c>
    </row>
    <row r="669" ht="15.75" customHeight="1">
      <c r="A669" s="1">
        <v>5069390.0</v>
      </c>
      <c r="B669" s="1" t="s">
        <v>1946</v>
      </c>
      <c r="C669" s="1" t="s">
        <v>1947</v>
      </c>
      <c r="D669" s="1" t="s">
        <v>224</v>
      </c>
      <c r="E669" s="1" t="s">
        <v>1363</v>
      </c>
      <c r="F669" s="1" t="s">
        <v>6717</v>
      </c>
      <c r="G669" s="1" t="str">
        <f>IFERROR(VLOOKUP(A669,H_C!$A$2:$G$2628,7,0),"Validar HC")</f>
        <v>Osorio, Julian</v>
      </c>
      <c r="H669" s="164">
        <v>1623501.0</v>
      </c>
      <c r="I669" s="1">
        <v>42.0</v>
      </c>
    </row>
    <row r="670" ht="15.75" customHeight="1">
      <c r="A670" s="1">
        <v>5070230.0</v>
      </c>
      <c r="B670" s="1" t="s">
        <v>914</v>
      </c>
      <c r="C670" s="1" t="s">
        <v>915</v>
      </c>
      <c r="D670" s="1" t="s">
        <v>224</v>
      </c>
      <c r="E670" s="1" t="s">
        <v>118</v>
      </c>
      <c r="F670" s="1" t="s">
        <v>6717</v>
      </c>
      <c r="G670" s="1" t="str">
        <f>IFERROR(VLOOKUP(A670,H_C!$A$2:$G$2628,7,0),"Validar HC")</f>
        <v>Ospina, Michel</v>
      </c>
      <c r="H670" s="164">
        <v>1623501.0</v>
      </c>
      <c r="I670" s="1">
        <v>42.0</v>
      </c>
    </row>
    <row r="671" ht="15.75" customHeight="1">
      <c r="A671" s="1">
        <v>5070239.0</v>
      </c>
      <c r="B671" s="1" t="s">
        <v>2683</v>
      </c>
      <c r="C671" s="1" t="s">
        <v>2684</v>
      </c>
      <c r="D671" s="1" t="s">
        <v>224</v>
      </c>
      <c r="E671" s="1" t="s">
        <v>522</v>
      </c>
      <c r="F671" s="1" t="s">
        <v>6717</v>
      </c>
      <c r="G671" s="1" t="str">
        <f>IFERROR(VLOOKUP(A671,H_C!$A$2:$G$2628,7,0),"Validar HC")</f>
        <v>Martinez, Wendy</v>
      </c>
      <c r="H671" s="164">
        <v>1623501.0</v>
      </c>
      <c r="I671" s="1">
        <v>42.0</v>
      </c>
    </row>
    <row r="672" ht="15.75" customHeight="1">
      <c r="A672" s="1">
        <v>5070244.0</v>
      </c>
      <c r="B672" s="1" t="s">
        <v>570</v>
      </c>
      <c r="C672" s="1" t="s">
        <v>571</v>
      </c>
      <c r="D672" s="1" t="s">
        <v>224</v>
      </c>
      <c r="E672" s="1" t="s">
        <v>526</v>
      </c>
      <c r="F672" s="1" t="s">
        <v>6717</v>
      </c>
      <c r="G672" s="1" t="str">
        <f>IFERROR(VLOOKUP(A672,H_C!$A$2:$G$2628,7,0),"Validar HC")</f>
        <v>Martinez, Wendy</v>
      </c>
      <c r="H672" s="164">
        <v>1623501.0</v>
      </c>
      <c r="I672" s="1">
        <v>42.0</v>
      </c>
    </row>
    <row r="673" ht="15.75" customHeight="1">
      <c r="A673" s="1">
        <v>5070245.0</v>
      </c>
      <c r="B673" s="1" t="s">
        <v>2689</v>
      </c>
      <c r="C673" s="1" t="s">
        <v>2690</v>
      </c>
      <c r="D673" s="1" t="s">
        <v>224</v>
      </c>
      <c r="E673" s="1" t="s">
        <v>526</v>
      </c>
      <c r="F673" s="1" t="s">
        <v>6717</v>
      </c>
      <c r="G673" s="1" t="str">
        <f>IFERROR(VLOOKUP(A673,H_C!$A$2:$G$2628,7,0),"Validar HC")</f>
        <v>Martinez, Wendy</v>
      </c>
      <c r="H673" s="164">
        <v>1623501.0</v>
      </c>
      <c r="I673" s="1">
        <v>42.0</v>
      </c>
    </row>
    <row r="674" ht="15.75" customHeight="1">
      <c r="A674" s="1">
        <v>5070247.0</v>
      </c>
      <c r="B674" s="1" t="s">
        <v>2695</v>
      </c>
      <c r="C674" s="1" t="s">
        <v>2696</v>
      </c>
      <c r="D674" s="1" t="s">
        <v>224</v>
      </c>
      <c r="E674" s="1" t="s">
        <v>485</v>
      </c>
      <c r="F674" s="1" t="s">
        <v>6717</v>
      </c>
      <c r="G674" s="1" t="str">
        <f>IFERROR(VLOOKUP(A674,H_C!$A$2:$G$2628,7,0),"Validar HC")</f>
        <v>Martinez, Wendy</v>
      </c>
      <c r="H674" s="164">
        <v>1623501.0</v>
      </c>
      <c r="I674" s="1">
        <v>42.0</v>
      </c>
    </row>
    <row r="675" ht="15.75" customHeight="1">
      <c r="A675" s="1">
        <v>5070367.0</v>
      </c>
      <c r="B675" s="1" t="s">
        <v>1689</v>
      </c>
      <c r="C675" s="1" t="s">
        <v>1690</v>
      </c>
      <c r="D675" s="1" t="s">
        <v>224</v>
      </c>
      <c r="E675" s="1" t="s">
        <v>1676</v>
      </c>
      <c r="F675" s="1" t="s">
        <v>6717</v>
      </c>
      <c r="G675" s="1" t="str">
        <f>IFERROR(VLOOKUP(A675,H_C!$A$2:$G$2628,7,0),"Validar HC")</f>
        <v>Soler, Maria</v>
      </c>
      <c r="H675" s="164">
        <v>1623501.0</v>
      </c>
      <c r="I675" s="1">
        <v>42.0</v>
      </c>
    </row>
    <row r="676" ht="15.75" customHeight="1">
      <c r="A676" s="1">
        <v>5071016.0</v>
      </c>
      <c r="B676" s="1" t="s">
        <v>2701</v>
      </c>
      <c r="C676" s="1" t="s">
        <v>2702</v>
      </c>
      <c r="D676" s="1" t="s">
        <v>224</v>
      </c>
      <c r="E676" s="1" t="s">
        <v>120</v>
      </c>
      <c r="F676" s="1" t="s">
        <v>6717</v>
      </c>
      <c r="G676" s="1" t="str">
        <f>IFERROR(VLOOKUP(A676,H_C!$A$2:$G$2628,7,0),"Validar HC")</f>
        <v>Ospina, Michel</v>
      </c>
      <c r="H676" s="164">
        <v>1623501.0</v>
      </c>
      <c r="I676" s="1">
        <v>42.0</v>
      </c>
    </row>
    <row r="677" ht="15.75" customHeight="1">
      <c r="A677" s="1">
        <v>5071028.0</v>
      </c>
      <c r="B677" s="1" t="s">
        <v>2705</v>
      </c>
      <c r="C677" s="1" t="s">
        <v>2706</v>
      </c>
      <c r="D677" s="1" t="s">
        <v>224</v>
      </c>
      <c r="E677" s="1" t="s">
        <v>522</v>
      </c>
      <c r="F677" s="1" t="s">
        <v>6717</v>
      </c>
      <c r="G677" s="1" t="str">
        <f>IFERROR(VLOOKUP(A677,H_C!$A$2:$G$2628,7,0),"Validar HC")</f>
        <v>Martinez, Wendy</v>
      </c>
      <c r="H677" s="164">
        <v>1623501.0</v>
      </c>
      <c r="I677" s="1">
        <v>42.0</v>
      </c>
    </row>
    <row r="678" ht="15.75" customHeight="1">
      <c r="A678" s="1">
        <v>5492754.0</v>
      </c>
      <c r="B678" s="1" t="s">
        <v>66</v>
      </c>
      <c r="C678" s="1" t="s">
        <v>1383</v>
      </c>
      <c r="D678" s="1" t="s">
        <v>224</v>
      </c>
      <c r="E678" s="1" t="s">
        <v>13</v>
      </c>
      <c r="F678" s="1" t="s">
        <v>6717</v>
      </c>
      <c r="G678" s="1" t="str">
        <f>IFERROR(VLOOKUP(A678,H_C!$A$2:$G$2628,7,0),"Validar HC")</f>
        <v>Ospina, Michel</v>
      </c>
      <c r="H678" s="162">
        <v>1600000.0</v>
      </c>
      <c r="I678" s="1">
        <v>42.0</v>
      </c>
    </row>
    <row r="679" ht="15.75" customHeight="1">
      <c r="A679" s="1">
        <v>5075095.0</v>
      </c>
      <c r="B679" s="1" t="s">
        <v>2712</v>
      </c>
      <c r="C679" s="1" t="s">
        <v>2713</v>
      </c>
      <c r="D679" s="1" t="s">
        <v>224</v>
      </c>
      <c r="E679" s="1" t="s">
        <v>506</v>
      </c>
      <c r="F679" s="1" t="s">
        <v>6717</v>
      </c>
      <c r="G679" s="1" t="str">
        <f>IFERROR(VLOOKUP(A679,H_C!$A$2:$G$2628,7,0),"Validar HC")</f>
        <v>Ospina, Michel</v>
      </c>
      <c r="H679" s="164">
        <v>1623501.0</v>
      </c>
      <c r="I679" s="1">
        <v>42.0</v>
      </c>
    </row>
    <row r="680" ht="15.75" customHeight="1">
      <c r="A680" s="1">
        <v>5075162.0</v>
      </c>
      <c r="B680" s="1" t="s">
        <v>2718</v>
      </c>
      <c r="C680" s="1" t="s">
        <v>2719</v>
      </c>
      <c r="D680" s="1" t="s">
        <v>224</v>
      </c>
      <c r="E680" s="1" t="s">
        <v>1695</v>
      </c>
      <c r="F680" s="1" t="s">
        <v>6717</v>
      </c>
      <c r="G680" s="1" t="str">
        <f>IFERROR(VLOOKUP(A680,H_C!$A$2:$G$2628,7,0),"Validar HC")</f>
        <v>Ayala, Giselle</v>
      </c>
      <c r="H680" s="164">
        <v>1623501.0</v>
      </c>
      <c r="I680" s="1">
        <v>42.0</v>
      </c>
    </row>
    <row r="681" ht="15.75" customHeight="1">
      <c r="A681" s="1">
        <v>5076591.0</v>
      </c>
      <c r="B681" s="1" t="s">
        <v>2722</v>
      </c>
      <c r="C681" s="1" t="s">
        <v>2723</v>
      </c>
      <c r="D681" s="1" t="s">
        <v>224</v>
      </c>
      <c r="E681" s="1" t="s">
        <v>316</v>
      </c>
      <c r="F681" s="1" t="s">
        <v>6717</v>
      </c>
      <c r="G681" s="1" t="str">
        <f>IFERROR(VLOOKUP(A681,H_C!$A$2:$G$2628,7,0),"Validar HC")</f>
        <v>Osorio, Julian</v>
      </c>
      <c r="H681" s="164">
        <v>1623501.0</v>
      </c>
      <c r="I681" s="1">
        <v>42.0</v>
      </c>
    </row>
    <row r="682" ht="15.75" customHeight="1">
      <c r="A682" s="1">
        <v>5076655.0</v>
      </c>
      <c r="B682" s="1" t="s">
        <v>2728</v>
      </c>
      <c r="C682" s="1" t="s">
        <v>2729</v>
      </c>
      <c r="D682" s="1" t="s">
        <v>224</v>
      </c>
      <c r="E682" s="1" t="s">
        <v>232</v>
      </c>
      <c r="F682" s="1" t="s">
        <v>6717</v>
      </c>
      <c r="G682" s="1" t="str">
        <f>IFERROR(VLOOKUP(A682,H_C!$A$2:$G$2628,7,0),"Validar HC")</f>
        <v>Soler, Maria</v>
      </c>
      <c r="H682" s="164">
        <v>1623501.0</v>
      </c>
      <c r="I682" s="1">
        <v>42.0</v>
      </c>
    </row>
    <row r="683" ht="15.75" customHeight="1">
      <c r="A683" s="1">
        <v>5077106.0</v>
      </c>
      <c r="B683" s="1" t="s">
        <v>2732</v>
      </c>
      <c r="C683" s="1" t="s">
        <v>2733</v>
      </c>
      <c r="D683" s="1" t="s">
        <v>224</v>
      </c>
      <c r="E683" s="1" t="s">
        <v>478</v>
      </c>
      <c r="F683" s="1" t="s">
        <v>6717</v>
      </c>
      <c r="G683" s="1" t="str">
        <f>IFERROR(VLOOKUP(A683,H_C!$A$2:$G$2628,7,0),"Validar HC")</f>
        <v>Celi, Juan</v>
      </c>
      <c r="H683" s="164">
        <v>1623501.0</v>
      </c>
      <c r="I683" s="1">
        <v>42.0</v>
      </c>
    </row>
    <row r="684" ht="15.75" customHeight="1">
      <c r="A684" s="1">
        <v>5078331.0</v>
      </c>
      <c r="B684" s="1" t="s">
        <v>2736</v>
      </c>
      <c r="C684" s="1" t="s">
        <v>2737</v>
      </c>
      <c r="D684" s="1" t="s">
        <v>224</v>
      </c>
      <c r="E684" s="1" t="s">
        <v>113</v>
      </c>
      <c r="F684" s="1" t="s">
        <v>6717</v>
      </c>
      <c r="G684" s="1" t="str">
        <f>IFERROR(VLOOKUP(A684,H_C!$A$2:$G$2628,7,0),"Validar HC")</f>
        <v>Soler, Maria</v>
      </c>
      <c r="H684" s="164">
        <v>1623501.0</v>
      </c>
      <c r="I684" s="1">
        <v>42.0</v>
      </c>
    </row>
    <row r="685" ht="15.75" customHeight="1">
      <c r="A685" s="1">
        <v>5083096.0</v>
      </c>
      <c r="B685" s="1" t="s">
        <v>2740</v>
      </c>
      <c r="C685" s="1" t="s">
        <v>2741</v>
      </c>
      <c r="D685" s="1" t="s">
        <v>224</v>
      </c>
      <c r="E685" s="1" t="s">
        <v>1791</v>
      </c>
      <c r="F685" s="1" t="s">
        <v>6717</v>
      </c>
      <c r="G685" s="1" t="str">
        <f>IFERROR(VLOOKUP(A685,H_C!$A$2:$G$2628,7,0),"Validar HC")</f>
        <v>Garcia, Helmer</v>
      </c>
      <c r="H685" s="164">
        <v>1623501.0</v>
      </c>
      <c r="I685" s="1">
        <v>42.0</v>
      </c>
    </row>
    <row r="686" ht="15.75" customHeight="1">
      <c r="A686" s="1">
        <v>5085888.0</v>
      </c>
      <c r="B686" s="1" t="s">
        <v>2742</v>
      </c>
      <c r="C686" s="1" t="s">
        <v>2743</v>
      </c>
      <c r="D686" s="1" t="s">
        <v>224</v>
      </c>
      <c r="E686" s="1" t="s">
        <v>676</v>
      </c>
      <c r="F686" s="1" t="s">
        <v>6717</v>
      </c>
      <c r="G686" s="1" t="str">
        <f>IFERROR(VLOOKUP(A686,H_C!$A$2:$G$2628,7,0),"Validar HC")</f>
        <v>Garatejo, Natalia</v>
      </c>
      <c r="H686" s="164">
        <v>1623501.0</v>
      </c>
      <c r="I686" s="1">
        <v>42.0</v>
      </c>
    </row>
    <row r="687" ht="15.75" customHeight="1">
      <c r="A687" s="1">
        <v>5085905.0</v>
      </c>
      <c r="B687" s="1" t="s">
        <v>2744</v>
      </c>
      <c r="C687" s="1" t="s">
        <v>2745</v>
      </c>
      <c r="D687" s="1" t="s">
        <v>224</v>
      </c>
      <c r="E687" s="1" t="s">
        <v>695</v>
      </c>
      <c r="F687" s="1" t="s">
        <v>6717</v>
      </c>
      <c r="G687" s="1" t="str">
        <f>IFERROR(VLOOKUP(A687,H_C!$A$2:$G$2628,7,0),"Validar HC")</f>
        <v>Ayala, Giselle</v>
      </c>
      <c r="H687" s="164">
        <v>1623501.0</v>
      </c>
      <c r="I687" s="1">
        <v>42.0</v>
      </c>
    </row>
    <row r="688" ht="15.75" customHeight="1">
      <c r="A688" s="1">
        <v>5085911.0</v>
      </c>
      <c r="B688" s="1" t="s">
        <v>2006</v>
      </c>
      <c r="C688" s="1" t="s">
        <v>2007</v>
      </c>
      <c r="D688" s="1" t="s">
        <v>224</v>
      </c>
      <c r="E688" s="1" t="s">
        <v>316</v>
      </c>
      <c r="F688" s="1" t="s">
        <v>6717</v>
      </c>
      <c r="G688" s="1" t="str">
        <f>IFERROR(VLOOKUP(A688,H_C!$A$2:$G$2628,7,0),"Validar HC")</f>
        <v>Osorio, Julian</v>
      </c>
      <c r="H688" s="164">
        <v>1623501.0</v>
      </c>
      <c r="I688" s="1">
        <v>42.0</v>
      </c>
    </row>
    <row r="689" ht="15.75" customHeight="1">
      <c r="A689" s="1">
        <v>5085912.0</v>
      </c>
      <c r="B689" s="1" t="s">
        <v>2748</v>
      </c>
      <c r="C689" s="1" t="s">
        <v>2749</v>
      </c>
      <c r="D689" s="1" t="s">
        <v>224</v>
      </c>
      <c r="E689" s="1" t="s">
        <v>374</v>
      </c>
      <c r="F689" s="1" t="s">
        <v>6717</v>
      </c>
      <c r="G689" s="1" t="str">
        <f>IFERROR(VLOOKUP(A689,H_C!$A$2:$G$2628,7,0),"Validar HC")</f>
        <v>Martinez, Wendy</v>
      </c>
      <c r="H689" s="164">
        <v>1623501.0</v>
      </c>
      <c r="I689" s="1">
        <v>42.0</v>
      </c>
    </row>
    <row r="690" ht="15.75" customHeight="1">
      <c r="A690" s="1">
        <v>5085917.0</v>
      </c>
      <c r="B690" s="1" t="s">
        <v>2752</v>
      </c>
      <c r="C690" s="1" t="s">
        <v>2753</v>
      </c>
      <c r="D690" s="1" t="s">
        <v>224</v>
      </c>
      <c r="E690" s="1" t="s">
        <v>676</v>
      </c>
      <c r="F690" s="1" t="s">
        <v>6717</v>
      </c>
      <c r="G690" s="1" t="str">
        <f>IFERROR(VLOOKUP(A690,H_C!$A$2:$G$2628,7,0),"Validar HC")</f>
        <v>Garatejo, Natalia</v>
      </c>
      <c r="H690" s="164">
        <v>1623501.0</v>
      </c>
      <c r="I690" s="1">
        <v>42.0</v>
      </c>
    </row>
    <row r="691" ht="15.75" customHeight="1">
      <c r="A691" s="1">
        <v>5086059.0</v>
      </c>
      <c r="B691" s="1" t="s">
        <v>117</v>
      </c>
      <c r="C691" s="1" t="s">
        <v>2511</v>
      </c>
      <c r="D691" s="1" t="s">
        <v>224</v>
      </c>
      <c r="E691" s="1" t="s">
        <v>81</v>
      </c>
      <c r="F691" s="1" t="s">
        <v>6717</v>
      </c>
      <c r="G691" s="1" t="str">
        <f>IFERROR(VLOOKUP(A691,H_C!$A$2:$G$2628,7,0),"Validar HC")</f>
        <v>Ospina, Michel</v>
      </c>
      <c r="H691" s="164">
        <v>1623501.0</v>
      </c>
      <c r="I691" s="1">
        <v>42.0</v>
      </c>
    </row>
    <row r="692" ht="15.75" customHeight="1">
      <c r="A692" s="1">
        <v>5086075.0</v>
      </c>
      <c r="B692" s="1" t="s">
        <v>2758</v>
      </c>
      <c r="C692" s="1" t="s">
        <v>2759</v>
      </c>
      <c r="D692" s="1" t="s">
        <v>224</v>
      </c>
      <c r="E692" s="1" t="s">
        <v>2285</v>
      </c>
      <c r="F692" s="1" t="s">
        <v>6717</v>
      </c>
      <c r="G692" s="1" t="str">
        <f>IFERROR(VLOOKUP(A692,H_C!$A$2:$G$2628,7,0),"Validar HC")</f>
        <v>Ayala, Giselle</v>
      </c>
      <c r="H692" s="164">
        <v>1623501.0</v>
      </c>
      <c r="I692" s="1">
        <v>42.0</v>
      </c>
    </row>
    <row r="693" ht="15.75" customHeight="1">
      <c r="A693" s="1">
        <v>5086076.0</v>
      </c>
      <c r="B693" s="1" t="s">
        <v>2763</v>
      </c>
      <c r="C693" s="1" t="s">
        <v>2764</v>
      </c>
      <c r="D693" s="1" t="s">
        <v>224</v>
      </c>
      <c r="E693" s="1" t="s">
        <v>794</v>
      </c>
      <c r="F693" s="1" t="s">
        <v>6717</v>
      </c>
      <c r="G693" s="1" t="str">
        <f>IFERROR(VLOOKUP(A693,H_C!$A$2:$G$2628,7,0),"Validar HC")</f>
        <v>Osorio, Julian</v>
      </c>
      <c r="H693" s="164">
        <v>1623501.0</v>
      </c>
      <c r="I693" s="1">
        <v>42.0</v>
      </c>
    </row>
    <row r="694" ht="15.75" customHeight="1">
      <c r="A694" s="1">
        <v>5087232.0</v>
      </c>
      <c r="B694" s="1" t="s">
        <v>999</v>
      </c>
      <c r="C694" s="1" t="s">
        <v>1000</v>
      </c>
      <c r="D694" s="1" t="s">
        <v>224</v>
      </c>
      <c r="E694" s="1" t="s">
        <v>254</v>
      </c>
      <c r="F694" s="1" t="s">
        <v>6717</v>
      </c>
      <c r="G694" s="1" t="str">
        <f>IFERROR(VLOOKUP(A694,H_C!$A$2:$G$2628,7,0),"Validar HC")</f>
        <v>Gonzalez, Cristian</v>
      </c>
      <c r="H694" s="164">
        <v>1623501.0</v>
      </c>
      <c r="I694" s="1">
        <v>42.0</v>
      </c>
    </row>
    <row r="695" ht="15.75" customHeight="1">
      <c r="A695" s="1">
        <v>5087301.0</v>
      </c>
      <c r="B695" s="1" t="s">
        <v>2769</v>
      </c>
      <c r="C695" s="1" t="s">
        <v>2770</v>
      </c>
      <c r="D695" s="1" t="s">
        <v>224</v>
      </c>
      <c r="E695" s="1" t="s">
        <v>549</v>
      </c>
      <c r="F695" s="1" t="s">
        <v>6717</v>
      </c>
      <c r="G695" s="1" t="str">
        <f>IFERROR(VLOOKUP(A695,H_C!$A$2:$G$2628,7,0),"Validar HC")</f>
        <v>Soler, Maria</v>
      </c>
      <c r="H695" s="164">
        <v>1623501.0</v>
      </c>
      <c r="I695" s="1">
        <v>42.0</v>
      </c>
    </row>
    <row r="696" ht="15.75" customHeight="1">
      <c r="A696" s="1">
        <v>5088517.0</v>
      </c>
      <c r="B696" s="1" t="s">
        <v>2101</v>
      </c>
      <c r="C696" s="1" t="s">
        <v>2102</v>
      </c>
      <c r="D696" s="1" t="s">
        <v>224</v>
      </c>
      <c r="E696" s="1" t="s">
        <v>323</v>
      </c>
      <c r="F696" s="1" t="s">
        <v>6717</v>
      </c>
      <c r="G696" s="1" t="str">
        <f>IFERROR(VLOOKUP(A696,H_C!$A$2:$G$2628,7,0),"Validar HC")</f>
        <v>Martinez, Wendy</v>
      </c>
      <c r="H696" s="164">
        <v>1623501.0</v>
      </c>
      <c r="I696" s="1">
        <v>42.0</v>
      </c>
    </row>
    <row r="697" ht="15.75" customHeight="1">
      <c r="A697" s="1">
        <v>5088784.0</v>
      </c>
      <c r="B697" s="1" t="s">
        <v>2775</v>
      </c>
      <c r="C697" s="1" t="s">
        <v>2776</v>
      </c>
      <c r="D697" s="1" t="s">
        <v>224</v>
      </c>
      <c r="E697" s="1" t="s">
        <v>530</v>
      </c>
      <c r="F697" s="1" t="s">
        <v>6717</v>
      </c>
      <c r="G697" s="1" t="str">
        <f>IFERROR(VLOOKUP(A697,H_C!$A$2:$G$2628,7,0),"Validar HC")</f>
        <v>Garcia, Helmer</v>
      </c>
      <c r="H697" s="164">
        <v>1623501.0</v>
      </c>
      <c r="I697" s="1">
        <v>42.0</v>
      </c>
    </row>
    <row r="698" ht="15.75" customHeight="1">
      <c r="A698" s="1">
        <v>5088786.0</v>
      </c>
      <c r="B698" s="1" t="s">
        <v>1871</v>
      </c>
      <c r="C698" s="1" t="s">
        <v>1872</v>
      </c>
      <c r="D698" s="1" t="s">
        <v>224</v>
      </c>
      <c r="E698" s="1" t="s">
        <v>853</v>
      </c>
      <c r="F698" s="1" t="s">
        <v>6717</v>
      </c>
      <c r="G698" s="1" t="str">
        <f>IFERROR(VLOOKUP(A698,H_C!$A$2:$G$2628,7,0),"Validar HC")</f>
        <v>Garcia, Helmer</v>
      </c>
      <c r="H698" s="164">
        <v>1623501.0</v>
      </c>
      <c r="I698" s="1">
        <v>42.0</v>
      </c>
    </row>
    <row r="699" ht="15.75" customHeight="1">
      <c r="A699" s="1">
        <v>5091561.0</v>
      </c>
      <c r="B699" s="1" t="s">
        <v>2781</v>
      </c>
      <c r="C699" s="1" t="s">
        <v>2782</v>
      </c>
      <c r="D699" s="1" t="s">
        <v>224</v>
      </c>
      <c r="E699" s="1" t="s">
        <v>6747</v>
      </c>
      <c r="F699" s="1" t="s">
        <v>6717</v>
      </c>
      <c r="G699" s="1" t="str">
        <f>IFERROR(VLOOKUP(A699,H_C!$A$2:$G$2628,7,0),"Validar HC")</f>
        <v>Ospina, Michel</v>
      </c>
      <c r="H699" s="164">
        <v>1623501.0</v>
      </c>
      <c r="I699" s="1">
        <v>42.0</v>
      </c>
    </row>
    <row r="700" ht="15.75" customHeight="1">
      <c r="A700" s="1">
        <v>5091711.0</v>
      </c>
      <c r="B700" s="1" t="s">
        <v>2785</v>
      </c>
      <c r="C700" s="1" t="s">
        <v>2786</v>
      </c>
      <c r="D700" s="1" t="s">
        <v>224</v>
      </c>
      <c r="E700" s="1" t="s">
        <v>113</v>
      </c>
      <c r="F700" s="1" t="s">
        <v>6717</v>
      </c>
      <c r="G700" s="1" t="str">
        <f>IFERROR(VLOOKUP(A700,H_C!$A$2:$G$2628,7,0),"Validar HC")</f>
        <v>Soler, Maria</v>
      </c>
      <c r="H700" s="164">
        <v>1623501.0</v>
      </c>
      <c r="I700" s="1">
        <v>42.0</v>
      </c>
    </row>
    <row r="701" ht="15.75" customHeight="1">
      <c r="A701" s="1">
        <v>5091737.0</v>
      </c>
      <c r="B701" s="1" t="s">
        <v>2789</v>
      </c>
      <c r="C701" s="1" t="s">
        <v>2790</v>
      </c>
      <c r="D701" s="1" t="s">
        <v>224</v>
      </c>
      <c r="E701" s="1" t="s">
        <v>374</v>
      </c>
      <c r="F701" s="1" t="s">
        <v>6717</v>
      </c>
      <c r="G701" s="1" t="str">
        <f>IFERROR(VLOOKUP(A701,H_C!$A$2:$G$2628,7,0),"Validar HC")</f>
        <v>Martinez, Wendy</v>
      </c>
      <c r="H701" s="164">
        <v>1623501.0</v>
      </c>
      <c r="I701" s="1">
        <v>42.0</v>
      </c>
    </row>
    <row r="702" ht="15.75" customHeight="1">
      <c r="A702" s="1">
        <v>5091742.0</v>
      </c>
      <c r="B702" s="1" t="s">
        <v>2793</v>
      </c>
      <c r="C702" s="1" t="s">
        <v>2794</v>
      </c>
      <c r="D702" s="1" t="s">
        <v>224</v>
      </c>
      <c r="E702" s="1" t="s">
        <v>847</v>
      </c>
      <c r="F702" s="1" t="s">
        <v>6717</v>
      </c>
      <c r="G702" s="1" t="str">
        <f>IFERROR(VLOOKUP(A702,H_C!$A$2:$G$2628,7,0),"Validar HC")</f>
        <v>Garatejo, Natalia</v>
      </c>
      <c r="H702" s="164">
        <v>1623501.0</v>
      </c>
      <c r="I702" s="1">
        <v>42.0</v>
      </c>
    </row>
    <row r="703" ht="15.75" customHeight="1">
      <c r="A703" s="1">
        <v>5091858.0</v>
      </c>
      <c r="B703" s="1" t="s">
        <v>2797</v>
      </c>
      <c r="C703" s="1" t="s">
        <v>2798</v>
      </c>
      <c r="D703" s="1" t="s">
        <v>224</v>
      </c>
      <c r="E703" s="1" t="s">
        <v>232</v>
      </c>
      <c r="F703" s="1" t="s">
        <v>6717</v>
      </c>
      <c r="G703" s="1" t="str">
        <f>IFERROR(VLOOKUP(A703,H_C!$A$2:$G$2628,7,0),"Validar HC")</f>
        <v>Soler, Maria</v>
      </c>
      <c r="H703" s="164">
        <v>1623501.0</v>
      </c>
      <c r="I703" s="1">
        <v>42.0</v>
      </c>
    </row>
    <row r="704" ht="15.75" customHeight="1">
      <c r="A704" s="1">
        <v>5091869.0</v>
      </c>
      <c r="B704" s="1" t="s">
        <v>2801</v>
      </c>
      <c r="C704" s="1" t="s">
        <v>2802</v>
      </c>
      <c r="D704" s="1" t="s">
        <v>224</v>
      </c>
      <c r="E704" s="1" t="s">
        <v>232</v>
      </c>
      <c r="F704" s="1" t="s">
        <v>6717</v>
      </c>
      <c r="G704" s="1" t="str">
        <f>IFERROR(VLOOKUP(A704,H_C!$A$2:$G$2628,7,0),"Validar HC")</f>
        <v>Soler, Maria</v>
      </c>
      <c r="H704" s="164">
        <v>1623501.0</v>
      </c>
      <c r="I704" s="1">
        <v>42.0</v>
      </c>
    </row>
    <row r="705" ht="15.75" customHeight="1">
      <c r="A705" s="1">
        <v>5091876.0</v>
      </c>
      <c r="B705" s="1" t="s">
        <v>2803</v>
      </c>
      <c r="C705" s="1" t="s">
        <v>2804</v>
      </c>
      <c r="D705" s="1" t="s">
        <v>224</v>
      </c>
      <c r="E705" s="1" t="s">
        <v>232</v>
      </c>
      <c r="F705" s="1" t="s">
        <v>6717</v>
      </c>
      <c r="G705" s="1" t="str">
        <f>IFERROR(VLOOKUP(A705,H_C!$A$2:$G$2628,7,0),"Validar HC")</f>
        <v>Soler, Maria</v>
      </c>
      <c r="H705" s="164">
        <v>1623501.0</v>
      </c>
      <c r="I705" s="1">
        <v>42.0</v>
      </c>
    </row>
    <row r="706" ht="15.75" customHeight="1">
      <c r="A706" s="1">
        <v>5092771.0</v>
      </c>
      <c r="B706" s="1" t="s">
        <v>2805</v>
      </c>
      <c r="C706" s="1" t="s">
        <v>2806</v>
      </c>
      <c r="D706" s="1" t="s">
        <v>224</v>
      </c>
      <c r="E706" s="1" t="s">
        <v>841</v>
      </c>
      <c r="F706" s="1" t="s">
        <v>6717</v>
      </c>
      <c r="G706" s="1" t="str">
        <f>IFERROR(VLOOKUP(A706,H_C!$A$2:$G$2628,7,0),"Validar HC")</f>
        <v>Soler, Maria</v>
      </c>
      <c r="H706" s="164">
        <v>1623501.0</v>
      </c>
      <c r="I706" s="1">
        <v>42.0</v>
      </c>
    </row>
    <row r="707" ht="15.75" customHeight="1">
      <c r="A707" s="1">
        <v>5094355.0</v>
      </c>
      <c r="B707" s="1" t="s">
        <v>2807</v>
      </c>
      <c r="C707" s="1" t="s">
        <v>2808</v>
      </c>
      <c r="D707" s="1" t="s">
        <v>224</v>
      </c>
      <c r="E707" s="1" t="s">
        <v>441</v>
      </c>
      <c r="F707" s="1" t="s">
        <v>6717</v>
      </c>
      <c r="G707" s="1" t="str">
        <f>IFERROR(VLOOKUP(A707,H_C!$A$2:$G$2628,7,0),"Validar HC")</f>
        <v>Gonzalez, Cristian</v>
      </c>
      <c r="H707" s="164">
        <v>1623501.0</v>
      </c>
      <c r="I707" s="1">
        <v>42.0</v>
      </c>
    </row>
    <row r="708" ht="15.75" customHeight="1">
      <c r="A708" s="1">
        <v>5101479.0</v>
      </c>
      <c r="B708" s="1" t="s">
        <v>2809</v>
      </c>
      <c r="C708" s="1" t="s">
        <v>2810</v>
      </c>
      <c r="D708" s="1" t="s">
        <v>224</v>
      </c>
      <c r="E708" s="1" t="s">
        <v>113</v>
      </c>
      <c r="F708" s="1" t="s">
        <v>6717</v>
      </c>
      <c r="G708" s="1" t="str">
        <f>IFERROR(VLOOKUP(A708,H_C!$A$2:$G$2628,7,0),"Validar HC")</f>
        <v>Soler, Maria</v>
      </c>
      <c r="H708" s="164">
        <v>1623501.0</v>
      </c>
      <c r="I708" s="1">
        <v>42.0</v>
      </c>
    </row>
    <row r="709" ht="15.75" customHeight="1">
      <c r="A709" s="1">
        <v>5101656.0</v>
      </c>
      <c r="B709" s="1" t="s">
        <v>2813</v>
      </c>
      <c r="C709" s="1" t="s">
        <v>2814</v>
      </c>
      <c r="D709" s="1" t="s">
        <v>224</v>
      </c>
      <c r="E709" s="1" t="s">
        <v>121</v>
      </c>
      <c r="F709" s="1" t="s">
        <v>6717</v>
      </c>
      <c r="G709" s="1" t="str">
        <f>IFERROR(VLOOKUP(A709,H_C!$A$2:$G$2628,7,0),"Validar HC")</f>
        <v>Ospina, Michel</v>
      </c>
      <c r="H709" s="164">
        <v>1623501.0</v>
      </c>
      <c r="I709" s="1">
        <v>42.0</v>
      </c>
    </row>
    <row r="710" ht="15.75" customHeight="1">
      <c r="A710" s="1">
        <v>5102517.0</v>
      </c>
      <c r="B710" s="1" t="s">
        <v>655</v>
      </c>
      <c r="C710" s="1" t="s">
        <v>656</v>
      </c>
      <c r="D710" s="1" t="s">
        <v>224</v>
      </c>
      <c r="E710" s="1" t="s">
        <v>239</v>
      </c>
      <c r="F710" s="1" t="s">
        <v>6717</v>
      </c>
      <c r="G710" s="1" t="str">
        <f>IFERROR(VLOOKUP(A710,H_C!$A$2:$G$2628,7,0),"Validar HC")</f>
        <v>Soler, Maria</v>
      </c>
      <c r="H710" s="164">
        <v>1623501.0</v>
      </c>
      <c r="I710" s="1">
        <v>42.0</v>
      </c>
    </row>
    <row r="711" ht="15.75" customHeight="1">
      <c r="A711" s="1">
        <v>5102735.0</v>
      </c>
      <c r="B711" s="1" t="s">
        <v>2819</v>
      </c>
      <c r="C711" s="1" t="s">
        <v>2820</v>
      </c>
      <c r="D711" s="1" t="s">
        <v>224</v>
      </c>
      <c r="E711" s="1" t="s">
        <v>1602</v>
      </c>
      <c r="F711" s="1" t="s">
        <v>6717</v>
      </c>
      <c r="G711" s="1" t="str">
        <f>IFERROR(VLOOKUP(A711,H_C!$A$2:$G$2628,7,0),"Validar HC")</f>
        <v>Ayala, Giselle</v>
      </c>
      <c r="H711" s="164">
        <v>1623501.0</v>
      </c>
      <c r="I711" s="1">
        <v>42.0</v>
      </c>
    </row>
    <row r="712" ht="15.75" customHeight="1">
      <c r="A712" s="1">
        <v>5102740.0</v>
      </c>
      <c r="B712" s="1" t="s">
        <v>2823</v>
      </c>
      <c r="C712" s="1" t="s">
        <v>2824</v>
      </c>
      <c r="D712" s="1" t="s">
        <v>224</v>
      </c>
      <c r="E712" s="1" t="s">
        <v>506</v>
      </c>
      <c r="F712" s="1" t="s">
        <v>6717</v>
      </c>
      <c r="G712" s="1" t="str">
        <f>IFERROR(VLOOKUP(A712,H_C!$A$2:$G$2628,7,0),"Validar HC")</f>
        <v>Ospina, Michel</v>
      </c>
      <c r="H712" s="164">
        <v>1623501.0</v>
      </c>
      <c r="I712" s="1">
        <v>42.0</v>
      </c>
    </row>
    <row r="713" ht="15.75" customHeight="1">
      <c r="A713" s="1">
        <v>5102741.0</v>
      </c>
      <c r="B713" s="1" t="s">
        <v>2560</v>
      </c>
      <c r="C713" s="1" t="s">
        <v>2561</v>
      </c>
      <c r="D713" s="1" t="s">
        <v>224</v>
      </c>
      <c r="E713" s="1" t="s">
        <v>514</v>
      </c>
      <c r="F713" s="1" t="s">
        <v>6717</v>
      </c>
      <c r="G713" s="1" t="str">
        <f>IFERROR(VLOOKUP(A713,H_C!$A$2:$G$2628,7,0),"Validar HC")</f>
        <v>Garatejo, Natalia</v>
      </c>
      <c r="H713" s="164">
        <v>1623501.0</v>
      </c>
      <c r="I713" s="1">
        <v>42.0</v>
      </c>
    </row>
    <row r="714" ht="15.75" customHeight="1">
      <c r="A714" s="1">
        <v>5103634.0</v>
      </c>
      <c r="B714" s="1" t="s">
        <v>660</v>
      </c>
      <c r="C714" s="1" t="s">
        <v>661</v>
      </c>
      <c r="D714" s="1" t="s">
        <v>224</v>
      </c>
      <c r="E714" s="1" t="s">
        <v>239</v>
      </c>
      <c r="F714" s="1" t="s">
        <v>6717</v>
      </c>
      <c r="G714" s="1" t="str">
        <f>IFERROR(VLOOKUP(A714,H_C!$A$2:$G$2628,7,0),"Validar HC")</f>
        <v>Soler, Maria</v>
      </c>
      <c r="H714" s="164">
        <v>1623501.0</v>
      </c>
      <c r="I714" s="1">
        <v>42.0</v>
      </c>
    </row>
    <row r="715" ht="15.75" customHeight="1">
      <c r="A715" s="1">
        <v>5105133.0</v>
      </c>
      <c r="B715" s="1" t="s">
        <v>1071</v>
      </c>
      <c r="C715" s="1" t="s">
        <v>1072</v>
      </c>
      <c r="D715" s="1" t="s">
        <v>224</v>
      </c>
      <c r="E715" s="1" t="s">
        <v>724</v>
      </c>
      <c r="F715" s="1" t="s">
        <v>6717</v>
      </c>
      <c r="G715" s="1" t="str">
        <f>IFERROR(VLOOKUP(A715,H_C!$A$2:$G$2628,7,0),"Validar HC")</f>
        <v>Garcia, Helmer</v>
      </c>
      <c r="H715" s="164">
        <v>1623501.0</v>
      </c>
      <c r="I715" s="1">
        <v>42.0</v>
      </c>
    </row>
    <row r="716" ht="15.75" customHeight="1">
      <c r="A716" s="1">
        <v>5106696.0</v>
      </c>
      <c r="B716" s="1" t="s">
        <v>2833</v>
      </c>
      <c r="C716" s="1" t="s">
        <v>2834</v>
      </c>
      <c r="D716" s="1" t="s">
        <v>224</v>
      </c>
      <c r="E716" s="1" t="s">
        <v>361</v>
      </c>
      <c r="F716" s="1" t="s">
        <v>6717</v>
      </c>
      <c r="G716" s="1" t="str">
        <f>IFERROR(VLOOKUP(A716,H_C!$A$2:$G$2628,7,0),"Validar HC")</f>
        <v>Gonzalez, Cristian</v>
      </c>
      <c r="H716" s="164">
        <v>1623501.0</v>
      </c>
      <c r="I716" s="1">
        <v>42.0</v>
      </c>
    </row>
    <row r="717" ht="15.75" customHeight="1">
      <c r="A717" s="1">
        <v>5108621.0</v>
      </c>
      <c r="B717" s="1" t="s">
        <v>2839</v>
      </c>
      <c r="C717" s="1" t="s">
        <v>2840</v>
      </c>
      <c r="D717" s="1" t="s">
        <v>224</v>
      </c>
      <c r="E717" s="1" t="s">
        <v>232</v>
      </c>
      <c r="F717" s="1" t="s">
        <v>6717</v>
      </c>
      <c r="G717" s="1" t="str">
        <f>IFERROR(VLOOKUP(A717,H_C!$A$2:$G$2628,7,0),"Validar HC")</f>
        <v>Soler, Maria</v>
      </c>
      <c r="H717" s="164">
        <v>1623501.0</v>
      </c>
      <c r="I717" s="1">
        <v>42.0</v>
      </c>
    </row>
    <row r="718" ht="15.75" customHeight="1">
      <c r="A718" s="1">
        <v>5108636.0</v>
      </c>
      <c r="B718" s="1" t="s">
        <v>2843</v>
      </c>
      <c r="C718" s="1" t="s">
        <v>2844</v>
      </c>
      <c r="D718" s="1" t="s">
        <v>224</v>
      </c>
      <c r="E718" s="1" t="s">
        <v>1186</v>
      </c>
      <c r="F718" s="1" t="s">
        <v>6717</v>
      </c>
      <c r="G718" s="1" t="str">
        <f>IFERROR(VLOOKUP(A718,H_C!$A$2:$G$2628,7,0),"Validar HC")</f>
        <v>Soler, Maria</v>
      </c>
      <c r="H718" s="164">
        <v>1623501.0</v>
      </c>
      <c r="I718" s="1">
        <v>42.0</v>
      </c>
    </row>
    <row r="719" ht="15.75" customHeight="1">
      <c r="A719" s="1">
        <v>5108871.0</v>
      </c>
      <c r="B719" s="1" t="s">
        <v>1915</v>
      </c>
      <c r="C719" s="1" t="s">
        <v>1916</v>
      </c>
      <c r="D719" s="1" t="s">
        <v>224</v>
      </c>
      <c r="E719" s="1" t="s">
        <v>514</v>
      </c>
      <c r="F719" s="1" t="s">
        <v>6717</v>
      </c>
      <c r="G719" s="1" t="str">
        <f>IFERROR(VLOOKUP(A719,H_C!$A$2:$G$2628,7,0),"Validar HC")</f>
        <v>Garatejo, Natalia</v>
      </c>
      <c r="H719" s="164">
        <v>1623501.0</v>
      </c>
      <c r="I719" s="1">
        <v>42.0</v>
      </c>
    </row>
    <row r="720" ht="15.75" customHeight="1">
      <c r="A720" s="1">
        <v>5108881.0</v>
      </c>
      <c r="B720" s="1" t="s">
        <v>2847</v>
      </c>
      <c r="C720" s="1" t="s">
        <v>2848</v>
      </c>
      <c r="D720" s="1" t="s">
        <v>224</v>
      </c>
      <c r="E720" s="1" t="s">
        <v>316</v>
      </c>
      <c r="F720" s="1" t="s">
        <v>6717</v>
      </c>
      <c r="G720" s="1" t="str">
        <f>IFERROR(VLOOKUP(A720,H_C!$A$2:$G$2628,7,0),"Validar HC")</f>
        <v>Osorio, Julian</v>
      </c>
      <c r="H720" s="164">
        <v>1623501.0</v>
      </c>
      <c r="I720" s="1">
        <v>42.0</v>
      </c>
    </row>
    <row r="721" ht="15.75" customHeight="1">
      <c r="A721" s="1">
        <v>5108884.0</v>
      </c>
      <c r="B721" s="1" t="s">
        <v>1507</v>
      </c>
      <c r="C721" s="1" t="s">
        <v>1508</v>
      </c>
      <c r="D721" s="1" t="s">
        <v>224</v>
      </c>
      <c r="E721" s="1" t="s">
        <v>289</v>
      </c>
      <c r="F721" s="1" t="s">
        <v>6717</v>
      </c>
      <c r="G721" s="1" t="str">
        <f>IFERROR(VLOOKUP(A721,H_C!$A$2:$G$2628,7,0),"Validar HC")</f>
        <v>Celi, Juan</v>
      </c>
      <c r="H721" s="164">
        <v>1623501.0</v>
      </c>
      <c r="I721" s="1">
        <v>42.0</v>
      </c>
    </row>
    <row r="722" ht="15.75" customHeight="1">
      <c r="A722" s="1">
        <v>5108893.0</v>
      </c>
      <c r="B722" s="1" t="s">
        <v>2851</v>
      </c>
      <c r="C722" s="1" t="s">
        <v>2852</v>
      </c>
      <c r="D722" s="1" t="s">
        <v>224</v>
      </c>
      <c r="E722" s="1" t="s">
        <v>1791</v>
      </c>
      <c r="F722" s="1" t="s">
        <v>6717</v>
      </c>
      <c r="G722" s="1" t="str">
        <f>IFERROR(VLOOKUP(A722,H_C!$A$2:$G$2628,7,0),"Validar HC")</f>
        <v>Garcia, Helmer</v>
      </c>
      <c r="H722" s="164">
        <v>1623501.0</v>
      </c>
      <c r="I722" s="1">
        <v>42.0</v>
      </c>
    </row>
    <row r="723" ht="15.75" customHeight="1">
      <c r="A723" s="1">
        <v>5109554.0</v>
      </c>
      <c r="B723" s="1" t="s">
        <v>2853</v>
      </c>
      <c r="C723" s="1" t="s">
        <v>2854</v>
      </c>
      <c r="D723" s="1" t="s">
        <v>224</v>
      </c>
      <c r="E723" s="1" t="s">
        <v>695</v>
      </c>
      <c r="F723" s="1" t="s">
        <v>6717</v>
      </c>
      <c r="G723" s="1" t="str">
        <f>IFERROR(VLOOKUP(A723,H_C!$A$2:$G$2628,7,0),"Validar HC")</f>
        <v>Ayala, Giselle</v>
      </c>
      <c r="H723" s="164">
        <v>1623501.0</v>
      </c>
      <c r="I723" s="1">
        <v>42.0</v>
      </c>
    </row>
    <row r="724" ht="15.75" customHeight="1">
      <c r="A724" s="1">
        <v>5109842.0</v>
      </c>
      <c r="B724" s="1" t="s">
        <v>2855</v>
      </c>
      <c r="C724" s="1" t="s">
        <v>2856</v>
      </c>
      <c r="D724" s="1" t="s">
        <v>224</v>
      </c>
      <c r="E724" s="1" t="s">
        <v>1186</v>
      </c>
      <c r="F724" s="1" t="s">
        <v>6717</v>
      </c>
      <c r="G724" s="1" t="str">
        <f>IFERROR(VLOOKUP(A724,H_C!$A$2:$G$2628,7,0),"Validar HC")</f>
        <v>Soler, Maria</v>
      </c>
      <c r="H724" s="164">
        <v>1623501.0</v>
      </c>
      <c r="I724" s="1">
        <v>42.0</v>
      </c>
    </row>
    <row r="725" ht="15.75" customHeight="1">
      <c r="A725" s="1">
        <v>5109850.0</v>
      </c>
      <c r="B725" s="1" t="s">
        <v>1050</v>
      </c>
      <c r="C725" s="1" t="s">
        <v>1051</v>
      </c>
      <c r="D725" s="1" t="s">
        <v>224</v>
      </c>
      <c r="E725" s="1" t="s">
        <v>724</v>
      </c>
      <c r="F725" s="1" t="s">
        <v>6717</v>
      </c>
      <c r="G725" s="1" t="str">
        <f>IFERROR(VLOOKUP(A725,H_C!$A$2:$G$2628,7,0),"Validar HC")</f>
        <v>Garcia, Helmer</v>
      </c>
      <c r="H725" s="164">
        <v>1623501.0</v>
      </c>
      <c r="I725" s="1">
        <v>42.0</v>
      </c>
    </row>
    <row r="726" ht="15.75" customHeight="1">
      <c r="A726" s="1">
        <v>5109876.0</v>
      </c>
      <c r="B726" s="1" t="s">
        <v>2857</v>
      </c>
      <c r="C726" s="1" t="s">
        <v>2858</v>
      </c>
      <c r="D726" s="1" t="s">
        <v>224</v>
      </c>
      <c r="E726" s="1" t="s">
        <v>457</v>
      </c>
      <c r="F726" s="1" t="s">
        <v>6717</v>
      </c>
      <c r="G726" s="1" t="str">
        <f>IFERROR(VLOOKUP(A726,H_C!$A$2:$G$2628,7,0),"Validar HC")</f>
        <v>Celi, Juan</v>
      </c>
      <c r="H726" s="164">
        <v>1623501.0</v>
      </c>
      <c r="I726" s="1">
        <v>42.0</v>
      </c>
    </row>
    <row r="727" ht="15.75" customHeight="1">
      <c r="A727" s="1">
        <v>5110007.0</v>
      </c>
      <c r="B727" s="1" t="s">
        <v>2859</v>
      </c>
      <c r="C727" s="1" t="s">
        <v>2860</v>
      </c>
      <c r="D727" s="1" t="s">
        <v>224</v>
      </c>
      <c r="E727" s="1" t="s">
        <v>1932</v>
      </c>
      <c r="F727" s="1" t="s">
        <v>6717</v>
      </c>
      <c r="G727" s="1" t="str">
        <f>IFERROR(VLOOKUP(A727,H_C!$A$2:$G$2628,7,0),"Validar HC")</f>
        <v>Garatejo, Natalia</v>
      </c>
      <c r="H727" s="164">
        <v>1623501.0</v>
      </c>
      <c r="I727" s="1">
        <v>42.0</v>
      </c>
    </row>
    <row r="728" ht="15.75" customHeight="1">
      <c r="A728" s="1">
        <v>5110008.0</v>
      </c>
      <c r="B728" s="1" t="s">
        <v>2861</v>
      </c>
      <c r="C728" s="1" t="s">
        <v>2862</v>
      </c>
      <c r="D728" s="1" t="s">
        <v>224</v>
      </c>
      <c r="E728" s="1" t="s">
        <v>485</v>
      </c>
      <c r="F728" s="1" t="s">
        <v>6717</v>
      </c>
      <c r="G728" s="1" t="str">
        <f>IFERROR(VLOOKUP(A728,H_C!$A$2:$G$2628,7,0),"Validar HC")</f>
        <v>Martinez, Wendy</v>
      </c>
      <c r="H728" s="164">
        <v>1623501.0</v>
      </c>
      <c r="I728" s="1">
        <v>42.0</v>
      </c>
    </row>
    <row r="729" ht="15.75" customHeight="1">
      <c r="A729" s="1">
        <v>5110012.0</v>
      </c>
      <c r="B729" s="1" t="s">
        <v>2863</v>
      </c>
      <c r="C729" s="1" t="s">
        <v>2864</v>
      </c>
      <c r="D729" s="1" t="s">
        <v>224</v>
      </c>
      <c r="E729" s="1" t="s">
        <v>485</v>
      </c>
      <c r="F729" s="1" t="s">
        <v>6717</v>
      </c>
      <c r="G729" s="1" t="str">
        <f>IFERROR(VLOOKUP(A729,H_C!$A$2:$G$2628,7,0),"Validar HC")</f>
        <v>Martinez, Wendy</v>
      </c>
      <c r="H729" s="164">
        <v>1623501.0</v>
      </c>
      <c r="I729" s="1">
        <v>42.0</v>
      </c>
    </row>
    <row r="730" ht="15.75" customHeight="1">
      <c r="A730" s="1">
        <v>5110019.0</v>
      </c>
      <c r="B730" s="1" t="s">
        <v>2865</v>
      </c>
      <c r="C730" s="1" t="s">
        <v>2866</v>
      </c>
      <c r="D730" s="1" t="s">
        <v>224</v>
      </c>
      <c r="E730" s="1" t="s">
        <v>485</v>
      </c>
      <c r="F730" s="1" t="s">
        <v>6717</v>
      </c>
      <c r="G730" s="1" t="str">
        <f>IFERROR(VLOOKUP(A730,H_C!$A$2:$G$2628,7,0),"Validar HC")</f>
        <v>Martinez, Wendy</v>
      </c>
      <c r="H730" s="164">
        <v>1623501.0</v>
      </c>
      <c r="I730" s="1">
        <v>42.0</v>
      </c>
    </row>
    <row r="731" ht="15.75" customHeight="1">
      <c r="A731" s="1">
        <v>5110051.0</v>
      </c>
      <c r="B731" s="1" t="s">
        <v>2867</v>
      </c>
      <c r="C731" s="1" t="s">
        <v>2868</v>
      </c>
      <c r="D731" s="1" t="s">
        <v>224</v>
      </c>
      <c r="E731" s="1" t="s">
        <v>841</v>
      </c>
      <c r="F731" s="1" t="s">
        <v>6717</v>
      </c>
      <c r="G731" s="1" t="str">
        <f>IFERROR(VLOOKUP(A731,H_C!$A$2:$G$2628,7,0),"Validar HC")</f>
        <v>Soler, Maria</v>
      </c>
      <c r="H731" s="164">
        <v>1623501.0</v>
      </c>
      <c r="I731" s="1">
        <v>42.0</v>
      </c>
    </row>
    <row r="732" ht="15.75" customHeight="1">
      <c r="A732" s="1">
        <v>5111294.0</v>
      </c>
      <c r="B732" s="1" t="s">
        <v>580</v>
      </c>
      <c r="C732" s="1" t="s">
        <v>581</v>
      </c>
      <c r="D732" s="1" t="s">
        <v>224</v>
      </c>
      <c r="E732" s="1" t="s">
        <v>526</v>
      </c>
      <c r="F732" s="1" t="s">
        <v>6717</v>
      </c>
      <c r="G732" s="1" t="str">
        <f>IFERROR(VLOOKUP(A732,H_C!$A$2:$G$2628,7,0),"Validar HC")</f>
        <v>Martinez, Wendy</v>
      </c>
      <c r="H732" s="164">
        <v>1623501.0</v>
      </c>
      <c r="I732" s="1">
        <v>42.0</v>
      </c>
    </row>
    <row r="733" ht="15.75" customHeight="1">
      <c r="A733" s="1">
        <v>5111484.0</v>
      </c>
      <c r="B733" s="1" t="s">
        <v>2871</v>
      </c>
      <c r="C733" s="1" t="s">
        <v>2872</v>
      </c>
      <c r="D733" s="1" t="s">
        <v>224</v>
      </c>
      <c r="E733" s="1" t="s">
        <v>478</v>
      </c>
      <c r="F733" s="1" t="s">
        <v>6717</v>
      </c>
      <c r="G733" s="1" t="str">
        <f>IFERROR(VLOOKUP(A733,H_C!$A$2:$G$2628,7,0),"Validar HC")</f>
        <v>Celi, Juan</v>
      </c>
      <c r="H733" s="164">
        <v>1623501.0</v>
      </c>
      <c r="I733" s="1">
        <v>42.0</v>
      </c>
    </row>
    <row r="734" ht="15.75" customHeight="1">
      <c r="A734" s="1">
        <v>5111500.0</v>
      </c>
      <c r="B734" s="1" t="s">
        <v>2875</v>
      </c>
      <c r="C734" s="1" t="s">
        <v>2876</v>
      </c>
      <c r="D734" s="1" t="s">
        <v>224</v>
      </c>
      <c r="E734" s="1" t="s">
        <v>1177</v>
      </c>
      <c r="F734" s="1" t="s">
        <v>6717</v>
      </c>
      <c r="G734" s="1" t="str">
        <f>IFERROR(VLOOKUP(A734,H_C!$A$2:$G$2628,7,0),"Validar HC")</f>
        <v>Martinez, Wendy</v>
      </c>
      <c r="H734" s="164">
        <v>1623501.0</v>
      </c>
      <c r="I734" s="1">
        <v>42.0</v>
      </c>
    </row>
    <row r="735" ht="15.75" customHeight="1">
      <c r="A735" s="1">
        <v>5112629.0</v>
      </c>
      <c r="B735" s="1" t="s">
        <v>2879</v>
      </c>
      <c r="C735" s="1" t="s">
        <v>2880</v>
      </c>
      <c r="D735" s="1" t="s">
        <v>224</v>
      </c>
      <c r="E735" s="1" t="s">
        <v>555</v>
      </c>
      <c r="F735" s="1" t="s">
        <v>6717</v>
      </c>
      <c r="G735" s="1" t="str">
        <f>IFERROR(VLOOKUP(A735,H_C!$A$2:$G$2628,7,0),"Validar HC")</f>
        <v>Ayala, Giselle</v>
      </c>
      <c r="H735" s="164">
        <v>1623501.0</v>
      </c>
      <c r="I735" s="1">
        <v>42.0</v>
      </c>
    </row>
    <row r="736" ht="15.75" customHeight="1">
      <c r="A736" s="1">
        <v>5112730.0</v>
      </c>
      <c r="B736" s="1" t="s">
        <v>2883</v>
      </c>
      <c r="C736" s="1" t="s">
        <v>2884</v>
      </c>
      <c r="D736" s="1" t="s">
        <v>224</v>
      </c>
      <c r="E736" s="1" t="s">
        <v>485</v>
      </c>
      <c r="F736" s="1" t="s">
        <v>6717</v>
      </c>
      <c r="G736" s="1" t="str">
        <f>IFERROR(VLOOKUP(A736,H_C!$A$2:$G$2628,7,0),"Validar HC")</f>
        <v>Martinez, Wendy</v>
      </c>
      <c r="H736" s="164">
        <v>1623501.0</v>
      </c>
      <c r="I736" s="1">
        <v>42.0</v>
      </c>
    </row>
    <row r="737" ht="15.75" customHeight="1">
      <c r="A737" s="1">
        <v>5113423.0</v>
      </c>
      <c r="B737" s="1" t="s">
        <v>2887</v>
      </c>
      <c r="C737" s="1" t="s">
        <v>2888</v>
      </c>
      <c r="D737" s="1" t="s">
        <v>224</v>
      </c>
      <c r="E737" s="1" t="s">
        <v>467</v>
      </c>
      <c r="F737" s="1" t="s">
        <v>6717</v>
      </c>
      <c r="G737" s="1" t="str">
        <f>IFERROR(VLOOKUP(A737,H_C!$A$2:$G$2628,7,0),"Validar HC")</f>
        <v>Martinez, Wendy</v>
      </c>
      <c r="H737" s="164">
        <v>1623501.0</v>
      </c>
      <c r="I737" s="1">
        <v>42.0</v>
      </c>
    </row>
    <row r="738" ht="15.75" customHeight="1">
      <c r="A738" s="1">
        <v>5113533.0</v>
      </c>
      <c r="B738" s="1" t="s">
        <v>6748</v>
      </c>
      <c r="C738" s="1" t="s">
        <v>6749</v>
      </c>
      <c r="D738" s="1" t="s">
        <v>224</v>
      </c>
      <c r="E738" s="1" t="s">
        <v>412</v>
      </c>
      <c r="F738" s="1" t="s">
        <v>6717</v>
      </c>
      <c r="G738" s="1" t="str">
        <f>IFERROR(VLOOKUP(A738,H_C!$A$2:$G$2628,7,0),"Validar HC")</f>
        <v>Validar HC</v>
      </c>
      <c r="H738" s="164">
        <v>1623501.0</v>
      </c>
      <c r="I738" s="1">
        <v>42.0</v>
      </c>
    </row>
    <row r="739" ht="15.75" customHeight="1">
      <c r="A739" s="1">
        <v>5113553.0</v>
      </c>
      <c r="B739" s="1" t="s">
        <v>2889</v>
      </c>
      <c r="C739" s="1" t="s">
        <v>2890</v>
      </c>
      <c r="D739" s="1" t="s">
        <v>224</v>
      </c>
      <c r="E739" s="1" t="s">
        <v>412</v>
      </c>
      <c r="F739" s="1" t="s">
        <v>6717</v>
      </c>
      <c r="G739" s="1" t="str">
        <f>IFERROR(VLOOKUP(A739,H_C!$A$2:$G$2628,7,0),"Validar HC")</f>
        <v>Ospina, Michel</v>
      </c>
      <c r="H739" s="164">
        <v>1623501.0</v>
      </c>
      <c r="I739" s="1">
        <v>42.0</v>
      </c>
    </row>
    <row r="740" ht="15.75" customHeight="1">
      <c r="A740" s="1">
        <v>5113670.0</v>
      </c>
      <c r="B740" s="1" t="s">
        <v>2891</v>
      </c>
      <c r="C740" s="1" t="s">
        <v>2892</v>
      </c>
      <c r="D740" s="1" t="s">
        <v>224</v>
      </c>
      <c r="E740" s="1" t="s">
        <v>457</v>
      </c>
      <c r="F740" s="1" t="s">
        <v>6717</v>
      </c>
      <c r="G740" s="1" t="str">
        <f>IFERROR(VLOOKUP(A740,H_C!$A$2:$G$2628,7,0),"Validar HC")</f>
        <v>Celi, Juan</v>
      </c>
      <c r="H740" s="164">
        <v>1623501.0</v>
      </c>
      <c r="I740" s="1">
        <v>42.0</v>
      </c>
    </row>
    <row r="741" ht="15.75" customHeight="1">
      <c r="A741" s="1">
        <v>5114274.0</v>
      </c>
      <c r="B741" s="1" t="s">
        <v>2041</v>
      </c>
      <c r="C741" s="1" t="s">
        <v>2042</v>
      </c>
      <c r="D741" s="1" t="s">
        <v>224</v>
      </c>
      <c r="E741" s="1" t="s">
        <v>1921</v>
      </c>
      <c r="F741" s="1" t="s">
        <v>6717</v>
      </c>
      <c r="G741" s="1" t="str">
        <f>IFERROR(VLOOKUP(A741,H_C!$A$2:$G$2628,7,0),"Validar HC")</f>
        <v>Garcia, Helmer</v>
      </c>
      <c r="H741" s="164">
        <v>1623501.0</v>
      </c>
      <c r="I741" s="1">
        <v>42.0</v>
      </c>
    </row>
    <row r="742" ht="15.75" customHeight="1">
      <c r="A742" s="1">
        <v>5114786.0</v>
      </c>
      <c r="B742" s="1" t="s">
        <v>2893</v>
      </c>
      <c r="C742" s="1" t="s">
        <v>2894</v>
      </c>
      <c r="D742" s="1" t="s">
        <v>224</v>
      </c>
      <c r="E742" s="1" t="s">
        <v>232</v>
      </c>
      <c r="F742" s="1" t="s">
        <v>6717</v>
      </c>
      <c r="G742" s="1" t="str">
        <f>IFERROR(VLOOKUP(A742,H_C!$A$2:$G$2628,7,0),"Validar HC")</f>
        <v>Soler, Maria</v>
      </c>
      <c r="H742" s="164">
        <v>1623501.0</v>
      </c>
      <c r="I742" s="1">
        <v>42.0</v>
      </c>
    </row>
    <row r="743" ht="15.75" customHeight="1">
      <c r="A743" s="1">
        <v>5115959.0</v>
      </c>
      <c r="B743" s="1" t="s">
        <v>2105</v>
      </c>
      <c r="C743" s="1" t="s">
        <v>2106</v>
      </c>
      <c r="D743" s="1" t="s">
        <v>224</v>
      </c>
      <c r="E743" s="1" t="s">
        <v>323</v>
      </c>
      <c r="F743" s="1" t="s">
        <v>6717</v>
      </c>
      <c r="G743" s="1" t="str">
        <f>IFERROR(VLOOKUP(A743,H_C!$A$2:$G$2628,7,0),"Validar HC")</f>
        <v>Martinez, Wendy</v>
      </c>
      <c r="H743" s="164">
        <v>1623501.0</v>
      </c>
      <c r="I743" s="1">
        <v>42.0</v>
      </c>
    </row>
    <row r="744" ht="15.75" customHeight="1">
      <c r="A744" s="1">
        <v>5118766.0</v>
      </c>
      <c r="B744" s="1" t="s">
        <v>2897</v>
      </c>
      <c r="C744" s="1" t="s">
        <v>2898</v>
      </c>
      <c r="D744" s="1" t="s">
        <v>224</v>
      </c>
      <c r="E744" s="1" t="s">
        <v>1177</v>
      </c>
      <c r="F744" s="1" t="s">
        <v>6717</v>
      </c>
      <c r="G744" s="1" t="str">
        <f>IFERROR(VLOOKUP(A744,H_C!$A$2:$G$2628,7,0),"Validar HC")</f>
        <v>Martinez, Wendy</v>
      </c>
      <c r="H744" s="164">
        <v>1623501.0</v>
      </c>
      <c r="I744" s="1">
        <v>42.0</v>
      </c>
    </row>
    <row r="745" ht="15.75" customHeight="1">
      <c r="A745" s="1">
        <v>5119572.0</v>
      </c>
      <c r="B745" s="1" t="s">
        <v>2901</v>
      </c>
      <c r="C745" s="1" t="s">
        <v>2902</v>
      </c>
      <c r="D745" s="1" t="s">
        <v>224</v>
      </c>
      <c r="E745" s="1" t="s">
        <v>232</v>
      </c>
      <c r="F745" s="1" t="s">
        <v>6717</v>
      </c>
      <c r="G745" s="1" t="str">
        <f>IFERROR(VLOOKUP(A745,H_C!$A$2:$G$2628,7,0),"Validar HC")</f>
        <v>Soler, Maria</v>
      </c>
      <c r="H745" s="164">
        <v>1623501.0</v>
      </c>
      <c r="I745" s="1">
        <v>42.0</v>
      </c>
    </row>
    <row r="746" ht="15.75" customHeight="1">
      <c r="A746" s="1">
        <v>5119595.0</v>
      </c>
      <c r="B746" s="1" t="s">
        <v>2903</v>
      </c>
      <c r="C746" s="1" t="s">
        <v>2904</v>
      </c>
      <c r="D746" s="1" t="s">
        <v>224</v>
      </c>
      <c r="E746" s="1" t="s">
        <v>246</v>
      </c>
      <c r="F746" s="1" t="s">
        <v>6717</v>
      </c>
      <c r="G746" s="1" t="str">
        <f>IFERROR(VLOOKUP(A746,H_C!$A$2:$G$2628,7,0),"Validar HC")</f>
        <v>Garcia, Helmer</v>
      </c>
      <c r="H746" s="164">
        <v>1623501.0</v>
      </c>
      <c r="I746" s="1">
        <v>42.0</v>
      </c>
    </row>
    <row r="747" ht="15.75" customHeight="1">
      <c r="A747" s="1">
        <v>5119612.0</v>
      </c>
      <c r="B747" s="1" t="s">
        <v>1879</v>
      </c>
      <c r="C747" s="1" t="s">
        <v>1880</v>
      </c>
      <c r="D747" s="1" t="s">
        <v>224</v>
      </c>
      <c r="E747" s="1" t="s">
        <v>853</v>
      </c>
      <c r="F747" s="1" t="s">
        <v>6717</v>
      </c>
      <c r="G747" s="1" t="str">
        <f>IFERROR(VLOOKUP(A747,H_C!$A$2:$G$2628,7,0),"Validar HC")</f>
        <v>Garcia, Helmer</v>
      </c>
      <c r="H747" s="164">
        <v>1623501.0</v>
      </c>
      <c r="I747" s="1">
        <v>42.0</v>
      </c>
    </row>
    <row r="748" ht="15.75" customHeight="1">
      <c r="A748" s="1">
        <v>5119675.0</v>
      </c>
      <c r="B748" s="1" t="s">
        <v>2905</v>
      </c>
      <c r="C748" s="1" t="s">
        <v>2907</v>
      </c>
      <c r="D748" s="1" t="s">
        <v>224</v>
      </c>
      <c r="E748" s="1" t="s">
        <v>853</v>
      </c>
      <c r="F748" s="1" t="s">
        <v>6717</v>
      </c>
      <c r="G748" s="1" t="str">
        <f>IFERROR(VLOOKUP(A748,H_C!$A$2:$G$2628,7,0),"Validar HC")</f>
        <v>Garcia, Helmer</v>
      </c>
      <c r="H748" s="164">
        <v>1623501.0</v>
      </c>
      <c r="I748" s="1">
        <v>42.0</v>
      </c>
    </row>
    <row r="749" ht="15.75" customHeight="1">
      <c r="A749" s="1">
        <v>5119678.0</v>
      </c>
      <c r="B749" s="1" t="s">
        <v>2910</v>
      </c>
      <c r="C749" s="1" t="s">
        <v>2911</v>
      </c>
      <c r="D749" s="1" t="s">
        <v>224</v>
      </c>
      <c r="E749" s="1" t="s">
        <v>1695</v>
      </c>
      <c r="F749" s="1" t="s">
        <v>6717</v>
      </c>
      <c r="G749" s="1" t="str">
        <f>IFERROR(VLOOKUP(A749,H_C!$A$2:$G$2628,7,0),"Validar HC")</f>
        <v>Ayala, Giselle</v>
      </c>
      <c r="H749" s="164">
        <v>1623501.0</v>
      </c>
      <c r="I749" s="1">
        <v>42.0</v>
      </c>
    </row>
    <row r="750" ht="15.75" customHeight="1">
      <c r="A750" s="1">
        <v>5119680.0</v>
      </c>
      <c r="B750" s="1" t="s">
        <v>2914</v>
      </c>
      <c r="C750" s="1" t="s">
        <v>2915</v>
      </c>
      <c r="D750" s="1" t="s">
        <v>224</v>
      </c>
      <c r="E750" s="1" t="s">
        <v>374</v>
      </c>
      <c r="F750" s="1" t="s">
        <v>6717</v>
      </c>
      <c r="G750" s="1" t="str">
        <f>IFERROR(VLOOKUP(A750,H_C!$A$2:$G$2628,7,0),"Validar HC")</f>
        <v>Martinez, Wendy</v>
      </c>
      <c r="H750" s="164">
        <v>1623501.0</v>
      </c>
      <c r="I750" s="1">
        <v>42.0</v>
      </c>
    </row>
    <row r="751" ht="15.75" customHeight="1">
      <c r="A751" s="1">
        <v>5120364.0</v>
      </c>
      <c r="B751" s="1" t="s">
        <v>2918</v>
      </c>
      <c r="C751" s="1" t="s">
        <v>2919</v>
      </c>
      <c r="D751" s="1" t="s">
        <v>224</v>
      </c>
      <c r="E751" s="1" t="s">
        <v>841</v>
      </c>
      <c r="F751" s="1" t="s">
        <v>6717</v>
      </c>
      <c r="G751" s="1" t="str">
        <f>IFERROR(VLOOKUP(A751,H_C!$A$2:$G$2628,7,0),"Validar HC")</f>
        <v>Soler, Maria</v>
      </c>
      <c r="H751" s="164">
        <v>1623501.0</v>
      </c>
      <c r="I751" s="1">
        <v>42.0</v>
      </c>
    </row>
    <row r="752" ht="15.75" customHeight="1">
      <c r="A752" s="1">
        <v>5120376.0</v>
      </c>
      <c r="B752" s="1" t="s">
        <v>2922</v>
      </c>
      <c r="C752" s="1" t="s">
        <v>2923</v>
      </c>
      <c r="D752" s="1" t="s">
        <v>224</v>
      </c>
      <c r="E752" s="1" t="s">
        <v>1019</v>
      </c>
      <c r="F752" s="1" t="s">
        <v>6717</v>
      </c>
      <c r="G752" s="1" t="str">
        <f>IFERROR(VLOOKUP(A752,H_C!$A$2:$G$2628,7,0),"Validar HC")</f>
        <v>Celi, Juan</v>
      </c>
      <c r="H752" s="164">
        <v>1623501.0</v>
      </c>
      <c r="I752" s="1">
        <v>42.0</v>
      </c>
    </row>
    <row r="753" ht="15.75" customHeight="1">
      <c r="A753" s="1">
        <v>5120606.0</v>
      </c>
      <c r="B753" s="1" t="s">
        <v>2926</v>
      </c>
      <c r="C753" s="1" t="s">
        <v>2927</v>
      </c>
      <c r="D753" s="1" t="s">
        <v>224</v>
      </c>
      <c r="E753" s="1" t="s">
        <v>794</v>
      </c>
      <c r="F753" s="1" t="s">
        <v>6717</v>
      </c>
      <c r="G753" s="1" t="str">
        <f>IFERROR(VLOOKUP(A753,H_C!$A$2:$G$2628,7,0),"Validar HC")</f>
        <v>Osorio, Julian</v>
      </c>
      <c r="H753" s="164">
        <v>1623501.0</v>
      </c>
      <c r="I753" s="1">
        <v>42.0</v>
      </c>
    </row>
    <row r="754" ht="15.75" customHeight="1">
      <c r="A754" s="1">
        <v>5120711.0</v>
      </c>
      <c r="B754" s="1" t="s">
        <v>2608</v>
      </c>
      <c r="C754" s="1" t="s">
        <v>2609</v>
      </c>
      <c r="D754" s="1" t="s">
        <v>224</v>
      </c>
      <c r="E754" s="1" t="s">
        <v>412</v>
      </c>
      <c r="F754" s="1" t="s">
        <v>6717</v>
      </c>
      <c r="G754" s="1" t="str">
        <f>IFERROR(VLOOKUP(A754,H_C!$A$2:$G$2628,7,0),"Validar HC")</f>
        <v>Ospina, Michel</v>
      </c>
      <c r="H754" s="164">
        <v>1623501.0</v>
      </c>
      <c r="I754" s="1">
        <v>42.0</v>
      </c>
    </row>
    <row r="755" ht="15.75" customHeight="1">
      <c r="A755" s="1">
        <v>5121445.0</v>
      </c>
      <c r="B755" s="1" t="s">
        <v>2932</v>
      </c>
      <c r="C755" s="1" t="s">
        <v>2933</v>
      </c>
      <c r="D755" s="1" t="s">
        <v>224</v>
      </c>
      <c r="E755" s="1" t="s">
        <v>530</v>
      </c>
      <c r="F755" s="1" t="s">
        <v>6717</v>
      </c>
      <c r="G755" s="1" t="str">
        <f>IFERROR(VLOOKUP(A755,H_C!$A$2:$G$2628,7,0),"Validar HC")</f>
        <v>Garcia, Helmer</v>
      </c>
      <c r="H755" s="164">
        <v>1623501.0</v>
      </c>
      <c r="I755" s="1">
        <v>42.0</v>
      </c>
    </row>
    <row r="756" ht="15.75" customHeight="1">
      <c r="A756" s="1">
        <v>5121448.0</v>
      </c>
      <c r="B756" s="1" t="s">
        <v>1950</v>
      </c>
      <c r="C756" s="1" t="s">
        <v>1951</v>
      </c>
      <c r="D756" s="1" t="s">
        <v>224</v>
      </c>
      <c r="E756" s="1" t="s">
        <v>794</v>
      </c>
      <c r="F756" s="1" t="s">
        <v>6717</v>
      </c>
      <c r="G756" s="1" t="str">
        <f>IFERROR(VLOOKUP(A756,H_C!$A$2:$G$2628,7,0),"Validar HC")</f>
        <v>Osorio, Julian</v>
      </c>
      <c r="H756" s="164">
        <v>1623501.0</v>
      </c>
      <c r="I756" s="1">
        <v>42.0</v>
      </c>
    </row>
    <row r="757" ht="15.75" customHeight="1">
      <c r="A757" s="1">
        <v>5121453.0</v>
      </c>
      <c r="B757" s="1" t="s">
        <v>2938</v>
      </c>
      <c r="C757" s="1" t="s">
        <v>2939</v>
      </c>
      <c r="D757" s="1" t="s">
        <v>224</v>
      </c>
      <c r="E757" s="1" t="s">
        <v>2285</v>
      </c>
      <c r="F757" s="1" t="s">
        <v>6717</v>
      </c>
      <c r="G757" s="1" t="str">
        <f>IFERROR(VLOOKUP(A757,H_C!$A$2:$G$2628,7,0),"Validar HC")</f>
        <v>Ayala, Giselle</v>
      </c>
      <c r="H757" s="164">
        <v>1623501.0</v>
      </c>
      <c r="I757" s="1">
        <v>42.0</v>
      </c>
    </row>
    <row r="758" ht="15.75" customHeight="1">
      <c r="A758" s="1">
        <v>5121632.0</v>
      </c>
      <c r="B758" s="1" t="s">
        <v>2942</v>
      </c>
      <c r="C758" s="1" t="s">
        <v>2943</v>
      </c>
      <c r="D758" s="1" t="s">
        <v>224</v>
      </c>
      <c r="E758" s="1" t="s">
        <v>485</v>
      </c>
      <c r="F758" s="1" t="s">
        <v>6717</v>
      </c>
      <c r="G758" s="1" t="str">
        <f>IFERROR(VLOOKUP(A758,H_C!$A$2:$G$2628,7,0),"Validar HC")</f>
        <v>Martinez, Wendy</v>
      </c>
      <c r="H758" s="164">
        <v>1623501.0</v>
      </c>
      <c r="I758" s="1">
        <v>42.0</v>
      </c>
    </row>
    <row r="759" ht="15.75" customHeight="1">
      <c r="A759" s="1">
        <v>5121640.0</v>
      </c>
      <c r="B759" s="1" t="s">
        <v>2946</v>
      </c>
      <c r="C759" s="1" t="s">
        <v>2947</v>
      </c>
      <c r="D759" s="1" t="s">
        <v>224</v>
      </c>
      <c r="E759" s="1" t="s">
        <v>478</v>
      </c>
      <c r="F759" s="1" t="s">
        <v>6717</v>
      </c>
      <c r="G759" s="1" t="str">
        <f>IFERROR(VLOOKUP(A759,H_C!$A$2:$G$2628,7,0),"Validar HC")</f>
        <v>Celi, Juan</v>
      </c>
      <c r="H759" s="164">
        <v>1623501.0</v>
      </c>
      <c r="I759" s="1">
        <v>42.0</v>
      </c>
    </row>
    <row r="760" ht="15.75" customHeight="1">
      <c r="A760" s="1">
        <v>5121717.0</v>
      </c>
      <c r="B760" s="1" t="s">
        <v>2950</v>
      </c>
      <c r="C760" s="1" t="s">
        <v>2951</v>
      </c>
      <c r="D760" s="1" t="s">
        <v>224</v>
      </c>
      <c r="E760" s="1" t="s">
        <v>835</v>
      </c>
      <c r="F760" s="1" t="s">
        <v>6717</v>
      </c>
      <c r="G760" s="1" t="str">
        <f>IFERROR(VLOOKUP(A760,H_C!$A$2:$G$2628,7,0),"Validar HC")</f>
        <v>Martinez, Wendy</v>
      </c>
      <c r="H760" s="164">
        <v>1623501.0</v>
      </c>
      <c r="I760" s="1">
        <v>42.0</v>
      </c>
    </row>
    <row r="761" ht="15.75" customHeight="1">
      <c r="A761" s="1">
        <v>5122025.0</v>
      </c>
      <c r="B761" s="1" t="s">
        <v>2952</v>
      </c>
      <c r="C761" s="1" t="s">
        <v>2953</v>
      </c>
      <c r="D761" s="1" t="s">
        <v>224</v>
      </c>
      <c r="E761" s="1" t="s">
        <v>526</v>
      </c>
      <c r="F761" s="1" t="s">
        <v>6717</v>
      </c>
      <c r="G761" s="1" t="str">
        <f>IFERROR(VLOOKUP(A761,H_C!$A$2:$G$2628,7,0),"Validar HC")</f>
        <v>Martinez, Wendy</v>
      </c>
      <c r="H761" s="164">
        <v>1623501.0</v>
      </c>
      <c r="I761" s="1">
        <v>42.0</v>
      </c>
    </row>
    <row r="762" ht="15.75" customHeight="1">
      <c r="A762" s="1">
        <v>5122032.0</v>
      </c>
      <c r="B762" s="1" t="s">
        <v>2109</v>
      </c>
      <c r="C762" s="1" t="s">
        <v>2110</v>
      </c>
      <c r="D762" s="1" t="s">
        <v>224</v>
      </c>
      <c r="E762" s="1" t="s">
        <v>323</v>
      </c>
      <c r="F762" s="1" t="s">
        <v>6717</v>
      </c>
      <c r="G762" s="1" t="str">
        <f>IFERROR(VLOOKUP(A762,H_C!$A$2:$G$2628,7,0),"Validar HC")</f>
        <v>Martinez, Wendy</v>
      </c>
      <c r="H762" s="164">
        <v>1623501.0</v>
      </c>
      <c r="I762" s="1">
        <v>42.0</v>
      </c>
    </row>
    <row r="763" ht="15.75" customHeight="1">
      <c r="A763" s="1">
        <v>5122046.0</v>
      </c>
      <c r="B763" s="1" t="s">
        <v>2958</v>
      </c>
      <c r="C763" s="1" t="s">
        <v>2959</v>
      </c>
      <c r="D763" s="1" t="s">
        <v>224</v>
      </c>
      <c r="E763" s="1" t="s">
        <v>374</v>
      </c>
      <c r="F763" s="1" t="s">
        <v>6717</v>
      </c>
      <c r="G763" s="1" t="str">
        <f>IFERROR(VLOOKUP(A763,H_C!$A$2:$G$2628,7,0),"Validar HC")</f>
        <v>Martinez, Wendy</v>
      </c>
      <c r="H763" s="164">
        <v>1623501.0</v>
      </c>
      <c r="I763" s="1">
        <v>42.0</v>
      </c>
    </row>
    <row r="764" ht="15.75" customHeight="1">
      <c r="A764" s="1">
        <v>5122048.0</v>
      </c>
      <c r="B764" s="1" t="s">
        <v>2960</v>
      </c>
      <c r="C764" s="1" t="s">
        <v>2961</v>
      </c>
      <c r="D764" s="1" t="s">
        <v>224</v>
      </c>
      <c r="E764" s="1" t="s">
        <v>374</v>
      </c>
      <c r="F764" s="1" t="s">
        <v>6717</v>
      </c>
      <c r="G764" s="1" t="str">
        <f>IFERROR(VLOOKUP(A764,H_C!$A$2:$G$2628,7,0),"Validar HC")</f>
        <v>Martinez, Wendy</v>
      </c>
      <c r="H764" s="164">
        <v>1623501.0</v>
      </c>
      <c r="I764" s="1">
        <v>42.0</v>
      </c>
    </row>
    <row r="765" ht="15.75" customHeight="1">
      <c r="A765" s="1">
        <v>5122054.0</v>
      </c>
      <c r="B765" s="1" t="s">
        <v>2962</v>
      </c>
      <c r="C765" s="1" t="s">
        <v>2963</v>
      </c>
      <c r="D765" s="1" t="s">
        <v>224</v>
      </c>
      <c r="E765" s="1" t="s">
        <v>467</v>
      </c>
      <c r="F765" s="1" t="s">
        <v>6717</v>
      </c>
      <c r="G765" s="1" t="str">
        <f>IFERROR(VLOOKUP(A765,H_C!$A$2:$G$2628,7,0),"Validar HC")</f>
        <v>Martinez, Wendy</v>
      </c>
      <c r="H765" s="164">
        <v>1623501.0</v>
      </c>
      <c r="I765" s="1">
        <v>42.0</v>
      </c>
    </row>
    <row r="766" ht="15.75" customHeight="1">
      <c r="A766" s="1">
        <v>5122063.0</v>
      </c>
      <c r="B766" s="1" t="s">
        <v>585</v>
      </c>
      <c r="C766" s="1" t="s">
        <v>586</v>
      </c>
      <c r="D766" s="1" t="s">
        <v>224</v>
      </c>
      <c r="E766" s="1" t="s">
        <v>526</v>
      </c>
      <c r="F766" s="1" t="s">
        <v>6717</v>
      </c>
      <c r="G766" s="1" t="str">
        <f>IFERROR(VLOOKUP(A766,H_C!$A$2:$G$2628,7,0),"Validar HC")</f>
        <v>Martinez, Wendy</v>
      </c>
      <c r="H766" s="164">
        <v>1623501.0</v>
      </c>
      <c r="I766" s="1">
        <v>42.0</v>
      </c>
    </row>
    <row r="767" ht="15.75" customHeight="1">
      <c r="A767" s="1">
        <v>5122955.0</v>
      </c>
      <c r="B767" s="1" t="s">
        <v>2964</v>
      </c>
      <c r="C767" s="1" t="s">
        <v>2965</v>
      </c>
      <c r="D767" s="1" t="s">
        <v>224</v>
      </c>
      <c r="E767" s="1" t="s">
        <v>425</v>
      </c>
      <c r="F767" s="1" t="s">
        <v>6717</v>
      </c>
      <c r="G767" s="1" t="str">
        <f>IFERROR(VLOOKUP(A767,H_C!$A$2:$G$2628,7,0),"Validar HC")</f>
        <v>Ospina, Michel</v>
      </c>
      <c r="H767" s="164">
        <v>1623501.0</v>
      </c>
      <c r="I767" s="1">
        <v>42.0</v>
      </c>
    </row>
    <row r="768" ht="15.75" customHeight="1">
      <c r="A768" s="1">
        <v>5123005.0</v>
      </c>
      <c r="B768" s="1" t="s">
        <v>2966</v>
      </c>
      <c r="C768" s="1" t="s">
        <v>2967</v>
      </c>
      <c r="D768" s="1" t="s">
        <v>224</v>
      </c>
      <c r="E768" s="1" t="s">
        <v>361</v>
      </c>
      <c r="F768" s="1" t="s">
        <v>6717</v>
      </c>
      <c r="G768" s="1" t="str">
        <f>IFERROR(VLOOKUP(A768,H_C!$A$2:$G$2628,7,0),"Validar HC")</f>
        <v>Gonzalez, Cristian</v>
      </c>
      <c r="H768" s="164">
        <v>1623501.0</v>
      </c>
      <c r="I768" s="1">
        <v>42.0</v>
      </c>
    </row>
    <row r="769" ht="15.75" customHeight="1">
      <c r="A769" s="1">
        <v>5123260.0</v>
      </c>
      <c r="B769" s="1" t="s">
        <v>2968</v>
      </c>
      <c r="C769" s="1" t="s">
        <v>2969</v>
      </c>
      <c r="D769" s="1" t="s">
        <v>224</v>
      </c>
      <c r="E769" s="1" t="s">
        <v>695</v>
      </c>
      <c r="F769" s="1" t="s">
        <v>6717</v>
      </c>
      <c r="G769" s="1" t="str">
        <f>IFERROR(VLOOKUP(A769,H_C!$A$2:$G$2628,7,0),"Validar HC")</f>
        <v>Ayala, Giselle</v>
      </c>
      <c r="H769" s="164">
        <v>1623501.0</v>
      </c>
      <c r="I769" s="1">
        <v>42.0</v>
      </c>
    </row>
    <row r="770" ht="15.75" customHeight="1">
      <c r="A770" s="1">
        <v>5123263.0</v>
      </c>
      <c r="B770" s="1" t="s">
        <v>2970</v>
      </c>
      <c r="C770" s="1" t="s">
        <v>2971</v>
      </c>
      <c r="D770" s="1" t="s">
        <v>224</v>
      </c>
      <c r="E770" s="1" t="s">
        <v>1363</v>
      </c>
      <c r="F770" s="1" t="s">
        <v>6717</v>
      </c>
      <c r="G770" s="1" t="str">
        <f>IFERROR(VLOOKUP(A770,H_C!$A$2:$G$2628,7,0),"Validar HC")</f>
        <v>Osorio, Julian</v>
      </c>
      <c r="H770" s="164">
        <v>1623501.0</v>
      </c>
      <c r="I770" s="1">
        <v>42.0</v>
      </c>
    </row>
    <row r="771" ht="15.75" customHeight="1">
      <c r="A771" s="1">
        <v>5124462.0</v>
      </c>
      <c r="B771" s="1" t="s">
        <v>2972</v>
      </c>
      <c r="C771" s="1" t="s">
        <v>2973</v>
      </c>
      <c r="D771" s="1" t="s">
        <v>224</v>
      </c>
      <c r="E771" s="1" t="s">
        <v>113</v>
      </c>
      <c r="F771" s="1" t="s">
        <v>6717</v>
      </c>
      <c r="G771" s="1" t="str">
        <f>IFERROR(VLOOKUP(A771,H_C!$A$2:$G$2628,7,0),"Validar HC")</f>
        <v>Soler, Maria</v>
      </c>
      <c r="H771" s="164">
        <v>1623501.0</v>
      </c>
      <c r="I771" s="1">
        <v>42.0</v>
      </c>
    </row>
    <row r="772" ht="15.75" customHeight="1">
      <c r="A772" s="1">
        <v>5126474.0</v>
      </c>
      <c r="B772" s="1" t="s">
        <v>2974</v>
      </c>
      <c r="C772" s="1" t="s">
        <v>2975</v>
      </c>
      <c r="D772" s="1" t="s">
        <v>224</v>
      </c>
      <c r="E772" s="1" t="s">
        <v>232</v>
      </c>
      <c r="F772" s="1" t="s">
        <v>6717</v>
      </c>
      <c r="G772" s="1" t="str">
        <f>IFERROR(VLOOKUP(A772,H_C!$A$2:$G$2628,7,0),"Validar HC")</f>
        <v>Soler, Maria</v>
      </c>
      <c r="H772" s="164">
        <v>1623501.0</v>
      </c>
      <c r="I772" s="1">
        <v>42.0</v>
      </c>
    </row>
    <row r="773" ht="15.75" customHeight="1">
      <c r="A773" s="1">
        <v>5127867.0</v>
      </c>
      <c r="B773" s="1" t="s">
        <v>2978</v>
      </c>
      <c r="C773" s="1" t="s">
        <v>2979</v>
      </c>
      <c r="D773" s="1" t="s">
        <v>224</v>
      </c>
      <c r="E773" s="1" t="s">
        <v>506</v>
      </c>
      <c r="F773" s="1" t="s">
        <v>6717</v>
      </c>
      <c r="G773" s="1" t="str">
        <f>IFERROR(VLOOKUP(A773,H_C!$A$2:$G$2628,7,0),"Validar HC")</f>
        <v>Ospina, Michel</v>
      </c>
      <c r="H773" s="164">
        <v>1623501.0</v>
      </c>
      <c r="I773" s="1">
        <v>42.0</v>
      </c>
    </row>
    <row r="774" ht="15.75" customHeight="1">
      <c r="A774" s="1">
        <v>5127878.0</v>
      </c>
      <c r="B774" s="1" t="s">
        <v>2980</v>
      </c>
      <c r="C774" s="1" t="s">
        <v>2981</v>
      </c>
      <c r="D774" s="1" t="s">
        <v>224</v>
      </c>
      <c r="E774" s="1" t="s">
        <v>412</v>
      </c>
      <c r="F774" s="1" t="s">
        <v>6717</v>
      </c>
      <c r="G774" s="1" t="str">
        <f>IFERROR(VLOOKUP(A774,H_C!$A$2:$G$2628,7,0),"Validar HC")</f>
        <v>Ospina, Michel</v>
      </c>
      <c r="H774" s="164">
        <v>1623501.0</v>
      </c>
      <c r="I774" s="1">
        <v>42.0</v>
      </c>
    </row>
    <row r="775" ht="15.75" customHeight="1">
      <c r="A775" s="1">
        <v>5127891.0</v>
      </c>
      <c r="B775" s="1" t="s">
        <v>2984</v>
      </c>
      <c r="C775" s="1" t="s">
        <v>2985</v>
      </c>
      <c r="D775" s="1" t="s">
        <v>224</v>
      </c>
      <c r="E775" s="1" t="s">
        <v>457</v>
      </c>
      <c r="F775" s="1" t="s">
        <v>6717</v>
      </c>
      <c r="G775" s="1" t="str">
        <f>IFERROR(VLOOKUP(A775,H_C!$A$2:$G$2628,7,0),"Validar HC")</f>
        <v>Celi, Juan</v>
      </c>
      <c r="H775" s="164">
        <v>1623501.0</v>
      </c>
      <c r="I775" s="1">
        <v>42.0</v>
      </c>
    </row>
    <row r="776" ht="15.75" customHeight="1">
      <c r="A776" s="1">
        <v>5127937.0</v>
      </c>
      <c r="B776" s="1" t="s">
        <v>2986</v>
      </c>
      <c r="C776" s="1" t="s">
        <v>2987</v>
      </c>
      <c r="D776" s="1" t="s">
        <v>224</v>
      </c>
      <c r="E776" s="1" t="s">
        <v>374</v>
      </c>
      <c r="F776" s="1" t="s">
        <v>6717</v>
      </c>
      <c r="G776" s="1" t="str">
        <f>IFERROR(VLOOKUP(A776,H_C!$A$2:$G$2628,7,0),"Validar HC")</f>
        <v>Martinez, Wendy</v>
      </c>
      <c r="H776" s="164">
        <v>1623501.0</v>
      </c>
      <c r="I776" s="1">
        <v>42.0</v>
      </c>
    </row>
    <row r="777" ht="15.75" customHeight="1">
      <c r="A777" s="1">
        <v>5129674.0</v>
      </c>
      <c r="B777" s="1" t="s">
        <v>2988</v>
      </c>
      <c r="C777" s="1" t="s">
        <v>2989</v>
      </c>
      <c r="D777" s="1" t="s">
        <v>224</v>
      </c>
      <c r="E777" s="1" t="s">
        <v>506</v>
      </c>
      <c r="F777" s="1" t="s">
        <v>6717</v>
      </c>
      <c r="G777" s="1" t="str">
        <f>IFERROR(VLOOKUP(A777,H_C!$A$2:$G$2628,7,0),"Validar HC")</f>
        <v>Ospina, Michel</v>
      </c>
      <c r="H777" s="164">
        <v>1623501.0</v>
      </c>
      <c r="I777" s="1">
        <v>42.0</v>
      </c>
    </row>
    <row r="778" ht="15.75" customHeight="1">
      <c r="A778" s="1">
        <v>5132829.0</v>
      </c>
      <c r="B778" s="1" t="s">
        <v>2992</v>
      </c>
      <c r="C778" s="1" t="s">
        <v>2993</v>
      </c>
      <c r="D778" s="1" t="s">
        <v>224</v>
      </c>
      <c r="E778" s="1" t="s">
        <v>232</v>
      </c>
      <c r="F778" s="1" t="s">
        <v>6717</v>
      </c>
      <c r="G778" s="1" t="str">
        <f>IFERROR(VLOOKUP(A778,H_C!$A$2:$G$2628,7,0),"Validar HC")</f>
        <v>Soler, Maria</v>
      </c>
      <c r="H778" s="164">
        <v>1623501.0</v>
      </c>
      <c r="I778" s="1">
        <v>42.0</v>
      </c>
    </row>
    <row r="779" ht="15.75" customHeight="1">
      <c r="A779" s="1">
        <v>5132836.0</v>
      </c>
      <c r="B779" s="1" t="s">
        <v>2996</v>
      </c>
      <c r="C779" s="1" t="s">
        <v>2997</v>
      </c>
      <c r="D779" s="1" t="s">
        <v>224</v>
      </c>
      <c r="E779" s="1" t="s">
        <v>994</v>
      </c>
      <c r="F779" s="1" t="s">
        <v>6717</v>
      </c>
      <c r="G779" s="1" t="str">
        <f>IFERROR(VLOOKUP(A779,H_C!$A$2:$G$2628,7,0),"Validar HC")</f>
        <v>Gonzalez, Cristian</v>
      </c>
      <c r="H779" s="164">
        <v>1623501.0</v>
      </c>
      <c r="I779" s="1">
        <v>42.0</v>
      </c>
    </row>
    <row r="780" ht="15.75" customHeight="1">
      <c r="A780" s="1">
        <v>5132840.0</v>
      </c>
      <c r="B780" s="1" t="s">
        <v>3000</v>
      </c>
      <c r="C780" s="1" t="s">
        <v>3001</v>
      </c>
      <c r="D780" s="1" t="s">
        <v>224</v>
      </c>
      <c r="E780" s="1" t="s">
        <v>232</v>
      </c>
      <c r="F780" s="1" t="s">
        <v>6717</v>
      </c>
      <c r="G780" s="1" t="str">
        <f>IFERROR(VLOOKUP(A780,H_C!$A$2:$G$2628,7,0),"Validar HC")</f>
        <v>Soler, Maria</v>
      </c>
      <c r="H780" s="164">
        <v>1623501.0</v>
      </c>
      <c r="I780" s="1">
        <v>42.0</v>
      </c>
    </row>
    <row r="781" ht="15.75" customHeight="1">
      <c r="A781" s="1">
        <v>5132842.0</v>
      </c>
      <c r="B781" s="1" t="s">
        <v>2869</v>
      </c>
      <c r="C781" s="1" t="s">
        <v>2870</v>
      </c>
      <c r="D781" s="1" t="s">
        <v>224</v>
      </c>
      <c r="E781" s="1" t="s">
        <v>567</v>
      </c>
      <c r="F781" s="1" t="s">
        <v>6717</v>
      </c>
      <c r="G781" s="1" t="str">
        <f>IFERROR(VLOOKUP(A781,H_C!$A$2:$G$2628,7,0),"Validar HC")</f>
        <v>Martinez, Wendy</v>
      </c>
      <c r="H781" s="164">
        <v>1623501.0</v>
      </c>
      <c r="I781" s="1">
        <v>42.0</v>
      </c>
    </row>
    <row r="782" ht="15.75" customHeight="1">
      <c r="A782" s="1">
        <v>5132848.0</v>
      </c>
      <c r="B782" s="1" t="s">
        <v>465</v>
      </c>
      <c r="C782" s="1" t="s">
        <v>466</v>
      </c>
      <c r="D782" s="1" t="s">
        <v>224</v>
      </c>
      <c r="E782" s="1" t="s">
        <v>232</v>
      </c>
      <c r="F782" s="1" t="s">
        <v>6717</v>
      </c>
      <c r="G782" s="1" t="str">
        <f>IFERROR(VLOOKUP(A782,H_C!$A$2:$G$2628,7,0),"Validar HC")</f>
        <v>Soler, Maria</v>
      </c>
      <c r="H782" s="164">
        <v>1623501.0</v>
      </c>
      <c r="I782" s="1">
        <v>42.0</v>
      </c>
    </row>
    <row r="783" ht="15.75" customHeight="1">
      <c r="A783" s="1">
        <v>5132853.0</v>
      </c>
      <c r="B783" s="1" t="s">
        <v>3008</v>
      </c>
      <c r="C783" s="1" t="s">
        <v>3009</v>
      </c>
      <c r="D783" s="1" t="s">
        <v>224</v>
      </c>
      <c r="E783" s="1" t="s">
        <v>232</v>
      </c>
      <c r="F783" s="1" t="s">
        <v>6717</v>
      </c>
      <c r="G783" s="1" t="str">
        <f>IFERROR(VLOOKUP(A783,H_C!$A$2:$G$2628,7,0),"Validar HC")</f>
        <v>Soler, Maria</v>
      </c>
      <c r="H783" s="164">
        <v>1623501.0</v>
      </c>
      <c r="I783" s="1">
        <v>42.0</v>
      </c>
    </row>
    <row r="784" ht="15.75" customHeight="1">
      <c r="A784" s="1">
        <v>5132855.0</v>
      </c>
      <c r="B784" s="1" t="s">
        <v>3012</v>
      </c>
      <c r="C784" s="1" t="s">
        <v>3013</v>
      </c>
      <c r="D784" s="1" t="s">
        <v>224</v>
      </c>
      <c r="E784" s="1" t="s">
        <v>232</v>
      </c>
      <c r="F784" s="1" t="s">
        <v>6717</v>
      </c>
      <c r="G784" s="1" t="str">
        <f>IFERROR(VLOOKUP(A784,H_C!$A$2:$G$2628,7,0),"Validar HC")</f>
        <v>Soler, Maria</v>
      </c>
      <c r="H784" s="164">
        <v>1623501.0</v>
      </c>
      <c r="I784" s="1">
        <v>42.0</v>
      </c>
    </row>
    <row r="785" ht="15.75" customHeight="1">
      <c r="A785" s="1">
        <v>5132958.0</v>
      </c>
      <c r="B785" s="1" t="s">
        <v>1919</v>
      </c>
      <c r="C785" s="1" t="s">
        <v>1920</v>
      </c>
      <c r="D785" s="1" t="s">
        <v>224</v>
      </c>
      <c r="E785" s="1" t="s">
        <v>385</v>
      </c>
      <c r="F785" s="1" t="s">
        <v>6717</v>
      </c>
      <c r="G785" s="1" t="str">
        <f>IFERROR(VLOOKUP(A785,H_C!$A$2:$G$2628,7,0),"Validar HC")</f>
        <v>Garatejo, Natalia</v>
      </c>
      <c r="H785" s="164">
        <v>1623501.0</v>
      </c>
      <c r="I785" s="1">
        <v>42.0</v>
      </c>
    </row>
    <row r="786" ht="15.75" customHeight="1">
      <c r="A786" s="1">
        <v>5133119.0</v>
      </c>
      <c r="B786" s="1" t="s">
        <v>3017</v>
      </c>
      <c r="C786" s="1" t="s">
        <v>3018</v>
      </c>
      <c r="D786" s="1" t="s">
        <v>224</v>
      </c>
      <c r="E786" s="1" t="s">
        <v>361</v>
      </c>
      <c r="F786" s="1" t="s">
        <v>6717</v>
      </c>
      <c r="G786" s="1" t="str">
        <f>IFERROR(VLOOKUP(A786,H_C!$A$2:$G$2628,7,0),"Validar HC")</f>
        <v>Gonzalez, Cristian</v>
      </c>
      <c r="H786" s="164">
        <v>1623501.0</v>
      </c>
      <c r="I786" s="1">
        <v>42.0</v>
      </c>
    </row>
    <row r="787" ht="15.75" customHeight="1">
      <c r="A787" s="1">
        <v>5133151.0</v>
      </c>
      <c r="B787" s="1" t="s">
        <v>2045</v>
      </c>
      <c r="C787" s="1" t="s">
        <v>2046</v>
      </c>
      <c r="D787" s="1" t="s">
        <v>224</v>
      </c>
      <c r="E787" s="1" t="s">
        <v>592</v>
      </c>
      <c r="F787" s="1" t="s">
        <v>6717</v>
      </c>
      <c r="G787" s="1" t="str">
        <f>IFERROR(VLOOKUP(A787,H_C!$A$2:$G$2628,7,0),"Validar HC")</f>
        <v>Garcia, Helmer</v>
      </c>
      <c r="H787" s="164">
        <v>1623501.0</v>
      </c>
      <c r="I787" s="1">
        <v>42.0</v>
      </c>
    </row>
    <row r="788" ht="15.75" customHeight="1">
      <c r="A788" s="1">
        <v>5133310.0</v>
      </c>
      <c r="B788" s="1" t="s">
        <v>3021</v>
      </c>
      <c r="C788" s="1" t="s">
        <v>3022</v>
      </c>
      <c r="D788" s="1" t="s">
        <v>224</v>
      </c>
      <c r="E788" s="1" t="s">
        <v>361</v>
      </c>
      <c r="F788" s="1" t="s">
        <v>6717</v>
      </c>
      <c r="G788" s="1" t="str">
        <f>IFERROR(VLOOKUP(A788,H_C!$A$2:$G$2628,7,0),"Validar HC")</f>
        <v>Gonzalez, Cristian</v>
      </c>
      <c r="H788" s="164">
        <v>1623501.0</v>
      </c>
      <c r="I788" s="1">
        <v>42.0</v>
      </c>
    </row>
    <row r="789" ht="15.75" customHeight="1">
      <c r="A789" s="1">
        <v>5133312.0</v>
      </c>
      <c r="B789" s="1" t="s">
        <v>2049</v>
      </c>
      <c r="C789" s="1" t="s">
        <v>2050</v>
      </c>
      <c r="D789" s="1" t="s">
        <v>224</v>
      </c>
      <c r="E789" s="1" t="s">
        <v>592</v>
      </c>
      <c r="F789" s="1" t="s">
        <v>6717</v>
      </c>
      <c r="G789" s="1" t="str">
        <f>IFERROR(VLOOKUP(A789,H_C!$A$2:$G$2628,7,0),"Validar HC")</f>
        <v>Garcia, Helmer</v>
      </c>
      <c r="H789" s="164">
        <v>1623501.0</v>
      </c>
      <c r="I789" s="1">
        <v>42.0</v>
      </c>
    </row>
    <row r="790" ht="15.75" customHeight="1">
      <c r="A790" s="1">
        <v>5133317.0</v>
      </c>
      <c r="B790" s="1" t="s">
        <v>1650</v>
      </c>
      <c r="C790" s="1" t="s">
        <v>1651</v>
      </c>
      <c r="D790" s="1" t="s">
        <v>224</v>
      </c>
      <c r="E790" s="1" t="s">
        <v>297</v>
      </c>
      <c r="F790" s="1" t="s">
        <v>6717</v>
      </c>
      <c r="G790" s="1" t="str">
        <f>IFERROR(VLOOKUP(A790,H_C!$A$2:$G$2628,7,0),"Validar HC")</f>
        <v>Garatejo, Natalia</v>
      </c>
      <c r="H790" s="164">
        <v>1623501.0</v>
      </c>
      <c r="I790" s="1">
        <v>42.0</v>
      </c>
    </row>
    <row r="791" ht="15.75" customHeight="1">
      <c r="A791" s="1">
        <v>5133319.0</v>
      </c>
      <c r="B791" s="1" t="s">
        <v>2873</v>
      </c>
      <c r="C791" s="1" t="s">
        <v>2874</v>
      </c>
      <c r="D791" s="1" t="s">
        <v>224</v>
      </c>
      <c r="E791" s="1" t="s">
        <v>567</v>
      </c>
      <c r="F791" s="1" t="s">
        <v>6717</v>
      </c>
      <c r="G791" s="1" t="str">
        <f>IFERROR(VLOOKUP(A791,H_C!$A$2:$G$2628,7,0),"Validar HC")</f>
        <v>Martinez, Wendy</v>
      </c>
      <c r="H791" s="164">
        <v>1623501.0</v>
      </c>
      <c r="I791" s="1">
        <v>42.0</v>
      </c>
    </row>
    <row r="792" ht="15.75" customHeight="1">
      <c r="A792" s="1">
        <v>5133419.0</v>
      </c>
      <c r="B792" s="1" t="s">
        <v>3027</v>
      </c>
      <c r="C792" s="1" t="s">
        <v>3028</v>
      </c>
      <c r="D792" s="1" t="s">
        <v>224</v>
      </c>
      <c r="E792" s="1" t="s">
        <v>695</v>
      </c>
      <c r="F792" s="1" t="s">
        <v>6717</v>
      </c>
      <c r="G792" s="1" t="str">
        <f>IFERROR(VLOOKUP(A792,H_C!$A$2:$G$2628,7,0),"Validar HC")</f>
        <v>Ayala, Giselle</v>
      </c>
      <c r="H792" s="164">
        <v>1623501.0</v>
      </c>
      <c r="I792" s="1">
        <v>42.0</v>
      </c>
    </row>
    <row r="793" ht="15.75" customHeight="1">
      <c r="A793" s="1">
        <v>5133451.0</v>
      </c>
      <c r="B793" s="1" t="s">
        <v>1954</v>
      </c>
      <c r="C793" s="1" t="s">
        <v>1955</v>
      </c>
      <c r="D793" s="1" t="s">
        <v>224</v>
      </c>
      <c r="E793" s="1" t="s">
        <v>1363</v>
      </c>
      <c r="F793" s="1" t="s">
        <v>6717</v>
      </c>
      <c r="G793" s="1" t="str">
        <f>IFERROR(VLOOKUP(A793,H_C!$A$2:$G$2628,7,0),"Validar HC")</f>
        <v>Osorio, Julian</v>
      </c>
      <c r="H793" s="164">
        <v>1623501.0</v>
      </c>
      <c r="I793" s="1">
        <v>42.0</v>
      </c>
    </row>
    <row r="794" ht="15.75" customHeight="1">
      <c r="A794" s="1">
        <v>5134584.0</v>
      </c>
      <c r="B794" s="1" t="s">
        <v>2020</v>
      </c>
      <c r="C794" s="1" t="s">
        <v>2021</v>
      </c>
      <c r="D794" s="1" t="s">
        <v>224</v>
      </c>
      <c r="E794" s="1" t="s">
        <v>391</v>
      </c>
      <c r="F794" s="1" t="s">
        <v>6717</v>
      </c>
      <c r="G794" s="1" t="str">
        <f>IFERROR(VLOOKUP(A794,H_C!$A$2:$G$2628,7,0),"Validar HC")</f>
        <v>Garcia, Helmer</v>
      </c>
      <c r="H794" s="164">
        <v>1623501.0</v>
      </c>
      <c r="I794" s="1">
        <v>42.0</v>
      </c>
    </row>
    <row r="795" ht="15.75" customHeight="1">
      <c r="A795" s="1">
        <v>5161496.0</v>
      </c>
      <c r="B795" s="1" t="s">
        <v>44</v>
      </c>
      <c r="C795" s="1" t="s">
        <v>1386</v>
      </c>
      <c r="D795" s="1" t="s">
        <v>224</v>
      </c>
      <c r="E795" s="1" t="s">
        <v>13</v>
      </c>
      <c r="F795" s="1" t="s">
        <v>6717</v>
      </c>
      <c r="G795" s="1" t="str">
        <f>IFERROR(VLOOKUP(A795,H_C!$A$2:$G$2628,7,0),"Validar HC")</f>
        <v>Ospina, Michel</v>
      </c>
      <c r="H795" s="162">
        <v>1600000.0</v>
      </c>
      <c r="I795" s="1">
        <v>42.0</v>
      </c>
    </row>
    <row r="796" ht="15.75" customHeight="1">
      <c r="A796" s="1">
        <v>5134627.0</v>
      </c>
      <c r="B796" s="1" t="s">
        <v>1628</v>
      </c>
      <c r="C796" s="1" t="s">
        <v>1629</v>
      </c>
      <c r="D796" s="1" t="s">
        <v>224</v>
      </c>
      <c r="E796" s="1" t="s">
        <v>821</v>
      </c>
      <c r="F796" s="1" t="s">
        <v>6717</v>
      </c>
      <c r="G796" s="1" t="str">
        <f>IFERROR(VLOOKUP(A796,H_C!$A$2:$G$2628,7,0),"Validar HC")</f>
        <v>Garatejo, Natalia</v>
      </c>
      <c r="H796" s="164">
        <v>1623501.0</v>
      </c>
      <c r="I796" s="1">
        <v>42.0</v>
      </c>
    </row>
    <row r="797" ht="15.75" customHeight="1">
      <c r="A797" s="1">
        <v>5134634.0</v>
      </c>
      <c r="B797" s="1" t="s">
        <v>3033</v>
      </c>
      <c r="C797" s="1" t="s">
        <v>3034</v>
      </c>
      <c r="D797" s="1" t="s">
        <v>224</v>
      </c>
      <c r="E797" s="1" t="s">
        <v>478</v>
      </c>
      <c r="F797" s="1" t="s">
        <v>6717</v>
      </c>
      <c r="G797" s="1" t="str">
        <f>IFERROR(VLOOKUP(A797,H_C!$A$2:$G$2628,7,0),"Validar HC")</f>
        <v>Celi, Juan</v>
      </c>
      <c r="H797" s="164">
        <v>1623501.0</v>
      </c>
      <c r="I797" s="1">
        <v>42.0</v>
      </c>
    </row>
    <row r="798" ht="15.75" customHeight="1">
      <c r="A798" s="1">
        <v>5135722.0</v>
      </c>
      <c r="B798" s="1" t="s">
        <v>857</v>
      </c>
      <c r="C798" s="1" t="s">
        <v>858</v>
      </c>
      <c r="D798" s="1" t="s">
        <v>224</v>
      </c>
      <c r="E798" s="1" t="s">
        <v>246</v>
      </c>
      <c r="F798" s="1" t="s">
        <v>6717</v>
      </c>
      <c r="G798" s="1" t="str">
        <f>IFERROR(VLOOKUP(A798,H_C!$A$2:$G$2628,7,0),"Validar HC")</f>
        <v>Garcia, Helmer</v>
      </c>
      <c r="H798" s="164">
        <v>1623501.0</v>
      </c>
      <c r="I798" s="1">
        <v>42.0</v>
      </c>
    </row>
    <row r="799" ht="15.75" customHeight="1">
      <c r="A799" s="1">
        <v>5135761.0</v>
      </c>
      <c r="B799" s="1" t="s">
        <v>3037</v>
      </c>
      <c r="C799" s="1" t="s">
        <v>3038</v>
      </c>
      <c r="D799" s="1" t="s">
        <v>224</v>
      </c>
      <c r="E799" s="1" t="s">
        <v>329</v>
      </c>
      <c r="F799" s="1" t="s">
        <v>6717</v>
      </c>
      <c r="G799" s="1" t="str">
        <f>IFERROR(VLOOKUP(A799,H_C!$A$2:$G$2628,7,0),"Validar HC")</f>
        <v>Garatejo, Natalia</v>
      </c>
      <c r="H799" s="164">
        <v>1623501.0</v>
      </c>
      <c r="I799" s="1">
        <v>42.0</v>
      </c>
    </row>
    <row r="800" ht="15.75" customHeight="1">
      <c r="A800" s="1">
        <v>5135768.0</v>
      </c>
      <c r="B800" s="1" t="s">
        <v>3041</v>
      </c>
      <c r="C800" s="1" t="s">
        <v>3042</v>
      </c>
      <c r="D800" s="1" t="s">
        <v>224</v>
      </c>
      <c r="E800" s="1" t="s">
        <v>1932</v>
      </c>
      <c r="F800" s="1" t="s">
        <v>6717</v>
      </c>
      <c r="G800" s="1" t="str">
        <f>IFERROR(VLOOKUP(A800,H_C!$A$2:$G$2628,7,0),"Validar HC")</f>
        <v>Garatejo, Natalia</v>
      </c>
      <c r="H800" s="164">
        <v>1623501.0</v>
      </c>
      <c r="I800" s="1">
        <v>42.0</v>
      </c>
    </row>
    <row r="801" ht="15.75" customHeight="1">
      <c r="A801" s="1">
        <v>5135769.0</v>
      </c>
      <c r="B801" s="1" t="s">
        <v>3045</v>
      </c>
      <c r="C801" s="1" t="s">
        <v>3046</v>
      </c>
      <c r="D801" s="1" t="s">
        <v>224</v>
      </c>
      <c r="E801" s="1" t="s">
        <v>800</v>
      </c>
      <c r="F801" s="1" t="s">
        <v>6717</v>
      </c>
      <c r="G801" s="1" t="str">
        <f>IFERROR(VLOOKUP(A801,H_C!$A$2:$G$2628,7,0),"Validar HC")</f>
        <v>Garatejo, Natalia</v>
      </c>
      <c r="H801" s="164">
        <v>1623501.0</v>
      </c>
      <c r="I801" s="1">
        <v>42.0</v>
      </c>
    </row>
    <row r="802" ht="15.75" customHeight="1">
      <c r="A802" s="1">
        <v>5135772.0</v>
      </c>
      <c r="B802" s="1" t="s">
        <v>3049</v>
      </c>
      <c r="C802" s="1" t="s">
        <v>3050</v>
      </c>
      <c r="D802" s="1" t="s">
        <v>224</v>
      </c>
      <c r="E802" s="1" t="s">
        <v>329</v>
      </c>
      <c r="F802" s="1" t="s">
        <v>6717</v>
      </c>
      <c r="G802" s="1" t="str">
        <f>IFERROR(VLOOKUP(A802,H_C!$A$2:$G$2628,7,0),"Validar HC")</f>
        <v>Garatejo, Natalia</v>
      </c>
      <c r="H802" s="164">
        <v>1623501.0</v>
      </c>
      <c r="I802" s="1">
        <v>42.0</v>
      </c>
    </row>
    <row r="803" ht="15.75" customHeight="1">
      <c r="A803" s="1">
        <v>5135774.0</v>
      </c>
      <c r="B803" s="1" t="s">
        <v>3053</v>
      </c>
      <c r="C803" s="1" t="s">
        <v>3054</v>
      </c>
      <c r="D803" s="1" t="s">
        <v>224</v>
      </c>
      <c r="E803" s="1" t="s">
        <v>1932</v>
      </c>
      <c r="F803" s="1" t="s">
        <v>6717</v>
      </c>
      <c r="G803" s="1" t="str">
        <f>IFERROR(VLOOKUP(A803,H_C!$A$2:$G$2628,7,0),"Validar HC")</f>
        <v>Garatejo, Natalia</v>
      </c>
      <c r="H803" s="164">
        <v>1623501.0</v>
      </c>
      <c r="I803" s="1">
        <v>42.0</v>
      </c>
    </row>
    <row r="804" ht="15.75" customHeight="1">
      <c r="A804" s="1">
        <v>5140249.0</v>
      </c>
      <c r="B804" s="1" t="s">
        <v>3057</v>
      </c>
      <c r="C804" s="1" t="s">
        <v>3058</v>
      </c>
      <c r="D804" s="1" t="s">
        <v>224</v>
      </c>
      <c r="E804" s="1" t="s">
        <v>478</v>
      </c>
      <c r="F804" s="1" t="s">
        <v>6717</v>
      </c>
      <c r="G804" s="1" t="str">
        <f>IFERROR(VLOOKUP(A804,H_C!$A$2:$G$2628,7,0),"Validar HC")</f>
        <v>Celi, Juan</v>
      </c>
      <c r="H804" s="164">
        <v>1623501.0</v>
      </c>
      <c r="I804" s="1">
        <v>42.0</v>
      </c>
    </row>
    <row r="805" ht="15.75" customHeight="1">
      <c r="A805" s="1">
        <v>5141469.0</v>
      </c>
      <c r="B805" s="1" t="s">
        <v>2158</v>
      </c>
      <c r="C805" s="1" t="s">
        <v>2159</v>
      </c>
      <c r="D805" s="1" t="s">
        <v>224</v>
      </c>
      <c r="E805" s="1" t="s">
        <v>246</v>
      </c>
      <c r="F805" s="1" t="s">
        <v>6717</v>
      </c>
      <c r="G805" s="1" t="str">
        <f>IFERROR(VLOOKUP(A805,H_C!$A$2:$G$2628,7,0),"Validar HC")</f>
        <v>Garcia, Helmer</v>
      </c>
      <c r="H805" s="164">
        <v>1623501.0</v>
      </c>
      <c r="I805" s="1">
        <v>42.0</v>
      </c>
    </row>
    <row r="806" ht="15.75" customHeight="1">
      <c r="A806" s="1">
        <v>5141483.0</v>
      </c>
      <c r="B806" s="1" t="s">
        <v>1161</v>
      </c>
      <c r="C806" s="1" t="s">
        <v>1162</v>
      </c>
      <c r="D806" s="1" t="s">
        <v>224</v>
      </c>
      <c r="E806" s="1" t="s">
        <v>263</v>
      </c>
      <c r="F806" s="1" t="s">
        <v>6717</v>
      </c>
      <c r="G806" s="1" t="str">
        <f>IFERROR(VLOOKUP(A806,H_C!$A$2:$G$2628,7,0),"Validar HC")</f>
        <v>Garcia, Helmer</v>
      </c>
      <c r="H806" s="164">
        <v>1623501.0</v>
      </c>
      <c r="I806" s="1">
        <v>42.0</v>
      </c>
    </row>
    <row r="807" ht="15.75" customHeight="1">
      <c r="A807" s="1">
        <v>5141486.0</v>
      </c>
      <c r="B807" s="1" t="s">
        <v>3067</v>
      </c>
      <c r="C807" s="1" t="s">
        <v>3068</v>
      </c>
      <c r="D807" s="1" t="s">
        <v>224</v>
      </c>
      <c r="E807" s="1" t="s">
        <v>232</v>
      </c>
      <c r="F807" s="1" t="s">
        <v>6717</v>
      </c>
      <c r="G807" s="1" t="str">
        <f>IFERROR(VLOOKUP(A807,H_C!$A$2:$G$2628,7,0),"Validar HC")</f>
        <v>Soler, Maria</v>
      </c>
      <c r="H807" s="164">
        <v>1623501.0</v>
      </c>
      <c r="I807" s="1">
        <v>42.0</v>
      </c>
    </row>
    <row r="808" ht="15.75" customHeight="1">
      <c r="A808" s="1">
        <v>5141492.0</v>
      </c>
      <c r="B808" s="1" t="s">
        <v>3071</v>
      </c>
      <c r="C808" s="1" t="s">
        <v>3072</v>
      </c>
      <c r="D808" s="1" t="s">
        <v>224</v>
      </c>
      <c r="E808" s="1" t="s">
        <v>841</v>
      </c>
      <c r="F808" s="1" t="s">
        <v>6717</v>
      </c>
      <c r="G808" s="1" t="str">
        <f>IFERROR(VLOOKUP(A808,H_C!$A$2:$G$2628,7,0),"Validar HC")</f>
        <v>Soler, Maria</v>
      </c>
      <c r="H808" s="164">
        <v>1623501.0</v>
      </c>
      <c r="I808" s="1">
        <v>42.0</v>
      </c>
    </row>
    <row r="809" ht="15.75" customHeight="1">
      <c r="A809" s="1">
        <v>5141502.0</v>
      </c>
      <c r="B809" s="1" t="s">
        <v>472</v>
      </c>
      <c r="C809" s="1" t="s">
        <v>473</v>
      </c>
      <c r="D809" s="1" t="s">
        <v>224</v>
      </c>
      <c r="E809" s="1" t="s">
        <v>232</v>
      </c>
      <c r="F809" s="1" t="s">
        <v>6717</v>
      </c>
      <c r="G809" s="1" t="str">
        <f>IFERROR(VLOOKUP(A809,H_C!$A$2:$G$2628,7,0),"Validar HC")</f>
        <v>Soler, Maria</v>
      </c>
      <c r="H809" s="164">
        <v>1623501.0</v>
      </c>
      <c r="I809" s="1">
        <v>42.0</v>
      </c>
    </row>
    <row r="810" ht="15.75" customHeight="1">
      <c r="A810" s="1">
        <v>5141505.0</v>
      </c>
      <c r="B810" s="1" t="s">
        <v>3077</v>
      </c>
      <c r="C810" s="1" t="s">
        <v>3078</v>
      </c>
      <c r="D810" s="1" t="s">
        <v>224</v>
      </c>
      <c r="E810" s="1" t="s">
        <v>9</v>
      </c>
      <c r="F810" s="1" t="s">
        <v>6717</v>
      </c>
      <c r="G810" s="1" t="str">
        <f>IFERROR(VLOOKUP(A810,H_C!$A$2:$G$2628,7,0),"Validar HC")</f>
        <v>Celi, Juan</v>
      </c>
      <c r="H810" s="164">
        <v>1623501.0</v>
      </c>
      <c r="I810" s="1">
        <v>42.0</v>
      </c>
    </row>
    <row r="811" ht="15.75" customHeight="1">
      <c r="A811" s="1">
        <v>5141507.0</v>
      </c>
      <c r="B811" s="1" t="s">
        <v>763</v>
      </c>
      <c r="C811" s="1" t="s">
        <v>764</v>
      </c>
      <c r="D811" s="1" t="s">
        <v>224</v>
      </c>
      <c r="E811" s="1" t="s">
        <v>289</v>
      </c>
      <c r="F811" s="1" t="s">
        <v>6717</v>
      </c>
      <c r="G811" s="1" t="str">
        <f>IFERROR(VLOOKUP(A811,H_C!$A$2:$G$2628,7,0),"Validar HC")</f>
        <v>Celi, Juan</v>
      </c>
      <c r="H811" s="164">
        <v>1623501.0</v>
      </c>
      <c r="I811" s="1">
        <v>42.0</v>
      </c>
    </row>
    <row r="812" ht="15.75" customHeight="1">
      <c r="A812" s="1">
        <v>5141513.0</v>
      </c>
      <c r="B812" s="1" t="s">
        <v>3081</v>
      </c>
      <c r="C812" s="1" t="s">
        <v>3082</v>
      </c>
      <c r="D812" s="1" t="s">
        <v>224</v>
      </c>
      <c r="E812" s="1" t="s">
        <v>800</v>
      </c>
      <c r="F812" s="1" t="s">
        <v>6717</v>
      </c>
      <c r="G812" s="1" t="str">
        <f>IFERROR(VLOOKUP(A812,H_C!$A$2:$G$2628,7,0),"Validar HC")</f>
        <v>Garatejo, Natalia</v>
      </c>
      <c r="H812" s="164">
        <v>1623501.0</v>
      </c>
      <c r="I812" s="1">
        <v>42.0</v>
      </c>
    </row>
    <row r="813" ht="15.75" customHeight="1">
      <c r="A813" s="1">
        <v>5141631.0</v>
      </c>
      <c r="B813" s="1" t="s">
        <v>3085</v>
      </c>
      <c r="C813" s="1" t="s">
        <v>3086</v>
      </c>
      <c r="D813" s="1" t="s">
        <v>224</v>
      </c>
      <c r="E813" s="1" t="s">
        <v>478</v>
      </c>
      <c r="F813" s="1" t="s">
        <v>6717</v>
      </c>
      <c r="G813" s="1" t="str">
        <f>IFERROR(VLOOKUP(A813,H_C!$A$2:$G$2628,7,0),"Validar HC")</f>
        <v>Celi, Juan</v>
      </c>
      <c r="H813" s="164">
        <v>1623501.0</v>
      </c>
      <c r="I813" s="1">
        <v>42.0</v>
      </c>
    </row>
    <row r="814" ht="15.75" customHeight="1">
      <c r="A814" s="1">
        <v>5141707.0</v>
      </c>
      <c r="B814" s="1" t="s">
        <v>3089</v>
      </c>
      <c r="C814" s="1" t="s">
        <v>3090</v>
      </c>
      <c r="D814" s="1" t="s">
        <v>224</v>
      </c>
      <c r="E814" s="1" t="s">
        <v>847</v>
      </c>
      <c r="F814" s="1" t="s">
        <v>6717</v>
      </c>
      <c r="G814" s="1" t="str">
        <f>IFERROR(VLOOKUP(A814,H_C!$A$2:$G$2628,7,0),"Validar HC")</f>
        <v>Garatejo, Natalia</v>
      </c>
      <c r="H814" s="164">
        <v>1623501.0</v>
      </c>
      <c r="I814" s="1">
        <v>42.0</v>
      </c>
    </row>
    <row r="815" ht="15.75" customHeight="1">
      <c r="A815" s="1">
        <v>5141712.0</v>
      </c>
      <c r="B815" s="1" t="s">
        <v>410</v>
      </c>
      <c r="C815" s="1" t="s">
        <v>411</v>
      </c>
      <c r="D815" s="1" t="s">
        <v>224</v>
      </c>
      <c r="E815" s="1" t="s">
        <v>329</v>
      </c>
      <c r="F815" s="1" t="s">
        <v>6717</v>
      </c>
      <c r="G815" s="1" t="str">
        <f>IFERROR(VLOOKUP(A815,H_C!$A$2:$G$2628,7,0),"Validar HC")</f>
        <v>Garatejo, Natalia</v>
      </c>
      <c r="H815" s="164">
        <v>1623501.0</v>
      </c>
      <c r="I815" s="1">
        <v>42.0</v>
      </c>
    </row>
    <row r="816" ht="15.75" customHeight="1">
      <c r="A816" s="1">
        <v>5141724.0</v>
      </c>
      <c r="B816" s="1" t="s">
        <v>2154</v>
      </c>
      <c r="C816" s="1" t="s">
        <v>2155</v>
      </c>
      <c r="D816" s="1" t="s">
        <v>224</v>
      </c>
      <c r="E816" s="1" t="s">
        <v>246</v>
      </c>
      <c r="F816" s="1" t="s">
        <v>6717</v>
      </c>
      <c r="G816" s="1" t="str">
        <f>IFERROR(VLOOKUP(A816,H_C!$A$2:$G$2628,7,0),"Validar HC")</f>
        <v>Garcia, Helmer</v>
      </c>
      <c r="H816" s="164">
        <v>1623501.0</v>
      </c>
      <c r="I816" s="1">
        <v>42.0</v>
      </c>
    </row>
    <row r="817" ht="15.75" customHeight="1">
      <c r="A817" s="1">
        <v>5141768.0</v>
      </c>
      <c r="B817" s="1" t="s">
        <v>758</v>
      </c>
      <c r="C817" s="1" t="s">
        <v>759</v>
      </c>
      <c r="D817" s="1" t="s">
        <v>224</v>
      </c>
      <c r="E817" s="1" t="s">
        <v>289</v>
      </c>
      <c r="F817" s="1" t="s">
        <v>6717</v>
      </c>
      <c r="G817" s="1" t="str">
        <f>IFERROR(VLOOKUP(A817,H_C!$A$2:$G$2628,7,0),"Validar HC")</f>
        <v>Celi, Juan</v>
      </c>
      <c r="H817" s="164">
        <v>1623501.0</v>
      </c>
      <c r="I817" s="1">
        <v>42.0</v>
      </c>
    </row>
    <row r="818" ht="15.75" customHeight="1">
      <c r="A818" s="1">
        <v>5141770.0</v>
      </c>
      <c r="B818" s="1" t="s">
        <v>3093</v>
      </c>
      <c r="C818" s="1" t="s">
        <v>3094</v>
      </c>
      <c r="D818" s="1" t="s">
        <v>224</v>
      </c>
      <c r="E818" s="1" t="s">
        <v>847</v>
      </c>
      <c r="F818" s="1" t="s">
        <v>6717</v>
      </c>
      <c r="G818" s="1" t="str">
        <f>IFERROR(VLOOKUP(A818,H_C!$A$2:$G$2628,7,0),"Validar HC")</f>
        <v>Garatejo, Natalia</v>
      </c>
      <c r="H818" s="164">
        <v>1623501.0</v>
      </c>
      <c r="I818" s="1">
        <v>42.0</v>
      </c>
    </row>
    <row r="819" ht="15.75" customHeight="1">
      <c r="A819" s="1">
        <v>5141778.0</v>
      </c>
      <c r="B819" s="1" t="s">
        <v>804</v>
      </c>
      <c r="C819" s="1" t="s">
        <v>805</v>
      </c>
      <c r="D819" s="1" t="s">
        <v>224</v>
      </c>
      <c r="E819" s="1" t="s">
        <v>289</v>
      </c>
      <c r="F819" s="1" t="s">
        <v>6717</v>
      </c>
      <c r="G819" s="1" t="str">
        <f>IFERROR(VLOOKUP(A819,H_C!$A$2:$G$2628,7,0),"Validar HC")</f>
        <v>Celi, Juan</v>
      </c>
      <c r="H819" s="164">
        <v>1623501.0</v>
      </c>
      <c r="I819" s="1">
        <v>42.0</v>
      </c>
    </row>
    <row r="820" ht="15.75" customHeight="1">
      <c r="A820" s="1">
        <v>5142909.0</v>
      </c>
      <c r="B820" s="1" t="s">
        <v>3099</v>
      </c>
      <c r="C820" s="1" t="s">
        <v>3100</v>
      </c>
      <c r="D820" s="1" t="s">
        <v>224</v>
      </c>
      <c r="E820" s="1" t="s">
        <v>425</v>
      </c>
      <c r="F820" s="1" t="s">
        <v>6717</v>
      </c>
      <c r="G820" s="1" t="str">
        <f>IFERROR(VLOOKUP(A820,H_C!$A$2:$G$2628,7,0),"Validar HC")</f>
        <v>Ospina, Michel</v>
      </c>
      <c r="H820" s="164">
        <v>1623501.0</v>
      </c>
      <c r="I820" s="1">
        <v>42.0</v>
      </c>
    </row>
    <row r="821" ht="15.75" customHeight="1">
      <c r="A821" s="1">
        <v>5142916.0</v>
      </c>
      <c r="B821" s="1" t="s">
        <v>809</v>
      </c>
      <c r="C821" s="1" t="s">
        <v>810</v>
      </c>
      <c r="D821" s="1" t="s">
        <v>224</v>
      </c>
      <c r="E821" s="1" t="s">
        <v>289</v>
      </c>
      <c r="F821" s="1" t="s">
        <v>6717</v>
      </c>
      <c r="G821" s="1" t="str">
        <f>IFERROR(VLOOKUP(A821,H_C!$A$2:$G$2628,7,0),"Validar HC")</f>
        <v>Celi, Juan</v>
      </c>
      <c r="H821" s="164">
        <v>1623501.0</v>
      </c>
      <c r="I821" s="1">
        <v>42.0</v>
      </c>
    </row>
    <row r="822" ht="15.75" customHeight="1">
      <c r="A822" s="1">
        <v>5143365.0</v>
      </c>
      <c r="B822" s="1" t="s">
        <v>3105</v>
      </c>
      <c r="C822" s="1" t="s">
        <v>3106</v>
      </c>
      <c r="D822" s="1" t="s">
        <v>224</v>
      </c>
      <c r="E822" s="1" t="s">
        <v>457</v>
      </c>
      <c r="F822" s="1" t="s">
        <v>6717</v>
      </c>
      <c r="G822" s="1" t="str">
        <f>IFERROR(VLOOKUP(A822,H_C!$A$2:$G$2628,7,0),"Validar HC")</f>
        <v>Celi, Juan</v>
      </c>
      <c r="H822" s="164">
        <v>1623501.0</v>
      </c>
      <c r="I822" s="1">
        <v>42.0</v>
      </c>
    </row>
    <row r="823" ht="15.75" customHeight="1">
      <c r="A823" s="1">
        <v>5148309.0</v>
      </c>
      <c r="B823" s="1" t="s">
        <v>1846</v>
      </c>
      <c r="C823" s="1" t="s">
        <v>1847</v>
      </c>
      <c r="D823" s="1" t="s">
        <v>224</v>
      </c>
      <c r="E823" s="1" t="s">
        <v>835</v>
      </c>
      <c r="F823" s="1" t="s">
        <v>6717</v>
      </c>
      <c r="G823" s="1" t="str">
        <f>IFERROR(VLOOKUP(A823,H_C!$A$2:$G$2628,7,0),"Validar HC")</f>
        <v>Martinez, Wendy</v>
      </c>
      <c r="H823" s="164">
        <v>1623501.0</v>
      </c>
      <c r="I823" s="1">
        <v>42.0</v>
      </c>
    </row>
    <row r="824" ht="15.75" customHeight="1">
      <c r="A824" s="1">
        <v>5149545.0</v>
      </c>
      <c r="B824" s="1" t="s">
        <v>2331</v>
      </c>
      <c r="C824" s="1" t="s">
        <v>2332</v>
      </c>
      <c r="D824" s="1" t="s">
        <v>224</v>
      </c>
      <c r="E824" s="1" t="s">
        <v>986</v>
      </c>
      <c r="F824" s="1" t="s">
        <v>6717</v>
      </c>
      <c r="G824" s="1" t="str">
        <f>IFERROR(VLOOKUP(A824,H_C!$A$2:$G$2628,7,0),"Validar HC")</f>
        <v>Garatejo, Natalia</v>
      </c>
      <c r="H824" s="164">
        <v>1623501.0</v>
      </c>
      <c r="I824" s="1">
        <v>42.0</v>
      </c>
    </row>
    <row r="825" ht="15.75" customHeight="1">
      <c r="A825" s="1">
        <v>5149546.0</v>
      </c>
      <c r="B825" s="1" t="s">
        <v>1614</v>
      </c>
      <c r="C825" s="1" t="s">
        <v>1615</v>
      </c>
      <c r="D825" s="1" t="s">
        <v>224</v>
      </c>
      <c r="E825" s="1" t="s">
        <v>297</v>
      </c>
      <c r="F825" s="1" t="s">
        <v>6717</v>
      </c>
      <c r="G825" s="1" t="str">
        <f>IFERROR(VLOOKUP(A825,H_C!$A$2:$G$2628,7,0),"Validar HC")</f>
        <v>Garatejo, Natalia</v>
      </c>
      <c r="H825" s="164">
        <v>1623501.0</v>
      </c>
      <c r="I825" s="1">
        <v>42.0</v>
      </c>
    </row>
    <row r="826" ht="15.75" customHeight="1">
      <c r="A826" s="1">
        <v>5149559.0</v>
      </c>
      <c r="B826" s="1" t="s">
        <v>3115</v>
      </c>
      <c r="C826" s="1" t="s">
        <v>3116</v>
      </c>
      <c r="D826" s="1" t="s">
        <v>224</v>
      </c>
      <c r="E826" s="1" t="s">
        <v>526</v>
      </c>
      <c r="F826" s="1" t="s">
        <v>6717</v>
      </c>
      <c r="G826" s="1" t="str">
        <f>IFERROR(VLOOKUP(A826,H_C!$A$2:$G$2628,7,0),"Validar HC")</f>
        <v>Martinez, Wendy</v>
      </c>
      <c r="H826" s="164">
        <v>1623501.0</v>
      </c>
      <c r="I826" s="1">
        <v>42.0</v>
      </c>
    </row>
    <row r="827" ht="15.75" customHeight="1">
      <c r="A827" s="1">
        <v>5149566.0</v>
      </c>
      <c r="B827" s="1" t="s">
        <v>3119</v>
      </c>
      <c r="C827" s="1" t="s">
        <v>3120</v>
      </c>
      <c r="D827" s="1" t="s">
        <v>224</v>
      </c>
      <c r="E827" s="1" t="s">
        <v>526</v>
      </c>
      <c r="F827" s="1" t="s">
        <v>6717</v>
      </c>
      <c r="G827" s="1" t="str">
        <f>IFERROR(VLOOKUP(A827,H_C!$A$2:$G$2628,7,0),"Validar HC")</f>
        <v>Martinez, Wendy</v>
      </c>
      <c r="H827" s="164">
        <v>1623501.0</v>
      </c>
      <c r="I827" s="1">
        <v>42.0</v>
      </c>
    </row>
    <row r="828" ht="15.75" customHeight="1">
      <c r="A828" s="1">
        <v>5149617.0</v>
      </c>
      <c r="B828" s="1" t="s">
        <v>3031</v>
      </c>
      <c r="C828" s="1" t="s">
        <v>3032</v>
      </c>
      <c r="D828" s="1" t="s">
        <v>224</v>
      </c>
      <c r="E828" s="1" t="s">
        <v>1363</v>
      </c>
      <c r="F828" s="1" t="s">
        <v>6717</v>
      </c>
      <c r="G828" s="1" t="str">
        <f>IFERROR(VLOOKUP(A828,H_C!$A$2:$G$2628,7,0),"Validar HC")</f>
        <v>Osorio, Julian</v>
      </c>
      <c r="H828" s="164">
        <v>1623501.0</v>
      </c>
      <c r="I828" s="1">
        <v>42.0</v>
      </c>
    </row>
    <row r="829" ht="15.75" customHeight="1">
      <c r="A829" s="1">
        <v>5149618.0</v>
      </c>
      <c r="B829" s="1" t="s">
        <v>3121</v>
      </c>
      <c r="C829" s="1" t="s">
        <v>3122</v>
      </c>
      <c r="D829" s="1" t="s">
        <v>224</v>
      </c>
      <c r="E829" s="1" t="s">
        <v>1143</v>
      </c>
      <c r="F829" s="1" t="s">
        <v>6717</v>
      </c>
      <c r="G829" s="1" t="str">
        <f>IFERROR(VLOOKUP(A829,H_C!$A$2:$G$2628,7,0),"Validar HC")</f>
        <v>Celi, Juan</v>
      </c>
      <c r="H829" s="164">
        <v>1623501.0</v>
      </c>
      <c r="I829" s="1">
        <v>42.0</v>
      </c>
    </row>
    <row r="830" ht="15.75" customHeight="1">
      <c r="A830" s="1">
        <v>5149622.0</v>
      </c>
      <c r="B830" s="1" t="s">
        <v>2685</v>
      </c>
      <c r="C830" s="1" t="s">
        <v>2686</v>
      </c>
      <c r="D830" s="1" t="s">
        <v>224</v>
      </c>
      <c r="E830" s="1" t="s">
        <v>478</v>
      </c>
      <c r="F830" s="1" t="s">
        <v>6717</v>
      </c>
      <c r="G830" s="1" t="str">
        <f>IFERROR(VLOOKUP(A830,H_C!$A$2:$G$2628,7,0),"Validar HC")</f>
        <v>Celi, Juan</v>
      </c>
      <c r="H830" s="164">
        <v>1623501.0</v>
      </c>
      <c r="I830" s="1">
        <v>42.0</v>
      </c>
    </row>
    <row r="831" ht="15.75" customHeight="1">
      <c r="A831" s="1">
        <v>5149635.0</v>
      </c>
      <c r="B831" s="1" t="s">
        <v>3123</v>
      </c>
      <c r="C831" s="1" t="s">
        <v>3124</v>
      </c>
      <c r="D831" s="1" t="s">
        <v>224</v>
      </c>
      <c r="E831" s="1" t="s">
        <v>676</v>
      </c>
      <c r="F831" s="1" t="s">
        <v>6717</v>
      </c>
      <c r="G831" s="1" t="str">
        <f>IFERROR(VLOOKUP(A831,H_C!$A$2:$G$2628,7,0),"Validar HC")</f>
        <v>Garatejo, Natalia</v>
      </c>
      <c r="H831" s="164">
        <v>1623501.0</v>
      </c>
      <c r="I831" s="1">
        <v>42.0</v>
      </c>
    </row>
    <row r="832" ht="15.75" customHeight="1">
      <c r="A832" s="1">
        <v>5152442.0</v>
      </c>
      <c r="B832" s="1" t="s">
        <v>3125</v>
      </c>
      <c r="C832" s="1" t="s">
        <v>3126</v>
      </c>
      <c r="D832" s="1" t="s">
        <v>224</v>
      </c>
      <c r="E832" s="1" t="s">
        <v>847</v>
      </c>
      <c r="F832" s="1" t="s">
        <v>6717</v>
      </c>
      <c r="G832" s="1" t="str">
        <f>IFERROR(VLOOKUP(A832,H_C!$A$2:$G$2628,7,0),"Validar HC")</f>
        <v>Garatejo, Natalia</v>
      </c>
      <c r="H832" s="164">
        <v>1623501.0</v>
      </c>
      <c r="I832" s="1">
        <v>42.0</v>
      </c>
    </row>
    <row r="833" ht="15.75" customHeight="1">
      <c r="A833" s="1">
        <v>5152472.0</v>
      </c>
      <c r="B833" s="1" t="s">
        <v>3129</v>
      </c>
      <c r="C833" s="1" t="s">
        <v>3130</v>
      </c>
      <c r="D833" s="1" t="s">
        <v>224</v>
      </c>
      <c r="E833" s="1" t="s">
        <v>1695</v>
      </c>
      <c r="F833" s="1" t="s">
        <v>6717</v>
      </c>
      <c r="G833" s="1" t="str">
        <f>IFERROR(VLOOKUP(A833,H_C!$A$2:$G$2628,7,0),"Validar HC")</f>
        <v>Ayala, Giselle</v>
      </c>
      <c r="H833" s="164">
        <v>1623501.0</v>
      </c>
      <c r="I833" s="1">
        <v>42.0</v>
      </c>
    </row>
    <row r="834" ht="15.75" customHeight="1">
      <c r="A834" s="1">
        <v>5152526.0</v>
      </c>
      <c r="B834" s="1" t="s">
        <v>3133</v>
      </c>
      <c r="C834" s="1" t="s">
        <v>3134</v>
      </c>
      <c r="D834" s="1" t="s">
        <v>224</v>
      </c>
      <c r="E834" s="1" t="s">
        <v>549</v>
      </c>
      <c r="F834" s="1" t="s">
        <v>6717</v>
      </c>
      <c r="G834" s="1" t="str">
        <f>IFERROR(VLOOKUP(A834,H_C!$A$2:$G$2628,7,0),"Validar HC")</f>
        <v>Soler, Maria</v>
      </c>
      <c r="H834" s="164">
        <v>1623501.0</v>
      </c>
      <c r="I834" s="1">
        <v>42.0</v>
      </c>
    </row>
    <row r="835" ht="15.75" customHeight="1">
      <c r="A835" s="1">
        <v>5152555.0</v>
      </c>
      <c r="B835" s="1" t="s">
        <v>3137</v>
      </c>
      <c r="C835" s="1" t="s">
        <v>3138</v>
      </c>
      <c r="D835" s="1" t="s">
        <v>224</v>
      </c>
      <c r="E835" s="1" t="s">
        <v>695</v>
      </c>
      <c r="F835" s="1" t="s">
        <v>6717</v>
      </c>
      <c r="G835" s="1" t="str">
        <f>IFERROR(VLOOKUP(A835,H_C!$A$2:$G$2628,7,0),"Validar HC")</f>
        <v>Ayala, Giselle</v>
      </c>
      <c r="H835" s="164">
        <v>1623501.0</v>
      </c>
      <c r="I835" s="1">
        <v>42.0</v>
      </c>
    </row>
    <row r="836" ht="15.75" customHeight="1">
      <c r="A836" s="1">
        <v>5154195.0</v>
      </c>
      <c r="B836" s="1" t="s">
        <v>3141</v>
      </c>
      <c r="C836" s="1" t="s">
        <v>3142</v>
      </c>
      <c r="D836" s="1" t="s">
        <v>224</v>
      </c>
      <c r="E836" s="1" t="s">
        <v>806</v>
      </c>
      <c r="F836" s="1" t="s">
        <v>6717</v>
      </c>
      <c r="G836" s="1" t="str">
        <f>IFERROR(VLOOKUP(A836,H_C!$A$2:$G$2628,7,0),"Validar HC")</f>
        <v>Gonzalez, Cristian</v>
      </c>
      <c r="H836" s="164">
        <v>1623501.0</v>
      </c>
      <c r="I836" s="1">
        <v>42.0</v>
      </c>
    </row>
    <row r="837" ht="15.75" customHeight="1">
      <c r="A837" s="1">
        <v>5155620.0</v>
      </c>
      <c r="B837" s="1" t="s">
        <v>3143</v>
      </c>
      <c r="C837" s="1" t="s">
        <v>3144</v>
      </c>
      <c r="D837" s="1" t="s">
        <v>224</v>
      </c>
      <c r="E837" s="1" t="s">
        <v>118</v>
      </c>
      <c r="F837" s="1" t="s">
        <v>6717</v>
      </c>
      <c r="G837" s="1" t="str">
        <f>IFERROR(VLOOKUP(A837,H_C!$A$2:$G$2628,7,0),"Validar HC")</f>
        <v>Ospina, Michel</v>
      </c>
      <c r="H837" s="164">
        <v>1623501.0</v>
      </c>
      <c r="I837" s="1">
        <v>42.0</v>
      </c>
    </row>
    <row r="838" ht="15.75" customHeight="1">
      <c r="A838" s="1">
        <v>5155694.0</v>
      </c>
      <c r="B838" s="1" t="s">
        <v>3147</v>
      </c>
      <c r="C838" s="1" t="s">
        <v>3148</v>
      </c>
      <c r="D838" s="1" t="s">
        <v>224</v>
      </c>
      <c r="E838" s="1" t="s">
        <v>10</v>
      </c>
      <c r="F838" s="1" t="s">
        <v>6717</v>
      </c>
      <c r="G838" s="1" t="str">
        <f>IFERROR(VLOOKUP(A838,H_C!$A$2:$G$2628,7,0),"Validar HC")</f>
        <v>Gonzalez, Cristian</v>
      </c>
      <c r="H838" s="164">
        <v>1623501.0</v>
      </c>
      <c r="I838" s="1">
        <v>42.0</v>
      </c>
    </row>
    <row r="839" ht="15.75" customHeight="1">
      <c r="A839" s="1">
        <v>5155747.0</v>
      </c>
      <c r="B839" s="1" t="s">
        <v>3151</v>
      </c>
      <c r="C839" s="1" t="s">
        <v>3152</v>
      </c>
      <c r="D839" s="1" t="s">
        <v>224</v>
      </c>
      <c r="E839" s="1" t="s">
        <v>835</v>
      </c>
      <c r="F839" s="1" t="s">
        <v>6717</v>
      </c>
      <c r="G839" s="1" t="str">
        <f>IFERROR(VLOOKUP(A839,H_C!$A$2:$G$2628,7,0),"Validar HC")</f>
        <v>Martinez, Wendy</v>
      </c>
      <c r="H839" s="164">
        <v>1623501.0</v>
      </c>
      <c r="I839" s="1">
        <v>42.0</v>
      </c>
    </row>
    <row r="840" ht="15.75" customHeight="1">
      <c r="A840" s="1">
        <v>5155775.0</v>
      </c>
      <c r="B840" s="1" t="s">
        <v>3155</v>
      </c>
      <c r="C840" s="1" t="s">
        <v>3156</v>
      </c>
      <c r="D840" s="1" t="s">
        <v>224</v>
      </c>
      <c r="E840" s="1" t="s">
        <v>1348</v>
      </c>
      <c r="F840" s="1" t="s">
        <v>6717</v>
      </c>
      <c r="G840" s="1" t="str">
        <f>IFERROR(VLOOKUP(A840,H_C!$A$2:$G$2628,7,0),"Validar HC")</f>
        <v>Celi, Juan</v>
      </c>
      <c r="H840" s="164">
        <v>1623501.0</v>
      </c>
      <c r="I840" s="1">
        <v>42.0</v>
      </c>
    </row>
    <row r="841" ht="15.75" customHeight="1">
      <c r="A841" s="1">
        <v>5155777.0</v>
      </c>
      <c r="B841" s="1" t="s">
        <v>3159</v>
      </c>
      <c r="C841" s="1" t="s">
        <v>3160</v>
      </c>
      <c r="D841" s="1" t="s">
        <v>224</v>
      </c>
      <c r="E841" s="1" t="s">
        <v>1695</v>
      </c>
      <c r="F841" s="1" t="s">
        <v>6717</v>
      </c>
      <c r="G841" s="1" t="str">
        <f>IFERROR(VLOOKUP(A841,H_C!$A$2:$G$2628,7,0),"Validar HC")</f>
        <v>Ayala, Giselle</v>
      </c>
      <c r="H841" s="164">
        <v>1623501.0</v>
      </c>
      <c r="I841" s="1">
        <v>42.0</v>
      </c>
    </row>
    <row r="842" ht="15.75" customHeight="1">
      <c r="A842" s="1">
        <v>5155833.0</v>
      </c>
      <c r="B842" s="1" t="s">
        <v>1426</v>
      </c>
      <c r="C842" s="1" t="s">
        <v>1427</v>
      </c>
      <c r="D842" s="1" t="s">
        <v>224</v>
      </c>
      <c r="E842" s="1" t="s">
        <v>738</v>
      </c>
      <c r="F842" s="1" t="s">
        <v>6717</v>
      </c>
      <c r="G842" s="1" t="str">
        <f>IFERROR(VLOOKUP(A842,H_C!$A$2:$G$2628,7,0),"Validar HC")</f>
        <v>Garcia, Helmer</v>
      </c>
      <c r="H842" s="164">
        <v>1623501.0</v>
      </c>
      <c r="I842" s="1">
        <v>42.0</v>
      </c>
    </row>
    <row r="843" ht="15.75" customHeight="1">
      <c r="A843" s="1">
        <v>5155866.0</v>
      </c>
      <c r="B843" s="1" t="s">
        <v>3165</v>
      </c>
      <c r="C843" s="1" t="s">
        <v>3166</v>
      </c>
      <c r="D843" s="1" t="s">
        <v>224</v>
      </c>
      <c r="E843" s="1" t="s">
        <v>738</v>
      </c>
      <c r="F843" s="1" t="s">
        <v>6717</v>
      </c>
      <c r="G843" s="1" t="str">
        <f>IFERROR(VLOOKUP(A843,H_C!$A$2:$G$2628,7,0),"Validar HC")</f>
        <v>Garcia, Helmer</v>
      </c>
      <c r="H843" s="164">
        <v>1623501.0</v>
      </c>
      <c r="I843" s="1">
        <v>42.0</v>
      </c>
    </row>
    <row r="844" ht="15.75" customHeight="1">
      <c r="A844" s="1">
        <v>5159634.0</v>
      </c>
      <c r="B844" s="1" t="s">
        <v>3065</v>
      </c>
      <c r="C844" s="1" t="s">
        <v>3066</v>
      </c>
      <c r="D844" s="1" t="s">
        <v>224</v>
      </c>
      <c r="E844" s="1" t="s">
        <v>316</v>
      </c>
      <c r="F844" s="1" t="s">
        <v>6717</v>
      </c>
      <c r="G844" s="1" t="str">
        <f>IFERROR(VLOOKUP(A844,H_C!$A$2:$G$2628,7,0),"Validar HC")</f>
        <v>Osorio, Julian</v>
      </c>
      <c r="H844" s="164">
        <v>1623501.0</v>
      </c>
      <c r="I844" s="1">
        <v>42.0</v>
      </c>
    </row>
    <row r="845" ht="15.75" customHeight="1">
      <c r="A845" s="1">
        <v>5159670.0</v>
      </c>
      <c r="B845" s="1" t="s">
        <v>3171</v>
      </c>
      <c r="C845" s="1" t="s">
        <v>3172</v>
      </c>
      <c r="D845" s="1" t="s">
        <v>224</v>
      </c>
      <c r="E845" s="1" t="s">
        <v>847</v>
      </c>
      <c r="F845" s="1" t="s">
        <v>6717</v>
      </c>
      <c r="G845" s="1" t="str">
        <f>IFERROR(VLOOKUP(A845,H_C!$A$2:$G$2628,7,0),"Validar HC")</f>
        <v>Garatejo, Natalia</v>
      </c>
      <c r="H845" s="164">
        <v>1623501.0</v>
      </c>
      <c r="I845" s="1">
        <v>42.0</v>
      </c>
    </row>
    <row r="846" ht="15.75" customHeight="1">
      <c r="A846" s="1">
        <v>5159673.0</v>
      </c>
      <c r="B846" s="1" t="s">
        <v>3175</v>
      </c>
      <c r="C846" s="1" t="s">
        <v>3176</v>
      </c>
      <c r="D846" s="1" t="s">
        <v>224</v>
      </c>
      <c r="E846" s="1" t="s">
        <v>555</v>
      </c>
      <c r="F846" s="1" t="s">
        <v>6717</v>
      </c>
      <c r="G846" s="1" t="str">
        <f>IFERROR(VLOOKUP(A846,H_C!$A$2:$G$2628,7,0),"Validar HC")</f>
        <v>Ayala, Giselle</v>
      </c>
      <c r="H846" s="164">
        <v>1623501.0</v>
      </c>
      <c r="I846" s="1">
        <v>42.0</v>
      </c>
    </row>
    <row r="847" ht="15.75" customHeight="1">
      <c r="A847" s="1">
        <v>5159674.0</v>
      </c>
      <c r="B847" s="1" t="s">
        <v>3179</v>
      </c>
      <c r="C847" s="1" t="s">
        <v>3180</v>
      </c>
      <c r="D847" s="1" t="s">
        <v>224</v>
      </c>
      <c r="E847" s="1" t="s">
        <v>695</v>
      </c>
      <c r="F847" s="1" t="s">
        <v>6717</v>
      </c>
      <c r="G847" s="1" t="str">
        <f>IFERROR(VLOOKUP(A847,H_C!$A$2:$G$2628,7,0),"Validar HC")</f>
        <v>Ayala, Giselle</v>
      </c>
      <c r="H847" s="164">
        <v>1623501.0</v>
      </c>
      <c r="I847" s="1">
        <v>42.0</v>
      </c>
    </row>
    <row r="848" ht="15.75" customHeight="1">
      <c r="A848" s="1">
        <v>5159676.0</v>
      </c>
      <c r="B848" s="1" t="s">
        <v>3183</v>
      </c>
      <c r="C848" s="1" t="s">
        <v>3184</v>
      </c>
      <c r="D848" s="1" t="s">
        <v>224</v>
      </c>
      <c r="E848" s="1" t="s">
        <v>1746</v>
      </c>
      <c r="F848" s="1" t="s">
        <v>6717</v>
      </c>
      <c r="G848" s="1" t="str">
        <f>IFERROR(VLOOKUP(A848,H_C!$A$2:$G$2628,7,0),"Validar HC")</f>
        <v>Ayala, Giselle</v>
      </c>
      <c r="H848" s="164">
        <v>1623501.0</v>
      </c>
      <c r="I848" s="1">
        <v>42.0</v>
      </c>
    </row>
    <row r="849" ht="15.75" customHeight="1">
      <c r="A849" s="1">
        <v>5159678.0</v>
      </c>
      <c r="B849" s="1" t="s">
        <v>3187</v>
      </c>
      <c r="C849" s="1" t="s">
        <v>3188</v>
      </c>
      <c r="D849" s="1" t="s">
        <v>224</v>
      </c>
      <c r="E849" s="1" t="s">
        <v>478</v>
      </c>
      <c r="F849" s="1" t="s">
        <v>6717</v>
      </c>
      <c r="G849" s="1" t="str">
        <f>IFERROR(VLOOKUP(A849,H_C!$A$2:$G$2628,7,0),"Validar HC")</f>
        <v>Celi, Juan</v>
      </c>
      <c r="H849" s="164">
        <v>1623501.0</v>
      </c>
      <c r="I849" s="1">
        <v>42.0</v>
      </c>
    </row>
    <row r="850" ht="15.75" customHeight="1">
      <c r="A850" s="1">
        <v>5159686.0</v>
      </c>
      <c r="B850" s="1" t="s">
        <v>3191</v>
      </c>
      <c r="C850" s="1" t="s">
        <v>3192</v>
      </c>
      <c r="D850" s="1" t="s">
        <v>224</v>
      </c>
      <c r="E850" s="1" t="s">
        <v>695</v>
      </c>
      <c r="F850" s="1" t="s">
        <v>6717</v>
      </c>
      <c r="G850" s="1" t="str">
        <f>IFERROR(VLOOKUP(A850,H_C!$A$2:$G$2628,7,0),"Validar HC")</f>
        <v>Ayala, Giselle</v>
      </c>
      <c r="H850" s="164">
        <v>1623501.0</v>
      </c>
      <c r="I850" s="1">
        <v>42.0</v>
      </c>
    </row>
    <row r="851" ht="15.75" customHeight="1">
      <c r="A851" s="1">
        <v>5160658.0</v>
      </c>
      <c r="B851" s="1" t="s">
        <v>3195</v>
      </c>
      <c r="C851" s="1" t="s">
        <v>3196</v>
      </c>
      <c r="D851" s="1" t="s">
        <v>224</v>
      </c>
      <c r="E851" s="1" t="s">
        <v>478</v>
      </c>
      <c r="F851" s="1" t="s">
        <v>6717</v>
      </c>
      <c r="G851" s="1" t="str">
        <f>IFERROR(VLOOKUP(A851,H_C!$A$2:$G$2628,7,0),"Validar HC")</f>
        <v>Celi, Juan</v>
      </c>
      <c r="H851" s="164">
        <v>1623501.0</v>
      </c>
      <c r="I851" s="1">
        <v>42.0</v>
      </c>
    </row>
    <row r="852" ht="15.75" customHeight="1">
      <c r="A852" s="1">
        <v>5160825.0</v>
      </c>
      <c r="B852" s="1" t="s">
        <v>3199</v>
      </c>
      <c r="C852" s="1" t="s">
        <v>3200</v>
      </c>
      <c r="D852" s="1" t="s">
        <v>224</v>
      </c>
      <c r="E852" s="1" t="s">
        <v>232</v>
      </c>
      <c r="F852" s="1" t="s">
        <v>6717</v>
      </c>
      <c r="G852" s="1" t="str">
        <f>IFERROR(VLOOKUP(A852,H_C!$A$2:$G$2628,7,0),"Validar HC")</f>
        <v>Soler, Maria</v>
      </c>
      <c r="H852" s="164">
        <v>1623501.0</v>
      </c>
      <c r="I852" s="1">
        <v>42.0</v>
      </c>
    </row>
    <row r="853" ht="15.75" customHeight="1">
      <c r="A853" s="1">
        <v>5438085.0</v>
      </c>
      <c r="B853" s="1" t="s">
        <v>62</v>
      </c>
      <c r="C853" s="1" t="s">
        <v>1389</v>
      </c>
      <c r="D853" s="1" t="s">
        <v>224</v>
      </c>
      <c r="E853" s="1" t="s">
        <v>13</v>
      </c>
      <c r="F853" s="1" t="s">
        <v>6717</v>
      </c>
      <c r="G853" s="1" t="str">
        <f>IFERROR(VLOOKUP(A853,H_C!$A$2:$G$2628,7,0),"Validar HC")</f>
        <v>Ospina, Michel</v>
      </c>
      <c r="H853" s="162">
        <v>1600000.0</v>
      </c>
      <c r="I853" s="1">
        <v>42.0</v>
      </c>
    </row>
    <row r="854" ht="15.75" customHeight="1">
      <c r="A854" s="1">
        <v>5161630.0</v>
      </c>
      <c r="B854" s="1" t="s">
        <v>3205</v>
      </c>
      <c r="C854" s="1" t="s">
        <v>3206</v>
      </c>
      <c r="D854" s="1" t="s">
        <v>224</v>
      </c>
      <c r="E854" s="1" t="s">
        <v>994</v>
      </c>
      <c r="F854" s="1" t="s">
        <v>6717</v>
      </c>
      <c r="G854" s="1" t="str">
        <f>IFERROR(VLOOKUP(A854,H_C!$A$2:$G$2628,7,0),"Validar HC")</f>
        <v>Gonzalez, Cristian</v>
      </c>
      <c r="H854" s="164">
        <v>1623501.0</v>
      </c>
      <c r="I854" s="1">
        <v>42.0</v>
      </c>
    </row>
    <row r="855" ht="15.75" customHeight="1">
      <c r="A855" s="1">
        <v>5163132.0</v>
      </c>
      <c r="B855" s="1" t="s">
        <v>819</v>
      </c>
      <c r="C855" s="1" t="s">
        <v>820</v>
      </c>
      <c r="D855" s="1" t="s">
        <v>224</v>
      </c>
      <c r="E855" s="1" t="s">
        <v>246</v>
      </c>
      <c r="F855" s="1" t="s">
        <v>6717</v>
      </c>
      <c r="G855" s="1" t="str">
        <f>IFERROR(VLOOKUP(A855,H_C!$A$2:$G$2628,7,0),"Validar HC")</f>
        <v>Garcia, Helmer</v>
      </c>
      <c r="H855" s="164">
        <v>1623501.0</v>
      </c>
      <c r="I855" s="1">
        <v>42.0</v>
      </c>
    </row>
    <row r="856" ht="15.75" customHeight="1">
      <c r="A856" s="1">
        <v>5165807.0</v>
      </c>
      <c r="B856" s="1" t="s">
        <v>3209</v>
      </c>
      <c r="C856" s="1" t="s">
        <v>3210</v>
      </c>
      <c r="D856" s="1" t="s">
        <v>224</v>
      </c>
      <c r="E856" s="1" t="s">
        <v>549</v>
      </c>
      <c r="F856" s="1" t="s">
        <v>6717</v>
      </c>
      <c r="G856" s="1" t="str">
        <f>IFERROR(VLOOKUP(A856,H_C!$A$2:$G$2628,7,0),"Validar HC")</f>
        <v>Soler, Maria</v>
      </c>
      <c r="H856" s="164">
        <v>1623501.0</v>
      </c>
      <c r="I856" s="1">
        <v>42.0</v>
      </c>
    </row>
    <row r="857" ht="15.75" customHeight="1">
      <c r="A857" s="1">
        <v>5165915.0</v>
      </c>
      <c r="B857" s="1" t="s">
        <v>893</v>
      </c>
      <c r="C857" s="1" t="s">
        <v>894</v>
      </c>
      <c r="D857" s="1" t="s">
        <v>224</v>
      </c>
      <c r="E857" s="1" t="s">
        <v>118</v>
      </c>
      <c r="F857" s="1" t="s">
        <v>6717</v>
      </c>
      <c r="G857" s="1" t="str">
        <f>IFERROR(VLOOKUP(A857,H_C!$A$2:$G$2628,7,0),"Validar HC")</f>
        <v>Ospina, Michel</v>
      </c>
      <c r="H857" s="164">
        <v>1623501.0</v>
      </c>
      <c r="I857" s="1">
        <v>42.0</v>
      </c>
    </row>
    <row r="858" ht="15.75" customHeight="1">
      <c r="A858" s="1">
        <v>5168178.0</v>
      </c>
      <c r="B858" s="1" t="s">
        <v>3213</v>
      </c>
      <c r="C858" s="1" t="s">
        <v>3214</v>
      </c>
      <c r="D858" s="1" t="s">
        <v>224</v>
      </c>
      <c r="E858" s="1" t="s">
        <v>467</v>
      </c>
      <c r="F858" s="1" t="s">
        <v>6717</v>
      </c>
      <c r="G858" s="1" t="str">
        <f>IFERROR(VLOOKUP(A858,H_C!$A$2:$G$2628,7,0),"Validar HC")</f>
        <v>Martinez, Wendy</v>
      </c>
      <c r="H858" s="164">
        <v>1623501.0</v>
      </c>
      <c r="I858" s="1">
        <v>42.0</v>
      </c>
    </row>
    <row r="859" ht="15.75" customHeight="1">
      <c r="A859" s="1">
        <v>5168192.0</v>
      </c>
      <c r="B859" s="1" t="s">
        <v>3215</v>
      </c>
      <c r="C859" s="1" t="s">
        <v>3216</v>
      </c>
      <c r="D859" s="1" t="s">
        <v>224</v>
      </c>
      <c r="E859" s="1" t="s">
        <v>813</v>
      </c>
      <c r="F859" s="1" t="s">
        <v>6717</v>
      </c>
      <c r="G859" s="1" t="str">
        <f>IFERROR(VLOOKUP(A859,H_C!$A$2:$G$2628,7,0),"Validar HC")</f>
        <v>Garatejo, Natalia</v>
      </c>
      <c r="H859" s="164">
        <v>1623501.0</v>
      </c>
      <c r="I859" s="1">
        <v>42.0</v>
      </c>
    </row>
    <row r="860" ht="15.75" customHeight="1">
      <c r="A860" s="1">
        <v>5168268.0</v>
      </c>
      <c r="B860" s="1" t="s">
        <v>6750</v>
      </c>
      <c r="C860" s="1" t="s">
        <v>6751</v>
      </c>
      <c r="D860" s="1" t="s">
        <v>224</v>
      </c>
      <c r="E860" s="1" t="s">
        <v>329</v>
      </c>
      <c r="F860" s="1" t="s">
        <v>6717</v>
      </c>
      <c r="G860" s="1" t="str">
        <f>IFERROR(VLOOKUP(A860,H_C!$A$2:$G$2628,7,0),"Validar HC")</f>
        <v>Validar HC</v>
      </c>
      <c r="H860" s="164">
        <v>1623501.0</v>
      </c>
      <c r="I860" s="1">
        <v>42.0</v>
      </c>
    </row>
    <row r="861" ht="15.75" customHeight="1">
      <c r="A861" s="1">
        <v>5168270.0</v>
      </c>
      <c r="B861" s="1" t="s">
        <v>3221</v>
      </c>
      <c r="C861" s="1" t="s">
        <v>3222</v>
      </c>
      <c r="D861" s="1" t="s">
        <v>224</v>
      </c>
      <c r="E861" s="1" t="s">
        <v>800</v>
      </c>
      <c r="F861" s="1" t="s">
        <v>6717</v>
      </c>
      <c r="G861" s="1" t="str">
        <f>IFERROR(VLOOKUP(A861,H_C!$A$2:$G$2628,7,0),"Validar HC")</f>
        <v>Garatejo, Natalia</v>
      </c>
      <c r="H861" s="164">
        <v>1623501.0</v>
      </c>
      <c r="I861" s="1">
        <v>42.0</v>
      </c>
    </row>
    <row r="862" ht="15.75" customHeight="1">
      <c r="A862" s="1">
        <v>5171375.0</v>
      </c>
      <c r="B862" s="1" t="s">
        <v>3226</v>
      </c>
      <c r="C862" s="1" t="s">
        <v>3227</v>
      </c>
      <c r="D862" s="1" t="s">
        <v>224</v>
      </c>
      <c r="E862" s="1" t="s">
        <v>3225</v>
      </c>
      <c r="F862" s="1" t="s">
        <v>6717</v>
      </c>
      <c r="G862" s="1" t="str">
        <f>IFERROR(VLOOKUP(A862,H_C!$A$2:$G$2628,7,0),"Validar HC")</f>
        <v>Ayala, Giselle</v>
      </c>
      <c r="H862" s="164">
        <v>1623501.0</v>
      </c>
      <c r="I862" s="1">
        <v>42.0</v>
      </c>
    </row>
    <row r="863" ht="15.75" customHeight="1">
      <c r="A863" s="1">
        <v>5171382.0</v>
      </c>
      <c r="B863" s="1" t="s">
        <v>3230</v>
      </c>
      <c r="C863" s="1" t="s">
        <v>3231</v>
      </c>
      <c r="D863" s="1" t="s">
        <v>224</v>
      </c>
      <c r="E863" s="1" t="s">
        <v>374</v>
      </c>
      <c r="F863" s="1" t="s">
        <v>6717</v>
      </c>
      <c r="G863" s="1" t="str">
        <f>IFERROR(VLOOKUP(A863,H_C!$A$2:$G$2628,7,0),"Validar HC")</f>
        <v>Martinez, Wendy</v>
      </c>
      <c r="H863" s="164">
        <v>1623501.0</v>
      </c>
      <c r="I863" s="1">
        <v>42.0</v>
      </c>
    </row>
    <row r="864" ht="15.75" customHeight="1">
      <c r="A864" s="1">
        <v>5176030.0</v>
      </c>
      <c r="B864" s="1" t="s">
        <v>3234</v>
      </c>
      <c r="C864" s="1" t="s">
        <v>3235</v>
      </c>
      <c r="D864" s="1" t="s">
        <v>224</v>
      </c>
      <c r="E864" s="1" t="s">
        <v>1019</v>
      </c>
      <c r="F864" s="1" t="s">
        <v>6717</v>
      </c>
      <c r="G864" s="1" t="str">
        <f>IFERROR(VLOOKUP(A864,H_C!$A$2:$G$2628,7,0),"Validar HC")</f>
        <v>Celi, Juan</v>
      </c>
      <c r="H864" s="164">
        <v>1623501.0</v>
      </c>
      <c r="I864" s="1">
        <v>42.0</v>
      </c>
    </row>
    <row r="865" ht="15.75" customHeight="1">
      <c r="A865" s="1">
        <v>5176082.0</v>
      </c>
      <c r="B865" s="1" t="s">
        <v>3238</v>
      </c>
      <c r="C865" s="1" t="s">
        <v>3239</v>
      </c>
      <c r="D865" s="1" t="s">
        <v>224</v>
      </c>
      <c r="E865" s="1" t="s">
        <v>695</v>
      </c>
      <c r="F865" s="1" t="s">
        <v>6717</v>
      </c>
      <c r="G865" s="1" t="str">
        <f>IFERROR(VLOOKUP(A865,H_C!$A$2:$G$2628,7,0),"Validar HC")</f>
        <v>Ayala, Giselle</v>
      </c>
      <c r="H865" s="164">
        <v>1623501.0</v>
      </c>
      <c r="I865" s="1">
        <v>42.0</v>
      </c>
    </row>
    <row r="866" ht="15.75" customHeight="1">
      <c r="A866" s="1">
        <v>5176091.0</v>
      </c>
      <c r="B866" s="1" t="s">
        <v>6752</v>
      </c>
      <c r="C866" s="1" t="s">
        <v>6753</v>
      </c>
      <c r="D866" s="1" t="s">
        <v>224</v>
      </c>
      <c r="E866" s="1" t="s">
        <v>526</v>
      </c>
      <c r="F866" s="1" t="s">
        <v>6717</v>
      </c>
      <c r="G866" s="1" t="str">
        <f>IFERROR(VLOOKUP(A866,H_C!$A$2:$G$2628,7,0),"Validar HC")</f>
        <v>Validar HC</v>
      </c>
      <c r="H866" s="164">
        <v>1623501.0</v>
      </c>
      <c r="I866" s="1">
        <v>42.0</v>
      </c>
    </row>
    <row r="867" ht="15.75" customHeight="1">
      <c r="A867" s="1">
        <v>5176104.0</v>
      </c>
      <c r="B867" s="1" t="s">
        <v>3244</v>
      </c>
      <c r="C867" s="1" t="s">
        <v>3245</v>
      </c>
      <c r="D867" s="1" t="s">
        <v>224</v>
      </c>
      <c r="E867" s="1" t="s">
        <v>457</v>
      </c>
      <c r="F867" s="1" t="s">
        <v>6717</v>
      </c>
      <c r="G867" s="1" t="str">
        <f>IFERROR(VLOOKUP(A867,H_C!$A$2:$G$2628,7,0),"Validar HC")</f>
        <v>Celi, Juan</v>
      </c>
      <c r="H867" s="164">
        <v>1623501.0</v>
      </c>
      <c r="I867" s="1">
        <v>42.0</v>
      </c>
    </row>
    <row r="868" ht="15.75" customHeight="1">
      <c r="A868" s="1">
        <v>5176476.0</v>
      </c>
      <c r="B868" s="1" t="s">
        <v>3246</v>
      </c>
      <c r="C868" s="1" t="s">
        <v>3247</v>
      </c>
      <c r="D868" s="1" t="s">
        <v>224</v>
      </c>
      <c r="E868" s="1" t="s">
        <v>526</v>
      </c>
      <c r="F868" s="1" t="s">
        <v>6717</v>
      </c>
      <c r="G868" s="1" t="str">
        <f>IFERROR(VLOOKUP(A868,H_C!$A$2:$G$2628,7,0),"Validar HC")</f>
        <v>Martinez, Wendy</v>
      </c>
      <c r="H868" s="164">
        <v>1623501.0</v>
      </c>
      <c r="I868" s="1">
        <v>42.0</v>
      </c>
    </row>
    <row r="869" ht="15.75" customHeight="1">
      <c r="A869" s="1">
        <v>5177851.0</v>
      </c>
      <c r="B869" s="1" t="s">
        <v>1342</v>
      </c>
      <c r="C869" s="1" t="s">
        <v>1343</v>
      </c>
      <c r="D869" s="1" t="s">
        <v>224</v>
      </c>
      <c r="E869" s="1" t="s">
        <v>331</v>
      </c>
      <c r="F869" s="1" t="s">
        <v>6717</v>
      </c>
      <c r="G869" s="1" t="str">
        <f>IFERROR(VLOOKUP(A869,H_C!$A$2:$G$2628,7,0),"Validar HC")</f>
        <v>Parra, Jeimmy</v>
      </c>
      <c r="H869" s="164">
        <v>1623501.0</v>
      </c>
      <c r="I869" s="1">
        <v>42.0</v>
      </c>
    </row>
    <row r="870" ht="15.75" customHeight="1">
      <c r="A870" s="1">
        <v>5181985.0</v>
      </c>
      <c r="B870" s="1" t="s">
        <v>476</v>
      </c>
      <c r="C870" s="1" t="s">
        <v>477</v>
      </c>
      <c r="D870" s="1" t="s">
        <v>224</v>
      </c>
      <c r="E870" s="1" t="s">
        <v>232</v>
      </c>
      <c r="F870" s="1" t="s">
        <v>6717</v>
      </c>
      <c r="G870" s="1" t="str">
        <f>IFERROR(VLOOKUP(A870,H_C!$A$2:$G$2628,7,0),"Validar HC")</f>
        <v>Soler, Maria</v>
      </c>
      <c r="H870" s="164">
        <v>1623501.0</v>
      </c>
      <c r="I870" s="1">
        <v>42.0</v>
      </c>
    </row>
    <row r="871" ht="15.75" customHeight="1">
      <c r="A871" s="1">
        <v>5182004.0</v>
      </c>
      <c r="B871" s="1" t="s">
        <v>483</v>
      </c>
      <c r="C871" s="1" t="s">
        <v>484</v>
      </c>
      <c r="D871" s="1" t="s">
        <v>224</v>
      </c>
      <c r="E871" s="1" t="s">
        <v>232</v>
      </c>
      <c r="F871" s="1" t="s">
        <v>6717</v>
      </c>
      <c r="G871" s="1" t="str">
        <f>IFERROR(VLOOKUP(A871,H_C!$A$2:$G$2628,7,0),"Validar HC")</f>
        <v>Soler, Maria</v>
      </c>
      <c r="H871" s="164">
        <v>1623501.0</v>
      </c>
      <c r="I871" s="1">
        <v>42.0</v>
      </c>
    </row>
    <row r="872" ht="15.75" customHeight="1">
      <c r="A872" s="1">
        <v>5182008.0</v>
      </c>
      <c r="B872" s="1" t="s">
        <v>3250</v>
      </c>
      <c r="C872" s="1" t="s">
        <v>3251</v>
      </c>
      <c r="D872" s="1" t="s">
        <v>224</v>
      </c>
      <c r="E872" s="1" t="s">
        <v>232</v>
      </c>
      <c r="F872" s="1" t="s">
        <v>6717</v>
      </c>
      <c r="G872" s="1" t="str">
        <f>IFERROR(VLOOKUP(A872,H_C!$A$2:$G$2628,7,0),"Validar HC")</f>
        <v>Soler, Maria</v>
      </c>
      <c r="H872" s="164">
        <v>1623501.0</v>
      </c>
      <c r="I872" s="1">
        <v>42.0</v>
      </c>
    </row>
    <row r="873" ht="15.75" customHeight="1">
      <c r="A873" s="1">
        <v>5182011.0</v>
      </c>
      <c r="B873" s="1" t="s">
        <v>3254</v>
      </c>
      <c r="C873" s="1" t="s">
        <v>3255</v>
      </c>
      <c r="D873" s="1" t="s">
        <v>224</v>
      </c>
      <c r="E873" s="1" t="s">
        <v>232</v>
      </c>
      <c r="F873" s="1" t="s">
        <v>6717</v>
      </c>
      <c r="G873" s="1" t="str">
        <f>IFERROR(VLOOKUP(A873,H_C!$A$2:$G$2628,7,0),"Validar HC")</f>
        <v>Soler, Maria</v>
      </c>
      <c r="H873" s="164">
        <v>1623501.0</v>
      </c>
      <c r="I873" s="1">
        <v>42.0</v>
      </c>
    </row>
    <row r="874" ht="15.75" customHeight="1">
      <c r="A874" s="1">
        <v>5195113.0</v>
      </c>
      <c r="B874" s="1" t="s">
        <v>3075</v>
      </c>
      <c r="C874" s="1" t="s">
        <v>3076</v>
      </c>
      <c r="D874" s="1" t="s">
        <v>224</v>
      </c>
      <c r="E874" s="1" t="s">
        <v>1363</v>
      </c>
      <c r="F874" s="1" t="s">
        <v>6717</v>
      </c>
      <c r="G874" s="1" t="str">
        <f>IFERROR(VLOOKUP(A874,H_C!$A$2:$G$2628,7,0),"Validar HC")</f>
        <v>Osorio, Julian</v>
      </c>
      <c r="H874" s="164">
        <v>1623501.0</v>
      </c>
      <c r="I874" s="1">
        <v>42.0</v>
      </c>
    </row>
    <row r="875" ht="15.75" customHeight="1">
      <c r="A875" s="1">
        <v>5195116.0</v>
      </c>
      <c r="B875" s="1" t="s">
        <v>3035</v>
      </c>
      <c r="C875" s="1" t="s">
        <v>3036</v>
      </c>
      <c r="D875" s="1" t="s">
        <v>224</v>
      </c>
      <c r="E875" s="1" t="s">
        <v>1363</v>
      </c>
      <c r="F875" s="1" t="s">
        <v>6717</v>
      </c>
      <c r="G875" s="1" t="str">
        <f>IFERROR(VLOOKUP(A875,H_C!$A$2:$G$2628,7,0),"Validar HC")</f>
        <v>Osorio, Julian</v>
      </c>
      <c r="H875" s="164">
        <v>1623501.0</v>
      </c>
      <c r="I875" s="1">
        <v>42.0</v>
      </c>
    </row>
    <row r="876" ht="15.75" customHeight="1">
      <c r="A876" s="1">
        <v>5196593.0</v>
      </c>
      <c r="B876" s="1" t="s">
        <v>3262</v>
      </c>
      <c r="C876" s="1" t="s">
        <v>3263</v>
      </c>
      <c r="D876" s="1" t="s">
        <v>224</v>
      </c>
      <c r="E876" s="1" t="s">
        <v>232</v>
      </c>
      <c r="F876" s="1" t="s">
        <v>6717</v>
      </c>
      <c r="G876" s="1" t="str">
        <f>IFERROR(VLOOKUP(A876,H_C!$A$2:$G$2628,7,0),"Validar HC")</f>
        <v>Soler, Maria</v>
      </c>
      <c r="H876" s="164">
        <v>1623501.0</v>
      </c>
      <c r="I876" s="1">
        <v>42.0</v>
      </c>
    </row>
    <row r="877" ht="15.75" customHeight="1">
      <c r="A877" s="1">
        <v>5196597.0</v>
      </c>
      <c r="B877" s="1" t="s">
        <v>3264</v>
      </c>
      <c r="C877" s="1" t="s">
        <v>3265</v>
      </c>
      <c r="D877" s="1" t="s">
        <v>224</v>
      </c>
      <c r="E877" s="1" t="s">
        <v>841</v>
      </c>
      <c r="F877" s="1" t="s">
        <v>6717</v>
      </c>
      <c r="G877" s="1" t="str">
        <f>IFERROR(VLOOKUP(A877,H_C!$A$2:$G$2628,7,0),"Validar HC")</f>
        <v>Soler, Maria</v>
      </c>
      <c r="H877" s="164">
        <v>1623501.0</v>
      </c>
      <c r="I877" s="1">
        <v>42.0</v>
      </c>
    </row>
    <row r="878" ht="15.75" customHeight="1">
      <c r="A878" s="1">
        <v>5196607.0</v>
      </c>
      <c r="B878" s="1" t="s">
        <v>2845</v>
      </c>
      <c r="C878" s="1" t="s">
        <v>2846</v>
      </c>
      <c r="D878" s="1" t="s">
        <v>224</v>
      </c>
      <c r="E878" s="1" t="s">
        <v>232</v>
      </c>
      <c r="F878" s="1" t="s">
        <v>6717</v>
      </c>
      <c r="G878" s="1" t="str">
        <f>IFERROR(VLOOKUP(A878,H_C!$A$2:$G$2628,7,0),"Validar HC")</f>
        <v>Soler, Maria</v>
      </c>
      <c r="H878" s="164">
        <v>1623501.0</v>
      </c>
      <c r="I878" s="1">
        <v>42.0</v>
      </c>
    </row>
    <row r="879" ht="15.75" customHeight="1">
      <c r="A879" s="1">
        <v>5197065.0</v>
      </c>
      <c r="B879" s="1" t="s">
        <v>3268</v>
      </c>
      <c r="C879" s="1" t="s">
        <v>3269</v>
      </c>
      <c r="D879" s="1" t="s">
        <v>224</v>
      </c>
      <c r="E879" s="1" t="s">
        <v>841</v>
      </c>
      <c r="F879" s="1" t="s">
        <v>6717</v>
      </c>
      <c r="G879" s="1" t="str">
        <f>IFERROR(VLOOKUP(A879,H_C!$A$2:$G$2628,7,0),"Validar HC")</f>
        <v>Soler, Maria</v>
      </c>
      <c r="H879" s="164">
        <v>1623501.0</v>
      </c>
      <c r="I879" s="1">
        <v>42.0</v>
      </c>
    </row>
    <row r="880" ht="15.75" customHeight="1">
      <c r="A880" s="1">
        <v>5197878.0</v>
      </c>
      <c r="B880" s="1" t="s">
        <v>3272</v>
      </c>
      <c r="C880" s="1" t="s">
        <v>3273</v>
      </c>
      <c r="D880" s="1" t="s">
        <v>224</v>
      </c>
      <c r="E880" s="1" t="s">
        <v>841</v>
      </c>
      <c r="F880" s="1" t="s">
        <v>6717</v>
      </c>
      <c r="G880" s="1" t="str">
        <f>IFERROR(VLOOKUP(A880,H_C!$A$2:$G$2628,7,0),"Validar HC")</f>
        <v>Soler, Maria</v>
      </c>
      <c r="H880" s="164">
        <v>1623501.0</v>
      </c>
      <c r="I880" s="1">
        <v>42.0</v>
      </c>
    </row>
    <row r="881" ht="15.75" customHeight="1">
      <c r="A881" s="1">
        <v>5197890.0</v>
      </c>
      <c r="B881" s="1" t="s">
        <v>651</v>
      </c>
      <c r="C881" s="1" t="s">
        <v>652</v>
      </c>
      <c r="D881" s="1" t="s">
        <v>224</v>
      </c>
      <c r="E881" s="1" t="s">
        <v>239</v>
      </c>
      <c r="F881" s="1" t="s">
        <v>6717</v>
      </c>
      <c r="G881" s="1" t="str">
        <f>IFERROR(VLOOKUP(A881,H_C!$A$2:$G$2628,7,0),"Validar HC")</f>
        <v>Soler, Maria</v>
      </c>
      <c r="H881" s="164">
        <v>1623501.0</v>
      </c>
      <c r="I881" s="1">
        <v>42.0</v>
      </c>
    </row>
    <row r="882" ht="15.75" customHeight="1">
      <c r="A882" s="1">
        <v>5199433.0</v>
      </c>
      <c r="B882" s="1" t="s">
        <v>2948</v>
      </c>
      <c r="C882" s="1" t="s">
        <v>2949</v>
      </c>
      <c r="D882" s="1" t="s">
        <v>224</v>
      </c>
      <c r="E882" s="1" t="s">
        <v>1186</v>
      </c>
      <c r="F882" s="1" t="s">
        <v>6717</v>
      </c>
      <c r="G882" s="1" t="str">
        <f>IFERROR(VLOOKUP(A882,H_C!$A$2:$G$2628,7,0),"Validar HC")</f>
        <v>Soler, Maria</v>
      </c>
      <c r="H882" s="164">
        <v>1623501.0</v>
      </c>
      <c r="I882" s="1">
        <v>42.0</v>
      </c>
    </row>
    <row r="883" ht="15.75" customHeight="1">
      <c r="A883" s="1">
        <v>5200176.0</v>
      </c>
      <c r="B883" s="1" t="s">
        <v>6754</v>
      </c>
      <c r="C883" s="1" t="s">
        <v>6755</v>
      </c>
      <c r="D883" s="1" t="s">
        <v>224</v>
      </c>
      <c r="E883" s="1" t="s">
        <v>323</v>
      </c>
      <c r="F883" s="1" t="s">
        <v>6717</v>
      </c>
      <c r="G883" s="1" t="str">
        <f>IFERROR(VLOOKUP(A883,H_C!$A$2:$G$2628,7,0),"Validar HC")</f>
        <v>Validar HC</v>
      </c>
      <c r="H883" s="164">
        <v>1623501.0</v>
      </c>
      <c r="I883" s="1">
        <v>42.0</v>
      </c>
    </row>
    <row r="884" ht="15.75" customHeight="1">
      <c r="A884" s="1">
        <v>5200231.0</v>
      </c>
      <c r="B884" s="1" t="s">
        <v>3276</v>
      </c>
      <c r="C884" s="1" t="s">
        <v>3277</v>
      </c>
      <c r="D884" s="1" t="s">
        <v>224</v>
      </c>
      <c r="E884" s="1" t="s">
        <v>738</v>
      </c>
      <c r="F884" s="1" t="s">
        <v>6717</v>
      </c>
      <c r="G884" s="1" t="str">
        <f>IFERROR(VLOOKUP(A884,H_C!$A$2:$G$2628,7,0),"Validar HC")</f>
        <v>Garcia, Helmer</v>
      </c>
      <c r="H884" s="164">
        <v>1623501.0</v>
      </c>
      <c r="I884" s="1">
        <v>42.0</v>
      </c>
    </row>
    <row r="885" ht="15.75" customHeight="1">
      <c r="A885" s="1">
        <v>5200517.0</v>
      </c>
      <c r="B885" s="1" t="s">
        <v>3278</v>
      </c>
      <c r="C885" s="1" t="s">
        <v>3279</v>
      </c>
      <c r="D885" s="1" t="s">
        <v>224</v>
      </c>
      <c r="E885" s="1" t="s">
        <v>467</v>
      </c>
      <c r="F885" s="1" t="s">
        <v>6717</v>
      </c>
      <c r="G885" s="1" t="str">
        <f>IFERROR(VLOOKUP(A885,H_C!$A$2:$G$2628,7,0),"Validar HC")</f>
        <v>Martinez, Wendy</v>
      </c>
      <c r="H885" s="164">
        <v>1623501.0</v>
      </c>
      <c r="I885" s="1">
        <v>42.0</v>
      </c>
    </row>
    <row r="886" ht="15.75" customHeight="1">
      <c r="A886" s="1">
        <v>5206550.0</v>
      </c>
      <c r="B886" s="1" t="s">
        <v>3280</v>
      </c>
      <c r="C886" s="1" t="s">
        <v>3281</v>
      </c>
      <c r="D886" s="1" t="s">
        <v>224</v>
      </c>
      <c r="E886" s="1" t="s">
        <v>632</v>
      </c>
      <c r="F886" s="1" t="s">
        <v>6717</v>
      </c>
      <c r="G886" s="1" t="str">
        <f>IFERROR(VLOOKUP(A886,H_C!$A$2:$G$2628,7,0),"Validar HC")</f>
        <v>Gonzalez, Cristian</v>
      </c>
      <c r="H886" s="164">
        <v>1623501.0</v>
      </c>
      <c r="I886" s="1">
        <v>42.0</v>
      </c>
    </row>
    <row r="887" ht="15.75" customHeight="1">
      <c r="A887" s="1">
        <v>5213920.0</v>
      </c>
      <c r="B887" s="1" t="s">
        <v>3284</v>
      </c>
      <c r="C887" s="1" t="s">
        <v>3285</v>
      </c>
      <c r="D887" s="1" t="s">
        <v>224</v>
      </c>
      <c r="E887" s="1" t="s">
        <v>549</v>
      </c>
      <c r="F887" s="1" t="s">
        <v>6717</v>
      </c>
      <c r="G887" s="1" t="str">
        <f>IFERROR(VLOOKUP(A887,H_C!$A$2:$G$2628,7,0),"Validar HC")</f>
        <v>Soler, Maria</v>
      </c>
      <c r="H887" s="164">
        <v>1623501.0</v>
      </c>
      <c r="I887" s="1">
        <v>42.0</v>
      </c>
    </row>
    <row r="888" ht="15.75" customHeight="1">
      <c r="A888" s="1">
        <v>5213959.0</v>
      </c>
      <c r="B888" s="1" t="s">
        <v>3288</v>
      </c>
      <c r="C888" s="1" t="s">
        <v>3289</v>
      </c>
      <c r="D888" s="1" t="s">
        <v>224</v>
      </c>
      <c r="E888" s="1" t="s">
        <v>549</v>
      </c>
      <c r="F888" s="1" t="s">
        <v>6717</v>
      </c>
      <c r="G888" s="1" t="str">
        <f>IFERROR(VLOOKUP(A888,H_C!$A$2:$G$2628,7,0),"Validar HC")</f>
        <v>Soler, Maria</v>
      </c>
      <c r="H888" s="164">
        <v>1623501.0</v>
      </c>
      <c r="I888" s="1">
        <v>42.0</v>
      </c>
    </row>
    <row r="889" ht="15.75" customHeight="1">
      <c r="A889" s="1">
        <v>5216521.0</v>
      </c>
      <c r="B889" s="1" t="s">
        <v>3290</v>
      </c>
      <c r="C889" s="1" t="s">
        <v>3291</v>
      </c>
      <c r="D889" s="1" t="s">
        <v>224</v>
      </c>
      <c r="E889" s="1" t="s">
        <v>1695</v>
      </c>
      <c r="F889" s="1" t="s">
        <v>6717</v>
      </c>
      <c r="G889" s="1" t="str">
        <f>IFERROR(VLOOKUP(A889,H_C!$A$2:$G$2628,7,0),"Validar HC")</f>
        <v>Ayala, Giselle</v>
      </c>
      <c r="H889" s="164">
        <v>1623501.0</v>
      </c>
      <c r="I889" s="1">
        <v>42.0</v>
      </c>
    </row>
    <row r="890" ht="15.75" customHeight="1">
      <c r="A890" s="1">
        <v>5216564.0</v>
      </c>
      <c r="B890" s="1" t="s">
        <v>3292</v>
      </c>
      <c r="C890" s="1" t="s">
        <v>3293</v>
      </c>
      <c r="D890" s="1" t="s">
        <v>224</v>
      </c>
      <c r="E890" s="1" t="s">
        <v>1791</v>
      </c>
      <c r="F890" s="1" t="s">
        <v>6717</v>
      </c>
      <c r="G890" s="1" t="str">
        <f>IFERROR(VLOOKUP(A890,H_C!$A$2:$G$2628,7,0),"Validar HC")</f>
        <v>Garcia, Helmer</v>
      </c>
      <c r="H890" s="164">
        <v>1623501.0</v>
      </c>
      <c r="I890" s="1">
        <v>42.0</v>
      </c>
    </row>
    <row r="891" ht="15.75" customHeight="1">
      <c r="A891" s="1">
        <v>5216565.0</v>
      </c>
      <c r="B891" s="1" t="s">
        <v>2004</v>
      </c>
      <c r="C891" s="1" t="s">
        <v>2005</v>
      </c>
      <c r="D891" s="1" t="s">
        <v>224</v>
      </c>
      <c r="E891" s="1" t="s">
        <v>316</v>
      </c>
      <c r="F891" s="1" t="s">
        <v>6717</v>
      </c>
      <c r="G891" s="1" t="str">
        <f>IFERROR(VLOOKUP(A891,H_C!$A$2:$G$2628,7,0),"Validar HC")</f>
        <v>Osorio, Julian</v>
      </c>
      <c r="H891" s="164">
        <v>1623501.0</v>
      </c>
      <c r="I891" s="1">
        <v>42.0</v>
      </c>
    </row>
    <row r="892" ht="15.75" customHeight="1">
      <c r="A892" s="1">
        <v>5216576.0</v>
      </c>
      <c r="B892" s="1" t="s">
        <v>3073</v>
      </c>
      <c r="C892" s="1" t="s">
        <v>3074</v>
      </c>
      <c r="D892" s="1" t="s">
        <v>224</v>
      </c>
      <c r="E892" s="1" t="s">
        <v>316</v>
      </c>
      <c r="F892" s="1" t="s">
        <v>6717</v>
      </c>
      <c r="G892" s="1" t="str">
        <f>IFERROR(VLOOKUP(A892,H_C!$A$2:$G$2628,7,0),"Validar HC")</f>
        <v>Osorio, Julian</v>
      </c>
      <c r="H892" s="164">
        <v>1623501.0</v>
      </c>
      <c r="I892" s="1">
        <v>42.0</v>
      </c>
    </row>
    <row r="893" ht="15.75" customHeight="1">
      <c r="A893" s="1">
        <v>5216577.0</v>
      </c>
      <c r="B893" s="1" t="s">
        <v>3300</v>
      </c>
      <c r="C893" s="1" t="s">
        <v>3301</v>
      </c>
      <c r="D893" s="1" t="s">
        <v>224</v>
      </c>
      <c r="E893" s="1" t="s">
        <v>1695</v>
      </c>
      <c r="F893" s="1" t="s">
        <v>6717</v>
      </c>
      <c r="G893" s="1" t="str">
        <f>IFERROR(VLOOKUP(A893,H_C!$A$2:$G$2628,7,0),"Validar HC")</f>
        <v>Ayala, Giselle</v>
      </c>
      <c r="H893" s="164">
        <v>1623501.0</v>
      </c>
      <c r="I893" s="1">
        <v>42.0</v>
      </c>
    </row>
    <row r="894" ht="15.75" customHeight="1">
      <c r="A894" s="1">
        <v>5217982.0</v>
      </c>
      <c r="B894" s="1" t="s">
        <v>3304</v>
      </c>
      <c r="C894" s="1" t="s">
        <v>3305</v>
      </c>
      <c r="D894" s="1" t="s">
        <v>224</v>
      </c>
      <c r="E894" s="1" t="s">
        <v>316</v>
      </c>
      <c r="F894" s="1" t="s">
        <v>6717</v>
      </c>
      <c r="G894" s="1" t="str">
        <f>IFERROR(VLOOKUP(A894,H_C!$A$2:$G$2628,7,0),"Validar HC")</f>
        <v>Osorio, Julian</v>
      </c>
      <c r="H894" s="164">
        <v>1623501.0</v>
      </c>
      <c r="I894" s="1">
        <v>42.0</v>
      </c>
    </row>
    <row r="895" ht="15.75" customHeight="1">
      <c r="A895" s="1">
        <v>5218652.0</v>
      </c>
      <c r="B895" s="1" t="s">
        <v>3308</v>
      </c>
      <c r="C895" s="1" t="s">
        <v>3309</v>
      </c>
      <c r="D895" s="1" t="s">
        <v>224</v>
      </c>
      <c r="E895" s="1" t="s">
        <v>549</v>
      </c>
      <c r="F895" s="1" t="s">
        <v>6717</v>
      </c>
      <c r="G895" s="1" t="str">
        <f>IFERROR(VLOOKUP(A895,H_C!$A$2:$G$2628,7,0),"Validar HC")</f>
        <v>Soler, Maria</v>
      </c>
      <c r="H895" s="164">
        <v>1623501.0</v>
      </c>
      <c r="I895" s="1">
        <v>42.0</v>
      </c>
    </row>
    <row r="896" ht="15.75" customHeight="1">
      <c r="A896" s="1">
        <v>5221680.0</v>
      </c>
      <c r="B896" s="1" t="s">
        <v>3312</v>
      </c>
      <c r="C896" s="1" t="s">
        <v>3313</v>
      </c>
      <c r="D896" s="1" t="s">
        <v>224</v>
      </c>
      <c r="E896" s="1" t="s">
        <v>246</v>
      </c>
      <c r="F896" s="1" t="s">
        <v>6717</v>
      </c>
      <c r="G896" s="1" t="str">
        <f>IFERROR(VLOOKUP(A896,H_C!$A$2:$G$2628,7,0),"Validar HC")</f>
        <v>Garcia, Helmer</v>
      </c>
      <c r="H896" s="164">
        <v>1623501.0</v>
      </c>
      <c r="I896" s="1">
        <v>42.0</v>
      </c>
    </row>
    <row r="897" ht="15.75" customHeight="1">
      <c r="A897" s="1">
        <v>5230624.0</v>
      </c>
      <c r="B897" s="1" t="s">
        <v>3314</v>
      </c>
      <c r="C897" s="1" t="s">
        <v>3315</v>
      </c>
      <c r="D897" s="1" t="s">
        <v>224</v>
      </c>
      <c r="E897" s="1" t="s">
        <v>3225</v>
      </c>
      <c r="F897" s="1" t="s">
        <v>6717</v>
      </c>
      <c r="G897" s="1" t="str">
        <f>IFERROR(VLOOKUP(A897,H_C!$A$2:$G$2628,7,0),"Validar HC")</f>
        <v>Ayala, Giselle</v>
      </c>
      <c r="H897" s="164">
        <v>1623501.0</v>
      </c>
      <c r="I897" s="1">
        <v>42.0</v>
      </c>
    </row>
    <row r="898" ht="15.75" customHeight="1">
      <c r="A898" s="1">
        <v>5233818.0</v>
      </c>
      <c r="B898" s="1" t="s">
        <v>3316</v>
      </c>
      <c r="C898" s="1" t="s">
        <v>3317</v>
      </c>
      <c r="D898" s="1" t="s">
        <v>224</v>
      </c>
      <c r="E898" s="1" t="s">
        <v>316</v>
      </c>
      <c r="F898" s="1" t="s">
        <v>6717</v>
      </c>
      <c r="G898" s="1" t="str">
        <f>IFERROR(VLOOKUP(A898,H_C!$A$2:$G$2628,7,0),"Validar HC")</f>
        <v>Osorio, Julian</v>
      </c>
      <c r="H898" s="164">
        <v>1623501.0</v>
      </c>
      <c r="I898" s="1">
        <v>42.0</v>
      </c>
    </row>
    <row r="899" ht="15.75" customHeight="1">
      <c r="A899" s="1">
        <v>5233835.0</v>
      </c>
      <c r="B899" s="1" t="s">
        <v>2166</v>
      </c>
      <c r="C899" s="1" t="s">
        <v>2167</v>
      </c>
      <c r="D899" s="1" t="s">
        <v>224</v>
      </c>
      <c r="E899" s="1" t="s">
        <v>246</v>
      </c>
      <c r="F899" s="1" t="s">
        <v>6717</v>
      </c>
      <c r="G899" s="1" t="str">
        <f>IFERROR(VLOOKUP(A899,H_C!$A$2:$G$2628,7,0),"Validar HC")</f>
        <v>Garcia, Helmer</v>
      </c>
      <c r="H899" s="164">
        <v>1623501.0</v>
      </c>
      <c r="I899" s="1">
        <v>42.0</v>
      </c>
    </row>
    <row r="900" ht="15.75" customHeight="1">
      <c r="A900" s="1">
        <v>5233836.0</v>
      </c>
      <c r="B900" s="1" t="s">
        <v>1834</v>
      </c>
      <c r="C900" s="1" t="s">
        <v>1835</v>
      </c>
      <c r="D900" s="1" t="s">
        <v>224</v>
      </c>
      <c r="E900" s="1" t="s">
        <v>835</v>
      </c>
      <c r="F900" s="1" t="s">
        <v>6717</v>
      </c>
      <c r="G900" s="1" t="str">
        <f>IFERROR(VLOOKUP(A900,H_C!$A$2:$G$2628,7,0),"Validar HC")</f>
        <v>Martinez, Wendy</v>
      </c>
      <c r="H900" s="164">
        <v>1623501.0</v>
      </c>
      <c r="I900" s="1">
        <v>42.0</v>
      </c>
    </row>
    <row r="901" ht="15.75" customHeight="1">
      <c r="A901" s="1">
        <v>5236447.0</v>
      </c>
      <c r="B901" s="1" t="s">
        <v>3322</v>
      </c>
      <c r="C901" s="1" t="s">
        <v>3323</v>
      </c>
      <c r="D901" s="1" t="s">
        <v>224</v>
      </c>
      <c r="E901" s="1" t="s">
        <v>676</v>
      </c>
      <c r="F901" s="1" t="s">
        <v>6717</v>
      </c>
      <c r="G901" s="1" t="str">
        <f>IFERROR(VLOOKUP(A901,H_C!$A$2:$G$2628,7,0),"Validar HC")</f>
        <v>Garatejo, Natalia</v>
      </c>
      <c r="H901" s="164">
        <v>1623501.0</v>
      </c>
      <c r="I901" s="1">
        <v>42.0</v>
      </c>
    </row>
    <row r="902" ht="15.75" customHeight="1">
      <c r="A902" s="1">
        <v>5236449.0</v>
      </c>
      <c r="B902" s="1" t="s">
        <v>3324</v>
      </c>
      <c r="C902" s="1" t="s">
        <v>3325</v>
      </c>
      <c r="D902" s="1" t="s">
        <v>224</v>
      </c>
      <c r="E902" s="1" t="s">
        <v>676</v>
      </c>
      <c r="F902" s="1" t="s">
        <v>6717</v>
      </c>
      <c r="G902" s="1" t="str">
        <f>IFERROR(VLOOKUP(A902,H_C!$A$2:$G$2628,7,0),"Validar HC")</f>
        <v>Garatejo, Natalia</v>
      </c>
      <c r="H902" s="164">
        <v>1623501.0</v>
      </c>
      <c r="I902" s="1">
        <v>42.0</v>
      </c>
    </row>
    <row r="903" ht="15.75" customHeight="1">
      <c r="A903" s="1">
        <v>5236452.0</v>
      </c>
      <c r="B903" s="1" t="s">
        <v>3328</v>
      </c>
      <c r="C903" s="1" t="s">
        <v>3329</v>
      </c>
      <c r="D903" s="1" t="s">
        <v>224</v>
      </c>
      <c r="E903" s="1" t="s">
        <v>412</v>
      </c>
      <c r="F903" s="1" t="s">
        <v>6717</v>
      </c>
      <c r="G903" s="1" t="str">
        <f>IFERROR(VLOOKUP(A903,H_C!$A$2:$G$2628,7,0),"Validar HC")</f>
        <v>Ospina, Michel</v>
      </c>
      <c r="H903" s="164">
        <v>1623501.0</v>
      </c>
      <c r="I903" s="1">
        <v>42.0</v>
      </c>
    </row>
    <row r="904" ht="15.75" customHeight="1">
      <c r="A904" s="1">
        <v>5236454.0</v>
      </c>
      <c r="B904" s="1" t="s">
        <v>3332</v>
      </c>
      <c r="C904" s="1" t="s">
        <v>3333</v>
      </c>
      <c r="D904" s="1" t="s">
        <v>224</v>
      </c>
      <c r="E904" s="1" t="s">
        <v>676</v>
      </c>
      <c r="F904" s="1" t="s">
        <v>6717</v>
      </c>
      <c r="G904" s="1" t="str">
        <f>IFERROR(VLOOKUP(A904,H_C!$A$2:$G$2628,7,0),"Validar HC")</f>
        <v>Garatejo, Natalia</v>
      </c>
      <c r="H904" s="164">
        <v>1623501.0</v>
      </c>
      <c r="I904" s="1">
        <v>42.0</v>
      </c>
    </row>
    <row r="905" ht="15.75" customHeight="1">
      <c r="A905" s="1">
        <v>5240310.0</v>
      </c>
      <c r="B905" s="1" t="s">
        <v>2283</v>
      </c>
      <c r="C905" s="1" t="s">
        <v>2284</v>
      </c>
      <c r="D905" s="1" t="s">
        <v>224</v>
      </c>
      <c r="E905" s="1" t="s">
        <v>986</v>
      </c>
      <c r="F905" s="1" t="s">
        <v>6717</v>
      </c>
      <c r="G905" s="1" t="str">
        <f>IFERROR(VLOOKUP(A905,H_C!$A$2:$G$2628,7,0),"Validar HC")</f>
        <v>Garatejo, Natalia</v>
      </c>
      <c r="H905" s="164">
        <v>1623501.0</v>
      </c>
      <c r="I905" s="1">
        <v>42.0</v>
      </c>
    </row>
    <row r="906" ht="15.75" customHeight="1">
      <c r="A906" s="1">
        <v>5242522.0</v>
      </c>
      <c r="B906" s="1" t="s">
        <v>3039</v>
      </c>
      <c r="C906" s="1" t="s">
        <v>3040</v>
      </c>
      <c r="D906" s="1" t="s">
        <v>224</v>
      </c>
      <c r="E906" s="1" t="s">
        <v>316</v>
      </c>
      <c r="F906" s="1" t="s">
        <v>6717</v>
      </c>
      <c r="G906" s="1" t="str">
        <f>IFERROR(VLOOKUP(A906,H_C!$A$2:$G$2628,7,0),"Validar HC")</f>
        <v>Osorio, Julian</v>
      </c>
      <c r="H906" s="164">
        <v>1623501.0</v>
      </c>
      <c r="I906" s="1">
        <v>42.0</v>
      </c>
    </row>
    <row r="907" ht="15.75" customHeight="1">
      <c r="A907" s="1">
        <v>5248919.0</v>
      </c>
      <c r="B907" s="1" t="s">
        <v>3342</v>
      </c>
      <c r="C907" s="1" t="s">
        <v>3343</v>
      </c>
      <c r="D907" s="1" t="s">
        <v>224</v>
      </c>
      <c r="E907" s="1" t="s">
        <v>522</v>
      </c>
      <c r="F907" s="1" t="s">
        <v>6717</v>
      </c>
      <c r="G907" s="1" t="str">
        <f>IFERROR(VLOOKUP(A907,H_C!$A$2:$G$2628,7,0),"Validar HC")</f>
        <v>Martinez, Wendy</v>
      </c>
      <c r="H907" s="164">
        <v>1623501.0</v>
      </c>
      <c r="I907" s="1">
        <v>42.0</v>
      </c>
    </row>
    <row r="908" ht="15.75" customHeight="1">
      <c r="A908" s="1">
        <v>5248921.0</v>
      </c>
      <c r="B908" s="1" t="s">
        <v>3346</v>
      </c>
      <c r="C908" s="1" t="s">
        <v>3347</v>
      </c>
      <c r="D908" s="1" t="s">
        <v>224</v>
      </c>
      <c r="E908" s="1" t="s">
        <v>835</v>
      </c>
      <c r="F908" s="1" t="s">
        <v>6717</v>
      </c>
      <c r="G908" s="1" t="str">
        <f>IFERROR(VLOOKUP(A908,H_C!$A$2:$G$2628,7,0),"Validar HC")</f>
        <v>Martinez, Wendy</v>
      </c>
      <c r="H908" s="164">
        <v>1623501.0</v>
      </c>
      <c r="I908" s="1">
        <v>42.0</v>
      </c>
    </row>
    <row r="909" ht="15.75" customHeight="1">
      <c r="A909" s="1">
        <v>5248926.0</v>
      </c>
      <c r="B909" s="1" t="s">
        <v>2077</v>
      </c>
      <c r="C909" s="1" t="s">
        <v>2078</v>
      </c>
      <c r="D909" s="1" t="s">
        <v>224</v>
      </c>
      <c r="E909" s="1" t="s">
        <v>323</v>
      </c>
      <c r="F909" s="1" t="s">
        <v>6717</v>
      </c>
      <c r="G909" s="1" t="str">
        <f>IFERROR(VLOOKUP(A909,H_C!$A$2:$G$2628,7,0),"Validar HC")</f>
        <v>Martinez, Wendy</v>
      </c>
      <c r="H909" s="164">
        <v>1623501.0</v>
      </c>
      <c r="I909" s="1">
        <v>42.0</v>
      </c>
    </row>
    <row r="910" ht="15.75" customHeight="1">
      <c r="A910" s="1">
        <v>5248999.0</v>
      </c>
      <c r="B910" s="1" t="s">
        <v>3352</v>
      </c>
      <c r="C910" s="1" t="s">
        <v>3353</v>
      </c>
      <c r="D910" s="1" t="s">
        <v>224</v>
      </c>
      <c r="E910" s="1" t="s">
        <v>485</v>
      </c>
      <c r="F910" s="1" t="s">
        <v>6717</v>
      </c>
      <c r="G910" s="1" t="str">
        <f>IFERROR(VLOOKUP(A910,H_C!$A$2:$G$2628,7,0),"Validar HC")</f>
        <v>Martinez, Wendy</v>
      </c>
      <c r="H910" s="164">
        <v>1623501.0</v>
      </c>
      <c r="I910" s="1">
        <v>42.0</v>
      </c>
    </row>
    <row r="911" ht="15.75" customHeight="1">
      <c r="A911" s="1">
        <v>5249001.0</v>
      </c>
      <c r="B911" s="1" t="s">
        <v>3356</v>
      </c>
      <c r="C911" s="1" t="s">
        <v>3357</v>
      </c>
      <c r="D911" s="1" t="s">
        <v>224</v>
      </c>
      <c r="E911" s="1" t="s">
        <v>1791</v>
      </c>
      <c r="F911" s="1" t="s">
        <v>6717</v>
      </c>
      <c r="G911" s="1" t="str">
        <f>IFERROR(VLOOKUP(A911,H_C!$A$2:$G$2628,7,0),"Validar HC")</f>
        <v>Garcia, Helmer</v>
      </c>
      <c r="H911" s="164">
        <v>1623501.0</v>
      </c>
      <c r="I911" s="1">
        <v>42.0</v>
      </c>
    </row>
    <row r="912" ht="15.75" customHeight="1">
      <c r="A912" s="1">
        <v>5249212.0</v>
      </c>
      <c r="B912" s="1" t="s">
        <v>2675</v>
      </c>
      <c r="C912" s="1" t="s">
        <v>2676</v>
      </c>
      <c r="D912" s="1" t="s">
        <v>224</v>
      </c>
      <c r="E912" s="1" t="s">
        <v>478</v>
      </c>
      <c r="F912" s="1" t="s">
        <v>6717</v>
      </c>
      <c r="G912" s="1" t="str">
        <f>IFERROR(VLOOKUP(A912,H_C!$A$2:$G$2628,7,0),"Validar HC")</f>
        <v>Celi, Juan</v>
      </c>
      <c r="H912" s="164">
        <v>1623501.0</v>
      </c>
      <c r="I912" s="1">
        <v>42.0</v>
      </c>
    </row>
    <row r="913" ht="15.75" customHeight="1">
      <c r="A913" s="1">
        <v>5249226.0</v>
      </c>
      <c r="B913" s="1" t="s">
        <v>1996</v>
      </c>
      <c r="C913" s="1" t="s">
        <v>1997</v>
      </c>
      <c r="D913" s="1" t="s">
        <v>224</v>
      </c>
      <c r="E913" s="1" t="s">
        <v>316</v>
      </c>
      <c r="F913" s="1" t="s">
        <v>6717</v>
      </c>
      <c r="G913" s="1" t="str">
        <f>IFERROR(VLOOKUP(A913,H_C!$A$2:$G$2628,7,0),"Validar HC")</f>
        <v>Osorio, Julian</v>
      </c>
      <c r="H913" s="164">
        <v>1623501.0</v>
      </c>
      <c r="I913" s="1">
        <v>42.0</v>
      </c>
    </row>
    <row r="914" ht="15.75" customHeight="1">
      <c r="A914" s="1">
        <v>5249227.0</v>
      </c>
      <c r="B914" s="1" t="s">
        <v>3358</v>
      </c>
      <c r="C914" s="1" t="s">
        <v>3359</v>
      </c>
      <c r="D914" s="1" t="s">
        <v>224</v>
      </c>
      <c r="E914" s="1" t="s">
        <v>794</v>
      </c>
      <c r="F914" s="1" t="s">
        <v>6717</v>
      </c>
      <c r="G914" s="1" t="str">
        <f>IFERROR(VLOOKUP(A914,H_C!$A$2:$G$2628,7,0),"Validar HC")</f>
        <v>Osorio, Julian</v>
      </c>
      <c r="H914" s="164">
        <v>1623501.0</v>
      </c>
      <c r="I914" s="1">
        <v>42.0</v>
      </c>
    </row>
    <row r="915" ht="15.75" customHeight="1">
      <c r="A915" s="1">
        <v>5251349.0</v>
      </c>
      <c r="B915" s="1" t="s">
        <v>1512</v>
      </c>
      <c r="C915" s="1" t="s">
        <v>1514</v>
      </c>
      <c r="D915" s="1" t="s">
        <v>224</v>
      </c>
      <c r="E915" s="1" t="s">
        <v>478</v>
      </c>
      <c r="F915" s="1" t="s">
        <v>6717</v>
      </c>
      <c r="G915" s="1" t="str">
        <f>IFERROR(VLOOKUP(A915,H_C!$A$2:$G$2628,7,0),"Validar HC")</f>
        <v>Celi, Juan</v>
      </c>
      <c r="H915" s="164">
        <v>1623501.0</v>
      </c>
      <c r="I915" s="1">
        <v>42.0</v>
      </c>
    </row>
    <row r="916" ht="15.75" customHeight="1">
      <c r="A916" s="1">
        <v>5251351.0</v>
      </c>
      <c r="B916" s="1" t="s">
        <v>3362</v>
      </c>
      <c r="C916" s="1" t="s">
        <v>3363</v>
      </c>
      <c r="D916" s="1" t="s">
        <v>224</v>
      </c>
      <c r="E916" s="1" t="s">
        <v>478</v>
      </c>
      <c r="F916" s="1" t="s">
        <v>6717</v>
      </c>
      <c r="G916" s="1" t="str">
        <f>IFERROR(VLOOKUP(A916,H_C!$A$2:$G$2628,7,0),"Validar HC")</f>
        <v>Celi, Juan</v>
      </c>
      <c r="H916" s="164">
        <v>1623501.0</v>
      </c>
      <c r="I916" s="1">
        <v>42.0</v>
      </c>
    </row>
    <row r="917" ht="15.75" customHeight="1">
      <c r="A917" s="1">
        <v>5251429.0</v>
      </c>
      <c r="B917" s="1" t="s">
        <v>2687</v>
      </c>
      <c r="C917" s="1" t="s">
        <v>2688</v>
      </c>
      <c r="D917" s="1" t="s">
        <v>224</v>
      </c>
      <c r="E917" s="1" t="s">
        <v>478</v>
      </c>
      <c r="F917" s="1" t="s">
        <v>6717</v>
      </c>
      <c r="G917" s="1" t="str">
        <f>IFERROR(VLOOKUP(A917,H_C!$A$2:$G$2628,7,0),"Validar HC")</f>
        <v>Celi, Juan</v>
      </c>
      <c r="H917" s="164">
        <v>1623501.0</v>
      </c>
      <c r="I917" s="1">
        <v>42.0</v>
      </c>
    </row>
    <row r="918" ht="15.75" customHeight="1">
      <c r="A918" s="1">
        <v>5255702.0</v>
      </c>
      <c r="B918" s="1" t="s">
        <v>2288</v>
      </c>
      <c r="C918" s="1" t="s">
        <v>2289</v>
      </c>
      <c r="D918" s="1" t="s">
        <v>224</v>
      </c>
      <c r="E918" s="1" t="s">
        <v>986</v>
      </c>
      <c r="F918" s="1" t="s">
        <v>6717</v>
      </c>
      <c r="G918" s="1" t="str">
        <f>IFERROR(VLOOKUP(A918,H_C!$A$2:$G$2628,7,0),"Validar HC")</f>
        <v>Garatejo, Natalia</v>
      </c>
      <c r="H918" s="164">
        <v>1623501.0</v>
      </c>
      <c r="I918" s="1">
        <v>42.0</v>
      </c>
    </row>
    <row r="919" ht="15.75" customHeight="1">
      <c r="A919" s="1">
        <v>5258169.0</v>
      </c>
      <c r="B919" s="1" t="s">
        <v>3366</v>
      </c>
      <c r="C919" s="1" t="s">
        <v>3367</v>
      </c>
      <c r="D919" s="1" t="s">
        <v>224</v>
      </c>
      <c r="E919" s="1" t="s">
        <v>289</v>
      </c>
      <c r="F919" s="1" t="s">
        <v>6717</v>
      </c>
      <c r="G919" s="1" t="str">
        <f>IFERROR(VLOOKUP(A919,H_C!$A$2:$G$2628,7,0),"Validar HC")</f>
        <v>Celi, Juan</v>
      </c>
      <c r="H919" s="164">
        <v>1623501.0</v>
      </c>
      <c r="I919" s="1">
        <v>42.0</v>
      </c>
    </row>
    <row r="920" ht="15.75" customHeight="1">
      <c r="A920" s="1">
        <v>5259804.0</v>
      </c>
      <c r="B920" s="1" t="s">
        <v>6756</v>
      </c>
      <c r="C920" s="1" t="s">
        <v>6757</v>
      </c>
      <c r="D920" s="1" t="s">
        <v>224</v>
      </c>
      <c r="E920" s="1" t="s">
        <v>412</v>
      </c>
      <c r="F920" s="1" t="s">
        <v>6717</v>
      </c>
      <c r="G920" s="1" t="str">
        <f>IFERROR(VLOOKUP(A920,H_C!$A$2:$G$2628,7,0),"Validar HC")</f>
        <v>Validar HC</v>
      </c>
      <c r="H920" s="164">
        <v>1623501.0</v>
      </c>
      <c r="I920" s="1">
        <v>42.0</v>
      </c>
    </row>
    <row r="921" ht="15.75" customHeight="1">
      <c r="A921" s="1">
        <v>5260668.0</v>
      </c>
      <c r="B921" s="1" t="s">
        <v>2614</v>
      </c>
      <c r="C921" s="1" t="s">
        <v>2615</v>
      </c>
      <c r="D921" s="1" t="s">
        <v>224</v>
      </c>
      <c r="E921" s="1" t="s">
        <v>412</v>
      </c>
      <c r="F921" s="1" t="s">
        <v>6717</v>
      </c>
      <c r="G921" s="1" t="str">
        <f>IFERROR(VLOOKUP(A921,H_C!$A$2:$G$2628,7,0),"Validar HC")</f>
        <v>Ospina, Michel</v>
      </c>
      <c r="H921" s="164">
        <v>1623501.0</v>
      </c>
      <c r="I921" s="1">
        <v>42.0</v>
      </c>
    </row>
    <row r="922" ht="15.75" customHeight="1">
      <c r="A922" s="1">
        <v>5266607.0</v>
      </c>
      <c r="B922" s="1" t="s">
        <v>1334</v>
      </c>
      <c r="C922" s="1" t="s">
        <v>1335</v>
      </c>
      <c r="D922" s="1" t="s">
        <v>224</v>
      </c>
      <c r="E922" s="1" t="s">
        <v>331</v>
      </c>
      <c r="F922" s="1" t="s">
        <v>6717</v>
      </c>
      <c r="G922" s="1" t="str">
        <f>IFERROR(VLOOKUP(A922,H_C!$A$2:$G$2628,7,0),"Validar HC")</f>
        <v>Parra, Jeimmy</v>
      </c>
      <c r="H922" s="164">
        <v>1623501.0</v>
      </c>
      <c r="I922" s="1">
        <v>42.0</v>
      </c>
    </row>
    <row r="923" ht="15.75" customHeight="1">
      <c r="A923" s="1">
        <v>5266800.0</v>
      </c>
      <c r="B923" s="1" t="s">
        <v>3374</v>
      </c>
      <c r="C923" s="1" t="s">
        <v>3375</v>
      </c>
      <c r="D923" s="1" t="s">
        <v>224</v>
      </c>
      <c r="E923" s="1" t="s">
        <v>316</v>
      </c>
      <c r="F923" s="1" t="s">
        <v>6717</v>
      </c>
      <c r="G923" s="1" t="str">
        <f>IFERROR(VLOOKUP(A923,H_C!$A$2:$G$2628,7,0),"Validar HC")</f>
        <v>Osorio, Julian</v>
      </c>
      <c r="H923" s="164">
        <v>1623501.0</v>
      </c>
      <c r="I923" s="1">
        <v>42.0</v>
      </c>
    </row>
    <row r="924" ht="15.75" customHeight="1">
      <c r="A924" s="1">
        <v>5266808.0</v>
      </c>
      <c r="B924" s="1" t="s">
        <v>3378</v>
      </c>
      <c r="C924" s="1" t="s">
        <v>3379</v>
      </c>
      <c r="D924" s="1" t="s">
        <v>224</v>
      </c>
      <c r="E924" s="1" t="s">
        <v>1746</v>
      </c>
      <c r="F924" s="1" t="s">
        <v>6717</v>
      </c>
      <c r="G924" s="1" t="str">
        <f>IFERROR(VLOOKUP(A924,H_C!$A$2:$G$2628,7,0),"Validar HC")</f>
        <v>Ayala, Giselle</v>
      </c>
      <c r="H924" s="164">
        <v>1623501.0</v>
      </c>
      <c r="I924" s="1">
        <v>42.0</v>
      </c>
    </row>
    <row r="925" ht="15.75" customHeight="1">
      <c r="A925" s="1">
        <v>5266935.0</v>
      </c>
      <c r="B925" s="1" t="s">
        <v>3382</v>
      </c>
      <c r="C925" s="1" t="s">
        <v>3383</v>
      </c>
      <c r="D925" s="1" t="s">
        <v>224</v>
      </c>
      <c r="E925" s="1" t="s">
        <v>1746</v>
      </c>
      <c r="F925" s="1" t="s">
        <v>6717</v>
      </c>
      <c r="G925" s="1" t="str">
        <f>IFERROR(VLOOKUP(A925,H_C!$A$2:$G$2628,7,0),"Validar HC")</f>
        <v>Ayala, Giselle</v>
      </c>
      <c r="H925" s="164">
        <v>1623501.0</v>
      </c>
      <c r="I925" s="1">
        <v>42.0</v>
      </c>
    </row>
    <row r="926" ht="15.75" customHeight="1">
      <c r="A926" s="1">
        <v>5266957.0</v>
      </c>
      <c r="B926" s="1" t="s">
        <v>3043</v>
      </c>
      <c r="C926" s="1" t="s">
        <v>3044</v>
      </c>
      <c r="D926" s="1" t="s">
        <v>224</v>
      </c>
      <c r="E926" s="1" t="s">
        <v>316</v>
      </c>
      <c r="F926" s="1" t="s">
        <v>6717</v>
      </c>
      <c r="G926" s="1" t="str">
        <f>IFERROR(VLOOKUP(A926,H_C!$A$2:$G$2628,7,0),"Validar HC")</f>
        <v>Osorio, Julian</v>
      </c>
      <c r="H926" s="164">
        <v>1623501.0</v>
      </c>
      <c r="I926" s="1">
        <v>42.0</v>
      </c>
    </row>
    <row r="927" ht="15.75" customHeight="1">
      <c r="A927" s="1">
        <v>5275203.0</v>
      </c>
      <c r="B927" s="1" t="s">
        <v>839</v>
      </c>
      <c r="C927" s="1" t="s">
        <v>840</v>
      </c>
      <c r="D927" s="1" t="s">
        <v>224</v>
      </c>
      <c r="E927" s="1" t="s">
        <v>246</v>
      </c>
      <c r="F927" s="1" t="s">
        <v>6717</v>
      </c>
      <c r="G927" s="1" t="str">
        <f>IFERROR(VLOOKUP(A927,H_C!$A$2:$G$2628,7,0),"Validar HC")</f>
        <v>Garcia, Helmer</v>
      </c>
      <c r="H927" s="164">
        <v>1623501.0</v>
      </c>
      <c r="I927" s="1">
        <v>42.0</v>
      </c>
    </row>
    <row r="928" ht="15.75" customHeight="1">
      <c r="A928" s="1">
        <v>5275204.0</v>
      </c>
      <c r="B928" s="1" t="s">
        <v>3390</v>
      </c>
      <c r="C928" s="1" t="s">
        <v>3391</v>
      </c>
      <c r="D928" s="1" t="s">
        <v>224</v>
      </c>
      <c r="E928" s="1" t="s">
        <v>1348</v>
      </c>
      <c r="F928" s="1" t="s">
        <v>6717</v>
      </c>
      <c r="G928" s="1" t="str">
        <f>IFERROR(VLOOKUP(A928,H_C!$A$2:$G$2628,7,0),"Validar HC")</f>
        <v>Celi, Juan</v>
      </c>
      <c r="H928" s="164">
        <v>1623501.0</v>
      </c>
      <c r="I928" s="1">
        <v>42.0</v>
      </c>
    </row>
    <row r="929" ht="15.75" customHeight="1">
      <c r="A929" s="1">
        <v>5275207.0</v>
      </c>
      <c r="B929" s="1" t="s">
        <v>3392</v>
      </c>
      <c r="C929" s="1" t="s">
        <v>3393</v>
      </c>
      <c r="D929" s="1" t="s">
        <v>224</v>
      </c>
      <c r="E929" s="1" t="s">
        <v>587</v>
      </c>
      <c r="F929" s="1" t="s">
        <v>6717</v>
      </c>
      <c r="G929" s="1" t="str">
        <f>IFERROR(VLOOKUP(A929,H_C!$A$2:$G$2628,7,0),"Validar HC")</f>
        <v>Garcia, Helmer</v>
      </c>
      <c r="H929" s="164">
        <v>1623501.0</v>
      </c>
      <c r="I929" s="1">
        <v>42.0</v>
      </c>
    </row>
    <row r="930" ht="15.75" customHeight="1">
      <c r="A930" s="1">
        <v>5275209.0</v>
      </c>
      <c r="B930" s="1" t="s">
        <v>3394</v>
      </c>
      <c r="C930" s="1" t="s">
        <v>3395</v>
      </c>
      <c r="D930" s="1" t="s">
        <v>224</v>
      </c>
      <c r="E930" s="1" t="s">
        <v>1177</v>
      </c>
      <c r="F930" s="1" t="s">
        <v>6717</v>
      </c>
      <c r="G930" s="1" t="str">
        <f>IFERROR(VLOOKUP(A930,H_C!$A$2:$G$2628,7,0),"Validar HC")</f>
        <v>Martinez, Wendy</v>
      </c>
      <c r="H930" s="164">
        <v>1623501.0</v>
      </c>
      <c r="I930" s="1">
        <v>42.0</v>
      </c>
    </row>
    <row r="931" ht="15.75" customHeight="1">
      <c r="A931" s="1">
        <v>5275850.0</v>
      </c>
      <c r="B931" s="1" t="s">
        <v>3398</v>
      </c>
      <c r="C931" s="1" t="s">
        <v>3399</v>
      </c>
      <c r="D931" s="1" t="s">
        <v>224</v>
      </c>
      <c r="E931" s="1" t="s">
        <v>555</v>
      </c>
      <c r="F931" s="1" t="s">
        <v>6717</v>
      </c>
      <c r="G931" s="1" t="str">
        <f>IFERROR(VLOOKUP(A931,H_C!$A$2:$G$2628,7,0),"Validar HC")</f>
        <v>Ayala, Giselle</v>
      </c>
      <c r="H931" s="164">
        <v>1623501.0</v>
      </c>
      <c r="I931" s="1">
        <v>42.0</v>
      </c>
    </row>
    <row r="932" ht="15.75" customHeight="1">
      <c r="A932" s="1">
        <v>5276154.0</v>
      </c>
      <c r="B932" s="1" t="s">
        <v>3400</v>
      </c>
      <c r="C932" s="1" t="s">
        <v>3401</v>
      </c>
      <c r="D932" s="1" t="s">
        <v>224</v>
      </c>
      <c r="E932" s="1" t="s">
        <v>1019</v>
      </c>
      <c r="F932" s="1" t="s">
        <v>6717</v>
      </c>
      <c r="G932" s="1" t="str">
        <f>IFERROR(VLOOKUP(A932,H_C!$A$2:$G$2628,7,0),"Validar HC")</f>
        <v>Celi, Juan</v>
      </c>
      <c r="H932" s="164">
        <v>1623501.0</v>
      </c>
      <c r="I932" s="1">
        <v>42.0</v>
      </c>
    </row>
    <row r="933" ht="15.75" customHeight="1">
      <c r="A933" s="1">
        <v>5276155.0</v>
      </c>
      <c r="B933" s="1" t="s">
        <v>2129</v>
      </c>
      <c r="C933" s="1" t="s">
        <v>2130</v>
      </c>
      <c r="D933" s="1" t="s">
        <v>224</v>
      </c>
      <c r="E933" s="1" t="s">
        <v>323</v>
      </c>
      <c r="F933" s="1" t="s">
        <v>6717</v>
      </c>
      <c r="G933" s="1" t="str">
        <f>IFERROR(VLOOKUP(A933,H_C!$A$2:$G$2628,7,0),"Validar HC")</f>
        <v>Martinez, Wendy</v>
      </c>
      <c r="H933" s="164">
        <v>1623501.0</v>
      </c>
      <c r="I933" s="1">
        <v>42.0</v>
      </c>
    </row>
    <row r="934" ht="15.75" customHeight="1">
      <c r="A934" s="1">
        <v>5276395.0</v>
      </c>
      <c r="B934" s="1" t="s">
        <v>6758</v>
      </c>
      <c r="C934" s="1" t="s">
        <v>6759</v>
      </c>
      <c r="D934" s="1" t="s">
        <v>224</v>
      </c>
      <c r="E934" s="1" t="s">
        <v>478</v>
      </c>
      <c r="F934" s="1" t="s">
        <v>6717</v>
      </c>
      <c r="G934" s="1" t="str">
        <f>IFERROR(VLOOKUP(A934,H_C!$A$2:$G$2628,7,0),"Validar HC")</f>
        <v>Validar HC</v>
      </c>
      <c r="H934" s="164">
        <v>1623501.0</v>
      </c>
      <c r="I934" s="1">
        <v>42.0</v>
      </c>
    </row>
    <row r="935" ht="15.75" customHeight="1">
      <c r="A935" s="1">
        <v>5276471.0</v>
      </c>
      <c r="B935" s="1" t="s">
        <v>3091</v>
      </c>
      <c r="C935" s="1" t="s">
        <v>3092</v>
      </c>
      <c r="D935" s="1" t="s">
        <v>224</v>
      </c>
      <c r="E935" s="1" t="s">
        <v>329</v>
      </c>
      <c r="F935" s="1" t="s">
        <v>6717</v>
      </c>
      <c r="G935" s="1" t="str">
        <f>IFERROR(VLOOKUP(A935,H_C!$A$2:$G$2628,7,0),"Validar HC")</f>
        <v>Garatejo, Natalia</v>
      </c>
      <c r="H935" s="164">
        <v>1623501.0</v>
      </c>
      <c r="I935" s="1">
        <v>42.0</v>
      </c>
    </row>
    <row r="936" ht="15.75" customHeight="1">
      <c r="A936" s="1">
        <v>5276498.0</v>
      </c>
      <c r="B936" s="1" t="s">
        <v>3095</v>
      </c>
      <c r="C936" s="1" t="s">
        <v>3096</v>
      </c>
      <c r="D936" s="1" t="s">
        <v>224</v>
      </c>
      <c r="E936" s="1" t="s">
        <v>329</v>
      </c>
      <c r="F936" s="1" t="s">
        <v>6717</v>
      </c>
      <c r="G936" s="1" t="str">
        <f>IFERROR(VLOOKUP(A936,H_C!$A$2:$G$2628,7,0),"Validar HC")</f>
        <v>Garatejo, Natalia</v>
      </c>
      <c r="H936" s="164">
        <v>1623501.0</v>
      </c>
      <c r="I936" s="1">
        <v>42.0</v>
      </c>
    </row>
    <row r="937" ht="15.75" customHeight="1">
      <c r="A937" s="1">
        <v>5276512.0</v>
      </c>
      <c r="B937" s="1" t="s">
        <v>1464</v>
      </c>
      <c r="C937" s="1" t="s">
        <v>1465</v>
      </c>
      <c r="D937" s="1" t="s">
        <v>224</v>
      </c>
      <c r="E937" s="1" t="s">
        <v>289</v>
      </c>
      <c r="F937" s="1" t="s">
        <v>6717</v>
      </c>
      <c r="G937" s="1" t="str">
        <f>IFERROR(VLOOKUP(A937,H_C!$A$2:$G$2628,7,0),"Validar HC")</f>
        <v>Celi, Juan</v>
      </c>
      <c r="H937" s="164">
        <v>1623501.0</v>
      </c>
      <c r="I937" s="1">
        <v>42.0</v>
      </c>
    </row>
    <row r="938" ht="15.75" customHeight="1">
      <c r="A938" s="1">
        <v>5276515.0</v>
      </c>
      <c r="B938" s="1" t="s">
        <v>2089</v>
      </c>
      <c r="C938" s="1" t="s">
        <v>2090</v>
      </c>
      <c r="D938" s="1" t="s">
        <v>224</v>
      </c>
      <c r="E938" s="1" t="s">
        <v>323</v>
      </c>
      <c r="F938" s="1" t="s">
        <v>6717</v>
      </c>
      <c r="G938" s="1" t="str">
        <f>IFERROR(VLOOKUP(A938,H_C!$A$2:$G$2628,7,0),"Validar HC")</f>
        <v>Martinez, Wendy</v>
      </c>
      <c r="H938" s="164">
        <v>1623501.0</v>
      </c>
      <c r="I938" s="1">
        <v>42.0</v>
      </c>
    </row>
    <row r="939" ht="15.75" customHeight="1">
      <c r="A939" s="1">
        <v>5276530.0</v>
      </c>
      <c r="B939" s="1" t="s">
        <v>3402</v>
      </c>
      <c r="C939" s="1" t="s">
        <v>3403</v>
      </c>
      <c r="D939" s="1" t="s">
        <v>224</v>
      </c>
      <c r="E939" s="1" t="s">
        <v>289</v>
      </c>
      <c r="F939" s="1" t="s">
        <v>6717</v>
      </c>
      <c r="G939" s="1" t="str">
        <f>IFERROR(VLOOKUP(A939,H_C!$A$2:$G$2628,7,0),"Validar HC")</f>
        <v>Celi, Juan</v>
      </c>
      <c r="H939" s="164">
        <v>1623501.0</v>
      </c>
      <c r="I939" s="1">
        <v>42.0</v>
      </c>
    </row>
    <row r="940" ht="15.75" customHeight="1">
      <c r="A940" s="1">
        <v>5276550.0</v>
      </c>
      <c r="B940" s="1" t="s">
        <v>3404</v>
      </c>
      <c r="C940" s="1" t="s">
        <v>3405</v>
      </c>
      <c r="D940" s="1" t="s">
        <v>224</v>
      </c>
      <c r="E940" s="1" t="s">
        <v>526</v>
      </c>
      <c r="F940" s="1" t="s">
        <v>6717</v>
      </c>
      <c r="G940" s="1" t="str">
        <f>IFERROR(VLOOKUP(A940,H_C!$A$2:$G$2628,7,0),"Validar HC")</f>
        <v>Martinez, Wendy</v>
      </c>
      <c r="H940" s="164">
        <v>1623501.0</v>
      </c>
      <c r="I940" s="1">
        <v>42.0</v>
      </c>
    </row>
    <row r="941" ht="15.75" customHeight="1">
      <c r="A941" s="1">
        <v>5276553.0</v>
      </c>
      <c r="B941" s="1" t="s">
        <v>3406</v>
      </c>
      <c r="C941" s="1" t="s">
        <v>3407</v>
      </c>
      <c r="D941" s="1" t="s">
        <v>224</v>
      </c>
      <c r="E941" s="1" t="s">
        <v>800</v>
      </c>
      <c r="F941" s="1" t="s">
        <v>6717</v>
      </c>
      <c r="G941" s="1" t="str">
        <f>IFERROR(VLOOKUP(A941,H_C!$A$2:$G$2628,7,0),"Validar HC")</f>
        <v>Garatejo, Natalia</v>
      </c>
      <c r="H941" s="164">
        <v>1623501.0</v>
      </c>
      <c r="I941" s="1">
        <v>42.0</v>
      </c>
    </row>
    <row r="942" ht="15.75" customHeight="1">
      <c r="A942" s="1">
        <v>5276554.0</v>
      </c>
      <c r="B942" s="1" t="s">
        <v>3410</v>
      </c>
      <c r="C942" s="1" t="s">
        <v>3411</v>
      </c>
      <c r="D942" s="1" t="s">
        <v>224</v>
      </c>
      <c r="E942" s="1" t="s">
        <v>323</v>
      </c>
      <c r="F942" s="1" t="s">
        <v>6717</v>
      </c>
      <c r="G942" s="1" t="str">
        <f>IFERROR(VLOOKUP(A942,H_C!$A$2:$G$2628,7,0),"Validar HC")</f>
        <v>Martinez, Wendy</v>
      </c>
      <c r="H942" s="164">
        <v>1623501.0</v>
      </c>
      <c r="I942" s="1">
        <v>42.0</v>
      </c>
    </row>
    <row r="943" ht="15.75" customHeight="1">
      <c r="A943" s="1">
        <v>5277163.0</v>
      </c>
      <c r="B943" s="1" t="s">
        <v>3412</v>
      </c>
      <c r="C943" s="1" t="s">
        <v>3413</v>
      </c>
      <c r="D943" s="1" t="s">
        <v>224</v>
      </c>
      <c r="E943" s="1" t="s">
        <v>847</v>
      </c>
      <c r="F943" s="1" t="s">
        <v>6717</v>
      </c>
      <c r="G943" s="1" t="str">
        <f>IFERROR(VLOOKUP(A943,H_C!$A$2:$G$2628,7,0),"Validar HC")</f>
        <v>Garatejo, Natalia</v>
      </c>
      <c r="H943" s="164">
        <v>1623501.0</v>
      </c>
      <c r="I943" s="1">
        <v>42.0</v>
      </c>
    </row>
    <row r="944" ht="15.75" customHeight="1">
      <c r="A944" s="1">
        <v>5320998.0</v>
      </c>
      <c r="B944" s="1" t="s">
        <v>45</v>
      </c>
      <c r="C944" s="1" t="s">
        <v>1393</v>
      </c>
      <c r="D944" s="1" t="s">
        <v>224</v>
      </c>
      <c r="E944" s="1" t="s">
        <v>13</v>
      </c>
      <c r="F944" s="1" t="s">
        <v>6717</v>
      </c>
      <c r="G944" s="1" t="str">
        <f>IFERROR(VLOOKUP(A944,H_C!$A$2:$G$2628,7,0),"Validar HC")</f>
        <v>Ospina, Michel</v>
      </c>
      <c r="H944" s="162">
        <v>1600000.0</v>
      </c>
      <c r="I944" s="1">
        <v>42.0</v>
      </c>
    </row>
    <row r="945" ht="15.75" customHeight="1">
      <c r="A945" s="1">
        <v>5278044.0</v>
      </c>
      <c r="B945" s="1" t="s">
        <v>3416</v>
      </c>
      <c r="C945" s="1" t="s">
        <v>3418</v>
      </c>
      <c r="D945" s="1" t="s">
        <v>224</v>
      </c>
      <c r="E945" s="1" t="s">
        <v>118</v>
      </c>
      <c r="F945" s="1" t="s">
        <v>6717</v>
      </c>
      <c r="G945" s="1" t="str">
        <f>IFERROR(VLOOKUP(A945,H_C!$A$2:$G$2628,7,0),"Validar HC")</f>
        <v>Ospina, Michel</v>
      </c>
      <c r="H945" s="164">
        <v>1623501.0</v>
      </c>
      <c r="I945" s="1">
        <v>42.0</v>
      </c>
    </row>
    <row r="946" ht="15.75" customHeight="1">
      <c r="A946" s="1">
        <v>5278046.0</v>
      </c>
      <c r="B946" s="1" t="s">
        <v>851</v>
      </c>
      <c r="C946" s="1" t="s">
        <v>852</v>
      </c>
      <c r="D946" s="1" t="s">
        <v>224</v>
      </c>
      <c r="E946" s="1" t="s">
        <v>246</v>
      </c>
      <c r="F946" s="1" t="s">
        <v>6717</v>
      </c>
      <c r="G946" s="1" t="str">
        <f>IFERROR(VLOOKUP(A946,H_C!$A$2:$G$2628,7,0),"Validar HC")</f>
        <v>Garcia, Helmer</v>
      </c>
      <c r="H946" s="164">
        <v>1623501.0</v>
      </c>
      <c r="I946" s="1">
        <v>42.0</v>
      </c>
    </row>
    <row r="947" ht="15.75" customHeight="1">
      <c r="A947" s="1">
        <v>5278433.0</v>
      </c>
      <c r="B947" s="1" t="s">
        <v>3423</v>
      </c>
      <c r="C947" s="1" t="s">
        <v>3424</v>
      </c>
      <c r="D947" s="1" t="s">
        <v>224</v>
      </c>
      <c r="E947" s="1" t="s">
        <v>316</v>
      </c>
      <c r="F947" s="1" t="s">
        <v>6717</v>
      </c>
      <c r="G947" s="1" t="str">
        <f>IFERROR(VLOOKUP(A947,H_C!$A$2:$G$2628,7,0),"Validar HC")</f>
        <v>Osorio, Julian</v>
      </c>
      <c r="H947" s="164">
        <v>1623501.0</v>
      </c>
      <c r="I947" s="1">
        <v>42.0</v>
      </c>
    </row>
    <row r="948" ht="15.75" customHeight="1">
      <c r="A948" s="1">
        <v>5280128.0</v>
      </c>
      <c r="B948" s="1" t="s">
        <v>3427</v>
      </c>
      <c r="C948" s="1" t="s">
        <v>3428</v>
      </c>
      <c r="D948" s="1" t="s">
        <v>224</v>
      </c>
      <c r="E948" s="1" t="s">
        <v>526</v>
      </c>
      <c r="F948" s="1" t="s">
        <v>6717</v>
      </c>
      <c r="G948" s="1" t="str">
        <f>IFERROR(VLOOKUP(A948,H_C!$A$2:$G$2628,7,0),"Validar HC")</f>
        <v>Martinez, Wendy</v>
      </c>
      <c r="H948" s="164">
        <v>1623501.0</v>
      </c>
      <c r="I948" s="1">
        <v>42.0</v>
      </c>
    </row>
    <row r="949" ht="15.75" customHeight="1">
      <c r="A949" s="1">
        <v>5281322.0</v>
      </c>
      <c r="B949" s="1" t="s">
        <v>3431</v>
      </c>
      <c r="C949" s="1" t="s">
        <v>3432</v>
      </c>
      <c r="D949" s="1" t="s">
        <v>224</v>
      </c>
      <c r="E949" s="1" t="s">
        <v>323</v>
      </c>
      <c r="F949" s="1" t="s">
        <v>6717</v>
      </c>
      <c r="G949" s="1" t="str">
        <f>IFERROR(VLOOKUP(A949,H_C!$A$2:$G$2628,7,0),"Validar HC")</f>
        <v>Martinez, Wendy</v>
      </c>
      <c r="H949" s="164">
        <v>1623501.0</v>
      </c>
      <c r="I949" s="1">
        <v>42.0</v>
      </c>
    </row>
    <row r="950" ht="15.75" customHeight="1">
      <c r="A950" s="1">
        <v>5282674.0</v>
      </c>
      <c r="B950" s="1" t="s">
        <v>2137</v>
      </c>
      <c r="C950" s="1" t="s">
        <v>2138</v>
      </c>
      <c r="D950" s="1" t="s">
        <v>224</v>
      </c>
      <c r="E950" s="1" t="s">
        <v>323</v>
      </c>
      <c r="F950" s="1" t="s">
        <v>6717</v>
      </c>
      <c r="G950" s="1" t="str">
        <f>IFERROR(VLOOKUP(A950,H_C!$A$2:$G$2628,7,0),"Validar HC")</f>
        <v>Martinez, Wendy</v>
      </c>
      <c r="H950" s="164">
        <v>1623501.0</v>
      </c>
      <c r="I950" s="1">
        <v>42.0</v>
      </c>
    </row>
    <row r="951" ht="15.75" customHeight="1">
      <c r="A951" s="1">
        <v>5282707.0</v>
      </c>
      <c r="B951" s="1" t="s">
        <v>3437</v>
      </c>
      <c r="C951" s="1" t="s">
        <v>3438</v>
      </c>
      <c r="D951" s="1" t="s">
        <v>224</v>
      </c>
      <c r="E951" s="1" t="s">
        <v>695</v>
      </c>
      <c r="F951" s="1" t="s">
        <v>6717</v>
      </c>
      <c r="G951" s="1" t="str">
        <f>IFERROR(VLOOKUP(A951,H_C!$A$2:$G$2628,7,0),"Validar HC")</f>
        <v>Ayala, Giselle</v>
      </c>
      <c r="H951" s="164">
        <v>1623501.0</v>
      </c>
      <c r="I951" s="1">
        <v>42.0</v>
      </c>
    </row>
    <row r="952" ht="15.75" customHeight="1">
      <c r="A952" s="1">
        <v>5283604.0</v>
      </c>
      <c r="B952" s="1" t="s">
        <v>3441</v>
      </c>
      <c r="C952" s="1" t="s">
        <v>3442</v>
      </c>
      <c r="D952" s="1" t="s">
        <v>224</v>
      </c>
      <c r="E952" s="1" t="s">
        <v>316</v>
      </c>
      <c r="F952" s="1" t="s">
        <v>6717</v>
      </c>
      <c r="G952" s="1" t="str">
        <f>IFERROR(VLOOKUP(A952,H_C!$A$2:$G$2628,7,0),"Validar HC")</f>
        <v>Osorio, Julian</v>
      </c>
      <c r="H952" s="164">
        <v>1623501.0</v>
      </c>
      <c r="I952" s="1">
        <v>42.0</v>
      </c>
    </row>
    <row r="953" ht="15.75" customHeight="1">
      <c r="A953" s="1">
        <v>5283814.0</v>
      </c>
      <c r="B953" s="1" t="s">
        <v>3445</v>
      </c>
      <c r="C953" s="1" t="s">
        <v>3446</v>
      </c>
      <c r="D953" s="1" t="s">
        <v>224</v>
      </c>
      <c r="E953" s="1" t="s">
        <v>632</v>
      </c>
      <c r="F953" s="1" t="s">
        <v>6717</v>
      </c>
      <c r="G953" s="1" t="str">
        <f>IFERROR(VLOOKUP(A953,H_C!$A$2:$G$2628,7,0),"Validar HC")</f>
        <v>Gonzalez, Cristian</v>
      </c>
      <c r="H953" s="164">
        <v>1623501.0</v>
      </c>
      <c r="I953" s="1">
        <v>42.0</v>
      </c>
    </row>
    <row r="954" ht="15.75" customHeight="1">
      <c r="A954" s="1">
        <v>5283867.0</v>
      </c>
      <c r="B954" s="1" t="s">
        <v>3449</v>
      </c>
      <c r="C954" s="1" t="s">
        <v>3450</v>
      </c>
      <c r="D954" s="1" t="s">
        <v>224</v>
      </c>
      <c r="E954" s="1" t="s">
        <v>485</v>
      </c>
      <c r="F954" s="1" t="s">
        <v>6717</v>
      </c>
      <c r="G954" s="1" t="str">
        <f>IFERROR(VLOOKUP(A954,H_C!$A$2:$G$2628,7,0),"Validar HC")</f>
        <v>Martinez, Wendy</v>
      </c>
      <c r="H954" s="164">
        <v>1623501.0</v>
      </c>
      <c r="I954" s="1">
        <v>42.0</v>
      </c>
    </row>
    <row r="955" ht="15.75" customHeight="1">
      <c r="A955" s="1">
        <v>5284003.0</v>
      </c>
      <c r="B955" s="1" t="s">
        <v>3047</v>
      </c>
      <c r="C955" s="1" t="s">
        <v>3048</v>
      </c>
      <c r="D955" s="1" t="s">
        <v>224</v>
      </c>
      <c r="E955" s="1" t="s">
        <v>316</v>
      </c>
      <c r="F955" s="1" t="s">
        <v>6717</v>
      </c>
      <c r="G955" s="1" t="str">
        <f>IFERROR(VLOOKUP(A955,H_C!$A$2:$G$2628,7,0),"Validar HC")</f>
        <v>Osorio, Julian</v>
      </c>
      <c r="H955" s="164">
        <v>1623501.0</v>
      </c>
      <c r="I955" s="1">
        <v>42.0</v>
      </c>
    </row>
    <row r="956" ht="15.75" customHeight="1">
      <c r="A956" s="1">
        <v>5284012.0</v>
      </c>
      <c r="B956" s="1" t="s">
        <v>3451</v>
      </c>
      <c r="C956" s="1" t="s">
        <v>3452</v>
      </c>
      <c r="D956" s="1" t="s">
        <v>224</v>
      </c>
      <c r="E956" s="1" t="s">
        <v>316</v>
      </c>
      <c r="F956" s="1" t="s">
        <v>6717</v>
      </c>
      <c r="G956" s="1" t="str">
        <f>IFERROR(VLOOKUP(A956,H_C!$A$2:$G$2628,7,0),"Validar HC")</f>
        <v>Osorio, Julian</v>
      </c>
      <c r="H956" s="164">
        <v>1623501.0</v>
      </c>
      <c r="I956" s="1">
        <v>42.0</v>
      </c>
    </row>
    <row r="957" ht="15.75" customHeight="1">
      <c r="A957" s="1">
        <v>5284024.0</v>
      </c>
      <c r="B957" s="1" t="s">
        <v>2612</v>
      </c>
      <c r="C957" s="1" t="s">
        <v>2613</v>
      </c>
      <c r="D957" s="1" t="s">
        <v>224</v>
      </c>
      <c r="E957" s="1" t="s">
        <v>412</v>
      </c>
      <c r="F957" s="1" t="s">
        <v>6717</v>
      </c>
      <c r="G957" s="1" t="str">
        <f>IFERROR(VLOOKUP(A957,H_C!$A$2:$G$2628,7,0),"Validar HC")</f>
        <v>Ospina, Michel</v>
      </c>
      <c r="H957" s="164">
        <v>1623501.0</v>
      </c>
      <c r="I957" s="1">
        <v>42.0</v>
      </c>
    </row>
    <row r="958" ht="15.75" customHeight="1">
      <c r="A958" s="1">
        <v>5284025.0</v>
      </c>
      <c r="B958" s="1" t="s">
        <v>2012</v>
      </c>
      <c r="C958" s="1" t="s">
        <v>2013</v>
      </c>
      <c r="D958" s="1" t="s">
        <v>224</v>
      </c>
      <c r="E958" s="1" t="s">
        <v>391</v>
      </c>
      <c r="F958" s="1" t="s">
        <v>6717</v>
      </c>
      <c r="G958" s="1" t="str">
        <f>IFERROR(VLOOKUP(A958,H_C!$A$2:$G$2628,7,0),"Validar HC")</f>
        <v>Garcia, Helmer</v>
      </c>
      <c r="H958" s="164">
        <v>1623501.0</v>
      </c>
      <c r="I958" s="1">
        <v>42.0</v>
      </c>
    </row>
    <row r="959" ht="15.75" customHeight="1">
      <c r="A959" s="1">
        <v>5284026.0</v>
      </c>
      <c r="B959" s="1" t="s">
        <v>3462</v>
      </c>
      <c r="C959" s="1" t="s">
        <v>3463</v>
      </c>
      <c r="D959" s="1" t="s">
        <v>224</v>
      </c>
      <c r="E959" s="1" t="s">
        <v>847</v>
      </c>
      <c r="F959" s="1" t="s">
        <v>6717</v>
      </c>
      <c r="G959" s="1" t="str">
        <f>IFERROR(VLOOKUP(A959,H_C!$A$2:$G$2628,7,0),"Validar HC")</f>
        <v>Garatejo, Natalia</v>
      </c>
      <c r="H959" s="164">
        <v>1623501.0</v>
      </c>
      <c r="I959" s="1">
        <v>42.0</v>
      </c>
    </row>
    <row r="960" ht="15.75" customHeight="1">
      <c r="A960" s="1">
        <v>5284028.0</v>
      </c>
      <c r="B960" s="1" t="s">
        <v>2229</v>
      </c>
      <c r="C960" s="1" t="s">
        <v>2230</v>
      </c>
      <c r="D960" s="1" t="s">
        <v>224</v>
      </c>
      <c r="E960" s="1" t="s">
        <v>813</v>
      </c>
      <c r="F960" s="1" t="s">
        <v>6717</v>
      </c>
      <c r="G960" s="1" t="str">
        <f>IFERROR(VLOOKUP(A960,H_C!$A$2:$G$2628,7,0),"Validar HC")</f>
        <v>Garatejo, Natalia</v>
      </c>
      <c r="H960" s="164">
        <v>1623501.0</v>
      </c>
      <c r="I960" s="1">
        <v>42.0</v>
      </c>
    </row>
    <row r="961" ht="15.75" customHeight="1">
      <c r="A961" s="1">
        <v>5284107.0</v>
      </c>
      <c r="B961" s="1" t="s">
        <v>590</v>
      </c>
      <c r="C961" s="1" t="s">
        <v>591</v>
      </c>
      <c r="D961" s="1" t="s">
        <v>224</v>
      </c>
      <c r="E961" s="1" t="s">
        <v>526</v>
      </c>
      <c r="F961" s="1" t="s">
        <v>6717</v>
      </c>
      <c r="G961" s="1" t="str">
        <f>IFERROR(VLOOKUP(A961,H_C!$A$2:$G$2628,7,0),"Validar HC")</f>
        <v>Martinez, Wendy</v>
      </c>
      <c r="H961" s="164">
        <v>1623501.0</v>
      </c>
      <c r="I961" s="1">
        <v>42.0</v>
      </c>
    </row>
    <row r="962" ht="15.75" customHeight="1">
      <c r="A962" s="1">
        <v>5284147.0</v>
      </c>
      <c r="B962" s="1" t="s">
        <v>3470</v>
      </c>
      <c r="C962" s="1" t="s">
        <v>3471</v>
      </c>
      <c r="D962" s="1" t="s">
        <v>224</v>
      </c>
      <c r="E962" s="1" t="s">
        <v>522</v>
      </c>
      <c r="F962" s="1" t="s">
        <v>6717</v>
      </c>
      <c r="G962" s="1" t="str">
        <f>IFERROR(VLOOKUP(A962,H_C!$A$2:$G$2628,7,0),"Validar HC")</f>
        <v>Martinez, Wendy</v>
      </c>
      <c r="H962" s="164">
        <v>1623501.0</v>
      </c>
      <c r="I962" s="1">
        <v>42.0</v>
      </c>
    </row>
    <row r="963" ht="15.75" customHeight="1">
      <c r="A963" s="1">
        <v>5284177.0</v>
      </c>
      <c r="B963" s="1" t="s">
        <v>3474</v>
      </c>
      <c r="C963" s="1" t="s">
        <v>3475</v>
      </c>
      <c r="D963" s="1" t="s">
        <v>224</v>
      </c>
      <c r="E963" s="1" t="s">
        <v>526</v>
      </c>
      <c r="F963" s="1" t="s">
        <v>6717</v>
      </c>
      <c r="G963" s="1" t="str">
        <f>IFERROR(VLOOKUP(A963,H_C!$A$2:$G$2628,7,0),"Validar HC")</f>
        <v>Martinez, Wendy</v>
      </c>
      <c r="H963" s="164">
        <v>1623501.0</v>
      </c>
      <c r="I963" s="1">
        <v>42.0</v>
      </c>
    </row>
    <row r="964" ht="15.75" customHeight="1">
      <c r="A964" s="1">
        <v>5284846.0</v>
      </c>
      <c r="B964" s="1" t="s">
        <v>6760</v>
      </c>
      <c r="C964" s="1" t="s">
        <v>6761</v>
      </c>
      <c r="D964" s="1" t="s">
        <v>224</v>
      </c>
      <c r="E964" s="1" t="s">
        <v>316</v>
      </c>
      <c r="F964" s="1" t="s">
        <v>6717</v>
      </c>
      <c r="G964" s="1" t="str">
        <f>IFERROR(VLOOKUP(A964,H_C!$A$2:$G$2628,7,0),"Validar HC")</f>
        <v>Validar HC</v>
      </c>
      <c r="H964" s="164">
        <v>1623501.0</v>
      </c>
      <c r="I964" s="1">
        <v>42.0</v>
      </c>
    </row>
    <row r="965" ht="15.75" customHeight="1">
      <c r="A965" s="1">
        <v>5284876.0</v>
      </c>
      <c r="B965" s="1" t="s">
        <v>826</v>
      </c>
      <c r="C965" s="1" t="s">
        <v>827</v>
      </c>
      <c r="D965" s="1" t="s">
        <v>224</v>
      </c>
      <c r="E965" s="1" t="s">
        <v>246</v>
      </c>
      <c r="F965" s="1" t="s">
        <v>6717</v>
      </c>
      <c r="G965" s="1" t="str">
        <f>IFERROR(VLOOKUP(A965,H_C!$A$2:$G$2628,7,0),"Validar HC")</f>
        <v>Garcia, Helmer</v>
      </c>
      <c r="H965" s="164">
        <v>1623501.0</v>
      </c>
      <c r="I965" s="1">
        <v>42.0</v>
      </c>
    </row>
    <row r="966" ht="15.75" customHeight="1">
      <c r="A966" s="1">
        <v>5284883.0</v>
      </c>
      <c r="B966" s="1" t="s">
        <v>3482</v>
      </c>
      <c r="C966" s="1" t="s">
        <v>3483</v>
      </c>
      <c r="D966" s="1" t="s">
        <v>224</v>
      </c>
      <c r="E966" s="1" t="s">
        <v>316</v>
      </c>
      <c r="F966" s="1" t="s">
        <v>6717</v>
      </c>
      <c r="G966" s="1" t="str">
        <f>IFERROR(VLOOKUP(A966,H_C!$A$2:$G$2628,7,0),"Validar HC")</f>
        <v>Osorio, Julian</v>
      </c>
      <c r="H966" s="164">
        <v>1623501.0</v>
      </c>
      <c r="I966" s="1">
        <v>42.0</v>
      </c>
    </row>
    <row r="967" ht="15.75" customHeight="1">
      <c r="A967" s="1">
        <v>5285101.0</v>
      </c>
      <c r="B967" s="1" t="s">
        <v>3486</v>
      </c>
      <c r="C967" s="1" t="s">
        <v>3487</v>
      </c>
      <c r="D967" s="1" t="s">
        <v>224</v>
      </c>
      <c r="E967" s="1" t="s">
        <v>794</v>
      </c>
      <c r="F967" s="1" t="s">
        <v>6717</v>
      </c>
      <c r="G967" s="1" t="str">
        <f>IFERROR(VLOOKUP(A967,H_C!$A$2:$G$2628,7,0),"Validar HC")</f>
        <v>Osorio, Julian</v>
      </c>
      <c r="H967" s="164">
        <v>1623501.0</v>
      </c>
      <c r="I967" s="1">
        <v>42.0</v>
      </c>
    </row>
    <row r="968" ht="15.75" customHeight="1">
      <c r="A968" s="1">
        <v>5285106.0</v>
      </c>
      <c r="B968" s="1" t="s">
        <v>3051</v>
      </c>
      <c r="C968" s="1" t="s">
        <v>3052</v>
      </c>
      <c r="D968" s="1" t="s">
        <v>224</v>
      </c>
      <c r="E968" s="1" t="s">
        <v>316</v>
      </c>
      <c r="F968" s="1" t="s">
        <v>6717</v>
      </c>
      <c r="G968" s="1" t="str">
        <f>IFERROR(VLOOKUP(A968,H_C!$A$2:$G$2628,7,0),"Validar HC")</f>
        <v>Osorio, Julian</v>
      </c>
      <c r="H968" s="164">
        <v>1623501.0</v>
      </c>
      <c r="I968" s="1">
        <v>42.0</v>
      </c>
    </row>
    <row r="969" ht="15.75" customHeight="1">
      <c r="A969" s="1">
        <v>5285107.0</v>
      </c>
      <c r="B969" s="1" t="s">
        <v>3492</v>
      </c>
      <c r="C969" s="1" t="s">
        <v>3493</v>
      </c>
      <c r="D969" s="1" t="s">
        <v>224</v>
      </c>
      <c r="E969" s="1" t="s">
        <v>1746</v>
      </c>
      <c r="F969" s="1" t="s">
        <v>6717</v>
      </c>
      <c r="G969" s="1" t="str">
        <f>IFERROR(VLOOKUP(A969,H_C!$A$2:$G$2628,7,0),"Validar HC")</f>
        <v>Ayala, Giselle</v>
      </c>
      <c r="H969" s="164">
        <v>1623501.0</v>
      </c>
      <c r="I969" s="1">
        <v>42.0</v>
      </c>
    </row>
    <row r="970" ht="15.75" customHeight="1">
      <c r="A970" s="1">
        <v>5285318.0</v>
      </c>
      <c r="B970" s="1" t="s">
        <v>3496</v>
      </c>
      <c r="C970" s="1" t="s">
        <v>3497</v>
      </c>
      <c r="D970" s="1" t="s">
        <v>224</v>
      </c>
      <c r="E970" s="1" t="s">
        <v>1695</v>
      </c>
      <c r="F970" s="1" t="s">
        <v>6717</v>
      </c>
      <c r="G970" s="1" t="str">
        <f>IFERROR(VLOOKUP(A970,H_C!$A$2:$G$2628,7,0),"Validar HC")</f>
        <v>Ayala, Giselle</v>
      </c>
      <c r="H970" s="164">
        <v>1623501.0</v>
      </c>
      <c r="I970" s="1">
        <v>42.0</v>
      </c>
    </row>
    <row r="971" ht="15.75" customHeight="1">
      <c r="A971" s="1">
        <v>5286249.0</v>
      </c>
      <c r="B971" s="1" t="s">
        <v>3500</v>
      </c>
      <c r="C971" s="1" t="s">
        <v>3501</v>
      </c>
      <c r="D971" s="1" t="s">
        <v>224</v>
      </c>
      <c r="E971" s="1" t="s">
        <v>2285</v>
      </c>
      <c r="F971" s="1" t="s">
        <v>6717</v>
      </c>
      <c r="G971" s="1" t="str">
        <f>IFERROR(VLOOKUP(A971,H_C!$A$2:$G$2628,7,0),"Validar HC")</f>
        <v>Ayala, Giselle</v>
      </c>
      <c r="H971" s="164">
        <v>1623501.0</v>
      </c>
      <c r="I971" s="1">
        <v>42.0</v>
      </c>
    </row>
    <row r="972" ht="15.75" customHeight="1">
      <c r="A972" s="1">
        <v>5286263.0</v>
      </c>
      <c r="B972" s="1" t="s">
        <v>3502</v>
      </c>
      <c r="C972" s="1" t="s">
        <v>3503</v>
      </c>
      <c r="D972" s="1" t="s">
        <v>224</v>
      </c>
      <c r="E972" s="1" t="s">
        <v>806</v>
      </c>
      <c r="F972" s="1" t="s">
        <v>6717</v>
      </c>
      <c r="G972" s="1" t="str">
        <f>IFERROR(VLOOKUP(A972,H_C!$A$2:$G$2628,7,0),"Validar HC")</f>
        <v>Gonzalez, Cristian</v>
      </c>
      <c r="H972" s="164">
        <v>1623501.0</v>
      </c>
      <c r="I972" s="1">
        <v>42.0</v>
      </c>
    </row>
    <row r="973" ht="15.75" customHeight="1">
      <c r="A973" s="1">
        <v>5288043.0</v>
      </c>
      <c r="B973" s="1" t="s">
        <v>3504</v>
      </c>
      <c r="C973" s="1" t="s">
        <v>3505</v>
      </c>
      <c r="D973" s="1" t="s">
        <v>224</v>
      </c>
      <c r="E973" s="1" t="s">
        <v>695</v>
      </c>
      <c r="F973" s="1" t="s">
        <v>6717</v>
      </c>
      <c r="G973" s="1" t="str">
        <f>IFERROR(VLOOKUP(A973,H_C!$A$2:$G$2628,7,0),"Validar HC")</f>
        <v>Ayala, Giselle</v>
      </c>
      <c r="H973" s="164">
        <v>1623501.0</v>
      </c>
      <c r="I973" s="1">
        <v>42.0</v>
      </c>
    </row>
    <row r="974" ht="15.75" customHeight="1">
      <c r="A974" s="1">
        <v>5291076.0</v>
      </c>
      <c r="B974" s="1" t="s">
        <v>3506</v>
      </c>
      <c r="C974" s="1" t="s">
        <v>3507</v>
      </c>
      <c r="D974" s="1" t="s">
        <v>224</v>
      </c>
      <c r="E974" s="1" t="s">
        <v>847</v>
      </c>
      <c r="F974" s="1" t="s">
        <v>6717</v>
      </c>
      <c r="G974" s="1" t="str">
        <f>IFERROR(VLOOKUP(A974,H_C!$A$2:$G$2628,7,0),"Validar HC")</f>
        <v>Garatejo, Natalia</v>
      </c>
      <c r="H974" s="164">
        <v>1623501.0</v>
      </c>
      <c r="I974" s="1">
        <v>42.0</v>
      </c>
    </row>
    <row r="975" ht="15.75" customHeight="1">
      <c r="A975" s="1">
        <v>5292006.0</v>
      </c>
      <c r="B975" s="1" t="s">
        <v>3508</v>
      </c>
      <c r="C975" s="1" t="s">
        <v>3509</v>
      </c>
      <c r="D975" s="1" t="s">
        <v>224</v>
      </c>
      <c r="E975" s="1" t="s">
        <v>316</v>
      </c>
      <c r="F975" s="1" t="s">
        <v>6717</v>
      </c>
      <c r="G975" s="1" t="str">
        <f>IFERROR(VLOOKUP(A975,H_C!$A$2:$G$2628,7,0),"Validar HC")</f>
        <v>Osorio, Julian</v>
      </c>
      <c r="H975" s="164">
        <v>1623501.0</v>
      </c>
      <c r="I975" s="1">
        <v>42.0</v>
      </c>
    </row>
    <row r="976" ht="15.75" customHeight="1">
      <c r="A976" s="1">
        <v>5292007.0</v>
      </c>
      <c r="B976" s="1" t="s">
        <v>3510</v>
      </c>
      <c r="C976" s="1" t="s">
        <v>3511</v>
      </c>
      <c r="D976" s="1" t="s">
        <v>224</v>
      </c>
      <c r="E976" s="1" t="s">
        <v>676</v>
      </c>
      <c r="F976" s="1" t="s">
        <v>6717</v>
      </c>
      <c r="G976" s="1" t="str">
        <f>IFERROR(VLOOKUP(A976,H_C!$A$2:$G$2628,7,0),"Validar HC")</f>
        <v>Garatejo, Natalia</v>
      </c>
      <c r="H976" s="164">
        <v>1623501.0</v>
      </c>
      <c r="I976" s="1">
        <v>42.0</v>
      </c>
    </row>
    <row r="977" ht="15.75" customHeight="1">
      <c r="A977" s="1">
        <v>5292216.0</v>
      </c>
      <c r="B977" s="1" t="s">
        <v>3512</v>
      </c>
      <c r="C977" s="1" t="s">
        <v>3513</v>
      </c>
      <c r="D977" s="1" t="s">
        <v>224</v>
      </c>
      <c r="E977" s="1" t="s">
        <v>847</v>
      </c>
      <c r="F977" s="1" t="s">
        <v>6717</v>
      </c>
      <c r="G977" s="1" t="str">
        <f>IFERROR(VLOOKUP(A977,H_C!$A$2:$G$2628,7,0),"Validar HC")</f>
        <v>Garatejo, Natalia</v>
      </c>
      <c r="H977" s="164">
        <v>1623501.0</v>
      </c>
      <c r="I977" s="1">
        <v>42.0</v>
      </c>
    </row>
    <row r="978" ht="15.75" customHeight="1">
      <c r="A978" s="1">
        <v>5292237.0</v>
      </c>
      <c r="B978" s="1" t="s">
        <v>3514</v>
      </c>
      <c r="C978" s="1" t="s">
        <v>3515</v>
      </c>
      <c r="D978" s="1" t="s">
        <v>224</v>
      </c>
      <c r="E978" s="1" t="s">
        <v>316</v>
      </c>
      <c r="F978" s="1" t="s">
        <v>6717</v>
      </c>
      <c r="G978" s="1" t="str">
        <f>IFERROR(VLOOKUP(A978,H_C!$A$2:$G$2628,7,0),"Validar HC")</f>
        <v>Osorio, Julian</v>
      </c>
      <c r="H978" s="164">
        <v>1623501.0</v>
      </c>
      <c r="I978" s="1">
        <v>42.0</v>
      </c>
    </row>
    <row r="979" ht="15.75" customHeight="1">
      <c r="A979" s="1">
        <v>5292238.0</v>
      </c>
      <c r="B979" s="1" t="s">
        <v>3516</v>
      </c>
      <c r="C979" s="1" t="s">
        <v>3517</v>
      </c>
      <c r="D979" s="1" t="s">
        <v>224</v>
      </c>
      <c r="E979" s="1" t="s">
        <v>555</v>
      </c>
      <c r="F979" s="1" t="s">
        <v>6717</v>
      </c>
      <c r="G979" s="1" t="str">
        <f>IFERROR(VLOOKUP(A979,H_C!$A$2:$G$2628,7,0),"Validar HC")</f>
        <v>Ayala, Giselle</v>
      </c>
      <c r="H979" s="164">
        <v>1623501.0</v>
      </c>
      <c r="I979" s="1">
        <v>42.0</v>
      </c>
    </row>
    <row r="980" ht="15.75" customHeight="1">
      <c r="A980" s="1">
        <v>5292269.0</v>
      </c>
      <c r="B980" s="1" t="s">
        <v>3029</v>
      </c>
      <c r="C980" s="1" t="s">
        <v>3030</v>
      </c>
      <c r="D980" s="1" t="s">
        <v>224</v>
      </c>
      <c r="E980" s="1" t="s">
        <v>316</v>
      </c>
      <c r="F980" s="1" t="s">
        <v>6717</v>
      </c>
      <c r="G980" s="1" t="str">
        <f>IFERROR(VLOOKUP(A980,H_C!$A$2:$G$2628,7,0),"Validar HC")</f>
        <v>Osorio, Julian</v>
      </c>
      <c r="H980" s="164">
        <v>1623501.0</v>
      </c>
      <c r="I980" s="1">
        <v>42.0</v>
      </c>
    </row>
    <row r="981" ht="15.75" customHeight="1">
      <c r="A981" s="1">
        <v>5292350.0</v>
      </c>
      <c r="B981" s="1" t="s">
        <v>3520</v>
      </c>
      <c r="C981" s="1" t="s">
        <v>3521</v>
      </c>
      <c r="D981" s="1" t="s">
        <v>224</v>
      </c>
      <c r="E981" s="1" t="s">
        <v>316</v>
      </c>
      <c r="F981" s="1" t="s">
        <v>6717</v>
      </c>
      <c r="G981" s="1" t="str">
        <f>IFERROR(VLOOKUP(A981,H_C!$A$2:$G$2628,7,0),"Validar HC")</f>
        <v>Osorio, Julian</v>
      </c>
      <c r="H981" s="164">
        <v>1623501.0</v>
      </c>
      <c r="I981" s="1">
        <v>42.0</v>
      </c>
    </row>
    <row r="982" ht="15.75" customHeight="1">
      <c r="A982" s="1">
        <v>5292357.0</v>
      </c>
      <c r="B982" s="1" t="s">
        <v>3524</v>
      </c>
      <c r="C982" s="1" t="s">
        <v>3525</v>
      </c>
      <c r="D982" s="1" t="s">
        <v>224</v>
      </c>
      <c r="E982" s="1" t="s">
        <v>316</v>
      </c>
      <c r="F982" s="1" t="s">
        <v>6717</v>
      </c>
      <c r="G982" s="1" t="str">
        <f>IFERROR(VLOOKUP(A982,H_C!$A$2:$G$2628,7,0),"Validar HC")</f>
        <v>Osorio, Julian</v>
      </c>
      <c r="H982" s="164">
        <v>1623501.0</v>
      </c>
      <c r="I982" s="1">
        <v>42.0</v>
      </c>
    </row>
    <row r="983" ht="15.75" customHeight="1">
      <c r="A983" s="1">
        <v>5292374.0</v>
      </c>
      <c r="B983" s="1" t="s">
        <v>3528</v>
      </c>
      <c r="C983" s="1" t="s">
        <v>3529</v>
      </c>
      <c r="D983" s="1" t="s">
        <v>224</v>
      </c>
      <c r="E983" s="1" t="s">
        <v>1695</v>
      </c>
      <c r="F983" s="1" t="s">
        <v>6717</v>
      </c>
      <c r="G983" s="1" t="str">
        <f>IFERROR(VLOOKUP(A983,H_C!$A$2:$G$2628,7,0),"Validar HC")</f>
        <v>Ayala, Giselle</v>
      </c>
      <c r="H983" s="164">
        <v>1623501.0</v>
      </c>
      <c r="I983" s="1">
        <v>42.0</v>
      </c>
    </row>
    <row r="984" ht="15.75" customHeight="1">
      <c r="A984" s="1">
        <v>5292376.0</v>
      </c>
      <c r="B984" s="1" t="s">
        <v>3055</v>
      </c>
      <c r="C984" s="1" t="s">
        <v>3056</v>
      </c>
      <c r="D984" s="1" t="s">
        <v>224</v>
      </c>
      <c r="E984" s="1" t="s">
        <v>316</v>
      </c>
      <c r="F984" s="1" t="s">
        <v>6717</v>
      </c>
      <c r="G984" s="1" t="str">
        <f>IFERROR(VLOOKUP(A984,H_C!$A$2:$G$2628,7,0),"Validar HC")</f>
        <v>Osorio, Julian</v>
      </c>
      <c r="H984" s="164">
        <v>1623501.0</v>
      </c>
      <c r="I984" s="1">
        <v>42.0</v>
      </c>
    </row>
    <row r="985" ht="15.75" customHeight="1">
      <c r="A985" s="1">
        <v>5292410.0</v>
      </c>
      <c r="B985" s="1" t="s">
        <v>921</v>
      </c>
      <c r="C985" s="1" t="s">
        <v>922</v>
      </c>
      <c r="D985" s="1" t="s">
        <v>224</v>
      </c>
      <c r="E985" s="1" t="s">
        <v>118</v>
      </c>
      <c r="F985" s="1" t="s">
        <v>6717</v>
      </c>
      <c r="G985" s="1" t="str">
        <f>IFERROR(VLOOKUP(A985,H_C!$A$2:$G$2628,7,0),"Validar HC")</f>
        <v>Ospina, Michel</v>
      </c>
      <c r="H985" s="164">
        <v>1623501.0</v>
      </c>
      <c r="I985" s="1">
        <v>42.0</v>
      </c>
    </row>
    <row r="986" ht="15.75" customHeight="1">
      <c r="A986" s="1">
        <v>5292424.0</v>
      </c>
      <c r="B986" s="1" t="s">
        <v>1640</v>
      </c>
      <c r="C986" s="1" t="s">
        <v>1641</v>
      </c>
      <c r="D986" s="1" t="s">
        <v>224</v>
      </c>
      <c r="E986" s="1" t="s">
        <v>821</v>
      </c>
      <c r="F986" s="1" t="s">
        <v>6717</v>
      </c>
      <c r="G986" s="1" t="str">
        <f>IFERROR(VLOOKUP(A986,H_C!$A$2:$G$2628,7,0),"Validar HC")</f>
        <v>Garatejo, Natalia</v>
      </c>
      <c r="H986" s="164">
        <v>1623501.0</v>
      </c>
      <c r="I986" s="1">
        <v>42.0</v>
      </c>
    </row>
    <row r="987" ht="15.75" customHeight="1">
      <c r="A987" s="1">
        <v>5292425.0</v>
      </c>
      <c r="B987" s="1" t="s">
        <v>3536</v>
      </c>
      <c r="C987" s="1" t="s">
        <v>3537</v>
      </c>
      <c r="D987" s="1" t="s">
        <v>224</v>
      </c>
      <c r="E987" s="1" t="s">
        <v>316</v>
      </c>
      <c r="F987" s="1" t="s">
        <v>6717</v>
      </c>
      <c r="G987" s="1" t="str">
        <f>IFERROR(VLOOKUP(A987,H_C!$A$2:$G$2628,7,0),"Validar HC")</f>
        <v>Osorio, Julian</v>
      </c>
      <c r="H987" s="164">
        <v>1623501.0</v>
      </c>
      <c r="I987" s="1">
        <v>42.0</v>
      </c>
    </row>
    <row r="988" ht="15.75" customHeight="1">
      <c r="A988" s="1">
        <v>5292438.0</v>
      </c>
      <c r="B988" s="1" t="s">
        <v>3540</v>
      </c>
      <c r="C988" s="1" t="s">
        <v>3541</v>
      </c>
      <c r="D988" s="1" t="s">
        <v>224</v>
      </c>
      <c r="E988" s="1" t="s">
        <v>1695</v>
      </c>
      <c r="F988" s="1" t="s">
        <v>6717</v>
      </c>
      <c r="G988" s="1" t="str">
        <f>IFERROR(VLOOKUP(A988,H_C!$A$2:$G$2628,7,0),"Validar HC")</f>
        <v>Ayala, Giselle</v>
      </c>
      <c r="H988" s="164">
        <v>1623501.0</v>
      </c>
      <c r="I988" s="1">
        <v>42.0</v>
      </c>
    </row>
    <row r="989" ht="15.75" customHeight="1">
      <c r="A989" s="1">
        <v>5292443.0</v>
      </c>
      <c r="B989" s="1" t="s">
        <v>3542</v>
      </c>
      <c r="C989" s="1" t="s">
        <v>3543</v>
      </c>
      <c r="D989" s="1" t="s">
        <v>224</v>
      </c>
      <c r="E989" s="1" t="s">
        <v>1746</v>
      </c>
      <c r="F989" s="1" t="s">
        <v>6717</v>
      </c>
      <c r="G989" s="1" t="str">
        <f>IFERROR(VLOOKUP(A989,H_C!$A$2:$G$2628,7,0),"Validar HC")</f>
        <v>Ayala, Giselle</v>
      </c>
      <c r="H989" s="164">
        <v>1623501.0</v>
      </c>
      <c r="I989" s="1">
        <v>42.0</v>
      </c>
    </row>
    <row r="990" ht="15.75" customHeight="1">
      <c r="A990" s="1">
        <v>5295569.0</v>
      </c>
      <c r="B990" s="1" t="s">
        <v>3544</v>
      </c>
      <c r="C990" s="1" t="s">
        <v>3545</v>
      </c>
      <c r="D990" s="1" t="s">
        <v>224</v>
      </c>
      <c r="E990" s="1" t="s">
        <v>555</v>
      </c>
      <c r="F990" s="1" t="s">
        <v>6717</v>
      </c>
      <c r="G990" s="1" t="str">
        <f>IFERROR(VLOOKUP(A990,H_C!$A$2:$G$2628,7,0),"Validar HC")</f>
        <v>Ayala, Giselle</v>
      </c>
      <c r="H990" s="164">
        <v>1623501.0</v>
      </c>
      <c r="I990" s="1">
        <v>42.0</v>
      </c>
    </row>
    <row r="991" ht="15.75" customHeight="1">
      <c r="A991" s="1">
        <v>5295598.0</v>
      </c>
      <c r="B991" s="1" t="s">
        <v>3548</v>
      </c>
      <c r="C991" s="1" t="s">
        <v>3549</v>
      </c>
      <c r="D991" s="1" t="s">
        <v>224</v>
      </c>
      <c r="E991" s="1" t="s">
        <v>847</v>
      </c>
      <c r="F991" s="1" t="s">
        <v>6717</v>
      </c>
      <c r="G991" s="1" t="str">
        <f>IFERROR(VLOOKUP(A991,H_C!$A$2:$G$2628,7,0),"Validar HC")</f>
        <v>Garatejo, Natalia</v>
      </c>
      <c r="H991" s="164">
        <v>1623501.0</v>
      </c>
      <c r="I991" s="1">
        <v>42.0</v>
      </c>
    </row>
    <row r="992" ht="15.75" customHeight="1">
      <c r="A992" s="1">
        <v>5295601.0</v>
      </c>
      <c r="B992" s="1" t="s">
        <v>3552</v>
      </c>
      <c r="C992" s="1" t="s">
        <v>3553</v>
      </c>
      <c r="D992" s="1" t="s">
        <v>224</v>
      </c>
      <c r="E992" s="1" t="s">
        <v>835</v>
      </c>
      <c r="F992" s="1" t="s">
        <v>6717</v>
      </c>
      <c r="G992" s="1" t="str">
        <f>IFERROR(VLOOKUP(A992,H_C!$A$2:$G$2628,7,0),"Validar HC")</f>
        <v>Martinez, Wendy</v>
      </c>
      <c r="H992" s="164">
        <v>1623501.0</v>
      </c>
      <c r="I992" s="1">
        <v>42.0</v>
      </c>
    </row>
    <row r="993" ht="15.75" customHeight="1">
      <c r="A993" s="1">
        <v>5295602.0</v>
      </c>
      <c r="B993" s="1" t="s">
        <v>845</v>
      </c>
      <c r="C993" s="1" t="s">
        <v>846</v>
      </c>
      <c r="D993" s="1" t="s">
        <v>224</v>
      </c>
      <c r="E993" s="1" t="s">
        <v>587</v>
      </c>
      <c r="F993" s="1" t="s">
        <v>6717</v>
      </c>
      <c r="G993" s="1" t="str">
        <f>IFERROR(VLOOKUP(A993,H_C!$A$2:$G$2628,7,0),"Validar HC")</f>
        <v>Garcia, Helmer</v>
      </c>
      <c r="H993" s="164">
        <v>1623501.0</v>
      </c>
      <c r="I993" s="1">
        <v>42.0</v>
      </c>
    </row>
    <row r="994" ht="15.75" customHeight="1">
      <c r="A994" s="1">
        <v>5295727.0</v>
      </c>
      <c r="B994" s="1" t="s">
        <v>3558</v>
      </c>
      <c r="C994" s="1" t="s">
        <v>3559</v>
      </c>
      <c r="D994" s="1" t="s">
        <v>224</v>
      </c>
      <c r="E994" s="1" t="s">
        <v>847</v>
      </c>
      <c r="F994" s="1" t="s">
        <v>6717</v>
      </c>
      <c r="G994" s="1" t="str">
        <f>IFERROR(VLOOKUP(A994,H_C!$A$2:$G$2628,7,0),"Validar HC")</f>
        <v>Garatejo, Natalia</v>
      </c>
      <c r="H994" s="164">
        <v>1623501.0</v>
      </c>
      <c r="I994" s="1">
        <v>42.0</v>
      </c>
    </row>
    <row r="995" ht="15.75" customHeight="1">
      <c r="A995" s="1">
        <v>5295729.0</v>
      </c>
      <c r="B995" s="1" t="s">
        <v>3562</v>
      </c>
      <c r="C995" s="1" t="s">
        <v>3563</v>
      </c>
      <c r="D995" s="1" t="s">
        <v>224</v>
      </c>
      <c r="E995" s="1" t="s">
        <v>478</v>
      </c>
      <c r="F995" s="1" t="s">
        <v>6717</v>
      </c>
      <c r="G995" s="1" t="str">
        <f>IFERROR(VLOOKUP(A995,H_C!$A$2:$G$2628,7,0),"Validar HC")</f>
        <v>Celi, Juan</v>
      </c>
      <c r="H995" s="164">
        <v>1623501.0</v>
      </c>
      <c r="I995" s="1">
        <v>42.0</v>
      </c>
    </row>
    <row r="996" ht="15.75" customHeight="1">
      <c r="A996" s="1">
        <v>5296706.0</v>
      </c>
      <c r="B996" s="1" t="s">
        <v>1468</v>
      </c>
      <c r="C996" s="1" t="s">
        <v>1469</v>
      </c>
      <c r="D996" s="1" t="s">
        <v>224</v>
      </c>
      <c r="E996" s="1" t="s">
        <v>289</v>
      </c>
      <c r="F996" s="1" t="s">
        <v>6717</v>
      </c>
      <c r="G996" s="1" t="str">
        <f>IFERROR(VLOOKUP(A996,H_C!$A$2:$G$2628,7,0),"Validar HC")</f>
        <v>Celi, Juan</v>
      </c>
      <c r="H996" s="164">
        <v>1623501.0</v>
      </c>
      <c r="I996" s="1">
        <v>42.0</v>
      </c>
    </row>
    <row r="997" ht="15.75" customHeight="1">
      <c r="A997" s="1">
        <v>5296718.0</v>
      </c>
      <c r="B997" s="1" t="s">
        <v>3568</v>
      </c>
      <c r="C997" s="1" t="s">
        <v>3569</v>
      </c>
      <c r="D997" s="1" t="s">
        <v>224</v>
      </c>
      <c r="E997" s="1" t="s">
        <v>478</v>
      </c>
      <c r="F997" s="1" t="s">
        <v>6717</v>
      </c>
      <c r="G997" s="1" t="str">
        <f>IFERROR(VLOOKUP(A997,H_C!$A$2:$G$2628,7,0),"Validar HC")</f>
        <v>Celi, Juan</v>
      </c>
      <c r="H997" s="164">
        <v>1623501.0</v>
      </c>
      <c r="I997" s="1">
        <v>42.0</v>
      </c>
    </row>
    <row r="998" ht="15.75" customHeight="1">
      <c r="A998" s="1">
        <v>5296778.0</v>
      </c>
      <c r="B998" s="1" t="s">
        <v>3572</v>
      </c>
      <c r="C998" s="1" t="s">
        <v>3573</v>
      </c>
      <c r="D998" s="1" t="s">
        <v>224</v>
      </c>
      <c r="E998" s="1" t="s">
        <v>806</v>
      </c>
      <c r="F998" s="1" t="s">
        <v>6717</v>
      </c>
      <c r="G998" s="1" t="str">
        <f>IFERROR(VLOOKUP(A998,H_C!$A$2:$G$2628,7,0),"Validar HC")</f>
        <v>Gonzalez, Cristian</v>
      </c>
      <c r="H998" s="164">
        <v>1623501.0</v>
      </c>
      <c r="I998" s="1">
        <v>42.0</v>
      </c>
    </row>
    <row r="999" ht="15.75" customHeight="1">
      <c r="A999" s="1">
        <v>5296788.0</v>
      </c>
      <c r="B999" s="1" t="s">
        <v>2356</v>
      </c>
      <c r="C999" s="1" t="s">
        <v>2357</v>
      </c>
      <c r="D999" s="1" t="s">
        <v>224</v>
      </c>
      <c r="E999" s="1" t="s">
        <v>81</v>
      </c>
      <c r="F999" s="1" t="s">
        <v>6717</v>
      </c>
      <c r="G999" s="1" t="str">
        <f>IFERROR(VLOOKUP(A999,H_C!$A$2:$G$2628,7,0),"Validar HC")</f>
        <v>Ospina, Michel</v>
      </c>
      <c r="H999" s="164">
        <v>1623501.0</v>
      </c>
      <c r="I999" s="1">
        <v>42.0</v>
      </c>
    </row>
    <row r="1000" ht="15.75" customHeight="1">
      <c r="A1000" s="1">
        <v>5297866.0</v>
      </c>
      <c r="B1000" s="1" t="s">
        <v>3578</v>
      </c>
      <c r="C1000" s="1" t="s">
        <v>3579</v>
      </c>
      <c r="D1000" s="1" t="s">
        <v>224</v>
      </c>
      <c r="E1000" s="1" t="s">
        <v>478</v>
      </c>
      <c r="F1000" s="1" t="s">
        <v>6717</v>
      </c>
      <c r="G1000" s="1" t="str">
        <f>IFERROR(VLOOKUP(A1000,H_C!$A$2:$G$2628,7,0),"Validar HC")</f>
        <v>Celi, Juan</v>
      </c>
      <c r="H1000" s="164">
        <v>1623501.0</v>
      </c>
      <c r="I1000" s="1">
        <v>42.0</v>
      </c>
    </row>
    <row r="1001" ht="15.75" customHeight="1">
      <c r="A1001" s="1">
        <v>5297875.0</v>
      </c>
      <c r="B1001" s="1" t="s">
        <v>3582</v>
      </c>
      <c r="C1001" s="1" t="s">
        <v>3583</v>
      </c>
      <c r="D1001" s="1" t="s">
        <v>224</v>
      </c>
      <c r="E1001" s="1" t="s">
        <v>1143</v>
      </c>
      <c r="F1001" s="1" t="s">
        <v>6717</v>
      </c>
      <c r="G1001" s="1" t="str">
        <f>IFERROR(VLOOKUP(A1001,H_C!$A$2:$G$2628,7,0),"Validar HC")</f>
        <v>Celi, Juan</v>
      </c>
      <c r="H1001" s="164">
        <v>1623501.0</v>
      </c>
      <c r="I1001" s="1">
        <v>42.0</v>
      </c>
    </row>
    <row r="1002" ht="15.75" customHeight="1">
      <c r="A1002" s="1">
        <v>5297877.0</v>
      </c>
      <c r="B1002" s="1" t="s">
        <v>1169</v>
      </c>
      <c r="C1002" s="1" t="s">
        <v>1170</v>
      </c>
      <c r="D1002" s="1" t="s">
        <v>224</v>
      </c>
      <c r="E1002" s="1" t="s">
        <v>263</v>
      </c>
      <c r="F1002" s="1" t="s">
        <v>6717</v>
      </c>
      <c r="G1002" s="1" t="str">
        <f>IFERROR(VLOOKUP(A1002,H_C!$A$2:$G$2628,7,0),"Validar HC")</f>
        <v>Garcia, Helmer</v>
      </c>
      <c r="H1002" s="164">
        <v>1623501.0</v>
      </c>
      <c r="I1002" s="1">
        <v>42.0</v>
      </c>
    </row>
    <row r="1003" ht="15.75" customHeight="1">
      <c r="A1003" s="1">
        <v>5297879.0</v>
      </c>
      <c r="B1003" s="1" t="s">
        <v>3586</v>
      </c>
      <c r="C1003" s="1" t="s">
        <v>3587</v>
      </c>
      <c r="D1003" s="1" t="s">
        <v>224</v>
      </c>
      <c r="E1003" s="1" t="s">
        <v>374</v>
      </c>
      <c r="F1003" s="1" t="s">
        <v>6717</v>
      </c>
      <c r="G1003" s="1" t="str">
        <f>IFERROR(VLOOKUP(A1003,H_C!$A$2:$G$2628,7,0),"Validar HC")</f>
        <v>Martinez, Wendy</v>
      </c>
      <c r="H1003" s="164">
        <v>1623501.0</v>
      </c>
      <c r="I1003" s="1">
        <v>42.0</v>
      </c>
    </row>
    <row r="1004" ht="15.75" customHeight="1">
      <c r="A1004" s="1">
        <v>5298014.0</v>
      </c>
      <c r="B1004" s="1" t="s">
        <v>3590</v>
      </c>
      <c r="C1004" s="1" t="s">
        <v>3591</v>
      </c>
      <c r="D1004" s="1" t="s">
        <v>224</v>
      </c>
      <c r="E1004" s="1" t="s">
        <v>374</v>
      </c>
      <c r="F1004" s="1" t="s">
        <v>6717</v>
      </c>
      <c r="G1004" s="1" t="str">
        <f>IFERROR(VLOOKUP(A1004,H_C!$A$2:$G$2628,7,0),"Validar HC")</f>
        <v>Martinez, Wendy</v>
      </c>
      <c r="H1004" s="164">
        <v>1623501.0</v>
      </c>
      <c r="I1004" s="1">
        <v>42.0</v>
      </c>
    </row>
    <row r="1005" ht="15.75" customHeight="1">
      <c r="A1005" s="1">
        <v>5302311.0</v>
      </c>
      <c r="B1005" s="1" t="s">
        <v>3242</v>
      </c>
      <c r="C1005" s="1" t="s">
        <v>3243</v>
      </c>
      <c r="D1005" s="1" t="s">
        <v>224</v>
      </c>
      <c r="E1005" s="1" t="s">
        <v>113</v>
      </c>
      <c r="F1005" s="1" t="s">
        <v>6717</v>
      </c>
      <c r="G1005" s="1" t="str">
        <f>IFERROR(VLOOKUP(A1005,H_C!$A$2:$G$2628,7,0),"Validar HC")</f>
        <v>Soler, Maria</v>
      </c>
      <c r="H1005" s="164">
        <v>1623501.0</v>
      </c>
      <c r="I1005" s="1">
        <v>42.0</v>
      </c>
    </row>
    <row r="1006" ht="15.75" customHeight="1">
      <c r="A1006" s="1">
        <v>5305585.0</v>
      </c>
      <c r="B1006" s="1" t="s">
        <v>3596</v>
      </c>
      <c r="C1006" s="1" t="s">
        <v>3597</v>
      </c>
      <c r="D1006" s="1" t="s">
        <v>224</v>
      </c>
      <c r="E1006" s="1" t="s">
        <v>425</v>
      </c>
      <c r="F1006" s="1" t="s">
        <v>6717</v>
      </c>
      <c r="G1006" s="1" t="str">
        <f>IFERROR(VLOOKUP(A1006,H_C!$A$2:$G$2628,7,0),"Validar HC")</f>
        <v>Ospina, Michel</v>
      </c>
      <c r="H1006" s="164">
        <v>1623501.0</v>
      </c>
      <c r="I1006" s="1">
        <v>42.0</v>
      </c>
    </row>
    <row r="1007" ht="15.75" customHeight="1">
      <c r="A1007" s="1">
        <v>5305615.0</v>
      </c>
      <c r="B1007" s="1" t="s">
        <v>3219</v>
      </c>
      <c r="C1007" s="1" t="s">
        <v>3220</v>
      </c>
      <c r="D1007" s="1" t="s">
        <v>224</v>
      </c>
      <c r="E1007" s="1" t="s">
        <v>113</v>
      </c>
      <c r="F1007" s="1" t="s">
        <v>6717</v>
      </c>
      <c r="G1007" s="1" t="str">
        <f>IFERROR(VLOOKUP(A1007,H_C!$A$2:$G$2628,7,0),"Validar HC")</f>
        <v>Soler, Maria</v>
      </c>
      <c r="H1007" s="164">
        <v>1623501.0</v>
      </c>
      <c r="I1007" s="1">
        <v>42.0</v>
      </c>
    </row>
    <row r="1008" ht="15.75" customHeight="1">
      <c r="A1008" s="1">
        <v>5309251.0</v>
      </c>
      <c r="B1008" s="1" t="s">
        <v>3602</v>
      </c>
      <c r="C1008" s="1" t="s">
        <v>3603</v>
      </c>
      <c r="D1008" s="1" t="s">
        <v>224</v>
      </c>
      <c r="E1008" s="1" t="s">
        <v>738</v>
      </c>
      <c r="F1008" s="1" t="s">
        <v>6717</v>
      </c>
      <c r="G1008" s="1" t="str">
        <f>IFERROR(VLOOKUP(A1008,H_C!$A$2:$G$2628,7,0),"Validar HC")</f>
        <v>Garcia, Helmer</v>
      </c>
      <c r="H1008" s="164">
        <v>1623501.0</v>
      </c>
      <c r="I1008" s="1">
        <v>42.0</v>
      </c>
    </row>
    <row r="1009" ht="15.75" customHeight="1">
      <c r="A1009" s="1">
        <v>5310410.0</v>
      </c>
      <c r="B1009" s="1" t="s">
        <v>3606</v>
      </c>
      <c r="C1009" s="1" t="s">
        <v>3607</v>
      </c>
      <c r="D1009" s="1" t="s">
        <v>224</v>
      </c>
      <c r="E1009" s="1" t="s">
        <v>113</v>
      </c>
      <c r="F1009" s="1" t="s">
        <v>6717</v>
      </c>
      <c r="G1009" s="1" t="str">
        <f>IFERROR(VLOOKUP(A1009,H_C!$A$2:$G$2628,7,0),"Validar HC")</f>
        <v>Soler, Maria</v>
      </c>
      <c r="H1009" s="164">
        <v>1623501.0</v>
      </c>
      <c r="I1009" s="1">
        <v>42.0</v>
      </c>
    </row>
    <row r="1010" ht="15.75" customHeight="1">
      <c r="A1010" s="1">
        <v>5311615.0</v>
      </c>
      <c r="B1010" s="1" t="s">
        <v>3610</v>
      </c>
      <c r="C1010" s="1" t="s">
        <v>3611</v>
      </c>
      <c r="D1010" s="1" t="s">
        <v>224</v>
      </c>
      <c r="E1010" s="1" t="s">
        <v>1143</v>
      </c>
      <c r="F1010" s="1" t="s">
        <v>6717</v>
      </c>
      <c r="G1010" s="1" t="str">
        <f>IFERROR(VLOOKUP(A1010,H_C!$A$2:$G$2628,7,0),"Validar HC")</f>
        <v>Celi, Juan</v>
      </c>
      <c r="H1010" s="164">
        <v>1623501.0</v>
      </c>
      <c r="I1010" s="1">
        <v>42.0</v>
      </c>
    </row>
    <row r="1011" ht="15.75" customHeight="1">
      <c r="A1011" s="1">
        <v>5311826.0</v>
      </c>
      <c r="B1011" s="1" t="s">
        <v>767</v>
      </c>
      <c r="C1011" s="1" t="s">
        <v>768</v>
      </c>
      <c r="D1011" s="1" t="s">
        <v>224</v>
      </c>
      <c r="E1011" s="1" t="s">
        <v>289</v>
      </c>
      <c r="F1011" s="1" t="s">
        <v>6717</v>
      </c>
      <c r="G1011" s="1" t="str">
        <f>IFERROR(VLOOKUP(A1011,H_C!$A$2:$G$2628,7,0),"Validar HC")</f>
        <v>Celi, Juan</v>
      </c>
      <c r="H1011" s="164">
        <v>1623501.0</v>
      </c>
      <c r="I1011" s="1">
        <v>42.0</v>
      </c>
    </row>
    <row r="1012" ht="15.75" customHeight="1">
      <c r="A1012" s="1">
        <v>5311828.0</v>
      </c>
      <c r="B1012" s="1" t="s">
        <v>3616</v>
      </c>
      <c r="C1012" s="1" t="s">
        <v>3617</v>
      </c>
      <c r="D1012" s="1" t="s">
        <v>224</v>
      </c>
      <c r="E1012" s="1" t="s">
        <v>1602</v>
      </c>
      <c r="F1012" s="1" t="s">
        <v>6717</v>
      </c>
      <c r="G1012" s="1" t="str">
        <f>IFERROR(VLOOKUP(A1012,H_C!$A$2:$G$2628,7,0),"Validar HC")</f>
        <v>Ayala, Giselle</v>
      </c>
      <c r="H1012" s="164">
        <v>1623501.0</v>
      </c>
      <c r="I1012" s="1">
        <v>42.0</v>
      </c>
    </row>
    <row r="1013" ht="15.75" customHeight="1">
      <c r="A1013" s="1">
        <v>5313582.0</v>
      </c>
      <c r="B1013" s="1" t="s">
        <v>1470</v>
      </c>
      <c r="C1013" s="1" t="s">
        <v>1471</v>
      </c>
      <c r="D1013" s="1" t="s">
        <v>224</v>
      </c>
      <c r="E1013" s="1" t="s">
        <v>289</v>
      </c>
      <c r="F1013" s="1" t="s">
        <v>6717</v>
      </c>
      <c r="G1013" s="1" t="str">
        <f>IFERROR(VLOOKUP(A1013,H_C!$A$2:$G$2628,7,0),"Validar HC")</f>
        <v>Celi, Juan</v>
      </c>
      <c r="H1013" s="164">
        <v>1623501.0</v>
      </c>
      <c r="I1013" s="1">
        <v>42.0</v>
      </c>
    </row>
    <row r="1014" ht="15.75" customHeight="1">
      <c r="A1014" s="1">
        <v>5313584.0</v>
      </c>
      <c r="B1014" s="1" t="s">
        <v>3623</v>
      </c>
      <c r="C1014" s="1" t="s">
        <v>3624</v>
      </c>
      <c r="D1014" s="1" t="s">
        <v>224</v>
      </c>
      <c r="E1014" s="1" t="s">
        <v>457</v>
      </c>
      <c r="F1014" s="1" t="s">
        <v>6717</v>
      </c>
      <c r="G1014" s="1" t="str">
        <f>IFERROR(VLOOKUP(A1014,H_C!$A$2:$G$2628,7,0),"Validar HC")</f>
        <v>Celi, Juan</v>
      </c>
      <c r="H1014" s="164">
        <v>1623501.0</v>
      </c>
      <c r="I1014" s="1">
        <v>42.0</v>
      </c>
    </row>
    <row r="1015" ht="15.75" customHeight="1">
      <c r="A1015" s="1">
        <v>5313595.0</v>
      </c>
      <c r="B1015" s="1" t="s">
        <v>3627</v>
      </c>
      <c r="C1015" s="1" t="s">
        <v>3628</v>
      </c>
      <c r="D1015" s="1" t="s">
        <v>224</v>
      </c>
      <c r="E1015" s="1" t="s">
        <v>457</v>
      </c>
      <c r="F1015" s="1" t="s">
        <v>6717</v>
      </c>
      <c r="G1015" s="1" t="str">
        <f>IFERROR(VLOOKUP(A1015,H_C!$A$2:$G$2628,7,0),"Validar HC")</f>
        <v>Celi, Juan</v>
      </c>
      <c r="H1015" s="164">
        <v>1623501.0</v>
      </c>
      <c r="I1015" s="1">
        <v>42.0</v>
      </c>
    </row>
    <row r="1016" ht="15.75" customHeight="1">
      <c r="A1016" s="1">
        <v>5313602.0</v>
      </c>
      <c r="B1016" s="1" t="s">
        <v>3631</v>
      </c>
      <c r="C1016" s="1" t="s">
        <v>3632</v>
      </c>
      <c r="D1016" s="1" t="s">
        <v>224</v>
      </c>
      <c r="E1016" s="1" t="s">
        <v>331</v>
      </c>
      <c r="F1016" s="1" t="s">
        <v>6717</v>
      </c>
      <c r="G1016" s="1" t="str">
        <f>IFERROR(VLOOKUP(A1016,H_C!$A$2:$G$2628,7,0),"Validar HC")</f>
        <v>Garatejo, Natalia</v>
      </c>
      <c r="H1016" s="164">
        <v>1623501.0</v>
      </c>
      <c r="I1016" s="1">
        <v>42.0</v>
      </c>
    </row>
    <row r="1017" ht="15.75" customHeight="1">
      <c r="A1017" s="1">
        <v>5313604.0</v>
      </c>
      <c r="B1017" s="1" t="s">
        <v>1711</v>
      </c>
      <c r="C1017" s="1" t="s">
        <v>1712</v>
      </c>
      <c r="D1017" s="1" t="s">
        <v>224</v>
      </c>
      <c r="E1017" s="1" t="s">
        <v>416</v>
      </c>
      <c r="F1017" s="1" t="s">
        <v>6717</v>
      </c>
      <c r="G1017" s="1" t="str">
        <f>IFERROR(VLOOKUP(A1017,H_C!$A$2:$G$2628,7,0),"Validar HC")</f>
        <v>Soler, Maria</v>
      </c>
      <c r="H1017" s="164">
        <v>1623501.0</v>
      </c>
      <c r="I1017" s="1">
        <v>42.0</v>
      </c>
    </row>
    <row r="1018" ht="15.75" customHeight="1">
      <c r="A1018" s="1">
        <v>5314863.0</v>
      </c>
      <c r="B1018" s="1" t="s">
        <v>3637</v>
      </c>
      <c r="C1018" s="1" t="s">
        <v>3638</v>
      </c>
      <c r="D1018" s="1" t="s">
        <v>224</v>
      </c>
      <c r="E1018" s="1" t="s">
        <v>3225</v>
      </c>
      <c r="F1018" s="1" t="s">
        <v>6717</v>
      </c>
      <c r="G1018" s="1" t="str">
        <f>IFERROR(VLOOKUP(A1018,H_C!$A$2:$G$2628,7,0),"Validar HC")</f>
        <v>Ayala, Giselle</v>
      </c>
      <c r="H1018" s="164">
        <v>1623501.0</v>
      </c>
      <c r="I1018" s="1">
        <v>42.0</v>
      </c>
    </row>
    <row r="1019" ht="15.75" customHeight="1">
      <c r="A1019" s="1">
        <v>5315203.0</v>
      </c>
      <c r="B1019" s="1" t="s">
        <v>1008</v>
      </c>
      <c r="C1019" s="1" t="s">
        <v>1009</v>
      </c>
      <c r="D1019" s="1" t="s">
        <v>224</v>
      </c>
      <c r="E1019" s="1" t="s">
        <v>254</v>
      </c>
      <c r="F1019" s="1" t="s">
        <v>6717</v>
      </c>
      <c r="G1019" s="1" t="str">
        <f>IFERROR(VLOOKUP(A1019,H_C!$A$2:$G$2628,7,0),"Validar HC")</f>
        <v>Gonzalez, Cristian</v>
      </c>
      <c r="H1019" s="164">
        <v>1623501.0</v>
      </c>
      <c r="I1019" s="1">
        <v>42.0</v>
      </c>
    </row>
    <row r="1020" ht="15.75" customHeight="1">
      <c r="A1020" s="1">
        <v>5316618.0</v>
      </c>
      <c r="B1020" s="1" t="s">
        <v>2760</v>
      </c>
      <c r="C1020" s="1" t="s">
        <v>2761</v>
      </c>
      <c r="D1020" s="1" t="s">
        <v>224</v>
      </c>
      <c r="E1020" s="1" t="s">
        <v>121</v>
      </c>
      <c r="F1020" s="1" t="s">
        <v>6717</v>
      </c>
      <c r="G1020" s="1" t="str">
        <f>IFERROR(VLOOKUP(A1020,H_C!$A$2:$G$2628,7,0),"Validar HC")</f>
        <v>Ospina, Michel</v>
      </c>
      <c r="H1020" s="164">
        <v>1623501.0</v>
      </c>
      <c r="I1020" s="1">
        <v>42.0</v>
      </c>
    </row>
    <row r="1021" ht="15.75" customHeight="1">
      <c r="A1021" s="1">
        <v>5316639.0</v>
      </c>
      <c r="B1021" s="1" t="s">
        <v>1699</v>
      </c>
      <c r="C1021" s="1" t="s">
        <v>1700</v>
      </c>
      <c r="D1021" s="1" t="s">
        <v>224</v>
      </c>
      <c r="E1021" s="1" t="s">
        <v>416</v>
      </c>
      <c r="F1021" s="1" t="s">
        <v>6717</v>
      </c>
      <c r="G1021" s="1" t="str">
        <f>IFERROR(VLOOKUP(A1021,H_C!$A$2:$G$2628,7,0),"Validar HC")</f>
        <v>Soler, Maria</v>
      </c>
      <c r="H1021" s="164">
        <v>1623501.0</v>
      </c>
      <c r="I1021" s="1">
        <v>42.0</v>
      </c>
    </row>
    <row r="1022" ht="15.75" customHeight="1">
      <c r="A1022" s="1">
        <v>5316838.0</v>
      </c>
      <c r="B1022" s="1" t="s">
        <v>3649</v>
      </c>
      <c r="C1022" s="1" t="s">
        <v>3650</v>
      </c>
      <c r="D1022" s="1" t="s">
        <v>224</v>
      </c>
      <c r="E1022" s="1" t="s">
        <v>316</v>
      </c>
      <c r="F1022" s="1" t="s">
        <v>6717</v>
      </c>
      <c r="G1022" s="1" t="str">
        <f>IFERROR(VLOOKUP(A1022,H_C!$A$2:$G$2628,7,0),"Validar HC")</f>
        <v>Osorio, Julian</v>
      </c>
      <c r="H1022" s="164">
        <v>1623501.0</v>
      </c>
      <c r="I1022" s="1">
        <v>42.0</v>
      </c>
    </row>
    <row r="1023" ht="15.75" customHeight="1">
      <c r="A1023" s="1">
        <v>5318057.0</v>
      </c>
      <c r="B1023" s="1" t="s">
        <v>3653</v>
      </c>
      <c r="C1023" s="1" t="s">
        <v>3654</v>
      </c>
      <c r="D1023" s="1" t="s">
        <v>224</v>
      </c>
      <c r="E1023" s="1" t="s">
        <v>361</v>
      </c>
      <c r="F1023" s="1" t="s">
        <v>6717</v>
      </c>
      <c r="G1023" s="1" t="str">
        <f>IFERROR(VLOOKUP(A1023,H_C!$A$2:$G$2628,7,0),"Validar HC")</f>
        <v>Gonzalez, Cristian</v>
      </c>
      <c r="H1023" s="164">
        <v>1623501.0</v>
      </c>
      <c r="I1023" s="1">
        <v>42.0</v>
      </c>
    </row>
    <row r="1024" ht="15.75" customHeight="1">
      <c r="A1024" s="1">
        <v>5318583.0</v>
      </c>
      <c r="B1024" s="1" t="s">
        <v>3656</v>
      </c>
      <c r="C1024" s="1" t="s">
        <v>3657</v>
      </c>
      <c r="D1024" s="1" t="s">
        <v>224</v>
      </c>
      <c r="E1024" s="1" t="s">
        <v>835</v>
      </c>
      <c r="F1024" s="1" t="s">
        <v>6717</v>
      </c>
      <c r="G1024" s="1" t="str">
        <f>IFERROR(VLOOKUP(A1024,H_C!$A$2:$G$2628,7,0),"Validar HC")</f>
        <v>Martinez, Wendy</v>
      </c>
      <c r="H1024" s="164">
        <v>1623501.0</v>
      </c>
      <c r="I1024" s="1">
        <v>42.0</v>
      </c>
    </row>
    <row r="1025" ht="15.75" customHeight="1">
      <c r="A1025" s="1">
        <v>5318586.0</v>
      </c>
      <c r="B1025" s="1" t="s">
        <v>3660</v>
      </c>
      <c r="C1025" s="1" t="s">
        <v>3661</v>
      </c>
      <c r="D1025" s="1" t="s">
        <v>224</v>
      </c>
      <c r="E1025" s="1" t="s">
        <v>485</v>
      </c>
      <c r="F1025" s="1" t="s">
        <v>6717</v>
      </c>
      <c r="G1025" s="1" t="str">
        <f>IFERROR(VLOOKUP(A1025,H_C!$A$2:$G$2628,7,0),"Validar HC")</f>
        <v>Martinez, Wendy</v>
      </c>
      <c r="H1025" s="164">
        <v>1623501.0</v>
      </c>
      <c r="I1025" s="1">
        <v>42.0</v>
      </c>
    </row>
    <row r="1026" ht="15.75" customHeight="1">
      <c r="A1026" s="1">
        <v>5319897.0</v>
      </c>
      <c r="B1026" s="1" t="s">
        <v>3664</v>
      </c>
      <c r="C1026" s="1" t="s">
        <v>3665</v>
      </c>
      <c r="D1026" s="1" t="s">
        <v>224</v>
      </c>
      <c r="E1026" s="1" t="s">
        <v>485</v>
      </c>
      <c r="F1026" s="1" t="s">
        <v>6717</v>
      </c>
      <c r="G1026" s="1" t="str">
        <f>IFERROR(VLOOKUP(A1026,H_C!$A$2:$G$2628,7,0),"Validar HC")</f>
        <v>Martinez, Wendy</v>
      </c>
      <c r="H1026" s="164">
        <v>1623501.0</v>
      </c>
      <c r="I1026" s="1">
        <v>42.0</v>
      </c>
    </row>
    <row r="1027" ht="15.75" customHeight="1">
      <c r="A1027" s="1">
        <v>5320752.0</v>
      </c>
      <c r="B1027" s="1" t="s">
        <v>1259</v>
      </c>
      <c r="C1027" s="1" t="s">
        <v>1260</v>
      </c>
      <c r="D1027" s="1" t="s">
        <v>224</v>
      </c>
      <c r="E1027" s="1" t="s">
        <v>441</v>
      </c>
      <c r="F1027" s="1" t="s">
        <v>6717</v>
      </c>
      <c r="G1027" s="1" t="str">
        <f>IFERROR(VLOOKUP(A1027,H_C!$A$2:$G$2628,7,0),"Validar HC")</f>
        <v>Gonzalez, Cristian</v>
      </c>
      <c r="H1027" s="164">
        <v>1623501.0</v>
      </c>
      <c r="I1027" s="1">
        <v>42.0</v>
      </c>
    </row>
    <row r="1028" ht="15.75" customHeight="1">
      <c r="A1028" s="1">
        <v>5320995.0</v>
      </c>
      <c r="B1028" s="1" t="s">
        <v>84</v>
      </c>
      <c r="C1028" s="1" t="s">
        <v>2502</v>
      </c>
      <c r="D1028" s="1" t="s">
        <v>224</v>
      </c>
      <c r="E1028" s="1" t="s">
        <v>81</v>
      </c>
      <c r="F1028" s="1" t="s">
        <v>6717</v>
      </c>
      <c r="G1028" s="1" t="str">
        <f>IFERROR(VLOOKUP(A1028,H_C!$A$2:$G$2628,7,0),"Validar HC")</f>
        <v>Ospina, Michel</v>
      </c>
      <c r="H1028" s="164">
        <v>1623501.0</v>
      </c>
      <c r="I1028" s="1">
        <v>42.0</v>
      </c>
    </row>
    <row r="1029" ht="15.75" customHeight="1">
      <c r="A1029" s="1">
        <v>5651748.0</v>
      </c>
      <c r="B1029" s="1" t="s">
        <v>71</v>
      </c>
      <c r="C1029" s="1" t="s">
        <v>1396</v>
      </c>
      <c r="D1029" s="1" t="s">
        <v>224</v>
      </c>
      <c r="E1029" s="1" t="s">
        <v>13</v>
      </c>
      <c r="F1029" s="1" t="s">
        <v>6717</v>
      </c>
      <c r="G1029" s="1" t="str">
        <f>IFERROR(VLOOKUP(A1029,H_C!$A$2:$G$2628,7,0),"Validar HC")</f>
        <v>Ospina, Michel</v>
      </c>
      <c r="H1029" s="162">
        <v>1600000.0</v>
      </c>
      <c r="I1029" s="1">
        <v>42.0</v>
      </c>
    </row>
    <row r="1030" ht="15.75" customHeight="1">
      <c r="A1030" s="1">
        <v>5321000.0</v>
      </c>
      <c r="B1030" s="1" t="s">
        <v>115</v>
      </c>
      <c r="C1030" s="1" t="s">
        <v>2508</v>
      </c>
      <c r="D1030" s="1" t="s">
        <v>224</v>
      </c>
      <c r="E1030" s="1" t="s">
        <v>81</v>
      </c>
      <c r="F1030" s="1" t="s">
        <v>6717</v>
      </c>
      <c r="G1030" s="1" t="str">
        <f>IFERROR(VLOOKUP(A1030,H_C!$A$2:$G$2628,7,0),"Validar HC")</f>
        <v>Ospina, Michel</v>
      </c>
      <c r="H1030" s="164">
        <v>1623501.0</v>
      </c>
      <c r="I1030" s="1">
        <v>42.0</v>
      </c>
    </row>
    <row r="1031" ht="15.75" customHeight="1">
      <c r="A1031" s="1">
        <v>5333582.0</v>
      </c>
      <c r="B1031" s="1" t="s">
        <v>51</v>
      </c>
      <c r="C1031" s="1" t="s">
        <v>1399</v>
      </c>
      <c r="D1031" s="1" t="s">
        <v>224</v>
      </c>
      <c r="E1031" s="1" t="s">
        <v>13</v>
      </c>
      <c r="F1031" s="1" t="s">
        <v>6717</v>
      </c>
      <c r="G1031" s="1" t="str">
        <f>IFERROR(VLOOKUP(A1031,H_C!$A$2:$G$2628,7,0),"Validar HC")</f>
        <v>Ospina, Michel</v>
      </c>
      <c r="H1031" s="162">
        <v>1600000.0</v>
      </c>
      <c r="I1031" s="1">
        <v>42.0</v>
      </c>
    </row>
    <row r="1032" ht="15.75" customHeight="1">
      <c r="A1032" s="1">
        <v>5321006.0</v>
      </c>
      <c r="B1032" s="1" t="s">
        <v>47</v>
      </c>
      <c r="C1032" s="1" t="s">
        <v>2340</v>
      </c>
      <c r="D1032" s="1" t="s">
        <v>224</v>
      </c>
      <c r="E1032" s="1" t="s">
        <v>81</v>
      </c>
      <c r="F1032" s="1" t="s">
        <v>6717</v>
      </c>
      <c r="G1032" s="1" t="str">
        <f>IFERROR(VLOOKUP(A1032,H_C!$A$2:$G$2628,7,0),"Validar HC")</f>
        <v>Ospina, Michel</v>
      </c>
      <c r="H1032" s="164">
        <v>1623501.0</v>
      </c>
      <c r="I1032" s="1">
        <v>42.0</v>
      </c>
    </row>
    <row r="1033" ht="15.75" customHeight="1">
      <c r="A1033" s="1">
        <v>5321065.0</v>
      </c>
      <c r="B1033" s="1" t="s">
        <v>3680</v>
      </c>
      <c r="C1033" s="1" t="s">
        <v>3681</v>
      </c>
      <c r="D1033" s="1" t="s">
        <v>224</v>
      </c>
      <c r="E1033" s="1" t="s">
        <v>6747</v>
      </c>
      <c r="F1033" s="1" t="s">
        <v>6717</v>
      </c>
      <c r="G1033" s="1" t="str">
        <f>IFERROR(VLOOKUP(A1033,H_C!$A$2:$G$2628,7,0),"Validar HC")</f>
        <v>Ospina, Michel</v>
      </c>
      <c r="H1033" s="164">
        <v>1623501.0</v>
      </c>
      <c r="I1033" s="1">
        <v>42.0</v>
      </c>
    </row>
    <row r="1034" ht="15.75" customHeight="1">
      <c r="A1034" s="1">
        <v>5321070.0</v>
      </c>
      <c r="B1034" s="1" t="s">
        <v>3684</v>
      </c>
      <c r="C1034" s="1" t="s">
        <v>3685</v>
      </c>
      <c r="D1034" s="1" t="s">
        <v>224</v>
      </c>
      <c r="E1034" s="1" t="s">
        <v>361</v>
      </c>
      <c r="F1034" s="1" t="s">
        <v>6717</v>
      </c>
      <c r="G1034" s="1" t="str">
        <f>IFERROR(VLOOKUP(A1034,H_C!$A$2:$G$2628,7,0),"Validar HC")</f>
        <v>Gonzalez, Cristian</v>
      </c>
      <c r="H1034" s="164">
        <v>1623501.0</v>
      </c>
      <c r="I1034" s="1">
        <v>42.0</v>
      </c>
    </row>
    <row r="1035" ht="15.75" customHeight="1">
      <c r="A1035" s="1">
        <v>5321650.0</v>
      </c>
      <c r="B1035" s="1" t="s">
        <v>2976</v>
      </c>
      <c r="C1035" s="1" t="s">
        <v>2977</v>
      </c>
      <c r="D1035" s="1" t="s">
        <v>224</v>
      </c>
      <c r="E1035" s="1" t="s">
        <v>116</v>
      </c>
      <c r="F1035" s="1" t="s">
        <v>6717</v>
      </c>
      <c r="G1035" s="1" t="str">
        <f>IFERROR(VLOOKUP(A1035,H_C!$A$2:$G$2628,7,0),"Validar HC")</f>
        <v>Ospina, Michel</v>
      </c>
      <c r="H1035" s="164">
        <v>1623501.0</v>
      </c>
      <c r="I1035" s="1">
        <v>42.0</v>
      </c>
    </row>
    <row r="1036" ht="15.75" customHeight="1">
      <c r="A1036" s="1">
        <v>5327028.0</v>
      </c>
      <c r="B1036" s="1" t="s">
        <v>3153</v>
      </c>
      <c r="C1036" s="1" t="s">
        <v>3154</v>
      </c>
      <c r="D1036" s="1" t="s">
        <v>224</v>
      </c>
      <c r="E1036" s="1" t="s">
        <v>412</v>
      </c>
      <c r="F1036" s="1" t="s">
        <v>6717</v>
      </c>
      <c r="G1036" s="1" t="str">
        <f>IFERROR(VLOOKUP(A1036,H_C!$A$2:$G$2628,7,0),"Validar HC")</f>
        <v>Ospina, Michel</v>
      </c>
      <c r="H1036" s="164">
        <v>1623501.0</v>
      </c>
      <c r="I1036" s="1">
        <v>42.0</v>
      </c>
    </row>
    <row r="1037" ht="15.75" customHeight="1">
      <c r="A1037" s="1">
        <v>5327774.0</v>
      </c>
      <c r="B1037" s="1" t="s">
        <v>3692</v>
      </c>
      <c r="C1037" s="1" t="s">
        <v>3693</v>
      </c>
      <c r="D1037" s="1" t="s">
        <v>224</v>
      </c>
      <c r="E1037" s="1" t="s">
        <v>800</v>
      </c>
      <c r="F1037" s="1" t="s">
        <v>6717</v>
      </c>
      <c r="G1037" s="1" t="str">
        <f>IFERROR(VLOOKUP(A1037,H_C!$A$2:$G$2628,7,0),"Validar HC")</f>
        <v>Garatejo, Natalia</v>
      </c>
      <c r="H1037" s="164">
        <v>1623501.0</v>
      </c>
      <c r="I1037" s="1">
        <v>42.0</v>
      </c>
    </row>
    <row r="1038" ht="15.75" customHeight="1">
      <c r="A1038" s="1">
        <v>5333703.0</v>
      </c>
      <c r="B1038" s="1" t="s">
        <v>52</v>
      </c>
      <c r="C1038" s="1" t="s">
        <v>1400</v>
      </c>
      <c r="D1038" s="1" t="s">
        <v>224</v>
      </c>
      <c r="E1038" s="1" t="s">
        <v>13</v>
      </c>
      <c r="F1038" s="1" t="s">
        <v>6717</v>
      </c>
      <c r="G1038" s="1" t="str">
        <f>IFERROR(VLOOKUP(A1038,H_C!$A$2:$G$2628,7,0),"Validar HC")</f>
        <v>Ospina, Michel</v>
      </c>
      <c r="H1038" s="162">
        <v>1600000.0</v>
      </c>
      <c r="I1038" s="1">
        <v>42.0</v>
      </c>
    </row>
    <row r="1039" ht="15.75" customHeight="1">
      <c r="A1039" s="1">
        <v>5533585.0</v>
      </c>
      <c r="B1039" s="1" t="s">
        <v>68</v>
      </c>
      <c r="C1039" s="1" t="s">
        <v>1401</v>
      </c>
      <c r="D1039" s="1" t="s">
        <v>224</v>
      </c>
      <c r="E1039" s="1" t="s">
        <v>13</v>
      </c>
      <c r="F1039" s="1" t="s">
        <v>6717</v>
      </c>
      <c r="G1039" s="1" t="str">
        <f>IFERROR(VLOOKUP(A1039,H_C!$A$2:$G$2628,7,0),"Validar HC")</f>
        <v>Ospina, Michel</v>
      </c>
      <c r="H1039" s="162">
        <v>1600000.0</v>
      </c>
      <c r="I1039" s="1">
        <v>42.0</v>
      </c>
    </row>
    <row r="1040" ht="15.75" customHeight="1">
      <c r="A1040" s="1">
        <v>5327781.0</v>
      </c>
      <c r="B1040" s="1" t="s">
        <v>3698</v>
      </c>
      <c r="C1040" s="1" t="s">
        <v>3699</v>
      </c>
      <c r="D1040" s="1" t="s">
        <v>224</v>
      </c>
      <c r="E1040" s="1" t="s">
        <v>118</v>
      </c>
      <c r="F1040" s="1" t="s">
        <v>6717</v>
      </c>
      <c r="G1040" s="1" t="str">
        <f>IFERROR(VLOOKUP(A1040,H_C!$A$2:$G$2628,7,0),"Validar HC")</f>
        <v>Ospina, Michel</v>
      </c>
      <c r="H1040" s="164">
        <v>1623501.0</v>
      </c>
      <c r="I1040" s="1">
        <v>42.0</v>
      </c>
    </row>
    <row r="1041" ht="15.75" customHeight="1">
      <c r="A1041" s="1">
        <v>5327794.0</v>
      </c>
      <c r="B1041" s="1" t="s">
        <v>3700</v>
      </c>
      <c r="C1041" s="1" t="s">
        <v>3701</v>
      </c>
      <c r="D1041" s="1" t="s">
        <v>224</v>
      </c>
      <c r="E1041" s="1" t="s">
        <v>506</v>
      </c>
      <c r="F1041" s="1" t="s">
        <v>6717</v>
      </c>
      <c r="G1041" s="1" t="str">
        <f>IFERROR(VLOOKUP(A1041,H_C!$A$2:$G$2628,7,0),"Validar HC")</f>
        <v>Ospina, Michel</v>
      </c>
      <c r="H1041" s="164">
        <v>1623501.0</v>
      </c>
      <c r="I1041" s="1">
        <v>42.0</v>
      </c>
    </row>
    <row r="1042" ht="15.75" customHeight="1">
      <c r="A1042" s="1">
        <v>5327797.0</v>
      </c>
      <c r="B1042" s="1" t="s">
        <v>3702</v>
      </c>
      <c r="C1042" s="1" t="s">
        <v>3703</v>
      </c>
      <c r="D1042" s="1" t="s">
        <v>224</v>
      </c>
      <c r="E1042" s="1" t="s">
        <v>506</v>
      </c>
      <c r="F1042" s="1" t="s">
        <v>6717</v>
      </c>
      <c r="G1042" s="1" t="str">
        <f>IFERROR(VLOOKUP(A1042,H_C!$A$2:$G$2628,7,0),"Validar HC")</f>
        <v>Ospina, Michel</v>
      </c>
      <c r="H1042" s="164">
        <v>1623501.0</v>
      </c>
      <c r="I1042" s="1">
        <v>42.0</v>
      </c>
    </row>
    <row r="1043" ht="15.75" customHeight="1">
      <c r="A1043" s="1">
        <v>5327801.0</v>
      </c>
      <c r="B1043" s="1" t="s">
        <v>3704</v>
      </c>
      <c r="C1043" s="1" t="s">
        <v>3705</v>
      </c>
      <c r="D1043" s="1" t="s">
        <v>224</v>
      </c>
      <c r="E1043" s="1" t="s">
        <v>506</v>
      </c>
      <c r="F1043" s="1" t="s">
        <v>6717</v>
      </c>
      <c r="G1043" s="1" t="str">
        <f>IFERROR(VLOOKUP(A1043,H_C!$A$2:$G$2628,7,0),"Validar HC")</f>
        <v>Ospina, Michel</v>
      </c>
      <c r="H1043" s="164">
        <v>1623501.0</v>
      </c>
      <c r="I1043" s="1">
        <v>42.0</v>
      </c>
    </row>
    <row r="1044" ht="15.75" customHeight="1">
      <c r="A1044" s="1">
        <v>5327804.0</v>
      </c>
      <c r="B1044" s="1" t="s">
        <v>3708</v>
      </c>
      <c r="C1044" s="1" t="s">
        <v>3709</v>
      </c>
      <c r="D1044" s="1" t="s">
        <v>224</v>
      </c>
      <c r="E1044" s="1" t="s">
        <v>3225</v>
      </c>
      <c r="F1044" s="1" t="s">
        <v>6717</v>
      </c>
      <c r="G1044" s="1" t="str">
        <f>IFERROR(VLOOKUP(A1044,H_C!$A$2:$G$2628,7,0),"Validar HC")</f>
        <v>Ayala, Giselle</v>
      </c>
      <c r="H1044" s="164">
        <v>1623501.0</v>
      </c>
      <c r="I1044" s="1">
        <v>42.0</v>
      </c>
    </row>
    <row r="1045" ht="15.75" customHeight="1">
      <c r="A1045" s="1">
        <v>5327987.0</v>
      </c>
      <c r="B1045" s="1" t="s">
        <v>2738</v>
      </c>
      <c r="C1045" s="1" t="s">
        <v>2739</v>
      </c>
      <c r="D1045" s="1" t="s">
        <v>224</v>
      </c>
      <c r="E1045" s="1" t="s">
        <v>121</v>
      </c>
      <c r="F1045" s="1" t="s">
        <v>6717</v>
      </c>
      <c r="G1045" s="1" t="str">
        <f>IFERROR(VLOOKUP(A1045,H_C!$A$2:$G$2628,7,0),"Validar HC")</f>
        <v>Ospina, Michel</v>
      </c>
      <c r="H1045" s="164">
        <v>1623501.0</v>
      </c>
      <c r="I1045" s="1">
        <v>42.0</v>
      </c>
    </row>
    <row r="1046" ht="15.75" customHeight="1">
      <c r="A1046" s="1">
        <v>5328028.0</v>
      </c>
      <c r="B1046" s="1" t="s">
        <v>3157</v>
      </c>
      <c r="C1046" s="1" t="s">
        <v>3158</v>
      </c>
      <c r="D1046" s="1" t="s">
        <v>224</v>
      </c>
      <c r="E1046" s="1" t="s">
        <v>412</v>
      </c>
      <c r="F1046" s="1" t="s">
        <v>6717</v>
      </c>
      <c r="G1046" s="1" t="str">
        <f>IFERROR(VLOOKUP(A1046,H_C!$A$2:$G$2628,7,0),"Validar HC")</f>
        <v>Ospina, Michel</v>
      </c>
      <c r="H1046" s="164">
        <v>1623501.0</v>
      </c>
      <c r="I1046" s="1">
        <v>42.0</v>
      </c>
    </row>
    <row r="1047" ht="15.75" customHeight="1">
      <c r="A1047" s="1">
        <v>5329723.0</v>
      </c>
      <c r="B1047" s="1" t="s">
        <v>2350</v>
      </c>
      <c r="C1047" s="1" t="s">
        <v>2351</v>
      </c>
      <c r="D1047" s="1" t="s">
        <v>224</v>
      </c>
      <c r="E1047" s="1" t="s">
        <v>81</v>
      </c>
      <c r="F1047" s="1" t="s">
        <v>6717</v>
      </c>
      <c r="G1047" s="1" t="str">
        <f>IFERROR(VLOOKUP(A1047,H_C!$A$2:$G$2628,7,0),"Validar HC")</f>
        <v>Ospina, Michel</v>
      </c>
      <c r="H1047" s="164">
        <v>1623501.0</v>
      </c>
      <c r="I1047" s="1">
        <v>42.0</v>
      </c>
    </row>
    <row r="1048" ht="15.75" customHeight="1">
      <c r="A1048" s="1">
        <v>5331335.0</v>
      </c>
      <c r="B1048" s="1" t="s">
        <v>1290</v>
      </c>
      <c r="C1048" s="1" t="s">
        <v>1291</v>
      </c>
      <c r="D1048" s="1" t="s">
        <v>224</v>
      </c>
      <c r="E1048" s="1" t="s">
        <v>632</v>
      </c>
      <c r="F1048" s="1" t="s">
        <v>6717</v>
      </c>
      <c r="G1048" s="1" t="str">
        <f>IFERROR(VLOOKUP(A1048,H_C!$A$2:$G$2628,7,0),"Validar HC")</f>
        <v>Gonzalez, Cristian</v>
      </c>
      <c r="H1048" s="164">
        <v>1623501.0</v>
      </c>
      <c r="I1048" s="1">
        <v>42.0</v>
      </c>
    </row>
    <row r="1049" ht="15.75" customHeight="1">
      <c r="A1049" s="1">
        <v>5331340.0</v>
      </c>
      <c r="B1049" s="1" t="s">
        <v>3710</v>
      </c>
      <c r="C1049" s="1" t="s">
        <v>3711</v>
      </c>
      <c r="D1049" s="1" t="s">
        <v>224</v>
      </c>
      <c r="E1049" s="1" t="s">
        <v>806</v>
      </c>
      <c r="F1049" s="1" t="s">
        <v>6717</v>
      </c>
      <c r="G1049" s="1" t="str">
        <f>IFERROR(VLOOKUP(A1049,H_C!$A$2:$G$2628,7,0),"Validar HC")</f>
        <v>Gonzalez, Cristian</v>
      </c>
      <c r="H1049" s="164">
        <v>1623501.0</v>
      </c>
      <c r="I1049" s="1">
        <v>42.0</v>
      </c>
    </row>
    <row r="1050" ht="15.75" customHeight="1">
      <c r="A1050" s="1">
        <v>5331342.0</v>
      </c>
      <c r="B1050" s="1" t="s">
        <v>3372</v>
      </c>
      <c r="C1050" s="1" t="s">
        <v>3373</v>
      </c>
      <c r="D1050" s="1" t="s">
        <v>224</v>
      </c>
      <c r="E1050" s="1" t="s">
        <v>907</v>
      </c>
      <c r="F1050" s="1" t="s">
        <v>6717</v>
      </c>
      <c r="G1050" s="1" t="str">
        <f>IFERROR(VLOOKUP(A1050,H_C!$A$2:$G$2628,7,0),"Validar HC")</f>
        <v>Gonzalez, Cristian</v>
      </c>
      <c r="H1050" s="164">
        <v>1623501.0</v>
      </c>
      <c r="I1050" s="1">
        <v>42.0</v>
      </c>
    </row>
    <row r="1051" ht="15.75" customHeight="1">
      <c r="A1051" s="1">
        <v>5331343.0</v>
      </c>
      <c r="B1051" s="1" t="s">
        <v>1325</v>
      </c>
      <c r="C1051" s="1" t="s">
        <v>1326</v>
      </c>
      <c r="D1051" s="1" t="s">
        <v>224</v>
      </c>
      <c r="E1051" s="1" t="s">
        <v>10</v>
      </c>
      <c r="F1051" s="1" t="s">
        <v>6717</v>
      </c>
      <c r="G1051" s="1" t="str">
        <f>IFERROR(VLOOKUP(A1051,H_C!$A$2:$G$2628,7,0),"Validar HC")</f>
        <v>Gonzalez, Cristian</v>
      </c>
      <c r="H1051" s="164">
        <v>1623501.0</v>
      </c>
      <c r="I1051" s="1">
        <v>42.0</v>
      </c>
    </row>
    <row r="1052" ht="15.75" customHeight="1">
      <c r="A1052" s="1">
        <v>5331345.0</v>
      </c>
      <c r="B1052" s="1" t="s">
        <v>1292</v>
      </c>
      <c r="C1052" s="1" t="s">
        <v>1293</v>
      </c>
      <c r="D1052" s="1" t="s">
        <v>224</v>
      </c>
      <c r="E1052" s="1" t="s">
        <v>10</v>
      </c>
      <c r="F1052" s="1" t="s">
        <v>6717</v>
      </c>
      <c r="G1052" s="1" t="str">
        <f>IFERROR(VLOOKUP(A1052,H_C!$A$2:$G$2628,7,0),"Validar HC")</f>
        <v>Gonzalez, Cristian</v>
      </c>
      <c r="H1052" s="164">
        <v>1623501.0</v>
      </c>
      <c r="I1052" s="1">
        <v>42.0</v>
      </c>
    </row>
    <row r="1053" ht="15.75" customHeight="1">
      <c r="A1053" s="1">
        <v>5331348.0</v>
      </c>
      <c r="B1053" s="1" t="s">
        <v>3716</v>
      </c>
      <c r="C1053" s="1" t="s">
        <v>3717</v>
      </c>
      <c r="D1053" s="1" t="s">
        <v>224</v>
      </c>
      <c r="E1053" s="1" t="s">
        <v>316</v>
      </c>
      <c r="F1053" s="1" t="s">
        <v>6717</v>
      </c>
      <c r="G1053" s="1" t="str">
        <f>IFERROR(VLOOKUP(A1053,H_C!$A$2:$G$2628,7,0),"Validar HC")</f>
        <v>Osorio, Julian</v>
      </c>
      <c r="H1053" s="164">
        <v>1623501.0</v>
      </c>
      <c r="I1053" s="1">
        <v>42.0</v>
      </c>
    </row>
    <row r="1054" ht="15.75" customHeight="1">
      <c r="A1054" s="1">
        <v>5546274.0</v>
      </c>
      <c r="B1054" s="1" t="s">
        <v>69</v>
      </c>
      <c r="C1054" s="1" t="s">
        <v>1405</v>
      </c>
      <c r="D1054" s="1" t="s">
        <v>224</v>
      </c>
      <c r="E1054" s="1" t="s">
        <v>13</v>
      </c>
      <c r="F1054" s="1" t="s">
        <v>6717</v>
      </c>
      <c r="G1054" s="1" t="str">
        <f>IFERROR(VLOOKUP(A1054,H_C!$A$2:$G$2628,7,0),"Validar HC")</f>
        <v>Ospina, Michel</v>
      </c>
      <c r="H1054" s="162">
        <v>1600000.0</v>
      </c>
      <c r="I1054" s="1">
        <v>42.0</v>
      </c>
    </row>
    <row r="1055" ht="15.75" customHeight="1">
      <c r="A1055" s="1">
        <v>5331415.0</v>
      </c>
      <c r="B1055" s="1" t="s">
        <v>2765</v>
      </c>
      <c r="C1055" s="1" t="s">
        <v>2766</v>
      </c>
      <c r="D1055" s="1" t="s">
        <v>224</v>
      </c>
      <c r="E1055" s="1" t="s">
        <v>121</v>
      </c>
      <c r="F1055" s="1" t="s">
        <v>6717</v>
      </c>
      <c r="G1055" s="1" t="str">
        <f>IFERROR(VLOOKUP(A1055,H_C!$A$2:$G$2628,7,0),"Validar HC")</f>
        <v>Ospina, Michel</v>
      </c>
      <c r="H1055" s="164">
        <v>1623501.0</v>
      </c>
      <c r="I1055" s="1">
        <v>42.0</v>
      </c>
    </row>
    <row r="1056" ht="15.75" customHeight="1">
      <c r="A1056" s="1">
        <v>5331416.0</v>
      </c>
      <c r="B1056" s="1" t="s">
        <v>2767</v>
      </c>
      <c r="C1056" s="1" t="s">
        <v>2768</v>
      </c>
      <c r="D1056" s="1" t="s">
        <v>224</v>
      </c>
      <c r="E1056" s="1" t="s">
        <v>121</v>
      </c>
      <c r="F1056" s="1" t="s">
        <v>6717</v>
      </c>
      <c r="G1056" s="1" t="str">
        <f>IFERROR(VLOOKUP(A1056,H_C!$A$2:$G$2628,7,0),"Validar HC")</f>
        <v>Ospina, Michel</v>
      </c>
      <c r="H1056" s="164">
        <v>1623501.0</v>
      </c>
      <c r="I1056" s="1">
        <v>42.0</v>
      </c>
    </row>
    <row r="1057" ht="15.75" customHeight="1">
      <c r="A1057" s="1">
        <v>5332071.0</v>
      </c>
      <c r="B1057" s="1" t="s">
        <v>3724</v>
      </c>
      <c r="C1057" s="1" t="s">
        <v>3725</v>
      </c>
      <c r="D1057" s="1" t="s">
        <v>224</v>
      </c>
      <c r="E1057" s="1" t="s">
        <v>222</v>
      </c>
      <c r="F1057" s="1" t="s">
        <v>6717</v>
      </c>
      <c r="G1057" s="1" t="str">
        <f>IFERROR(VLOOKUP(A1057,H_C!$A$2:$G$2628,7,0),"Validar HC")</f>
        <v>Soler, Maria</v>
      </c>
      <c r="H1057" s="164">
        <v>1623501.0</v>
      </c>
      <c r="I1057" s="1">
        <v>42.0</v>
      </c>
    </row>
    <row r="1058" ht="15.75" customHeight="1">
      <c r="A1058" s="1">
        <v>5332081.0</v>
      </c>
      <c r="B1058" s="1" t="s">
        <v>3728</v>
      </c>
      <c r="C1058" s="1" t="s">
        <v>3729</v>
      </c>
      <c r="D1058" s="1" t="s">
        <v>224</v>
      </c>
      <c r="E1058" s="1" t="s">
        <v>232</v>
      </c>
      <c r="F1058" s="1" t="s">
        <v>6717</v>
      </c>
      <c r="G1058" s="1" t="str">
        <f>IFERROR(VLOOKUP(A1058,H_C!$A$2:$G$2628,7,0),"Validar HC")</f>
        <v>Soler, Maria</v>
      </c>
      <c r="H1058" s="164">
        <v>1623501.0</v>
      </c>
      <c r="I1058" s="1">
        <v>42.0</v>
      </c>
    </row>
    <row r="1059" ht="15.75" customHeight="1">
      <c r="A1059" s="1">
        <v>5332092.0</v>
      </c>
      <c r="B1059" s="1" t="s">
        <v>3732</v>
      </c>
      <c r="C1059" s="1" t="s">
        <v>3733</v>
      </c>
      <c r="D1059" s="1" t="s">
        <v>224</v>
      </c>
      <c r="E1059" s="1" t="s">
        <v>841</v>
      </c>
      <c r="F1059" s="1" t="s">
        <v>6717</v>
      </c>
      <c r="G1059" s="1" t="str">
        <f>IFERROR(VLOOKUP(A1059,H_C!$A$2:$G$2628,7,0),"Validar HC")</f>
        <v>Soler, Maria</v>
      </c>
      <c r="H1059" s="164">
        <v>1623501.0</v>
      </c>
      <c r="I1059" s="1">
        <v>42.0</v>
      </c>
    </row>
    <row r="1060" ht="15.75" customHeight="1">
      <c r="A1060" s="1">
        <v>5332097.0</v>
      </c>
      <c r="B1060" s="1" t="s">
        <v>1104</v>
      </c>
      <c r="C1060" s="1" t="s">
        <v>1105</v>
      </c>
      <c r="D1060" s="1" t="s">
        <v>224</v>
      </c>
      <c r="E1060" s="1" t="s">
        <v>724</v>
      </c>
      <c r="F1060" s="1" t="s">
        <v>6717</v>
      </c>
      <c r="G1060" s="1" t="str">
        <f>IFERROR(VLOOKUP(A1060,H_C!$A$2:$G$2628,7,0),"Validar HC")</f>
        <v>Garcia, Helmer</v>
      </c>
      <c r="H1060" s="164">
        <v>1623501.0</v>
      </c>
      <c r="I1060" s="1">
        <v>42.0</v>
      </c>
    </row>
    <row r="1061" ht="15.75" customHeight="1">
      <c r="A1061" s="1">
        <v>5332101.0</v>
      </c>
      <c r="B1061" s="1" t="s">
        <v>689</v>
      </c>
      <c r="C1061" s="1" t="s">
        <v>690</v>
      </c>
      <c r="D1061" s="1" t="s">
        <v>224</v>
      </c>
      <c r="E1061" s="1" t="s">
        <v>239</v>
      </c>
      <c r="F1061" s="1" t="s">
        <v>6717</v>
      </c>
      <c r="G1061" s="1" t="str">
        <f>IFERROR(VLOOKUP(A1061,H_C!$A$2:$G$2628,7,0),"Validar HC")</f>
        <v>Soler, Maria</v>
      </c>
      <c r="H1061" s="164">
        <v>1623501.0</v>
      </c>
      <c r="I1061" s="1">
        <v>42.0</v>
      </c>
    </row>
    <row r="1062" ht="15.75" customHeight="1">
      <c r="A1062" s="1">
        <v>5332127.0</v>
      </c>
      <c r="B1062" s="1" t="s">
        <v>1108</v>
      </c>
      <c r="C1062" s="1" t="s">
        <v>1109</v>
      </c>
      <c r="D1062" s="1" t="s">
        <v>224</v>
      </c>
      <c r="E1062" s="1" t="s">
        <v>724</v>
      </c>
      <c r="F1062" s="1" t="s">
        <v>6717</v>
      </c>
      <c r="G1062" s="1" t="str">
        <f>IFERROR(VLOOKUP(A1062,H_C!$A$2:$G$2628,7,0),"Validar HC")</f>
        <v>Garcia, Helmer</v>
      </c>
      <c r="H1062" s="164">
        <v>1623501.0</v>
      </c>
      <c r="I1062" s="1">
        <v>42.0</v>
      </c>
    </row>
    <row r="1063" ht="15.75" customHeight="1">
      <c r="A1063" s="1">
        <v>5332423.0</v>
      </c>
      <c r="B1063" s="1" t="s">
        <v>3294</v>
      </c>
      <c r="C1063" s="1" t="s">
        <v>3295</v>
      </c>
      <c r="D1063" s="1" t="s">
        <v>224</v>
      </c>
      <c r="E1063" s="1" t="s">
        <v>425</v>
      </c>
      <c r="F1063" s="1" t="s">
        <v>6717</v>
      </c>
      <c r="G1063" s="1" t="str">
        <f>IFERROR(VLOOKUP(A1063,H_C!$A$2:$G$2628,7,0),"Validar HC")</f>
        <v>Ospina, Michel</v>
      </c>
      <c r="H1063" s="164">
        <v>1623501.0</v>
      </c>
      <c r="I1063" s="1">
        <v>42.0</v>
      </c>
    </row>
    <row r="1064" ht="15.75" customHeight="1">
      <c r="A1064" s="1">
        <v>5332996.0</v>
      </c>
      <c r="B1064" s="1" t="s">
        <v>3736</v>
      </c>
      <c r="C1064" s="1" t="s">
        <v>3737</v>
      </c>
      <c r="D1064" s="1" t="s">
        <v>224</v>
      </c>
      <c r="E1064" s="1" t="s">
        <v>232</v>
      </c>
      <c r="F1064" s="1" t="s">
        <v>6717</v>
      </c>
      <c r="G1064" s="1" t="str">
        <f>IFERROR(VLOOKUP(A1064,H_C!$A$2:$G$2628,7,0),"Validar HC")</f>
        <v>Soler, Maria</v>
      </c>
      <c r="H1064" s="164">
        <v>1623501.0</v>
      </c>
      <c r="I1064" s="1">
        <v>42.0</v>
      </c>
    </row>
    <row r="1065" ht="15.75" customHeight="1">
      <c r="A1065" s="1">
        <v>5333432.0</v>
      </c>
      <c r="B1065" s="1" t="s">
        <v>3738</v>
      </c>
      <c r="C1065" s="1" t="s">
        <v>3739</v>
      </c>
      <c r="D1065" s="1" t="s">
        <v>224</v>
      </c>
      <c r="E1065" s="1" t="s">
        <v>549</v>
      </c>
      <c r="F1065" s="1" t="s">
        <v>6717</v>
      </c>
      <c r="G1065" s="1" t="str">
        <f>IFERROR(VLOOKUP(A1065,H_C!$A$2:$G$2628,7,0),"Validar HC")</f>
        <v>Soler, Maria</v>
      </c>
      <c r="H1065" s="164">
        <v>1623501.0</v>
      </c>
      <c r="I1065" s="1">
        <v>42.0</v>
      </c>
    </row>
    <row r="1066" ht="15.75" customHeight="1">
      <c r="A1066" s="1">
        <v>5333558.0</v>
      </c>
      <c r="B1066" s="1" t="s">
        <v>1668</v>
      </c>
      <c r="C1066" s="1" t="s">
        <v>1669</v>
      </c>
      <c r="D1066" s="1" t="s">
        <v>224</v>
      </c>
      <c r="E1066" s="1" t="s">
        <v>416</v>
      </c>
      <c r="F1066" s="1" t="s">
        <v>6717</v>
      </c>
      <c r="G1066" s="1" t="str">
        <f>IFERROR(VLOOKUP(A1066,H_C!$A$2:$G$2628,7,0),"Validar HC")</f>
        <v>Soler, Maria</v>
      </c>
      <c r="H1066" s="164">
        <v>1623501.0</v>
      </c>
      <c r="I1066" s="1">
        <v>42.0</v>
      </c>
    </row>
    <row r="1067" ht="15.75" customHeight="1">
      <c r="A1067" s="1">
        <v>5333575.0</v>
      </c>
      <c r="B1067" s="1" t="s">
        <v>3744</v>
      </c>
      <c r="C1067" s="1" t="s">
        <v>3745</v>
      </c>
      <c r="D1067" s="1" t="s">
        <v>224</v>
      </c>
      <c r="E1067" s="1" t="s">
        <v>806</v>
      </c>
      <c r="F1067" s="1" t="s">
        <v>6717</v>
      </c>
      <c r="G1067" s="1" t="str">
        <f>IFERROR(VLOOKUP(A1067,H_C!$A$2:$G$2628,7,0),"Validar HC")</f>
        <v>Gonzalez, Cristian</v>
      </c>
      <c r="H1067" s="164">
        <v>1623501.0</v>
      </c>
      <c r="I1067" s="1">
        <v>42.0</v>
      </c>
    </row>
    <row r="1068" ht="15.75" customHeight="1">
      <c r="A1068" s="1">
        <v>5333577.0</v>
      </c>
      <c r="B1068" s="1" t="s">
        <v>3748</v>
      </c>
      <c r="C1068" s="1" t="s">
        <v>3749</v>
      </c>
      <c r="D1068" s="1" t="s">
        <v>224</v>
      </c>
      <c r="E1068" s="1" t="s">
        <v>331</v>
      </c>
      <c r="F1068" s="1" t="s">
        <v>6717</v>
      </c>
      <c r="G1068" s="1" t="str">
        <f>IFERROR(VLOOKUP(A1068,H_C!$A$2:$G$2628,7,0),"Validar HC")</f>
        <v>Pereira, Jorge</v>
      </c>
      <c r="H1068" s="164">
        <v>1623501.0</v>
      </c>
      <c r="I1068" s="1">
        <v>42.0</v>
      </c>
    </row>
    <row r="1069" ht="15.75" customHeight="1">
      <c r="A1069" s="1">
        <v>5333581.0</v>
      </c>
      <c r="B1069" s="1" t="s">
        <v>2877</v>
      </c>
      <c r="C1069" s="1" t="s">
        <v>2878</v>
      </c>
      <c r="D1069" s="1" t="s">
        <v>224</v>
      </c>
      <c r="E1069" s="1" t="s">
        <v>401</v>
      </c>
      <c r="F1069" s="1" t="s">
        <v>6717</v>
      </c>
      <c r="G1069" s="1" t="str">
        <f>IFERROR(VLOOKUP(A1069,H_C!$A$2:$G$2628,7,0),"Validar HC")</f>
        <v>Martinez, Wendy</v>
      </c>
      <c r="H1069" s="164">
        <v>1623501.0</v>
      </c>
      <c r="I1069" s="1">
        <v>42.0</v>
      </c>
    </row>
    <row r="1070" ht="15.75" customHeight="1">
      <c r="A1070" s="1">
        <v>5021467.0</v>
      </c>
      <c r="B1070" s="1" t="s">
        <v>38</v>
      </c>
      <c r="C1070" s="1" t="s">
        <v>1409</v>
      </c>
      <c r="D1070" s="1" t="s">
        <v>224</v>
      </c>
      <c r="E1070" s="1" t="s">
        <v>13</v>
      </c>
      <c r="F1070" s="1" t="s">
        <v>6717</v>
      </c>
      <c r="G1070" s="1" t="str">
        <f>IFERROR(VLOOKUP(A1070,H_C!$A$2:$G$2628,7,0),"Validar HC")</f>
        <v>Ospina, Michel</v>
      </c>
      <c r="H1070" s="162">
        <v>1600000.0</v>
      </c>
      <c r="I1070" s="1">
        <v>42.0</v>
      </c>
    </row>
    <row r="1071" ht="15.75" customHeight="1">
      <c r="A1071" s="1">
        <v>5333586.0</v>
      </c>
      <c r="B1071" s="1" t="s">
        <v>3756</v>
      </c>
      <c r="C1071" s="1" t="s">
        <v>3757</v>
      </c>
      <c r="D1071" s="1" t="s">
        <v>224</v>
      </c>
      <c r="E1071" s="1" t="s">
        <v>1044</v>
      </c>
      <c r="F1071" s="1" t="s">
        <v>6717</v>
      </c>
      <c r="G1071" s="1" t="str">
        <f>IFERROR(VLOOKUP(A1071,H_C!$A$2:$G$2628,7,0),"Validar HC")</f>
        <v>Gonzalez, Cristian</v>
      </c>
      <c r="H1071" s="164">
        <v>1623501.0</v>
      </c>
      <c r="I1071" s="1">
        <v>42.0</v>
      </c>
    </row>
    <row r="1072" ht="15.75" customHeight="1">
      <c r="A1072" s="1">
        <v>5333587.0</v>
      </c>
      <c r="B1072" s="1" t="s">
        <v>3760</v>
      </c>
      <c r="C1072" s="1" t="s">
        <v>3761</v>
      </c>
      <c r="D1072" s="1" t="s">
        <v>224</v>
      </c>
      <c r="E1072" s="1" t="s">
        <v>1746</v>
      </c>
      <c r="F1072" s="1" t="s">
        <v>6717</v>
      </c>
      <c r="G1072" s="1" t="str">
        <f>IFERROR(VLOOKUP(A1072,H_C!$A$2:$G$2628,7,0),"Validar HC")</f>
        <v>Ayala, Giselle</v>
      </c>
      <c r="H1072" s="164">
        <v>1623501.0</v>
      </c>
      <c r="I1072" s="1">
        <v>42.0</v>
      </c>
    </row>
    <row r="1073" ht="15.75" customHeight="1">
      <c r="A1073" s="1">
        <v>5333588.0</v>
      </c>
      <c r="B1073" s="1" t="s">
        <v>1294</v>
      </c>
      <c r="C1073" s="1" t="s">
        <v>1295</v>
      </c>
      <c r="D1073" s="1" t="s">
        <v>224</v>
      </c>
      <c r="E1073" s="1" t="s">
        <v>806</v>
      </c>
      <c r="F1073" s="1" t="s">
        <v>6717</v>
      </c>
      <c r="G1073" s="1" t="str">
        <f>IFERROR(VLOOKUP(A1073,H_C!$A$2:$G$2628,7,0),"Validar HC")</f>
        <v>Gonzalez, Cristian</v>
      </c>
      <c r="H1073" s="164">
        <v>1623501.0</v>
      </c>
      <c r="I1073" s="1">
        <v>42.0</v>
      </c>
    </row>
    <row r="1074" ht="15.75" customHeight="1">
      <c r="A1074" s="1">
        <v>5333592.0</v>
      </c>
      <c r="B1074" s="1" t="s">
        <v>3766</v>
      </c>
      <c r="C1074" s="1" t="s">
        <v>3767</v>
      </c>
      <c r="D1074" s="1" t="s">
        <v>224</v>
      </c>
      <c r="E1074" s="1" t="s">
        <v>1044</v>
      </c>
      <c r="F1074" s="1" t="s">
        <v>6717</v>
      </c>
      <c r="G1074" s="1" t="str">
        <f>IFERROR(VLOOKUP(A1074,H_C!$A$2:$G$2628,7,0),"Validar HC")</f>
        <v>Gonzalez, Cristian</v>
      </c>
      <c r="H1074" s="164">
        <v>1623501.0</v>
      </c>
      <c r="I1074" s="1">
        <v>42.0</v>
      </c>
    </row>
    <row r="1075" ht="15.75" customHeight="1">
      <c r="A1075" s="1">
        <v>5333596.0</v>
      </c>
      <c r="B1075" s="1" t="s">
        <v>3770</v>
      </c>
      <c r="C1075" s="1" t="s">
        <v>3771</v>
      </c>
      <c r="D1075" s="1" t="s">
        <v>224</v>
      </c>
      <c r="E1075" s="1" t="s">
        <v>323</v>
      </c>
      <c r="F1075" s="1" t="s">
        <v>6717</v>
      </c>
      <c r="G1075" s="1" t="str">
        <f>IFERROR(VLOOKUP(A1075,H_C!$A$2:$G$2628,7,0),"Validar HC")</f>
        <v>Martinez, Wendy</v>
      </c>
      <c r="H1075" s="164">
        <v>1623501.0</v>
      </c>
      <c r="I1075" s="1">
        <v>42.0</v>
      </c>
    </row>
    <row r="1076" ht="15.75" customHeight="1">
      <c r="A1076" s="1">
        <v>5333598.0</v>
      </c>
      <c r="B1076" s="1" t="s">
        <v>2170</v>
      </c>
      <c r="C1076" s="1" t="s">
        <v>2171</v>
      </c>
      <c r="D1076" s="1" t="s">
        <v>224</v>
      </c>
      <c r="E1076" s="1" t="s">
        <v>246</v>
      </c>
      <c r="F1076" s="1" t="s">
        <v>6717</v>
      </c>
      <c r="G1076" s="1" t="str">
        <f>IFERROR(VLOOKUP(A1076,H_C!$A$2:$G$2628,7,0),"Validar HC")</f>
        <v>Garcia, Helmer</v>
      </c>
      <c r="H1076" s="164">
        <v>1623501.0</v>
      </c>
      <c r="I1076" s="1">
        <v>42.0</v>
      </c>
    </row>
    <row r="1077" ht="15.75" customHeight="1">
      <c r="A1077" s="1">
        <v>5333599.0</v>
      </c>
      <c r="B1077" s="1" t="s">
        <v>3774</v>
      </c>
      <c r="C1077" s="1" t="s">
        <v>3775</v>
      </c>
      <c r="D1077" s="1" t="s">
        <v>224</v>
      </c>
      <c r="E1077" s="1" t="s">
        <v>806</v>
      </c>
      <c r="F1077" s="1" t="s">
        <v>6717</v>
      </c>
      <c r="G1077" s="1" t="str">
        <f>IFERROR(VLOOKUP(A1077,H_C!$A$2:$G$2628,7,0),"Validar HC")</f>
        <v>Gonzalez, Cristian</v>
      </c>
      <c r="H1077" s="164">
        <v>1623501.0</v>
      </c>
      <c r="I1077" s="1">
        <v>42.0</v>
      </c>
    </row>
    <row r="1078" ht="15.75" customHeight="1">
      <c r="A1078" s="1">
        <v>5333691.0</v>
      </c>
      <c r="B1078" s="1" t="s">
        <v>3776</v>
      </c>
      <c r="C1078" s="1" t="s">
        <v>3777</v>
      </c>
      <c r="D1078" s="1" t="s">
        <v>224</v>
      </c>
      <c r="E1078" s="1" t="s">
        <v>1932</v>
      </c>
      <c r="F1078" s="1" t="s">
        <v>6717</v>
      </c>
      <c r="G1078" s="1" t="str">
        <f>IFERROR(VLOOKUP(A1078,H_C!$A$2:$G$2628,7,0),"Validar HC")</f>
        <v>Garatejo, Natalia</v>
      </c>
      <c r="H1078" s="164">
        <v>1623501.0</v>
      </c>
      <c r="I1078" s="1">
        <v>42.0</v>
      </c>
    </row>
    <row r="1079" ht="15.75" customHeight="1">
      <c r="A1079" s="1">
        <v>5333693.0</v>
      </c>
      <c r="B1079" s="1" t="s">
        <v>2363</v>
      </c>
      <c r="C1079" s="1" t="s">
        <v>2364</v>
      </c>
      <c r="D1079" s="1" t="s">
        <v>224</v>
      </c>
      <c r="E1079" s="1" t="s">
        <v>81</v>
      </c>
      <c r="F1079" s="1" t="s">
        <v>6717</v>
      </c>
      <c r="G1079" s="1" t="str">
        <f>IFERROR(VLOOKUP(A1079,H_C!$A$2:$G$2628,7,0),"Validar HC")</f>
        <v>Ospina, Michel</v>
      </c>
      <c r="H1079" s="164">
        <v>1623501.0</v>
      </c>
      <c r="I1079" s="1">
        <v>42.0</v>
      </c>
    </row>
    <row r="1080" ht="15.75" customHeight="1">
      <c r="A1080" s="1">
        <v>5333696.0</v>
      </c>
      <c r="B1080" s="1" t="s">
        <v>2998</v>
      </c>
      <c r="C1080" s="1" t="s">
        <v>2999</v>
      </c>
      <c r="D1080" s="1" t="s">
        <v>224</v>
      </c>
      <c r="E1080" s="1" t="s">
        <v>432</v>
      </c>
      <c r="F1080" s="1" t="s">
        <v>6717</v>
      </c>
      <c r="G1080" s="1" t="str">
        <f>IFERROR(VLOOKUP(A1080,H_C!$A$2:$G$2628,7,0),"Validar HC")</f>
        <v>Ospina, Michel</v>
      </c>
      <c r="H1080" s="164">
        <v>1623501.0</v>
      </c>
      <c r="I1080" s="1">
        <v>42.0</v>
      </c>
    </row>
    <row r="1081" ht="15.75" customHeight="1">
      <c r="A1081" s="1">
        <v>5333698.0</v>
      </c>
      <c r="B1081" s="1" t="s">
        <v>2412</v>
      </c>
      <c r="C1081" s="1" t="s">
        <v>2413</v>
      </c>
      <c r="D1081" s="1" t="s">
        <v>224</v>
      </c>
      <c r="E1081" s="1" t="s">
        <v>81</v>
      </c>
      <c r="F1081" s="1" t="s">
        <v>6717</v>
      </c>
      <c r="G1081" s="1" t="str">
        <f>IFERROR(VLOOKUP(A1081,H_C!$A$2:$G$2628,7,0),"Validar HC")</f>
        <v>Ospina, Michel</v>
      </c>
      <c r="H1081" s="164">
        <v>1623501.0</v>
      </c>
      <c r="I1081" s="1">
        <v>42.0</v>
      </c>
    </row>
    <row r="1082" ht="15.75" customHeight="1">
      <c r="A1082" s="1">
        <v>5321003.0</v>
      </c>
      <c r="B1082" s="1" t="s">
        <v>46</v>
      </c>
      <c r="C1082" s="1" t="s">
        <v>1413</v>
      </c>
      <c r="D1082" s="1" t="s">
        <v>224</v>
      </c>
      <c r="E1082" s="1" t="s">
        <v>13</v>
      </c>
      <c r="F1082" s="1" t="s">
        <v>6717</v>
      </c>
      <c r="G1082" s="1" t="str">
        <f>IFERROR(VLOOKUP(A1082,H_C!$A$2:$G$2628,7,0),"Validar HC")</f>
        <v>Ospina, Michel</v>
      </c>
      <c r="H1082" s="162">
        <v>1600000.0</v>
      </c>
      <c r="I1082" s="1">
        <v>42.0</v>
      </c>
    </row>
    <row r="1083" ht="15.75" customHeight="1">
      <c r="A1083" s="1">
        <v>5349458.0</v>
      </c>
      <c r="B1083" s="1" t="s">
        <v>55</v>
      </c>
      <c r="C1083" s="1" t="s">
        <v>1416</v>
      </c>
      <c r="D1083" s="1" t="s">
        <v>224</v>
      </c>
      <c r="E1083" s="1" t="s">
        <v>13</v>
      </c>
      <c r="F1083" s="1" t="s">
        <v>6717</v>
      </c>
      <c r="G1083" s="1" t="str">
        <f>IFERROR(VLOOKUP(A1083,H_C!$A$2:$G$2628,7,0),"Validar HC")</f>
        <v>Ospina, Michel</v>
      </c>
      <c r="H1083" s="162">
        <v>1600000.0</v>
      </c>
      <c r="I1083" s="1">
        <v>42.0</v>
      </c>
    </row>
    <row r="1084" ht="15.75" customHeight="1">
      <c r="A1084" s="1">
        <v>5339787.0</v>
      </c>
      <c r="B1084" s="1" t="s">
        <v>3706</v>
      </c>
      <c r="C1084" s="1" t="s">
        <v>3707</v>
      </c>
      <c r="D1084" s="1" t="s">
        <v>224</v>
      </c>
      <c r="E1084" s="1" t="s">
        <v>485</v>
      </c>
      <c r="F1084" s="1" t="s">
        <v>6717</v>
      </c>
      <c r="G1084" s="1" t="str">
        <f>IFERROR(VLOOKUP(A1084,H_C!$A$2:$G$2628,7,0),"Validar HC")</f>
        <v>Martinez, Wendy</v>
      </c>
      <c r="H1084" s="164">
        <v>1623501.0</v>
      </c>
      <c r="I1084" s="1">
        <v>42.0</v>
      </c>
    </row>
    <row r="1085" ht="15.75" customHeight="1">
      <c r="A1085" s="1">
        <v>5340572.0</v>
      </c>
      <c r="B1085" s="1" t="s">
        <v>3791</v>
      </c>
      <c r="C1085" s="1" t="s">
        <v>3792</v>
      </c>
      <c r="D1085" s="1" t="s">
        <v>224</v>
      </c>
      <c r="E1085" s="1" t="s">
        <v>835</v>
      </c>
      <c r="F1085" s="1" t="s">
        <v>6717</v>
      </c>
      <c r="G1085" s="1" t="str">
        <f>IFERROR(VLOOKUP(A1085,H_C!$A$2:$G$2628,7,0),"Validar HC")</f>
        <v>Martinez, Wendy</v>
      </c>
      <c r="H1085" s="164">
        <v>1623501.0</v>
      </c>
      <c r="I1085" s="1">
        <v>42.0</v>
      </c>
    </row>
    <row r="1086" ht="15.75" customHeight="1">
      <c r="A1086" s="1">
        <v>5341821.0</v>
      </c>
      <c r="B1086" s="1" t="s">
        <v>3019</v>
      </c>
      <c r="C1086" s="1" t="s">
        <v>3020</v>
      </c>
      <c r="D1086" s="1" t="s">
        <v>224</v>
      </c>
      <c r="E1086" s="1" t="s">
        <v>116</v>
      </c>
      <c r="F1086" s="1" t="s">
        <v>6717</v>
      </c>
      <c r="G1086" s="1" t="str">
        <f>IFERROR(VLOOKUP(A1086,H_C!$A$2:$G$2628,7,0),"Validar HC")</f>
        <v>Ospina, Michel</v>
      </c>
      <c r="H1086" s="164">
        <v>1623501.0</v>
      </c>
      <c r="I1086" s="1">
        <v>42.0</v>
      </c>
    </row>
    <row r="1087" ht="15.75" customHeight="1">
      <c r="A1087" s="1">
        <v>5341992.0</v>
      </c>
      <c r="B1087" s="1" t="s">
        <v>3750</v>
      </c>
      <c r="C1087" s="1" t="s">
        <v>3751</v>
      </c>
      <c r="D1087" s="1" t="s">
        <v>224</v>
      </c>
      <c r="E1087" s="1" t="s">
        <v>555</v>
      </c>
      <c r="F1087" s="1" t="s">
        <v>6717</v>
      </c>
      <c r="G1087" s="1" t="str">
        <f>IFERROR(VLOOKUP(A1087,H_C!$A$2:$G$2628,7,0),"Validar HC")</f>
        <v>Ayala, Giselle</v>
      </c>
      <c r="H1087" s="164">
        <v>1623501.0</v>
      </c>
      <c r="I1087" s="1">
        <v>42.0</v>
      </c>
    </row>
    <row r="1088" ht="15.75" customHeight="1">
      <c r="A1088" s="1">
        <v>5344387.0</v>
      </c>
      <c r="B1088" s="1" t="s">
        <v>1798</v>
      </c>
      <c r="C1088" s="1" t="s">
        <v>1799</v>
      </c>
      <c r="D1088" s="1" t="s">
        <v>224</v>
      </c>
      <c r="E1088" s="1" t="s">
        <v>835</v>
      </c>
      <c r="F1088" s="1" t="s">
        <v>6717</v>
      </c>
      <c r="G1088" s="1" t="str">
        <f>IFERROR(VLOOKUP(A1088,H_C!$A$2:$G$2628,7,0),"Validar HC")</f>
        <v>Martinez, Wendy</v>
      </c>
      <c r="H1088" s="164">
        <v>1623501.0</v>
      </c>
      <c r="I1088" s="1">
        <v>42.0</v>
      </c>
    </row>
    <row r="1089" ht="15.75" customHeight="1">
      <c r="A1089" s="1">
        <v>5344446.0</v>
      </c>
      <c r="B1089" s="1" t="s">
        <v>3801</v>
      </c>
      <c r="C1089" s="1" t="s">
        <v>3802</v>
      </c>
      <c r="D1089" s="1" t="s">
        <v>224</v>
      </c>
      <c r="E1089" s="1" t="s">
        <v>847</v>
      </c>
      <c r="F1089" s="1" t="s">
        <v>6717</v>
      </c>
      <c r="G1089" s="1" t="str">
        <f>IFERROR(VLOOKUP(A1089,H_C!$A$2:$G$2628,7,0),"Validar HC")</f>
        <v>Garatejo, Natalia</v>
      </c>
      <c r="H1089" s="164">
        <v>1623501.0</v>
      </c>
      <c r="I1089" s="1">
        <v>42.0</v>
      </c>
    </row>
    <row r="1090" ht="15.75" customHeight="1">
      <c r="A1090" s="1">
        <v>5344928.0</v>
      </c>
      <c r="B1090" s="1" t="s">
        <v>2624</v>
      </c>
      <c r="C1090" s="1" t="s">
        <v>2625</v>
      </c>
      <c r="D1090" s="1" t="s">
        <v>224</v>
      </c>
      <c r="E1090" s="1" t="s">
        <v>412</v>
      </c>
      <c r="F1090" s="1" t="s">
        <v>6717</v>
      </c>
      <c r="G1090" s="1" t="str">
        <f>IFERROR(VLOOKUP(A1090,H_C!$A$2:$G$2628,7,0),"Validar HC")</f>
        <v>Ospina, Michel</v>
      </c>
      <c r="H1090" s="164">
        <v>1623501.0</v>
      </c>
      <c r="I1090" s="1">
        <v>42.0</v>
      </c>
    </row>
    <row r="1091" ht="15.75" customHeight="1">
      <c r="A1091" s="1">
        <v>5346320.0</v>
      </c>
      <c r="B1091" s="1" t="s">
        <v>3807</v>
      </c>
      <c r="C1091" s="1" t="s">
        <v>3808</v>
      </c>
      <c r="D1091" s="1" t="s">
        <v>224</v>
      </c>
      <c r="E1091" s="1" t="s">
        <v>323</v>
      </c>
      <c r="F1091" s="1" t="s">
        <v>6717</v>
      </c>
      <c r="G1091" s="1" t="str">
        <f>IFERROR(VLOOKUP(A1091,H_C!$A$2:$G$2628,7,0),"Validar HC")</f>
        <v>Martinez, Wendy</v>
      </c>
      <c r="H1091" s="164">
        <v>1623501.0</v>
      </c>
      <c r="I1091" s="1">
        <v>42.0</v>
      </c>
    </row>
    <row r="1092" ht="15.75" customHeight="1">
      <c r="A1092" s="1">
        <v>5346398.0</v>
      </c>
      <c r="B1092" s="1" t="s">
        <v>3811</v>
      </c>
      <c r="C1092" s="1" t="s">
        <v>3812</v>
      </c>
      <c r="D1092" s="1" t="s">
        <v>224</v>
      </c>
      <c r="E1092" s="1" t="s">
        <v>1177</v>
      </c>
      <c r="F1092" s="1" t="s">
        <v>6717</v>
      </c>
      <c r="G1092" s="1" t="str">
        <f>IFERROR(VLOOKUP(A1092,H_C!$A$2:$G$2628,7,0),"Validar HC")</f>
        <v>Martinez, Wendy</v>
      </c>
      <c r="H1092" s="164">
        <v>1623501.0</v>
      </c>
      <c r="I1092" s="1">
        <v>42.0</v>
      </c>
    </row>
    <row r="1093" ht="15.75" customHeight="1">
      <c r="A1093" s="1">
        <v>5346428.0</v>
      </c>
      <c r="B1093" s="1" t="s">
        <v>2057</v>
      </c>
      <c r="C1093" s="1" t="s">
        <v>2058</v>
      </c>
      <c r="D1093" s="1" t="s">
        <v>224</v>
      </c>
      <c r="E1093" s="1" t="s">
        <v>391</v>
      </c>
      <c r="F1093" s="1" t="s">
        <v>6717</v>
      </c>
      <c r="G1093" s="1" t="str">
        <f>IFERROR(VLOOKUP(A1093,H_C!$A$2:$G$2628,7,0),"Validar HC")</f>
        <v>Garcia, Helmer</v>
      </c>
      <c r="H1093" s="164">
        <v>1623501.0</v>
      </c>
      <c r="I1093" s="1">
        <v>42.0</v>
      </c>
    </row>
    <row r="1094" ht="15.75" customHeight="1">
      <c r="A1094" s="1">
        <v>5346435.0</v>
      </c>
      <c r="B1094" s="1" t="s">
        <v>3274</v>
      </c>
      <c r="C1094" s="1" t="s">
        <v>3275</v>
      </c>
      <c r="D1094" s="1" t="s">
        <v>224</v>
      </c>
      <c r="E1094" s="1" t="s">
        <v>425</v>
      </c>
      <c r="F1094" s="1" t="s">
        <v>6717</v>
      </c>
      <c r="G1094" s="1" t="str">
        <f>IFERROR(VLOOKUP(A1094,H_C!$A$2:$G$2628,7,0),"Validar HC")</f>
        <v>Ospina, Michel</v>
      </c>
      <c r="H1094" s="164">
        <v>1623501.0</v>
      </c>
      <c r="I1094" s="1">
        <v>42.0</v>
      </c>
    </row>
    <row r="1095" ht="15.75" customHeight="1">
      <c r="A1095" s="1">
        <v>5346462.0</v>
      </c>
      <c r="B1095" s="1" t="s">
        <v>3614</v>
      </c>
      <c r="C1095" s="1" t="s">
        <v>3615</v>
      </c>
      <c r="D1095" s="1" t="s">
        <v>224</v>
      </c>
      <c r="E1095" s="1" t="s">
        <v>118</v>
      </c>
      <c r="F1095" s="1" t="s">
        <v>6717</v>
      </c>
      <c r="G1095" s="1" t="str">
        <f>IFERROR(VLOOKUP(A1095,H_C!$A$2:$G$2628,7,0),"Validar HC")</f>
        <v>Ospina, Michel</v>
      </c>
      <c r="H1095" s="164">
        <v>1623501.0</v>
      </c>
      <c r="I1095" s="1">
        <v>42.0</v>
      </c>
    </row>
    <row r="1096" ht="15.75" customHeight="1">
      <c r="A1096" s="1">
        <v>5346602.0</v>
      </c>
      <c r="B1096" s="1" t="s">
        <v>3815</v>
      </c>
      <c r="C1096" s="1" t="s">
        <v>3816</v>
      </c>
      <c r="D1096" s="1" t="s">
        <v>224</v>
      </c>
      <c r="E1096" s="1" t="s">
        <v>374</v>
      </c>
      <c r="F1096" s="1" t="s">
        <v>6717</v>
      </c>
      <c r="G1096" s="1" t="str">
        <f>IFERROR(VLOOKUP(A1096,H_C!$A$2:$G$2628,7,0),"Validar HC")</f>
        <v>Martinez, Wendy</v>
      </c>
      <c r="H1096" s="164">
        <v>1623501.0</v>
      </c>
      <c r="I1096" s="1">
        <v>42.0</v>
      </c>
    </row>
    <row r="1097" ht="15.75" customHeight="1">
      <c r="A1097" s="1">
        <v>5346605.0</v>
      </c>
      <c r="B1097" s="1" t="s">
        <v>3819</v>
      </c>
      <c r="C1097" s="1" t="s">
        <v>3820</v>
      </c>
      <c r="D1097" s="1" t="s">
        <v>224</v>
      </c>
      <c r="E1097" s="1" t="s">
        <v>6747</v>
      </c>
      <c r="F1097" s="1" t="s">
        <v>6717</v>
      </c>
      <c r="G1097" s="1" t="str">
        <f>IFERROR(VLOOKUP(A1097,H_C!$A$2:$G$2628,7,0),"Validar HC")</f>
        <v>Ospina, Michel</v>
      </c>
      <c r="H1097" s="164">
        <v>1623501.0</v>
      </c>
      <c r="I1097" s="1">
        <v>42.0</v>
      </c>
    </row>
    <row r="1098" ht="15.75" customHeight="1">
      <c r="A1098" s="1">
        <v>4734515.0</v>
      </c>
      <c r="B1098" s="1" t="s">
        <v>36</v>
      </c>
      <c r="C1098" s="1" t="s">
        <v>1901</v>
      </c>
      <c r="D1098" s="1" t="s">
        <v>224</v>
      </c>
      <c r="E1098" s="1" t="s">
        <v>13</v>
      </c>
      <c r="F1098" s="1" t="s">
        <v>6717</v>
      </c>
      <c r="G1098" s="1" t="str">
        <f>IFERROR(VLOOKUP(A1098,H_C!$A$2:$G$2628,7,0),"Validar HC")</f>
        <v>Ospina, Michel</v>
      </c>
      <c r="H1098" s="162">
        <v>1600000.0</v>
      </c>
      <c r="I1098" s="1">
        <v>42.0</v>
      </c>
    </row>
    <row r="1099" ht="15.75" customHeight="1">
      <c r="A1099" s="1">
        <v>5346785.0</v>
      </c>
      <c r="B1099" s="1" t="s">
        <v>3823</v>
      </c>
      <c r="C1099" s="1" t="s">
        <v>3824</v>
      </c>
      <c r="D1099" s="1" t="s">
        <v>224</v>
      </c>
      <c r="E1099" s="1" t="s">
        <v>695</v>
      </c>
      <c r="F1099" s="1" t="s">
        <v>6717</v>
      </c>
      <c r="G1099" s="1" t="str">
        <f>IFERROR(VLOOKUP(A1099,H_C!$A$2:$G$2628,7,0),"Validar HC")</f>
        <v>Ayala, Giselle</v>
      </c>
      <c r="H1099" s="164">
        <v>1623501.0</v>
      </c>
      <c r="I1099" s="1">
        <v>42.0</v>
      </c>
    </row>
    <row r="1100" ht="15.75" customHeight="1">
      <c r="A1100" s="1">
        <v>5348014.0</v>
      </c>
      <c r="B1100" s="1" t="s">
        <v>3827</v>
      </c>
      <c r="C1100" s="1" t="s">
        <v>3828</v>
      </c>
      <c r="D1100" s="1" t="s">
        <v>224</v>
      </c>
      <c r="E1100" s="1" t="s">
        <v>331</v>
      </c>
      <c r="F1100" s="1" t="s">
        <v>6717</v>
      </c>
      <c r="G1100" s="1" t="str">
        <f>IFERROR(VLOOKUP(A1100,H_C!$A$2:$G$2628,7,0),"Validar HC")</f>
        <v>Castillo, Carlos</v>
      </c>
      <c r="H1100" s="164">
        <v>1623501.0</v>
      </c>
      <c r="I1100" s="1">
        <v>42.0</v>
      </c>
    </row>
    <row r="1101" ht="15.75" customHeight="1">
      <c r="A1101" s="1">
        <v>5349399.0</v>
      </c>
      <c r="B1101" s="1" t="s">
        <v>2149</v>
      </c>
      <c r="C1101" s="1" t="s">
        <v>2150</v>
      </c>
      <c r="D1101" s="1" t="s">
        <v>224</v>
      </c>
      <c r="E1101" s="1" t="s">
        <v>246</v>
      </c>
      <c r="F1101" s="1" t="s">
        <v>6717</v>
      </c>
      <c r="G1101" s="1" t="str">
        <f>IFERROR(VLOOKUP(A1101,H_C!$A$2:$G$2628,7,0),"Validar HC")</f>
        <v>Garcia, Helmer</v>
      </c>
      <c r="H1101" s="164">
        <v>1623501.0</v>
      </c>
      <c r="I1101" s="1">
        <v>42.0</v>
      </c>
    </row>
    <row r="1102" ht="15.75" customHeight="1">
      <c r="A1102" s="1">
        <v>5349456.0</v>
      </c>
      <c r="B1102" s="1" t="s">
        <v>3833</v>
      </c>
      <c r="C1102" s="1" t="s">
        <v>3834</v>
      </c>
      <c r="D1102" s="1" t="s">
        <v>224</v>
      </c>
      <c r="E1102" s="1" t="s">
        <v>530</v>
      </c>
      <c r="F1102" s="1" t="s">
        <v>6717</v>
      </c>
      <c r="G1102" s="1" t="str">
        <f>IFERROR(VLOOKUP(A1102,H_C!$A$2:$G$2628,7,0),"Validar HC")</f>
        <v>Garcia, Helmer</v>
      </c>
      <c r="H1102" s="164">
        <v>1623501.0</v>
      </c>
      <c r="I1102" s="1">
        <v>42.0</v>
      </c>
    </row>
    <row r="1103" ht="15.75" customHeight="1">
      <c r="A1103" s="1">
        <v>4747160.0</v>
      </c>
      <c r="B1103" s="1" t="s">
        <v>37</v>
      </c>
      <c r="C1103" s="1" t="s">
        <v>1908</v>
      </c>
      <c r="D1103" s="1" t="s">
        <v>224</v>
      </c>
      <c r="E1103" s="1" t="s">
        <v>13</v>
      </c>
      <c r="F1103" s="1" t="s">
        <v>6717</v>
      </c>
      <c r="G1103" s="1" t="str">
        <f>IFERROR(VLOOKUP(A1103,H_C!$A$2:$G$2628,7,0),"Validar HC")</f>
        <v>Ospina, Michel</v>
      </c>
      <c r="H1103" s="162">
        <v>1600000.0</v>
      </c>
      <c r="I1103" s="1">
        <v>42.0</v>
      </c>
    </row>
    <row r="1104" ht="15.75" customHeight="1">
      <c r="A1104" s="1">
        <v>5349460.0</v>
      </c>
      <c r="B1104" s="1" t="s">
        <v>2881</v>
      </c>
      <c r="C1104" s="1" t="s">
        <v>2882</v>
      </c>
      <c r="D1104" s="1" t="s">
        <v>224</v>
      </c>
      <c r="E1104" s="1" t="s">
        <v>401</v>
      </c>
      <c r="F1104" s="1" t="s">
        <v>6717</v>
      </c>
      <c r="G1104" s="1" t="str">
        <f>IFERROR(VLOOKUP(A1104,H_C!$A$2:$G$2628,7,0),"Validar HC")</f>
        <v>Martinez, Wendy</v>
      </c>
      <c r="H1104" s="164">
        <v>1623501.0</v>
      </c>
      <c r="I1104" s="1">
        <v>42.0</v>
      </c>
    </row>
    <row r="1105" ht="15.75" customHeight="1">
      <c r="A1105" s="1">
        <v>5321006.0</v>
      </c>
      <c r="B1105" s="1" t="s">
        <v>47</v>
      </c>
      <c r="C1105" s="1" t="s">
        <v>2340</v>
      </c>
      <c r="D1105" s="1" t="s">
        <v>224</v>
      </c>
      <c r="E1105" s="1" t="s">
        <v>13</v>
      </c>
      <c r="F1105" s="1" t="s">
        <v>6717</v>
      </c>
      <c r="G1105" s="1" t="str">
        <f>IFERROR(VLOOKUP(A1105,H_C!$A$2:$G$2628,7,0),"Validar HC")</f>
        <v>Ospina, Michel</v>
      </c>
      <c r="H1105" s="162">
        <v>1600000.0</v>
      </c>
      <c r="I1105" s="1">
        <v>42.0</v>
      </c>
    </row>
    <row r="1106" ht="15.75" customHeight="1">
      <c r="A1106" s="1">
        <v>5349468.0</v>
      </c>
      <c r="B1106" s="1" t="s">
        <v>3841</v>
      </c>
      <c r="C1106" s="1" t="s">
        <v>3842</v>
      </c>
      <c r="D1106" s="1" t="s">
        <v>224</v>
      </c>
      <c r="E1106" s="1" t="s">
        <v>1602</v>
      </c>
      <c r="F1106" s="1" t="s">
        <v>6717</v>
      </c>
      <c r="G1106" s="1" t="str">
        <f>IFERROR(VLOOKUP(A1106,H_C!$A$2:$G$2628,7,0),"Validar HC")</f>
        <v>Ayala, Giselle</v>
      </c>
      <c r="H1106" s="164">
        <v>1623501.0</v>
      </c>
      <c r="I1106" s="1">
        <v>42.0</v>
      </c>
    </row>
    <row r="1107" ht="15.75" customHeight="1">
      <c r="A1107" s="1">
        <v>5349473.0</v>
      </c>
      <c r="B1107" s="1" t="s">
        <v>3002</v>
      </c>
      <c r="C1107" s="1" t="s">
        <v>3003</v>
      </c>
      <c r="D1107" s="1" t="s">
        <v>224</v>
      </c>
      <c r="E1107" s="1" t="s">
        <v>432</v>
      </c>
      <c r="F1107" s="1" t="s">
        <v>6717</v>
      </c>
      <c r="G1107" s="1" t="str">
        <f>IFERROR(VLOOKUP(A1107,H_C!$A$2:$G$2628,7,0),"Validar HC")</f>
        <v>Ospina, Michel</v>
      </c>
      <c r="H1107" s="164">
        <v>1623501.0</v>
      </c>
      <c r="I1107" s="1">
        <v>42.0</v>
      </c>
    </row>
    <row r="1108" ht="15.75" customHeight="1">
      <c r="A1108" s="1">
        <v>5349478.0</v>
      </c>
      <c r="B1108" s="1" t="s">
        <v>2518</v>
      </c>
      <c r="C1108" s="1" t="s">
        <v>2519</v>
      </c>
      <c r="D1108" s="1" t="s">
        <v>224</v>
      </c>
      <c r="E1108" s="1" t="s">
        <v>116</v>
      </c>
      <c r="F1108" s="1" t="s">
        <v>6717</v>
      </c>
      <c r="G1108" s="1" t="str">
        <f>IFERROR(VLOOKUP(A1108,H_C!$A$2:$G$2628,7,0),"Validar HC")</f>
        <v>Ospina, Michel</v>
      </c>
      <c r="H1108" s="164">
        <v>1623501.0</v>
      </c>
      <c r="I1108" s="1">
        <v>42.0</v>
      </c>
    </row>
    <row r="1109" ht="15.75" customHeight="1">
      <c r="A1109" s="1">
        <v>5349992.0</v>
      </c>
      <c r="B1109" s="1" t="s">
        <v>2370</v>
      </c>
      <c r="C1109" s="1" t="s">
        <v>2371</v>
      </c>
      <c r="D1109" s="1" t="s">
        <v>224</v>
      </c>
      <c r="E1109" s="1" t="s">
        <v>81</v>
      </c>
      <c r="F1109" s="1" t="s">
        <v>6717</v>
      </c>
      <c r="G1109" s="1" t="str">
        <f>IFERROR(VLOOKUP(A1109,H_C!$A$2:$G$2628,7,0),"Validar HC")</f>
        <v>Ospina, Michel</v>
      </c>
      <c r="H1109" s="164">
        <v>1623501.0</v>
      </c>
      <c r="I1109" s="1">
        <v>42.0</v>
      </c>
    </row>
    <row r="1110" ht="15.75" customHeight="1">
      <c r="A1110" s="1">
        <v>5350260.0</v>
      </c>
      <c r="B1110" s="1" t="s">
        <v>2335</v>
      </c>
      <c r="C1110" s="1" t="s">
        <v>2336</v>
      </c>
      <c r="D1110" s="1" t="s">
        <v>224</v>
      </c>
      <c r="E1110" s="1" t="s">
        <v>81</v>
      </c>
      <c r="F1110" s="1" t="s">
        <v>6717</v>
      </c>
      <c r="G1110" s="1" t="str">
        <f>IFERROR(VLOOKUP(A1110,H_C!$A$2:$G$2628,7,0),"Validar HC")</f>
        <v>Ospina, Michel</v>
      </c>
      <c r="H1110" s="164">
        <v>1623501.0</v>
      </c>
      <c r="I1110" s="1">
        <v>42.0</v>
      </c>
    </row>
    <row r="1111" ht="15.75" customHeight="1">
      <c r="A1111" s="1">
        <v>5350468.0</v>
      </c>
      <c r="B1111" s="1" t="s">
        <v>3530</v>
      </c>
      <c r="C1111" s="1" t="s">
        <v>3531</v>
      </c>
      <c r="D1111" s="1" t="s">
        <v>224</v>
      </c>
      <c r="E1111" s="1" t="s">
        <v>467</v>
      </c>
      <c r="F1111" s="1" t="s">
        <v>6717</v>
      </c>
      <c r="G1111" s="1" t="str">
        <f>IFERROR(VLOOKUP(A1111,H_C!$A$2:$G$2628,7,0),"Validar HC")</f>
        <v>Martinez, Wendy</v>
      </c>
      <c r="H1111" s="164">
        <v>1623501.0</v>
      </c>
      <c r="I1111" s="1">
        <v>42.0</v>
      </c>
    </row>
    <row r="1112" ht="15.75" customHeight="1">
      <c r="A1112" s="1">
        <v>5350678.0</v>
      </c>
      <c r="B1112" s="1" t="s">
        <v>3845</v>
      </c>
      <c r="C1112" s="1" t="s">
        <v>3846</v>
      </c>
      <c r="D1112" s="1" t="s">
        <v>224</v>
      </c>
      <c r="E1112" s="1" t="s">
        <v>555</v>
      </c>
      <c r="F1112" s="1" t="s">
        <v>6717</v>
      </c>
      <c r="G1112" s="1" t="str">
        <f>IFERROR(VLOOKUP(A1112,H_C!$A$2:$G$2628,7,0),"Validar HC")</f>
        <v>Ayala, Giselle</v>
      </c>
      <c r="H1112" s="164">
        <v>1623501.0</v>
      </c>
      <c r="I1112" s="1">
        <v>42.0</v>
      </c>
    </row>
    <row r="1113" ht="15.75" customHeight="1">
      <c r="A1113" s="1">
        <v>5351350.0</v>
      </c>
      <c r="B1113" s="1" t="s">
        <v>1298</v>
      </c>
      <c r="C1113" s="1" t="s">
        <v>1299</v>
      </c>
      <c r="D1113" s="1" t="s">
        <v>224</v>
      </c>
      <c r="E1113" s="1" t="s">
        <v>10</v>
      </c>
      <c r="F1113" s="1" t="s">
        <v>6717</v>
      </c>
      <c r="G1113" s="1" t="str">
        <f>IFERROR(VLOOKUP(A1113,H_C!$A$2:$G$2628,7,0),"Validar HC")</f>
        <v>Gonzalez, Cristian</v>
      </c>
      <c r="H1113" s="164">
        <v>1623501.0</v>
      </c>
      <c r="I1113" s="1">
        <v>42.0</v>
      </c>
    </row>
    <row r="1114" ht="15.75" customHeight="1">
      <c r="A1114" s="1">
        <v>5351891.0</v>
      </c>
      <c r="B1114" s="1" t="s">
        <v>3847</v>
      </c>
      <c r="C1114" s="1" t="s">
        <v>3848</v>
      </c>
      <c r="D1114" s="1" t="s">
        <v>224</v>
      </c>
      <c r="E1114" s="1" t="s">
        <v>323</v>
      </c>
      <c r="F1114" s="1" t="s">
        <v>6717</v>
      </c>
      <c r="G1114" s="1" t="str">
        <f>IFERROR(VLOOKUP(A1114,H_C!$A$2:$G$2628,7,0),"Validar HC")</f>
        <v>Martinez, Wendy</v>
      </c>
      <c r="H1114" s="164">
        <v>1623501.0</v>
      </c>
      <c r="I1114" s="1">
        <v>42.0</v>
      </c>
    </row>
    <row r="1115" ht="15.75" customHeight="1">
      <c r="A1115" s="1">
        <v>5353776.0</v>
      </c>
      <c r="B1115" s="1" t="s">
        <v>3849</v>
      </c>
      <c r="C1115" s="1" t="s">
        <v>3850</v>
      </c>
      <c r="D1115" s="1" t="s">
        <v>224</v>
      </c>
      <c r="E1115" s="1" t="s">
        <v>676</v>
      </c>
      <c r="F1115" s="1" t="s">
        <v>6717</v>
      </c>
      <c r="G1115" s="1" t="str">
        <f>IFERROR(VLOOKUP(A1115,H_C!$A$2:$G$2628,7,0),"Validar HC")</f>
        <v>Garatejo, Natalia</v>
      </c>
      <c r="H1115" s="164">
        <v>1623501.0</v>
      </c>
      <c r="I1115" s="1">
        <v>42.0</v>
      </c>
    </row>
    <row r="1116" ht="15.75" customHeight="1">
      <c r="A1116" s="1">
        <v>5355997.0</v>
      </c>
      <c r="B1116" s="1" t="s">
        <v>2550</v>
      </c>
      <c r="C1116" s="1" t="s">
        <v>2551</v>
      </c>
      <c r="D1116" s="1" t="s">
        <v>224</v>
      </c>
      <c r="E1116" s="1" t="s">
        <v>514</v>
      </c>
      <c r="F1116" s="1" t="s">
        <v>6717</v>
      </c>
      <c r="G1116" s="1" t="str">
        <f>IFERROR(VLOOKUP(A1116,H_C!$A$2:$G$2628,7,0),"Validar HC")</f>
        <v>Garatejo, Natalia</v>
      </c>
      <c r="H1116" s="164">
        <v>1623501.0</v>
      </c>
      <c r="I1116" s="1">
        <v>42.0</v>
      </c>
    </row>
    <row r="1117" ht="15.75" customHeight="1">
      <c r="A1117" s="1">
        <v>5357089.0</v>
      </c>
      <c r="B1117" s="1" t="s">
        <v>3853</v>
      </c>
      <c r="C1117" s="1" t="s">
        <v>3855</v>
      </c>
      <c r="D1117" s="1" t="s">
        <v>224</v>
      </c>
      <c r="E1117" s="1" t="s">
        <v>416</v>
      </c>
      <c r="F1117" s="1" t="s">
        <v>6717</v>
      </c>
      <c r="G1117" s="1" t="str">
        <f>IFERROR(VLOOKUP(A1117,H_C!$A$2:$G$2628,7,0),"Validar HC")</f>
        <v>Ospina, Michel</v>
      </c>
      <c r="H1117" s="164">
        <v>1623501.0</v>
      </c>
      <c r="I1117" s="1">
        <v>42.0</v>
      </c>
    </row>
    <row r="1118" ht="15.75" customHeight="1">
      <c r="A1118" s="1">
        <v>5357183.0</v>
      </c>
      <c r="B1118" s="1" t="s">
        <v>3856</v>
      </c>
      <c r="C1118" s="1" t="s">
        <v>3857</v>
      </c>
      <c r="D1118" s="1" t="s">
        <v>224</v>
      </c>
      <c r="E1118" s="1" t="s">
        <v>491</v>
      </c>
      <c r="F1118" s="1" t="s">
        <v>6717</v>
      </c>
      <c r="G1118" s="1" t="str">
        <f>IFERROR(VLOOKUP(A1118,H_C!$A$2:$G$2628,7,0),"Validar HC")</f>
        <v>Soler, Maria</v>
      </c>
      <c r="H1118" s="164">
        <v>1623501.0</v>
      </c>
      <c r="I1118" s="1">
        <v>42.0</v>
      </c>
    </row>
    <row r="1119" ht="15.75" customHeight="1">
      <c r="A1119" s="1">
        <v>5358483.0</v>
      </c>
      <c r="B1119" s="1" t="s">
        <v>3858</v>
      </c>
      <c r="C1119" s="1" t="s">
        <v>3859</v>
      </c>
      <c r="D1119" s="1" t="s">
        <v>224</v>
      </c>
      <c r="E1119" s="1" t="s">
        <v>632</v>
      </c>
      <c r="F1119" s="1" t="s">
        <v>6717</v>
      </c>
      <c r="G1119" s="1" t="str">
        <f>IFERROR(VLOOKUP(A1119,H_C!$A$2:$G$2628,7,0),"Validar HC")</f>
        <v>Gonzalez, Cristian</v>
      </c>
      <c r="H1119" s="164">
        <v>1623501.0</v>
      </c>
      <c r="I1119" s="1">
        <v>42.0</v>
      </c>
    </row>
    <row r="1120" ht="15.75" customHeight="1">
      <c r="A1120" s="1">
        <v>5358640.0</v>
      </c>
      <c r="B1120" s="1" t="s">
        <v>3860</v>
      </c>
      <c r="C1120" s="1" t="s">
        <v>3861</v>
      </c>
      <c r="D1120" s="1" t="s">
        <v>224</v>
      </c>
      <c r="E1120" s="1" t="s">
        <v>3225</v>
      </c>
      <c r="F1120" s="1" t="s">
        <v>6717</v>
      </c>
      <c r="G1120" s="1" t="str">
        <f>IFERROR(VLOOKUP(A1120,H_C!$A$2:$G$2628,7,0),"Validar HC")</f>
        <v>Ayala, Giselle</v>
      </c>
      <c r="H1120" s="164">
        <v>1623501.0</v>
      </c>
      <c r="I1120" s="1">
        <v>42.0</v>
      </c>
    </row>
    <row r="1121" ht="15.75" customHeight="1">
      <c r="A1121" s="1">
        <v>5358752.0</v>
      </c>
      <c r="B1121" s="1" t="s">
        <v>3864</v>
      </c>
      <c r="C1121" s="1" t="s">
        <v>3865</v>
      </c>
      <c r="D1121" s="1" t="s">
        <v>224</v>
      </c>
      <c r="E1121" s="1" t="s">
        <v>120</v>
      </c>
      <c r="F1121" s="1" t="s">
        <v>6717</v>
      </c>
      <c r="G1121" s="1" t="str">
        <f>IFERROR(VLOOKUP(A1121,H_C!$A$2:$G$2628,7,0),"Validar HC")</f>
        <v>Ospina, Michel</v>
      </c>
      <c r="H1121" s="164">
        <v>1623501.0</v>
      </c>
      <c r="I1121" s="1">
        <v>42.0</v>
      </c>
    </row>
    <row r="1122" ht="15.75" customHeight="1">
      <c r="A1122" s="1">
        <v>5358844.0</v>
      </c>
      <c r="B1122" s="1" t="s">
        <v>3866</v>
      </c>
      <c r="C1122" s="1" t="s">
        <v>3867</v>
      </c>
      <c r="D1122" s="1" t="s">
        <v>224</v>
      </c>
      <c r="E1122" s="1" t="s">
        <v>374</v>
      </c>
      <c r="F1122" s="1" t="s">
        <v>6717</v>
      </c>
      <c r="G1122" s="1" t="str">
        <f>IFERROR(VLOOKUP(A1122,H_C!$A$2:$G$2628,7,0),"Validar HC")</f>
        <v>Martinez, Wendy</v>
      </c>
      <c r="H1122" s="164">
        <v>1623501.0</v>
      </c>
      <c r="I1122" s="1">
        <v>42.0</v>
      </c>
    </row>
    <row r="1123" ht="15.75" customHeight="1">
      <c r="A1123" s="1">
        <v>5359852.0</v>
      </c>
      <c r="B1123" s="1" t="s">
        <v>3370</v>
      </c>
      <c r="C1123" s="1" t="s">
        <v>3371</v>
      </c>
      <c r="D1123" s="1" t="s">
        <v>224</v>
      </c>
      <c r="E1123" s="1" t="s">
        <v>994</v>
      </c>
      <c r="F1123" s="1" t="s">
        <v>6717</v>
      </c>
      <c r="G1123" s="1" t="str">
        <f>IFERROR(VLOOKUP(A1123,H_C!$A$2:$G$2628,7,0),"Validar HC")</f>
        <v>Gonzalez, Cristian</v>
      </c>
      <c r="H1123" s="164">
        <v>1623501.0</v>
      </c>
      <c r="I1123" s="1">
        <v>42.0</v>
      </c>
    </row>
    <row r="1124" ht="15.75" customHeight="1">
      <c r="A1124" s="1">
        <v>5360362.0</v>
      </c>
      <c r="B1124" s="1" t="s">
        <v>135</v>
      </c>
      <c r="C1124" s="1" t="s">
        <v>2520</v>
      </c>
      <c r="D1124" s="1" t="s">
        <v>224</v>
      </c>
      <c r="E1124" s="1" t="s">
        <v>81</v>
      </c>
      <c r="F1124" s="1" t="s">
        <v>6717</v>
      </c>
      <c r="G1124" s="1" t="str">
        <f>IFERROR(VLOOKUP(A1124,H_C!$A$2:$G$2628,7,0),"Validar HC")</f>
        <v>Ospina, Michel</v>
      </c>
      <c r="H1124" s="164">
        <v>1623501.0</v>
      </c>
      <c r="I1124" s="1">
        <v>42.0</v>
      </c>
    </row>
    <row r="1125" ht="15.75" customHeight="1">
      <c r="A1125" s="1">
        <v>5361208.0</v>
      </c>
      <c r="B1125" s="1" t="s">
        <v>3872</v>
      </c>
      <c r="C1125" s="1" t="s">
        <v>3873</v>
      </c>
      <c r="D1125" s="1" t="s">
        <v>224</v>
      </c>
      <c r="E1125" s="1" t="s">
        <v>3784</v>
      </c>
      <c r="F1125" s="1" t="s">
        <v>6717</v>
      </c>
      <c r="G1125" s="1" t="str">
        <f>IFERROR(VLOOKUP(A1125,H_C!$A$2:$G$2628,7,0),"Validar HC")</f>
        <v>Soler, Maria</v>
      </c>
      <c r="H1125" s="164">
        <v>1623501.0</v>
      </c>
      <c r="I1125" s="1">
        <v>42.0</v>
      </c>
    </row>
    <row r="1126" ht="15.75" customHeight="1">
      <c r="A1126" s="1">
        <v>5361387.0</v>
      </c>
      <c r="B1126" s="1" t="s">
        <v>2817</v>
      </c>
      <c r="C1126" s="1" t="s">
        <v>2818</v>
      </c>
      <c r="D1126" s="1" t="s">
        <v>224</v>
      </c>
      <c r="E1126" s="1" t="s">
        <v>232</v>
      </c>
      <c r="F1126" s="1" t="s">
        <v>6717</v>
      </c>
      <c r="G1126" s="1" t="str">
        <f>IFERROR(VLOOKUP(A1126,H_C!$A$2:$G$2628,7,0),"Validar HC")</f>
        <v>Soler, Maria</v>
      </c>
      <c r="H1126" s="164">
        <v>1623501.0</v>
      </c>
      <c r="I1126" s="1">
        <v>42.0</v>
      </c>
    </row>
    <row r="1127" ht="15.75" customHeight="1">
      <c r="A1127" s="1">
        <v>5361494.0</v>
      </c>
      <c r="B1127" s="1" t="s">
        <v>455</v>
      </c>
      <c r="C1127" s="1" t="s">
        <v>456</v>
      </c>
      <c r="D1127" s="1" t="s">
        <v>224</v>
      </c>
      <c r="E1127" s="1" t="s">
        <v>232</v>
      </c>
      <c r="F1127" s="1" t="s">
        <v>6717</v>
      </c>
      <c r="G1127" s="1" t="str">
        <f>IFERROR(VLOOKUP(A1127,H_C!$A$2:$G$2628,7,0),"Validar HC")</f>
        <v>Soler, Maria</v>
      </c>
      <c r="H1127" s="164">
        <v>1623501.0</v>
      </c>
      <c r="I1127" s="1">
        <v>42.0</v>
      </c>
    </row>
    <row r="1128" ht="15.75" customHeight="1">
      <c r="A1128" s="1">
        <v>5361495.0</v>
      </c>
      <c r="B1128" s="1" t="s">
        <v>3876</v>
      </c>
      <c r="C1128" s="1" t="s">
        <v>3877</v>
      </c>
      <c r="D1128" s="1" t="s">
        <v>224</v>
      </c>
      <c r="E1128" s="1" t="s">
        <v>232</v>
      </c>
      <c r="F1128" s="1" t="s">
        <v>6717</v>
      </c>
      <c r="G1128" s="1" t="str">
        <f>IFERROR(VLOOKUP(A1128,H_C!$A$2:$G$2628,7,0),"Validar HC")</f>
        <v>Soler, Maria</v>
      </c>
      <c r="H1128" s="164">
        <v>1623501.0</v>
      </c>
      <c r="I1128" s="1">
        <v>42.0</v>
      </c>
    </row>
    <row r="1129" ht="15.75" customHeight="1">
      <c r="A1129" s="1">
        <v>5361509.0</v>
      </c>
      <c r="B1129" s="1" t="s">
        <v>717</v>
      </c>
      <c r="C1129" s="1" t="s">
        <v>718</v>
      </c>
      <c r="D1129" s="1" t="s">
        <v>224</v>
      </c>
      <c r="E1129" s="1" t="s">
        <v>239</v>
      </c>
      <c r="F1129" s="1" t="s">
        <v>6717</v>
      </c>
      <c r="G1129" s="1" t="str">
        <f>IFERROR(VLOOKUP(A1129,H_C!$A$2:$G$2628,7,0),"Validar HC")</f>
        <v>Soler, Maria</v>
      </c>
      <c r="H1129" s="164">
        <v>1623501.0</v>
      </c>
      <c r="I1129" s="1">
        <v>42.0</v>
      </c>
    </row>
    <row r="1130" ht="15.75" customHeight="1">
      <c r="A1130" s="1">
        <v>5361562.0</v>
      </c>
      <c r="B1130" s="1" t="s">
        <v>3878</v>
      </c>
      <c r="C1130" s="1" t="s">
        <v>3879</v>
      </c>
      <c r="D1130" s="1" t="s">
        <v>224</v>
      </c>
      <c r="E1130" s="1" t="s">
        <v>835</v>
      </c>
      <c r="F1130" s="1" t="s">
        <v>6717</v>
      </c>
      <c r="G1130" s="1" t="str">
        <f>IFERROR(VLOOKUP(A1130,H_C!$A$2:$G$2628,7,0),"Validar HC")</f>
        <v>Martinez, Wendy</v>
      </c>
      <c r="H1130" s="164">
        <v>1623501.0</v>
      </c>
      <c r="I1130" s="1">
        <v>42.0</v>
      </c>
    </row>
    <row r="1131" ht="15.75" customHeight="1">
      <c r="A1131" s="1">
        <v>5361566.0</v>
      </c>
      <c r="B1131" s="1" t="s">
        <v>3880</v>
      </c>
      <c r="C1131" s="1" t="s">
        <v>3881</v>
      </c>
      <c r="D1131" s="1" t="s">
        <v>224</v>
      </c>
      <c r="E1131" s="1" t="s">
        <v>695</v>
      </c>
      <c r="F1131" s="1" t="s">
        <v>6717</v>
      </c>
      <c r="G1131" s="1" t="str">
        <f>IFERROR(VLOOKUP(A1131,H_C!$A$2:$G$2628,7,0),"Validar HC")</f>
        <v>Ayala, Giselle</v>
      </c>
      <c r="H1131" s="164">
        <v>1623501.0</v>
      </c>
      <c r="I1131" s="1">
        <v>42.0</v>
      </c>
    </row>
    <row r="1132" ht="15.75" customHeight="1">
      <c r="A1132" s="1">
        <v>5361572.0</v>
      </c>
      <c r="B1132" s="1" t="s">
        <v>2079</v>
      </c>
      <c r="C1132" s="1" t="s">
        <v>2080</v>
      </c>
      <c r="D1132" s="1" t="s">
        <v>224</v>
      </c>
      <c r="E1132" s="1" t="s">
        <v>323</v>
      </c>
      <c r="F1132" s="1" t="s">
        <v>6717</v>
      </c>
      <c r="G1132" s="1" t="str">
        <f>IFERROR(VLOOKUP(A1132,H_C!$A$2:$G$2628,7,0),"Validar HC")</f>
        <v>Martinez, Wendy</v>
      </c>
      <c r="H1132" s="164">
        <v>1623501.0</v>
      </c>
      <c r="I1132" s="1">
        <v>42.0</v>
      </c>
    </row>
    <row r="1133" ht="15.75" customHeight="1">
      <c r="A1133" s="1">
        <v>5361573.0</v>
      </c>
      <c r="B1133" s="1" t="s">
        <v>3884</v>
      </c>
      <c r="C1133" s="1" t="s">
        <v>3885</v>
      </c>
      <c r="D1133" s="1" t="s">
        <v>224</v>
      </c>
      <c r="E1133" s="1" t="s">
        <v>522</v>
      </c>
      <c r="F1133" s="1" t="s">
        <v>6717</v>
      </c>
      <c r="G1133" s="1" t="str">
        <f>IFERROR(VLOOKUP(A1133,H_C!$A$2:$G$2628,7,0),"Validar HC")</f>
        <v>Martinez, Wendy</v>
      </c>
      <c r="H1133" s="164">
        <v>1623501.0</v>
      </c>
      <c r="I1133" s="1">
        <v>42.0</v>
      </c>
    </row>
    <row r="1134" ht="15.75" customHeight="1">
      <c r="A1134" s="1">
        <v>5361584.0</v>
      </c>
      <c r="B1134" s="1" t="s">
        <v>595</v>
      </c>
      <c r="C1134" s="1" t="s">
        <v>596</v>
      </c>
      <c r="D1134" s="1" t="s">
        <v>224</v>
      </c>
      <c r="E1134" s="1" t="s">
        <v>526</v>
      </c>
      <c r="F1134" s="1" t="s">
        <v>6717</v>
      </c>
      <c r="G1134" s="1" t="str">
        <f>IFERROR(VLOOKUP(A1134,H_C!$A$2:$G$2628,7,0),"Validar HC")</f>
        <v>Martinez, Wendy</v>
      </c>
      <c r="H1134" s="164">
        <v>1623501.0</v>
      </c>
      <c r="I1134" s="1">
        <v>42.0</v>
      </c>
    </row>
    <row r="1135" ht="15.75" customHeight="1">
      <c r="A1135" s="1">
        <v>5361591.0</v>
      </c>
      <c r="B1135" s="1" t="s">
        <v>1887</v>
      </c>
      <c r="C1135" s="1" t="s">
        <v>1888</v>
      </c>
      <c r="D1135" s="1" t="s">
        <v>224</v>
      </c>
      <c r="E1135" s="1" t="s">
        <v>1060</v>
      </c>
      <c r="F1135" s="1" t="s">
        <v>6717</v>
      </c>
      <c r="G1135" s="1" t="str">
        <f>IFERROR(VLOOKUP(A1135,H_C!$A$2:$G$2628,7,0),"Validar HC")</f>
        <v>Garcia, Helmer</v>
      </c>
      <c r="H1135" s="164">
        <v>1623501.0</v>
      </c>
      <c r="I1135" s="1">
        <v>42.0</v>
      </c>
    </row>
    <row r="1136" ht="15.75" customHeight="1">
      <c r="A1136" s="1">
        <v>5361594.0</v>
      </c>
      <c r="B1136" s="1" t="s">
        <v>884</v>
      </c>
      <c r="C1136" s="1" t="s">
        <v>885</v>
      </c>
      <c r="D1136" s="1" t="s">
        <v>224</v>
      </c>
      <c r="E1136" s="1" t="s">
        <v>118</v>
      </c>
      <c r="F1136" s="1" t="s">
        <v>6717</v>
      </c>
      <c r="G1136" s="1" t="str">
        <f>IFERROR(VLOOKUP(A1136,H_C!$A$2:$G$2628,7,0),"Validar HC")</f>
        <v>Ospina, Michel</v>
      </c>
      <c r="H1136" s="164">
        <v>1623501.0</v>
      </c>
      <c r="I1136" s="1">
        <v>42.0</v>
      </c>
    </row>
    <row r="1137" ht="15.75" customHeight="1">
      <c r="A1137" s="1">
        <v>5362674.0</v>
      </c>
      <c r="B1137" s="1" t="s">
        <v>3888</v>
      </c>
      <c r="C1137" s="1" t="s">
        <v>3889</v>
      </c>
      <c r="D1137" s="1" t="s">
        <v>224</v>
      </c>
      <c r="E1137" s="1" t="s">
        <v>800</v>
      </c>
      <c r="F1137" s="1" t="s">
        <v>6717</v>
      </c>
      <c r="G1137" s="1" t="str">
        <f>IFERROR(VLOOKUP(A1137,H_C!$A$2:$G$2628,7,0),"Validar HC")</f>
        <v>Garatejo, Natalia</v>
      </c>
      <c r="H1137" s="164">
        <v>1623501.0</v>
      </c>
      <c r="I1137" s="1">
        <v>42.0</v>
      </c>
    </row>
    <row r="1138" ht="15.75" customHeight="1">
      <c r="A1138" s="1">
        <v>5362775.0</v>
      </c>
      <c r="B1138" s="1" t="s">
        <v>565</v>
      </c>
      <c r="C1138" s="1" t="s">
        <v>566</v>
      </c>
      <c r="D1138" s="1" t="s">
        <v>224</v>
      </c>
      <c r="E1138" s="1" t="s">
        <v>526</v>
      </c>
      <c r="F1138" s="1" t="s">
        <v>6717</v>
      </c>
      <c r="G1138" s="1" t="str">
        <f>IFERROR(VLOOKUP(A1138,H_C!$A$2:$G$2628,7,0),"Validar HC")</f>
        <v>Martinez, Wendy</v>
      </c>
      <c r="H1138" s="164">
        <v>1623501.0</v>
      </c>
      <c r="I1138" s="1">
        <v>42.0</v>
      </c>
    </row>
    <row r="1139" ht="15.75" customHeight="1">
      <c r="A1139" s="1">
        <v>5362898.0</v>
      </c>
      <c r="B1139" s="1" t="s">
        <v>1234</v>
      </c>
      <c r="C1139" s="1" t="s">
        <v>1235</v>
      </c>
      <c r="D1139" s="1" t="s">
        <v>224</v>
      </c>
      <c r="E1139" s="1" t="s">
        <v>254</v>
      </c>
      <c r="F1139" s="1" t="s">
        <v>6717</v>
      </c>
      <c r="G1139" s="1" t="str">
        <f>IFERROR(VLOOKUP(A1139,H_C!$A$2:$G$2628,7,0),"Validar HC")</f>
        <v>Gonzalez, Cristian</v>
      </c>
      <c r="H1139" s="164">
        <v>1623501.0</v>
      </c>
      <c r="I1139" s="1">
        <v>42.0</v>
      </c>
    </row>
    <row r="1140" ht="15.75" customHeight="1">
      <c r="A1140" s="1">
        <v>5363154.0</v>
      </c>
      <c r="B1140" s="1" t="s">
        <v>3874</v>
      </c>
      <c r="C1140" s="1" t="s">
        <v>3875</v>
      </c>
      <c r="D1140" s="1" t="s">
        <v>224</v>
      </c>
      <c r="E1140" s="1" t="s">
        <v>478</v>
      </c>
      <c r="F1140" s="1" t="s">
        <v>6717</v>
      </c>
      <c r="G1140" s="1" t="str">
        <f>IFERROR(VLOOKUP(A1140,H_C!$A$2:$G$2628,7,0),"Validar HC")</f>
        <v>Celi, Juan</v>
      </c>
      <c r="H1140" s="164">
        <v>1623501.0</v>
      </c>
      <c r="I1140" s="1">
        <v>42.0</v>
      </c>
    </row>
    <row r="1141" ht="15.75" customHeight="1">
      <c r="A1141" s="1">
        <v>5363161.0</v>
      </c>
      <c r="B1141" s="1" t="s">
        <v>3252</v>
      </c>
      <c r="C1141" s="1" t="s">
        <v>3253</v>
      </c>
      <c r="D1141" s="1" t="s">
        <v>224</v>
      </c>
      <c r="E1141" s="1" t="s">
        <v>1791</v>
      </c>
      <c r="F1141" s="1" t="s">
        <v>6717</v>
      </c>
      <c r="G1141" s="1" t="str">
        <f>IFERROR(VLOOKUP(A1141,H_C!$A$2:$G$2628,7,0),"Validar HC")</f>
        <v>Garcia, Helmer</v>
      </c>
      <c r="H1141" s="164">
        <v>1623501.0</v>
      </c>
      <c r="I1141" s="1">
        <v>42.0</v>
      </c>
    </row>
    <row r="1142" ht="15.75" customHeight="1">
      <c r="A1142" s="1">
        <v>5363188.0</v>
      </c>
      <c r="B1142" s="1" t="s">
        <v>3902</v>
      </c>
      <c r="C1142" s="1" t="s">
        <v>3903</v>
      </c>
      <c r="D1142" s="1" t="s">
        <v>224</v>
      </c>
      <c r="E1142" s="1" t="s">
        <v>695</v>
      </c>
      <c r="F1142" s="1" t="s">
        <v>6717</v>
      </c>
      <c r="G1142" s="1" t="str">
        <f>IFERROR(VLOOKUP(A1142,H_C!$A$2:$G$2628,7,0),"Validar HC")</f>
        <v>Ayala, Giselle</v>
      </c>
      <c r="H1142" s="164">
        <v>1623501.0</v>
      </c>
      <c r="I1142" s="1">
        <v>42.0</v>
      </c>
    </row>
    <row r="1143" ht="15.75" customHeight="1">
      <c r="A1143" s="1">
        <v>5363194.0</v>
      </c>
      <c r="B1143" s="1" t="s">
        <v>3906</v>
      </c>
      <c r="C1143" s="1" t="s">
        <v>3907</v>
      </c>
      <c r="D1143" s="1" t="s">
        <v>224</v>
      </c>
      <c r="E1143" s="1" t="s">
        <v>478</v>
      </c>
      <c r="F1143" s="1" t="s">
        <v>6717</v>
      </c>
      <c r="G1143" s="1" t="str">
        <f>IFERROR(VLOOKUP(A1143,H_C!$A$2:$G$2628,7,0),"Validar HC")</f>
        <v>Celi, Juan</v>
      </c>
      <c r="H1143" s="164">
        <v>1623501.0</v>
      </c>
      <c r="I1143" s="1">
        <v>42.0</v>
      </c>
    </row>
    <row r="1144" ht="15.75" customHeight="1">
      <c r="A1144" s="1">
        <v>5363195.0</v>
      </c>
      <c r="B1144" s="1" t="s">
        <v>359</v>
      </c>
      <c r="C1144" s="1" t="s">
        <v>360</v>
      </c>
      <c r="D1144" s="1" t="s">
        <v>224</v>
      </c>
      <c r="E1144" s="1" t="s">
        <v>329</v>
      </c>
      <c r="F1144" s="1" t="s">
        <v>6717</v>
      </c>
      <c r="G1144" s="1" t="str">
        <f>IFERROR(VLOOKUP(A1144,H_C!$A$2:$G$2628,7,0),"Validar HC")</f>
        <v>Garatejo, Natalia</v>
      </c>
      <c r="H1144" s="164">
        <v>1623501.0</v>
      </c>
      <c r="I1144" s="1">
        <v>42.0</v>
      </c>
    </row>
    <row r="1145" ht="15.75" customHeight="1">
      <c r="A1145" s="1">
        <v>5363246.0</v>
      </c>
      <c r="B1145" s="1" t="s">
        <v>3908</v>
      </c>
      <c r="C1145" s="1" t="s">
        <v>3909</v>
      </c>
      <c r="D1145" s="1" t="s">
        <v>224</v>
      </c>
      <c r="E1145" s="1" t="s">
        <v>1602</v>
      </c>
      <c r="F1145" s="1" t="s">
        <v>6717</v>
      </c>
      <c r="G1145" s="1" t="str">
        <f>IFERROR(VLOOKUP(A1145,H_C!$A$2:$G$2628,7,0),"Validar HC")</f>
        <v>Ayala, Giselle</v>
      </c>
      <c r="H1145" s="164">
        <v>1623501.0</v>
      </c>
      <c r="I1145" s="1">
        <v>42.0</v>
      </c>
    </row>
    <row r="1146" ht="15.75" customHeight="1">
      <c r="A1146" s="1">
        <v>5363323.0</v>
      </c>
      <c r="B1146" s="1" t="s">
        <v>3910</v>
      </c>
      <c r="C1146" s="1" t="s">
        <v>3911</v>
      </c>
      <c r="D1146" s="1" t="s">
        <v>224</v>
      </c>
      <c r="E1146" s="1" t="s">
        <v>676</v>
      </c>
      <c r="F1146" s="1" t="s">
        <v>6717</v>
      </c>
      <c r="G1146" s="1" t="str">
        <f>IFERROR(VLOOKUP(A1146,H_C!$A$2:$G$2628,7,0),"Validar HC")</f>
        <v>Garatejo, Natalia</v>
      </c>
      <c r="H1146" s="164">
        <v>1623501.0</v>
      </c>
      <c r="I1146" s="1">
        <v>42.0</v>
      </c>
    </row>
    <row r="1147" ht="15.75" customHeight="1">
      <c r="A1147" s="1">
        <v>5363335.0</v>
      </c>
      <c r="B1147" s="1" t="s">
        <v>489</v>
      </c>
      <c r="C1147" s="1" t="s">
        <v>490</v>
      </c>
      <c r="D1147" s="1" t="s">
        <v>224</v>
      </c>
      <c r="E1147" s="1" t="s">
        <v>232</v>
      </c>
      <c r="F1147" s="1" t="s">
        <v>6717</v>
      </c>
      <c r="G1147" s="1" t="str">
        <f>IFERROR(VLOOKUP(A1147,H_C!$A$2:$G$2628,7,0),"Validar HC")</f>
        <v>Soler, Maria</v>
      </c>
      <c r="H1147" s="164">
        <v>1623501.0</v>
      </c>
      <c r="I1147" s="1">
        <v>42.0</v>
      </c>
    </row>
    <row r="1148" ht="15.75" customHeight="1">
      <c r="A1148" s="1">
        <v>5363357.0</v>
      </c>
      <c r="B1148" s="1" t="s">
        <v>1547</v>
      </c>
      <c r="C1148" s="1" t="s">
        <v>1548</v>
      </c>
      <c r="D1148" s="1" t="s">
        <v>224</v>
      </c>
      <c r="E1148" s="1" t="s">
        <v>478</v>
      </c>
      <c r="F1148" s="1" t="s">
        <v>6717</v>
      </c>
      <c r="G1148" s="1" t="str">
        <f>IFERROR(VLOOKUP(A1148,H_C!$A$2:$G$2628,7,0),"Validar HC")</f>
        <v>Celi, Juan</v>
      </c>
      <c r="H1148" s="164">
        <v>1623501.0</v>
      </c>
      <c r="I1148" s="1">
        <v>42.0</v>
      </c>
    </row>
    <row r="1149" ht="15.75" customHeight="1">
      <c r="A1149" s="1">
        <v>5363695.0</v>
      </c>
      <c r="B1149" s="1" t="s">
        <v>3916</v>
      </c>
      <c r="C1149" s="1" t="s">
        <v>3917</v>
      </c>
      <c r="D1149" s="1" t="s">
        <v>224</v>
      </c>
      <c r="E1149" s="1" t="s">
        <v>847</v>
      </c>
      <c r="F1149" s="1" t="s">
        <v>6717</v>
      </c>
      <c r="G1149" s="1" t="str">
        <f>IFERROR(VLOOKUP(A1149,H_C!$A$2:$G$2628,7,0),"Validar HC")</f>
        <v>Garatejo, Natalia</v>
      </c>
      <c r="H1149" s="164">
        <v>1623501.0</v>
      </c>
      <c r="I1149" s="1">
        <v>42.0</v>
      </c>
    </row>
    <row r="1150" ht="15.75" customHeight="1">
      <c r="A1150" s="1">
        <v>5364019.0</v>
      </c>
      <c r="B1150" s="1" t="s">
        <v>372</v>
      </c>
      <c r="C1150" s="1" t="s">
        <v>373</v>
      </c>
      <c r="D1150" s="1" t="s">
        <v>224</v>
      </c>
      <c r="E1150" s="1" t="s">
        <v>329</v>
      </c>
      <c r="F1150" s="1" t="s">
        <v>6717</v>
      </c>
      <c r="G1150" s="1" t="str">
        <f>IFERROR(VLOOKUP(A1150,H_C!$A$2:$G$2628,7,0),"Validar HC")</f>
        <v>Garatejo, Natalia</v>
      </c>
      <c r="H1150" s="164">
        <v>1623501.0</v>
      </c>
      <c r="I1150" s="1">
        <v>42.0</v>
      </c>
    </row>
    <row r="1151" ht="15.75" customHeight="1">
      <c r="A1151" s="1">
        <v>5364311.0</v>
      </c>
      <c r="B1151" s="1" t="s">
        <v>3918</v>
      </c>
      <c r="C1151" s="1" t="s">
        <v>3919</v>
      </c>
      <c r="D1151" s="1" t="s">
        <v>224</v>
      </c>
      <c r="E1151" s="1" t="s">
        <v>316</v>
      </c>
      <c r="F1151" s="1" t="s">
        <v>6717</v>
      </c>
      <c r="G1151" s="1" t="str">
        <f>IFERROR(VLOOKUP(A1151,H_C!$A$2:$G$2628,7,0),"Validar HC")</f>
        <v>Osorio, Julian</v>
      </c>
      <c r="H1151" s="164">
        <v>1623501.0</v>
      </c>
      <c r="I1151" s="1">
        <v>42.0</v>
      </c>
    </row>
    <row r="1152" ht="15.75" customHeight="1">
      <c r="A1152" s="1">
        <v>5364315.0</v>
      </c>
      <c r="B1152" s="1" t="s">
        <v>405</v>
      </c>
      <c r="C1152" s="1" t="s">
        <v>406</v>
      </c>
      <c r="D1152" s="1" t="s">
        <v>224</v>
      </c>
      <c r="E1152" s="1" t="s">
        <v>329</v>
      </c>
      <c r="F1152" s="1" t="s">
        <v>6717</v>
      </c>
      <c r="G1152" s="1" t="str">
        <f>IFERROR(VLOOKUP(A1152,H_C!$A$2:$G$2628,7,0),"Validar HC")</f>
        <v>Garatejo, Natalia</v>
      </c>
      <c r="H1152" s="164">
        <v>1623501.0</v>
      </c>
      <c r="I1152" s="1">
        <v>42.0</v>
      </c>
    </row>
    <row r="1153" ht="15.75" customHeight="1">
      <c r="A1153" s="1">
        <v>5364382.0</v>
      </c>
      <c r="B1153" s="1" t="s">
        <v>3922</v>
      </c>
      <c r="C1153" s="1" t="s">
        <v>3923</v>
      </c>
      <c r="D1153" s="1" t="s">
        <v>224</v>
      </c>
      <c r="E1153" s="1" t="s">
        <v>813</v>
      </c>
      <c r="F1153" s="1" t="s">
        <v>6717</v>
      </c>
      <c r="G1153" s="1" t="str">
        <f>IFERROR(VLOOKUP(A1153,H_C!$A$2:$G$2628,7,0),"Validar HC")</f>
        <v>Garatejo, Natalia</v>
      </c>
      <c r="H1153" s="164">
        <v>1623501.0</v>
      </c>
      <c r="I1153" s="1">
        <v>42.0</v>
      </c>
    </row>
    <row r="1154" ht="15.75" customHeight="1">
      <c r="A1154" s="1">
        <v>5364385.0</v>
      </c>
      <c r="B1154" s="1" t="s">
        <v>2235</v>
      </c>
      <c r="C1154" s="1" t="s">
        <v>2236</v>
      </c>
      <c r="D1154" s="1" t="s">
        <v>224</v>
      </c>
      <c r="E1154" s="1" t="s">
        <v>813</v>
      </c>
      <c r="F1154" s="1" t="s">
        <v>6717</v>
      </c>
      <c r="G1154" s="1" t="str">
        <f>IFERROR(VLOOKUP(A1154,H_C!$A$2:$G$2628,7,0),"Validar HC")</f>
        <v>Garatejo, Natalia</v>
      </c>
      <c r="H1154" s="164">
        <v>1623501.0</v>
      </c>
      <c r="I1154" s="1">
        <v>42.0</v>
      </c>
    </row>
    <row r="1155" ht="15.75" customHeight="1">
      <c r="A1155" s="1">
        <v>5364396.0</v>
      </c>
      <c r="B1155" s="1" t="s">
        <v>3926</v>
      </c>
      <c r="C1155" s="1" t="s">
        <v>3927</v>
      </c>
      <c r="D1155" s="1" t="s">
        <v>224</v>
      </c>
      <c r="E1155" s="1" t="s">
        <v>374</v>
      </c>
      <c r="F1155" s="1" t="s">
        <v>6717</v>
      </c>
      <c r="G1155" s="1" t="str">
        <f>IFERROR(VLOOKUP(A1155,H_C!$A$2:$G$2628,7,0),"Validar HC")</f>
        <v>Martinez, Wendy</v>
      </c>
      <c r="H1155" s="164">
        <v>1623501.0</v>
      </c>
      <c r="I1155" s="1">
        <v>42.0</v>
      </c>
    </row>
    <row r="1156" ht="15.75" customHeight="1">
      <c r="A1156" s="1">
        <v>5364469.0</v>
      </c>
      <c r="B1156" s="1" t="s">
        <v>3930</v>
      </c>
      <c r="C1156" s="1" t="s">
        <v>3931</v>
      </c>
      <c r="D1156" s="1" t="s">
        <v>224</v>
      </c>
      <c r="E1156" s="1" t="s">
        <v>537</v>
      </c>
      <c r="F1156" s="1" t="s">
        <v>6717</v>
      </c>
      <c r="G1156" s="1" t="str">
        <f>IFERROR(VLOOKUP(A1156,H_C!$A$2:$G$2628,7,0),"Validar HC")</f>
        <v>Ayala, Giselle</v>
      </c>
      <c r="H1156" s="164">
        <v>1623501.0</v>
      </c>
      <c r="I1156" s="1">
        <v>42.0</v>
      </c>
    </row>
    <row r="1157" ht="15.75" customHeight="1">
      <c r="A1157" s="1">
        <v>5364475.0</v>
      </c>
      <c r="B1157" s="1" t="s">
        <v>3934</v>
      </c>
      <c r="C1157" s="1" t="s">
        <v>3935</v>
      </c>
      <c r="D1157" s="1" t="s">
        <v>224</v>
      </c>
      <c r="E1157" s="1" t="s">
        <v>800</v>
      </c>
      <c r="F1157" s="1" t="s">
        <v>6717</v>
      </c>
      <c r="G1157" s="1" t="str">
        <f>IFERROR(VLOOKUP(A1157,H_C!$A$2:$G$2628,7,0),"Validar HC")</f>
        <v>Garatejo, Natalia</v>
      </c>
      <c r="H1157" s="164">
        <v>1623501.0</v>
      </c>
      <c r="I1157" s="1">
        <v>42.0</v>
      </c>
    </row>
    <row r="1158" ht="15.75" customHeight="1">
      <c r="A1158" s="1">
        <v>5364822.0</v>
      </c>
      <c r="B1158" s="1" t="s">
        <v>3938</v>
      </c>
      <c r="C1158" s="1" t="s">
        <v>3939</v>
      </c>
      <c r="D1158" s="1" t="s">
        <v>224</v>
      </c>
      <c r="E1158" s="1" t="s">
        <v>555</v>
      </c>
      <c r="F1158" s="1" t="s">
        <v>6717</v>
      </c>
      <c r="G1158" s="1" t="str">
        <f>IFERROR(VLOOKUP(A1158,H_C!$A$2:$G$2628,7,0),"Validar HC")</f>
        <v>Ayala, Giselle</v>
      </c>
      <c r="H1158" s="164">
        <v>1623501.0</v>
      </c>
      <c r="I1158" s="1">
        <v>42.0</v>
      </c>
    </row>
    <row r="1159" ht="15.75" customHeight="1">
      <c r="A1159" s="1">
        <v>5365231.0</v>
      </c>
      <c r="B1159" s="1" t="s">
        <v>3942</v>
      </c>
      <c r="C1159" s="1" t="s">
        <v>3943</v>
      </c>
      <c r="D1159" s="1" t="s">
        <v>224</v>
      </c>
      <c r="E1159" s="1" t="s">
        <v>800</v>
      </c>
      <c r="F1159" s="1" t="s">
        <v>6717</v>
      </c>
      <c r="G1159" s="1" t="str">
        <f>IFERROR(VLOOKUP(A1159,H_C!$A$2:$G$2628,7,0),"Validar HC")</f>
        <v>Garatejo, Natalia</v>
      </c>
      <c r="H1159" s="164">
        <v>1623501.0</v>
      </c>
      <c r="I1159" s="1">
        <v>42.0</v>
      </c>
    </row>
    <row r="1160" ht="15.75" customHeight="1">
      <c r="A1160" s="1">
        <v>5365277.0</v>
      </c>
      <c r="B1160" s="1" t="s">
        <v>3946</v>
      </c>
      <c r="C1160" s="1" t="s">
        <v>3947</v>
      </c>
      <c r="D1160" s="1" t="s">
        <v>224</v>
      </c>
      <c r="E1160" s="1" t="s">
        <v>1602</v>
      </c>
      <c r="F1160" s="1" t="s">
        <v>6717</v>
      </c>
      <c r="G1160" s="1" t="str">
        <f>IFERROR(VLOOKUP(A1160,H_C!$A$2:$G$2628,7,0),"Validar HC")</f>
        <v>Ayala, Giselle</v>
      </c>
      <c r="H1160" s="164">
        <v>1623501.0</v>
      </c>
      <c r="I1160" s="1">
        <v>42.0</v>
      </c>
    </row>
    <row r="1161" ht="15.75" customHeight="1">
      <c r="A1161" s="1">
        <v>5365565.0</v>
      </c>
      <c r="B1161" s="1" t="s">
        <v>3952</v>
      </c>
      <c r="C1161" s="1" t="s">
        <v>3953</v>
      </c>
      <c r="D1161" s="1" t="s">
        <v>224</v>
      </c>
      <c r="E1161" s="1" t="s">
        <v>522</v>
      </c>
      <c r="F1161" s="1" t="s">
        <v>6717</v>
      </c>
      <c r="G1161" s="1" t="str">
        <f>IFERROR(VLOOKUP(A1161,H_C!$A$2:$G$2628,7,0),"Validar HC")</f>
        <v>Martinez, Wendy</v>
      </c>
      <c r="H1161" s="164">
        <v>1623501.0</v>
      </c>
      <c r="I1161" s="1">
        <v>42.0</v>
      </c>
    </row>
    <row r="1162" ht="15.75" customHeight="1">
      <c r="A1162" s="1">
        <v>5365616.0</v>
      </c>
      <c r="B1162" s="1" t="s">
        <v>3956</v>
      </c>
      <c r="C1162" s="1" t="s">
        <v>3957</v>
      </c>
      <c r="D1162" s="1" t="s">
        <v>224</v>
      </c>
      <c r="E1162" s="1" t="s">
        <v>412</v>
      </c>
      <c r="F1162" s="1" t="s">
        <v>6717</v>
      </c>
      <c r="G1162" s="1" t="str">
        <f>IFERROR(VLOOKUP(A1162,H_C!$A$2:$G$2628,7,0),"Validar HC")</f>
        <v>Ospina, Michel</v>
      </c>
      <c r="H1162" s="164">
        <v>1623501.0</v>
      </c>
      <c r="I1162" s="1">
        <v>42.0</v>
      </c>
    </row>
    <row r="1163" ht="15.75" customHeight="1">
      <c r="A1163" s="1">
        <v>5365630.0</v>
      </c>
      <c r="B1163" s="1" t="s">
        <v>1958</v>
      </c>
      <c r="C1163" s="1" t="s">
        <v>1959</v>
      </c>
      <c r="D1163" s="1" t="s">
        <v>224</v>
      </c>
      <c r="E1163" s="1" t="s">
        <v>316</v>
      </c>
      <c r="F1163" s="1" t="s">
        <v>6717</v>
      </c>
      <c r="G1163" s="1" t="str">
        <f>IFERROR(VLOOKUP(A1163,H_C!$A$2:$G$2628,7,0),"Validar HC")</f>
        <v>Osorio, Julian</v>
      </c>
      <c r="H1163" s="164">
        <v>1623501.0</v>
      </c>
      <c r="I1163" s="1">
        <v>42.0</v>
      </c>
    </row>
    <row r="1164" ht="15.75" customHeight="1">
      <c r="A1164" s="1">
        <v>5366284.0</v>
      </c>
      <c r="B1164" s="1" t="s">
        <v>3101</v>
      </c>
      <c r="C1164" s="1" t="s">
        <v>3102</v>
      </c>
      <c r="D1164" s="1" t="s">
        <v>224</v>
      </c>
      <c r="E1164" s="1" t="s">
        <v>329</v>
      </c>
      <c r="F1164" s="1" t="s">
        <v>6717</v>
      </c>
      <c r="G1164" s="1" t="str">
        <f>IFERROR(VLOOKUP(A1164,H_C!$A$2:$G$2628,7,0),"Validar HC")</f>
        <v>Garatejo, Natalia</v>
      </c>
      <c r="H1164" s="164">
        <v>1623501.0</v>
      </c>
      <c r="I1164" s="1">
        <v>42.0</v>
      </c>
    </row>
    <row r="1165" ht="15.75" customHeight="1">
      <c r="A1165" s="1">
        <v>5366655.0</v>
      </c>
      <c r="B1165" s="1" t="s">
        <v>1936</v>
      </c>
      <c r="C1165" s="1" t="s">
        <v>1937</v>
      </c>
      <c r="D1165" s="1" t="s">
        <v>224</v>
      </c>
      <c r="E1165" s="1" t="s">
        <v>794</v>
      </c>
      <c r="F1165" s="1" t="s">
        <v>6717</v>
      </c>
      <c r="G1165" s="1" t="str">
        <f>IFERROR(VLOOKUP(A1165,H_C!$A$2:$G$2628,7,0),"Validar HC")</f>
        <v>Osorio, Julian</v>
      </c>
      <c r="H1165" s="164">
        <v>1623501.0</v>
      </c>
      <c r="I1165" s="1">
        <v>42.0</v>
      </c>
    </row>
    <row r="1166" ht="15.75" customHeight="1">
      <c r="A1166" s="1">
        <v>5367285.0</v>
      </c>
      <c r="B1166" s="1" t="s">
        <v>1891</v>
      </c>
      <c r="C1166" s="1" t="s">
        <v>1892</v>
      </c>
      <c r="D1166" s="1" t="s">
        <v>224</v>
      </c>
      <c r="E1166" s="1" t="s">
        <v>853</v>
      </c>
      <c r="F1166" s="1" t="s">
        <v>6717</v>
      </c>
      <c r="G1166" s="1" t="str">
        <f>IFERROR(VLOOKUP(A1166,H_C!$A$2:$G$2628,7,0),"Validar HC")</f>
        <v>Garcia, Helmer</v>
      </c>
      <c r="H1166" s="164">
        <v>1623501.0</v>
      </c>
      <c r="I1166" s="1">
        <v>42.0</v>
      </c>
    </row>
    <row r="1167" ht="15.75" customHeight="1">
      <c r="A1167" s="1">
        <v>5367288.0</v>
      </c>
      <c r="B1167" s="1" t="s">
        <v>3962</v>
      </c>
      <c r="C1167" s="1" t="s">
        <v>3963</v>
      </c>
      <c r="D1167" s="1" t="s">
        <v>224</v>
      </c>
      <c r="E1167" s="1" t="s">
        <v>416</v>
      </c>
      <c r="F1167" s="1" t="s">
        <v>6717</v>
      </c>
      <c r="G1167" s="1" t="str">
        <f>IFERROR(VLOOKUP(A1167,H_C!$A$2:$G$2628,7,0),"Validar HC")</f>
        <v>Soler, Maria</v>
      </c>
      <c r="H1167" s="164">
        <v>1623501.0</v>
      </c>
      <c r="I1167" s="1">
        <v>42.0</v>
      </c>
    </row>
    <row r="1168" ht="15.75" customHeight="1">
      <c r="A1168" s="1">
        <v>5367299.0</v>
      </c>
      <c r="B1168" s="1" t="s">
        <v>3966</v>
      </c>
      <c r="C1168" s="1" t="s">
        <v>3968</v>
      </c>
      <c r="D1168" s="1" t="s">
        <v>224</v>
      </c>
      <c r="E1168" s="1" t="s">
        <v>738</v>
      </c>
      <c r="F1168" s="1" t="s">
        <v>6717</v>
      </c>
      <c r="G1168" s="1" t="str">
        <f>IFERROR(VLOOKUP(A1168,H_C!$A$2:$G$2628,7,0),"Validar HC")</f>
        <v>Garcia, Helmer</v>
      </c>
      <c r="H1168" s="164">
        <v>1623501.0</v>
      </c>
      <c r="I1168" s="1">
        <v>42.0</v>
      </c>
    </row>
    <row r="1169" ht="15.75" customHeight="1">
      <c r="A1169" s="1">
        <v>5367492.0</v>
      </c>
      <c r="B1169" s="1" t="s">
        <v>2626</v>
      </c>
      <c r="C1169" s="1" t="s">
        <v>2627</v>
      </c>
      <c r="D1169" s="1" t="s">
        <v>224</v>
      </c>
      <c r="E1169" s="1" t="s">
        <v>412</v>
      </c>
      <c r="F1169" s="1" t="s">
        <v>6717</v>
      </c>
      <c r="G1169" s="1" t="str">
        <f>IFERROR(VLOOKUP(A1169,H_C!$A$2:$G$2628,7,0),"Validar HC")</f>
        <v>Ospina, Michel</v>
      </c>
      <c r="H1169" s="164">
        <v>1623501.0</v>
      </c>
      <c r="I1169" s="1">
        <v>42.0</v>
      </c>
    </row>
    <row r="1170" ht="15.75" customHeight="1">
      <c r="A1170" s="1">
        <v>5331414.0</v>
      </c>
      <c r="B1170" s="1" t="s">
        <v>50</v>
      </c>
      <c r="C1170" s="1" t="s">
        <v>2343</v>
      </c>
      <c r="D1170" s="1" t="s">
        <v>224</v>
      </c>
      <c r="E1170" s="1" t="s">
        <v>13</v>
      </c>
      <c r="F1170" s="1" t="s">
        <v>6717</v>
      </c>
      <c r="G1170" s="1" t="str">
        <f>IFERROR(VLOOKUP(A1170,H_C!$A$2:$G$2628,7,0),"Validar HC")</f>
        <v>Ospina, Michel</v>
      </c>
      <c r="H1170" s="162">
        <v>1200000.0</v>
      </c>
      <c r="I1170" s="1">
        <v>42.0</v>
      </c>
    </row>
    <row r="1171" ht="15.75" customHeight="1">
      <c r="A1171" s="1">
        <v>5367502.0</v>
      </c>
      <c r="B1171" s="1" t="s">
        <v>3971</v>
      </c>
      <c r="C1171" s="1" t="s">
        <v>3972</v>
      </c>
      <c r="D1171" s="1" t="s">
        <v>224</v>
      </c>
      <c r="E1171" s="1" t="s">
        <v>506</v>
      </c>
      <c r="F1171" s="1" t="s">
        <v>6717</v>
      </c>
      <c r="G1171" s="1" t="str">
        <f>IFERROR(VLOOKUP(A1171,H_C!$A$2:$G$2628,7,0),"Validar HC")</f>
        <v>Ospina, Michel</v>
      </c>
      <c r="H1171" s="164">
        <v>1623501.0</v>
      </c>
      <c r="I1171" s="1">
        <v>42.0</v>
      </c>
    </row>
    <row r="1172" ht="15.75" customHeight="1">
      <c r="A1172" s="1">
        <v>5367811.0</v>
      </c>
      <c r="B1172" s="1" t="s">
        <v>3975</v>
      </c>
      <c r="C1172" s="1" t="s">
        <v>3976</v>
      </c>
      <c r="D1172" s="1" t="s">
        <v>224</v>
      </c>
      <c r="E1172" s="1" t="s">
        <v>412</v>
      </c>
      <c r="F1172" s="1" t="s">
        <v>6717</v>
      </c>
      <c r="G1172" s="1" t="str">
        <f>IFERROR(VLOOKUP(A1172,H_C!$A$2:$G$2628,7,0),"Validar HC")</f>
        <v>Ospina, Michel</v>
      </c>
      <c r="H1172" s="164">
        <v>1623501.0</v>
      </c>
      <c r="I1172" s="1">
        <v>42.0</v>
      </c>
    </row>
    <row r="1173" ht="15.75" customHeight="1">
      <c r="A1173" s="1">
        <v>5368027.0</v>
      </c>
      <c r="B1173" s="1" t="s">
        <v>1239</v>
      </c>
      <c r="C1173" s="1" t="s">
        <v>1240</v>
      </c>
      <c r="D1173" s="1" t="s">
        <v>224</v>
      </c>
      <c r="E1173" s="1" t="s">
        <v>441</v>
      </c>
      <c r="F1173" s="1" t="s">
        <v>6717</v>
      </c>
      <c r="G1173" s="1" t="str">
        <f>IFERROR(VLOOKUP(A1173,H_C!$A$2:$G$2628,7,0),"Validar HC")</f>
        <v>Gonzalez, Cristian</v>
      </c>
      <c r="H1173" s="164">
        <v>1623501.0</v>
      </c>
      <c r="I1173" s="1">
        <v>42.0</v>
      </c>
    </row>
    <row r="1174" ht="15.75" customHeight="1">
      <c r="A1174" s="1">
        <v>5368034.0</v>
      </c>
      <c r="B1174" s="1" t="s">
        <v>3979</v>
      </c>
      <c r="C1174" s="1" t="s">
        <v>3980</v>
      </c>
      <c r="D1174" s="1" t="s">
        <v>224</v>
      </c>
      <c r="E1174" s="1" t="s">
        <v>361</v>
      </c>
      <c r="F1174" s="1" t="s">
        <v>6717</v>
      </c>
      <c r="G1174" s="1" t="str">
        <f>IFERROR(VLOOKUP(A1174,H_C!$A$2:$G$2628,7,0),"Validar HC")</f>
        <v>Gonzalez, Cristian</v>
      </c>
      <c r="H1174" s="164">
        <v>1623501.0</v>
      </c>
      <c r="I1174" s="1">
        <v>42.0</v>
      </c>
    </row>
    <row r="1175" ht="15.75" customHeight="1">
      <c r="A1175" s="1">
        <v>5368223.0</v>
      </c>
      <c r="B1175" s="1" t="s">
        <v>1893</v>
      </c>
      <c r="C1175" s="1" t="s">
        <v>1894</v>
      </c>
      <c r="D1175" s="1" t="s">
        <v>224</v>
      </c>
      <c r="E1175" s="1" t="s">
        <v>853</v>
      </c>
      <c r="F1175" s="1" t="s">
        <v>6717</v>
      </c>
      <c r="G1175" s="1" t="str">
        <f>IFERROR(VLOOKUP(A1175,H_C!$A$2:$G$2628,7,0),"Validar HC")</f>
        <v>Garcia, Helmer</v>
      </c>
      <c r="H1175" s="164">
        <v>1623501.0</v>
      </c>
      <c r="I1175" s="1">
        <v>42.0</v>
      </c>
    </row>
    <row r="1176" ht="15.75" customHeight="1">
      <c r="A1176" s="1">
        <v>5369437.0</v>
      </c>
      <c r="B1176" s="1" t="s">
        <v>3924</v>
      </c>
      <c r="C1176" s="1" t="s">
        <v>3925</v>
      </c>
      <c r="D1176" s="1" t="s">
        <v>224</v>
      </c>
      <c r="E1176" s="1" t="s">
        <v>506</v>
      </c>
      <c r="F1176" s="1" t="s">
        <v>6717</v>
      </c>
      <c r="G1176" s="1" t="str">
        <f>IFERROR(VLOOKUP(A1176,H_C!$A$2:$G$2628,7,0),"Validar HC")</f>
        <v>Ospina, Michel</v>
      </c>
      <c r="H1176" s="164">
        <v>1623501.0</v>
      </c>
      <c r="I1176" s="1">
        <v>42.0</v>
      </c>
    </row>
    <row r="1177" ht="15.75" customHeight="1">
      <c r="A1177" s="1">
        <v>5369438.0</v>
      </c>
      <c r="B1177" s="1" t="s">
        <v>2631</v>
      </c>
      <c r="C1177" s="1" t="s">
        <v>2632</v>
      </c>
      <c r="D1177" s="1" t="s">
        <v>224</v>
      </c>
      <c r="E1177" s="1" t="s">
        <v>412</v>
      </c>
      <c r="F1177" s="1" t="s">
        <v>6717</v>
      </c>
      <c r="G1177" s="1" t="str">
        <f>IFERROR(VLOOKUP(A1177,H_C!$A$2:$G$2628,7,0),"Validar HC")</f>
        <v>Ospina, Michel</v>
      </c>
      <c r="H1177" s="164">
        <v>1623501.0</v>
      </c>
      <c r="I1177" s="1">
        <v>42.0</v>
      </c>
    </row>
    <row r="1178" ht="15.75" customHeight="1">
      <c r="A1178" s="1">
        <v>5327776.0</v>
      </c>
      <c r="B1178" s="1" t="s">
        <v>48</v>
      </c>
      <c r="C1178" s="1" t="s">
        <v>2360</v>
      </c>
      <c r="D1178" s="1" t="s">
        <v>224</v>
      </c>
      <c r="E1178" s="1" t="s">
        <v>13</v>
      </c>
      <c r="F1178" s="1" t="s">
        <v>6717</v>
      </c>
      <c r="G1178" s="1" t="str">
        <f>IFERROR(VLOOKUP(A1178,H_C!$A$2:$G$2628,7,0),"Validar HC")</f>
        <v>Ospina, Michel</v>
      </c>
      <c r="H1178" s="162">
        <v>1600000.0</v>
      </c>
      <c r="I1178" s="1">
        <v>42.0</v>
      </c>
    </row>
    <row r="1179" ht="15.75" customHeight="1">
      <c r="A1179" s="1">
        <v>5369899.0</v>
      </c>
      <c r="B1179" s="1" t="s">
        <v>2635</v>
      </c>
      <c r="C1179" s="1" t="s">
        <v>2636</v>
      </c>
      <c r="D1179" s="1" t="s">
        <v>224</v>
      </c>
      <c r="E1179" s="1" t="s">
        <v>412</v>
      </c>
      <c r="F1179" s="1" t="s">
        <v>6717</v>
      </c>
      <c r="G1179" s="1" t="str">
        <f>IFERROR(VLOOKUP(A1179,H_C!$A$2:$G$2628,7,0),"Validar HC")</f>
        <v>Ospina, Michel</v>
      </c>
      <c r="H1179" s="164">
        <v>1623501.0</v>
      </c>
      <c r="I1179" s="1">
        <v>42.0</v>
      </c>
    </row>
    <row r="1180" ht="15.75" customHeight="1">
      <c r="A1180" s="1">
        <v>5369921.0</v>
      </c>
      <c r="B1180" s="1" t="s">
        <v>1304</v>
      </c>
      <c r="C1180" s="1" t="s">
        <v>1305</v>
      </c>
      <c r="D1180" s="1" t="s">
        <v>224</v>
      </c>
      <c r="E1180" s="1" t="s">
        <v>632</v>
      </c>
      <c r="F1180" s="1" t="s">
        <v>6717</v>
      </c>
      <c r="G1180" s="1" t="str">
        <f>IFERROR(VLOOKUP(A1180,H_C!$A$2:$G$2628,7,0),"Validar HC")</f>
        <v>Gonzalez, Cristian</v>
      </c>
      <c r="H1180" s="164">
        <v>1623501.0</v>
      </c>
      <c r="I1180" s="1">
        <v>42.0</v>
      </c>
    </row>
    <row r="1181" ht="15.75" customHeight="1">
      <c r="A1181" s="1">
        <v>5369924.0</v>
      </c>
      <c r="B1181" s="1" t="s">
        <v>1308</v>
      </c>
      <c r="C1181" s="1" t="s">
        <v>1309</v>
      </c>
      <c r="D1181" s="1" t="s">
        <v>224</v>
      </c>
      <c r="E1181" s="1" t="s">
        <v>632</v>
      </c>
      <c r="F1181" s="1" t="s">
        <v>6717</v>
      </c>
      <c r="G1181" s="1" t="str">
        <f>IFERROR(VLOOKUP(A1181,H_C!$A$2:$G$2628,7,0),"Validar HC")</f>
        <v>Gonzalez, Cristian</v>
      </c>
      <c r="H1181" s="164">
        <v>1623501.0</v>
      </c>
      <c r="I1181" s="1">
        <v>42.0</v>
      </c>
    </row>
    <row r="1182" ht="15.75" customHeight="1">
      <c r="A1182" s="1">
        <v>5369932.0</v>
      </c>
      <c r="B1182" s="1" t="s">
        <v>3993</v>
      </c>
      <c r="C1182" s="1" t="s">
        <v>3994</v>
      </c>
      <c r="D1182" s="1" t="s">
        <v>224</v>
      </c>
      <c r="E1182" s="1" t="s">
        <v>323</v>
      </c>
      <c r="F1182" s="1" t="s">
        <v>6717</v>
      </c>
      <c r="G1182" s="1" t="str">
        <f>IFERROR(VLOOKUP(A1182,H_C!$A$2:$G$2628,7,0),"Validar HC")</f>
        <v>Martinez, Wendy</v>
      </c>
      <c r="H1182" s="164">
        <v>1623501.0</v>
      </c>
      <c r="I1182" s="1">
        <v>42.0</v>
      </c>
    </row>
    <row r="1183" ht="15.75" customHeight="1">
      <c r="A1183" s="1">
        <v>5370257.0</v>
      </c>
      <c r="B1183" s="1" t="s">
        <v>3997</v>
      </c>
      <c r="C1183" s="1" t="s">
        <v>3998</v>
      </c>
      <c r="D1183" s="1" t="s">
        <v>224</v>
      </c>
      <c r="E1183" s="1" t="s">
        <v>806</v>
      </c>
      <c r="F1183" s="1" t="s">
        <v>6717</v>
      </c>
      <c r="G1183" s="1" t="str">
        <f>IFERROR(VLOOKUP(A1183,H_C!$A$2:$G$2628,7,0),"Validar HC")</f>
        <v>Gonzalez, Cristian</v>
      </c>
      <c r="H1183" s="164">
        <v>1623501.0</v>
      </c>
      <c r="I1183" s="1">
        <v>42.0</v>
      </c>
    </row>
    <row r="1184" ht="15.75" customHeight="1">
      <c r="A1184" s="1">
        <v>5370517.0</v>
      </c>
      <c r="B1184" s="1" t="s">
        <v>4001</v>
      </c>
      <c r="C1184" s="1" t="s">
        <v>4002</v>
      </c>
      <c r="D1184" s="1" t="s">
        <v>224</v>
      </c>
      <c r="E1184" s="1" t="s">
        <v>416</v>
      </c>
      <c r="F1184" s="1" t="s">
        <v>6717</v>
      </c>
      <c r="G1184" s="1" t="str">
        <f>IFERROR(VLOOKUP(A1184,H_C!$A$2:$G$2628,7,0),"Validar HC")</f>
        <v>Soler, Maria</v>
      </c>
      <c r="H1184" s="164">
        <v>1623501.0</v>
      </c>
      <c r="I1184" s="1">
        <v>42.0</v>
      </c>
    </row>
    <row r="1185" ht="15.75" customHeight="1">
      <c r="A1185" s="1">
        <v>5370518.0</v>
      </c>
      <c r="B1185" s="1" t="s">
        <v>4005</v>
      </c>
      <c r="C1185" s="1" t="s">
        <v>4006</v>
      </c>
      <c r="D1185" s="1" t="s">
        <v>224</v>
      </c>
      <c r="E1185" s="1" t="s">
        <v>1676</v>
      </c>
      <c r="F1185" s="1" t="s">
        <v>6717</v>
      </c>
      <c r="G1185" s="1" t="str">
        <f>IFERROR(VLOOKUP(A1185,H_C!$A$2:$G$2628,7,0),"Validar HC")</f>
        <v>Soler, Maria</v>
      </c>
      <c r="H1185" s="164">
        <v>1623501.0</v>
      </c>
      <c r="I1185" s="1">
        <v>42.0</v>
      </c>
    </row>
    <row r="1186" ht="15.75" customHeight="1">
      <c r="A1186" s="1">
        <v>5370519.0</v>
      </c>
      <c r="B1186" s="1" t="s">
        <v>4009</v>
      </c>
      <c r="C1186" s="1" t="s">
        <v>4010</v>
      </c>
      <c r="D1186" s="1" t="s">
        <v>224</v>
      </c>
      <c r="E1186" s="1" t="s">
        <v>416</v>
      </c>
      <c r="F1186" s="1" t="s">
        <v>6717</v>
      </c>
      <c r="G1186" s="1" t="str">
        <f>IFERROR(VLOOKUP(A1186,H_C!$A$2:$G$2628,7,0),"Validar HC")</f>
        <v>Soler, Maria</v>
      </c>
      <c r="H1186" s="164">
        <v>1623501.0</v>
      </c>
      <c r="I1186" s="1">
        <v>42.0</v>
      </c>
    </row>
    <row r="1187" ht="15.75" customHeight="1">
      <c r="A1187" s="1">
        <v>5370521.0</v>
      </c>
      <c r="B1187" s="1" t="s">
        <v>1677</v>
      </c>
      <c r="C1187" s="1" t="s">
        <v>1678</v>
      </c>
      <c r="D1187" s="1" t="s">
        <v>224</v>
      </c>
      <c r="E1187" s="1" t="s">
        <v>1676</v>
      </c>
      <c r="F1187" s="1" t="s">
        <v>6717</v>
      </c>
      <c r="G1187" s="1" t="str">
        <f>IFERROR(VLOOKUP(A1187,H_C!$A$2:$G$2628,7,0),"Validar HC")</f>
        <v>Soler, Maria</v>
      </c>
      <c r="H1187" s="164">
        <v>1623501.0</v>
      </c>
      <c r="I1187" s="1">
        <v>42.0</v>
      </c>
    </row>
    <row r="1188" ht="15.75" customHeight="1">
      <c r="A1188" s="1">
        <v>5371412.0</v>
      </c>
      <c r="B1188" s="1" t="s">
        <v>4015</v>
      </c>
      <c r="C1188" s="1" t="s">
        <v>4016</v>
      </c>
      <c r="D1188" s="1" t="s">
        <v>224</v>
      </c>
      <c r="E1188" s="1" t="s">
        <v>416</v>
      </c>
      <c r="F1188" s="1" t="s">
        <v>6717</v>
      </c>
      <c r="G1188" s="1" t="str">
        <f>IFERROR(VLOOKUP(A1188,H_C!$A$2:$G$2628,7,0),"Validar HC")</f>
        <v>Soler, Maria</v>
      </c>
      <c r="H1188" s="164">
        <v>1623501.0</v>
      </c>
      <c r="I1188" s="1">
        <v>42.0</v>
      </c>
    </row>
    <row r="1189" ht="15.75" customHeight="1">
      <c r="A1189" s="1">
        <v>5371458.0</v>
      </c>
      <c r="B1189" s="1" t="s">
        <v>4017</v>
      </c>
      <c r="C1189" s="1" t="s">
        <v>4018</v>
      </c>
      <c r="D1189" s="1" t="s">
        <v>224</v>
      </c>
      <c r="E1189" s="1" t="s">
        <v>847</v>
      </c>
      <c r="F1189" s="1" t="s">
        <v>6717</v>
      </c>
      <c r="G1189" s="1" t="str">
        <f>IFERROR(VLOOKUP(A1189,H_C!$A$2:$G$2628,7,0),"Validar HC")</f>
        <v>Garatejo, Natalia</v>
      </c>
      <c r="H1189" s="164">
        <v>1623501.0</v>
      </c>
      <c r="I1189" s="1">
        <v>42.0</v>
      </c>
    </row>
    <row r="1190" ht="15.75" customHeight="1">
      <c r="A1190" s="1">
        <v>5380456.0</v>
      </c>
      <c r="B1190" s="1" t="s">
        <v>4019</v>
      </c>
      <c r="C1190" s="1" t="s">
        <v>4020</v>
      </c>
      <c r="D1190" s="1" t="s">
        <v>224</v>
      </c>
      <c r="E1190" s="1" t="s">
        <v>316</v>
      </c>
      <c r="F1190" s="1" t="s">
        <v>6717</v>
      </c>
      <c r="G1190" s="1" t="str">
        <f>IFERROR(VLOOKUP(A1190,H_C!$A$2:$G$2628,7,0),"Validar HC")</f>
        <v>Osorio, Julian</v>
      </c>
      <c r="H1190" s="164">
        <v>1623501.0</v>
      </c>
      <c r="I1190" s="1">
        <v>42.0</v>
      </c>
    </row>
    <row r="1191" ht="15.75" customHeight="1">
      <c r="A1191" s="1">
        <v>5380459.0</v>
      </c>
      <c r="B1191" s="1" t="s">
        <v>4021</v>
      </c>
      <c r="C1191" s="1" t="s">
        <v>4022</v>
      </c>
      <c r="D1191" s="1" t="s">
        <v>224</v>
      </c>
      <c r="E1191" s="1" t="s">
        <v>555</v>
      </c>
      <c r="F1191" s="1" t="s">
        <v>6717</v>
      </c>
      <c r="G1191" s="1" t="str">
        <f>IFERROR(VLOOKUP(A1191,H_C!$A$2:$G$2628,7,0),"Validar HC")</f>
        <v>Ayala, Giselle</v>
      </c>
      <c r="H1191" s="164">
        <v>1623501.0</v>
      </c>
      <c r="I1191" s="1">
        <v>42.0</v>
      </c>
    </row>
    <row r="1192" ht="15.75" customHeight="1">
      <c r="A1192" s="1">
        <v>5380516.0</v>
      </c>
      <c r="B1192" s="1" t="s">
        <v>4023</v>
      </c>
      <c r="C1192" s="1" t="s">
        <v>4024</v>
      </c>
      <c r="D1192" s="1" t="s">
        <v>224</v>
      </c>
      <c r="E1192" s="1" t="s">
        <v>491</v>
      </c>
      <c r="F1192" s="1" t="s">
        <v>6717</v>
      </c>
      <c r="G1192" s="1" t="str">
        <f>IFERROR(VLOOKUP(A1192,H_C!$A$2:$G$2628,7,0),"Validar HC")</f>
        <v>Soler, Maria</v>
      </c>
      <c r="H1192" s="164">
        <v>1623501.0</v>
      </c>
      <c r="I1192" s="1">
        <v>42.0</v>
      </c>
    </row>
    <row r="1193" ht="15.75" customHeight="1">
      <c r="A1193" s="1">
        <v>5380526.0</v>
      </c>
      <c r="B1193" s="1" t="s">
        <v>3588</v>
      </c>
      <c r="C1193" s="1" t="s">
        <v>3589</v>
      </c>
      <c r="D1193" s="1" t="s">
        <v>224</v>
      </c>
      <c r="E1193" s="1" t="s">
        <v>118</v>
      </c>
      <c r="F1193" s="1" t="s">
        <v>6717</v>
      </c>
      <c r="G1193" s="1" t="str">
        <f>IFERROR(VLOOKUP(A1193,H_C!$A$2:$G$2628,7,0),"Validar HC")</f>
        <v>Ospina, Michel</v>
      </c>
      <c r="H1193" s="164">
        <v>1623501.0</v>
      </c>
      <c r="I1193" s="1">
        <v>42.0</v>
      </c>
    </row>
    <row r="1194" ht="15.75" customHeight="1">
      <c r="A1194" s="1">
        <v>5382350.0</v>
      </c>
      <c r="B1194" s="1" t="s">
        <v>1740</v>
      </c>
      <c r="C1194" s="1" t="s">
        <v>1741</v>
      </c>
      <c r="D1194" s="1" t="s">
        <v>224</v>
      </c>
      <c r="E1194" s="1" t="s">
        <v>113</v>
      </c>
      <c r="F1194" s="1" t="s">
        <v>6717</v>
      </c>
      <c r="G1194" s="1" t="str">
        <f>IFERROR(VLOOKUP(A1194,H_C!$A$2:$G$2628,7,0),"Validar HC")</f>
        <v>Soler, Maria</v>
      </c>
      <c r="H1194" s="164">
        <v>1623501.0</v>
      </c>
      <c r="I1194" s="1">
        <v>42.0</v>
      </c>
    </row>
    <row r="1195" ht="15.75" customHeight="1">
      <c r="A1195" s="1">
        <v>5382370.0</v>
      </c>
      <c r="B1195" s="1" t="s">
        <v>4025</v>
      </c>
      <c r="C1195" s="1" t="s">
        <v>4026</v>
      </c>
      <c r="D1195" s="1" t="s">
        <v>224</v>
      </c>
      <c r="E1195" s="1" t="s">
        <v>120</v>
      </c>
      <c r="F1195" s="1" t="s">
        <v>6717</v>
      </c>
      <c r="G1195" s="1" t="str">
        <f>IFERROR(VLOOKUP(A1195,H_C!$A$2:$G$2628,7,0),"Validar HC")</f>
        <v>Ospina, Michel</v>
      </c>
      <c r="H1195" s="164">
        <v>1623501.0</v>
      </c>
      <c r="I1195" s="1">
        <v>42.0</v>
      </c>
    </row>
    <row r="1196" ht="15.75" customHeight="1">
      <c r="A1196" s="1">
        <v>5382372.0</v>
      </c>
      <c r="B1196" s="1" t="s">
        <v>4029</v>
      </c>
      <c r="C1196" s="1" t="s">
        <v>4030</v>
      </c>
      <c r="D1196" s="1" t="s">
        <v>224</v>
      </c>
      <c r="E1196" s="1" t="s">
        <v>120</v>
      </c>
      <c r="F1196" s="1" t="s">
        <v>6717</v>
      </c>
      <c r="G1196" s="1" t="str">
        <f>IFERROR(VLOOKUP(A1196,H_C!$A$2:$G$2628,7,0),"Validar HC")</f>
        <v>Ospina, Michel</v>
      </c>
      <c r="H1196" s="164">
        <v>1623501.0</v>
      </c>
      <c r="I1196" s="1">
        <v>42.0</v>
      </c>
    </row>
    <row r="1197" ht="15.75" customHeight="1">
      <c r="A1197" s="1">
        <v>5382373.0</v>
      </c>
      <c r="B1197" s="1" t="s">
        <v>4031</v>
      </c>
      <c r="C1197" s="1" t="s">
        <v>4032</v>
      </c>
      <c r="D1197" s="1" t="s">
        <v>224</v>
      </c>
      <c r="E1197" s="1" t="s">
        <v>120</v>
      </c>
      <c r="F1197" s="1" t="s">
        <v>6717</v>
      </c>
      <c r="G1197" s="1" t="str">
        <f>IFERROR(VLOOKUP(A1197,H_C!$A$2:$G$2628,7,0),"Validar HC")</f>
        <v>Ospina, Michel</v>
      </c>
      <c r="H1197" s="164">
        <v>1623501.0</v>
      </c>
      <c r="I1197" s="1">
        <v>42.0</v>
      </c>
    </row>
    <row r="1198" ht="15.75" customHeight="1">
      <c r="A1198" s="1">
        <v>5382398.0</v>
      </c>
      <c r="B1198" s="1" t="s">
        <v>918</v>
      </c>
      <c r="C1198" s="1" t="s">
        <v>919</v>
      </c>
      <c r="D1198" s="1" t="s">
        <v>224</v>
      </c>
      <c r="E1198" s="1" t="s">
        <v>118</v>
      </c>
      <c r="F1198" s="1" t="s">
        <v>6717</v>
      </c>
      <c r="G1198" s="1" t="str">
        <f>IFERROR(VLOOKUP(A1198,H_C!$A$2:$G$2628,7,0),"Validar HC")</f>
        <v>Ospina, Michel</v>
      </c>
      <c r="H1198" s="164">
        <v>1623501.0</v>
      </c>
      <c r="I1198" s="1">
        <v>42.0</v>
      </c>
    </row>
    <row r="1199" ht="15.75" customHeight="1">
      <c r="A1199" s="1">
        <v>5382964.0</v>
      </c>
      <c r="B1199" s="1" t="s">
        <v>4033</v>
      </c>
      <c r="C1199" s="1" t="s">
        <v>4034</v>
      </c>
      <c r="D1199" s="1" t="s">
        <v>224</v>
      </c>
      <c r="E1199" s="1" t="s">
        <v>738</v>
      </c>
      <c r="F1199" s="1" t="s">
        <v>6717</v>
      </c>
      <c r="G1199" s="1" t="str">
        <f>IFERROR(VLOOKUP(A1199,H_C!$A$2:$G$2628,7,0),"Validar HC")</f>
        <v>Garcia, Helmer</v>
      </c>
      <c r="H1199" s="164">
        <v>1623501.0</v>
      </c>
      <c r="I1199" s="1">
        <v>42.0</v>
      </c>
    </row>
    <row r="1200" ht="15.75" customHeight="1">
      <c r="A1200" s="1">
        <v>5383065.0</v>
      </c>
      <c r="B1200" s="1" t="s">
        <v>4035</v>
      </c>
      <c r="C1200" s="1" t="s">
        <v>4036</v>
      </c>
      <c r="D1200" s="1" t="s">
        <v>224</v>
      </c>
      <c r="E1200" s="1" t="s">
        <v>738</v>
      </c>
      <c r="F1200" s="1" t="s">
        <v>6717</v>
      </c>
      <c r="G1200" s="1" t="str">
        <f>IFERROR(VLOOKUP(A1200,H_C!$A$2:$G$2628,7,0),"Validar HC")</f>
        <v>Garcia, Helmer</v>
      </c>
      <c r="H1200" s="164">
        <v>1623501.0</v>
      </c>
      <c r="I1200" s="1">
        <v>42.0</v>
      </c>
    </row>
    <row r="1201" ht="15.75" customHeight="1">
      <c r="A1201" s="1">
        <v>5383503.0</v>
      </c>
      <c r="B1201" s="1" t="s">
        <v>3592</v>
      </c>
      <c r="C1201" s="1" t="s">
        <v>3593</v>
      </c>
      <c r="D1201" s="1" t="s">
        <v>224</v>
      </c>
      <c r="E1201" s="1" t="s">
        <v>120</v>
      </c>
      <c r="F1201" s="1" t="s">
        <v>6717</v>
      </c>
      <c r="G1201" s="1" t="str">
        <f>IFERROR(VLOOKUP(A1201,H_C!$A$2:$G$2628,7,0),"Validar HC")</f>
        <v>Ospina, Michel</v>
      </c>
      <c r="H1201" s="164">
        <v>1623501.0</v>
      </c>
      <c r="I1201" s="1">
        <v>42.0</v>
      </c>
    </row>
    <row r="1202" ht="15.75" customHeight="1">
      <c r="A1202" s="1">
        <v>5383583.0</v>
      </c>
      <c r="B1202" s="1" t="s">
        <v>2791</v>
      </c>
      <c r="C1202" s="1" t="s">
        <v>2792</v>
      </c>
      <c r="D1202" s="1" t="s">
        <v>224</v>
      </c>
      <c r="E1202" s="1" t="s">
        <v>121</v>
      </c>
      <c r="F1202" s="1" t="s">
        <v>6717</v>
      </c>
      <c r="G1202" s="1" t="str">
        <f>IFERROR(VLOOKUP(A1202,H_C!$A$2:$G$2628,7,0),"Validar HC")</f>
        <v>Ospina, Michel</v>
      </c>
      <c r="H1202" s="164">
        <v>1623501.0</v>
      </c>
      <c r="I1202" s="1">
        <v>42.0</v>
      </c>
    </row>
    <row r="1203" ht="15.75" customHeight="1">
      <c r="A1203" s="1">
        <v>5383588.0</v>
      </c>
      <c r="B1203" s="1" t="s">
        <v>2570</v>
      </c>
      <c r="C1203" s="1" t="s">
        <v>2571</v>
      </c>
      <c r="D1203" s="1" t="s">
        <v>224</v>
      </c>
      <c r="E1203" s="1" t="s">
        <v>514</v>
      </c>
      <c r="F1203" s="1" t="s">
        <v>6717</v>
      </c>
      <c r="G1203" s="1" t="str">
        <f>IFERROR(VLOOKUP(A1203,H_C!$A$2:$G$2628,7,0),"Validar HC")</f>
        <v>Garatejo, Natalia</v>
      </c>
      <c r="H1203" s="164">
        <v>1623501.0</v>
      </c>
      <c r="I1203" s="1">
        <v>42.0</v>
      </c>
    </row>
    <row r="1204" ht="15.75" customHeight="1">
      <c r="A1204" s="1">
        <v>5383619.0</v>
      </c>
      <c r="B1204" s="1" t="s">
        <v>833</v>
      </c>
      <c r="C1204" s="1" t="s">
        <v>834</v>
      </c>
      <c r="D1204" s="1" t="s">
        <v>224</v>
      </c>
      <c r="E1204" s="1" t="s">
        <v>246</v>
      </c>
      <c r="F1204" s="1" t="s">
        <v>6717</v>
      </c>
      <c r="G1204" s="1" t="str">
        <f>IFERROR(VLOOKUP(A1204,H_C!$A$2:$G$2628,7,0),"Validar HC")</f>
        <v>Garcia, Helmer</v>
      </c>
      <c r="H1204" s="164">
        <v>1623501.0</v>
      </c>
      <c r="I1204" s="1">
        <v>42.0</v>
      </c>
    </row>
    <row r="1205" ht="15.75" customHeight="1">
      <c r="A1205" s="1">
        <v>5383622.0</v>
      </c>
      <c r="B1205" s="1" t="s">
        <v>2416</v>
      </c>
      <c r="C1205" s="1" t="s">
        <v>2417</v>
      </c>
      <c r="D1205" s="1" t="s">
        <v>224</v>
      </c>
      <c r="E1205" s="1" t="s">
        <v>81</v>
      </c>
      <c r="F1205" s="1" t="s">
        <v>6717</v>
      </c>
      <c r="G1205" s="1" t="str">
        <f>IFERROR(VLOOKUP(A1205,H_C!$A$2:$G$2628,7,0),"Validar HC")</f>
        <v>Ospina, Michel</v>
      </c>
      <c r="H1205" s="164">
        <v>1623501.0</v>
      </c>
      <c r="I1205" s="1">
        <v>42.0</v>
      </c>
    </row>
    <row r="1206" ht="15.75" customHeight="1">
      <c r="A1206" s="1">
        <v>5388841.0</v>
      </c>
      <c r="B1206" s="1" t="s">
        <v>129</v>
      </c>
      <c r="C1206" s="1" t="s">
        <v>2337</v>
      </c>
      <c r="D1206" s="1" t="s">
        <v>224</v>
      </c>
      <c r="E1206" s="1" t="s">
        <v>81</v>
      </c>
      <c r="F1206" s="1" t="s">
        <v>6717</v>
      </c>
      <c r="G1206" s="1" t="str">
        <f>IFERROR(VLOOKUP(A1206,H_C!$A$2:$G$2628,7,0),"Validar HC")</f>
        <v>Ospina, Michel</v>
      </c>
      <c r="H1206" s="164">
        <v>1623501.0</v>
      </c>
      <c r="I1206" s="1">
        <v>42.0</v>
      </c>
    </row>
    <row r="1207" ht="15.75" customHeight="1">
      <c r="A1207" s="1">
        <v>5388842.0</v>
      </c>
      <c r="B1207" s="1" t="s">
        <v>2994</v>
      </c>
      <c r="C1207" s="1" t="s">
        <v>2995</v>
      </c>
      <c r="D1207" s="1" t="s">
        <v>224</v>
      </c>
      <c r="E1207" s="1" t="s">
        <v>116</v>
      </c>
      <c r="F1207" s="1" t="s">
        <v>6717</v>
      </c>
      <c r="G1207" s="1" t="str">
        <f>IFERROR(VLOOKUP(A1207,H_C!$A$2:$G$2628,7,0),"Validar HC")</f>
        <v>Ospina, Michel</v>
      </c>
      <c r="H1207" s="164">
        <v>1623501.0</v>
      </c>
      <c r="I1207" s="1">
        <v>42.0</v>
      </c>
    </row>
    <row r="1208" ht="15.75" customHeight="1">
      <c r="A1208" s="1">
        <v>5388845.0</v>
      </c>
      <c r="B1208" s="1" t="s">
        <v>2380</v>
      </c>
      <c r="C1208" s="1" t="s">
        <v>2381</v>
      </c>
      <c r="D1208" s="1" t="s">
        <v>224</v>
      </c>
      <c r="E1208" s="1" t="s">
        <v>81</v>
      </c>
      <c r="F1208" s="1" t="s">
        <v>6717</v>
      </c>
      <c r="G1208" s="1" t="str">
        <f>IFERROR(VLOOKUP(A1208,H_C!$A$2:$G$2628,7,0),"Validar HC")</f>
        <v>Ospina, Michel</v>
      </c>
      <c r="H1208" s="164">
        <v>1623501.0</v>
      </c>
      <c r="I1208" s="1">
        <v>42.0</v>
      </c>
    </row>
    <row r="1209" ht="15.75" customHeight="1">
      <c r="A1209" s="1">
        <v>5334615.0</v>
      </c>
      <c r="B1209" s="1" t="s">
        <v>53</v>
      </c>
      <c r="C1209" s="1" t="s">
        <v>2367</v>
      </c>
      <c r="D1209" s="1" t="s">
        <v>224</v>
      </c>
      <c r="E1209" s="1" t="s">
        <v>13</v>
      </c>
      <c r="F1209" s="1" t="s">
        <v>6717</v>
      </c>
      <c r="G1209" s="1" t="str">
        <f>IFERROR(VLOOKUP(A1209,H_C!$A$2:$G$2628,7,0),"Validar HC")</f>
        <v>Ospina, Michel</v>
      </c>
      <c r="H1209" s="162">
        <v>1600000.0</v>
      </c>
      <c r="I1209" s="1">
        <v>42.0</v>
      </c>
    </row>
    <row r="1210" ht="15.75" customHeight="1">
      <c r="A1210" s="1">
        <v>5389046.0</v>
      </c>
      <c r="B1210" s="1" t="s">
        <v>4049</v>
      </c>
      <c r="C1210" s="1" t="s">
        <v>4050</v>
      </c>
      <c r="D1210" s="1" t="s">
        <v>224</v>
      </c>
      <c r="E1210" s="1" t="s">
        <v>120</v>
      </c>
      <c r="F1210" s="1" t="s">
        <v>6717</v>
      </c>
      <c r="G1210" s="1" t="str">
        <f>IFERROR(VLOOKUP(A1210,H_C!$A$2:$G$2628,7,0),"Validar HC")</f>
        <v>Ospina, Michel</v>
      </c>
      <c r="H1210" s="164">
        <v>1623501.0</v>
      </c>
      <c r="I1210" s="1">
        <v>42.0</v>
      </c>
    </row>
    <row r="1211" ht="15.75" customHeight="1">
      <c r="A1211" s="1">
        <v>5389555.0</v>
      </c>
      <c r="B1211" s="1" t="s">
        <v>1017</v>
      </c>
      <c r="C1211" s="1" t="s">
        <v>1018</v>
      </c>
      <c r="D1211" s="1" t="s">
        <v>224</v>
      </c>
      <c r="E1211" s="1" t="s">
        <v>441</v>
      </c>
      <c r="F1211" s="1" t="s">
        <v>6717</v>
      </c>
      <c r="G1211" s="1" t="str">
        <f>IFERROR(VLOOKUP(A1211,H_C!$A$2:$G$2628,7,0),"Validar HC")</f>
        <v>Gonzalez, Cristian</v>
      </c>
      <c r="H1211" s="164">
        <v>1623501.0</v>
      </c>
      <c r="I1211" s="1">
        <v>42.0</v>
      </c>
    </row>
    <row r="1212" ht="15.75" customHeight="1">
      <c r="A1212" s="1">
        <v>5391920.0</v>
      </c>
      <c r="B1212" s="1" t="s">
        <v>4051</v>
      </c>
      <c r="C1212" s="1" t="s">
        <v>4052</v>
      </c>
      <c r="D1212" s="1" t="s">
        <v>224</v>
      </c>
      <c r="E1212" s="1" t="s">
        <v>3784</v>
      </c>
      <c r="F1212" s="1" t="s">
        <v>6717</v>
      </c>
      <c r="G1212" s="1" t="str">
        <f>IFERROR(VLOOKUP(A1212,H_C!$A$2:$G$2628,7,0),"Validar HC")</f>
        <v>Soler, Maria</v>
      </c>
      <c r="H1212" s="164">
        <v>1623501.0</v>
      </c>
      <c r="I1212" s="1">
        <v>42.0</v>
      </c>
    </row>
    <row r="1213" ht="15.75" customHeight="1">
      <c r="A1213" s="1">
        <v>5391977.0</v>
      </c>
      <c r="B1213" s="1" t="s">
        <v>4055</v>
      </c>
      <c r="C1213" s="1" t="s">
        <v>4056</v>
      </c>
      <c r="D1213" s="1" t="s">
        <v>224</v>
      </c>
      <c r="E1213" s="1" t="s">
        <v>695</v>
      </c>
      <c r="F1213" s="1" t="s">
        <v>6717</v>
      </c>
      <c r="G1213" s="1" t="str">
        <f>IFERROR(VLOOKUP(A1213,H_C!$A$2:$G$2628,7,0),"Validar HC")</f>
        <v>Ayala, Giselle</v>
      </c>
      <c r="H1213" s="164">
        <v>1623501.0</v>
      </c>
      <c r="I1213" s="1">
        <v>42.0</v>
      </c>
    </row>
    <row r="1214" ht="15.75" customHeight="1">
      <c r="A1214" s="1">
        <v>5393626.0</v>
      </c>
      <c r="B1214" s="1" t="s">
        <v>4059</v>
      </c>
      <c r="C1214" s="1" t="s">
        <v>4060</v>
      </c>
      <c r="D1214" s="1" t="s">
        <v>224</v>
      </c>
      <c r="E1214" s="1" t="s">
        <v>695</v>
      </c>
      <c r="F1214" s="1" t="s">
        <v>6717</v>
      </c>
      <c r="G1214" s="1" t="str">
        <f>IFERROR(VLOOKUP(A1214,H_C!$A$2:$G$2628,7,0),"Validar HC")</f>
        <v>Ayala, Giselle</v>
      </c>
      <c r="H1214" s="164">
        <v>1623501.0</v>
      </c>
      <c r="I1214" s="1">
        <v>42.0</v>
      </c>
    </row>
    <row r="1215" ht="15.75" customHeight="1">
      <c r="A1215" s="1">
        <v>5393628.0</v>
      </c>
      <c r="B1215" s="1" t="s">
        <v>4063</v>
      </c>
      <c r="C1215" s="1" t="s">
        <v>4064</v>
      </c>
      <c r="D1215" s="1" t="s">
        <v>224</v>
      </c>
      <c r="E1215" s="1" t="s">
        <v>695</v>
      </c>
      <c r="F1215" s="1" t="s">
        <v>6717</v>
      </c>
      <c r="G1215" s="1" t="str">
        <f>IFERROR(VLOOKUP(A1215,H_C!$A$2:$G$2628,7,0),"Validar HC")</f>
        <v>Ayala, Giselle</v>
      </c>
      <c r="H1215" s="164">
        <v>1623501.0</v>
      </c>
      <c r="I1215" s="1">
        <v>42.0</v>
      </c>
    </row>
    <row r="1216" ht="15.75" customHeight="1">
      <c r="A1216" s="1">
        <v>5393736.0</v>
      </c>
      <c r="B1216" s="1" t="s">
        <v>3139</v>
      </c>
      <c r="C1216" s="1" t="s">
        <v>3140</v>
      </c>
      <c r="D1216" s="1" t="s">
        <v>224</v>
      </c>
      <c r="E1216" s="1" t="s">
        <v>412</v>
      </c>
      <c r="F1216" s="1" t="s">
        <v>6717</v>
      </c>
      <c r="G1216" s="1" t="str">
        <f>IFERROR(VLOOKUP(A1216,H_C!$A$2:$G$2628,7,0),"Validar HC")</f>
        <v>Ospina, Michel</v>
      </c>
      <c r="H1216" s="164">
        <v>1623501.0</v>
      </c>
      <c r="I1216" s="1">
        <v>42.0</v>
      </c>
    </row>
    <row r="1217" ht="15.75" customHeight="1">
      <c r="A1217" s="1">
        <v>5395849.0</v>
      </c>
      <c r="B1217" s="1" t="s">
        <v>4067</v>
      </c>
      <c r="C1217" s="1" t="s">
        <v>4068</v>
      </c>
      <c r="D1217" s="1" t="s">
        <v>224</v>
      </c>
      <c r="E1217" s="1" t="s">
        <v>695</v>
      </c>
      <c r="F1217" s="1" t="s">
        <v>6717</v>
      </c>
      <c r="G1217" s="1" t="str">
        <f>IFERROR(VLOOKUP(A1217,H_C!$A$2:$G$2628,7,0),"Validar HC")</f>
        <v>Ayala, Giselle</v>
      </c>
      <c r="H1217" s="164">
        <v>1623501.0</v>
      </c>
      <c r="I1217" s="1">
        <v>42.0</v>
      </c>
    </row>
    <row r="1218" ht="15.75" customHeight="1">
      <c r="A1218" s="1">
        <v>5395882.0</v>
      </c>
      <c r="B1218" s="1" t="s">
        <v>4072</v>
      </c>
      <c r="C1218" s="1" t="s">
        <v>4073</v>
      </c>
      <c r="D1218" s="1" t="s">
        <v>224</v>
      </c>
      <c r="E1218" s="1" t="s">
        <v>695</v>
      </c>
      <c r="F1218" s="1" t="s">
        <v>6717</v>
      </c>
      <c r="G1218" s="1" t="str">
        <f>IFERROR(VLOOKUP(A1218,H_C!$A$2:$G$2628,7,0),"Validar HC")</f>
        <v>Ayala, Giselle</v>
      </c>
      <c r="H1218" s="164">
        <v>1623501.0</v>
      </c>
      <c r="I1218" s="1">
        <v>42.0</v>
      </c>
    </row>
    <row r="1219" ht="15.75" customHeight="1">
      <c r="A1219" s="1">
        <v>5395916.0</v>
      </c>
      <c r="B1219" s="1" t="s">
        <v>4076</v>
      </c>
      <c r="C1219" s="1" t="s">
        <v>4077</v>
      </c>
      <c r="D1219" s="1" t="s">
        <v>224</v>
      </c>
      <c r="E1219" s="1" t="s">
        <v>1746</v>
      </c>
      <c r="F1219" s="1" t="s">
        <v>6717</v>
      </c>
      <c r="G1219" s="1" t="str">
        <f>IFERROR(VLOOKUP(A1219,H_C!$A$2:$G$2628,7,0),"Validar HC")</f>
        <v>Ayala, Giselle</v>
      </c>
      <c r="H1219" s="164">
        <v>1623501.0</v>
      </c>
      <c r="I1219" s="1">
        <v>42.0</v>
      </c>
    </row>
    <row r="1220" ht="15.75" customHeight="1">
      <c r="A1220" s="1">
        <v>5397488.0</v>
      </c>
      <c r="B1220" s="1" t="s">
        <v>4080</v>
      </c>
      <c r="C1220" s="1" t="s">
        <v>4081</v>
      </c>
      <c r="D1220" s="1" t="s">
        <v>224</v>
      </c>
      <c r="E1220" s="1" t="s">
        <v>695</v>
      </c>
      <c r="F1220" s="1" t="s">
        <v>6717</v>
      </c>
      <c r="G1220" s="1" t="str">
        <f>IFERROR(VLOOKUP(A1220,H_C!$A$2:$G$2628,7,0),"Validar HC")</f>
        <v>Ayala, Giselle</v>
      </c>
      <c r="H1220" s="164">
        <v>1623501.0</v>
      </c>
      <c r="I1220" s="1">
        <v>42.0</v>
      </c>
    </row>
    <row r="1221" ht="15.75" customHeight="1">
      <c r="A1221" s="1">
        <v>5397864.0</v>
      </c>
      <c r="B1221" s="1" t="s">
        <v>4084</v>
      </c>
      <c r="C1221" s="1" t="s">
        <v>4085</v>
      </c>
      <c r="D1221" s="1" t="s">
        <v>224</v>
      </c>
      <c r="E1221" s="1" t="s">
        <v>1676</v>
      </c>
      <c r="F1221" s="1" t="s">
        <v>6717</v>
      </c>
      <c r="G1221" s="1" t="str">
        <f>IFERROR(VLOOKUP(A1221,H_C!$A$2:$G$2628,7,0),"Validar HC")</f>
        <v>Soler, Maria</v>
      </c>
      <c r="H1221" s="164">
        <v>1623501.0</v>
      </c>
      <c r="I1221" s="1">
        <v>42.0</v>
      </c>
    </row>
    <row r="1222" ht="15.75" customHeight="1">
      <c r="A1222" s="1">
        <v>5397868.0</v>
      </c>
      <c r="B1222" s="1" t="s">
        <v>3004</v>
      </c>
      <c r="C1222" s="1" t="s">
        <v>3005</v>
      </c>
      <c r="D1222" s="1" t="s">
        <v>224</v>
      </c>
      <c r="E1222" s="1" t="s">
        <v>432</v>
      </c>
      <c r="F1222" s="1" t="s">
        <v>6717</v>
      </c>
      <c r="G1222" s="1" t="str">
        <f>IFERROR(VLOOKUP(A1222,H_C!$A$2:$G$2628,7,0),"Validar HC")</f>
        <v>Ospina, Michel</v>
      </c>
      <c r="H1222" s="164">
        <v>1623501.0</v>
      </c>
      <c r="I1222" s="1">
        <v>42.0</v>
      </c>
    </row>
    <row r="1223" ht="15.75" customHeight="1">
      <c r="A1223" s="1">
        <v>5401142.0</v>
      </c>
      <c r="B1223" s="1" t="s">
        <v>3795</v>
      </c>
      <c r="C1223" s="1" t="s">
        <v>3796</v>
      </c>
      <c r="D1223" s="1" t="s">
        <v>224</v>
      </c>
      <c r="E1223" s="1" t="s">
        <v>491</v>
      </c>
      <c r="F1223" s="1" t="s">
        <v>6717</v>
      </c>
      <c r="G1223" s="1" t="str">
        <f>IFERROR(VLOOKUP(A1223,H_C!$A$2:$G$2628,7,0),"Validar HC")</f>
        <v>Soler, Maria</v>
      </c>
      <c r="H1223" s="164">
        <v>1623501.0</v>
      </c>
      <c r="I1223" s="1">
        <v>42.0</v>
      </c>
    </row>
    <row r="1224" ht="15.75" customHeight="1">
      <c r="A1224" s="1">
        <v>5407100.0</v>
      </c>
      <c r="B1224" s="1" t="s">
        <v>4090</v>
      </c>
      <c r="C1224" s="1" t="s">
        <v>4091</v>
      </c>
      <c r="D1224" s="1" t="s">
        <v>224</v>
      </c>
      <c r="E1224" s="1" t="s">
        <v>416</v>
      </c>
      <c r="F1224" s="1" t="s">
        <v>6717</v>
      </c>
      <c r="G1224" s="1" t="str">
        <f>IFERROR(VLOOKUP(A1224,H_C!$A$2:$G$2628,7,0),"Validar HC")</f>
        <v>Soler, Maria</v>
      </c>
      <c r="H1224" s="164">
        <v>1623501.0</v>
      </c>
      <c r="I1224" s="1">
        <v>42.0</v>
      </c>
    </row>
    <row r="1225" ht="15.75" customHeight="1">
      <c r="A1225" s="1">
        <v>5409255.0</v>
      </c>
      <c r="B1225" s="1" t="s">
        <v>3107</v>
      </c>
      <c r="C1225" s="1" t="s">
        <v>3108</v>
      </c>
      <c r="D1225" s="1" t="s">
        <v>224</v>
      </c>
      <c r="E1225" s="1" t="s">
        <v>329</v>
      </c>
      <c r="F1225" s="1" t="s">
        <v>6717</v>
      </c>
      <c r="G1225" s="1" t="str">
        <f>IFERROR(VLOOKUP(A1225,H_C!$A$2:$G$2628,7,0),"Validar HC")</f>
        <v>Garatejo, Natalia</v>
      </c>
      <c r="H1225" s="164">
        <v>1623501.0</v>
      </c>
      <c r="I1225" s="1">
        <v>42.0</v>
      </c>
    </row>
    <row r="1226" ht="15.75" customHeight="1">
      <c r="A1226" s="1">
        <v>5410422.0</v>
      </c>
      <c r="B1226" s="1" t="s">
        <v>4094</v>
      </c>
      <c r="C1226" s="1" t="s">
        <v>4095</v>
      </c>
      <c r="D1226" s="1" t="s">
        <v>224</v>
      </c>
      <c r="E1226" s="1" t="s">
        <v>1695</v>
      </c>
      <c r="F1226" s="1" t="s">
        <v>6717</v>
      </c>
      <c r="G1226" s="1" t="str">
        <f>IFERROR(VLOOKUP(A1226,H_C!$A$2:$G$2628,7,0),"Validar HC")</f>
        <v>Ayala, Giselle</v>
      </c>
      <c r="H1226" s="164">
        <v>1623501.0</v>
      </c>
      <c r="I1226" s="1">
        <v>42.0</v>
      </c>
    </row>
    <row r="1227" ht="15.75" customHeight="1">
      <c r="A1227" s="1">
        <v>5415488.0</v>
      </c>
      <c r="B1227" s="1" t="s">
        <v>3914</v>
      </c>
      <c r="C1227" s="1" t="s">
        <v>3915</v>
      </c>
      <c r="D1227" s="1" t="s">
        <v>224</v>
      </c>
      <c r="E1227" s="1" t="s">
        <v>506</v>
      </c>
      <c r="F1227" s="1" t="s">
        <v>6717</v>
      </c>
      <c r="G1227" s="1" t="str">
        <f>IFERROR(VLOOKUP(A1227,H_C!$A$2:$G$2628,7,0),"Validar HC")</f>
        <v>Ospina, Michel</v>
      </c>
      <c r="H1227" s="164">
        <v>1623501.0</v>
      </c>
      <c r="I1227" s="1">
        <v>42.0</v>
      </c>
    </row>
    <row r="1228" ht="15.75" customHeight="1">
      <c r="A1228" s="1">
        <v>5415498.0</v>
      </c>
      <c r="B1228" s="1" t="s">
        <v>3928</v>
      </c>
      <c r="C1228" s="1" t="s">
        <v>3929</v>
      </c>
      <c r="D1228" s="1" t="s">
        <v>224</v>
      </c>
      <c r="E1228" s="1" t="s">
        <v>506</v>
      </c>
      <c r="F1228" s="1" t="s">
        <v>6717</v>
      </c>
      <c r="G1228" s="1" t="str">
        <f>IFERROR(VLOOKUP(A1228,H_C!$A$2:$G$2628,7,0),"Validar HC")</f>
        <v>Ospina, Michel</v>
      </c>
      <c r="H1228" s="164">
        <v>1623501.0</v>
      </c>
      <c r="I1228" s="1">
        <v>42.0</v>
      </c>
    </row>
    <row r="1229" ht="15.75" customHeight="1">
      <c r="A1229" s="1">
        <v>5415501.0</v>
      </c>
      <c r="B1229" s="1" t="s">
        <v>4098</v>
      </c>
      <c r="C1229" s="1" t="s">
        <v>4099</v>
      </c>
      <c r="D1229" s="1" t="s">
        <v>224</v>
      </c>
      <c r="E1229" s="1" t="s">
        <v>835</v>
      </c>
      <c r="F1229" s="1" t="s">
        <v>6717</v>
      </c>
      <c r="G1229" s="1" t="str">
        <f>IFERROR(VLOOKUP(A1229,H_C!$A$2:$G$2628,7,0),"Validar HC")</f>
        <v>Martinez, Wendy</v>
      </c>
      <c r="H1229" s="164">
        <v>1623501.0</v>
      </c>
      <c r="I1229" s="1">
        <v>42.0</v>
      </c>
    </row>
    <row r="1230" ht="15.75" customHeight="1">
      <c r="A1230" s="1">
        <v>5415509.0</v>
      </c>
      <c r="B1230" s="1" t="s">
        <v>1346</v>
      </c>
      <c r="C1230" s="1" t="s">
        <v>1347</v>
      </c>
      <c r="D1230" s="1" t="s">
        <v>224</v>
      </c>
      <c r="E1230" s="1" t="s">
        <v>331</v>
      </c>
      <c r="F1230" s="1" t="s">
        <v>6717</v>
      </c>
      <c r="G1230" s="1" t="str">
        <f>IFERROR(VLOOKUP(A1230,H_C!$A$2:$G$2628,7,0),"Validar HC")</f>
        <v>Parra, Jeimmy</v>
      </c>
      <c r="H1230" s="164">
        <v>1623501.0</v>
      </c>
      <c r="I1230" s="1">
        <v>42.0</v>
      </c>
    </row>
    <row r="1231" ht="15.75" customHeight="1">
      <c r="A1231" s="1">
        <v>5415627.0</v>
      </c>
      <c r="B1231" s="1" t="s">
        <v>4100</v>
      </c>
      <c r="C1231" s="1" t="s">
        <v>4104</v>
      </c>
      <c r="D1231" s="1" t="s">
        <v>224</v>
      </c>
      <c r="E1231" s="1" t="s">
        <v>331</v>
      </c>
      <c r="F1231" s="1" t="s">
        <v>6717</v>
      </c>
      <c r="G1231" s="1" t="str">
        <f>IFERROR(VLOOKUP(A1231,H_C!$A$2:$G$2628,7,0),"Validar HC")</f>
        <v>Hernandez, Andres</v>
      </c>
      <c r="H1231" s="164">
        <v>1623501.0</v>
      </c>
      <c r="I1231" s="1">
        <v>42.0</v>
      </c>
    </row>
    <row r="1232" ht="15.75" customHeight="1">
      <c r="A1232" s="1">
        <v>5426153.0</v>
      </c>
      <c r="B1232" s="1" t="s">
        <v>4105</v>
      </c>
      <c r="C1232" s="1" t="s">
        <v>4106</v>
      </c>
      <c r="D1232" s="1" t="s">
        <v>224</v>
      </c>
      <c r="E1232" s="1" t="s">
        <v>847</v>
      </c>
      <c r="F1232" s="1" t="s">
        <v>6717</v>
      </c>
      <c r="G1232" s="1" t="str">
        <f>IFERROR(VLOOKUP(A1232,H_C!$A$2:$G$2628,7,0),"Validar HC")</f>
        <v>Garatejo, Natalia</v>
      </c>
      <c r="H1232" s="164">
        <v>1623501.0</v>
      </c>
      <c r="I1232" s="1">
        <v>42.0</v>
      </c>
    </row>
    <row r="1233" ht="15.75" customHeight="1">
      <c r="A1233" s="1">
        <v>5367498.0</v>
      </c>
      <c r="B1233" s="1" t="s">
        <v>57</v>
      </c>
      <c r="C1233" s="1" t="s">
        <v>2376</v>
      </c>
      <c r="D1233" s="1" t="s">
        <v>224</v>
      </c>
      <c r="E1233" s="1" t="s">
        <v>13</v>
      </c>
      <c r="F1233" s="1" t="s">
        <v>6717</v>
      </c>
      <c r="G1233" s="1" t="str">
        <f>IFERROR(VLOOKUP(A1233,H_C!$A$2:$G$2628,7,0),"Validar HC")</f>
        <v>Ospina, Michel</v>
      </c>
      <c r="H1233" s="162">
        <v>1600000.0</v>
      </c>
      <c r="I1233" s="1">
        <v>42.0</v>
      </c>
    </row>
    <row r="1234" ht="15.75" customHeight="1">
      <c r="A1234" s="1">
        <v>5426209.0</v>
      </c>
      <c r="B1234" s="1" t="s">
        <v>4109</v>
      </c>
      <c r="C1234" s="1" t="s">
        <v>4110</v>
      </c>
      <c r="D1234" s="1" t="s">
        <v>224</v>
      </c>
      <c r="E1234" s="1" t="s">
        <v>425</v>
      </c>
      <c r="F1234" s="1" t="s">
        <v>6717</v>
      </c>
      <c r="G1234" s="1" t="str">
        <f>IFERROR(VLOOKUP(A1234,H_C!$A$2:$G$2628,7,0),"Validar HC")</f>
        <v>Ospina, Michel</v>
      </c>
      <c r="H1234" s="164">
        <v>1623501.0</v>
      </c>
      <c r="I1234" s="1">
        <v>42.0</v>
      </c>
    </row>
    <row r="1235" ht="15.75" customHeight="1">
      <c r="A1235" s="1">
        <v>5426214.0</v>
      </c>
      <c r="B1235" s="1" t="s">
        <v>3380</v>
      </c>
      <c r="C1235" s="1" t="s">
        <v>3381</v>
      </c>
      <c r="D1235" s="1" t="s">
        <v>224</v>
      </c>
      <c r="E1235" s="1" t="s">
        <v>907</v>
      </c>
      <c r="F1235" s="1" t="s">
        <v>6717</v>
      </c>
      <c r="G1235" s="1" t="str">
        <f>IFERROR(VLOOKUP(A1235,H_C!$A$2:$G$2628,7,0),"Validar HC")</f>
        <v>Gonzalez, Cristian</v>
      </c>
      <c r="H1235" s="164">
        <v>1623501.0</v>
      </c>
      <c r="I1235" s="1">
        <v>42.0</v>
      </c>
    </row>
    <row r="1236" ht="15.75" customHeight="1">
      <c r="A1236" s="1">
        <v>5433886.0</v>
      </c>
      <c r="B1236" s="1" t="s">
        <v>4115</v>
      </c>
      <c r="C1236" s="1" t="s">
        <v>4116</v>
      </c>
      <c r="D1236" s="1" t="s">
        <v>224</v>
      </c>
      <c r="E1236" s="1" t="s">
        <v>695</v>
      </c>
      <c r="F1236" s="1" t="s">
        <v>6717</v>
      </c>
      <c r="G1236" s="1" t="str">
        <f>IFERROR(VLOOKUP(A1236,H_C!$A$2:$G$2628,7,0),"Validar HC")</f>
        <v>Ayala, Giselle</v>
      </c>
      <c r="H1236" s="164">
        <v>1623501.0</v>
      </c>
      <c r="I1236" s="1">
        <v>42.0</v>
      </c>
    </row>
    <row r="1237" ht="15.75" customHeight="1">
      <c r="A1237" s="1">
        <v>5434708.0</v>
      </c>
      <c r="B1237" s="1" t="s">
        <v>4120</v>
      </c>
      <c r="C1237" s="1" t="s">
        <v>4121</v>
      </c>
      <c r="D1237" s="1" t="s">
        <v>224</v>
      </c>
      <c r="E1237" s="1" t="s">
        <v>4119</v>
      </c>
      <c r="F1237" s="1" t="s">
        <v>6717</v>
      </c>
      <c r="G1237" s="1" t="str">
        <f>IFERROR(VLOOKUP(A1237,H_C!$A$2:$G$2628,7,0),"Validar HC")</f>
        <v>Gonzalez, Cristian</v>
      </c>
      <c r="H1237" s="164">
        <v>1623501.0</v>
      </c>
      <c r="I1237" s="1">
        <v>42.0</v>
      </c>
    </row>
    <row r="1238" ht="15.75" customHeight="1">
      <c r="A1238" s="1">
        <v>5434856.0</v>
      </c>
      <c r="B1238" s="1" t="s">
        <v>4124</v>
      </c>
      <c r="C1238" s="1" t="s">
        <v>4125</v>
      </c>
      <c r="D1238" s="1" t="s">
        <v>224</v>
      </c>
      <c r="E1238" s="1" t="s">
        <v>491</v>
      </c>
      <c r="F1238" s="1" t="s">
        <v>6717</v>
      </c>
      <c r="G1238" s="1" t="str">
        <f>IFERROR(VLOOKUP(A1238,H_C!$A$2:$G$2628,7,0),"Validar HC")</f>
        <v>Soler, Maria</v>
      </c>
      <c r="H1238" s="164">
        <v>1623501.0</v>
      </c>
      <c r="I1238" s="1">
        <v>42.0</v>
      </c>
    </row>
    <row r="1239" ht="15.75" customHeight="1">
      <c r="A1239" s="1">
        <v>5434880.0</v>
      </c>
      <c r="B1239" s="1" t="s">
        <v>4128</v>
      </c>
      <c r="C1239" s="1" t="s">
        <v>4129</v>
      </c>
      <c r="D1239" s="1" t="s">
        <v>224</v>
      </c>
      <c r="E1239" s="1" t="s">
        <v>331</v>
      </c>
      <c r="F1239" s="1" t="s">
        <v>6717</v>
      </c>
      <c r="G1239" s="1" t="str">
        <f>IFERROR(VLOOKUP(A1239,H_C!$A$2:$G$2628,7,0),"Validar HC")</f>
        <v>Soler, Maria</v>
      </c>
      <c r="H1239" s="164">
        <v>1623501.0</v>
      </c>
      <c r="I1239" s="1">
        <v>42.0</v>
      </c>
    </row>
    <row r="1240" ht="15.75" customHeight="1">
      <c r="A1240" s="1">
        <v>5434892.0</v>
      </c>
      <c r="B1240" s="1" t="s">
        <v>4132</v>
      </c>
      <c r="C1240" s="1" t="s">
        <v>4133</v>
      </c>
      <c r="D1240" s="1" t="s">
        <v>224</v>
      </c>
      <c r="E1240" s="1" t="s">
        <v>121</v>
      </c>
      <c r="F1240" s="1" t="s">
        <v>6717</v>
      </c>
      <c r="G1240" s="1" t="str">
        <f>IFERROR(VLOOKUP(A1240,H_C!$A$2:$G$2628,7,0),"Validar HC")</f>
        <v>Ospina, Michel</v>
      </c>
      <c r="H1240" s="164">
        <v>1623501.0</v>
      </c>
      <c r="I1240" s="1">
        <v>42.0</v>
      </c>
    </row>
    <row r="1241" ht="15.75" customHeight="1">
      <c r="A1241" s="1">
        <v>5435840.0</v>
      </c>
      <c r="B1241" s="1" t="s">
        <v>1173</v>
      </c>
      <c r="C1241" s="1" t="s">
        <v>1174</v>
      </c>
      <c r="D1241" s="1" t="s">
        <v>224</v>
      </c>
      <c r="E1241" s="1" t="s">
        <v>263</v>
      </c>
      <c r="F1241" s="1" t="s">
        <v>6717</v>
      </c>
      <c r="G1241" s="1" t="str">
        <f>IFERROR(VLOOKUP(A1241,H_C!$A$2:$G$2628,7,0),"Validar HC")</f>
        <v>Garcia, Helmer</v>
      </c>
      <c r="H1241" s="164">
        <v>1623501.0</v>
      </c>
      <c r="I1241" s="1">
        <v>42.0</v>
      </c>
    </row>
    <row r="1242" ht="15.75" customHeight="1">
      <c r="A1242" s="1">
        <v>5435864.0</v>
      </c>
      <c r="B1242" s="1" t="s">
        <v>2982</v>
      </c>
      <c r="C1242" s="1" t="s">
        <v>2983</v>
      </c>
      <c r="D1242" s="1" t="s">
        <v>224</v>
      </c>
      <c r="E1242" s="1" t="s">
        <v>116</v>
      </c>
      <c r="F1242" s="1" t="s">
        <v>6717</v>
      </c>
      <c r="G1242" s="1" t="str">
        <f>IFERROR(VLOOKUP(A1242,H_C!$A$2:$G$2628,7,0),"Validar HC")</f>
        <v>Ospina, Michel</v>
      </c>
      <c r="H1242" s="164">
        <v>1623501.0</v>
      </c>
      <c r="I1242" s="1">
        <v>42.0</v>
      </c>
    </row>
    <row r="1243" ht="15.75" customHeight="1">
      <c r="A1243" s="1">
        <v>5436051.0</v>
      </c>
      <c r="B1243" s="1" t="s">
        <v>4136</v>
      </c>
      <c r="C1243" s="1" t="s">
        <v>4137</v>
      </c>
      <c r="D1243" s="1" t="s">
        <v>224</v>
      </c>
      <c r="E1243" s="1" t="s">
        <v>506</v>
      </c>
      <c r="F1243" s="1" t="s">
        <v>6717</v>
      </c>
      <c r="G1243" s="1" t="str">
        <f>IFERROR(VLOOKUP(A1243,H_C!$A$2:$G$2628,7,0),"Validar HC")</f>
        <v>Ospina, Michel</v>
      </c>
      <c r="H1243" s="164">
        <v>1623501.0</v>
      </c>
      <c r="I1243" s="1">
        <v>42.0</v>
      </c>
    </row>
    <row r="1244" ht="15.75" customHeight="1">
      <c r="A1244" s="1">
        <v>5436062.0</v>
      </c>
      <c r="B1244" s="1" t="s">
        <v>3006</v>
      </c>
      <c r="C1244" s="1" t="s">
        <v>3007</v>
      </c>
      <c r="D1244" s="1" t="s">
        <v>224</v>
      </c>
      <c r="E1244" s="1" t="s">
        <v>432</v>
      </c>
      <c r="F1244" s="1" t="s">
        <v>6717</v>
      </c>
      <c r="G1244" s="1" t="str">
        <f>IFERROR(VLOOKUP(A1244,H_C!$A$2:$G$2628,7,0),"Validar HC")</f>
        <v>Ospina, Michel</v>
      </c>
      <c r="H1244" s="164">
        <v>1623501.0</v>
      </c>
      <c r="I1244" s="1">
        <v>42.0</v>
      </c>
    </row>
    <row r="1245" ht="15.75" customHeight="1">
      <c r="A1245" s="1">
        <v>5436063.0</v>
      </c>
      <c r="B1245" s="1" t="s">
        <v>4138</v>
      </c>
      <c r="C1245" s="1" t="s">
        <v>4139</v>
      </c>
      <c r="D1245" s="1" t="s">
        <v>224</v>
      </c>
      <c r="E1245" s="1" t="s">
        <v>506</v>
      </c>
      <c r="F1245" s="1" t="s">
        <v>6717</v>
      </c>
      <c r="G1245" s="1" t="str">
        <f>IFERROR(VLOOKUP(A1245,H_C!$A$2:$G$2628,7,0),"Validar HC")</f>
        <v>Ospina, Michel</v>
      </c>
      <c r="H1245" s="164">
        <v>1623501.0</v>
      </c>
      <c r="I1245" s="1">
        <v>42.0</v>
      </c>
    </row>
    <row r="1246" ht="15.75" customHeight="1">
      <c r="A1246" s="1">
        <v>5369454.0</v>
      </c>
      <c r="B1246" s="1" t="s">
        <v>58</v>
      </c>
      <c r="C1246" s="1" t="s">
        <v>2379</v>
      </c>
      <c r="D1246" s="1" t="s">
        <v>224</v>
      </c>
      <c r="E1246" s="1" t="s">
        <v>13</v>
      </c>
      <c r="F1246" s="1" t="s">
        <v>6717</v>
      </c>
      <c r="G1246" s="1" t="str">
        <f>IFERROR(VLOOKUP(A1246,H_C!$A$2:$G$2628,7,0),"Validar HC")</f>
        <v>Ospina, Michel</v>
      </c>
      <c r="H1246" s="162">
        <v>1600000.0</v>
      </c>
      <c r="I1246" s="1">
        <v>42.0</v>
      </c>
    </row>
    <row r="1247" ht="15.75" customHeight="1">
      <c r="A1247" s="1">
        <v>5437194.0</v>
      </c>
      <c r="B1247" s="1" t="s">
        <v>3932</v>
      </c>
      <c r="C1247" s="1" t="s">
        <v>3933</v>
      </c>
      <c r="D1247" s="1" t="s">
        <v>224</v>
      </c>
      <c r="E1247" s="1" t="s">
        <v>506</v>
      </c>
      <c r="F1247" s="1" t="s">
        <v>6717</v>
      </c>
      <c r="G1247" s="1" t="str">
        <f>IFERROR(VLOOKUP(A1247,H_C!$A$2:$G$2628,7,0),"Validar HC")</f>
        <v>Ospina, Michel</v>
      </c>
      <c r="H1247" s="164">
        <v>1623501.0</v>
      </c>
      <c r="I1247" s="1">
        <v>42.0</v>
      </c>
    </row>
    <row r="1248" ht="15.75" customHeight="1">
      <c r="A1248" s="1">
        <v>5437223.0</v>
      </c>
      <c r="B1248" s="1" t="s">
        <v>4142</v>
      </c>
      <c r="C1248" s="1" t="s">
        <v>4143</v>
      </c>
      <c r="D1248" s="1" t="s">
        <v>224</v>
      </c>
      <c r="E1248" s="1" t="s">
        <v>2285</v>
      </c>
      <c r="F1248" s="1" t="s">
        <v>6717</v>
      </c>
      <c r="G1248" s="1" t="str">
        <f>IFERROR(VLOOKUP(A1248,H_C!$A$2:$G$2628,7,0),"Validar HC")</f>
        <v>Ayala, Giselle</v>
      </c>
      <c r="H1248" s="164">
        <v>1623501.0</v>
      </c>
      <c r="I1248" s="1">
        <v>42.0</v>
      </c>
    </row>
    <row r="1249" ht="15.75" customHeight="1">
      <c r="A1249" s="1">
        <v>5437224.0</v>
      </c>
      <c r="B1249" s="1" t="s">
        <v>4144</v>
      </c>
      <c r="C1249" s="1" t="s">
        <v>4145</v>
      </c>
      <c r="D1249" s="1" t="s">
        <v>224</v>
      </c>
      <c r="E1249" s="1" t="s">
        <v>120</v>
      </c>
      <c r="F1249" s="1" t="s">
        <v>6717</v>
      </c>
      <c r="G1249" s="1" t="str">
        <f>IFERROR(VLOOKUP(A1249,H_C!$A$2:$G$2628,7,0),"Validar HC")</f>
        <v>Ospina, Michel</v>
      </c>
      <c r="H1249" s="164">
        <v>1623501.0</v>
      </c>
      <c r="I1249" s="1">
        <v>42.0</v>
      </c>
    </row>
    <row r="1250" ht="15.75" customHeight="1">
      <c r="A1250" s="1">
        <v>5437228.0</v>
      </c>
      <c r="B1250" s="1" t="s">
        <v>4146</v>
      </c>
      <c r="C1250" s="1" t="s">
        <v>4147</v>
      </c>
      <c r="D1250" s="1" t="s">
        <v>224</v>
      </c>
      <c r="E1250" s="1" t="s">
        <v>2069</v>
      </c>
      <c r="F1250" s="1" t="s">
        <v>6717</v>
      </c>
      <c r="G1250" s="1" t="str">
        <f>IFERROR(VLOOKUP(A1250,H_C!$A$2:$G$2628,7,0),"Validar HC")</f>
        <v>Garatejo, Natalia</v>
      </c>
      <c r="H1250" s="164">
        <v>1623501.0</v>
      </c>
      <c r="I1250" s="1">
        <v>42.0</v>
      </c>
    </row>
    <row r="1251" ht="15.75" customHeight="1">
      <c r="A1251" s="1">
        <v>5438033.0</v>
      </c>
      <c r="B1251" s="1" t="s">
        <v>3163</v>
      </c>
      <c r="C1251" s="1" t="s">
        <v>3164</v>
      </c>
      <c r="D1251" s="1" t="s">
        <v>224</v>
      </c>
      <c r="E1251" s="1" t="s">
        <v>412</v>
      </c>
      <c r="F1251" s="1" t="s">
        <v>6717</v>
      </c>
      <c r="G1251" s="1" t="str">
        <f>IFERROR(VLOOKUP(A1251,H_C!$A$2:$G$2628,7,0),"Validar HC")</f>
        <v>Ospina, Michel</v>
      </c>
      <c r="H1251" s="164">
        <v>1623501.0</v>
      </c>
      <c r="I1251" s="1">
        <v>42.0</v>
      </c>
    </row>
    <row r="1252" ht="15.75" customHeight="1">
      <c r="A1252" s="1">
        <v>5426155.0</v>
      </c>
      <c r="B1252" s="1" t="s">
        <v>60</v>
      </c>
      <c r="C1252" s="1" t="s">
        <v>2384</v>
      </c>
      <c r="D1252" s="1" t="s">
        <v>224</v>
      </c>
      <c r="E1252" s="1" t="s">
        <v>13</v>
      </c>
      <c r="F1252" s="1" t="s">
        <v>6717</v>
      </c>
      <c r="G1252" s="1" t="str">
        <f>IFERROR(VLOOKUP(A1252,H_C!$A$2:$G$2628,7,0),"Validar HC")</f>
        <v>Ospina, Michel</v>
      </c>
      <c r="H1252" s="162">
        <v>1600000.0</v>
      </c>
      <c r="I1252" s="1">
        <v>42.0</v>
      </c>
    </row>
    <row r="1253" ht="15.75" customHeight="1">
      <c r="A1253" s="1">
        <v>5651744.0</v>
      </c>
      <c r="B1253" s="1" t="s">
        <v>70</v>
      </c>
      <c r="C1253" s="1" t="s">
        <v>2392</v>
      </c>
      <c r="D1253" s="1" t="s">
        <v>224</v>
      </c>
      <c r="E1253" s="1" t="s">
        <v>13</v>
      </c>
      <c r="F1253" s="1" t="s">
        <v>6717</v>
      </c>
      <c r="G1253" s="1" t="str">
        <f>IFERROR(VLOOKUP(A1253,H_C!$A$2:$G$2628,7,0),"Validar HC")</f>
        <v>Ospina, Michel</v>
      </c>
      <c r="H1253" s="162">
        <v>1300000.0</v>
      </c>
      <c r="I1253" s="1">
        <v>42.0</v>
      </c>
    </row>
    <row r="1254" ht="15.75" customHeight="1">
      <c r="A1254" s="1">
        <v>5438252.0</v>
      </c>
      <c r="B1254" s="1" t="s">
        <v>2452</v>
      </c>
      <c r="C1254" s="1" t="s">
        <v>2453</v>
      </c>
      <c r="D1254" s="1" t="s">
        <v>224</v>
      </c>
      <c r="E1254" s="1" t="s">
        <v>986</v>
      </c>
      <c r="F1254" s="1" t="s">
        <v>6717</v>
      </c>
      <c r="G1254" s="1" t="str">
        <f>IFERROR(VLOOKUP(A1254,H_C!$A$2:$G$2628,7,0),"Validar HC")</f>
        <v>Garatejo, Natalia</v>
      </c>
      <c r="H1254" s="164">
        <v>1623501.0</v>
      </c>
      <c r="I1254" s="1">
        <v>42.0</v>
      </c>
    </row>
    <row r="1255" ht="15.75" customHeight="1">
      <c r="A1255" s="1">
        <v>5438542.0</v>
      </c>
      <c r="B1255" s="1" t="s">
        <v>4148</v>
      </c>
      <c r="C1255" s="1" t="s">
        <v>4149</v>
      </c>
      <c r="D1255" s="1" t="s">
        <v>224</v>
      </c>
      <c r="E1255" s="1" t="s">
        <v>361</v>
      </c>
      <c r="F1255" s="1" t="s">
        <v>6717</v>
      </c>
      <c r="G1255" s="1" t="str">
        <f>IFERROR(VLOOKUP(A1255,H_C!$A$2:$G$2628,7,0),"Validar HC")</f>
        <v>Gonzalez, Cristian</v>
      </c>
      <c r="H1255" s="164">
        <v>1623501.0</v>
      </c>
      <c r="I1255" s="1">
        <v>42.0</v>
      </c>
    </row>
    <row r="1256" ht="15.75" customHeight="1">
      <c r="A1256" s="1">
        <v>5438569.0</v>
      </c>
      <c r="B1256" s="1" t="s">
        <v>4152</v>
      </c>
      <c r="C1256" s="1" t="s">
        <v>4153</v>
      </c>
      <c r="D1256" s="1" t="s">
        <v>224</v>
      </c>
      <c r="E1256" s="1" t="s">
        <v>361</v>
      </c>
      <c r="F1256" s="1" t="s">
        <v>6717</v>
      </c>
      <c r="G1256" s="1" t="str">
        <f>IFERROR(VLOOKUP(A1256,H_C!$A$2:$G$2628,7,0),"Validar HC")</f>
        <v>Gonzalez, Cristian</v>
      </c>
      <c r="H1256" s="164">
        <v>1623501.0</v>
      </c>
      <c r="I1256" s="1">
        <v>42.0</v>
      </c>
    </row>
    <row r="1257" ht="15.75" customHeight="1">
      <c r="A1257" s="1">
        <v>5438578.0</v>
      </c>
      <c r="B1257" s="1" t="s">
        <v>4154</v>
      </c>
      <c r="C1257" s="1" t="s">
        <v>4155</v>
      </c>
      <c r="D1257" s="1" t="s">
        <v>224</v>
      </c>
      <c r="E1257" s="1" t="s">
        <v>835</v>
      </c>
      <c r="F1257" s="1" t="s">
        <v>6717</v>
      </c>
      <c r="G1257" s="1" t="str">
        <f>IFERROR(VLOOKUP(A1257,H_C!$A$2:$G$2628,7,0),"Validar HC")</f>
        <v>Martinez, Wendy</v>
      </c>
      <c r="H1257" s="164">
        <v>1623501.0</v>
      </c>
      <c r="I1257" s="1">
        <v>42.0</v>
      </c>
    </row>
    <row r="1258" ht="15.75" customHeight="1">
      <c r="A1258" s="1">
        <v>5438590.0</v>
      </c>
      <c r="B1258" s="1" t="s">
        <v>3560</v>
      </c>
      <c r="C1258" s="1" t="s">
        <v>3561</v>
      </c>
      <c r="D1258" s="1" t="s">
        <v>224</v>
      </c>
      <c r="E1258" s="1" t="s">
        <v>467</v>
      </c>
      <c r="F1258" s="1" t="s">
        <v>6717</v>
      </c>
      <c r="G1258" s="1" t="str">
        <f>IFERROR(VLOOKUP(A1258,H_C!$A$2:$G$2628,7,0),"Validar HC")</f>
        <v>Martinez, Wendy</v>
      </c>
      <c r="H1258" s="164">
        <v>1623501.0</v>
      </c>
      <c r="I1258" s="1">
        <v>42.0</v>
      </c>
    </row>
    <row r="1259" ht="15.75" customHeight="1">
      <c r="A1259" s="1">
        <v>5438592.0</v>
      </c>
      <c r="B1259" s="1" t="s">
        <v>4160</v>
      </c>
      <c r="C1259" s="1" t="s">
        <v>4161</v>
      </c>
      <c r="D1259" s="1" t="s">
        <v>224</v>
      </c>
      <c r="E1259" s="1" t="s">
        <v>2069</v>
      </c>
      <c r="F1259" s="1" t="s">
        <v>6717</v>
      </c>
      <c r="G1259" s="1" t="str">
        <f>IFERROR(VLOOKUP(A1259,H_C!$A$2:$G$2628,7,0),"Validar HC")</f>
        <v>Garatejo, Natalia</v>
      </c>
      <c r="H1259" s="164">
        <v>1623501.0</v>
      </c>
      <c r="I1259" s="1">
        <v>42.0</v>
      </c>
    </row>
    <row r="1260" ht="15.75" customHeight="1">
      <c r="A1260" s="1">
        <v>5438594.0</v>
      </c>
      <c r="B1260" s="1" t="s">
        <v>4164</v>
      </c>
      <c r="C1260" s="1" t="s">
        <v>4165</v>
      </c>
      <c r="D1260" s="1" t="s">
        <v>224</v>
      </c>
      <c r="E1260" s="1" t="s">
        <v>835</v>
      </c>
      <c r="F1260" s="1" t="s">
        <v>6717</v>
      </c>
      <c r="G1260" s="1" t="str">
        <f>IFERROR(VLOOKUP(A1260,H_C!$A$2:$G$2628,7,0),"Validar HC")</f>
        <v>Martinez, Wendy</v>
      </c>
      <c r="H1260" s="164">
        <v>1623501.0</v>
      </c>
      <c r="I1260" s="1">
        <v>42.0</v>
      </c>
    </row>
    <row r="1261" ht="15.75" customHeight="1">
      <c r="A1261" s="1">
        <v>5439618.0</v>
      </c>
      <c r="B1261" s="1" t="s">
        <v>4168</v>
      </c>
      <c r="C1261" s="1" t="s">
        <v>4169</v>
      </c>
      <c r="D1261" s="1" t="s">
        <v>224</v>
      </c>
      <c r="E1261" s="1" t="s">
        <v>847</v>
      </c>
      <c r="F1261" s="1" t="s">
        <v>6717</v>
      </c>
      <c r="G1261" s="1" t="str">
        <f>IFERROR(VLOOKUP(A1261,H_C!$A$2:$G$2628,7,0),"Validar HC")</f>
        <v>Garatejo, Natalia</v>
      </c>
      <c r="H1261" s="164">
        <v>1623501.0</v>
      </c>
      <c r="I1261" s="1">
        <v>42.0</v>
      </c>
    </row>
    <row r="1262" ht="15.75" customHeight="1">
      <c r="A1262" s="1">
        <v>5031967.0</v>
      </c>
      <c r="B1262" s="1" t="s">
        <v>40</v>
      </c>
      <c r="C1262" s="1" t="s">
        <v>2491</v>
      </c>
      <c r="D1262" s="1" t="s">
        <v>224</v>
      </c>
      <c r="E1262" s="1" t="s">
        <v>13</v>
      </c>
      <c r="F1262" s="1" t="s">
        <v>6717</v>
      </c>
      <c r="G1262" s="1" t="str">
        <f>IFERROR(VLOOKUP(A1262,H_C!$A$2:$G$2628,7,0),"Validar HC")</f>
        <v>Ospina, Michel</v>
      </c>
      <c r="H1262" s="162">
        <v>1600000.0</v>
      </c>
      <c r="I1262" s="1">
        <v>42.0</v>
      </c>
    </row>
    <row r="1263" ht="15.75" customHeight="1">
      <c r="A1263" s="1">
        <v>5439877.0</v>
      </c>
      <c r="B1263" s="1" t="s">
        <v>4156</v>
      </c>
      <c r="C1263" s="1" t="s">
        <v>4157</v>
      </c>
      <c r="D1263" s="1" t="s">
        <v>224</v>
      </c>
      <c r="E1263" s="1" t="s">
        <v>506</v>
      </c>
      <c r="F1263" s="1" t="s">
        <v>6717</v>
      </c>
      <c r="G1263" s="1" t="str">
        <f>IFERROR(VLOOKUP(A1263,H_C!$A$2:$G$2628,7,0),"Validar HC")</f>
        <v>Ospina, Michel</v>
      </c>
      <c r="H1263" s="164">
        <v>1623501.0</v>
      </c>
      <c r="I1263" s="1">
        <v>42.0</v>
      </c>
    </row>
    <row r="1264" ht="15.75" customHeight="1">
      <c r="A1264" s="1">
        <v>5439878.0</v>
      </c>
      <c r="B1264" s="1" t="s">
        <v>2408</v>
      </c>
      <c r="C1264" s="1" t="s">
        <v>2409</v>
      </c>
      <c r="D1264" s="1" t="s">
        <v>224</v>
      </c>
      <c r="E1264" s="1" t="s">
        <v>81</v>
      </c>
      <c r="F1264" s="1" t="s">
        <v>6717</v>
      </c>
      <c r="G1264" s="1" t="str">
        <f>IFERROR(VLOOKUP(A1264,H_C!$A$2:$G$2628,7,0),"Validar HC")</f>
        <v>Ospina, Michel</v>
      </c>
      <c r="H1264" s="164">
        <v>1623501.0</v>
      </c>
      <c r="I1264" s="1">
        <v>42.0</v>
      </c>
    </row>
    <row r="1265" ht="15.75" customHeight="1">
      <c r="A1265" s="1">
        <v>5439948.0</v>
      </c>
      <c r="B1265" s="1" t="s">
        <v>65</v>
      </c>
      <c r="C1265" s="1" t="s">
        <v>2505</v>
      </c>
      <c r="D1265" s="1" t="s">
        <v>224</v>
      </c>
      <c r="E1265" s="1" t="s">
        <v>13</v>
      </c>
      <c r="F1265" s="1" t="s">
        <v>6717</v>
      </c>
      <c r="G1265" s="1" t="str">
        <f>IFERROR(VLOOKUP(A1265,H_C!$A$2:$G$2628,7,0),"Validar HC")</f>
        <v>Ospina, Michel</v>
      </c>
      <c r="H1265" s="162">
        <v>1600000.0</v>
      </c>
      <c r="I1265" s="1">
        <v>42.0</v>
      </c>
    </row>
    <row r="1266" ht="15.75" customHeight="1">
      <c r="A1266" s="1">
        <v>5439888.0</v>
      </c>
      <c r="B1266" s="1" t="s">
        <v>626</v>
      </c>
      <c r="C1266" s="1" t="s">
        <v>627</v>
      </c>
      <c r="D1266" s="1" t="s">
        <v>224</v>
      </c>
      <c r="E1266" s="1" t="s">
        <v>526</v>
      </c>
      <c r="F1266" s="1" t="s">
        <v>6717</v>
      </c>
      <c r="G1266" s="1" t="str">
        <f>IFERROR(VLOOKUP(A1266,H_C!$A$2:$G$2628,7,0),"Validar HC")</f>
        <v>Martinez, Wendy</v>
      </c>
      <c r="H1266" s="164">
        <v>1623501.0</v>
      </c>
      <c r="I1266" s="1">
        <v>42.0</v>
      </c>
    </row>
    <row r="1267" ht="15.75" customHeight="1">
      <c r="A1267" s="1">
        <v>5439893.0</v>
      </c>
      <c r="B1267" s="1" t="s">
        <v>3720</v>
      </c>
      <c r="C1267" s="1" t="s">
        <v>3721</v>
      </c>
      <c r="D1267" s="1" t="s">
        <v>224</v>
      </c>
      <c r="E1267" s="1" t="s">
        <v>485</v>
      </c>
      <c r="F1267" s="1" t="s">
        <v>6717</v>
      </c>
      <c r="G1267" s="1" t="str">
        <f>IFERROR(VLOOKUP(A1267,H_C!$A$2:$G$2628,7,0),"Validar HC")</f>
        <v>Martinez, Wendy</v>
      </c>
      <c r="H1267" s="164">
        <v>1623501.0</v>
      </c>
      <c r="I1267" s="1">
        <v>42.0</v>
      </c>
    </row>
    <row r="1268" ht="15.75" customHeight="1">
      <c r="A1268" s="1">
        <v>5439946.0</v>
      </c>
      <c r="B1268" s="1" t="s">
        <v>1806</v>
      </c>
      <c r="C1268" s="1" t="s">
        <v>1807</v>
      </c>
      <c r="D1268" s="1" t="s">
        <v>224</v>
      </c>
      <c r="E1268" s="1" t="s">
        <v>835</v>
      </c>
      <c r="F1268" s="1" t="s">
        <v>6717</v>
      </c>
      <c r="G1268" s="1" t="str">
        <f>IFERROR(VLOOKUP(A1268,H_C!$A$2:$G$2628,7,0),"Validar HC")</f>
        <v>Martinez, Wendy</v>
      </c>
      <c r="H1268" s="164">
        <v>1623501.0</v>
      </c>
      <c r="I1268" s="1">
        <v>42.0</v>
      </c>
    </row>
    <row r="1269" ht="15.75" customHeight="1">
      <c r="A1269" s="1">
        <v>5439879.0</v>
      </c>
      <c r="B1269" s="1" t="s">
        <v>64</v>
      </c>
      <c r="C1269" s="1" t="s">
        <v>2528</v>
      </c>
      <c r="D1269" s="1" t="s">
        <v>224</v>
      </c>
      <c r="E1269" s="1" t="s">
        <v>13</v>
      </c>
      <c r="F1269" s="1" t="s">
        <v>6717</v>
      </c>
      <c r="G1269" s="1" t="str">
        <f>IFERROR(VLOOKUP(A1269,H_C!$A$2:$G$2628,7,0),"Validar HC")</f>
        <v>Ospina, Michel</v>
      </c>
      <c r="H1269" s="162">
        <v>1600000.0</v>
      </c>
      <c r="I1269" s="1">
        <v>42.0</v>
      </c>
    </row>
    <row r="1270" ht="15.75" customHeight="1">
      <c r="A1270" s="1">
        <v>5439976.0</v>
      </c>
      <c r="B1270" s="1" t="s">
        <v>4180</v>
      </c>
      <c r="C1270" s="1" t="s">
        <v>4181</v>
      </c>
      <c r="D1270" s="1" t="s">
        <v>224</v>
      </c>
      <c r="E1270" s="1" t="s">
        <v>526</v>
      </c>
      <c r="F1270" s="1" t="s">
        <v>6717</v>
      </c>
      <c r="G1270" s="1" t="str">
        <f>IFERROR(VLOOKUP(A1270,H_C!$A$2:$G$2628,7,0),"Validar HC")</f>
        <v>Martinez, Wendy</v>
      </c>
      <c r="H1270" s="164">
        <v>1623501.0</v>
      </c>
      <c r="I1270" s="1">
        <v>42.0</v>
      </c>
    </row>
    <row r="1271" ht="15.75" customHeight="1">
      <c r="A1271" s="1">
        <v>5439982.0</v>
      </c>
      <c r="B1271" s="1" t="s">
        <v>4182</v>
      </c>
      <c r="C1271" s="1" t="s">
        <v>4183</v>
      </c>
      <c r="D1271" s="1" t="s">
        <v>224</v>
      </c>
      <c r="E1271" s="1" t="s">
        <v>2069</v>
      </c>
      <c r="F1271" s="1" t="s">
        <v>6717</v>
      </c>
      <c r="G1271" s="1" t="str">
        <f>IFERROR(VLOOKUP(A1271,H_C!$A$2:$G$2628,7,0),"Validar HC")</f>
        <v>Garatejo, Natalia</v>
      </c>
      <c r="H1271" s="164">
        <v>1623501.0</v>
      </c>
      <c r="I1271" s="1">
        <v>42.0</v>
      </c>
    </row>
    <row r="1272" ht="15.75" customHeight="1">
      <c r="A1272" s="1">
        <v>5440068.0</v>
      </c>
      <c r="B1272" s="1" t="s">
        <v>343</v>
      </c>
      <c r="C1272" s="1" t="s">
        <v>344</v>
      </c>
      <c r="D1272" s="1" t="s">
        <v>224</v>
      </c>
      <c r="E1272" s="1" t="s">
        <v>329</v>
      </c>
      <c r="F1272" s="1" t="s">
        <v>6717</v>
      </c>
      <c r="G1272" s="1" t="str">
        <f>IFERROR(VLOOKUP(A1272,H_C!$A$2:$G$2628,7,0),"Validar HC")</f>
        <v>Garatejo, Natalia</v>
      </c>
      <c r="H1272" s="164">
        <v>1623501.0</v>
      </c>
      <c r="I1272" s="1">
        <v>42.0</v>
      </c>
    </row>
    <row r="1273" ht="15.75" customHeight="1">
      <c r="A1273" s="1">
        <v>5440074.0</v>
      </c>
      <c r="B1273" s="1" t="s">
        <v>4184</v>
      </c>
      <c r="C1273" s="1" t="s">
        <v>4185</v>
      </c>
      <c r="D1273" s="1" t="s">
        <v>224</v>
      </c>
      <c r="E1273" s="1" t="s">
        <v>835</v>
      </c>
      <c r="F1273" s="1" t="s">
        <v>6717</v>
      </c>
      <c r="G1273" s="1" t="str">
        <f>IFERROR(VLOOKUP(A1273,H_C!$A$2:$G$2628,7,0),"Validar HC")</f>
        <v>Martinez, Wendy</v>
      </c>
      <c r="H1273" s="164">
        <v>1623501.0</v>
      </c>
      <c r="I1273" s="1">
        <v>42.0</v>
      </c>
    </row>
    <row r="1274" ht="15.75" customHeight="1">
      <c r="A1274" s="1">
        <v>5442044.0</v>
      </c>
      <c r="B1274" s="1" t="s">
        <v>3338</v>
      </c>
      <c r="C1274" s="1" t="s">
        <v>3339</v>
      </c>
      <c r="D1274" s="1" t="s">
        <v>224</v>
      </c>
      <c r="E1274" s="1" t="s">
        <v>2372</v>
      </c>
      <c r="F1274" s="1" t="s">
        <v>6717</v>
      </c>
      <c r="G1274" s="1" t="str">
        <f>IFERROR(VLOOKUP(A1274,H_C!$A$2:$G$2628,7,0),"Validar HC")</f>
        <v>Garcia, Helmer</v>
      </c>
      <c r="H1274" s="164">
        <v>1623501.0</v>
      </c>
      <c r="I1274" s="1">
        <v>42.0</v>
      </c>
    </row>
    <row r="1275" ht="15.75" customHeight="1">
      <c r="A1275" s="1">
        <v>5442164.0</v>
      </c>
      <c r="B1275" s="1" t="s">
        <v>3797</v>
      </c>
      <c r="C1275" s="1" t="s">
        <v>3798</v>
      </c>
      <c r="D1275" s="1" t="s">
        <v>224</v>
      </c>
      <c r="E1275" s="1" t="s">
        <v>491</v>
      </c>
      <c r="F1275" s="1" t="s">
        <v>6717</v>
      </c>
      <c r="G1275" s="1" t="str">
        <f>IFERROR(VLOOKUP(A1275,H_C!$A$2:$G$2628,7,0),"Validar HC")</f>
        <v>Soler, Maria</v>
      </c>
      <c r="H1275" s="164">
        <v>1623501.0</v>
      </c>
      <c r="I1275" s="1">
        <v>42.0</v>
      </c>
    </row>
    <row r="1276" ht="15.75" customHeight="1">
      <c r="A1276" s="1">
        <v>5442754.0</v>
      </c>
      <c r="B1276" s="1" t="s">
        <v>4186</v>
      </c>
      <c r="C1276" s="1" t="s">
        <v>4187</v>
      </c>
      <c r="D1276" s="1" t="s">
        <v>224</v>
      </c>
      <c r="E1276" s="1" t="s">
        <v>676</v>
      </c>
      <c r="F1276" s="1" t="s">
        <v>6717</v>
      </c>
      <c r="G1276" s="1" t="str">
        <f>IFERROR(VLOOKUP(A1276,H_C!$A$2:$G$2628,7,0),"Validar HC")</f>
        <v>Garatejo, Natalia</v>
      </c>
      <c r="H1276" s="164">
        <v>1623501.0</v>
      </c>
      <c r="I1276" s="1">
        <v>42.0</v>
      </c>
    </row>
    <row r="1277" ht="15.75" customHeight="1">
      <c r="A1277" s="1">
        <v>5442759.0</v>
      </c>
      <c r="B1277" s="1" t="s">
        <v>3097</v>
      </c>
      <c r="C1277" s="1" t="s">
        <v>3098</v>
      </c>
      <c r="D1277" s="1" t="s">
        <v>224</v>
      </c>
      <c r="E1277" s="1" t="s">
        <v>329</v>
      </c>
      <c r="F1277" s="1" t="s">
        <v>6717</v>
      </c>
      <c r="G1277" s="1" t="str">
        <f>IFERROR(VLOOKUP(A1277,H_C!$A$2:$G$2628,7,0),"Validar HC")</f>
        <v>Garatejo, Natalia</v>
      </c>
      <c r="H1277" s="164">
        <v>1623501.0</v>
      </c>
      <c r="I1277" s="1">
        <v>42.0</v>
      </c>
    </row>
    <row r="1278" ht="15.75" customHeight="1">
      <c r="A1278" s="1">
        <v>5442779.0</v>
      </c>
      <c r="B1278" s="1" t="s">
        <v>383</v>
      </c>
      <c r="C1278" s="1" t="s">
        <v>384</v>
      </c>
      <c r="D1278" s="1" t="s">
        <v>224</v>
      </c>
      <c r="E1278" s="1" t="s">
        <v>329</v>
      </c>
      <c r="F1278" s="1" t="s">
        <v>6717</v>
      </c>
      <c r="G1278" s="1" t="str">
        <f>IFERROR(VLOOKUP(A1278,H_C!$A$2:$G$2628,7,0),"Validar HC")</f>
        <v>Garatejo, Natalia</v>
      </c>
      <c r="H1278" s="164">
        <v>1623501.0</v>
      </c>
      <c r="I1278" s="1">
        <v>42.0</v>
      </c>
    </row>
    <row r="1279" ht="15.75" customHeight="1">
      <c r="A1279" s="1">
        <v>5444014.0</v>
      </c>
      <c r="B1279" s="1" t="s">
        <v>3360</v>
      </c>
      <c r="C1279" s="1" t="s">
        <v>3361</v>
      </c>
      <c r="D1279" s="1" t="s">
        <v>224</v>
      </c>
      <c r="E1279" s="1" t="s">
        <v>907</v>
      </c>
      <c r="F1279" s="1" t="s">
        <v>6717</v>
      </c>
      <c r="G1279" s="1" t="str">
        <f>IFERROR(VLOOKUP(A1279,H_C!$A$2:$G$2628,7,0),"Validar HC")</f>
        <v>Gonzalez, Cristian</v>
      </c>
      <c r="H1279" s="164">
        <v>1623501.0</v>
      </c>
      <c r="I1279" s="1">
        <v>42.0</v>
      </c>
    </row>
    <row r="1280" ht="15.75" customHeight="1">
      <c r="A1280" s="1">
        <v>5444235.0</v>
      </c>
      <c r="B1280" s="1" t="s">
        <v>2203</v>
      </c>
      <c r="C1280" s="1" t="s">
        <v>2204</v>
      </c>
      <c r="D1280" s="1" t="s">
        <v>224</v>
      </c>
      <c r="E1280" s="1" t="s">
        <v>813</v>
      </c>
      <c r="F1280" s="1" t="s">
        <v>6717</v>
      </c>
      <c r="G1280" s="1" t="str">
        <f>IFERROR(VLOOKUP(A1280,H_C!$A$2:$G$2628,7,0),"Validar HC")</f>
        <v>Garatejo, Natalia</v>
      </c>
      <c r="H1280" s="164">
        <v>1623501.0</v>
      </c>
      <c r="I1280" s="1">
        <v>42.0</v>
      </c>
    </row>
    <row r="1281" ht="15.75" customHeight="1">
      <c r="A1281" s="1">
        <v>5444246.0</v>
      </c>
      <c r="B1281" s="1" t="s">
        <v>351</v>
      </c>
      <c r="C1281" s="1" t="s">
        <v>352</v>
      </c>
      <c r="D1281" s="1" t="s">
        <v>224</v>
      </c>
      <c r="E1281" s="1" t="s">
        <v>329</v>
      </c>
      <c r="F1281" s="1" t="s">
        <v>6717</v>
      </c>
      <c r="G1281" s="1" t="str">
        <f>IFERROR(VLOOKUP(A1281,H_C!$A$2:$G$2628,7,0),"Validar HC")</f>
        <v>Garatejo, Natalia</v>
      </c>
      <c r="H1281" s="164">
        <v>1623501.0</v>
      </c>
      <c r="I1281" s="1">
        <v>42.0</v>
      </c>
    </row>
    <row r="1282" ht="15.75" customHeight="1">
      <c r="A1282" s="1">
        <v>5444254.0</v>
      </c>
      <c r="B1282" s="1" t="s">
        <v>4196</v>
      </c>
      <c r="C1282" s="1" t="s">
        <v>4197</v>
      </c>
      <c r="D1282" s="1" t="s">
        <v>224</v>
      </c>
      <c r="E1282" s="1" t="s">
        <v>316</v>
      </c>
      <c r="F1282" s="1" t="s">
        <v>6717</v>
      </c>
      <c r="G1282" s="1" t="str">
        <f>IFERROR(VLOOKUP(A1282,H_C!$A$2:$G$2628,7,0),"Validar HC")</f>
        <v>Osorio, Julian</v>
      </c>
      <c r="H1282" s="164">
        <v>1623501.0</v>
      </c>
      <c r="I1282" s="1">
        <v>42.0</v>
      </c>
    </row>
    <row r="1283" ht="15.75" customHeight="1">
      <c r="A1283" s="1">
        <v>5447482.0</v>
      </c>
      <c r="B1283" s="1" t="s">
        <v>3131</v>
      </c>
      <c r="C1283" s="1" t="s">
        <v>3132</v>
      </c>
      <c r="D1283" s="1" t="s">
        <v>224</v>
      </c>
      <c r="E1283" s="1" t="s">
        <v>412</v>
      </c>
      <c r="F1283" s="1" t="s">
        <v>6717</v>
      </c>
      <c r="G1283" s="1" t="str">
        <f>IFERROR(VLOOKUP(A1283,H_C!$A$2:$G$2628,7,0),"Validar HC")</f>
        <v>Ospina, Michel</v>
      </c>
      <c r="H1283" s="164">
        <v>1623501.0</v>
      </c>
      <c r="I1283" s="1">
        <v>42.0</v>
      </c>
    </row>
    <row r="1284" ht="15.75" customHeight="1">
      <c r="A1284" s="1">
        <v>5447486.0</v>
      </c>
      <c r="B1284" s="1" t="s">
        <v>1962</v>
      </c>
      <c r="C1284" s="1" t="s">
        <v>1963</v>
      </c>
      <c r="D1284" s="1" t="s">
        <v>224</v>
      </c>
      <c r="E1284" s="1" t="s">
        <v>1363</v>
      </c>
      <c r="F1284" s="1" t="s">
        <v>6717</v>
      </c>
      <c r="G1284" s="1" t="str">
        <f>IFERROR(VLOOKUP(A1284,H_C!$A$2:$G$2628,7,0),"Validar HC")</f>
        <v>Osorio, Julian</v>
      </c>
      <c r="H1284" s="164">
        <v>1623501.0</v>
      </c>
      <c r="I1284" s="1">
        <v>42.0</v>
      </c>
    </row>
    <row r="1285" ht="15.75" customHeight="1">
      <c r="A1285" s="1">
        <v>5449359.0</v>
      </c>
      <c r="B1285" s="1" t="s">
        <v>4198</v>
      </c>
      <c r="C1285" s="1" t="s">
        <v>4199</v>
      </c>
      <c r="D1285" s="1" t="s">
        <v>224</v>
      </c>
      <c r="E1285" s="1" t="s">
        <v>1791</v>
      </c>
      <c r="F1285" s="1" t="s">
        <v>6717</v>
      </c>
      <c r="G1285" s="1" t="str">
        <f>IFERROR(VLOOKUP(A1285,H_C!$A$2:$G$2628,7,0),"Validar HC")</f>
        <v>Garcia, Helmer</v>
      </c>
      <c r="H1285" s="164">
        <v>1623501.0</v>
      </c>
      <c r="I1285" s="1">
        <v>42.0</v>
      </c>
    </row>
    <row r="1286" ht="15.75" customHeight="1">
      <c r="A1286" s="1">
        <v>5450584.0</v>
      </c>
      <c r="B1286" s="1" t="s">
        <v>4200</v>
      </c>
      <c r="C1286" s="1" t="s">
        <v>4201</v>
      </c>
      <c r="D1286" s="1" t="s">
        <v>224</v>
      </c>
      <c r="E1286" s="1" t="s">
        <v>1791</v>
      </c>
      <c r="F1286" s="1" t="s">
        <v>6717</v>
      </c>
      <c r="G1286" s="1" t="str">
        <f>IFERROR(VLOOKUP(A1286,H_C!$A$2:$G$2628,7,0),"Validar HC")</f>
        <v>Garcia, Helmer</v>
      </c>
      <c r="H1286" s="164">
        <v>1623501.0</v>
      </c>
      <c r="I1286" s="1">
        <v>42.0</v>
      </c>
    </row>
    <row r="1287" ht="15.75" customHeight="1">
      <c r="A1287" s="1">
        <v>5456552.0</v>
      </c>
      <c r="B1287" s="1" t="s">
        <v>4204</v>
      </c>
      <c r="C1287" s="1" t="s">
        <v>4205</v>
      </c>
      <c r="D1287" s="1" t="s">
        <v>224</v>
      </c>
      <c r="E1287" s="1" t="s">
        <v>121</v>
      </c>
      <c r="F1287" s="1" t="s">
        <v>6717</v>
      </c>
      <c r="G1287" s="1" t="str">
        <f>IFERROR(VLOOKUP(A1287,H_C!$A$2:$G$2628,7,0),"Validar HC")</f>
        <v>Ospina, Michel</v>
      </c>
      <c r="H1287" s="164">
        <v>1623501.0</v>
      </c>
      <c r="I1287" s="1">
        <v>42.0</v>
      </c>
    </row>
    <row r="1288" ht="15.75" customHeight="1">
      <c r="A1288" s="1">
        <v>5458860.0</v>
      </c>
      <c r="B1288" s="1" t="s">
        <v>4208</v>
      </c>
      <c r="C1288" s="1" t="s">
        <v>4209</v>
      </c>
      <c r="D1288" s="1" t="s">
        <v>224</v>
      </c>
      <c r="E1288" s="1" t="s">
        <v>120</v>
      </c>
      <c r="F1288" s="1" t="s">
        <v>6717</v>
      </c>
      <c r="G1288" s="1" t="str">
        <f>IFERROR(VLOOKUP(A1288,H_C!$A$2:$G$2628,7,0),"Validar HC")</f>
        <v>Ospina, Michel</v>
      </c>
      <c r="H1288" s="164">
        <v>1623501.0</v>
      </c>
      <c r="I1288" s="1">
        <v>42.0</v>
      </c>
    </row>
    <row r="1289" ht="15.75" customHeight="1">
      <c r="A1289" s="1">
        <v>5461085.0</v>
      </c>
      <c r="B1289" s="1" t="s">
        <v>4210</v>
      </c>
      <c r="C1289" s="1" t="s">
        <v>4211</v>
      </c>
      <c r="D1289" s="1" t="s">
        <v>224</v>
      </c>
      <c r="E1289" s="1" t="s">
        <v>121</v>
      </c>
      <c r="F1289" s="1" t="s">
        <v>6717</v>
      </c>
      <c r="G1289" s="1" t="str">
        <f>IFERROR(VLOOKUP(A1289,H_C!$A$2:$G$2628,7,0),"Validar HC")</f>
        <v>Ospina, Michel</v>
      </c>
      <c r="H1289" s="164">
        <v>1623501.0</v>
      </c>
      <c r="I1289" s="1">
        <v>42.0</v>
      </c>
    </row>
    <row r="1290" ht="15.75" customHeight="1">
      <c r="A1290" s="1">
        <v>5461849.0</v>
      </c>
      <c r="B1290" s="1" t="s">
        <v>3298</v>
      </c>
      <c r="C1290" s="1" t="s">
        <v>3299</v>
      </c>
      <c r="D1290" s="1" t="s">
        <v>224</v>
      </c>
      <c r="E1290" s="1" t="s">
        <v>425</v>
      </c>
      <c r="F1290" s="1" t="s">
        <v>6717</v>
      </c>
      <c r="G1290" s="1" t="str">
        <f>IFERROR(VLOOKUP(A1290,H_C!$A$2:$G$2628,7,0),"Validar HC")</f>
        <v>Ospina, Michel</v>
      </c>
      <c r="H1290" s="164">
        <v>1623501.0</v>
      </c>
      <c r="I1290" s="1">
        <v>42.0</v>
      </c>
    </row>
    <row r="1291" ht="15.75" customHeight="1">
      <c r="A1291" s="1">
        <v>5462962.0</v>
      </c>
      <c r="B1291" s="1" t="s">
        <v>4214</v>
      </c>
      <c r="C1291" s="1" t="s">
        <v>4215</v>
      </c>
      <c r="D1291" s="1" t="s">
        <v>224</v>
      </c>
      <c r="E1291" s="1" t="s">
        <v>121</v>
      </c>
      <c r="F1291" s="1" t="s">
        <v>6717</v>
      </c>
      <c r="G1291" s="1" t="str">
        <f>IFERROR(VLOOKUP(A1291,H_C!$A$2:$G$2628,7,0),"Validar HC")</f>
        <v>Ospina, Michel</v>
      </c>
      <c r="H1291" s="164">
        <v>1623501.0</v>
      </c>
      <c r="I1291" s="1">
        <v>42.0</v>
      </c>
    </row>
    <row r="1292" ht="15.75" customHeight="1">
      <c r="A1292" s="1">
        <v>5463782.0</v>
      </c>
      <c r="B1292" s="1" t="s">
        <v>4216</v>
      </c>
      <c r="C1292" s="1" t="s">
        <v>4217</v>
      </c>
      <c r="D1292" s="1" t="s">
        <v>224</v>
      </c>
      <c r="E1292" s="1" t="s">
        <v>232</v>
      </c>
      <c r="F1292" s="1" t="s">
        <v>6717</v>
      </c>
      <c r="G1292" s="1" t="str">
        <f>IFERROR(VLOOKUP(A1292,H_C!$A$2:$G$2628,7,0),"Validar HC")</f>
        <v>Soler, Maria</v>
      </c>
      <c r="H1292" s="164">
        <v>1623501.0</v>
      </c>
      <c r="I1292" s="1">
        <v>42.0</v>
      </c>
    </row>
    <row r="1293" ht="15.75" customHeight="1">
      <c r="A1293" s="1">
        <v>5468416.0</v>
      </c>
      <c r="B1293" s="1" t="s">
        <v>972</v>
      </c>
      <c r="C1293" s="1" t="s">
        <v>973</v>
      </c>
      <c r="D1293" s="1" t="s">
        <v>224</v>
      </c>
      <c r="E1293" s="1" t="s">
        <v>441</v>
      </c>
      <c r="F1293" s="1" t="s">
        <v>6717</v>
      </c>
      <c r="G1293" s="1" t="str">
        <f>IFERROR(VLOOKUP(A1293,H_C!$A$2:$G$2628,7,0),"Validar HC")</f>
        <v>Gonzalez, Cristian</v>
      </c>
      <c r="H1293" s="164">
        <v>1623501.0</v>
      </c>
      <c r="I1293" s="1">
        <v>42.0</v>
      </c>
    </row>
    <row r="1294" ht="15.75" customHeight="1">
      <c r="A1294" s="1">
        <v>5471389.0</v>
      </c>
      <c r="B1294" s="1" t="s">
        <v>3396</v>
      </c>
      <c r="C1294" s="1" t="s">
        <v>3397</v>
      </c>
      <c r="D1294" s="1" t="s">
        <v>224</v>
      </c>
      <c r="E1294" s="1" t="s">
        <v>1348</v>
      </c>
      <c r="F1294" s="1" t="s">
        <v>6717</v>
      </c>
      <c r="G1294" s="1" t="str">
        <f>IFERROR(VLOOKUP(A1294,H_C!$A$2:$G$2628,7,0),"Validar HC")</f>
        <v>Celi, Juan</v>
      </c>
      <c r="H1294" s="164">
        <v>1623501.0</v>
      </c>
      <c r="I1294" s="1">
        <v>42.0</v>
      </c>
    </row>
    <row r="1295" ht="15.75" customHeight="1">
      <c r="A1295" s="1">
        <v>5471391.0</v>
      </c>
      <c r="B1295" s="1" t="s">
        <v>2162</v>
      </c>
      <c r="C1295" s="1" t="s">
        <v>2163</v>
      </c>
      <c r="D1295" s="1" t="s">
        <v>224</v>
      </c>
      <c r="E1295" s="1" t="s">
        <v>246</v>
      </c>
      <c r="F1295" s="1" t="s">
        <v>6717</v>
      </c>
      <c r="G1295" s="1" t="str">
        <f>IFERROR(VLOOKUP(A1295,H_C!$A$2:$G$2628,7,0),"Validar HC")</f>
        <v>Garcia, Helmer</v>
      </c>
      <c r="H1295" s="164">
        <v>1623501.0</v>
      </c>
      <c r="I1295" s="1">
        <v>42.0</v>
      </c>
    </row>
    <row r="1296" ht="15.75" customHeight="1">
      <c r="A1296" s="1">
        <v>5471392.0</v>
      </c>
      <c r="B1296" s="1" t="s">
        <v>1794</v>
      </c>
      <c r="C1296" s="1" t="s">
        <v>1795</v>
      </c>
      <c r="D1296" s="1" t="s">
        <v>224</v>
      </c>
      <c r="E1296" s="1" t="s">
        <v>835</v>
      </c>
      <c r="F1296" s="1" t="s">
        <v>6717</v>
      </c>
      <c r="G1296" s="1" t="str">
        <f>IFERROR(VLOOKUP(A1296,H_C!$A$2:$G$2628,7,0),"Validar HC")</f>
        <v>Martinez, Wendy</v>
      </c>
      <c r="H1296" s="164">
        <v>1623501.0</v>
      </c>
      <c r="I1296" s="1">
        <v>42.0</v>
      </c>
    </row>
    <row r="1297" ht="15.75" customHeight="1">
      <c r="A1297" s="1">
        <v>5471395.0</v>
      </c>
      <c r="B1297" s="1" t="s">
        <v>3421</v>
      </c>
      <c r="C1297" s="1" t="s">
        <v>3422</v>
      </c>
      <c r="D1297" s="1" t="s">
        <v>224</v>
      </c>
      <c r="E1297" s="1" t="s">
        <v>1143</v>
      </c>
      <c r="F1297" s="1" t="s">
        <v>6717</v>
      </c>
      <c r="G1297" s="1" t="str">
        <f>IFERROR(VLOOKUP(A1297,H_C!$A$2:$G$2628,7,0),"Validar HC")</f>
        <v>Celi, Juan</v>
      </c>
      <c r="H1297" s="164">
        <v>1623501.0</v>
      </c>
      <c r="I1297" s="1">
        <v>42.0</v>
      </c>
    </row>
    <row r="1298" ht="15.75" customHeight="1">
      <c r="A1298" s="1">
        <v>5471399.0</v>
      </c>
      <c r="B1298" s="1" t="s">
        <v>4228</v>
      </c>
      <c r="C1298" s="1" t="s">
        <v>4229</v>
      </c>
      <c r="D1298" s="1" t="s">
        <v>224</v>
      </c>
      <c r="E1298" s="1" t="s">
        <v>1932</v>
      </c>
      <c r="F1298" s="1" t="s">
        <v>6717</v>
      </c>
      <c r="G1298" s="1" t="str">
        <f>IFERROR(VLOOKUP(A1298,H_C!$A$2:$G$2628,7,0),"Validar HC")</f>
        <v>Garatejo, Natalia</v>
      </c>
      <c r="H1298" s="164">
        <v>1623501.0</v>
      </c>
      <c r="I1298" s="1">
        <v>42.0</v>
      </c>
    </row>
    <row r="1299" ht="15.75" customHeight="1">
      <c r="A1299" s="1">
        <v>5471400.0</v>
      </c>
      <c r="B1299" s="1" t="s">
        <v>4232</v>
      </c>
      <c r="C1299" s="1" t="s">
        <v>4233</v>
      </c>
      <c r="D1299" s="1" t="s">
        <v>224</v>
      </c>
      <c r="E1299" s="1" t="s">
        <v>1143</v>
      </c>
      <c r="F1299" s="1" t="s">
        <v>6717</v>
      </c>
      <c r="G1299" s="1" t="str">
        <f>IFERROR(VLOOKUP(A1299,H_C!$A$2:$G$2628,7,0),"Validar HC")</f>
        <v>Celi, Juan</v>
      </c>
      <c r="H1299" s="164">
        <v>1623501.0</v>
      </c>
      <c r="I1299" s="1">
        <v>42.0</v>
      </c>
    </row>
    <row r="1300" ht="15.75" customHeight="1">
      <c r="A1300" s="1">
        <v>5471401.0</v>
      </c>
      <c r="B1300" s="1" t="s">
        <v>3429</v>
      </c>
      <c r="C1300" s="1" t="s">
        <v>3430</v>
      </c>
      <c r="D1300" s="1" t="s">
        <v>224</v>
      </c>
      <c r="E1300" s="1" t="s">
        <v>1143</v>
      </c>
      <c r="F1300" s="1" t="s">
        <v>6717</v>
      </c>
      <c r="G1300" s="1" t="str">
        <f>IFERROR(VLOOKUP(A1300,H_C!$A$2:$G$2628,7,0),"Validar HC")</f>
        <v>Celi, Juan</v>
      </c>
      <c r="H1300" s="164">
        <v>1623501.0</v>
      </c>
      <c r="I1300" s="1">
        <v>42.0</v>
      </c>
    </row>
    <row r="1301" ht="15.75" customHeight="1">
      <c r="A1301" s="1">
        <v>5473708.0</v>
      </c>
      <c r="B1301" s="1" t="s">
        <v>4236</v>
      </c>
      <c r="C1301" s="1" t="s">
        <v>4237</v>
      </c>
      <c r="D1301" s="1" t="s">
        <v>224</v>
      </c>
      <c r="E1301" s="1" t="s">
        <v>835</v>
      </c>
      <c r="F1301" s="1" t="s">
        <v>6717</v>
      </c>
      <c r="G1301" s="1" t="str">
        <f>IFERROR(VLOOKUP(A1301,H_C!$A$2:$G$2628,7,0),"Validar HC")</f>
        <v>Martinez, Wendy</v>
      </c>
      <c r="H1301" s="164">
        <v>1623501.0</v>
      </c>
      <c r="I1301" s="1">
        <v>42.0</v>
      </c>
    </row>
    <row r="1302" ht="15.75" customHeight="1">
      <c r="A1302" s="1">
        <v>5475649.0</v>
      </c>
      <c r="B1302" s="1" t="s">
        <v>1241</v>
      </c>
      <c r="C1302" s="1" t="s">
        <v>1242</v>
      </c>
      <c r="D1302" s="1" t="s">
        <v>224</v>
      </c>
      <c r="E1302" s="1" t="s">
        <v>994</v>
      </c>
      <c r="F1302" s="1" t="s">
        <v>6717</v>
      </c>
      <c r="G1302" s="1" t="str">
        <f>IFERROR(VLOOKUP(A1302,H_C!$A$2:$G$2628,7,0),"Validar HC")</f>
        <v>Gonzalez, Cristian</v>
      </c>
      <c r="H1302" s="164">
        <v>1623501.0</v>
      </c>
      <c r="I1302" s="1">
        <v>42.0</v>
      </c>
    </row>
    <row r="1303" ht="15.75" customHeight="1">
      <c r="A1303" s="1">
        <v>5475728.0</v>
      </c>
      <c r="B1303" s="1" t="s">
        <v>4240</v>
      </c>
      <c r="C1303" s="1" t="s">
        <v>4241</v>
      </c>
      <c r="D1303" s="1" t="s">
        <v>224</v>
      </c>
      <c r="E1303" s="1" t="s">
        <v>316</v>
      </c>
      <c r="F1303" s="1" t="s">
        <v>6717</v>
      </c>
      <c r="G1303" s="1" t="str">
        <f>IFERROR(VLOOKUP(A1303,H_C!$A$2:$G$2628,7,0),"Validar HC")</f>
        <v>Osorio, Julian</v>
      </c>
      <c r="H1303" s="164">
        <v>1623501.0</v>
      </c>
      <c r="I1303" s="1">
        <v>42.0</v>
      </c>
    </row>
    <row r="1304" ht="15.75" customHeight="1">
      <c r="A1304" s="1">
        <v>5475773.0</v>
      </c>
      <c r="B1304" s="1" t="s">
        <v>3376</v>
      </c>
      <c r="C1304" s="1" t="s">
        <v>3377</v>
      </c>
      <c r="D1304" s="1" t="s">
        <v>224</v>
      </c>
      <c r="E1304" s="1" t="s">
        <v>441</v>
      </c>
      <c r="F1304" s="1" t="s">
        <v>6717</v>
      </c>
      <c r="G1304" s="1" t="str">
        <f>IFERROR(VLOOKUP(A1304,H_C!$A$2:$G$2628,7,0),"Validar HC")</f>
        <v>Gonzalez, Cristian</v>
      </c>
      <c r="H1304" s="164">
        <v>1623501.0</v>
      </c>
      <c r="I1304" s="1">
        <v>42.0</v>
      </c>
    </row>
    <row r="1305" ht="15.75" customHeight="1">
      <c r="A1305" s="1">
        <v>5478165.0</v>
      </c>
      <c r="B1305" s="1" t="s">
        <v>4242</v>
      </c>
      <c r="C1305" s="1" t="s">
        <v>4243</v>
      </c>
      <c r="D1305" s="1" t="s">
        <v>224</v>
      </c>
      <c r="E1305" s="1" t="s">
        <v>738</v>
      </c>
      <c r="F1305" s="1" t="s">
        <v>6717</v>
      </c>
      <c r="G1305" s="1" t="str">
        <f>IFERROR(VLOOKUP(A1305,H_C!$A$2:$G$2628,7,0),"Validar HC")</f>
        <v>Garcia, Helmer</v>
      </c>
      <c r="H1305" s="164">
        <v>1623501.0</v>
      </c>
      <c r="I1305" s="1">
        <v>42.0</v>
      </c>
    </row>
    <row r="1306" ht="15.75" customHeight="1">
      <c r="A1306" s="1">
        <v>5479613.0</v>
      </c>
      <c r="B1306" s="1" t="s">
        <v>4244</v>
      </c>
      <c r="C1306" s="1" t="s">
        <v>4245</v>
      </c>
      <c r="D1306" s="1" t="s">
        <v>224</v>
      </c>
      <c r="E1306" s="1" t="s">
        <v>374</v>
      </c>
      <c r="F1306" s="1" t="s">
        <v>6717</v>
      </c>
      <c r="G1306" s="1" t="str">
        <f>IFERROR(VLOOKUP(A1306,H_C!$A$2:$G$2628,7,0),"Validar HC")</f>
        <v>Martinez, Wendy</v>
      </c>
      <c r="H1306" s="164">
        <v>1623501.0</v>
      </c>
      <c r="I1306" s="1">
        <v>42.0</v>
      </c>
    </row>
    <row r="1307" ht="15.75" customHeight="1">
      <c r="A1307" s="1">
        <v>5479615.0</v>
      </c>
      <c r="B1307" s="1" t="s">
        <v>4248</v>
      </c>
      <c r="C1307" s="1" t="s">
        <v>4249</v>
      </c>
      <c r="D1307" s="1" t="s">
        <v>224</v>
      </c>
      <c r="E1307" s="1" t="s">
        <v>289</v>
      </c>
      <c r="F1307" s="1" t="s">
        <v>6717</v>
      </c>
      <c r="G1307" s="1" t="str">
        <f>IFERROR(VLOOKUP(A1307,H_C!$A$2:$G$2628,7,0),"Validar HC")</f>
        <v>Celi, Juan</v>
      </c>
      <c r="H1307" s="164">
        <v>1623501.0</v>
      </c>
      <c r="I1307" s="1">
        <v>42.0</v>
      </c>
    </row>
    <row r="1308" ht="15.75" customHeight="1">
      <c r="A1308" s="1">
        <v>5480700.0</v>
      </c>
      <c r="B1308" s="1" t="s">
        <v>865</v>
      </c>
      <c r="C1308" s="1" t="s">
        <v>866</v>
      </c>
      <c r="D1308" s="1" t="s">
        <v>224</v>
      </c>
      <c r="E1308" s="1" t="s">
        <v>246</v>
      </c>
      <c r="F1308" s="1" t="s">
        <v>6717</v>
      </c>
      <c r="G1308" s="1" t="str">
        <f>IFERROR(VLOOKUP(A1308,H_C!$A$2:$G$2628,7,0),"Validar HC")</f>
        <v>Garcia, Helmer</v>
      </c>
      <c r="H1308" s="164">
        <v>1623501.0</v>
      </c>
      <c r="I1308" s="1">
        <v>42.0</v>
      </c>
    </row>
    <row r="1309" ht="15.75" customHeight="1">
      <c r="A1309" s="1">
        <v>5480702.0</v>
      </c>
      <c r="B1309" s="1" t="s">
        <v>3433</v>
      </c>
      <c r="C1309" s="1" t="s">
        <v>3434</v>
      </c>
      <c r="D1309" s="1" t="s">
        <v>224</v>
      </c>
      <c r="E1309" s="1" t="s">
        <v>457</v>
      </c>
      <c r="F1309" s="1" t="s">
        <v>6717</v>
      </c>
      <c r="G1309" s="1" t="str">
        <f>IFERROR(VLOOKUP(A1309,H_C!$A$2:$G$2628,7,0),"Validar HC")</f>
        <v>Celi, Juan</v>
      </c>
      <c r="H1309" s="164">
        <v>1623501.0</v>
      </c>
      <c r="I1309" s="1">
        <v>42.0</v>
      </c>
    </row>
    <row r="1310" ht="15.75" customHeight="1">
      <c r="A1310" s="1">
        <v>5480707.0</v>
      </c>
      <c r="B1310" s="1" t="s">
        <v>4254</v>
      </c>
      <c r="C1310" s="1" t="s">
        <v>4255</v>
      </c>
      <c r="D1310" s="1" t="s">
        <v>224</v>
      </c>
      <c r="E1310" s="1" t="s">
        <v>457</v>
      </c>
      <c r="F1310" s="1" t="s">
        <v>6717</v>
      </c>
      <c r="G1310" s="1" t="str">
        <f>IFERROR(VLOOKUP(A1310,H_C!$A$2:$G$2628,7,0),"Validar HC")</f>
        <v>Celi, Juan</v>
      </c>
      <c r="H1310" s="164">
        <v>1623501.0</v>
      </c>
      <c r="I1310" s="1">
        <v>42.0</v>
      </c>
    </row>
    <row r="1311" ht="15.75" customHeight="1">
      <c r="A1311" s="1">
        <v>5480709.0</v>
      </c>
      <c r="B1311" s="1" t="s">
        <v>3408</v>
      </c>
      <c r="C1311" s="1" t="s">
        <v>3409</v>
      </c>
      <c r="D1311" s="1" t="s">
        <v>224</v>
      </c>
      <c r="E1311" s="1" t="s">
        <v>457</v>
      </c>
      <c r="F1311" s="1" t="s">
        <v>6717</v>
      </c>
      <c r="G1311" s="1" t="str">
        <f>IFERROR(VLOOKUP(A1311,H_C!$A$2:$G$2628,7,0),"Validar HC")</f>
        <v>Celi, Juan</v>
      </c>
      <c r="H1311" s="164">
        <v>1623501.0</v>
      </c>
      <c r="I1311" s="1">
        <v>42.0</v>
      </c>
    </row>
    <row r="1312" ht="15.75" customHeight="1">
      <c r="A1312" s="1">
        <v>5480843.0</v>
      </c>
      <c r="B1312" s="1" t="s">
        <v>6762</v>
      </c>
      <c r="C1312" s="1" t="s">
        <v>6763</v>
      </c>
      <c r="D1312" s="1" t="s">
        <v>224</v>
      </c>
      <c r="E1312" s="1" t="s">
        <v>441</v>
      </c>
      <c r="F1312" s="1" t="s">
        <v>6717</v>
      </c>
      <c r="G1312" s="1" t="str">
        <f>IFERROR(VLOOKUP(A1312,H_C!$A$2:$G$2628,7,0),"Validar HC")</f>
        <v>Validar HC</v>
      </c>
      <c r="H1312" s="164">
        <v>1623501.0</v>
      </c>
      <c r="I1312" s="1">
        <v>42.0</v>
      </c>
    </row>
    <row r="1313" ht="15.75" customHeight="1">
      <c r="A1313" s="1">
        <v>5481515.0</v>
      </c>
      <c r="B1313" s="1" t="s">
        <v>4258</v>
      </c>
      <c r="C1313" s="1" t="s">
        <v>4259</v>
      </c>
      <c r="D1313" s="1" t="s">
        <v>224</v>
      </c>
      <c r="E1313" s="1" t="s">
        <v>847</v>
      </c>
      <c r="F1313" s="1" t="s">
        <v>6717</v>
      </c>
      <c r="G1313" s="1" t="str">
        <f>IFERROR(VLOOKUP(A1313,H_C!$A$2:$G$2628,7,0),"Validar HC")</f>
        <v>Garatejo, Natalia</v>
      </c>
      <c r="H1313" s="164">
        <v>1623501.0</v>
      </c>
      <c r="I1313" s="1">
        <v>42.0</v>
      </c>
    </row>
    <row r="1314" ht="15.75" customHeight="1">
      <c r="A1314" s="1">
        <v>5481528.0</v>
      </c>
      <c r="B1314" s="1" t="s">
        <v>4260</v>
      </c>
      <c r="C1314" s="1" t="s">
        <v>4261</v>
      </c>
      <c r="D1314" s="1" t="s">
        <v>224</v>
      </c>
      <c r="E1314" s="1" t="s">
        <v>847</v>
      </c>
      <c r="F1314" s="1" t="s">
        <v>6717</v>
      </c>
      <c r="G1314" s="1" t="str">
        <f>IFERROR(VLOOKUP(A1314,H_C!$A$2:$G$2628,7,0),"Validar HC")</f>
        <v>Garatejo, Natalia</v>
      </c>
      <c r="H1314" s="164">
        <v>1623501.0</v>
      </c>
      <c r="I1314" s="1">
        <v>42.0</v>
      </c>
    </row>
    <row r="1315" ht="15.75" customHeight="1">
      <c r="A1315" s="1">
        <v>5481708.0</v>
      </c>
      <c r="B1315" s="1" t="s">
        <v>742</v>
      </c>
      <c r="C1315" s="1" t="s">
        <v>743</v>
      </c>
      <c r="D1315" s="1" t="s">
        <v>224</v>
      </c>
      <c r="E1315" s="1" t="s">
        <v>289</v>
      </c>
      <c r="F1315" s="1" t="s">
        <v>6717</v>
      </c>
      <c r="G1315" s="1" t="str">
        <f>IFERROR(VLOOKUP(A1315,H_C!$A$2:$G$2628,7,0),"Validar HC")</f>
        <v>Celi, Juan</v>
      </c>
      <c r="H1315" s="164">
        <v>1623501.0</v>
      </c>
      <c r="I1315" s="1">
        <v>42.0</v>
      </c>
    </row>
    <row r="1316" ht="15.75" customHeight="1">
      <c r="A1316" s="1">
        <v>5481714.0</v>
      </c>
      <c r="B1316" s="1" t="s">
        <v>4262</v>
      </c>
      <c r="C1316" s="1" t="s">
        <v>4263</v>
      </c>
      <c r="D1316" s="1" t="s">
        <v>224</v>
      </c>
      <c r="E1316" s="1" t="s">
        <v>738</v>
      </c>
      <c r="F1316" s="1" t="s">
        <v>6717</v>
      </c>
      <c r="G1316" s="1" t="str">
        <f>IFERROR(VLOOKUP(A1316,H_C!$A$2:$G$2628,7,0),"Validar HC")</f>
        <v>Garcia, Helmer</v>
      </c>
      <c r="H1316" s="164">
        <v>1623501.0</v>
      </c>
      <c r="I1316" s="1">
        <v>42.0</v>
      </c>
    </row>
    <row r="1317" ht="15.75" customHeight="1">
      <c r="A1317" s="1">
        <v>5482480.0</v>
      </c>
      <c r="B1317" s="1" t="s">
        <v>4264</v>
      </c>
      <c r="C1317" s="1" t="s">
        <v>4265</v>
      </c>
      <c r="D1317" s="1" t="s">
        <v>224</v>
      </c>
      <c r="E1317" s="1" t="s">
        <v>361</v>
      </c>
      <c r="F1317" s="1" t="s">
        <v>6717</v>
      </c>
      <c r="G1317" s="1" t="str">
        <f>IFERROR(VLOOKUP(A1317,H_C!$A$2:$G$2628,7,0),"Validar HC")</f>
        <v>Gonzalez, Cristian</v>
      </c>
      <c r="H1317" s="164">
        <v>1623501.0</v>
      </c>
      <c r="I1317" s="1">
        <v>42.0</v>
      </c>
    </row>
    <row r="1318" ht="15.75" customHeight="1">
      <c r="A1318" s="1">
        <v>5482702.0</v>
      </c>
      <c r="B1318" s="1" t="s">
        <v>1478</v>
      </c>
      <c r="C1318" s="1" t="s">
        <v>1479</v>
      </c>
      <c r="D1318" s="1" t="s">
        <v>224</v>
      </c>
      <c r="E1318" s="1" t="s">
        <v>289</v>
      </c>
      <c r="F1318" s="1" t="s">
        <v>6717</v>
      </c>
      <c r="G1318" s="1" t="str">
        <f>IFERROR(VLOOKUP(A1318,H_C!$A$2:$G$2628,7,0),"Validar HC")</f>
        <v>Celi, Juan</v>
      </c>
      <c r="H1318" s="164">
        <v>1623501.0</v>
      </c>
      <c r="I1318" s="1">
        <v>42.0</v>
      </c>
    </row>
    <row r="1319" ht="15.75" customHeight="1">
      <c r="A1319" s="1">
        <v>5482743.0</v>
      </c>
      <c r="B1319" s="1" t="s">
        <v>1496</v>
      </c>
      <c r="C1319" s="1" t="s">
        <v>1497</v>
      </c>
      <c r="D1319" s="1" t="s">
        <v>224</v>
      </c>
      <c r="E1319" s="1" t="s">
        <v>289</v>
      </c>
      <c r="F1319" s="1" t="s">
        <v>6717</v>
      </c>
      <c r="G1319" s="1" t="str">
        <f>IFERROR(VLOOKUP(A1319,H_C!$A$2:$G$2628,7,0),"Validar HC")</f>
        <v>Celi, Juan</v>
      </c>
      <c r="H1319" s="164">
        <v>1623501.0</v>
      </c>
      <c r="I1319" s="1">
        <v>42.0</v>
      </c>
    </row>
    <row r="1320" ht="15.75" customHeight="1">
      <c r="A1320" s="1">
        <v>5482829.0</v>
      </c>
      <c r="B1320" s="1" t="s">
        <v>775</v>
      </c>
      <c r="C1320" s="1" t="s">
        <v>776</v>
      </c>
      <c r="D1320" s="1" t="s">
        <v>224</v>
      </c>
      <c r="E1320" s="1" t="s">
        <v>289</v>
      </c>
      <c r="F1320" s="1" t="s">
        <v>6717</v>
      </c>
      <c r="G1320" s="1" t="str">
        <f>IFERROR(VLOOKUP(A1320,H_C!$A$2:$G$2628,7,0),"Validar HC")</f>
        <v>Celi, Juan</v>
      </c>
      <c r="H1320" s="164">
        <v>1623501.0</v>
      </c>
      <c r="I1320" s="1">
        <v>42.0</v>
      </c>
    </row>
    <row r="1321" ht="15.75" customHeight="1">
      <c r="A1321" s="1">
        <v>5483628.0</v>
      </c>
      <c r="B1321" s="1" t="s">
        <v>3890</v>
      </c>
      <c r="C1321" s="1" t="s">
        <v>3891</v>
      </c>
      <c r="D1321" s="1" t="s">
        <v>224</v>
      </c>
      <c r="E1321" s="1" t="s">
        <v>478</v>
      </c>
      <c r="F1321" s="1" t="s">
        <v>6717</v>
      </c>
      <c r="G1321" s="1" t="str">
        <f>IFERROR(VLOOKUP(A1321,H_C!$A$2:$G$2628,7,0),"Validar HC")</f>
        <v>Celi, Juan</v>
      </c>
      <c r="H1321" s="164">
        <v>1623501.0</v>
      </c>
      <c r="I1321" s="1">
        <v>42.0</v>
      </c>
    </row>
    <row r="1322" ht="15.75" customHeight="1">
      <c r="A1322" s="1">
        <v>5483681.0</v>
      </c>
      <c r="B1322" s="1" t="s">
        <v>4274</v>
      </c>
      <c r="C1322" s="1" t="s">
        <v>4275</v>
      </c>
      <c r="D1322" s="1" t="s">
        <v>224</v>
      </c>
      <c r="E1322" s="1" t="s">
        <v>478</v>
      </c>
      <c r="F1322" s="1" t="s">
        <v>6717</v>
      </c>
      <c r="G1322" s="1" t="str">
        <f>IFERROR(VLOOKUP(A1322,H_C!$A$2:$G$2628,7,0),"Validar HC")</f>
        <v>Celi, Juan</v>
      </c>
      <c r="H1322" s="164">
        <v>1623501.0</v>
      </c>
      <c r="I1322" s="1">
        <v>42.0</v>
      </c>
    </row>
    <row r="1323" ht="15.75" customHeight="1">
      <c r="A1323" s="1">
        <v>5483682.0</v>
      </c>
      <c r="B1323" s="1" t="s">
        <v>4278</v>
      </c>
      <c r="C1323" s="1" t="s">
        <v>4279</v>
      </c>
      <c r="D1323" s="1" t="s">
        <v>224</v>
      </c>
      <c r="E1323" s="1" t="s">
        <v>695</v>
      </c>
      <c r="F1323" s="1" t="s">
        <v>6717</v>
      </c>
      <c r="G1323" s="1" t="str">
        <f>IFERROR(VLOOKUP(A1323,H_C!$A$2:$G$2628,7,0),"Validar HC")</f>
        <v>Ayala, Giselle</v>
      </c>
      <c r="H1323" s="164">
        <v>1623501.0</v>
      </c>
      <c r="I1323" s="1">
        <v>42.0</v>
      </c>
    </row>
    <row r="1324" ht="15.75" customHeight="1">
      <c r="A1324" s="1">
        <v>5483686.0</v>
      </c>
      <c r="B1324" s="1" t="s">
        <v>6764</v>
      </c>
      <c r="C1324" s="1" t="s">
        <v>6765</v>
      </c>
      <c r="D1324" s="1" t="s">
        <v>224</v>
      </c>
      <c r="E1324" s="1" t="s">
        <v>316</v>
      </c>
      <c r="F1324" s="1" t="s">
        <v>6717</v>
      </c>
      <c r="G1324" s="1" t="str">
        <f>IFERROR(VLOOKUP(A1324,H_C!$A$2:$G$2628,7,0),"Validar HC")</f>
        <v>Validar HC</v>
      </c>
      <c r="H1324" s="164">
        <v>1623501.0</v>
      </c>
      <c r="I1324" s="1">
        <v>42.0</v>
      </c>
    </row>
    <row r="1325" ht="15.75" customHeight="1">
      <c r="A1325" s="1">
        <v>5483688.0</v>
      </c>
      <c r="B1325" s="1" t="s">
        <v>1498</v>
      </c>
      <c r="C1325" s="1" t="s">
        <v>1499</v>
      </c>
      <c r="D1325" s="1" t="s">
        <v>224</v>
      </c>
      <c r="E1325" s="1" t="s">
        <v>289</v>
      </c>
      <c r="F1325" s="1" t="s">
        <v>6717</v>
      </c>
      <c r="G1325" s="1" t="str">
        <f>IFERROR(VLOOKUP(A1325,H_C!$A$2:$G$2628,7,0),"Validar HC")</f>
        <v>Celi, Juan</v>
      </c>
      <c r="H1325" s="164">
        <v>1623501.0</v>
      </c>
      <c r="I1325" s="1">
        <v>42.0</v>
      </c>
    </row>
    <row r="1326" ht="15.75" customHeight="1">
      <c r="A1326" s="1">
        <v>5484161.0</v>
      </c>
      <c r="B1326" s="1" t="s">
        <v>771</v>
      </c>
      <c r="C1326" s="1" t="s">
        <v>772</v>
      </c>
      <c r="D1326" s="1" t="s">
        <v>224</v>
      </c>
      <c r="E1326" s="1" t="s">
        <v>289</v>
      </c>
      <c r="F1326" s="1" t="s">
        <v>6717</v>
      </c>
      <c r="G1326" s="1" t="str">
        <f>IFERROR(VLOOKUP(A1326,H_C!$A$2:$G$2628,7,0),"Validar HC")</f>
        <v>Celi, Juan</v>
      </c>
      <c r="H1326" s="164">
        <v>1623501.0</v>
      </c>
      <c r="I1326" s="1">
        <v>42.0</v>
      </c>
    </row>
    <row r="1327" ht="15.75" customHeight="1">
      <c r="A1327" s="1">
        <v>5484162.0</v>
      </c>
      <c r="B1327" s="1" t="s">
        <v>4284</v>
      </c>
      <c r="C1327" s="1" t="s">
        <v>4285</v>
      </c>
      <c r="D1327" s="1" t="s">
        <v>224</v>
      </c>
      <c r="E1327" s="1" t="s">
        <v>316</v>
      </c>
      <c r="F1327" s="1" t="s">
        <v>6717</v>
      </c>
      <c r="G1327" s="1" t="str">
        <f>IFERROR(VLOOKUP(A1327,H_C!$A$2:$G$2628,7,0),"Validar HC")</f>
        <v>Osorio, Julian</v>
      </c>
      <c r="H1327" s="164">
        <v>1623501.0</v>
      </c>
      <c r="I1327" s="1">
        <v>42.0</v>
      </c>
    </row>
    <row r="1328" ht="15.75" customHeight="1">
      <c r="A1328" s="1">
        <v>5486538.0</v>
      </c>
      <c r="B1328" s="1" t="s">
        <v>517</v>
      </c>
      <c r="C1328" s="1" t="s">
        <v>518</v>
      </c>
      <c r="D1328" s="1" t="s">
        <v>224</v>
      </c>
      <c r="E1328" s="1" t="s">
        <v>232</v>
      </c>
      <c r="F1328" s="1" t="s">
        <v>6717</v>
      </c>
      <c r="G1328" s="1" t="str">
        <f>IFERROR(VLOOKUP(A1328,H_C!$A$2:$G$2628,7,0),"Validar HC")</f>
        <v>Soler, Maria</v>
      </c>
      <c r="H1328" s="164">
        <v>1623501.0</v>
      </c>
      <c r="I1328" s="1">
        <v>42.0</v>
      </c>
    </row>
    <row r="1329" ht="15.75" customHeight="1">
      <c r="A1329" s="1">
        <v>5486642.0</v>
      </c>
      <c r="B1329" s="1" t="s">
        <v>4286</v>
      </c>
      <c r="C1329" s="1" t="s">
        <v>4287</v>
      </c>
      <c r="D1329" s="1" t="s">
        <v>224</v>
      </c>
      <c r="E1329" s="1" t="s">
        <v>676</v>
      </c>
      <c r="F1329" s="1" t="s">
        <v>6717</v>
      </c>
      <c r="G1329" s="1" t="str">
        <f>IFERROR(VLOOKUP(A1329,H_C!$A$2:$G$2628,7,0),"Validar HC")</f>
        <v>Garatejo, Natalia</v>
      </c>
      <c r="H1329" s="164">
        <v>1623501.0</v>
      </c>
      <c r="I1329" s="1">
        <v>42.0</v>
      </c>
    </row>
    <row r="1330" ht="15.75" customHeight="1">
      <c r="A1330" s="1">
        <v>5489044.0</v>
      </c>
      <c r="B1330" s="1" t="s">
        <v>4288</v>
      </c>
      <c r="C1330" s="1" t="s">
        <v>4289</v>
      </c>
      <c r="D1330" s="1" t="s">
        <v>224</v>
      </c>
      <c r="E1330" s="1" t="s">
        <v>485</v>
      </c>
      <c r="F1330" s="1" t="s">
        <v>6717</v>
      </c>
      <c r="G1330" s="1" t="str">
        <f>IFERROR(VLOOKUP(A1330,H_C!$A$2:$G$2628,7,0),"Validar HC")</f>
        <v>Martinez, Wendy</v>
      </c>
      <c r="H1330" s="164">
        <v>1623501.0</v>
      </c>
      <c r="I1330" s="1">
        <v>42.0</v>
      </c>
    </row>
    <row r="1331" ht="15.75" customHeight="1">
      <c r="A1331" s="1">
        <v>5489045.0</v>
      </c>
      <c r="B1331" s="1" t="s">
        <v>4039</v>
      </c>
      <c r="C1331" s="1" t="s">
        <v>4040</v>
      </c>
      <c r="D1331" s="1" t="s">
        <v>224</v>
      </c>
      <c r="E1331" s="1" t="s">
        <v>1177</v>
      </c>
      <c r="F1331" s="1" t="s">
        <v>6717</v>
      </c>
      <c r="G1331" s="1" t="str">
        <f>IFERROR(VLOOKUP(A1331,H_C!$A$2:$G$2628,7,0),"Validar HC")</f>
        <v>Martinez, Wendy</v>
      </c>
      <c r="H1331" s="164">
        <v>1623501.0</v>
      </c>
      <c r="I1331" s="1">
        <v>42.0</v>
      </c>
    </row>
    <row r="1332" ht="15.75" customHeight="1">
      <c r="A1332" s="1">
        <v>5489046.0</v>
      </c>
      <c r="B1332" s="1" t="s">
        <v>4292</v>
      </c>
      <c r="C1332" s="1" t="s">
        <v>4293</v>
      </c>
      <c r="D1332" s="1" t="s">
        <v>224</v>
      </c>
      <c r="E1332" s="1" t="s">
        <v>316</v>
      </c>
      <c r="F1332" s="1" t="s">
        <v>6717</v>
      </c>
      <c r="G1332" s="1" t="str">
        <f>IFERROR(VLOOKUP(A1332,H_C!$A$2:$G$2628,7,0),"Validar HC")</f>
        <v>Osorio, Julian</v>
      </c>
      <c r="H1332" s="164">
        <v>1623501.0</v>
      </c>
      <c r="I1332" s="1">
        <v>42.0</v>
      </c>
    </row>
    <row r="1333" ht="15.75" customHeight="1">
      <c r="A1333" s="1">
        <v>5489048.0</v>
      </c>
      <c r="B1333" s="1" t="s">
        <v>4296</v>
      </c>
      <c r="C1333" s="1" t="s">
        <v>4297</v>
      </c>
      <c r="D1333" s="1" t="s">
        <v>224</v>
      </c>
      <c r="E1333" s="1" t="s">
        <v>323</v>
      </c>
      <c r="F1333" s="1" t="s">
        <v>6717</v>
      </c>
      <c r="G1333" s="1" t="str">
        <f>IFERROR(VLOOKUP(A1333,H_C!$A$2:$G$2628,7,0),"Validar HC")</f>
        <v>Martinez, Wendy</v>
      </c>
      <c r="H1333" s="164">
        <v>1623501.0</v>
      </c>
      <c r="I1333" s="1">
        <v>42.0</v>
      </c>
    </row>
    <row r="1334" ht="15.75" customHeight="1">
      <c r="A1334" s="1">
        <v>5489051.0</v>
      </c>
      <c r="B1334" s="1" t="s">
        <v>4298</v>
      </c>
      <c r="C1334" s="1" t="s">
        <v>4299</v>
      </c>
      <c r="D1334" s="1" t="s">
        <v>224</v>
      </c>
      <c r="E1334" s="1" t="s">
        <v>695</v>
      </c>
      <c r="F1334" s="1" t="s">
        <v>6717</v>
      </c>
      <c r="G1334" s="1" t="str">
        <f>IFERROR(VLOOKUP(A1334,H_C!$A$2:$G$2628,7,0),"Validar HC")</f>
        <v>Ayala, Giselle</v>
      </c>
      <c r="H1334" s="164">
        <v>1623501.0</v>
      </c>
      <c r="I1334" s="1">
        <v>42.0</v>
      </c>
    </row>
    <row r="1335" ht="15.75" customHeight="1">
      <c r="A1335" s="1">
        <v>5489052.0</v>
      </c>
      <c r="B1335" s="1" t="s">
        <v>2061</v>
      </c>
      <c r="C1335" s="1" t="s">
        <v>2062</v>
      </c>
      <c r="D1335" s="1" t="s">
        <v>224</v>
      </c>
      <c r="E1335" s="1" t="s">
        <v>391</v>
      </c>
      <c r="F1335" s="1" t="s">
        <v>6717</v>
      </c>
      <c r="G1335" s="1" t="str">
        <f>IFERROR(VLOOKUP(A1335,H_C!$A$2:$G$2628,7,0),"Validar HC")</f>
        <v>Garcia, Helmer</v>
      </c>
      <c r="H1335" s="164">
        <v>1623501.0</v>
      </c>
      <c r="I1335" s="1">
        <v>42.0</v>
      </c>
    </row>
    <row r="1336" ht="15.75" customHeight="1">
      <c r="A1336" s="1">
        <v>5489058.0</v>
      </c>
      <c r="B1336" s="1" t="s">
        <v>4300</v>
      </c>
      <c r="C1336" s="1" t="s">
        <v>4301</v>
      </c>
      <c r="D1336" s="1" t="s">
        <v>224</v>
      </c>
      <c r="E1336" s="1" t="s">
        <v>695</v>
      </c>
      <c r="F1336" s="1" t="s">
        <v>6717</v>
      </c>
      <c r="G1336" s="1" t="str">
        <f>IFERROR(VLOOKUP(A1336,H_C!$A$2:$G$2628,7,0),"Validar HC")</f>
        <v>Ayala, Giselle</v>
      </c>
      <c r="H1336" s="164">
        <v>1623501.0</v>
      </c>
      <c r="I1336" s="1">
        <v>42.0</v>
      </c>
    </row>
    <row r="1337" ht="15.75" customHeight="1">
      <c r="A1337" s="1">
        <v>5489059.0</v>
      </c>
      <c r="B1337" s="1" t="s">
        <v>4302</v>
      </c>
      <c r="C1337" s="1" t="s">
        <v>4303</v>
      </c>
      <c r="D1337" s="1" t="s">
        <v>224</v>
      </c>
      <c r="E1337" s="1" t="s">
        <v>1746</v>
      </c>
      <c r="F1337" s="1" t="s">
        <v>6717</v>
      </c>
      <c r="G1337" s="1" t="str">
        <f>IFERROR(VLOOKUP(A1337,H_C!$A$2:$G$2628,7,0),"Validar HC")</f>
        <v>Ayala, Giselle</v>
      </c>
      <c r="H1337" s="164">
        <v>1623501.0</v>
      </c>
      <c r="I1337" s="1">
        <v>42.0</v>
      </c>
    </row>
    <row r="1338" ht="15.75" customHeight="1">
      <c r="A1338" s="1">
        <v>5489414.0</v>
      </c>
      <c r="B1338" s="1" t="s">
        <v>4304</v>
      </c>
      <c r="C1338" s="1" t="s">
        <v>4305</v>
      </c>
      <c r="D1338" s="1" t="s">
        <v>224</v>
      </c>
      <c r="E1338" s="1" t="s">
        <v>1791</v>
      </c>
      <c r="F1338" s="1" t="s">
        <v>6717</v>
      </c>
      <c r="G1338" s="1" t="str">
        <f>IFERROR(VLOOKUP(A1338,H_C!$A$2:$G$2628,7,0),"Validar HC")</f>
        <v>Garcia, Helmer</v>
      </c>
      <c r="H1338" s="164">
        <v>1623501.0</v>
      </c>
      <c r="I1338" s="1">
        <v>42.0</v>
      </c>
    </row>
    <row r="1339" ht="15.75" customHeight="1">
      <c r="A1339" s="1">
        <v>5489426.0</v>
      </c>
      <c r="B1339" s="1" t="s">
        <v>4308</v>
      </c>
      <c r="C1339" s="1" t="s">
        <v>4309</v>
      </c>
      <c r="D1339" s="1" t="s">
        <v>224</v>
      </c>
      <c r="E1339" s="1" t="s">
        <v>537</v>
      </c>
      <c r="F1339" s="1" t="s">
        <v>6717</v>
      </c>
      <c r="G1339" s="1" t="str">
        <f>IFERROR(VLOOKUP(A1339,H_C!$A$2:$G$2628,7,0),"Validar HC")</f>
        <v>Ayala, Giselle</v>
      </c>
      <c r="H1339" s="164">
        <v>1623501.0</v>
      </c>
      <c r="I1339" s="1">
        <v>42.0</v>
      </c>
    </row>
    <row r="1340" ht="15.75" customHeight="1">
      <c r="A1340" s="1">
        <v>5489430.0</v>
      </c>
      <c r="B1340" s="1" t="s">
        <v>4312</v>
      </c>
      <c r="C1340" s="1" t="s">
        <v>4313</v>
      </c>
      <c r="D1340" s="1" t="s">
        <v>224</v>
      </c>
      <c r="E1340" s="1" t="s">
        <v>555</v>
      </c>
      <c r="F1340" s="1" t="s">
        <v>6717</v>
      </c>
      <c r="G1340" s="1" t="str">
        <f>IFERROR(VLOOKUP(A1340,H_C!$A$2:$G$2628,7,0),"Validar HC")</f>
        <v>Ayala, Giselle</v>
      </c>
      <c r="H1340" s="164">
        <v>1623501.0</v>
      </c>
      <c r="I1340" s="1">
        <v>42.0</v>
      </c>
    </row>
    <row r="1341" ht="15.75" customHeight="1">
      <c r="A1341" s="1">
        <v>5491912.0</v>
      </c>
      <c r="B1341" s="1" t="s">
        <v>779</v>
      </c>
      <c r="C1341" s="1" t="s">
        <v>780</v>
      </c>
      <c r="D1341" s="1" t="s">
        <v>224</v>
      </c>
      <c r="E1341" s="1" t="s">
        <v>289</v>
      </c>
      <c r="F1341" s="1" t="s">
        <v>6717</v>
      </c>
      <c r="G1341" s="1" t="str">
        <f>IFERROR(VLOOKUP(A1341,H_C!$A$2:$G$2628,7,0),"Validar HC")</f>
        <v>Celi, Juan</v>
      </c>
      <c r="H1341" s="164">
        <v>1623501.0</v>
      </c>
      <c r="I1341" s="1">
        <v>42.0</v>
      </c>
    </row>
    <row r="1342" ht="15.75" customHeight="1">
      <c r="A1342" s="1">
        <v>5491913.0</v>
      </c>
      <c r="B1342" s="1" t="s">
        <v>4320</v>
      </c>
      <c r="C1342" s="1" t="s">
        <v>4321</v>
      </c>
      <c r="D1342" s="1" t="s">
        <v>224</v>
      </c>
      <c r="E1342" s="1" t="s">
        <v>246</v>
      </c>
      <c r="F1342" s="1" t="s">
        <v>6717</v>
      </c>
      <c r="G1342" s="1" t="str">
        <f>IFERROR(VLOOKUP(A1342,H_C!$A$2:$G$2628,7,0),"Validar HC")</f>
        <v>Garcia, Helmer</v>
      </c>
      <c r="H1342" s="164">
        <v>1623501.0</v>
      </c>
      <c r="I1342" s="1">
        <v>42.0</v>
      </c>
    </row>
    <row r="1343" ht="15.75" customHeight="1">
      <c r="A1343" s="1">
        <v>5491914.0</v>
      </c>
      <c r="B1343" s="1" t="s">
        <v>2195</v>
      </c>
      <c r="C1343" s="1" t="s">
        <v>2196</v>
      </c>
      <c r="D1343" s="1" t="s">
        <v>224</v>
      </c>
      <c r="E1343" s="1" t="s">
        <v>246</v>
      </c>
      <c r="F1343" s="1" t="s">
        <v>6717</v>
      </c>
      <c r="G1343" s="1" t="str">
        <f>IFERROR(VLOOKUP(A1343,H_C!$A$2:$G$2628,7,0),"Validar HC")</f>
        <v>Garcia, Helmer</v>
      </c>
      <c r="H1343" s="164">
        <v>1623501.0</v>
      </c>
      <c r="I1343" s="1">
        <v>42.0</v>
      </c>
    </row>
    <row r="1344" ht="15.75" customHeight="1">
      <c r="A1344" s="1">
        <v>5491915.0</v>
      </c>
      <c r="B1344" s="1" t="s">
        <v>2174</v>
      </c>
      <c r="C1344" s="1" t="s">
        <v>2175</v>
      </c>
      <c r="D1344" s="1" t="s">
        <v>224</v>
      </c>
      <c r="E1344" s="1" t="s">
        <v>246</v>
      </c>
      <c r="F1344" s="1" t="s">
        <v>6717</v>
      </c>
      <c r="G1344" s="1" t="str">
        <f>IFERROR(VLOOKUP(A1344,H_C!$A$2:$G$2628,7,0),"Validar HC")</f>
        <v>Garcia, Helmer</v>
      </c>
      <c r="H1344" s="164">
        <v>1623501.0</v>
      </c>
      <c r="I1344" s="1">
        <v>42.0</v>
      </c>
    </row>
    <row r="1345" ht="15.75" customHeight="1">
      <c r="A1345" s="1">
        <v>5491918.0</v>
      </c>
      <c r="B1345" s="1" t="s">
        <v>783</v>
      </c>
      <c r="C1345" s="1" t="s">
        <v>784</v>
      </c>
      <c r="D1345" s="1" t="s">
        <v>224</v>
      </c>
      <c r="E1345" s="1" t="s">
        <v>289</v>
      </c>
      <c r="F1345" s="1" t="s">
        <v>6717</v>
      </c>
      <c r="G1345" s="1" t="str">
        <f>IFERROR(VLOOKUP(A1345,H_C!$A$2:$G$2628,7,0),"Validar HC")</f>
        <v>Celi, Juan</v>
      </c>
      <c r="H1345" s="164">
        <v>1623501.0</v>
      </c>
      <c r="I1345" s="1">
        <v>42.0</v>
      </c>
    </row>
    <row r="1346" ht="15.75" customHeight="1">
      <c r="A1346" s="1">
        <v>5492007.0</v>
      </c>
      <c r="B1346" s="1" t="s">
        <v>4330</v>
      </c>
      <c r="C1346" s="1" t="s">
        <v>4331</v>
      </c>
      <c r="D1346" s="1" t="s">
        <v>224</v>
      </c>
      <c r="E1346" s="1" t="s">
        <v>835</v>
      </c>
      <c r="F1346" s="1" t="s">
        <v>6717</v>
      </c>
      <c r="G1346" s="1" t="str">
        <f>IFERROR(VLOOKUP(A1346,H_C!$A$2:$G$2628,7,0),"Validar HC")</f>
        <v>Martinez, Wendy</v>
      </c>
      <c r="H1346" s="164">
        <v>1623501.0</v>
      </c>
      <c r="I1346" s="1">
        <v>42.0</v>
      </c>
    </row>
    <row r="1347" ht="15.75" customHeight="1">
      <c r="A1347" s="1">
        <v>5492607.0</v>
      </c>
      <c r="B1347" s="1" t="s">
        <v>1120</v>
      </c>
      <c r="C1347" s="1" t="s">
        <v>1121</v>
      </c>
      <c r="D1347" s="1" t="s">
        <v>224</v>
      </c>
      <c r="E1347" s="1" t="s">
        <v>724</v>
      </c>
      <c r="F1347" s="1" t="s">
        <v>6717</v>
      </c>
      <c r="G1347" s="1" t="str">
        <f>IFERROR(VLOOKUP(A1347,H_C!$A$2:$G$2628,7,0),"Validar HC")</f>
        <v>Garcia, Helmer</v>
      </c>
      <c r="H1347" s="164">
        <v>1623501.0</v>
      </c>
      <c r="I1347" s="1">
        <v>42.0</v>
      </c>
    </row>
    <row r="1348" ht="15.75" customHeight="1">
      <c r="A1348" s="1">
        <v>5492697.0</v>
      </c>
      <c r="B1348" s="1" t="s">
        <v>1133</v>
      </c>
      <c r="C1348" s="1" t="s">
        <v>1134</v>
      </c>
      <c r="D1348" s="1" t="s">
        <v>224</v>
      </c>
      <c r="E1348" s="1" t="s">
        <v>724</v>
      </c>
      <c r="F1348" s="1" t="s">
        <v>6717</v>
      </c>
      <c r="G1348" s="1" t="str">
        <f>IFERROR(VLOOKUP(A1348,H_C!$A$2:$G$2628,7,0),"Validar HC")</f>
        <v>Garcia, Helmer</v>
      </c>
      <c r="H1348" s="164">
        <v>1623501.0</v>
      </c>
      <c r="I1348" s="1">
        <v>42.0</v>
      </c>
    </row>
    <row r="1349" ht="15.75" customHeight="1">
      <c r="A1349" s="1">
        <v>5492745.0</v>
      </c>
      <c r="B1349" s="1" t="s">
        <v>4336</v>
      </c>
      <c r="C1349" s="1" t="s">
        <v>4337</v>
      </c>
      <c r="D1349" s="1" t="s">
        <v>224</v>
      </c>
      <c r="E1349" s="1" t="s">
        <v>289</v>
      </c>
      <c r="F1349" s="1" t="s">
        <v>6717</v>
      </c>
      <c r="G1349" s="1" t="str">
        <f>IFERROR(VLOOKUP(A1349,H_C!$A$2:$G$2628,7,0),"Validar HC")</f>
        <v>Celi, Juan</v>
      </c>
      <c r="H1349" s="164">
        <v>1623501.0</v>
      </c>
      <c r="I1349" s="1">
        <v>42.0</v>
      </c>
    </row>
    <row r="1350" ht="15.75" customHeight="1">
      <c r="A1350" s="1">
        <v>5051677.0</v>
      </c>
      <c r="B1350" s="1" t="s">
        <v>41</v>
      </c>
      <c r="C1350" s="1" t="s">
        <v>2549</v>
      </c>
      <c r="D1350" s="1" t="s">
        <v>224</v>
      </c>
      <c r="E1350" s="1" t="s">
        <v>13</v>
      </c>
      <c r="F1350" s="1" t="s">
        <v>6717</v>
      </c>
      <c r="G1350" s="1" t="str">
        <f>IFERROR(VLOOKUP(A1350,H_C!$A$2:$G$2628,7,0),"Validar HC")</f>
        <v>Ospina, Michel</v>
      </c>
      <c r="H1350" s="162">
        <v>1600000.0</v>
      </c>
      <c r="I1350" s="1">
        <v>42.0</v>
      </c>
    </row>
    <row r="1351" ht="15.75" customHeight="1">
      <c r="A1351" s="1">
        <v>5492755.0</v>
      </c>
      <c r="B1351" s="1" t="s">
        <v>4158</v>
      </c>
      <c r="C1351" s="1" t="s">
        <v>4159</v>
      </c>
      <c r="D1351" s="1" t="s">
        <v>224</v>
      </c>
      <c r="E1351" s="1" t="s">
        <v>506</v>
      </c>
      <c r="F1351" s="1" t="s">
        <v>6717</v>
      </c>
      <c r="G1351" s="1" t="str">
        <f>IFERROR(VLOOKUP(A1351,H_C!$A$2:$G$2628,7,0),"Validar HC")</f>
        <v>Ospina, Michel</v>
      </c>
      <c r="H1351" s="164">
        <v>1623501.0</v>
      </c>
      <c r="I1351" s="1">
        <v>42.0</v>
      </c>
    </row>
    <row r="1352" ht="15.75" customHeight="1">
      <c r="A1352" s="1">
        <v>5493567.0</v>
      </c>
      <c r="B1352" s="1" t="s">
        <v>4344</v>
      </c>
      <c r="C1352" s="1" t="s">
        <v>4345</v>
      </c>
      <c r="D1352" s="1" t="s">
        <v>224</v>
      </c>
      <c r="E1352" s="1" t="s">
        <v>1143</v>
      </c>
      <c r="F1352" s="1" t="s">
        <v>6717</v>
      </c>
      <c r="G1352" s="1" t="str">
        <f>IFERROR(VLOOKUP(A1352,H_C!$A$2:$G$2628,7,0),"Validar HC")</f>
        <v>Celi, Juan</v>
      </c>
      <c r="H1352" s="164">
        <v>1623501.0</v>
      </c>
      <c r="I1352" s="1">
        <v>42.0</v>
      </c>
    </row>
    <row r="1353" ht="15.75" customHeight="1">
      <c r="A1353" s="1">
        <v>5495273.0</v>
      </c>
      <c r="B1353" s="1" t="s">
        <v>4150</v>
      </c>
      <c r="C1353" s="1" t="s">
        <v>4151</v>
      </c>
      <c r="D1353" s="1" t="s">
        <v>224</v>
      </c>
      <c r="E1353" s="1" t="s">
        <v>506</v>
      </c>
      <c r="F1353" s="1" t="s">
        <v>6717</v>
      </c>
      <c r="G1353" s="1" t="str">
        <f>IFERROR(VLOOKUP(A1353,H_C!$A$2:$G$2628,7,0),"Validar HC")</f>
        <v>Ospina, Michel</v>
      </c>
      <c r="H1353" s="164">
        <v>1623501.0</v>
      </c>
      <c r="I1353" s="1">
        <v>42.0</v>
      </c>
    </row>
    <row r="1354" ht="15.75" customHeight="1">
      <c r="A1354" s="1">
        <v>5072596.0</v>
      </c>
      <c r="B1354" s="1" t="s">
        <v>42</v>
      </c>
      <c r="C1354" s="1" t="s">
        <v>2709</v>
      </c>
      <c r="D1354" s="1" t="s">
        <v>224</v>
      </c>
      <c r="E1354" s="1" t="s">
        <v>13</v>
      </c>
      <c r="F1354" s="1" t="s">
        <v>6717</v>
      </c>
      <c r="G1354" s="1" t="str">
        <f>IFERROR(VLOOKUP(A1354,H_C!$A$2:$G$2628,7,0),"Validar HC")</f>
        <v>Ospina, Michel</v>
      </c>
      <c r="H1354" s="162">
        <v>1600000.0</v>
      </c>
      <c r="I1354" s="1">
        <v>42.0</v>
      </c>
    </row>
    <row r="1355" ht="15.75" customHeight="1">
      <c r="A1355" s="1">
        <v>5495338.0</v>
      </c>
      <c r="B1355" s="1" t="s">
        <v>4354</v>
      </c>
      <c r="C1355" s="1" t="s">
        <v>4355</v>
      </c>
      <c r="D1355" s="1" t="s">
        <v>224</v>
      </c>
      <c r="E1355" s="1" t="s">
        <v>246</v>
      </c>
      <c r="F1355" s="1" t="s">
        <v>6717</v>
      </c>
      <c r="G1355" s="1" t="str">
        <f>IFERROR(VLOOKUP(A1355,H_C!$A$2:$G$2628,7,0),"Validar HC")</f>
        <v>Garcia, Helmer</v>
      </c>
      <c r="H1355" s="164">
        <v>1623501.0</v>
      </c>
      <c r="I1355" s="1">
        <v>42.0</v>
      </c>
    </row>
    <row r="1356" ht="15.75" customHeight="1">
      <c r="A1356" s="1">
        <v>5495419.0</v>
      </c>
      <c r="B1356" s="1" t="s">
        <v>4174</v>
      </c>
      <c r="C1356" s="1" t="s">
        <v>4175</v>
      </c>
      <c r="D1356" s="1" t="s">
        <v>224</v>
      </c>
      <c r="E1356" s="1" t="s">
        <v>506</v>
      </c>
      <c r="F1356" s="1" t="s">
        <v>6717</v>
      </c>
      <c r="G1356" s="1" t="str">
        <f>IFERROR(VLOOKUP(A1356,H_C!$A$2:$G$2628,7,0),"Validar HC")</f>
        <v>Ospina, Michel</v>
      </c>
      <c r="H1356" s="164">
        <v>1623501.0</v>
      </c>
      <c r="I1356" s="1">
        <v>42.0</v>
      </c>
    </row>
    <row r="1357" ht="15.75" customHeight="1">
      <c r="A1357" s="1">
        <v>5495425.0</v>
      </c>
      <c r="B1357" s="1" t="s">
        <v>4360</v>
      </c>
      <c r="C1357" s="1" t="s">
        <v>4361</v>
      </c>
      <c r="D1357" s="1" t="s">
        <v>224</v>
      </c>
      <c r="E1357" s="1" t="s">
        <v>1695</v>
      </c>
      <c r="F1357" s="1" t="s">
        <v>6717</v>
      </c>
      <c r="G1357" s="1" t="str">
        <f>IFERROR(VLOOKUP(A1357,H_C!$A$2:$G$2628,7,0),"Validar HC")</f>
        <v>Ayala, Giselle</v>
      </c>
      <c r="H1357" s="164">
        <v>1623501.0</v>
      </c>
      <c r="I1357" s="1">
        <v>42.0</v>
      </c>
    </row>
    <row r="1358" ht="15.75" customHeight="1">
      <c r="A1358" s="1">
        <v>5495495.0</v>
      </c>
      <c r="B1358" s="1" t="s">
        <v>4362</v>
      </c>
      <c r="C1358" s="1" t="s">
        <v>4363</v>
      </c>
      <c r="D1358" s="1" t="s">
        <v>224</v>
      </c>
      <c r="E1358" s="1" t="s">
        <v>1143</v>
      </c>
      <c r="F1358" s="1" t="s">
        <v>6717</v>
      </c>
      <c r="G1358" s="1" t="str">
        <f>IFERROR(VLOOKUP(A1358,H_C!$A$2:$G$2628,7,0),"Validar HC")</f>
        <v>Celi, Juan</v>
      </c>
      <c r="H1358" s="164">
        <v>1623501.0</v>
      </c>
      <c r="I1358" s="1">
        <v>42.0</v>
      </c>
    </row>
    <row r="1359" ht="15.75" customHeight="1">
      <c r="A1359" s="1">
        <v>5496273.0</v>
      </c>
      <c r="B1359" s="1" t="s">
        <v>4176</v>
      </c>
      <c r="C1359" s="1" t="s">
        <v>4177</v>
      </c>
      <c r="D1359" s="1" t="s">
        <v>224</v>
      </c>
      <c r="E1359" s="1" t="s">
        <v>412</v>
      </c>
      <c r="F1359" s="1" t="s">
        <v>6717</v>
      </c>
      <c r="G1359" s="1" t="str">
        <f>IFERROR(VLOOKUP(A1359,H_C!$A$2:$G$2628,7,0),"Validar HC")</f>
        <v>Ospina, Michel</v>
      </c>
      <c r="H1359" s="164">
        <v>1623501.0</v>
      </c>
      <c r="I1359" s="1">
        <v>42.0</v>
      </c>
    </row>
    <row r="1360" ht="15.75" customHeight="1">
      <c r="A1360" s="1">
        <v>5496416.0</v>
      </c>
      <c r="B1360" s="1" t="s">
        <v>4364</v>
      </c>
      <c r="C1360" s="1" t="s">
        <v>4365</v>
      </c>
      <c r="D1360" s="1" t="s">
        <v>224</v>
      </c>
      <c r="E1360" s="1" t="s">
        <v>232</v>
      </c>
      <c r="F1360" s="1" t="s">
        <v>6717</v>
      </c>
      <c r="G1360" s="1" t="str">
        <f>IFERROR(VLOOKUP(A1360,H_C!$A$2:$G$2628,7,0),"Validar HC")</f>
        <v>Soler, Maria</v>
      </c>
      <c r="H1360" s="164">
        <v>1623501.0</v>
      </c>
      <c r="I1360" s="1">
        <v>42.0</v>
      </c>
    </row>
    <row r="1361" ht="15.75" customHeight="1">
      <c r="A1361" s="1">
        <v>5498639.0</v>
      </c>
      <c r="B1361" s="1" t="s">
        <v>4086</v>
      </c>
      <c r="C1361" s="1" t="s">
        <v>4087</v>
      </c>
      <c r="D1361" s="1" t="s">
        <v>224</v>
      </c>
      <c r="E1361" s="1" t="s">
        <v>537</v>
      </c>
      <c r="F1361" s="1" t="s">
        <v>6717</v>
      </c>
      <c r="G1361" s="1" t="str">
        <f>IFERROR(VLOOKUP(A1361,H_C!$A$2:$G$2628,7,0),"Validar HC")</f>
        <v>Ayala, Giselle</v>
      </c>
      <c r="H1361" s="164">
        <v>1623501.0</v>
      </c>
      <c r="I1361" s="1">
        <v>42.0</v>
      </c>
    </row>
    <row r="1362" ht="15.75" customHeight="1">
      <c r="A1362" s="1">
        <v>5499519.0</v>
      </c>
      <c r="B1362" s="1" t="s">
        <v>2641</v>
      </c>
      <c r="C1362" s="1" t="s">
        <v>2642</v>
      </c>
      <c r="D1362" s="1" t="s">
        <v>224</v>
      </c>
      <c r="E1362" s="1" t="s">
        <v>412</v>
      </c>
      <c r="F1362" s="1" t="s">
        <v>6717</v>
      </c>
      <c r="G1362" s="1" t="str">
        <f>IFERROR(VLOOKUP(A1362,H_C!$A$2:$G$2628,7,0),"Validar HC")</f>
        <v>Ospina, Michel</v>
      </c>
      <c r="H1362" s="164">
        <v>1623501.0</v>
      </c>
      <c r="I1362" s="1">
        <v>42.0</v>
      </c>
    </row>
    <row r="1363" ht="15.75" customHeight="1">
      <c r="A1363" s="1">
        <v>5502407.0</v>
      </c>
      <c r="B1363" s="1" t="s">
        <v>4366</v>
      </c>
      <c r="C1363" s="1" t="s">
        <v>4367</v>
      </c>
      <c r="D1363" s="1" t="s">
        <v>224</v>
      </c>
      <c r="E1363" s="1" t="s">
        <v>232</v>
      </c>
      <c r="F1363" s="1" t="s">
        <v>6717</v>
      </c>
      <c r="G1363" s="1" t="str">
        <f>IFERROR(VLOOKUP(A1363,H_C!$A$2:$G$2628,7,0),"Validar HC")</f>
        <v>Soler, Maria</v>
      </c>
      <c r="H1363" s="164">
        <v>1623501.0</v>
      </c>
      <c r="I1363" s="1">
        <v>42.0</v>
      </c>
    </row>
    <row r="1364" ht="15.75" customHeight="1">
      <c r="A1364" s="1">
        <v>5503308.0</v>
      </c>
      <c r="B1364" s="1" t="s">
        <v>3940</v>
      </c>
      <c r="C1364" s="1" t="s">
        <v>3941</v>
      </c>
      <c r="D1364" s="1" t="s">
        <v>224</v>
      </c>
      <c r="E1364" s="1" t="s">
        <v>506</v>
      </c>
      <c r="F1364" s="1" t="s">
        <v>6717</v>
      </c>
      <c r="G1364" s="1" t="str">
        <f>IFERROR(VLOOKUP(A1364,H_C!$A$2:$G$2628,7,0),"Validar HC")</f>
        <v>Ospina, Michel</v>
      </c>
      <c r="H1364" s="164">
        <v>1623501.0</v>
      </c>
      <c r="I1364" s="1">
        <v>42.0</v>
      </c>
    </row>
    <row r="1365" ht="15.75" customHeight="1">
      <c r="A1365" s="1">
        <v>5503324.0</v>
      </c>
      <c r="B1365" s="1" t="s">
        <v>4370</v>
      </c>
      <c r="C1365" s="1" t="s">
        <v>4371</v>
      </c>
      <c r="D1365" s="1" t="s">
        <v>224</v>
      </c>
      <c r="E1365" s="1" t="s">
        <v>794</v>
      </c>
      <c r="F1365" s="1" t="s">
        <v>6717</v>
      </c>
      <c r="G1365" s="1" t="str">
        <f>IFERROR(VLOOKUP(A1365,H_C!$A$2:$G$2628,7,0),"Validar HC")</f>
        <v>Osorio, Julian</v>
      </c>
      <c r="H1365" s="164">
        <v>1623501.0</v>
      </c>
      <c r="I1365" s="1">
        <v>42.0</v>
      </c>
    </row>
    <row r="1366" ht="15.75" customHeight="1">
      <c r="A1366" s="1">
        <v>5503621.0</v>
      </c>
      <c r="B1366" s="1" t="s">
        <v>4374</v>
      </c>
      <c r="C1366" s="1" t="s">
        <v>4375</v>
      </c>
      <c r="D1366" s="1" t="s">
        <v>224</v>
      </c>
      <c r="E1366" s="1" t="s">
        <v>3225</v>
      </c>
      <c r="F1366" s="1" t="s">
        <v>6717</v>
      </c>
      <c r="G1366" s="1" t="str">
        <f>IFERROR(VLOOKUP(A1366,H_C!$A$2:$G$2628,7,0),"Validar HC")</f>
        <v>Ayala, Giselle</v>
      </c>
      <c r="H1366" s="164">
        <v>1623501.0</v>
      </c>
      <c r="I1366" s="1">
        <v>42.0</v>
      </c>
    </row>
    <row r="1367" ht="15.75" customHeight="1">
      <c r="A1367" s="1">
        <v>5503631.0</v>
      </c>
      <c r="B1367" s="1" t="s">
        <v>4117</v>
      </c>
      <c r="C1367" s="1" t="s">
        <v>4118</v>
      </c>
      <c r="D1367" s="1" t="s">
        <v>224</v>
      </c>
      <c r="E1367" s="1" t="s">
        <v>3225</v>
      </c>
      <c r="F1367" s="1" t="s">
        <v>6717</v>
      </c>
      <c r="G1367" s="1" t="str">
        <f>IFERROR(VLOOKUP(A1367,H_C!$A$2:$G$2628,7,0),"Validar HC")</f>
        <v>Ayala, Giselle</v>
      </c>
      <c r="H1367" s="164">
        <v>1623501.0</v>
      </c>
      <c r="I1367" s="1">
        <v>42.0</v>
      </c>
    </row>
    <row r="1368" ht="15.75" customHeight="1">
      <c r="A1368" s="1">
        <v>5503865.0</v>
      </c>
      <c r="B1368" s="1" t="s">
        <v>4111</v>
      </c>
      <c r="C1368" s="1" t="s">
        <v>4112</v>
      </c>
      <c r="D1368" s="1" t="s">
        <v>224</v>
      </c>
      <c r="E1368" s="1" t="s">
        <v>3225</v>
      </c>
      <c r="F1368" s="1" t="s">
        <v>6717</v>
      </c>
      <c r="G1368" s="1" t="str">
        <f>IFERROR(VLOOKUP(A1368,H_C!$A$2:$G$2628,7,0),"Validar HC")</f>
        <v>Ayala, Giselle</v>
      </c>
      <c r="H1368" s="164">
        <v>1623501.0</v>
      </c>
      <c r="I1368" s="1">
        <v>42.0</v>
      </c>
    </row>
    <row r="1369" ht="15.75" customHeight="1">
      <c r="A1369" s="1">
        <v>5503876.0</v>
      </c>
      <c r="B1369" s="1" t="s">
        <v>4376</v>
      </c>
      <c r="C1369" s="1" t="s">
        <v>4377</v>
      </c>
      <c r="D1369" s="1" t="s">
        <v>224</v>
      </c>
      <c r="E1369" s="1" t="s">
        <v>478</v>
      </c>
      <c r="F1369" s="1" t="s">
        <v>6717</v>
      </c>
      <c r="G1369" s="1" t="str">
        <f>IFERROR(VLOOKUP(A1369,H_C!$A$2:$G$2628,7,0),"Validar HC")</f>
        <v>Celi, Juan</v>
      </c>
      <c r="H1369" s="164">
        <v>1623501.0</v>
      </c>
      <c r="I1369" s="1">
        <v>42.0</v>
      </c>
    </row>
    <row r="1370" ht="15.75" customHeight="1">
      <c r="A1370" s="1">
        <v>5506009.0</v>
      </c>
      <c r="B1370" s="1" t="s">
        <v>4380</v>
      </c>
      <c r="C1370" s="1" t="s">
        <v>4381</v>
      </c>
      <c r="D1370" s="1" t="s">
        <v>224</v>
      </c>
      <c r="E1370" s="1" t="s">
        <v>847</v>
      </c>
      <c r="F1370" s="1" t="s">
        <v>6717</v>
      </c>
      <c r="G1370" s="1" t="str">
        <f>IFERROR(VLOOKUP(A1370,H_C!$A$2:$G$2628,7,0),"Validar HC")</f>
        <v>Garatejo, Natalia</v>
      </c>
      <c r="H1370" s="164">
        <v>1623501.0</v>
      </c>
      <c r="I1370" s="1">
        <v>42.0</v>
      </c>
    </row>
    <row r="1371" ht="15.75" customHeight="1">
      <c r="A1371" s="1">
        <v>5506047.0</v>
      </c>
      <c r="B1371" s="1" t="s">
        <v>4122</v>
      </c>
      <c r="C1371" s="1" t="s">
        <v>4123</v>
      </c>
      <c r="D1371" s="1" t="s">
        <v>224</v>
      </c>
      <c r="E1371" s="1" t="s">
        <v>3225</v>
      </c>
      <c r="F1371" s="1" t="s">
        <v>6717</v>
      </c>
      <c r="G1371" s="1" t="str">
        <f>IFERROR(VLOOKUP(A1371,H_C!$A$2:$G$2628,7,0),"Validar HC")</f>
        <v>Ayala, Giselle</v>
      </c>
      <c r="H1371" s="164">
        <v>1623501.0</v>
      </c>
      <c r="I1371" s="1">
        <v>42.0</v>
      </c>
    </row>
    <row r="1372" ht="15.75" customHeight="1">
      <c r="A1372" s="1">
        <v>5506098.0</v>
      </c>
      <c r="B1372" s="1" t="s">
        <v>3944</v>
      </c>
      <c r="C1372" s="1" t="s">
        <v>3945</v>
      </c>
      <c r="D1372" s="1" t="s">
        <v>224</v>
      </c>
      <c r="E1372" s="1" t="s">
        <v>506</v>
      </c>
      <c r="F1372" s="1" t="s">
        <v>6717</v>
      </c>
      <c r="G1372" s="1" t="str">
        <f>IFERROR(VLOOKUP(A1372,H_C!$A$2:$G$2628,7,0),"Validar HC")</f>
        <v>Ospina, Michel</v>
      </c>
      <c r="H1372" s="164">
        <v>1623501.0</v>
      </c>
      <c r="I1372" s="1">
        <v>42.0</v>
      </c>
    </row>
    <row r="1373" ht="15.75" customHeight="1">
      <c r="A1373" s="1">
        <v>5506176.0</v>
      </c>
      <c r="B1373" s="1" t="s">
        <v>2458</v>
      </c>
      <c r="C1373" s="1" t="s">
        <v>2459</v>
      </c>
      <c r="D1373" s="1" t="s">
        <v>224</v>
      </c>
      <c r="E1373" s="1" t="s">
        <v>986</v>
      </c>
      <c r="F1373" s="1" t="s">
        <v>6717</v>
      </c>
      <c r="G1373" s="1" t="str">
        <f>IFERROR(VLOOKUP(A1373,H_C!$A$2:$G$2628,7,0),"Validar HC")</f>
        <v>Garatejo, Natalia</v>
      </c>
      <c r="H1373" s="164">
        <v>1623501.0</v>
      </c>
      <c r="I1373" s="1">
        <v>42.0</v>
      </c>
    </row>
    <row r="1374" ht="15.75" customHeight="1">
      <c r="A1374" s="1">
        <v>5506177.0</v>
      </c>
      <c r="B1374" s="1" t="s">
        <v>4107</v>
      </c>
      <c r="C1374" s="1" t="s">
        <v>4108</v>
      </c>
      <c r="D1374" s="1" t="s">
        <v>224</v>
      </c>
      <c r="E1374" s="1" t="s">
        <v>3225</v>
      </c>
      <c r="F1374" s="1" t="s">
        <v>6717</v>
      </c>
      <c r="G1374" s="1" t="str">
        <f>IFERROR(VLOOKUP(A1374,H_C!$A$2:$G$2628,7,0),"Validar HC")</f>
        <v>Ayala, Giselle</v>
      </c>
      <c r="H1374" s="164">
        <v>1623501.0</v>
      </c>
      <c r="I1374" s="1">
        <v>42.0</v>
      </c>
    </row>
    <row r="1375" ht="15.75" customHeight="1">
      <c r="A1375" s="1">
        <v>5507004.0</v>
      </c>
      <c r="B1375" s="1" t="s">
        <v>4092</v>
      </c>
      <c r="C1375" s="1" t="s">
        <v>4093</v>
      </c>
      <c r="D1375" s="1" t="s">
        <v>224</v>
      </c>
      <c r="E1375" s="1" t="s">
        <v>3225</v>
      </c>
      <c r="F1375" s="1" t="s">
        <v>6717</v>
      </c>
      <c r="G1375" s="1" t="str">
        <f>IFERROR(VLOOKUP(A1375,H_C!$A$2:$G$2628,7,0),"Validar HC")</f>
        <v>Ayala, Giselle</v>
      </c>
      <c r="H1375" s="164">
        <v>1623501.0</v>
      </c>
      <c r="I1375" s="1">
        <v>42.0</v>
      </c>
    </row>
    <row r="1376" ht="15.75" customHeight="1">
      <c r="A1376" s="1">
        <v>5507103.0</v>
      </c>
      <c r="B1376" s="1" t="s">
        <v>4390</v>
      </c>
      <c r="C1376" s="1" t="s">
        <v>4391</v>
      </c>
      <c r="D1376" s="1" t="s">
        <v>224</v>
      </c>
      <c r="E1376" s="1" t="s">
        <v>478</v>
      </c>
      <c r="F1376" s="1" t="s">
        <v>6717</v>
      </c>
      <c r="G1376" s="1" t="str">
        <f>IFERROR(VLOOKUP(A1376,H_C!$A$2:$G$2628,7,0),"Validar HC")</f>
        <v>Celi, Juan</v>
      </c>
      <c r="H1376" s="164">
        <v>1623501.0</v>
      </c>
      <c r="I1376" s="1">
        <v>42.0</v>
      </c>
    </row>
    <row r="1377" ht="15.75" customHeight="1">
      <c r="A1377" s="1">
        <v>5507104.0</v>
      </c>
      <c r="B1377" s="1" t="s">
        <v>4392</v>
      </c>
      <c r="C1377" s="1" t="s">
        <v>4393</v>
      </c>
      <c r="D1377" s="1" t="s">
        <v>224</v>
      </c>
      <c r="E1377" s="1" t="s">
        <v>555</v>
      </c>
      <c r="F1377" s="1" t="s">
        <v>6717</v>
      </c>
      <c r="G1377" s="1" t="str">
        <f>IFERROR(VLOOKUP(A1377,H_C!$A$2:$G$2628,7,0),"Validar HC")</f>
        <v>Ayala, Giselle</v>
      </c>
      <c r="H1377" s="164">
        <v>1623501.0</v>
      </c>
      <c r="I1377" s="1">
        <v>42.0</v>
      </c>
    </row>
    <row r="1378" ht="15.75" customHeight="1">
      <c r="A1378" s="1">
        <v>5507107.0</v>
      </c>
      <c r="B1378" s="1" t="s">
        <v>1312</v>
      </c>
      <c r="C1378" s="1" t="s">
        <v>1313</v>
      </c>
      <c r="D1378" s="1" t="s">
        <v>224</v>
      </c>
      <c r="E1378" s="1" t="s">
        <v>806</v>
      </c>
      <c r="F1378" s="1" t="s">
        <v>6717</v>
      </c>
      <c r="G1378" s="1" t="str">
        <f>IFERROR(VLOOKUP(A1378,H_C!$A$2:$G$2628,7,0),"Validar HC")</f>
        <v>Gonzalez, Cristian</v>
      </c>
      <c r="H1378" s="164">
        <v>1623501.0</v>
      </c>
      <c r="I1378" s="1">
        <v>42.0</v>
      </c>
    </row>
    <row r="1379" ht="15.75" customHeight="1">
      <c r="A1379" s="1">
        <v>5507108.0</v>
      </c>
      <c r="B1379" s="1" t="s">
        <v>4396</v>
      </c>
      <c r="C1379" s="1" t="s">
        <v>4397</v>
      </c>
      <c r="D1379" s="1" t="s">
        <v>224</v>
      </c>
      <c r="E1379" s="1" t="s">
        <v>4119</v>
      </c>
      <c r="F1379" s="1" t="s">
        <v>6717</v>
      </c>
      <c r="G1379" s="1" t="str">
        <f>IFERROR(VLOOKUP(A1379,H_C!$A$2:$G$2628,7,0),"Validar HC")</f>
        <v>Gonzalez, Cristian</v>
      </c>
      <c r="H1379" s="164">
        <v>1623501.0</v>
      </c>
      <c r="I1379" s="1">
        <v>42.0</v>
      </c>
    </row>
    <row r="1380" ht="15.75" customHeight="1">
      <c r="A1380" s="1">
        <v>5507117.0</v>
      </c>
      <c r="B1380" s="1" t="s">
        <v>1282</v>
      </c>
      <c r="C1380" s="1" t="s">
        <v>1283</v>
      </c>
      <c r="D1380" s="1" t="s">
        <v>224</v>
      </c>
      <c r="E1380" s="1" t="s">
        <v>806</v>
      </c>
      <c r="F1380" s="1" t="s">
        <v>6717</v>
      </c>
      <c r="G1380" s="1" t="str">
        <f>IFERROR(VLOOKUP(A1380,H_C!$A$2:$G$2628,7,0),"Validar HC")</f>
        <v>Gonzalez, Cristian</v>
      </c>
      <c r="H1380" s="164">
        <v>1623501.0</v>
      </c>
      <c r="I1380" s="1">
        <v>42.0</v>
      </c>
    </row>
    <row r="1381" ht="15.75" customHeight="1">
      <c r="A1381" s="1">
        <v>5508828.0</v>
      </c>
      <c r="B1381" s="1" t="s">
        <v>4398</v>
      </c>
      <c r="C1381" s="1" t="s">
        <v>4399</v>
      </c>
      <c r="D1381" s="1" t="s">
        <v>224</v>
      </c>
      <c r="E1381" s="1" t="s">
        <v>416</v>
      </c>
      <c r="F1381" s="1" t="s">
        <v>6717</v>
      </c>
      <c r="G1381" s="1" t="str">
        <f>IFERROR(VLOOKUP(A1381,H_C!$A$2:$G$2628,7,0),"Validar HC")</f>
        <v>Soler, Maria</v>
      </c>
      <c r="H1381" s="164">
        <v>1623501.0</v>
      </c>
      <c r="I1381" s="1">
        <v>42.0</v>
      </c>
    </row>
    <row r="1382" ht="15.75" customHeight="1">
      <c r="A1382" s="1">
        <v>5508870.0</v>
      </c>
      <c r="B1382" s="1" t="s">
        <v>496</v>
      </c>
      <c r="C1382" s="1" t="s">
        <v>497</v>
      </c>
      <c r="D1382" s="1" t="s">
        <v>224</v>
      </c>
      <c r="E1382" s="1" t="s">
        <v>232</v>
      </c>
      <c r="F1382" s="1" t="s">
        <v>6717</v>
      </c>
      <c r="G1382" s="1" t="str">
        <f>IFERROR(VLOOKUP(A1382,H_C!$A$2:$G$2628,7,0),"Validar HC")</f>
        <v>Soler, Maria</v>
      </c>
      <c r="H1382" s="164">
        <v>1623501.0</v>
      </c>
      <c r="I1382" s="1">
        <v>42.0</v>
      </c>
    </row>
    <row r="1383" ht="15.75" customHeight="1">
      <c r="A1383" s="1">
        <v>5508873.0</v>
      </c>
      <c r="B1383" s="1" t="s">
        <v>2924</v>
      </c>
      <c r="C1383" s="1" t="s">
        <v>2925</v>
      </c>
      <c r="D1383" s="1" t="s">
        <v>224</v>
      </c>
      <c r="E1383" s="1" t="s">
        <v>1186</v>
      </c>
      <c r="F1383" s="1" t="s">
        <v>6717</v>
      </c>
      <c r="G1383" s="1" t="str">
        <f>IFERROR(VLOOKUP(A1383,H_C!$A$2:$G$2628,7,0),"Validar HC")</f>
        <v>Soler, Maria</v>
      </c>
      <c r="H1383" s="164">
        <v>1623501.0</v>
      </c>
      <c r="I1383" s="1">
        <v>42.0</v>
      </c>
    </row>
    <row r="1384" ht="15.75" customHeight="1">
      <c r="A1384" s="1">
        <v>5508875.0</v>
      </c>
      <c r="B1384" s="1" t="s">
        <v>2912</v>
      </c>
      <c r="C1384" s="1" t="s">
        <v>2913</v>
      </c>
      <c r="D1384" s="1" t="s">
        <v>224</v>
      </c>
      <c r="E1384" s="1" t="s">
        <v>1186</v>
      </c>
      <c r="F1384" s="1" t="s">
        <v>6717</v>
      </c>
      <c r="G1384" s="1" t="str">
        <f>IFERROR(VLOOKUP(A1384,H_C!$A$2:$G$2628,7,0),"Validar HC")</f>
        <v>Soler, Maria</v>
      </c>
      <c r="H1384" s="164">
        <v>1623501.0</v>
      </c>
      <c r="I1384" s="1">
        <v>42.0</v>
      </c>
    </row>
    <row r="1385" ht="15.75" customHeight="1">
      <c r="A1385" s="1">
        <v>5508879.0</v>
      </c>
      <c r="B1385" s="1" t="s">
        <v>1095</v>
      </c>
      <c r="C1385" s="1" t="s">
        <v>1096</v>
      </c>
      <c r="D1385" s="1" t="s">
        <v>224</v>
      </c>
      <c r="E1385" s="1" t="s">
        <v>724</v>
      </c>
      <c r="F1385" s="1" t="s">
        <v>6717</v>
      </c>
      <c r="G1385" s="1" t="str">
        <f>IFERROR(VLOOKUP(A1385,H_C!$A$2:$G$2628,7,0),"Validar HC")</f>
        <v>Garcia, Helmer</v>
      </c>
      <c r="H1385" s="164">
        <v>1623501.0</v>
      </c>
      <c r="I1385" s="1">
        <v>42.0</v>
      </c>
    </row>
    <row r="1386" ht="15.75" customHeight="1">
      <c r="A1386" s="1">
        <v>5508880.0</v>
      </c>
      <c r="B1386" s="1" t="s">
        <v>669</v>
      </c>
      <c r="C1386" s="1" t="s">
        <v>670</v>
      </c>
      <c r="D1386" s="1" t="s">
        <v>224</v>
      </c>
      <c r="E1386" s="1" t="s">
        <v>239</v>
      </c>
      <c r="F1386" s="1" t="s">
        <v>6717</v>
      </c>
      <c r="G1386" s="1" t="str">
        <f>IFERROR(VLOOKUP(A1386,H_C!$A$2:$G$2628,7,0),"Validar HC")</f>
        <v>Soler, Maria</v>
      </c>
      <c r="H1386" s="164">
        <v>1623501.0</v>
      </c>
      <c r="I1386" s="1">
        <v>42.0</v>
      </c>
    </row>
    <row r="1387" ht="15.75" customHeight="1">
      <c r="A1387" s="1">
        <v>5508881.0</v>
      </c>
      <c r="B1387" s="1" t="s">
        <v>2920</v>
      </c>
      <c r="C1387" s="1" t="s">
        <v>2921</v>
      </c>
      <c r="D1387" s="1" t="s">
        <v>224</v>
      </c>
      <c r="E1387" s="1" t="s">
        <v>1186</v>
      </c>
      <c r="F1387" s="1" t="s">
        <v>6717</v>
      </c>
      <c r="G1387" s="1" t="str">
        <f>IFERROR(VLOOKUP(A1387,H_C!$A$2:$G$2628,7,0),"Validar HC")</f>
        <v>Soler, Maria</v>
      </c>
      <c r="H1387" s="164">
        <v>1623501.0</v>
      </c>
      <c r="I1387" s="1">
        <v>42.0</v>
      </c>
    </row>
    <row r="1388" ht="15.75" customHeight="1">
      <c r="A1388" s="1">
        <v>5508885.0</v>
      </c>
      <c r="B1388" s="1" t="s">
        <v>2928</v>
      </c>
      <c r="C1388" s="1" t="s">
        <v>2929</v>
      </c>
      <c r="D1388" s="1" t="s">
        <v>224</v>
      </c>
      <c r="E1388" s="1" t="s">
        <v>1186</v>
      </c>
      <c r="F1388" s="1" t="s">
        <v>6717</v>
      </c>
      <c r="G1388" s="1" t="str">
        <f>IFERROR(VLOOKUP(A1388,H_C!$A$2:$G$2628,7,0),"Validar HC")</f>
        <v>Soler, Maria</v>
      </c>
      <c r="H1388" s="164">
        <v>1623501.0</v>
      </c>
      <c r="I1388" s="1">
        <v>42.0</v>
      </c>
    </row>
    <row r="1389" ht="15.75" customHeight="1">
      <c r="A1389" s="1">
        <v>5508888.0</v>
      </c>
      <c r="B1389" s="1" t="s">
        <v>4406</v>
      </c>
      <c r="C1389" s="1" t="s">
        <v>4407</v>
      </c>
      <c r="D1389" s="1" t="s">
        <v>224</v>
      </c>
      <c r="E1389" s="1" t="s">
        <v>841</v>
      </c>
      <c r="F1389" s="1" t="s">
        <v>6717</v>
      </c>
      <c r="G1389" s="1" t="str">
        <f>IFERROR(VLOOKUP(A1389,H_C!$A$2:$G$2628,7,0),"Validar HC")</f>
        <v>Soler, Maria</v>
      </c>
      <c r="H1389" s="164">
        <v>1623501.0</v>
      </c>
      <c r="I1389" s="1">
        <v>42.0</v>
      </c>
    </row>
    <row r="1390" ht="15.75" customHeight="1">
      <c r="A1390" s="1">
        <v>5508892.0</v>
      </c>
      <c r="B1390" s="1" t="s">
        <v>2908</v>
      </c>
      <c r="C1390" s="1" t="s">
        <v>2909</v>
      </c>
      <c r="D1390" s="1" t="s">
        <v>224</v>
      </c>
      <c r="E1390" s="1" t="s">
        <v>1186</v>
      </c>
      <c r="F1390" s="1" t="s">
        <v>6717</v>
      </c>
      <c r="G1390" s="1" t="str">
        <f>IFERROR(VLOOKUP(A1390,H_C!$A$2:$G$2628,7,0),"Validar HC")</f>
        <v>Soler, Maria</v>
      </c>
      <c r="H1390" s="164">
        <v>1623501.0</v>
      </c>
      <c r="I1390" s="1">
        <v>42.0</v>
      </c>
    </row>
    <row r="1391" ht="15.75" customHeight="1">
      <c r="A1391" s="1">
        <v>5508992.0</v>
      </c>
      <c r="B1391" s="1" t="s">
        <v>2269</v>
      </c>
      <c r="C1391" s="1" t="s">
        <v>2270</v>
      </c>
      <c r="D1391" s="1" t="s">
        <v>224</v>
      </c>
      <c r="E1391" s="1" t="s">
        <v>986</v>
      </c>
      <c r="F1391" s="1" t="s">
        <v>6717</v>
      </c>
      <c r="G1391" s="1" t="str">
        <f>IFERROR(VLOOKUP(A1391,H_C!$A$2:$G$2628,7,0),"Validar HC")</f>
        <v>Garatejo, Natalia</v>
      </c>
      <c r="H1391" s="164">
        <v>1623501.0</v>
      </c>
      <c r="I1391" s="1">
        <v>42.0</v>
      </c>
    </row>
    <row r="1392" ht="15.75" customHeight="1">
      <c r="A1392" s="1">
        <v>5513326.0</v>
      </c>
      <c r="B1392" s="1" t="s">
        <v>4410</v>
      </c>
      <c r="C1392" s="1" t="s">
        <v>4411</v>
      </c>
      <c r="D1392" s="1" t="s">
        <v>224</v>
      </c>
      <c r="E1392" s="1" t="s">
        <v>555</v>
      </c>
      <c r="F1392" s="1" t="s">
        <v>6717</v>
      </c>
      <c r="G1392" s="1" t="str">
        <f>IFERROR(VLOOKUP(A1392,H_C!$A$2:$G$2628,7,0),"Validar HC")</f>
        <v>Ayala, Giselle</v>
      </c>
      <c r="H1392" s="164">
        <v>1623501.0</v>
      </c>
      <c r="I1392" s="1">
        <v>42.0</v>
      </c>
    </row>
    <row r="1393" ht="15.75" customHeight="1">
      <c r="A1393" s="1">
        <v>5513981.0</v>
      </c>
      <c r="B1393" s="1" t="s">
        <v>4414</v>
      </c>
      <c r="C1393" s="1" t="s">
        <v>4415</v>
      </c>
      <c r="D1393" s="1" t="s">
        <v>224</v>
      </c>
      <c r="E1393" s="1" t="s">
        <v>416</v>
      </c>
      <c r="F1393" s="1" t="s">
        <v>6717</v>
      </c>
      <c r="G1393" s="1" t="str">
        <f>IFERROR(VLOOKUP(A1393,H_C!$A$2:$G$2628,7,0),"Validar HC")</f>
        <v>Soler, Maria</v>
      </c>
      <c r="H1393" s="164">
        <v>1623501.0</v>
      </c>
      <c r="I1393" s="1">
        <v>42.0</v>
      </c>
    </row>
    <row r="1394" ht="15.75" customHeight="1">
      <c r="A1394" s="1">
        <v>5514625.0</v>
      </c>
      <c r="B1394" s="1" t="s">
        <v>4212</v>
      </c>
      <c r="C1394" s="1" t="s">
        <v>4213</v>
      </c>
      <c r="D1394" s="1" t="s">
        <v>224</v>
      </c>
      <c r="E1394" s="1" t="s">
        <v>491</v>
      </c>
      <c r="F1394" s="1" t="s">
        <v>6717</v>
      </c>
      <c r="G1394" s="1" t="str">
        <f>IFERROR(VLOOKUP(A1394,H_C!$A$2:$G$2628,7,0),"Validar HC")</f>
        <v>Soler, Maria</v>
      </c>
      <c r="H1394" s="164">
        <v>1623501.0</v>
      </c>
      <c r="I1394" s="1">
        <v>42.0</v>
      </c>
    </row>
    <row r="1395" ht="15.75" customHeight="1">
      <c r="A1395" s="1">
        <v>5514627.0</v>
      </c>
      <c r="B1395" s="1" t="s">
        <v>4218</v>
      </c>
      <c r="C1395" s="1" t="s">
        <v>4219</v>
      </c>
      <c r="D1395" s="1" t="s">
        <v>224</v>
      </c>
      <c r="E1395" s="1" t="s">
        <v>3784</v>
      </c>
      <c r="F1395" s="1" t="s">
        <v>6717</v>
      </c>
      <c r="G1395" s="1" t="str">
        <f>IFERROR(VLOOKUP(A1395,H_C!$A$2:$G$2628,7,0),"Validar HC")</f>
        <v>Soler, Maria</v>
      </c>
      <c r="H1395" s="164">
        <v>1623501.0</v>
      </c>
      <c r="I1395" s="1">
        <v>42.0</v>
      </c>
    </row>
    <row r="1396" ht="15.75" customHeight="1">
      <c r="A1396" s="1">
        <v>5514628.0</v>
      </c>
      <c r="B1396" s="1" t="s">
        <v>4220</v>
      </c>
      <c r="C1396" s="1" t="s">
        <v>4221</v>
      </c>
      <c r="D1396" s="1" t="s">
        <v>224</v>
      </c>
      <c r="E1396" s="1" t="s">
        <v>3784</v>
      </c>
      <c r="F1396" s="1" t="s">
        <v>6717</v>
      </c>
      <c r="G1396" s="1" t="str">
        <f>IFERROR(VLOOKUP(A1396,H_C!$A$2:$G$2628,7,0),"Validar HC")</f>
        <v>Soler, Maria</v>
      </c>
      <c r="H1396" s="164">
        <v>1623501.0</v>
      </c>
      <c r="I1396" s="1">
        <v>42.0</v>
      </c>
    </row>
    <row r="1397" ht="15.75" customHeight="1">
      <c r="A1397" s="1">
        <v>5514631.0</v>
      </c>
      <c r="B1397" s="1" t="s">
        <v>3782</v>
      </c>
      <c r="C1397" s="1" t="s">
        <v>3783</v>
      </c>
      <c r="D1397" s="1" t="s">
        <v>224</v>
      </c>
      <c r="E1397" s="1" t="s">
        <v>491</v>
      </c>
      <c r="F1397" s="1" t="s">
        <v>6717</v>
      </c>
      <c r="G1397" s="1" t="str">
        <f>IFERROR(VLOOKUP(A1397,H_C!$A$2:$G$2628,7,0),"Validar HC")</f>
        <v>Soler, Maria</v>
      </c>
      <c r="H1397" s="164">
        <v>1623501.0</v>
      </c>
      <c r="I1397" s="1">
        <v>42.0</v>
      </c>
    </row>
    <row r="1398" ht="15.75" customHeight="1">
      <c r="A1398" s="1">
        <v>5514634.0</v>
      </c>
      <c r="B1398" s="1" t="s">
        <v>4202</v>
      </c>
      <c r="C1398" s="1" t="s">
        <v>4203</v>
      </c>
      <c r="D1398" s="1" t="s">
        <v>224</v>
      </c>
      <c r="E1398" s="1" t="s">
        <v>491</v>
      </c>
      <c r="F1398" s="1" t="s">
        <v>6717</v>
      </c>
      <c r="G1398" s="1" t="str">
        <f>IFERROR(VLOOKUP(A1398,H_C!$A$2:$G$2628,7,0),"Validar HC")</f>
        <v>Soler, Maria</v>
      </c>
      <c r="H1398" s="164">
        <v>1623501.0</v>
      </c>
      <c r="I1398" s="1">
        <v>42.0</v>
      </c>
    </row>
    <row r="1399" ht="15.75" customHeight="1">
      <c r="A1399" s="1">
        <v>5514639.0</v>
      </c>
      <c r="B1399" s="1" t="s">
        <v>1351</v>
      </c>
      <c r="C1399" s="1" t="s">
        <v>1352</v>
      </c>
      <c r="D1399" s="1" t="s">
        <v>224</v>
      </c>
      <c r="E1399" s="1" t="s">
        <v>331</v>
      </c>
      <c r="F1399" s="1" t="s">
        <v>6717</v>
      </c>
      <c r="G1399" s="1" t="str">
        <f>IFERROR(VLOOKUP(A1399,H_C!$A$2:$G$2628,7,0),"Validar HC")</f>
        <v>Parra, Jeimmy</v>
      </c>
      <c r="H1399" s="164">
        <v>1623501.0</v>
      </c>
      <c r="I1399" s="1">
        <v>42.0</v>
      </c>
    </row>
    <row r="1400" ht="15.75" customHeight="1">
      <c r="A1400" s="1">
        <v>5516350.0</v>
      </c>
      <c r="B1400" s="1" t="s">
        <v>1810</v>
      </c>
      <c r="C1400" s="1" t="s">
        <v>1811</v>
      </c>
      <c r="D1400" s="1" t="s">
        <v>224</v>
      </c>
      <c r="E1400" s="1" t="s">
        <v>835</v>
      </c>
      <c r="F1400" s="1" t="s">
        <v>6717</v>
      </c>
      <c r="G1400" s="1" t="str">
        <f>IFERROR(VLOOKUP(A1400,H_C!$A$2:$G$2628,7,0),"Validar HC")</f>
        <v>Martinez, Wendy</v>
      </c>
      <c r="H1400" s="164">
        <v>1623501.0</v>
      </c>
      <c r="I1400" s="1">
        <v>42.0</v>
      </c>
    </row>
    <row r="1401" ht="15.75" customHeight="1">
      <c r="A1401" s="1">
        <v>5523467.0</v>
      </c>
      <c r="B1401" s="1" t="s">
        <v>2679</v>
      </c>
      <c r="C1401" s="1" t="s">
        <v>2680</v>
      </c>
      <c r="D1401" s="1" t="s">
        <v>224</v>
      </c>
      <c r="E1401" s="1" t="s">
        <v>478</v>
      </c>
      <c r="F1401" s="1" t="s">
        <v>6717</v>
      </c>
      <c r="G1401" s="1" t="str">
        <f>IFERROR(VLOOKUP(A1401,H_C!$A$2:$G$2628,7,0),"Validar HC")</f>
        <v>Celi, Juan</v>
      </c>
      <c r="H1401" s="164">
        <v>1623501.0</v>
      </c>
      <c r="I1401" s="1">
        <v>42.0</v>
      </c>
    </row>
    <row r="1402" ht="15.75" customHeight="1">
      <c r="A1402" s="1">
        <v>5523485.0</v>
      </c>
      <c r="B1402" s="1" t="s">
        <v>4424</v>
      </c>
      <c r="C1402" s="1" t="s">
        <v>4425</v>
      </c>
      <c r="D1402" s="1" t="s">
        <v>224</v>
      </c>
      <c r="E1402" s="1" t="s">
        <v>835</v>
      </c>
      <c r="F1402" s="1" t="s">
        <v>6717</v>
      </c>
      <c r="G1402" s="1" t="str">
        <f>IFERROR(VLOOKUP(A1402,H_C!$A$2:$G$2628,7,0),"Validar HC")</f>
        <v>Martinez, Wendy</v>
      </c>
      <c r="H1402" s="164">
        <v>1623501.0</v>
      </c>
      <c r="I1402" s="1">
        <v>42.0</v>
      </c>
    </row>
    <row r="1403" ht="15.75" customHeight="1">
      <c r="A1403" s="1">
        <v>5523592.0</v>
      </c>
      <c r="B1403" s="1" t="s">
        <v>1539</v>
      </c>
      <c r="C1403" s="1" t="s">
        <v>1540</v>
      </c>
      <c r="D1403" s="1" t="s">
        <v>224</v>
      </c>
      <c r="E1403" s="1" t="s">
        <v>478</v>
      </c>
      <c r="F1403" s="1" t="s">
        <v>6717</v>
      </c>
      <c r="G1403" s="1" t="str">
        <f>IFERROR(VLOOKUP(A1403,H_C!$A$2:$G$2628,7,0),"Validar HC")</f>
        <v>Celi, Juan</v>
      </c>
      <c r="H1403" s="164">
        <v>1623501.0</v>
      </c>
      <c r="I1403" s="1">
        <v>42.0</v>
      </c>
    </row>
    <row r="1404" ht="15.75" customHeight="1">
      <c r="A1404" s="1">
        <v>5523595.0</v>
      </c>
      <c r="B1404" s="1" t="s">
        <v>4426</v>
      </c>
      <c r="C1404" s="1" t="s">
        <v>4427</v>
      </c>
      <c r="D1404" s="1" t="s">
        <v>224</v>
      </c>
      <c r="E1404" s="1" t="s">
        <v>2069</v>
      </c>
      <c r="F1404" s="1" t="s">
        <v>6717</v>
      </c>
      <c r="G1404" s="1" t="str">
        <f>IFERROR(VLOOKUP(A1404,H_C!$A$2:$G$2628,7,0),"Validar HC")</f>
        <v>Garatejo, Natalia</v>
      </c>
      <c r="H1404" s="164">
        <v>1623501.0</v>
      </c>
      <c r="I1404" s="1">
        <v>42.0</v>
      </c>
    </row>
    <row r="1405" ht="15.75" customHeight="1">
      <c r="A1405" s="1">
        <v>5523679.0</v>
      </c>
      <c r="B1405" s="1" t="s">
        <v>6766</v>
      </c>
      <c r="C1405" s="1" t="s">
        <v>6767</v>
      </c>
      <c r="D1405" s="1" t="s">
        <v>224</v>
      </c>
      <c r="E1405" s="1" t="s">
        <v>323</v>
      </c>
      <c r="F1405" s="1" t="s">
        <v>6717</v>
      </c>
      <c r="G1405" s="1" t="str">
        <f>IFERROR(VLOOKUP(A1405,H_C!$A$2:$G$2628,7,0),"Validar HC")</f>
        <v>Validar HC</v>
      </c>
      <c r="H1405" s="164">
        <v>1623501.0</v>
      </c>
      <c r="I1405" s="1">
        <v>42.0</v>
      </c>
    </row>
    <row r="1406" ht="15.75" customHeight="1">
      <c r="A1406" s="1">
        <v>5523681.0</v>
      </c>
      <c r="B1406" s="1" t="s">
        <v>4428</v>
      </c>
      <c r="C1406" s="1" t="s">
        <v>4429</v>
      </c>
      <c r="D1406" s="1" t="s">
        <v>224</v>
      </c>
      <c r="E1406" s="1" t="s">
        <v>478</v>
      </c>
      <c r="F1406" s="1" t="s">
        <v>6717</v>
      </c>
      <c r="G1406" s="1" t="str">
        <f>IFERROR(VLOOKUP(A1406,H_C!$A$2:$G$2628,7,0),"Validar HC")</f>
        <v>Celi, Juan</v>
      </c>
      <c r="H1406" s="164">
        <v>1623501.0</v>
      </c>
      <c r="I1406" s="1">
        <v>42.0</v>
      </c>
    </row>
    <row r="1407" ht="15.75" customHeight="1">
      <c r="A1407" s="1">
        <v>5523684.0</v>
      </c>
      <c r="B1407" s="1" t="s">
        <v>4430</v>
      </c>
      <c r="C1407" s="1" t="s">
        <v>4431</v>
      </c>
      <c r="D1407" s="1" t="s">
        <v>224</v>
      </c>
      <c r="E1407" s="1" t="s">
        <v>478</v>
      </c>
      <c r="F1407" s="1" t="s">
        <v>6717</v>
      </c>
      <c r="G1407" s="1" t="str">
        <f>IFERROR(VLOOKUP(A1407,H_C!$A$2:$G$2628,7,0),"Validar HC")</f>
        <v>Celi, Juan</v>
      </c>
      <c r="H1407" s="164">
        <v>1623501.0</v>
      </c>
      <c r="I1407" s="1">
        <v>42.0</v>
      </c>
    </row>
    <row r="1408" ht="15.75" customHeight="1">
      <c r="A1408" s="1">
        <v>5523709.0</v>
      </c>
      <c r="B1408" s="1" t="s">
        <v>4432</v>
      </c>
      <c r="C1408" s="1" t="s">
        <v>4433</v>
      </c>
      <c r="D1408" s="1" t="s">
        <v>224</v>
      </c>
      <c r="E1408" s="1" t="s">
        <v>2069</v>
      </c>
      <c r="F1408" s="1" t="s">
        <v>6717</v>
      </c>
      <c r="G1408" s="1" t="str">
        <f>IFERROR(VLOOKUP(A1408,H_C!$A$2:$G$2628,7,0),"Validar HC")</f>
        <v>Garatejo, Natalia</v>
      </c>
      <c r="H1408" s="164">
        <v>1623501.0</v>
      </c>
      <c r="I1408" s="1">
        <v>42.0</v>
      </c>
    </row>
    <row r="1409" ht="15.75" customHeight="1">
      <c r="A1409" s="1">
        <v>5523713.0</v>
      </c>
      <c r="B1409" s="1" t="s">
        <v>3892</v>
      </c>
      <c r="C1409" s="1" t="s">
        <v>3893</v>
      </c>
      <c r="D1409" s="1" t="s">
        <v>224</v>
      </c>
      <c r="E1409" s="1" t="s">
        <v>478</v>
      </c>
      <c r="F1409" s="1" t="s">
        <v>6717</v>
      </c>
      <c r="G1409" s="1" t="str">
        <f>IFERROR(VLOOKUP(A1409,H_C!$A$2:$G$2628,7,0),"Validar HC")</f>
        <v>Celi, Juan</v>
      </c>
      <c r="H1409" s="164">
        <v>1623501.0</v>
      </c>
      <c r="I1409" s="1">
        <v>42.0</v>
      </c>
    </row>
    <row r="1410" ht="15.75" customHeight="1">
      <c r="A1410" s="1">
        <v>5523717.0</v>
      </c>
      <c r="B1410" s="1" t="s">
        <v>4436</v>
      </c>
      <c r="C1410" s="1" t="s">
        <v>4437</v>
      </c>
      <c r="D1410" s="1" t="s">
        <v>224</v>
      </c>
      <c r="E1410" s="1" t="s">
        <v>2069</v>
      </c>
      <c r="F1410" s="1" t="s">
        <v>6717</v>
      </c>
      <c r="G1410" s="1" t="str">
        <f>IFERROR(VLOOKUP(A1410,H_C!$A$2:$G$2628,7,0),"Validar HC")</f>
        <v>Garatejo, Natalia</v>
      </c>
      <c r="H1410" s="164">
        <v>1623501.0</v>
      </c>
      <c r="I1410" s="1">
        <v>42.0</v>
      </c>
    </row>
    <row r="1411" ht="15.75" customHeight="1">
      <c r="A1411" s="1">
        <v>5523722.0</v>
      </c>
      <c r="B1411" s="1" t="s">
        <v>6768</v>
      </c>
      <c r="C1411" s="1" t="s">
        <v>6769</v>
      </c>
      <c r="D1411" s="1" t="s">
        <v>224</v>
      </c>
      <c r="E1411" s="1" t="s">
        <v>289</v>
      </c>
      <c r="F1411" s="1" t="s">
        <v>6717</v>
      </c>
      <c r="G1411" s="1" t="str">
        <f>IFERROR(VLOOKUP(A1411,H_C!$A$2:$G$2628,7,0),"Validar HC")</f>
        <v>Validar HC</v>
      </c>
      <c r="H1411" s="164">
        <v>1623501.0</v>
      </c>
      <c r="I1411" s="1">
        <v>42.0</v>
      </c>
    </row>
    <row r="1412" ht="15.75" customHeight="1">
      <c r="A1412" s="1">
        <v>5524914.0</v>
      </c>
      <c r="B1412" s="1" t="s">
        <v>3608</v>
      </c>
      <c r="C1412" s="1" t="s">
        <v>3609</v>
      </c>
      <c r="D1412" s="1" t="s">
        <v>224</v>
      </c>
      <c r="E1412" s="1" t="s">
        <v>118</v>
      </c>
      <c r="F1412" s="1" t="s">
        <v>6717</v>
      </c>
      <c r="G1412" s="1" t="str">
        <f>IFERROR(VLOOKUP(A1412,H_C!$A$2:$G$2628,7,0),"Validar HC")</f>
        <v>Ospina, Michel</v>
      </c>
      <c r="H1412" s="164">
        <v>1623501.0</v>
      </c>
      <c r="I1412" s="1">
        <v>42.0</v>
      </c>
    </row>
    <row r="1413" ht="15.75" customHeight="1">
      <c r="A1413" s="1">
        <v>5528018.0</v>
      </c>
      <c r="B1413" s="1" t="s">
        <v>4166</v>
      </c>
      <c r="C1413" s="1" t="s">
        <v>4167</v>
      </c>
      <c r="D1413" s="1" t="s">
        <v>224</v>
      </c>
      <c r="E1413" s="1" t="s">
        <v>506</v>
      </c>
      <c r="F1413" s="1" t="s">
        <v>6717</v>
      </c>
      <c r="G1413" s="1" t="str">
        <f>IFERROR(VLOOKUP(A1413,H_C!$A$2:$G$2628,7,0),"Validar HC")</f>
        <v>Ospina, Michel</v>
      </c>
      <c r="H1413" s="164">
        <v>1623501.0</v>
      </c>
      <c r="I1413" s="1">
        <v>42.0</v>
      </c>
    </row>
    <row r="1414" ht="15.75" customHeight="1">
      <c r="A1414" s="1">
        <v>5528024.0</v>
      </c>
      <c r="B1414" s="1" t="s">
        <v>3920</v>
      </c>
      <c r="C1414" s="1" t="s">
        <v>3921</v>
      </c>
      <c r="D1414" s="1" t="s">
        <v>224</v>
      </c>
      <c r="E1414" s="1" t="s">
        <v>506</v>
      </c>
      <c r="F1414" s="1" t="s">
        <v>6717</v>
      </c>
      <c r="G1414" s="1" t="str">
        <f>IFERROR(VLOOKUP(A1414,H_C!$A$2:$G$2628,7,0),"Validar HC")</f>
        <v>Ospina, Michel</v>
      </c>
      <c r="H1414" s="164">
        <v>1623501.0</v>
      </c>
      <c r="I1414" s="1">
        <v>42.0</v>
      </c>
    </row>
    <row r="1415" ht="15.75" customHeight="1">
      <c r="A1415" s="1">
        <v>5134626.0</v>
      </c>
      <c r="B1415" s="1" t="s">
        <v>43</v>
      </c>
      <c r="C1415" s="1" t="s">
        <v>3016</v>
      </c>
      <c r="D1415" s="1" t="s">
        <v>224</v>
      </c>
      <c r="E1415" s="1" t="s">
        <v>13</v>
      </c>
      <c r="F1415" s="1" t="s">
        <v>6717</v>
      </c>
      <c r="G1415" s="1" t="str">
        <f>IFERROR(VLOOKUP(A1415,H_C!$A$2:$G$2628,7,0),"Validar HC")</f>
        <v>Ospina, Michel</v>
      </c>
      <c r="H1415" s="162">
        <v>1600000.0</v>
      </c>
      <c r="I1415" s="1">
        <v>42.0</v>
      </c>
    </row>
    <row r="1416" ht="15.75" customHeight="1">
      <c r="A1416" s="1">
        <v>5528030.0</v>
      </c>
      <c r="B1416" s="1" t="s">
        <v>2387</v>
      </c>
      <c r="C1416" s="1" t="s">
        <v>2388</v>
      </c>
      <c r="D1416" s="1" t="s">
        <v>224</v>
      </c>
      <c r="E1416" s="1" t="s">
        <v>81</v>
      </c>
      <c r="F1416" s="1" t="s">
        <v>6717</v>
      </c>
      <c r="G1416" s="1" t="str">
        <f>IFERROR(VLOOKUP(A1416,H_C!$A$2:$G$2628,7,0),"Validar HC")</f>
        <v>Ospina, Michel</v>
      </c>
      <c r="H1416" s="164">
        <v>1623501.0</v>
      </c>
      <c r="I1416" s="1">
        <v>42.0</v>
      </c>
    </row>
    <row r="1417" ht="15.75" customHeight="1">
      <c r="A1417" s="1">
        <v>5528120.0</v>
      </c>
      <c r="B1417" s="1" t="s">
        <v>3894</v>
      </c>
      <c r="C1417" s="1" t="s">
        <v>3895</v>
      </c>
      <c r="D1417" s="1" t="s">
        <v>224</v>
      </c>
      <c r="E1417" s="1" t="s">
        <v>478</v>
      </c>
      <c r="F1417" s="1" t="s">
        <v>6717</v>
      </c>
      <c r="G1417" s="1" t="str">
        <f>IFERROR(VLOOKUP(A1417,H_C!$A$2:$G$2628,7,0),"Validar HC")</f>
        <v>Celi, Juan</v>
      </c>
      <c r="H1417" s="164">
        <v>1623501.0</v>
      </c>
      <c r="I1417" s="1">
        <v>42.0</v>
      </c>
    </row>
    <row r="1418" ht="15.75" customHeight="1">
      <c r="A1418" s="1">
        <v>5528131.0</v>
      </c>
      <c r="B1418" s="1" t="s">
        <v>1624</v>
      </c>
      <c r="C1418" s="1" t="s">
        <v>1625</v>
      </c>
      <c r="D1418" s="1" t="s">
        <v>224</v>
      </c>
      <c r="E1418" s="1" t="s">
        <v>297</v>
      </c>
      <c r="F1418" s="1" t="s">
        <v>6717</v>
      </c>
      <c r="G1418" s="1" t="str">
        <f>IFERROR(VLOOKUP(A1418,H_C!$A$2:$G$2628,7,0),"Validar HC")</f>
        <v>Garatejo, Natalia</v>
      </c>
      <c r="H1418" s="164">
        <v>1623501.0</v>
      </c>
      <c r="I1418" s="1">
        <v>42.0</v>
      </c>
    </row>
    <row r="1419" ht="15.75" customHeight="1">
      <c r="A1419" s="1">
        <v>5528138.0</v>
      </c>
      <c r="B1419" s="1" t="s">
        <v>2697</v>
      </c>
      <c r="C1419" s="1" t="s">
        <v>2698</v>
      </c>
      <c r="D1419" s="1" t="s">
        <v>224</v>
      </c>
      <c r="E1419" s="1" t="s">
        <v>478</v>
      </c>
      <c r="F1419" s="1" t="s">
        <v>6717</v>
      </c>
      <c r="G1419" s="1" t="str">
        <f>IFERROR(VLOOKUP(A1419,H_C!$A$2:$G$2628,7,0),"Validar HC")</f>
        <v>Celi, Juan</v>
      </c>
      <c r="H1419" s="164">
        <v>1623501.0</v>
      </c>
      <c r="I1419" s="1">
        <v>42.0</v>
      </c>
    </row>
    <row r="1420" ht="15.75" customHeight="1">
      <c r="A1420" s="1">
        <v>5528166.0</v>
      </c>
      <c r="B1420" s="1" t="s">
        <v>4446</v>
      </c>
      <c r="C1420" s="1" t="s">
        <v>4447</v>
      </c>
      <c r="D1420" s="1" t="s">
        <v>224</v>
      </c>
      <c r="E1420" s="1" t="s">
        <v>1932</v>
      </c>
      <c r="F1420" s="1" t="s">
        <v>6717</v>
      </c>
      <c r="G1420" s="1" t="str">
        <f>IFERROR(VLOOKUP(A1420,H_C!$A$2:$G$2628,7,0),"Validar HC")</f>
        <v>Garatejo, Natalia</v>
      </c>
      <c r="H1420" s="164">
        <v>1623501.0</v>
      </c>
      <c r="I1420" s="1">
        <v>42.0</v>
      </c>
    </row>
    <row r="1421" ht="15.75" customHeight="1">
      <c r="A1421" s="1">
        <v>5528866.0</v>
      </c>
      <c r="B1421" s="1" t="s">
        <v>4404</v>
      </c>
      <c r="C1421" s="1" t="s">
        <v>4405</v>
      </c>
      <c r="D1421" s="1" t="s">
        <v>224</v>
      </c>
      <c r="E1421" s="1" t="s">
        <v>1602</v>
      </c>
      <c r="F1421" s="1" t="s">
        <v>6717</v>
      </c>
      <c r="G1421" s="1" t="str">
        <f>IFERROR(VLOOKUP(A1421,H_C!$A$2:$G$2628,7,0),"Validar HC")</f>
        <v>Ayala, Giselle</v>
      </c>
      <c r="H1421" s="164">
        <v>1623501.0</v>
      </c>
      <c r="I1421" s="1">
        <v>42.0</v>
      </c>
    </row>
    <row r="1422" ht="15.75" customHeight="1">
      <c r="A1422" s="1">
        <v>5529065.0</v>
      </c>
      <c r="B1422" s="1" t="s">
        <v>3368</v>
      </c>
      <c r="C1422" s="1" t="s">
        <v>3369</v>
      </c>
      <c r="D1422" s="1" t="s">
        <v>224</v>
      </c>
      <c r="E1422" s="1" t="s">
        <v>254</v>
      </c>
      <c r="F1422" s="1" t="s">
        <v>6717</v>
      </c>
      <c r="G1422" s="1" t="str">
        <f>IFERROR(VLOOKUP(A1422,H_C!$A$2:$G$2628,7,0),"Validar HC")</f>
        <v>Gonzalez, Cristian</v>
      </c>
      <c r="H1422" s="164">
        <v>1623501.0</v>
      </c>
      <c r="I1422" s="1">
        <v>42.0</v>
      </c>
    </row>
    <row r="1423" ht="15.75" customHeight="1">
      <c r="A1423" s="1">
        <v>5529067.0</v>
      </c>
      <c r="B1423" s="1" t="s">
        <v>2211</v>
      </c>
      <c r="C1423" s="1" t="s">
        <v>2212</v>
      </c>
      <c r="D1423" s="1" t="s">
        <v>224</v>
      </c>
      <c r="E1423" s="1" t="s">
        <v>813</v>
      </c>
      <c r="F1423" s="1" t="s">
        <v>6717</v>
      </c>
      <c r="G1423" s="1" t="str">
        <f>IFERROR(VLOOKUP(A1423,H_C!$A$2:$G$2628,7,0),"Validar HC")</f>
        <v>Garatejo, Natalia</v>
      </c>
      <c r="H1423" s="164">
        <v>1623501.0</v>
      </c>
      <c r="I1423" s="1">
        <v>42.0</v>
      </c>
    </row>
    <row r="1424" ht="15.75" customHeight="1">
      <c r="A1424" s="1">
        <v>5529068.0</v>
      </c>
      <c r="B1424" s="1" t="s">
        <v>4378</v>
      </c>
      <c r="C1424" s="1" t="s">
        <v>4379</v>
      </c>
      <c r="D1424" s="1" t="s">
        <v>224</v>
      </c>
      <c r="E1424" s="1" t="s">
        <v>1602</v>
      </c>
      <c r="F1424" s="1" t="s">
        <v>6717</v>
      </c>
      <c r="G1424" s="1" t="str">
        <f>IFERROR(VLOOKUP(A1424,H_C!$A$2:$G$2628,7,0),"Validar HC")</f>
        <v>Ayala, Giselle</v>
      </c>
      <c r="H1424" s="164">
        <v>1623501.0</v>
      </c>
      <c r="I1424" s="1">
        <v>42.0</v>
      </c>
    </row>
    <row r="1425" ht="15.75" customHeight="1">
      <c r="A1425" s="1">
        <v>5529131.0</v>
      </c>
      <c r="B1425" s="1" t="s">
        <v>3348</v>
      </c>
      <c r="C1425" s="1" t="s">
        <v>3349</v>
      </c>
      <c r="D1425" s="1" t="s">
        <v>224</v>
      </c>
      <c r="E1425" s="1" t="s">
        <v>263</v>
      </c>
      <c r="F1425" s="1" t="s">
        <v>6717</v>
      </c>
      <c r="G1425" s="1" t="str">
        <f>IFERROR(VLOOKUP(A1425,H_C!$A$2:$G$2628,7,0),"Validar HC")</f>
        <v>Garcia, Helmer</v>
      </c>
      <c r="H1425" s="164">
        <v>1623501.0</v>
      </c>
      <c r="I1425" s="1">
        <v>42.0</v>
      </c>
    </row>
    <row r="1426" ht="15.75" customHeight="1">
      <c r="A1426" s="1">
        <v>5529138.0</v>
      </c>
      <c r="B1426" s="1" t="s">
        <v>4452</v>
      </c>
      <c r="C1426" s="1" t="s">
        <v>4453</v>
      </c>
      <c r="D1426" s="1" t="s">
        <v>224</v>
      </c>
      <c r="E1426" s="1" t="s">
        <v>555</v>
      </c>
      <c r="F1426" s="1" t="s">
        <v>6717</v>
      </c>
      <c r="G1426" s="1" t="str">
        <f>IFERROR(VLOOKUP(A1426,H_C!$A$2:$G$2628,7,0),"Validar HC")</f>
        <v>Ayala, Giselle</v>
      </c>
      <c r="H1426" s="164">
        <v>1623501.0</v>
      </c>
      <c r="I1426" s="1">
        <v>42.0</v>
      </c>
    </row>
    <row r="1427" ht="15.75" customHeight="1">
      <c r="A1427" s="1">
        <v>5529171.0</v>
      </c>
      <c r="B1427" s="1" t="s">
        <v>4456</v>
      </c>
      <c r="C1427" s="1" t="s">
        <v>4457</v>
      </c>
      <c r="D1427" s="1" t="s">
        <v>224</v>
      </c>
      <c r="E1427" s="1" t="s">
        <v>847</v>
      </c>
      <c r="F1427" s="1" t="s">
        <v>6717</v>
      </c>
      <c r="G1427" s="1" t="str">
        <f>IFERROR(VLOOKUP(A1427,H_C!$A$2:$G$2628,7,0),"Validar HC")</f>
        <v>Garatejo, Natalia</v>
      </c>
      <c r="H1427" s="164">
        <v>1623501.0</v>
      </c>
      <c r="I1427" s="1">
        <v>42.0</v>
      </c>
    </row>
    <row r="1428" ht="15.75" customHeight="1">
      <c r="A1428" s="1">
        <v>5529191.0</v>
      </c>
      <c r="B1428" s="1" t="s">
        <v>1555</v>
      </c>
      <c r="C1428" s="1" t="s">
        <v>1556</v>
      </c>
      <c r="D1428" s="1" t="s">
        <v>224</v>
      </c>
      <c r="E1428" s="1" t="s">
        <v>478</v>
      </c>
      <c r="F1428" s="1" t="s">
        <v>6717</v>
      </c>
      <c r="G1428" s="1" t="str">
        <f>IFERROR(VLOOKUP(A1428,H_C!$A$2:$G$2628,7,0),"Validar HC")</f>
        <v>Celi, Juan</v>
      </c>
      <c r="H1428" s="164">
        <v>1623501.0</v>
      </c>
      <c r="I1428" s="1">
        <v>42.0</v>
      </c>
    </row>
    <row r="1429" ht="15.75" customHeight="1">
      <c r="A1429" s="1">
        <v>5529192.0</v>
      </c>
      <c r="B1429" s="1" t="s">
        <v>1434</v>
      </c>
      <c r="C1429" s="1" t="s">
        <v>1435</v>
      </c>
      <c r="D1429" s="1" t="s">
        <v>224</v>
      </c>
      <c r="E1429" s="1" t="s">
        <v>738</v>
      </c>
      <c r="F1429" s="1" t="s">
        <v>6717</v>
      </c>
      <c r="G1429" s="1" t="str">
        <f>IFERROR(VLOOKUP(A1429,H_C!$A$2:$G$2628,7,0),"Validar HC")</f>
        <v>Garcia, Helmer</v>
      </c>
      <c r="H1429" s="164">
        <v>1623501.0</v>
      </c>
      <c r="I1429" s="1">
        <v>42.0</v>
      </c>
    </row>
    <row r="1430" ht="15.75" customHeight="1">
      <c r="A1430" s="1">
        <v>5530083.0</v>
      </c>
      <c r="B1430" s="1" t="s">
        <v>4458</v>
      </c>
      <c r="C1430" s="1" t="s">
        <v>4459</v>
      </c>
      <c r="D1430" s="1" t="s">
        <v>224</v>
      </c>
      <c r="E1430" s="1" t="s">
        <v>813</v>
      </c>
      <c r="F1430" s="1" t="s">
        <v>6717</v>
      </c>
      <c r="G1430" s="1" t="str">
        <f>IFERROR(VLOOKUP(A1430,H_C!$A$2:$G$2628,7,0),"Validar HC")</f>
        <v>Garatejo, Natalia</v>
      </c>
      <c r="H1430" s="164">
        <v>1623501.0</v>
      </c>
      <c r="I1430" s="1">
        <v>42.0</v>
      </c>
    </row>
    <row r="1431" ht="15.75" customHeight="1">
      <c r="A1431" s="1">
        <v>5530084.0</v>
      </c>
      <c r="B1431" s="1" t="s">
        <v>3752</v>
      </c>
      <c r="C1431" s="1" t="s">
        <v>3753</v>
      </c>
      <c r="D1431" s="1" t="s">
        <v>224</v>
      </c>
      <c r="E1431" s="1" t="s">
        <v>555</v>
      </c>
      <c r="F1431" s="1" t="s">
        <v>6717</v>
      </c>
      <c r="G1431" s="1" t="str">
        <f>IFERROR(VLOOKUP(A1431,H_C!$A$2:$G$2628,7,0),"Validar HC")</f>
        <v>Ayala, Giselle</v>
      </c>
      <c r="H1431" s="164">
        <v>1623501.0</v>
      </c>
      <c r="I1431" s="1">
        <v>42.0</v>
      </c>
    </row>
    <row r="1432" ht="15.75" customHeight="1">
      <c r="A1432" s="1">
        <v>5530085.0</v>
      </c>
      <c r="B1432" s="1" t="s">
        <v>3754</v>
      </c>
      <c r="C1432" s="1" t="s">
        <v>3755</v>
      </c>
      <c r="D1432" s="1" t="s">
        <v>224</v>
      </c>
      <c r="E1432" s="1" t="s">
        <v>555</v>
      </c>
      <c r="F1432" s="1" t="s">
        <v>6717</v>
      </c>
      <c r="G1432" s="1" t="str">
        <f>IFERROR(VLOOKUP(A1432,H_C!$A$2:$G$2628,7,0),"Validar HC")</f>
        <v>Ayala, Giselle</v>
      </c>
      <c r="H1432" s="164">
        <v>1623501.0</v>
      </c>
      <c r="I1432" s="1">
        <v>42.0</v>
      </c>
    </row>
    <row r="1433" ht="15.75" customHeight="1">
      <c r="A1433" s="1">
        <v>5530086.0</v>
      </c>
      <c r="B1433" s="1" t="s">
        <v>3758</v>
      </c>
      <c r="C1433" s="1" t="s">
        <v>3759</v>
      </c>
      <c r="D1433" s="1" t="s">
        <v>224</v>
      </c>
      <c r="E1433" s="1" t="s">
        <v>555</v>
      </c>
      <c r="F1433" s="1" t="s">
        <v>6717</v>
      </c>
      <c r="G1433" s="1" t="str">
        <f>IFERROR(VLOOKUP(A1433,H_C!$A$2:$G$2628,7,0),"Validar HC")</f>
        <v>Ayala, Giselle</v>
      </c>
      <c r="H1433" s="164">
        <v>1623501.0</v>
      </c>
      <c r="I1433" s="1">
        <v>42.0</v>
      </c>
    </row>
    <row r="1434" ht="15.75" customHeight="1">
      <c r="A1434" s="1">
        <v>5530139.0</v>
      </c>
      <c r="B1434" s="1" t="s">
        <v>4462</v>
      </c>
      <c r="C1434" s="1" t="s">
        <v>4463</v>
      </c>
      <c r="D1434" s="1" t="s">
        <v>224</v>
      </c>
      <c r="E1434" s="1" t="s">
        <v>847</v>
      </c>
      <c r="F1434" s="1" t="s">
        <v>6717</v>
      </c>
      <c r="G1434" s="1" t="str">
        <f>IFERROR(VLOOKUP(A1434,H_C!$A$2:$G$2628,7,0),"Validar HC")</f>
        <v>Garatejo, Natalia</v>
      </c>
      <c r="H1434" s="164">
        <v>1623501.0</v>
      </c>
      <c r="I1434" s="1">
        <v>42.0</v>
      </c>
    </row>
    <row r="1435" ht="15.75" customHeight="1">
      <c r="A1435" s="1">
        <v>5530153.0</v>
      </c>
      <c r="B1435" s="1" t="s">
        <v>2699</v>
      </c>
      <c r="C1435" s="1" t="s">
        <v>2700</v>
      </c>
      <c r="D1435" s="1" t="s">
        <v>224</v>
      </c>
      <c r="E1435" s="1" t="s">
        <v>478</v>
      </c>
      <c r="F1435" s="1" t="s">
        <v>6717</v>
      </c>
      <c r="G1435" s="1" t="str">
        <f>IFERROR(VLOOKUP(A1435,H_C!$A$2:$G$2628,7,0),"Validar HC")</f>
        <v>Celi, Juan</v>
      </c>
      <c r="H1435" s="164">
        <v>1623501.0</v>
      </c>
      <c r="I1435" s="1">
        <v>42.0</v>
      </c>
    </row>
    <row r="1436" ht="15.75" customHeight="1">
      <c r="A1436" s="1">
        <v>5530157.0</v>
      </c>
      <c r="B1436" s="1" t="s">
        <v>4468</v>
      </c>
      <c r="C1436" s="1" t="s">
        <v>4469</v>
      </c>
      <c r="D1436" s="1" t="s">
        <v>224</v>
      </c>
      <c r="E1436" s="1" t="s">
        <v>847</v>
      </c>
      <c r="F1436" s="1" t="s">
        <v>6717</v>
      </c>
      <c r="G1436" s="1" t="str">
        <f>IFERROR(VLOOKUP(A1436,H_C!$A$2:$G$2628,7,0),"Validar HC")</f>
        <v>Garatejo, Natalia</v>
      </c>
      <c r="H1436" s="164">
        <v>1623501.0</v>
      </c>
      <c r="I1436" s="1">
        <v>42.0</v>
      </c>
    </row>
    <row r="1437" ht="15.75" customHeight="1">
      <c r="A1437" s="1">
        <v>5530226.0</v>
      </c>
      <c r="B1437" s="1" t="s">
        <v>1600</v>
      </c>
      <c r="C1437" s="1" t="s">
        <v>1601</v>
      </c>
      <c r="D1437" s="1" t="s">
        <v>224</v>
      </c>
      <c r="E1437" s="1" t="s">
        <v>478</v>
      </c>
      <c r="F1437" s="1" t="s">
        <v>6717</v>
      </c>
      <c r="G1437" s="1" t="str">
        <f>IFERROR(VLOOKUP(A1437,H_C!$A$2:$G$2628,7,0),"Validar HC")</f>
        <v>Celi, Juan</v>
      </c>
      <c r="H1437" s="164">
        <v>1623501.0</v>
      </c>
      <c r="I1437" s="1">
        <v>42.0</v>
      </c>
    </row>
    <row r="1438" ht="15.75" customHeight="1">
      <c r="A1438" s="1">
        <v>5530338.0</v>
      </c>
      <c r="B1438" s="1" t="s">
        <v>4474</v>
      </c>
      <c r="C1438" s="1" t="s">
        <v>4475</v>
      </c>
      <c r="D1438" s="1" t="s">
        <v>224</v>
      </c>
      <c r="E1438" s="1" t="s">
        <v>478</v>
      </c>
      <c r="F1438" s="1" t="s">
        <v>6717</v>
      </c>
      <c r="G1438" s="1" t="str">
        <f>IFERROR(VLOOKUP(A1438,H_C!$A$2:$G$2628,7,0),"Validar HC")</f>
        <v>Celi, Juan</v>
      </c>
      <c r="H1438" s="164">
        <v>1623501.0</v>
      </c>
      <c r="I1438" s="1">
        <v>42.0</v>
      </c>
    </row>
    <row r="1439" ht="15.75" customHeight="1">
      <c r="A1439" s="1">
        <v>5533340.0</v>
      </c>
      <c r="B1439" s="1" t="s">
        <v>4476</v>
      </c>
      <c r="C1439" s="1" t="s">
        <v>4477</v>
      </c>
      <c r="D1439" s="1" t="s">
        <v>224</v>
      </c>
      <c r="E1439" s="1" t="s">
        <v>2069</v>
      </c>
      <c r="F1439" s="1" t="s">
        <v>6717</v>
      </c>
      <c r="G1439" s="1" t="str">
        <f>IFERROR(VLOOKUP(A1439,H_C!$A$2:$G$2628,7,0),"Validar HC")</f>
        <v>Garatejo, Natalia</v>
      </c>
      <c r="H1439" s="164">
        <v>1623501.0</v>
      </c>
      <c r="I1439" s="1">
        <v>42.0</v>
      </c>
    </row>
    <row r="1440" ht="15.75" customHeight="1">
      <c r="A1440" s="1">
        <v>5533341.0</v>
      </c>
      <c r="B1440" s="1" t="s">
        <v>4478</v>
      </c>
      <c r="C1440" s="1" t="s">
        <v>4479</v>
      </c>
      <c r="D1440" s="1" t="s">
        <v>224</v>
      </c>
      <c r="E1440" s="1" t="s">
        <v>2069</v>
      </c>
      <c r="F1440" s="1" t="s">
        <v>6717</v>
      </c>
      <c r="G1440" s="1" t="str">
        <f>IFERROR(VLOOKUP(A1440,H_C!$A$2:$G$2628,7,0),"Validar HC")</f>
        <v>Garatejo, Natalia</v>
      </c>
      <c r="H1440" s="164">
        <v>1623501.0</v>
      </c>
      <c r="I1440" s="1">
        <v>42.0</v>
      </c>
    </row>
    <row r="1441" ht="15.75" customHeight="1">
      <c r="A1441" s="1">
        <v>5533343.0</v>
      </c>
      <c r="B1441" s="1" t="s">
        <v>4482</v>
      </c>
      <c r="C1441" s="1" t="s">
        <v>4483</v>
      </c>
      <c r="D1441" s="1" t="s">
        <v>224</v>
      </c>
      <c r="E1441" s="1" t="s">
        <v>425</v>
      </c>
      <c r="F1441" s="1" t="s">
        <v>6717</v>
      </c>
      <c r="G1441" s="1" t="str">
        <f>IFERROR(VLOOKUP(A1441,H_C!$A$2:$G$2628,7,0),"Validar HC")</f>
        <v>Ospina, Michel</v>
      </c>
      <c r="H1441" s="164">
        <v>1623501.0</v>
      </c>
      <c r="I1441" s="1">
        <v>42.0</v>
      </c>
    </row>
    <row r="1442" ht="15.75" customHeight="1">
      <c r="A1442" s="1">
        <v>5533467.0</v>
      </c>
      <c r="B1442" s="1" t="s">
        <v>4486</v>
      </c>
      <c r="C1442" s="1" t="s">
        <v>4487</v>
      </c>
      <c r="D1442" s="1" t="s">
        <v>224</v>
      </c>
      <c r="E1442" s="1" t="s">
        <v>289</v>
      </c>
      <c r="F1442" s="1" t="s">
        <v>6717</v>
      </c>
      <c r="G1442" s="1" t="str">
        <f>IFERROR(VLOOKUP(A1442,H_C!$A$2:$G$2628,7,0),"Validar HC")</f>
        <v>Celi, Juan</v>
      </c>
      <c r="H1442" s="164">
        <v>1623501.0</v>
      </c>
      <c r="I1442" s="1">
        <v>42.0</v>
      </c>
    </row>
    <row r="1443" ht="15.75" customHeight="1">
      <c r="A1443" s="1">
        <v>5533488.0</v>
      </c>
      <c r="B1443" s="1" t="s">
        <v>3059</v>
      </c>
      <c r="C1443" s="1" t="s">
        <v>3060</v>
      </c>
      <c r="D1443" s="1" t="s">
        <v>224</v>
      </c>
      <c r="E1443" s="1" t="s">
        <v>1363</v>
      </c>
      <c r="F1443" s="1" t="s">
        <v>6717</v>
      </c>
      <c r="G1443" s="1" t="str">
        <f>IFERROR(VLOOKUP(A1443,H_C!$A$2:$G$2628,7,0),"Validar HC")</f>
        <v>Osorio, Julian</v>
      </c>
      <c r="H1443" s="164">
        <v>1623501.0</v>
      </c>
      <c r="I1443" s="1">
        <v>42.0</v>
      </c>
    </row>
    <row r="1444" ht="15.75" customHeight="1">
      <c r="A1444" s="1"/>
      <c r="B1444" s="1"/>
      <c r="C1444" s="1"/>
      <c r="D1444" s="1"/>
      <c r="E1444" s="1"/>
      <c r="F1444" s="1"/>
      <c r="G1444" s="1"/>
      <c r="H1444" s="162"/>
      <c r="I1444" s="1"/>
    </row>
    <row r="1445" ht="15.75" customHeight="1">
      <c r="A1445" s="1">
        <v>5533636.0</v>
      </c>
      <c r="B1445" s="1" t="s">
        <v>3173</v>
      </c>
      <c r="C1445" s="1" t="s">
        <v>3174</v>
      </c>
      <c r="D1445" s="1" t="s">
        <v>224</v>
      </c>
      <c r="E1445" s="1" t="s">
        <v>412</v>
      </c>
      <c r="F1445" s="1" t="s">
        <v>6717</v>
      </c>
      <c r="G1445" s="1" t="str">
        <f>IFERROR(VLOOKUP(A1445,H_C!$A$2:$G$2628,7,0),"Validar HC")</f>
        <v>Ospina, Michel</v>
      </c>
      <c r="H1445" s="164">
        <v>1623501.0</v>
      </c>
      <c r="I1445" s="1">
        <v>42.0</v>
      </c>
    </row>
    <row r="1446" ht="15.75" customHeight="1">
      <c r="A1446" s="1">
        <v>5534536.0</v>
      </c>
      <c r="B1446" s="1" t="s">
        <v>1155</v>
      </c>
      <c r="C1446" s="1" t="s">
        <v>1156</v>
      </c>
      <c r="D1446" s="1" t="s">
        <v>224</v>
      </c>
      <c r="E1446" s="1" t="s">
        <v>263</v>
      </c>
      <c r="F1446" s="1" t="s">
        <v>6717</v>
      </c>
      <c r="G1446" s="1" t="str">
        <f>IFERROR(VLOOKUP(A1446,H_C!$A$2:$G$2628,7,0),"Validar HC")</f>
        <v>Garcia, Helmer</v>
      </c>
      <c r="H1446" s="164">
        <v>1623501.0</v>
      </c>
      <c r="I1446" s="1">
        <v>42.0</v>
      </c>
    </row>
    <row r="1447" ht="15.75" customHeight="1">
      <c r="A1447" s="1">
        <v>5534539.0</v>
      </c>
      <c r="B1447" s="1" t="s">
        <v>4492</v>
      </c>
      <c r="C1447" s="1" t="s">
        <v>4493</v>
      </c>
      <c r="D1447" s="1" t="s">
        <v>224</v>
      </c>
      <c r="E1447" s="1" t="s">
        <v>738</v>
      </c>
      <c r="F1447" s="1" t="s">
        <v>6717</v>
      </c>
      <c r="G1447" s="1" t="str">
        <f>IFERROR(VLOOKUP(A1447,H_C!$A$2:$G$2628,7,0),"Validar HC")</f>
        <v>Garcia, Helmer</v>
      </c>
      <c r="H1447" s="164">
        <v>1623501.0</v>
      </c>
      <c r="I1447" s="1">
        <v>42.0</v>
      </c>
    </row>
    <row r="1448" ht="15.75" customHeight="1">
      <c r="A1448" s="1">
        <v>5534584.0</v>
      </c>
      <c r="B1448" s="1" t="s">
        <v>4496</v>
      </c>
      <c r="C1448" s="1" t="s">
        <v>4497</v>
      </c>
      <c r="D1448" s="1" t="s">
        <v>224</v>
      </c>
      <c r="E1448" s="1" t="s">
        <v>485</v>
      </c>
      <c r="F1448" s="1" t="s">
        <v>6717</v>
      </c>
      <c r="G1448" s="1" t="str">
        <f>IFERROR(VLOOKUP(A1448,H_C!$A$2:$G$2628,7,0),"Validar HC")</f>
        <v>Martinez, Wendy</v>
      </c>
      <c r="H1448" s="164">
        <v>1623501.0</v>
      </c>
      <c r="I1448" s="1">
        <v>42.0</v>
      </c>
    </row>
    <row r="1449" ht="15.75" customHeight="1">
      <c r="A1449" s="1">
        <v>5534887.0</v>
      </c>
      <c r="B1449" s="1" t="s">
        <v>4500</v>
      </c>
      <c r="C1449" s="1" t="s">
        <v>4501</v>
      </c>
      <c r="D1449" s="1" t="s">
        <v>224</v>
      </c>
      <c r="E1449" s="1" t="s">
        <v>1932</v>
      </c>
      <c r="F1449" s="1" t="s">
        <v>6717</v>
      </c>
      <c r="G1449" s="1" t="str">
        <f>IFERROR(VLOOKUP(A1449,H_C!$A$2:$G$2628,7,0),"Validar HC")</f>
        <v>Garatejo, Natalia</v>
      </c>
      <c r="H1449" s="164">
        <v>1623501.0</v>
      </c>
      <c r="I1449" s="1">
        <v>42.0</v>
      </c>
    </row>
    <row r="1450" ht="15.75" customHeight="1">
      <c r="A1450" s="1">
        <v>5537174.0</v>
      </c>
      <c r="B1450" s="1" t="s">
        <v>4504</v>
      </c>
      <c r="C1450" s="1" t="s">
        <v>4505</v>
      </c>
      <c r="D1450" s="1" t="s">
        <v>224</v>
      </c>
      <c r="E1450" s="1" t="s">
        <v>323</v>
      </c>
      <c r="F1450" s="1" t="s">
        <v>6717</v>
      </c>
      <c r="G1450" s="1" t="str">
        <f>IFERROR(VLOOKUP(A1450,H_C!$A$2:$G$2628,7,0),"Validar HC")</f>
        <v>Martinez, Wendy</v>
      </c>
      <c r="H1450" s="164">
        <v>1623501.0</v>
      </c>
      <c r="I1450" s="1">
        <v>42.0</v>
      </c>
    </row>
    <row r="1451" ht="15.75" customHeight="1">
      <c r="A1451" s="1">
        <v>5537177.0</v>
      </c>
      <c r="B1451" s="1" t="s">
        <v>3718</v>
      </c>
      <c r="C1451" s="1" t="s">
        <v>3719</v>
      </c>
      <c r="D1451" s="1" t="s">
        <v>224</v>
      </c>
      <c r="E1451" s="1" t="s">
        <v>485</v>
      </c>
      <c r="F1451" s="1" t="s">
        <v>6717</v>
      </c>
      <c r="G1451" s="1" t="str">
        <f>IFERROR(VLOOKUP(A1451,H_C!$A$2:$G$2628,7,0),"Validar HC")</f>
        <v>Martinez, Wendy</v>
      </c>
      <c r="H1451" s="164">
        <v>1623501.0</v>
      </c>
      <c r="I1451" s="1">
        <v>42.0</v>
      </c>
    </row>
    <row r="1452" ht="15.75" customHeight="1">
      <c r="A1452" s="1">
        <v>5537197.0</v>
      </c>
      <c r="B1452" s="1" t="s">
        <v>1814</v>
      </c>
      <c r="C1452" s="1" t="s">
        <v>1815</v>
      </c>
      <c r="D1452" s="1" t="s">
        <v>224</v>
      </c>
      <c r="E1452" s="1" t="s">
        <v>835</v>
      </c>
      <c r="F1452" s="1" t="s">
        <v>6717</v>
      </c>
      <c r="G1452" s="1" t="str">
        <f>IFERROR(VLOOKUP(A1452,H_C!$A$2:$G$2628,7,0),"Validar HC")</f>
        <v>Martinez, Wendy</v>
      </c>
      <c r="H1452" s="164">
        <v>1623501.0</v>
      </c>
      <c r="I1452" s="1">
        <v>42.0</v>
      </c>
    </row>
    <row r="1453" ht="15.75" customHeight="1">
      <c r="A1453" s="1">
        <v>5537603.0</v>
      </c>
      <c r="B1453" s="1" t="s">
        <v>4508</v>
      </c>
      <c r="C1453" s="1" t="s">
        <v>4509</v>
      </c>
      <c r="D1453" s="1" t="s">
        <v>224</v>
      </c>
      <c r="E1453" s="1" t="s">
        <v>289</v>
      </c>
      <c r="F1453" s="1" t="s">
        <v>6717</v>
      </c>
      <c r="G1453" s="1" t="str">
        <f>IFERROR(VLOOKUP(A1453,H_C!$A$2:$G$2628,7,0),"Validar HC")</f>
        <v>Celi, Juan</v>
      </c>
      <c r="H1453" s="164">
        <v>1623501.0</v>
      </c>
      <c r="I1453" s="1">
        <v>42.0</v>
      </c>
    </row>
    <row r="1454" ht="15.75" customHeight="1">
      <c r="A1454" s="1">
        <v>5537609.0</v>
      </c>
      <c r="B1454" s="1" t="s">
        <v>1480</v>
      </c>
      <c r="C1454" s="1" t="s">
        <v>1481</v>
      </c>
      <c r="D1454" s="1" t="s">
        <v>224</v>
      </c>
      <c r="E1454" s="1" t="s">
        <v>289</v>
      </c>
      <c r="F1454" s="1" t="s">
        <v>6717</v>
      </c>
      <c r="G1454" s="1" t="str">
        <f>IFERROR(VLOOKUP(A1454,H_C!$A$2:$G$2628,7,0),"Validar HC")</f>
        <v>Celi, Juan</v>
      </c>
      <c r="H1454" s="164">
        <v>1623501.0</v>
      </c>
      <c r="I1454" s="1">
        <v>42.0</v>
      </c>
    </row>
    <row r="1455" ht="15.75" customHeight="1">
      <c r="A1455" s="1">
        <v>5538365.0</v>
      </c>
      <c r="B1455" s="1" t="s">
        <v>1147</v>
      </c>
      <c r="C1455" s="1" t="s">
        <v>1148</v>
      </c>
      <c r="D1455" s="1" t="s">
        <v>224</v>
      </c>
      <c r="E1455" s="1" t="s">
        <v>724</v>
      </c>
      <c r="F1455" s="1" t="s">
        <v>6717</v>
      </c>
      <c r="G1455" s="1" t="str">
        <f>IFERROR(VLOOKUP(A1455,H_C!$A$2:$G$2628,7,0),"Validar HC")</f>
        <v>Garcia, Helmer</v>
      </c>
      <c r="H1455" s="164">
        <v>1623501.0</v>
      </c>
      <c r="I1455" s="1">
        <v>42.0</v>
      </c>
    </row>
    <row r="1456" ht="15.75" customHeight="1">
      <c r="A1456" s="1">
        <v>5538376.0</v>
      </c>
      <c r="B1456" s="1" t="s">
        <v>3787</v>
      </c>
      <c r="C1456" s="1" t="s">
        <v>3788</v>
      </c>
      <c r="D1456" s="1" t="s">
        <v>224</v>
      </c>
      <c r="E1456" s="1" t="s">
        <v>491</v>
      </c>
      <c r="F1456" s="1" t="s">
        <v>6717</v>
      </c>
      <c r="G1456" s="1" t="str">
        <f>IFERROR(VLOOKUP(A1456,H_C!$A$2:$G$2628,7,0),"Validar HC")</f>
        <v>Soler, Maria</v>
      </c>
      <c r="H1456" s="164">
        <v>1623501.0</v>
      </c>
      <c r="I1456" s="1">
        <v>42.0</v>
      </c>
    </row>
    <row r="1457" ht="15.75" customHeight="1">
      <c r="A1457" s="1">
        <v>5538392.0</v>
      </c>
      <c r="B1457" s="1" t="s">
        <v>3546</v>
      </c>
      <c r="C1457" s="1" t="s">
        <v>3547</v>
      </c>
      <c r="D1457" s="1" t="s">
        <v>224</v>
      </c>
      <c r="E1457" s="1" t="s">
        <v>467</v>
      </c>
      <c r="F1457" s="1" t="s">
        <v>6717</v>
      </c>
      <c r="G1457" s="1" t="str">
        <f>IFERROR(VLOOKUP(A1457,H_C!$A$2:$G$2628,7,0),"Validar HC")</f>
        <v>Martinez, Wendy</v>
      </c>
      <c r="H1457" s="164">
        <v>1623501.0</v>
      </c>
      <c r="I1457" s="1">
        <v>42.0</v>
      </c>
    </row>
    <row r="1458" ht="15.75" customHeight="1">
      <c r="A1458" s="1">
        <v>5538413.0</v>
      </c>
      <c r="B1458" s="1" t="s">
        <v>693</v>
      </c>
      <c r="C1458" s="1" t="s">
        <v>694</v>
      </c>
      <c r="D1458" s="1" t="s">
        <v>224</v>
      </c>
      <c r="E1458" s="1" t="s">
        <v>239</v>
      </c>
      <c r="F1458" s="1" t="s">
        <v>6717</v>
      </c>
      <c r="G1458" s="1" t="str">
        <f>IFERROR(VLOOKUP(A1458,H_C!$A$2:$G$2628,7,0),"Validar HC")</f>
        <v>Soler, Maria</v>
      </c>
      <c r="H1458" s="164">
        <v>1623501.0</v>
      </c>
      <c r="I1458" s="1">
        <v>42.0</v>
      </c>
    </row>
    <row r="1459" ht="15.75" customHeight="1">
      <c r="A1459" s="1">
        <v>5538416.0</v>
      </c>
      <c r="B1459" s="1" t="s">
        <v>4522</v>
      </c>
      <c r="C1459" s="1" t="s">
        <v>4523</v>
      </c>
      <c r="D1459" s="1" t="s">
        <v>224</v>
      </c>
      <c r="E1459" s="1" t="s">
        <v>232</v>
      </c>
      <c r="F1459" s="1" t="s">
        <v>6717</v>
      </c>
      <c r="G1459" s="1" t="str">
        <f>IFERROR(VLOOKUP(A1459,H_C!$A$2:$G$2628,7,0),"Validar HC")</f>
        <v>Soler, Maria</v>
      </c>
      <c r="H1459" s="164">
        <v>1623501.0</v>
      </c>
      <c r="I1459" s="1">
        <v>42.0</v>
      </c>
    </row>
    <row r="1460" ht="15.75" customHeight="1">
      <c r="A1460" s="1">
        <v>5538463.0</v>
      </c>
      <c r="B1460" s="1" t="s">
        <v>4524</v>
      </c>
      <c r="C1460" s="1" t="s">
        <v>4525</v>
      </c>
      <c r="D1460" s="1" t="s">
        <v>224</v>
      </c>
      <c r="E1460" s="1" t="s">
        <v>232</v>
      </c>
      <c r="F1460" s="1" t="s">
        <v>6717</v>
      </c>
      <c r="G1460" s="1" t="str">
        <f>IFERROR(VLOOKUP(A1460,H_C!$A$2:$G$2628,7,0),"Validar HC")</f>
        <v>Soler, Maria</v>
      </c>
      <c r="H1460" s="164">
        <v>1623501.0</v>
      </c>
      <c r="I1460" s="1">
        <v>42.0</v>
      </c>
    </row>
    <row r="1461" ht="15.75" customHeight="1">
      <c r="A1461" s="1">
        <v>5538476.0</v>
      </c>
      <c r="B1461" s="1" t="s">
        <v>4222</v>
      </c>
      <c r="C1461" s="1" t="s">
        <v>4223</v>
      </c>
      <c r="D1461" s="1" t="s">
        <v>224</v>
      </c>
      <c r="E1461" s="1" t="s">
        <v>491</v>
      </c>
      <c r="F1461" s="1" t="s">
        <v>6717</v>
      </c>
      <c r="G1461" s="1" t="str">
        <f>IFERROR(VLOOKUP(A1461,H_C!$A$2:$G$2628,7,0),"Validar HC")</f>
        <v>Soler, Maria</v>
      </c>
      <c r="H1461" s="164">
        <v>1623501.0</v>
      </c>
      <c r="I1461" s="1">
        <v>42.0</v>
      </c>
    </row>
    <row r="1462" ht="15.75" customHeight="1">
      <c r="A1462" s="1">
        <v>5538481.0</v>
      </c>
      <c r="B1462" s="1" t="s">
        <v>4206</v>
      </c>
      <c r="C1462" s="1" t="s">
        <v>4207</v>
      </c>
      <c r="D1462" s="1" t="s">
        <v>224</v>
      </c>
      <c r="E1462" s="1" t="s">
        <v>491</v>
      </c>
      <c r="F1462" s="1" t="s">
        <v>6717</v>
      </c>
      <c r="G1462" s="1" t="str">
        <f>IFERROR(VLOOKUP(A1462,H_C!$A$2:$G$2628,7,0),"Validar HC")</f>
        <v>Soler, Maria</v>
      </c>
      <c r="H1462" s="164">
        <v>1623501.0</v>
      </c>
      <c r="I1462" s="1">
        <v>42.0</v>
      </c>
    </row>
    <row r="1463" ht="15.75" customHeight="1">
      <c r="A1463" s="1">
        <v>5538482.0</v>
      </c>
      <c r="B1463" s="1" t="s">
        <v>2899</v>
      </c>
      <c r="C1463" s="1" t="s">
        <v>2900</v>
      </c>
      <c r="D1463" s="1" t="s">
        <v>224</v>
      </c>
      <c r="E1463" s="1" t="s">
        <v>1186</v>
      </c>
      <c r="F1463" s="1" t="s">
        <v>6717</v>
      </c>
      <c r="G1463" s="1" t="str">
        <f>IFERROR(VLOOKUP(A1463,H_C!$A$2:$G$2628,7,0),"Validar HC")</f>
        <v>Soler, Maria</v>
      </c>
      <c r="H1463" s="164">
        <v>1623501.0</v>
      </c>
      <c r="I1463" s="1">
        <v>42.0</v>
      </c>
    </row>
    <row r="1464" ht="15.75" customHeight="1">
      <c r="A1464" s="1">
        <v>5538486.0</v>
      </c>
      <c r="B1464" s="1" t="s">
        <v>4532</v>
      </c>
      <c r="C1464" s="1" t="s">
        <v>4533</v>
      </c>
      <c r="D1464" s="1" t="s">
        <v>224</v>
      </c>
      <c r="E1464" s="1" t="s">
        <v>841</v>
      </c>
      <c r="F1464" s="1" t="s">
        <v>6717</v>
      </c>
      <c r="G1464" s="1" t="str">
        <f>IFERROR(VLOOKUP(A1464,H_C!$A$2:$G$2628,7,0),"Validar HC")</f>
        <v>Soler, Maria</v>
      </c>
      <c r="H1464" s="164">
        <v>1623501.0</v>
      </c>
      <c r="I1464" s="1">
        <v>42.0</v>
      </c>
    </row>
    <row r="1465" ht="15.75" customHeight="1">
      <c r="A1465" s="1">
        <v>5538520.0</v>
      </c>
      <c r="B1465" s="1" t="s">
        <v>303</v>
      </c>
      <c r="C1465" s="1" t="s">
        <v>304</v>
      </c>
      <c r="D1465" s="1" t="s">
        <v>224</v>
      </c>
      <c r="E1465" s="1" t="s">
        <v>222</v>
      </c>
      <c r="F1465" s="1" t="s">
        <v>6717</v>
      </c>
      <c r="G1465" s="1" t="str">
        <f>IFERROR(VLOOKUP(A1465,H_C!$A$2:$G$2628,7,0),"Validar HC")</f>
        <v>Soler, Maria</v>
      </c>
      <c r="H1465" s="164">
        <v>1623501.0</v>
      </c>
      <c r="I1465" s="1">
        <v>42.0</v>
      </c>
    </row>
    <row r="1466" ht="15.75" customHeight="1">
      <c r="A1466" s="1">
        <v>5538526.0</v>
      </c>
      <c r="B1466" s="1" t="s">
        <v>449</v>
      </c>
      <c r="C1466" s="1" t="s">
        <v>450</v>
      </c>
      <c r="D1466" s="1" t="s">
        <v>224</v>
      </c>
      <c r="E1466" s="1" t="s">
        <v>232</v>
      </c>
      <c r="F1466" s="1" t="s">
        <v>6717</v>
      </c>
      <c r="G1466" s="1" t="str">
        <f>IFERROR(VLOOKUP(A1466,H_C!$A$2:$G$2628,7,0),"Validar HC")</f>
        <v>Soler, Maria</v>
      </c>
      <c r="H1466" s="164">
        <v>1623501.0</v>
      </c>
      <c r="I1466" s="1">
        <v>42.0</v>
      </c>
    </row>
    <row r="1467" ht="15.75" customHeight="1">
      <c r="A1467" s="1">
        <v>5538528.0</v>
      </c>
      <c r="B1467" s="1" t="s">
        <v>4538</v>
      </c>
      <c r="C1467" s="1" t="s">
        <v>4539</v>
      </c>
      <c r="D1467" s="1" t="s">
        <v>224</v>
      </c>
      <c r="E1467" s="1" t="s">
        <v>232</v>
      </c>
      <c r="F1467" s="1" t="s">
        <v>6717</v>
      </c>
      <c r="G1467" s="1" t="str">
        <f>IFERROR(VLOOKUP(A1467,H_C!$A$2:$G$2628,7,0),"Validar HC")</f>
        <v>Soler, Maria</v>
      </c>
      <c r="H1467" s="164">
        <v>1623501.0</v>
      </c>
      <c r="I1467" s="1">
        <v>42.0</v>
      </c>
    </row>
    <row r="1468" ht="15.75" customHeight="1">
      <c r="A1468" s="1">
        <v>5538529.0</v>
      </c>
      <c r="B1468" s="1" t="s">
        <v>2821</v>
      </c>
      <c r="C1468" s="1" t="s">
        <v>2822</v>
      </c>
      <c r="D1468" s="1" t="s">
        <v>224</v>
      </c>
      <c r="E1468" s="1" t="s">
        <v>232</v>
      </c>
      <c r="F1468" s="1" t="s">
        <v>6717</v>
      </c>
      <c r="G1468" s="1" t="str">
        <f>IFERROR(VLOOKUP(A1468,H_C!$A$2:$G$2628,7,0),"Validar HC")</f>
        <v>Soler, Maria</v>
      </c>
      <c r="H1468" s="164">
        <v>1623501.0</v>
      </c>
      <c r="I1468" s="1">
        <v>42.0</v>
      </c>
    </row>
    <row r="1469" ht="15.75" customHeight="1">
      <c r="A1469" s="1">
        <v>5538845.0</v>
      </c>
      <c r="B1469" s="1" t="s">
        <v>4224</v>
      </c>
      <c r="C1469" s="1" t="s">
        <v>4225</v>
      </c>
      <c r="D1469" s="1" t="s">
        <v>224</v>
      </c>
      <c r="E1469" s="1" t="s">
        <v>491</v>
      </c>
      <c r="F1469" s="1" t="s">
        <v>6717</v>
      </c>
      <c r="G1469" s="1" t="str">
        <f>IFERROR(VLOOKUP(A1469,H_C!$A$2:$G$2628,7,0),"Validar HC")</f>
        <v>Soler, Maria</v>
      </c>
      <c r="H1469" s="164">
        <v>1623501.0</v>
      </c>
      <c r="I1469" s="1">
        <v>42.0</v>
      </c>
    </row>
    <row r="1470" ht="15.75" customHeight="1">
      <c r="A1470" s="1">
        <v>5538865.0</v>
      </c>
      <c r="B1470" s="1" t="s">
        <v>2930</v>
      </c>
      <c r="C1470" s="1" t="s">
        <v>2931</v>
      </c>
      <c r="D1470" s="1" t="s">
        <v>224</v>
      </c>
      <c r="E1470" s="1" t="s">
        <v>2069</v>
      </c>
      <c r="F1470" s="1" t="s">
        <v>6717</v>
      </c>
      <c r="G1470" s="1" t="str">
        <f>IFERROR(VLOOKUP(A1470,H_C!$A$2:$G$2628,7,0),"Validar HC")</f>
        <v>Soler, Maria</v>
      </c>
      <c r="H1470" s="164">
        <v>1623501.0</v>
      </c>
      <c r="I1470" s="1">
        <v>42.0</v>
      </c>
    </row>
    <row r="1471" ht="15.75" customHeight="1">
      <c r="A1471" s="1">
        <v>5538879.0</v>
      </c>
      <c r="B1471" s="1" t="s">
        <v>244</v>
      </c>
      <c r="C1471" s="1" t="s">
        <v>245</v>
      </c>
      <c r="D1471" s="1" t="s">
        <v>224</v>
      </c>
      <c r="E1471" s="1" t="s">
        <v>222</v>
      </c>
      <c r="F1471" s="1" t="s">
        <v>6717</v>
      </c>
      <c r="G1471" s="1" t="str">
        <f>IFERROR(VLOOKUP(A1471,H_C!$A$2:$G$2628,7,0),"Validar HC")</f>
        <v>Soler, Maria</v>
      </c>
      <c r="H1471" s="164">
        <v>1623501.0</v>
      </c>
      <c r="I1471" s="1">
        <v>42.0</v>
      </c>
    </row>
    <row r="1472" ht="15.75" customHeight="1">
      <c r="A1472" s="1">
        <v>5538886.0</v>
      </c>
      <c r="B1472" s="1" t="s">
        <v>4546</v>
      </c>
      <c r="C1472" s="1" t="s">
        <v>4547</v>
      </c>
      <c r="D1472" s="1" t="s">
        <v>224</v>
      </c>
      <c r="E1472" s="1" t="s">
        <v>232</v>
      </c>
      <c r="F1472" s="1" t="s">
        <v>6717</v>
      </c>
      <c r="G1472" s="1" t="str">
        <f>IFERROR(VLOOKUP(A1472,H_C!$A$2:$G$2628,7,0),"Validar HC")</f>
        <v>Soler, Maria</v>
      </c>
      <c r="H1472" s="164">
        <v>1623501.0</v>
      </c>
      <c r="I1472" s="1">
        <v>42.0</v>
      </c>
    </row>
    <row r="1473" ht="15.75" customHeight="1">
      <c r="A1473" s="1">
        <v>5538887.0</v>
      </c>
      <c r="B1473" s="1" t="s">
        <v>4548</v>
      </c>
      <c r="C1473" s="1" t="s">
        <v>4549</v>
      </c>
      <c r="D1473" s="1" t="s">
        <v>224</v>
      </c>
      <c r="E1473" s="1" t="s">
        <v>232</v>
      </c>
      <c r="F1473" s="1" t="s">
        <v>6717</v>
      </c>
      <c r="G1473" s="1" t="str">
        <f>IFERROR(VLOOKUP(A1473,H_C!$A$2:$G$2628,7,0),"Validar HC")</f>
        <v>Soler, Maria</v>
      </c>
      <c r="H1473" s="164">
        <v>1623501.0</v>
      </c>
      <c r="I1473" s="1">
        <v>42.0</v>
      </c>
    </row>
    <row r="1474" ht="15.75" customHeight="1">
      <c r="A1474" s="1">
        <v>5539554.0</v>
      </c>
      <c r="B1474" s="1" t="s">
        <v>4226</v>
      </c>
      <c r="C1474" s="1" t="s">
        <v>4227</v>
      </c>
      <c r="D1474" s="1" t="s">
        <v>224</v>
      </c>
      <c r="E1474" s="1" t="s">
        <v>3784</v>
      </c>
      <c r="F1474" s="1" t="s">
        <v>6717</v>
      </c>
      <c r="G1474" s="1" t="str">
        <f>IFERROR(VLOOKUP(A1474,H_C!$A$2:$G$2628,7,0),"Validar HC")</f>
        <v>Soler, Maria</v>
      </c>
      <c r="H1474" s="164">
        <v>1623501.0</v>
      </c>
      <c r="I1474" s="1">
        <v>42.0</v>
      </c>
    </row>
    <row r="1475" ht="15.75" customHeight="1">
      <c r="A1475" s="1">
        <v>5542574.0</v>
      </c>
      <c r="B1475" s="1" t="s">
        <v>3825</v>
      </c>
      <c r="C1475" s="1" t="s">
        <v>3826</v>
      </c>
      <c r="D1475" s="1" t="s">
        <v>224</v>
      </c>
      <c r="E1475" s="1" t="s">
        <v>738</v>
      </c>
      <c r="F1475" s="1" t="s">
        <v>6717</v>
      </c>
      <c r="G1475" s="1" t="str">
        <f>IFERROR(VLOOKUP(A1475,H_C!$A$2:$G$2628,7,0),"Validar HC")</f>
        <v>Garcia, Helmer</v>
      </c>
      <c r="H1475" s="164">
        <v>1623501.0</v>
      </c>
      <c r="I1475" s="1">
        <v>42.0</v>
      </c>
    </row>
    <row r="1476" ht="15.75" customHeight="1">
      <c r="A1476" s="1">
        <v>5545140.0</v>
      </c>
      <c r="B1476" s="1" t="s">
        <v>4552</v>
      </c>
      <c r="C1476" s="1" t="s">
        <v>4553</v>
      </c>
      <c r="D1476" s="1" t="s">
        <v>224</v>
      </c>
      <c r="E1476" s="1" t="s">
        <v>120</v>
      </c>
      <c r="F1476" s="1" t="s">
        <v>6717</v>
      </c>
      <c r="G1476" s="1" t="str">
        <f>IFERROR(VLOOKUP(A1476,H_C!$A$2:$G$2628,7,0),"Validar HC")</f>
        <v>Ospina, Michel</v>
      </c>
      <c r="H1476" s="164">
        <v>1623501.0</v>
      </c>
      <c r="I1476" s="1">
        <v>42.0</v>
      </c>
    </row>
    <row r="1477" ht="15.75" customHeight="1">
      <c r="A1477" s="1">
        <v>5545829.0</v>
      </c>
      <c r="B1477" s="1" t="s">
        <v>4512</v>
      </c>
      <c r="C1477" s="1" t="s">
        <v>4513</v>
      </c>
      <c r="D1477" s="1" t="s">
        <v>224</v>
      </c>
      <c r="E1477" s="1" t="s">
        <v>120</v>
      </c>
      <c r="F1477" s="1" t="s">
        <v>6717</v>
      </c>
      <c r="G1477" s="1" t="str">
        <f>IFERROR(VLOOKUP(A1477,H_C!$A$2:$G$2628,7,0),"Validar HC")</f>
        <v>Ospina, Michel</v>
      </c>
      <c r="H1477" s="164">
        <v>1623501.0</v>
      </c>
      <c r="I1477" s="1">
        <v>42.0</v>
      </c>
    </row>
    <row r="1478" ht="15.75" customHeight="1">
      <c r="A1478" s="1">
        <v>5546179.0</v>
      </c>
      <c r="B1478" s="1" t="s">
        <v>2531</v>
      </c>
      <c r="C1478" s="1" t="s">
        <v>2532</v>
      </c>
      <c r="D1478" s="1" t="s">
        <v>224</v>
      </c>
      <c r="E1478" s="1" t="s">
        <v>116</v>
      </c>
      <c r="F1478" s="1" t="s">
        <v>6717</v>
      </c>
      <c r="G1478" s="1" t="str">
        <f>IFERROR(VLOOKUP(A1478,H_C!$A$2:$G$2628,7,0),"Validar HC")</f>
        <v>Ospina, Michel</v>
      </c>
      <c r="H1478" s="164">
        <v>1623501.0</v>
      </c>
      <c r="I1478" s="1">
        <v>42.0</v>
      </c>
    </row>
    <row r="1479" ht="15.75" customHeight="1">
      <c r="A1479" s="1">
        <v>5546182.0</v>
      </c>
      <c r="B1479" s="1" t="s">
        <v>4558</v>
      </c>
      <c r="C1479" s="1" t="s">
        <v>4559</v>
      </c>
      <c r="D1479" s="1" t="s">
        <v>224</v>
      </c>
      <c r="E1479" s="1" t="s">
        <v>331</v>
      </c>
      <c r="F1479" s="1" t="s">
        <v>6717</v>
      </c>
      <c r="G1479" s="1" t="str">
        <f>IFERROR(VLOOKUP(A1479,H_C!$A$2:$G$2628,7,0),"Validar HC")</f>
        <v>Pereira, Jorge</v>
      </c>
      <c r="H1479" s="164">
        <v>1623501.0</v>
      </c>
      <c r="I1479" s="1">
        <v>42.0</v>
      </c>
    </row>
    <row r="1480" ht="15.75" customHeight="1">
      <c r="A1480" s="1">
        <v>5546184.0</v>
      </c>
      <c r="B1480" s="1" t="s">
        <v>2620</v>
      </c>
      <c r="C1480" s="1" t="s">
        <v>2621</v>
      </c>
      <c r="D1480" s="1" t="s">
        <v>224</v>
      </c>
      <c r="E1480" s="1" t="s">
        <v>412</v>
      </c>
      <c r="F1480" s="1" t="s">
        <v>6717</v>
      </c>
      <c r="G1480" s="1" t="str">
        <f>IFERROR(VLOOKUP(A1480,H_C!$A$2:$G$2628,7,0),"Validar HC")</f>
        <v>Ospina, Michel</v>
      </c>
      <c r="H1480" s="164">
        <v>1623501.0</v>
      </c>
      <c r="I1480" s="1">
        <v>42.0</v>
      </c>
    </row>
    <row r="1481" ht="15.75" customHeight="1">
      <c r="A1481" s="1">
        <v>5546185.0</v>
      </c>
      <c r="B1481" s="1" t="s">
        <v>2346</v>
      </c>
      <c r="C1481" s="1" t="s">
        <v>2347</v>
      </c>
      <c r="D1481" s="1" t="s">
        <v>224</v>
      </c>
      <c r="E1481" s="1" t="s">
        <v>81</v>
      </c>
      <c r="F1481" s="1" t="s">
        <v>6717</v>
      </c>
      <c r="G1481" s="1" t="str">
        <f>IFERROR(VLOOKUP(A1481,H_C!$A$2:$G$2628,7,0),"Validar HC")</f>
        <v>Ospina, Michel</v>
      </c>
      <c r="H1481" s="164">
        <v>1623501.0</v>
      </c>
      <c r="I1481" s="1">
        <v>42.0</v>
      </c>
    </row>
    <row r="1482" ht="15.75" customHeight="1">
      <c r="A1482" s="1">
        <v>5546192.0</v>
      </c>
      <c r="B1482" s="1" t="s">
        <v>80</v>
      </c>
      <c r="C1482" s="1" t="s">
        <v>2391</v>
      </c>
      <c r="D1482" s="1" t="s">
        <v>224</v>
      </c>
      <c r="E1482" s="1" t="s">
        <v>81</v>
      </c>
      <c r="F1482" s="1" t="s">
        <v>6717</v>
      </c>
      <c r="G1482" s="1" t="str">
        <f>IFERROR(VLOOKUP(A1482,H_C!$A$2:$G$2628,7,0),"Validar HC")</f>
        <v>Ospina, Michel</v>
      </c>
      <c r="H1482" s="164">
        <v>1623501.0</v>
      </c>
      <c r="I1482" s="1">
        <v>42.0</v>
      </c>
      <c r="J1482" s="41">
        <f>H1482*30</f>
        <v>48705030</v>
      </c>
      <c r="K1482" s="41">
        <f>J1482*30%</f>
        <v>14611509</v>
      </c>
    </row>
    <row r="1483" ht="15.75" customHeight="1">
      <c r="A1483" s="1">
        <v>5546239.0</v>
      </c>
      <c r="B1483" s="1" t="s">
        <v>2404</v>
      </c>
      <c r="C1483" s="1" t="s">
        <v>2405</v>
      </c>
      <c r="D1483" s="1" t="s">
        <v>224</v>
      </c>
      <c r="E1483" s="1" t="s">
        <v>81</v>
      </c>
      <c r="F1483" s="1" t="s">
        <v>6717</v>
      </c>
      <c r="G1483" s="1" t="str">
        <f>IFERROR(VLOOKUP(A1483,H_C!$A$2:$G$2628,7,0),"Validar HC")</f>
        <v>Ospina, Michel</v>
      </c>
      <c r="H1483" s="164">
        <v>1623501.0</v>
      </c>
      <c r="I1483" s="1">
        <v>42.0</v>
      </c>
    </row>
    <row r="1484" ht="15.75" customHeight="1">
      <c r="A1484" s="1">
        <v>5546273.0</v>
      </c>
      <c r="B1484" s="1" t="s">
        <v>3010</v>
      </c>
      <c r="C1484" s="1" t="s">
        <v>3011</v>
      </c>
      <c r="D1484" s="1" t="s">
        <v>224</v>
      </c>
      <c r="E1484" s="1" t="s">
        <v>116</v>
      </c>
      <c r="F1484" s="1" t="s">
        <v>6717</v>
      </c>
      <c r="G1484" s="1" t="str">
        <f>IFERROR(VLOOKUP(A1484,H_C!$A$2:$G$2628,7,0),"Validar HC")</f>
        <v>Ospina, Michel</v>
      </c>
      <c r="H1484" s="164">
        <v>1623501.0</v>
      </c>
      <c r="I1484" s="1">
        <v>42.0</v>
      </c>
    </row>
    <row r="1485" ht="15.75" customHeight="1">
      <c r="A1485" s="1"/>
      <c r="B1485" s="1"/>
      <c r="C1485" s="1"/>
      <c r="D1485" s="1"/>
      <c r="E1485" s="1"/>
      <c r="F1485" s="1"/>
      <c r="G1485" s="1"/>
      <c r="H1485" s="162"/>
      <c r="I1485" s="1"/>
    </row>
    <row r="1486" ht="15.75" customHeight="1">
      <c r="A1486" s="1">
        <v>5546275.0</v>
      </c>
      <c r="B1486" s="1" t="s">
        <v>3135</v>
      </c>
      <c r="C1486" s="1" t="s">
        <v>3136</v>
      </c>
      <c r="D1486" s="1" t="s">
        <v>224</v>
      </c>
      <c r="E1486" s="1" t="s">
        <v>412</v>
      </c>
      <c r="F1486" s="1" t="s">
        <v>6717</v>
      </c>
      <c r="G1486" s="1" t="str">
        <f>IFERROR(VLOOKUP(A1486,H_C!$A$2:$G$2628,7,0),"Validar HC")</f>
        <v>Ospina, Michel</v>
      </c>
      <c r="H1486" s="164">
        <v>1623501.0</v>
      </c>
      <c r="I1486" s="1">
        <v>42.0</v>
      </c>
    </row>
    <row r="1487" ht="15.75" customHeight="1">
      <c r="A1487" s="1">
        <v>5546277.0</v>
      </c>
      <c r="B1487" s="1" t="s">
        <v>4170</v>
      </c>
      <c r="C1487" s="1" t="s">
        <v>4171</v>
      </c>
      <c r="D1487" s="1" t="s">
        <v>224</v>
      </c>
      <c r="E1487" s="1" t="s">
        <v>412</v>
      </c>
      <c r="F1487" s="1" t="s">
        <v>6717</v>
      </c>
      <c r="G1487" s="1" t="str">
        <f>IFERROR(VLOOKUP(A1487,H_C!$A$2:$G$2628,7,0),"Validar HC")</f>
        <v>Ospina, Michel</v>
      </c>
      <c r="H1487" s="164">
        <v>1623501.0</v>
      </c>
      <c r="I1487" s="1">
        <v>42.0</v>
      </c>
    </row>
    <row r="1488" ht="15.75" customHeight="1">
      <c r="A1488" s="1">
        <v>5546279.0</v>
      </c>
      <c r="B1488" s="1" t="s">
        <v>3014</v>
      </c>
      <c r="C1488" s="1" t="s">
        <v>3015</v>
      </c>
      <c r="D1488" s="1" t="s">
        <v>224</v>
      </c>
      <c r="E1488" s="1" t="s">
        <v>116</v>
      </c>
      <c r="F1488" s="1" t="s">
        <v>6717</v>
      </c>
      <c r="G1488" s="1" t="str">
        <f>IFERROR(VLOOKUP(A1488,H_C!$A$2:$G$2628,7,0),"Validar HC")</f>
        <v>Ospina, Michel</v>
      </c>
      <c r="H1488" s="164">
        <v>1623501.0</v>
      </c>
      <c r="I1488" s="1">
        <v>42.0</v>
      </c>
    </row>
    <row r="1489" ht="15.75" customHeight="1">
      <c r="A1489" s="1">
        <v>5549463.0</v>
      </c>
      <c r="B1489" s="1" t="s">
        <v>3306</v>
      </c>
      <c r="C1489" s="1" t="s">
        <v>3307</v>
      </c>
      <c r="D1489" s="1" t="s">
        <v>224</v>
      </c>
      <c r="E1489" s="1" t="s">
        <v>425</v>
      </c>
      <c r="F1489" s="1" t="s">
        <v>6717</v>
      </c>
      <c r="G1489" s="1" t="str">
        <f>IFERROR(VLOOKUP(A1489,H_C!$A$2:$G$2628,7,0),"Validar HC")</f>
        <v>Ospina, Michel</v>
      </c>
      <c r="H1489" s="164">
        <v>1623501.0</v>
      </c>
      <c r="I1489" s="1">
        <v>42.0</v>
      </c>
    </row>
    <row r="1490" ht="15.75" customHeight="1">
      <c r="A1490" s="1">
        <v>5549466.0</v>
      </c>
      <c r="B1490" s="1" t="s">
        <v>2756</v>
      </c>
      <c r="C1490" s="1" t="s">
        <v>2757</v>
      </c>
      <c r="D1490" s="1" t="s">
        <v>224</v>
      </c>
      <c r="E1490" s="1" t="s">
        <v>121</v>
      </c>
      <c r="F1490" s="1" t="s">
        <v>6717</v>
      </c>
      <c r="G1490" s="1" t="str">
        <f>IFERROR(VLOOKUP(A1490,H_C!$A$2:$G$2628,7,0),"Validar HC")</f>
        <v>Ospina, Michel</v>
      </c>
      <c r="H1490" s="164">
        <v>1623501.0</v>
      </c>
      <c r="I1490" s="1">
        <v>42.0</v>
      </c>
    </row>
    <row r="1491" ht="15.75" customHeight="1">
      <c r="A1491" s="1">
        <v>5549482.0</v>
      </c>
      <c r="B1491" s="1" t="s">
        <v>4576</v>
      </c>
      <c r="C1491" s="1" t="s">
        <v>4577</v>
      </c>
      <c r="D1491" s="1" t="s">
        <v>224</v>
      </c>
      <c r="E1491" s="1" t="s">
        <v>907</v>
      </c>
      <c r="F1491" s="1" t="s">
        <v>6717</v>
      </c>
      <c r="G1491" s="1" t="str">
        <f>IFERROR(VLOOKUP(A1491,H_C!$A$2:$G$2628,7,0),"Validar HC")</f>
        <v>Gonzalez, Cristian</v>
      </c>
      <c r="H1491" s="164">
        <v>1623501.0</v>
      </c>
      <c r="I1491" s="1">
        <v>42.0</v>
      </c>
    </row>
    <row r="1492" ht="15.75" customHeight="1">
      <c r="A1492" s="1">
        <v>5549700.0</v>
      </c>
      <c r="B1492" s="1" t="s">
        <v>3340</v>
      </c>
      <c r="C1492" s="1" t="s">
        <v>3341</v>
      </c>
      <c r="D1492" s="1" t="s">
        <v>224</v>
      </c>
      <c r="E1492" s="1" t="s">
        <v>2372</v>
      </c>
      <c r="F1492" s="1" t="s">
        <v>6717</v>
      </c>
      <c r="G1492" s="1" t="str">
        <f>IFERROR(VLOOKUP(A1492,H_C!$A$2:$G$2628,7,0),"Validar HC")</f>
        <v>Garcia, Helmer</v>
      </c>
      <c r="H1492" s="164">
        <v>1623501.0</v>
      </c>
      <c r="I1492" s="1">
        <v>42.0</v>
      </c>
    </row>
    <row r="1493" ht="15.75" customHeight="1">
      <c r="A1493" s="1">
        <v>5549704.0</v>
      </c>
      <c r="B1493" s="1" t="s">
        <v>1175</v>
      </c>
      <c r="C1493" s="1" t="s">
        <v>1176</v>
      </c>
      <c r="D1493" s="1" t="s">
        <v>224</v>
      </c>
      <c r="E1493" s="1" t="s">
        <v>263</v>
      </c>
      <c r="F1493" s="1" t="s">
        <v>6717</v>
      </c>
      <c r="G1493" s="1" t="str">
        <f>IFERROR(VLOOKUP(A1493,H_C!$A$2:$G$2628,7,0),"Validar HC")</f>
        <v>Garcia, Helmer</v>
      </c>
      <c r="H1493" s="164">
        <v>1623501.0</v>
      </c>
      <c r="I1493" s="1">
        <v>42.0</v>
      </c>
    </row>
    <row r="1494" ht="15.75" customHeight="1">
      <c r="A1494" s="1">
        <v>5550642.0</v>
      </c>
      <c r="B1494" s="1" t="s">
        <v>1023</v>
      </c>
      <c r="C1494" s="1" t="s">
        <v>1024</v>
      </c>
      <c r="D1494" s="1" t="s">
        <v>224</v>
      </c>
      <c r="E1494" s="1" t="s">
        <v>254</v>
      </c>
      <c r="F1494" s="1" t="s">
        <v>6717</v>
      </c>
      <c r="G1494" s="1" t="str">
        <f>IFERROR(VLOOKUP(A1494,H_C!$A$2:$G$2628,7,0),"Validar HC")</f>
        <v>Gonzalez, Cristian</v>
      </c>
      <c r="H1494" s="164">
        <v>1623501.0</v>
      </c>
      <c r="I1494" s="1">
        <v>42.0</v>
      </c>
    </row>
    <row r="1495" ht="15.75" customHeight="1">
      <c r="A1495" s="1">
        <v>5552065.0</v>
      </c>
      <c r="B1495" s="1" t="s">
        <v>3228</v>
      </c>
      <c r="C1495" s="1" t="s">
        <v>3229</v>
      </c>
      <c r="D1495" s="1" t="s">
        <v>224</v>
      </c>
      <c r="E1495" s="1" t="s">
        <v>113</v>
      </c>
      <c r="F1495" s="1" t="s">
        <v>6717</v>
      </c>
      <c r="G1495" s="1" t="str">
        <f>IFERROR(VLOOKUP(A1495,H_C!$A$2:$G$2628,7,0),"Validar HC")</f>
        <v>Soler, Maria</v>
      </c>
      <c r="H1495" s="164">
        <v>1623501.0</v>
      </c>
      <c r="I1495" s="1">
        <v>42.0</v>
      </c>
    </row>
    <row r="1496" ht="15.75" customHeight="1">
      <c r="A1496" s="1">
        <v>5557287.0</v>
      </c>
      <c r="B1496" s="1" t="s">
        <v>1243</v>
      </c>
      <c r="C1496" s="1" t="s">
        <v>1244</v>
      </c>
      <c r="D1496" s="1" t="s">
        <v>224</v>
      </c>
      <c r="E1496" s="1" t="s">
        <v>907</v>
      </c>
      <c r="F1496" s="1" t="s">
        <v>6717</v>
      </c>
      <c r="G1496" s="1" t="str">
        <f>IFERROR(VLOOKUP(A1496,H_C!$A$2:$G$2628,7,0),"Validar HC")</f>
        <v>Gonzalez, Cristian</v>
      </c>
      <c r="H1496" s="164">
        <v>1623501.0</v>
      </c>
      <c r="I1496" s="1">
        <v>42.0</v>
      </c>
    </row>
    <row r="1497" ht="15.75" customHeight="1">
      <c r="A1497" s="1">
        <v>5559031.0</v>
      </c>
      <c r="B1497" s="1" t="s">
        <v>4256</v>
      </c>
      <c r="C1497" s="1" t="s">
        <v>4257</v>
      </c>
      <c r="D1497" s="1" t="s">
        <v>224</v>
      </c>
      <c r="E1497" s="1" t="s">
        <v>549</v>
      </c>
      <c r="F1497" s="1" t="s">
        <v>6717</v>
      </c>
      <c r="G1497" s="1" t="str">
        <f>IFERROR(VLOOKUP(A1497,H_C!$A$2:$G$2628,7,0),"Validar HC")</f>
        <v>Soler, Maria</v>
      </c>
      <c r="H1497" s="164">
        <v>1623501.0</v>
      </c>
      <c r="I1497" s="1">
        <v>42.0</v>
      </c>
    </row>
    <row r="1498" ht="15.75" customHeight="1">
      <c r="A1498" s="1">
        <v>5559370.0</v>
      </c>
      <c r="B1498" s="1" t="s">
        <v>4580</v>
      </c>
      <c r="C1498" s="1" t="s">
        <v>4581</v>
      </c>
      <c r="D1498" s="1" t="s">
        <v>224</v>
      </c>
      <c r="E1498" s="1" t="s">
        <v>416</v>
      </c>
      <c r="F1498" s="1" t="s">
        <v>6717</v>
      </c>
      <c r="G1498" s="1" t="str">
        <f>IFERROR(VLOOKUP(A1498,H_C!$A$2:$G$2628,7,0),"Validar HC")</f>
        <v>Soler, Maria</v>
      </c>
      <c r="H1498" s="164">
        <v>1623501.0</v>
      </c>
      <c r="I1498" s="1">
        <v>42.0</v>
      </c>
    </row>
    <row r="1499" ht="15.75" customHeight="1">
      <c r="A1499" s="1">
        <v>5560655.0</v>
      </c>
      <c r="B1499" s="1" t="s">
        <v>4246</v>
      </c>
      <c r="C1499" s="1" t="s">
        <v>4247</v>
      </c>
      <c r="D1499" s="1" t="s">
        <v>224</v>
      </c>
      <c r="E1499" s="1" t="s">
        <v>549</v>
      </c>
      <c r="F1499" s="1" t="s">
        <v>6717</v>
      </c>
      <c r="G1499" s="1" t="str">
        <f>IFERROR(VLOOKUP(A1499,H_C!$A$2:$G$2628,7,0),"Validar HC")</f>
        <v>Soler, Maria</v>
      </c>
      <c r="H1499" s="164">
        <v>1623501.0</v>
      </c>
      <c r="I1499" s="1">
        <v>42.0</v>
      </c>
    </row>
    <row r="1500" ht="15.75" customHeight="1">
      <c r="A1500" s="1">
        <v>5560661.0</v>
      </c>
      <c r="B1500" s="1" t="s">
        <v>4584</v>
      </c>
      <c r="C1500" s="1" t="s">
        <v>4585</v>
      </c>
      <c r="D1500" s="1" t="s">
        <v>224</v>
      </c>
      <c r="E1500" s="1" t="s">
        <v>416</v>
      </c>
      <c r="F1500" s="1" t="s">
        <v>6717</v>
      </c>
      <c r="G1500" s="1" t="str">
        <f>IFERROR(VLOOKUP(A1500,H_C!$A$2:$G$2628,7,0),"Validar HC")</f>
        <v>Soler, Maria</v>
      </c>
      <c r="H1500" s="164">
        <v>1623501.0</v>
      </c>
      <c r="I1500" s="1">
        <v>42.0</v>
      </c>
    </row>
    <row r="1501" ht="15.75" customHeight="1">
      <c r="A1501" s="1">
        <v>5564190.0</v>
      </c>
      <c r="B1501" s="1" t="s">
        <v>3843</v>
      </c>
      <c r="C1501" s="1" t="s">
        <v>3844</v>
      </c>
      <c r="D1501" s="1" t="s">
        <v>224</v>
      </c>
      <c r="E1501" s="1" t="s">
        <v>232</v>
      </c>
      <c r="F1501" s="1" t="s">
        <v>6717</v>
      </c>
      <c r="G1501" s="1" t="str">
        <f>IFERROR(VLOOKUP(A1501,H_C!$A$2:$G$2628,7,0),"Validar HC")</f>
        <v>Soler, Maria</v>
      </c>
      <c r="H1501" s="164">
        <v>1623501.0</v>
      </c>
      <c r="I1501" s="1">
        <v>42.0</v>
      </c>
    </row>
    <row r="1502" ht="15.75" customHeight="1">
      <c r="A1502" s="1">
        <v>5564192.0</v>
      </c>
      <c r="B1502" s="1" t="s">
        <v>4588</v>
      </c>
      <c r="C1502" s="1" t="s">
        <v>4589</v>
      </c>
      <c r="D1502" s="1" t="s">
        <v>224</v>
      </c>
      <c r="E1502" s="1" t="s">
        <v>841</v>
      </c>
      <c r="F1502" s="1" t="s">
        <v>6717</v>
      </c>
      <c r="G1502" s="1" t="str">
        <f>IFERROR(VLOOKUP(A1502,H_C!$A$2:$G$2628,7,0),"Validar HC")</f>
        <v>Soler, Maria</v>
      </c>
      <c r="H1502" s="164">
        <v>1623501.0</v>
      </c>
      <c r="I1502" s="1">
        <v>42.0</v>
      </c>
    </row>
    <row r="1503" ht="15.75" customHeight="1">
      <c r="A1503" s="1">
        <v>5564193.0</v>
      </c>
      <c r="B1503" s="1" t="s">
        <v>6770</v>
      </c>
      <c r="C1503" s="1" t="s">
        <v>6771</v>
      </c>
      <c r="D1503" s="1" t="s">
        <v>224</v>
      </c>
      <c r="E1503" s="1" t="s">
        <v>232</v>
      </c>
      <c r="F1503" s="1" t="s">
        <v>6717</v>
      </c>
      <c r="G1503" s="1" t="str">
        <f>IFERROR(VLOOKUP(A1503,H_C!$A$2:$G$2628,7,0),"Validar HC")</f>
        <v>Validar HC</v>
      </c>
      <c r="H1503" s="164">
        <v>1623501.0</v>
      </c>
      <c r="I1503" s="1">
        <v>42.0</v>
      </c>
    </row>
    <row r="1504" ht="15.75" customHeight="1">
      <c r="A1504" s="1">
        <v>5564194.0</v>
      </c>
      <c r="B1504" s="1" t="s">
        <v>4594</v>
      </c>
      <c r="C1504" s="1" t="s">
        <v>4595</v>
      </c>
      <c r="D1504" s="1" t="s">
        <v>224</v>
      </c>
      <c r="E1504" s="1" t="s">
        <v>232</v>
      </c>
      <c r="F1504" s="1" t="s">
        <v>6717</v>
      </c>
      <c r="G1504" s="1" t="str">
        <f>IFERROR(VLOOKUP(A1504,H_C!$A$2:$G$2628,7,0),"Validar HC")</f>
        <v>Soler, Maria</v>
      </c>
      <c r="H1504" s="164">
        <v>1623501.0</v>
      </c>
      <c r="I1504" s="1">
        <v>42.0</v>
      </c>
    </row>
    <row r="1505" ht="15.75" customHeight="1">
      <c r="A1505" s="1">
        <v>5564195.0</v>
      </c>
      <c r="B1505" s="1" t="s">
        <v>4598</v>
      </c>
      <c r="C1505" s="1" t="s">
        <v>4599</v>
      </c>
      <c r="D1505" s="1" t="s">
        <v>224</v>
      </c>
      <c r="E1505" s="1" t="s">
        <v>232</v>
      </c>
      <c r="F1505" s="1" t="s">
        <v>6717</v>
      </c>
      <c r="G1505" s="1" t="str">
        <f>IFERROR(VLOOKUP(A1505,H_C!$A$2:$G$2628,7,0),"Validar HC")</f>
        <v>Soler, Maria</v>
      </c>
      <c r="H1505" s="164">
        <v>1623501.0</v>
      </c>
      <c r="I1505" s="1">
        <v>42.0</v>
      </c>
    </row>
    <row r="1506" ht="15.75" customHeight="1">
      <c r="A1506" s="1">
        <v>5564197.0</v>
      </c>
      <c r="B1506" s="1" t="s">
        <v>4602</v>
      </c>
      <c r="C1506" s="1" t="s">
        <v>4603</v>
      </c>
      <c r="D1506" s="1" t="s">
        <v>224</v>
      </c>
      <c r="E1506" s="1" t="s">
        <v>331</v>
      </c>
      <c r="F1506" s="1" t="s">
        <v>6717</v>
      </c>
      <c r="G1506" s="1" t="str">
        <f>IFERROR(VLOOKUP(A1506,H_C!$A$2:$G$2628,7,0),"Validar HC")</f>
        <v>Pereira, Jorge</v>
      </c>
      <c r="H1506" s="164">
        <v>1623501.0</v>
      </c>
      <c r="I1506" s="1">
        <v>42.0</v>
      </c>
    </row>
    <row r="1507" ht="15.75" customHeight="1">
      <c r="A1507" s="1">
        <v>5565766.0</v>
      </c>
      <c r="B1507" s="1" t="s">
        <v>2825</v>
      </c>
      <c r="C1507" s="1" t="s">
        <v>2826</v>
      </c>
      <c r="D1507" s="1" t="s">
        <v>224</v>
      </c>
      <c r="E1507" s="1" t="s">
        <v>232</v>
      </c>
      <c r="F1507" s="1" t="s">
        <v>6717</v>
      </c>
      <c r="G1507" s="1" t="str">
        <f>IFERROR(VLOOKUP(A1507,H_C!$A$2:$G$2628,7,0),"Validar HC")</f>
        <v>Soler, Maria</v>
      </c>
      <c r="H1507" s="164">
        <v>1623501.0</v>
      </c>
      <c r="I1507" s="1">
        <v>42.0</v>
      </c>
    </row>
    <row r="1508" ht="15.75" customHeight="1">
      <c r="A1508" s="1">
        <v>5565769.0</v>
      </c>
      <c r="B1508" s="1" t="s">
        <v>2811</v>
      </c>
      <c r="C1508" s="1" t="s">
        <v>2812</v>
      </c>
      <c r="D1508" s="1" t="s">
        <v>224</v>
      </c>
      <c r="E1508" s="1" t="s">
        <v>232</v>
      </c>
      <c r="F1508" s="1" t="s">
        <v>6717</v>
      </c>
      <c r="G1508" s="1" t="str">
        <f>IFERROR(VLOOKUP(A1508,H_C!$A$2:$G$2628,7,0),"Validar HC")</f>
        <v>Soler, Maria</v>
      </c>
      <c r="H1508" s="167">
        <v>2200286.0</v>
      </c>
      <c r="I1508" s="1">
        <v>42.0</v>
      </c>
    </row>
    <row r="1509" ht="15.75" customHeight="1">
      <c r="A1509" s="1">
        <v>5597015.0</v>
      </c>
      <c r="B1509" s="1" t="s">
        <v>4606</v>
      </c>
      <c r="C1509" s="1" t="s">
        <v>4607</v>
      </c>
      <c r="D1509" s="1" t="s">
        <v>224</v>
      </c>
      <c r="E1509" s="1" t="s">
        <v>1791</v>
      </c>
      <c r="F1509" s="1" t="s">
        <v>6717</v>
      </c>
      <c r="G1509" s="1" t="str">
        <f>IFERROR(VLOOKUP(A1509,H_C!$A$2:$G$2628,7,0),"Validar HC")</f>
        <v>Garcia, Helmer</v>
      </c>
      <c r="H1509" s="167">
        <v>2200286.0</v>
      </c>
      <c r="I1509" s="1">
        <v>42.0</v>
      </c>
    </row>
    <row r="1510" ht="15.75" customHeight="1">
      <c r="A1510" s="1">
        <v>5601475.0</v>
      </c>
      <c r="B1510" s="1" t="s">
        <v>4608</v>
      </c>
      <c r="C1510" s="1" t="s">
        <v>4609</v>
      </c>
      <c r="D1510" s="1" t="s">
        <v>224</v>
      </c>
      <c r="E1510" s="1" t="s">
        <v>853</v>
      </c>
      <c r="F1510" s="1" t="s">
        <v>6717</v>
      </c>
      <c r="G1510" s="1" t="str">
        <f>IFERROR(VLOOKUP(A1510,H_C!$A$2:$G$2628,7,0),"Validar HC")</f>
        <v>Garcia, Helmer</v>
      </c>
      <c r="H1510" s="167">
        <v>2200286.0</v>
      </c>
      <c r="I1510" s="1">
        <v>42.0</v>
      </c>
    </row>
    <row r="1511" ht="15.75" customHeight="1">
      <c r="A1511" s="1">
        <v>5605738.0</v>
      </c>
      <c r="B1511" s="1" t="s">
        <v>1818</v>
      </c>
      <c r="C1511" s="1" t="s">
        <v>1819</v>
      </c>
      <c r="D1511" s="1" t="s">
        <v>224</v>
      </c>
      <c r="E1511" s="1" t="s">
        <v>835</v>
      </c>
      <c r="F1511" s="1" t="s">
        <v>6717</v>
      </c>
      <c r="G1511" s="1" t="str">
        <f>IFERROR(VLOOKUP(A1511,H_C!$A$2:$G$2628,7,0),"Validar HC")</f>
        <v>Martinez, Wendy</v>
      </c>
      <c r="H1511" s="167">
        <v>2200286.0</v>
      </c>
      <c r="I1511" s="1">
        <v>42.0</v>
      </c>
    </row>
    <row r="1512" ht="15.75" customHeight="1">
      <c r="A1512" s="1">
        <v>5608173.0</v>
      </c>
      <c r="B1512" s="1" t="s">
        <v>3987</v>
      </c>
      <c r="C1512" s="1" t="s">
        <v>3988</v>
      </c>
      <c r="D1512" s="1" t="s">
        <v>224</v>
      </c>
      <c r="E1512" s="1" t="s">
        <v>323</v>
      </c>
      <c r="F1512" s="1" t="s">
        <v>6717</v>
      </c>
      <c r="G1512" s="1" t="str">
        <f>IFERROR(VLOOKUP(A1512,H_C!$A$2:$G$2628,7,0),"Validar HC")</f>
        <v>Martinez, Wendy</v>
      </c>
      <c r="H1512" s="167">
        <v>2200286.0</v>
      </c>
      <c r="I1512" s="1">
        <v>42.0</v>
      </c>
    </row>
    <row r="1513" ht="15.75" customHeight="1">
      <c r="A1513" s="1">
        <v>5608436.0</v>
      </c>
      <c r="B1513" s="1" t="s">
        <v>4610</v>
      </c>
      <c r="C1513" s="1" t="s">
        <v>4611</v>
      </c>
      <c r="D1513" s="1" t="s">
        <v>224</v>
      </c>
      <c r="E1513" s="1" t="s">
        <v>309</v>
      </c>
      <c r="F1513" s="1" t="s">
        <v>6717</v>
      </c>
      <c r="G1513" s="1" t="str">
        <f>IFERROR(VLOOKUP(A1513,H_C!$A$2:$G$2628,7,0),"Validar HC")</f>
        <v>Gonzalez, Cristian</v>
      </c>
      <c r="H1513" s="167">
        <v>2200286.0</v>
      </c>
      <c r="I1513" s="1">
        <v>42.0</v>
      </c>
    </row>
    <row r="1514" ht="15.75" customHeight="1">
      <c r="A1514" s="1">
        <v>5608437.0</v>
      </c>
      <c r="B1514" s="1" t="s">
        <v>1218</v>
      </c>
      <c r="C1514" s="1" t="s">
        <v>1219</v>
      </c>
      <c r="D1514" s="1" t="s">
        <v>224</v>
      </c>
      <c r="E1514" s="1" t="s">
        <v>441</v>
      </c>
      <c r="F1514" s="1" t="s">
        <v>6717</v>
      </c>
      <c r="G1514" s="1" t="str">
        <f>IFERROR(VLOOKUP(A1514,H_C!$A$2:$G$2628,7,0),"Validar HC")</f>
        <v>Gonzalez, Cristian</v>
      </c>
      <c r="H1514" s="167">
        <v>2200286.0</v>
      </c>
      <c r="I1514" s="1">
        <v>42.0</v>
      </c>
    </row>
    <row r="1515" ht="15.75" customHeight="1">
      <c r="A1515" s="1">
        <v>5611084.0</v>
      </c>
      <c r="B1515" s="1" t="s">
        <v>3862</v>
      </c>
      <c r="C1515" s="1" t="s">
        <v>3863</v>
      </c>
      <c r="D1515" s="1" t="s">
        <v>224</v>
      </c>
      <c r="E1515" s="1" t="s">
        <v>232</v>
      </c>
      <c r="F1515" s="1" t="s">
        <v>6717</v>
      </c>
      <c r="G1515" s="1" t="str">
        <f>IFERROR(VLOOKUP(A1515,H_C!$A$2:$G$2628,7,0),"Validar HC")</f>
        <v>Soler, Maria</v>
      </c>
      <c r="H1515" s="167">
        <v>2200286.0</v>
      </c>
      <c r="I1515" s="1">
        <v>42.0</v>
      </c>
    </row>
    <row r="1516" ht="15.75" customHeight="1">
      <c r="A1516" s="1">
        <v>5611087.0</v>
      </c>
      <c r="B1516" s="1" t="s">
        <v>4612</v>
      </c>
      <c r="C1516" s="1" t="s">
        <v>4613</v>
      </c>
      <c r="D1516" s="1" t="s">
        <v>224</v>
      </c>
      <c r="E1516" s="1" t="s">
        <v>841</v>
      </c>
      <c r="F1516" s="1" t="s">
        <v>6717</v>
      </c>
      <c r="G1516" s="1" t="str">
        <f>IFERROR(VLOOKUP(A1516,H_C!$A$2:$G$2628,7,0),"Validar HC")</f>
        <v>Soler, Maria</v>
      </c>
      <c r="H1516" s="167">
        <v>2200286.0</v>
      </c>
      <c r="I1516" s="1">
        <v>42.0</v>
      </c>
    </row>
    <row r="1517" ht="15.75" customHeight="1">
      <c r="A1517" s="1">
        <v>5611088.0</v>
      </c>
      <c r="B1517" s="1" t="s">
        <v>4614</v>
      </c>
      <c r="C1517" s="1" t="s">
        <v>4615</v>
      </c>
      <c r="D1517" s="1" t="s">
        <v>224</v>
      </c>
      <c r="E1517" s="1" t="s">
        <v>841</v>
      </c>
      <c r="F1517" s="1" t="s">
        <v>6717</v>
      </c>
      <c r="G1517" s="1" t="str">
        <f>IFERROR(VLOOKUP(A1517,H_C!$A$2:$G$2628,7,0),"Validar HC")</f>
        <v>Soler, Maria</v>
      </c>
      <c r="H1517" s="167">
        <v>2200286.0</v>
      </c>
      <c r="I1517" s="1">
        <v>42.0</v>
      </c>
    </row>
    <row r="1518" ht="15.75" customHeight="1">
      <c r="A1518" s="1">
        <v>5611095.0</v>
      </c>
      <c r="B1518" s="1" t="s">
        <v>681</v>
      </c>
      <c r="C1518" s="1" t="s">
        <v>682</v>
      </c>
      <c r="D1518" s="1" t="s">
        <v>224</v>
      </c>
      <c r="E1518" s="1" t="s">
        <v>239</v>
      </c>
      <c r="F1518" s="1" t="s">
        <v>6717</v>
      </c>
      <c r="G1518" s="1" t="str">
        <f>IFERROR(VLOOKUP(A1518,H_C!$A$2:$G$2628,7,0),"Validar HC")</f>
        <v>Soler, Maria</v>
      </c>
      <c r="H1518" s="167">
        <v>2200286.0</v>
      </c>
      <c r="I1518" s="1">
        <v>42.0</v>
      </c>
    </row>
    <row r="1519" ht="15.75" customHeight="1">
      <c r="A1519" s="1">
        <v>5611103.0</v>
      </c>
      <c r="B1519" s="1" t="s">
        <v>2829</v>
      </c>
      <c r="C1519" s="1" t="s">
        <v>2830</v>
      </c>
      <c r="D1519" s="1" t="s">
        <v>224</v>
      </c>
      <c r="E1519" s="1" t="s">
        <v>232</v>
      </c>
      <c r="F1519" s="1" t="s">
        <v>6717</v>
      </c>
      <c r="G1519" s="1" t="str">
        <f>IFERROR(VLOOKUP(A1519,H_C!$A$2:$G$2628,7,0),"Validar HC")</f>
        <v>Soler, Maria</v>
      </c>
      <c r="H1519" s="167">
        <v>2200286.0</v>
      </c>
      <c r="I1519" s="1">
        <v>42.0</v>
      </c>
    </row>
    <row r="1520" ht="15.75" customHeight="1">
      <c r="A1520" s="1">
        <v>5611120.0</v>
      </c>
      <c r="B1520" s="1" t="s">
        <v>4616</v>
      </c>
      <c r="C1520" s="1" t="s">
        <v>4617</v>
      </c>
      <c r="D1520" s="1" t="s">
        <v>224</v>
      </c>
      <c r="E1520" s="1" t="s">
        <v>309</v>
      </c>
      <c r="F1520" s="1" t="s">
        <v>6717</v>
      </c>
      <c r="G1520" s="1" t="str">
        <f>IFERROR(VLOOKUP(A1520,H_C!$A$2:$G$2628,7,0),"Validar HC")</f>
        <v>Gonzalez, Cristian</v>
      </c>
      <c r="H1520" s="167">
        <v>2200286.0</v>
      </c>
      <c r="I1520" s="1">
        <v>42.0</v>
      </c>
    </row>
    <row r="1521" ht="15.75" customHeight="1">
      <c r="A1521" s="1">
        <v>5611129.0</v>
      </c>
      <c r="B1521" s="1" t="s">
        <v>4620</v>
      </c>
      <c r="C1521" s="1" t="s">
        <v>4621</v>
      </c>
      <c r="D1521" s="1" t="s">
        <v>224</v>
      </c>
      <c r="E1521" s="1" t="s">
        <v>441</v>
      </c>
      <c r="F1521" s="1" t="s">
        <v>6717</v>
      </c>
      <c r="G1521" s="1" t="str">
        <f>IFERROR(VLOOKUP(A1521,H_C!$A$2:$G$2628,7,0),"Validar HC")</f>
        <v>Gonzalez, Cristian</v>
      </c>
      <c r="H1521" s="167">
        <v>2200286.0</v>
      </c>
      <c r="I1521" s="1">
        <v>42.0</v>
      </c>
    </row>
    <row r="1522" ht="15.75" customHeight="1">
      <c r="A1522" s="1">
        <v>5613242.0</v>
      </c>
      <c r="B1522" s="1" t="s">
        <v>4618</v>
      </c>
      <c r="C1522" s="1" t="s">
        <v>4619</v>
      </c>
      <c r="D1522" s="1" t="s">
        <v>224</v>
      </c>
      <c r="E1522" s="1" t="s">
        <v>232</v>
      </c>
      <c r="F1522" s="1" t="s">
        <v>6717</v>
      </c>
      <c r="G1522" s="1" t="str">
        <f>IFERROR(VLOOKUP(A1522,H_C!$A$2:$G$2628,7,0),"Validar HC")</f>
        <v>Soler, Maria</v>
      </c>
      <c r="H1522" s="167">
        <v>2200286.0</v>
      </c>
      <c r="I1522" s="1">
        <v>42.0</v>
      </c>
    </row>
    <row r="1523" ht="15.75" customHeight="1">
      <c r="A1523" s="1">
        <v>5613246.0</v>
      </c>
      <c r="B1523" s="1" t="s">
        <v>4626</v>
      </c>
      <c r="C1523" s="1" t="s">
        <v>4627</v>
      </c>
      <c r="D1523" s="1" t="s">
        <v>224</v>
      </c>
      <c r="E1523" s="1" t="s">
        <v>232</v>
      </c>
      <c r="F1523" s="1" t="s">
        <v>6717</v>
      </c>
      <c r="G1523" s="1" t="str">
        <f>IFERROR(VLOOKUP(A1523,H_C!$A$2:$G$2628,7,0),"Validar HC")</f>
        <v>Soler, Maria</v>
      </c>
      <c r="H1523" s="167">
        <v>2200286.0</v>
      </c>
      <c r="I1523" s="1">
        <v>42.0</v>
      </c>
    </row>
    <row r="1524" ht="15.75" customHeight="1">
      <c r="A1524" s="1">
        <v>5613247.0</v>
      </c>
      <c r="B1524" s="1" t="s">
        <v>2954</v>
      </c>
      <c r="C1524" s="1" t="s">
        <v>2955</v>
      </c>
      <c r="D1524" s="1" t="s">
        <v>224</v>
      </c>
      <c r="E1524" s="1" t="s">
        <v>1186</v>
      </c>
      <c r="F1524" s="1" t="s">
        <v>6717</v>
      </c>
      <c r="G1524" s="1" t="str">
        <f>IFERROR(VLOOKUP(A1524,H_C!$A$2:$G$2628,7,0),"Validar HC")</f>
        <v>Soler, Maria</v>
      </c>
      <c r="H1524" s="167">
        <v>2200286.0</v>
      </c>
      <c r="I1524" s="1">
        <v>42.0</v>
      </c>
    </row>
    <row r="1525" ht="15.75" customHeight="1">
      <c r="A1525" s="1">
        <v>5613249.0</v>
      </c>
      <c r="B1525" s="1" t="s">
        <v>2831</v>
      </c>
      <c r="C1525" s="1" t="s">
        <v>2832</v>
      </c>
      <c r="D1525" s="1" t="s">
        <v>224</v>
      </c>
      <c r="E1525" s="1" t="s">
        <v>232</v>
      </c>
      <c r="F1525" s="1" t="s">
        <v>6717</v>
      </c>
      <c r="G1525" s="1" t="str">
        <f>IFERROR(VLOOKUP(A1525,H_C!$A$2:$G$2628,7,0),"Validar HC")</f>
        <v>Soler, Maria</v>
      </c>
      <c r="H1525" s="167">
        <v>2200286.0</v>
      </c>
      <c r="I1525" s="1">
        <v>42.0</v>
      </c>
    </row>
    <row r="1526" ht="15.75" customHeight="1">
      <c r="A1526" s="1">
        <v>5613252.0</v>
      </c>
      <c r="B1526" s="1" t="s">
        <v>6772</v>
      </c>
      <c r="C1526" s="1" t="s">
        <v>6773</v>
      </c>
      <c r="D1526" s="1" t="s">
        <v>224</v>
      </c>
      <c r="E1526" s="1" t="s">
        <v>239</v>
      </c>
      <c r="F1526" s="1" t="s">
        <v>6717</v>
      </c>
      <c r="G1526" s="1" t="str">
        <f>IFERROR(VLOOKUP(A1526,H_C!$A$2:$G$2628,7,0),"Validar HC")</f>
        <v>Validar HC</v>
      </c>
      <c r="H1526" s="167">
        <v>2200286.0</v>
      </c>
      <c r="I1526" s="1">
        <v>42.0</v>
      </c>
    </row>
    <row r="1527" ht="15.75" customHeight="1">
      <c r="A1527" s="1">
        <v>5613253.0</v>
      </c>
      <c r="B1527" s="1" t="s">
        <v>4622</v>
      </c>
      <c r="C1527" s="1" t="s">
        <v>4623</v>
      </c>
      <c r="D1527" s="1" t="s">
        <v>224</v>
      </c>
      <c r="E1527" s="1" t="s">
        <v>232</v>
      </c>
      <c r="F1527" s="1" t="s">
        <v>6717</v>
      </c>
      <c r="G1527" s="1" t="str">
        <f>IFERROR(VLOOKUP(A1527,H_C!$A$2:$G$2628,7,0),"Validar HC")</f>
        <v>Soler, Maria</v>
      </c>
      <c r="H1527" s="167">
        <v>2200286.0</v>
      </c>
      <c r="I1527" s="1">
        <v>42.0</v>
      </c>
    </row>
    <row r="1528" ht="15.75" customHeight="1">
      <c r="A1528" s="1">
        <v>5613333.0</v>
      </c>
      <c r="B1528" s="1" t="s">
        <v>2835</v>
      </c>
      <c r="C1528" s="1" t="s">
        <v>2836</v>
      </c>
      <c r="D1528" s="1" t="s">
        <v>224</v>
      </c>
      <c r="E1528" s="1" t="s">
        <v>232</v>
      </c>
      <c r="F1528" s="1" t="s">
        <v>6717</v>
      </c>
      <c r="G1528" s="1" t="str">
        <f>IFERROR(VLOOKUP(A1528,H_C!$A$2:$G$2628,7,0),"Validar HC")</f>
        <v>Soler, Maria</v>
      </c>
      <c r="H1528" s="167">
        <v>2200286.0</v>
      </c>
      <c r="I1528" s="1">
        <v>42.0</v>
      </c>
    </row>
    <row r="1529" ht="15.75" customHeight="1">
      <c r="A1529" s="1">
        <v>5613334.0</v>
      </c>
      <c r="B1529" s="1" t="s">
        <v>4632</v>
      </c>
      <c r="C1529" s="1" t="s">
        <v>4633</v>
      </c>
      <c r="D1529" s="1" t="s">
        <v>224</v>
      </c>
      <c r="E1529" s="1" t="s">
        <v>232</v>
      </c>
      <c r="F1529" s="1" t="s">
        <v>6717</v>
      </c>
      <c r="G1529" s="1" t="str">
        <f>IFERROR(VLOOKUP(A1529,H_C!$A$2:$G$2628,7,0),"Validar HC")</f>
        <v>Soler, Maria</v>
      </c>
      <c r="H1529" s="167">
        <v>2200286.0</v>
      </c>
      <c r="I1529" s="1">
        <v>42.0</v>
      </c>
    </row>
    <row r="1530" ht="15.75" customHeight="1">
      <c r="A1530" s="1">
        <v>5613462.0</v>
      </c>
      <c r="B1530" s="1" t="s">
        <v>4636</v>
      </c>
      <c r="C1530" s="1" t="s">
        <v>4637</v>
      </c>
      <c r="D1530" s="1" t="s">
        <v>224</v>
      </c>
      <c r="E1530" s="1" t="s">
        <v>232</v>
      </c>
      <c r="F1530" s="1" t="s">
        <v>6717</v>
      </c>
      <c r="G1530" s="1" t="str">
        <f>IFERROR(VLOOKUP(A1530,H_C!$A$2:$G$2628,7,0),"Validar HC")</f>
        <v>Soler, Maria</v>
      </c>
      <c r="H1530" s="167">
        <v>2200286.0</v>
      </c>
      <c r="I1530" s="1">
        <v>42.0</v>
      </c>
    </row>
    <row r="1531" ht="15.75" customHeight="1">
      <c r="A1531" s="1">
        <v>5616008.0</v>
      </c>
      <c r="B1531" s="1" t="s">
        <v>4638</v>
      </c>
      <c r="C1531" s="1" t="s">
        <v>4639</v>
      </c>
      <c r="D1531" s="1" t="s">
        <v>224</v>
      </c>
      <c r="E1531" s="1" t="s">
        <v>232</v>
      </c>
      <c r="F1531" s="1" t="s">
        <v>6717</v>
      </c>
      <c r="G1531" s="1" t="str">
        <f>IFERROR(VLOOKUP(A1531,H_C!$A$2:$G$2628,7,0),"Validar HC")</f>
        <v>Soler, Maria</v>
      </c>
      <c r="H1531" s="167">
        <v>2200286.0</v>
      </c>
      <c r="I1531" s="1">
        <v>42.0</v>
      </c>
    </row>
    <row r="1532" ht="15.75" customHeight="1">
      <c r="A1532" s="1">
        <v>5616321.0</v>
      </c>
      <c r="B1532" s="1" t="s">
        <v>700</v>
      </c>
      <c r="C1532" s="1" t="s">
        <v>701</v>
      </c>
      <c r="D1532" s="1" t="s">
        <v>224</v>
      </c>
      <c r="E1532" s="1" t="s">
        <v>239</v>
      </c>
      <c r="F1532" s="1" t="s">
        <v>6717</v>
      </c>
      <c r="G1532" s="1" t="str">
        <f>IFERROR(VLOOKUP(A1532,H_C!$A$2:$G$2628,7,0),"Validar HC")</f>
        <v>Soler, Maria</v>
      </c>
      <c r="H1532" s="167">
        <v>2200286.0</v>
      </c>
      <c r="I1532" s="1">
        <v>42.0</v>
      </c>
    </row>
    <row r="1533" ht="15.75" customHeight="1">
      <c r="A1533" s="1">
        <v>5616322.0</v>
      </c>
      <c r="B1533" s="1" t="s">
        <v>4640</v>
      </c>
      <c r="C1533" s="1" t="s">
        <v>4641</v>
      </c>
      <c r="D1533" s="1" t="s">
        <v>224</v>
      </c>
      <c r="E1533" s="1" t="s">
        <v>232</v>
      </c>
      <c r="F1533" s="1" t="s">
        <v>6717</v>
      </c>
      <c r="G1533" s="1" t="str">
        <f>IFERROR(VLOOKUP(A1533,H_C!$A$2:$G$2628,7,0),"Validar HC")</f>
        <v>Soler, Maria</v>
      </c>
      <c r="H1533" s="167">
        <v>2200286.0</v>
      </c>
      <c r="I1533" s="1">
        <v>42.0</v>
      </c>
    </row>
    <row r="1534" ht="15.75" customHeight="1">
      <c r="A1534" s="1">
        <v>5616323.0</v>
      </c>
      <c r="B1534" s="1" t="s">
        <v>4644</v>
      </c>
      <c r="C1534" s="1" t="s">
        <v>4645</v>
      </c>
      <c r="D1534" s="1" t="s">
        <v>224</v>
      </c>
      <c r="E1534" s="1" t="s">
        <v>232</v>
      </c>
      <c r="F1534" s="1" t="s">
        <v>6717</v>
      </c>
      <c r="G1534" s="1" t="str">
        <f>IFERROR(VLOOKUP(A1534,H_C!$A$2:$G$2628,7,0),"Validar HC")</f>
        <v>Soler, Maria</v>
      </c>
      <c r="H1534" s="167">
        <v>2200286.0</v>
      </c>
      <c r="I1534" s="1">
        <v>42.0</v>
      </c>
    </row>
    <row r="1535" ht="15.75" customHeight="1">
      <c r="A1535" s="1">
        <v>5616324.0</v>
      </c>
      <c r="B1535" s="1" t="s">
        <v>4646</v>
      </c>
      <c r="C1535" s="1" t="s">
        <v>4647</v>
      </c>
      <c r="D1535" s="1" t="s">
        <v>224</v>
      </c>
      <c r="E1535" s="1" t="s">
        <v>232</v>
      </c>
      <c r="F1535" s="1" t="s">
        <v>6717</v>
      </c>
      <c r="G1535" s="1" t="str">
        <f>IFERROR(VLOOKUP(A1535,H_C!$A$2:$G$2628,7,0),"Validar HC")</f>
        <v>Soler, Maria</v>
      </c>
      <c r="H1535" s="167">
        <v>2200286.0</v>
      </c>
      <c r="I1535" s="1">
        <v>42.0</v>
      </c>
    </row>
    <row r="1536" ht="15.75" customHeight="1">
      <c r="A1536" s="1">
        <v>5620756.0</v>
      </c>
      <c r="B1536" s="1" t="s">
        <v>4648</v>
      </c>
      <c r="C1536" s="1" t="s">
        <v>4649</v>
      </c>
      <c r="D1536" s="1" t="s">
        <v>224</v>
      </c>
      <c r="E1536" s="1" t="s">
        <v>232</v>
      </c>
      <c r="F1536" s="1" t="s">
        <v>6717</v>
      </c>
      <c r="G1536" s="1" t="str">
        <f>IFERROR(VLOOKUP(A1536,H_C!$A$2:$G$2628,7,0),"Validar HC")</f>
        <v>Soler, Maria</v>
      </c>
      <c r="H1536" s="167">
        <v>2200286.0</v>
      </c>
      <c r="I1536" s="1">
        <v>42.0</v>
      </c>
    </row>
    <row r="1537" ht="15.75" customHeight="1">
      <c r="A1537" s="1">
        <v>5620758.0</v>
      </c>
      <c r="B1537" s="1" t="s">
        <v>3789</v>
      </c>
      <c r="C1537" s="1" t="s">
        <v>3790</v>
      </c>
      <c r="D1537" s="1" t="s">
        <v>224</v>
      </c>
      <c r="E1537" s="1" t="s">
        <v>491</v>
      </c>
      <c r="F1537" s="1" t="s">
        <v>6717</v>
      </c>
      <c r="G1537" s="1" t="str">
        <f>IFERROR(VLOOKUP(A1537,H_C!$A$2:$G$2628,7,0),"Validar HC")</f>
        <v>Soler, Maria</v>
      </c>
      <c r="H1537" s="167">
        <v>2200286.0</v>
      </c>
      <c r="I1537" s="1">
        <v>42.0</v>
      </c>
    </row>
    <row r="1538" ht="15.75" customHeight="1">
      <c r="A1538" s="1">
        <v>5622332.0</v>
      </c>
      <c r="B1538" s="1" t="s">
        <v>3799</v>
      </c>
      <c r="C1538" s="1" t="s">
        <v>3800</v>
      </c>
      <c r="D1538" s="1" t="s">
        <v>224</v>
      </c>
      <c r="E1538" s="1" t="s">
        <v>3784</v>
      </c>
      <c r="F1538" s="1" t="s">
        <v>6717</v>
      </c>
      <c r="G1538" s="1" t="str">
        <f>IFERROR(VLOOKUP(A1538,H_C!$A$2:$G$2628,7,0),"Validar HC")</f>
        <v>Soler, Maria</v>
      </c>
      <c r="H1538" s="167">
        <v>2200286.0</v>
      </c>
      <c r="I1538" s="1">
        <v>42.0</v>
      </c>
    </row>
    <row r="1539" ht="15.75" customHeight="1">
      <c r="A1539" s="1">
        <v>5622689.0</v>
      </c>
      <c r="B1539" s="1" t="s">
        <v>3882</v>
      </c>
      <c r="C1539" s="1" t="s">
        <v>3883</v>
      </c>
      <c r="D1539" s="1" t="s">
        <v>224</v>
      </c>
      <c r="E1539" s="1" t="s">
        <v>478</v>
      </c>
      <c r="F1539" s="1" t="s">
        <v>6717</v>
      </c>
      <c r="G1539" s="1" t="str">
        <f>IFERROR(VLOOKUP(A1539,H_C!$A$2:$G$2628,7,0),"Validar HC")</f>
        <v>Celi, Juan</v>
      </c>
      <c r="H1539" s="167">
        <v>2200286.0</v>
      </c>
      <c r="I1539" s="1">
        <v>42.0</v>
      </c>
    </row>
    <row r="1540" ht="15.75" customHeight="1">
      <c r="A1540" s="1">
        <v>5622691.0</v>
      </c>
      <c r="B1540" s="1" t="s">
        <v>3948</v>
      </c>
      <c r="C1540" s="1" t="s">
        <v>3949</v>
      </c>
      <c r="D1540" s="1" t="s">
        <v>224</v>
      </c>
      <c r="E1540" s="1" t="s">
        <v>506</v>
      </c>
      <c r="F1540" s="1" t="s">
        <v>6717</v>
      </c>
      <c r="G1540" s="1" t="str">
        <f>IFERROR(VLOOKUP(A1540,H_C!$A$2:$G$2628,7,0),"Validar HC")</f>
        <v>Ospina, Michel</v>
      </c>
      <c r="H1540" s="167">
        <v>2200286.0</v>
      </c>
      <c r="I1540" s="1">
        <v>42.0</v>
      </c>
    </row>
    <row r="1541" ht="15.75" customHeight="1">
      <c r="A1541" s="1">
        <v>5622694.0</v>
      </c>
      <c r="B1541" s="1" t="s">
        <v>4650</v>
      </c>
      <c r="C1541" s="1" t="s">
        <v>4651</v>
      </c>
      <c r="D1541" s="1" t="s">
        <v>224</v>
      </c>
      <c r="E1541" s="1" t="s">
        <v>2069</v>
      </c>
      <c r="F1541" s="1" t="s">
        <v>6717</v>
      </c>
      <c r="G1541" s="1" t="str">
        <f>IFERROR(VLOOKUP(A1541,H_C!$A$2:$G$2628,7,0),"Validar HC")</f>
        <v>Garatejo, Natalia</v>
      </c>
      <c r="H1541" s="167">
        <v>2200286.0</v>
      </c>
      <c r="I1541" s="1">
        <v>42.0</v>
      </c>
    </row>
    <row r="1542" ht="15.75" customHeight="1">
      <c r="A1542" s="1">
        <v>5622695.0</v>
      </c>
      <c r="B1542" s="1" t="s">
        <v>2602</v>
      </c>
      <c r="C1542" s="1" t="s">
        <v>2603</v>
      </c>
      <c r="D1542" s="1" t="s">
        <v>224</v>
      </c>
      <c r="E1542" s="1" t="s">
        <v>412</v>
      </c>
      <c r="F1542" s="1" t="s">
        <v>6717</v>
      </c>
      <c r="G1542" s="1" t="str">
        <f>IFERROR(VLOOKUP(A1542,H_C!$A$2:$G$2628,7,0),"Validar HC")</f>
        <v>Ospina, Michel</v>
      </c>
      <c r="H1542" s="167">
        <v>2200286.0</v>
      </c>
      <c r="I1542" s="1">
        <v>42.0</v>
      </c>
    </row>
    <row r="1543" ht="15.75" customHeight="1">
      <c r="A1543" s="1">
        <v>5622700.0</v>
      </c>
      <c r="B1543" s="1" t="s">
        <v>2651</v>
      </c>
      <c r="C1543" s="1" t="s">
        <v>2652</v>
      </c>
      <c r="D1543" s="1" t="s">
        <v>224</v>
      </c>
      <c r="E1543" s="1" t="s">
        <v>412</v>
      </c>
      <c r="F1543" s="1" t="s">
        <v>6717</v>
      </c>
      <c r="G1543" s="1" t="str">
        <f>IFERROR(VLOOKUP(A1543,H_C!$A$2:$G$2628,7,0),"Validar HC")</f>
        <v>Ospina, Michel</v>
      </c>
      <c r="H1543" s="167">
        <v>2200286.0</v>
      </c>
      <c r="I1543" s="1">
        <v>42.0</v>
      </c>
    </row>
    <row r="1544" ht="15.75" customHeight="1">
      <c r="A1544" s="1">
        <v>5622705.0</v>
      </c>
      <c r="B1544" s="1" t="s">
        <v>4652</v>
      </c>
      <c r="C1544" s="1" t="s">
        <v>4653</v>
      </c>
      <c r="D1544" s="1" t="s">
        <v>224</v>
      </c>
      <c r="E1544" s="1" t="s">
        <v>1746</v>
      </c>
      <c r="F1544" s="1" t="s">
        <v>6717</v>
      </c>
      <c r="G1544" s="1" t="str">
        <f>IFERROR(VLOOKUP(A1544,H_C!$A$2:$G$2628,7,0),"Validar HC")</f>
        <v>Ayala, Giselle</v>
      </c>
      <c r="H1544" s="167">
        <v>2200286.0</v>
      </c>
      <c r="I1544" s="1">
        <v>42.0</v>
      </c>
    </row>
    <row r="1545" ht="15.75" customHeight="1">
      <c r="A1545" s="1">
        <v>5624225.0</v>
      </c>
      <c r="B1545" s="1" t="s">
        <v>3803</v>
      </c>
      <c r="C1545" s="1" t="s">
        <v>3804</v>
      </c>
      <c r="D1545" s="1" t="s">
        <v>224</v>
      </c>
      <c r="E1545" s="1" t="s">
        <v>491</v>
      </c>
      <c r="F1545" s="1" t="s">
        <v>6717</v>
      </c>
      <c r="G1545" s="1" t="str">
        <f>IFERROR(VLOOKUP(A1545,H_C!$A$2:$G$2628,7,0),"Validar HC")</f>
        <v>Soler, Maria</v>
      </c>
      <c r="H1545" s="167">
        <v>2200286.0</v>
      </c>
      <c r="I1545" s="1">
        <v>42.0</v>
      </c>
    </row>
    <row r="1546" ht="15.75" customHeight="1">
      <c r="A1546" s="1">
        <v>5624624.0</v>
      </c>
      <c r="B1546" s="1" t="s">
        <v>3161</v>
      </c>
      <c r="C1546" s="1" t="s">
        <v>3162</v>
      </c>
      <c r="D1546" s="1" t="s">
        <v>224</v>
      </c>
      <c r="E1546" s="1" t="s">
        <v>412</v>
      </c>
      <c r="F1546" s="1" t="s">
        <v>6717</v>
      </c>
      <c r="G1546" s="1" t="str">
        <f>IFERROR(VLOOKUP(A1546,H_C!$A$2:$G$2628,7,0),"Validar HC")</f>
        <v>Ospina, Michel</v>
      </c>
      <c r="H1546" s="167">
        <v>2200286.0</v>
      </c>
      <c r="I1546" s="1">
        <v>42.0</v>
      </c>
    </row>
    <row r="1547" ht="15.75" customHeight="1">
      <c r="A1547" s="1">
        <v>5638255.0</v>
      </c>
      <c r="B1547" s="1" t="s">
        <v>6774</v>
      </c>
      <c r="C1547" s="1" t="s">
        <v>6775</v>
      </c>
      <c r="D1547" s="1" t="s">
        <v>224</v>
      </c>
      <c r="E1547" s="1" t="s">
        <v>1602</v>
      </c>
      <c r="F1547" s="1" t="s">
        <v>6717</v>
      </c>
      <c r="G1547" s="1" t="str">
        <f>IFERROR(VLOOKUP(A1547,H_C!$A$2:$G$2628,7,0),"Validar HC")</f>
        <v>Validar HC</v>
      </c>
      <c r="H1547" s="167">
        <v>2200286.0</v>
      </c>
      <c r="I1547" s="1">
        <v>42.0</v>
      </c>
    </row>
    <row r="1548" ht="15.75" customHeight="1">
      <c r="A1548" s="1">
        <v>5638437.0</v>
      </c>
      <c r="B1548" s="1" t="s">
        <v>2300</v>
      </c>
      <c r="C1548" s="1" t="s">
        <v>2301</v>
      </c>
      <c r="D1548" s="1" t="s">
        <v>224</v>
      </c>
      <c r="E1548" s="1" t="s">
        <v>986</v>
      </c>
      <c r="F1548" s="1" t="s">
        <v>6717</v>
      </c>
      <c r="G1548" s="1" t="str">
        <f>IFERROR(VLOOKUP(A1548,H_C!$A$2:$G$2628,7,0),"Validar HC")</f>
        <v>Garatejo, Natalia</v>
      </c>
      <c r="H1548" s="167">
        <v>2200286.0</v>
      </c>
      <c r="I1548" s="1">
        <v>42.0</v>
      </c>
    </row>
    <row r="1549" ht="15.75" customHeight="1">
      <c r="A1549" s="1">
        <v>5638457.0</v>
      </c>
      <c r="B1549" s="1" t="s">
        <v>2462</v>
      </c>
      <c r="C1549" s="1" t="s">
        <v>2463</v>
      </c>
      <c r="D1549" s="1" t="s">
        <v>224</v>
      </c>
      <c r="E1549" s="1" t="s">
        <v>986</v>
      </c>
      <c r="F1549" s="1" t="s">
        <v>6717</v>
      </c>
      <c r="G1549" s="1" t="str">
        <f>IFERROR(VLOOKUP(A1549,H_C!$A$2:$G$2628,7,0),"Validar HC")</f>
        <v>Garatejo, Natalia</v>
      </c>
      <c r="H1549" s="167">
        <v>2200286.0</v>
      </c>
      <c r="I1549" s="1">
        <v>42.0</v>
      </c>
    </row>
    <row r="1550" ht="15.75" customHeight="1">
      <c r="A1550" s="1">
        <v>5638593.0</v>
      </c>
      <c r="B1550" s="1" t="s">
        <v>3722</v>
      </c>
      <c r="C1550" s="1" t="s">
        <v>3723</v>
      </c>
      <c r="D1550" s="1" t="s">
        <v>224</v>
      </c>
      <c r="E1550" s="1" t="s">
        <v>485</v>
      </c>
      <c r="F1550" s="1" t="s">
        <v>6717</v>
      </c>
      <c r="G1550" s="1" t="str">
        <f>IFERROR(VLOOKUP(A1550,H_C!$A$2:$G$2628,7,0),"Validar HC")</f>
        <v>Martinez, Wendy</v>
      </c>
      <c r="H1550" s="167">
        <v>2200286.0</v>
      </c>
      <c r="I1550" s="1">
        <v>42.0</v>
      </c>
    </row>
    <row r="1551" ht="15.75" customHeight="1">
      <c r="A1551" s="1">
        <v>5638602.0</v>
      </c>
      <c r="B1551" s="1" t="s">
        <v>2659</v>
      </c>
      <c r="C1551" s="1" t="s">
        <v>2660</v>
      </c>
      <c r="D1551" s="1" t="s">
        <v>224</v>
      </c>
      <c r="E1551" s="1" t="s">
        <v>412</v>
      </c>
      <c r="F1551" s="1" t="s">
        <v>6717</v>
      </c>
      <c r="G1551" s="1" t="str">
        <f>IFERROR(VLOOKUP(A1551,H_C!$A$2:$G$2628,7,0),"Validar HC")</f>
        <v>Ospina, Michel</v>
      </c>
      <c r="H1551" s="167">
        <v>2200286.0</v>
      </c>
      <c r="I1551" s="1">
        <v>42.0</v>
      </c>
    </row>
    <row r="1552" ht="15.75" customHeight="1">
      <c r="A1552" s="1">
        <v>5638609.0</v>
      </c>
      <c r="B1552" s="1" t="s">
        <v>3127</v>
      </c>
      <c r="C1552" s="1" t="s">
        <v>3128</v>
      </c>
      <c r="D1552" s="1" t="s">
        <v>224</v>
      </c>
      <c r="E1552" s="1" t="s">
        <v>412</v>
      </c>
      <c r="F1552" s="1" t="s">
        <v>6717</v>
      </c>
      <c r="G1552" s="1" t="str">
        <f>IFERROR(VLOOKUP(A1552,H_C!$A$2:$G$2628,7,0),"Validar HC")</f>
        <v>Ospina, Michel</v>
      </c>
      <c r="H1552" s="167">
        <v>2200286.0</v>
      </c>
      <c r="I1552" s="1">
        <v>42.0</v>
      </c>
    </row>
    <row r="1553" ht="15.75" customHeight="1">
      <c r="A1553" s="1">
        <v>5640239.0</v>
      </c>
      <c r="B1553" s="1" t="s">
        <v>2273</v>
      </c>
      <c r="C1553" s="1" t="s">
        <v>2274</v>
      </c>
      <c r="D1553" s="1" t="s">
        <v>224</v>
      </c>
      <c r="E1553" s="1" t="s">
        <v>986</v>
      </c>
      <c r="F1553" s="1" t="s">
        <v>6717</v>
      </c>
      <c r="G1553" s="1" t="str">
        <f>IFERROR(VLOOKUP(A1553,H_C!$A$2:$G$2628,7,0),"Validar HC")</f>
        <v>Garatejo, Natalia</v>
      </c>
      <c r="H1553" s="167">
        <v>2200286.0</v>
      </c>
      <c r="I1553" s="1">
        <v>42.0</v>
      </c>
    </row>
    <row r="1554" ht="15.75" customHeight="1">
      <c r="A1554" s="1">
        <v>5640414.0</v>
      </c>
      <c r="B1554" s="1" t="s">
        <v>3079</v>
      </c>
      <c r="C1554" s="1" t="s">
        <v>3080</v>
      </c>
      <c r="D1554" s="1" t="s">
        <v>224</v>
      </c>
      <c r="E1554" s="1" t="s">
        <v>329</v>
      </c>
      <c r="F1554" s="1" t="s">
        <v>6717</v>
      </c>
      <c r="G1554" s="1" t="str">
        <f>IFERROR(VLOOKUP(A1554,H_C!$A$2:$G$2628,7,0),"Validar HC")</f>
        <v>Garatejo, Natalia</v>
      </c>
      <c r="H1554" s="167">
        <v>2200286.0</v>
      </c>
      <c r="I1554" s="1">
        <v>42.0</v>
      </c>
    </row>
    <row r="1555" ht="15.75" customHeight="1">
      <c r="A1555" s="1">
        <v>5640810.0</v>
      </c>
      <c r="B1555" s="1" t="s">
        <v>3532</v>
      </c>
      <c r="C1555" s="1" t="s">
        <v>3533</v>
      </c>
      <c r="D1555" s="1" t="s">
        <v>224</v>
      </c>
      <c r="E1555" s="1" t="s">
        <v>467</v>
      </c>
      <c r="F1555" s="1" t="s">
        <v>6717</v>
      </c>
      <c r="G1555" s="1" t="str">
        <f>IFERROR(VLOOKUP(A1555,H_C!$A$2:$G$2628,7,0),"Validar HC")</f>
        <v>Martinez, Wendy</v>
      </c>
      <c r="H1555" s="167">
        <v>2200286.0</v>
      </c>
      <c r="I1555" s="1">
        <v>42.0</v>
      </c>
    </row>
    <row r="1556" ht="15.75" customHeight="1">
      <c r="A1556" s="1">
        <v>5640816.0</v>
      </c>
      <c r="B1556" s="1" t="s">
        <v>3534</v>
      </c>
      <c r="C1556" s="1" t="s">
        <v>3535</v>
      </c>
      <c r="D1556" s="1" t="s">
        <v>224</v>
      </c>
      <c r="E1556" s="1" t="s">
        <v>467</v>
      </c>
      <c r="F1556" s="1" t="s">
        <v>6717</v>
      </c>
      <c r="G1556" s="1" t="str">
        <f>IFERROR(VLOOKUP(A1556,H_C!$A$2:$G$2628,7,0),"Validar HC")</f>
        <v>Martinez, Wendy</v>
      </c>
      <c r="H1556" s="167">
        <v>2200286.0</v>
      </c>
      <c r="I1556" s="1">
        <v>42.0</v>
      </c>
    </row>
    <row r="1557" ht="15.75" customHeight="1">
      <c r="A1557" s="1">
        <v>5640835.0</v>
      </c>
      <c r="B1557" s="1" t="s">
        <v>3522</v>
      </c>
      <c r="C1557" s="1" t="s">
        <v>3523</v>
      </c>
      <c r="D1557" s="1" t="s">
        <v>224</v>
      </c>
      <c r="E1557" s="1" t="s">
        <v>467</v>
      </c>
      <c r="F1557" s="1" t="s">
        <v>6717</v>
      </c>
      <c r="G1557" s="1" t="str">
        <f>IFERROR(VLOOKUP(A1557,H_C!$A$2:$G$2628,7,0),"Validar HC")</f>
        <v>Martinez, Wendy</v>
      </c>
      <c r="H1557" s="167">
        <v>2200286.0</v>
      </c>
      <c r="I1557" s="1">
        <v>42.0</v>
      </c>
    </row>
    <row r="1558" ht="15.75" customHeight="1">
      <c r="A1558" s="1">
        <v>5640837.0</v>
      </c>
      <c r="B1558" s="1" t="s">
        <v>6776</v>
      </c>
      <c r="C1558" s="1" t="s">
        <v>6777</v>
      </c>
      <c r="D1558" s="1" t="s">
        <v>224</v>
      </c>
      <c r="E1558" s="1" t="s">
        <v>467</v>
      </c>
      <c r="F1558" s="1" t="s">
        <v>6717</v>
      </c>
      <c r="G1558" s="1" t="str">
        <f>IFERROR(VLOOKUP(A1558,H_C!$A$2:$G$2628,7,0),"Validar HC")</f>
        <v>Validar HC</v>
      </c>
      <c r="H1558" s="167">
        <v>2200286.0</v>
      </c>
      <c r="I1558" s="1">
        <v>42.0</v>
      </c>
    </row>
    <row r="1559" ht="15.75" customHeight="1">
      <c r="A1559" s="1">
        <v>5640842.0</v>
      </c>
      <c r="B1559" s="1" t="s">
        <v>3518</v>
      </c>
      <c r="C1559" s="1" t="s">
        <v>3519</v>
      </c>
      <c r="D1559" s="1" t="s">
        <v>224</v>
      </c>
      <c r="E1559" s="1" t="s">
        <v>467</v>
      </c>
      <c r="F1559" s="1" t="s">
        <v>6717</v>
      </c>
      <c r="G1559" s="1" t="str">
        <f>IFERROR(VLOOKUP(A1559,H_C!$A$2:$G$2628,7,0),"Validar HC")</f>
        <v>Martinez, Wendy</v>
      </c>
      <c r="H1559" s="167">
        <v>2200286.0</v>
      </c>
      <c r="I1559" s="1">
        <v>42.0</v>
      </c>
    </row>
    <row r="1560" ht="15.75" customHeight="1">
      <c r="A1560" s="1">
        <v>5640843.0</v>
      </c>
      <c r="B1560" s="1" t="s">
        <v>3566</v>
      </c>
      <c r="C1560" s="1" t="s">
        <v>3567</v>
      </c>
      <c r="D1560" s="1" t="s">
        <v>224</v>
      </c>
      <c r="E1560" s="1" t="s">
        <v>467</v>
      </c>
      <c r="F1560" s="1" t="s">
        <v>6717</v>
      </c>
      <c r="G1560" s="1" t="str">
        <f>IFERROR(VLOOKUP(A1560,H_C!$A$2:$G$2628,7,0),"Validar HC")</f>
        <v>Martinez, Wendy</v>
      </c>
      <c r="H1560" s="167">
        <v>2200286.0</v>
      </c>
      <c r="I1560" s="1">
        <v>42.0</v>
      </c>
    </row>
    <row r="1561" ht="15.75" customHeight="1">
      <c r="A1561" s="1">
        <v>5641145.0</v>
      </c>
      <c r="B1561" s="1" t="s">
        <v>3950</v>
      </c>
      <c r="C1561" s="1" t="s">
        <v>3951</v>
      </c>
      <c r="D1561" s="1" t="s">
        <v>224</v>
      </c>
      <c r="E1561" s="1" t="s">
        <v>118</v>
      </c>
      <c r="F1561" s="1" t="s">
        <v>6717</v>
      </c>
      <c r="G1561" s="1" t="str">
        <f>IFERROR(VLOOKUP(A1561,H_C!$A$2:$G$2628,7,0),"Validar HC")</f>
        <v>Ospina, Michel</v>
      </c>
      <c r="H1561" s="167">
        <v>2200286.0</v>
      </c>
      <c r="I1561" s="1">
        <v>42.0</v>
      </c>
    </row>
    <row r="1562" ht="15.75" customHeight="1">
      <c r="A1562" s="1">
        <v>5645378.0</v>
      </c>
      <c r="B1562" s="1" t="s">
        <v>4057</v>
      </c>
      <c r="C1562" s="1" t="s">
        <v>4058</v>
      </c>
      <c r="D1562" s="1" t="s">
        <v>224</v>
      </c>
      <c r="E1562" s="1" t="s">
        <v>738</v>
      </c>
      <c r="F1562" s="1" t="s">
        <v>6717</v>
      </c>
      <c r="G1562" s="1" t="str">
        <f>IFERROR(VLOOKUP(A1562,H_C!$A$2:$G$2628,7,0),"Validar HC")</f>
        <v>Garcia, Helmer</v>
      </c>
      <c r="H1562" s="167">
        <v>2200286.0</v>
      </c>
      <c r="I1562" s="1">
        <v>42.0</v>
      </c>
    </row>
    <row r="1563" ht="15.75" customHeight="1">
      <c r="A1563" s="1">
        <v>5645398.0</v>
      </c>
      <c r="B1563" s="1" t="s">
        <v>905</v>
      </c>
      <c r="C1563" s="1" t="s">
        <v>906</v>
      </c>
      <c r="D1563" s="1" t="s">
        <v>224</v>
      </c>
      <c r="E1563" s="1" t="s">
        <v>118</v>
      </c>
      <c r="F1563" s="1" t="s">
        <v>6717</v>
      </c>
      <c r="G1563" s="1" t="str">
        <f>IFERROR(VLOOKUP(A1563,H_C!$A$2:$G$2628,7,0),"Validar HC")</f>
        <v>Ospina, Michel</v>
      </c>
      <c r="H1563" s="167">
        <v>2200286.0</v>
      </c>
      <c r="I1563" s="1">
        <v>42.0</v>
      </c>
    </row>
    <row r="1564" ht="15.75" customHeight="1">
      <c r="A1564" s="1">
        <v>5645466.0</v>
      </c>
      <c r="B1564" s="1" t="s">
        <v>4526</v>
      </c>
      <c r="C1564" s="1" t="s">
        <v>4527</v>
      </c>
      <c r="D1564" s="1" t="s">
        <v>224</v>
      </c>
      <c r="E1564" s="1" t="s">
        <v>120</v>
      </c>
      <c r="F1564" s="1" t="s">
        <v>6717</v>
      </c>
      <c r="G1564" s="1" t="str">
        <f>IFERROR(VLOOKUP(A1564,H_C!$A$2:$G$2628,7,0),"Validar HC")</f>
        <v>Ospina, Michel</v>
      </c>
      <c r="H1564" s="167">
        <v>2200286.0</v>
      </c>
      <c r="I1564" s="1">
        <v>42.0</v>
      </c>
    </row>
    <row r="1565" ht="15.75" customHeight="1">
      <c r="A1565" s="1">
        <v>5645561.0</v>
      </c>
      <c r="B1565" s="1" t="s">
        <v>4660</v>
      </c>
      <c r="C1565" s="1" t="s">
        <v>4661</v>
      </c>
      <c r="D1565" s="1" t="s">
        <v>224</v>
      </c>
      <c r="E1565" s="1" t="s">
        <v>120</v>
      </c>
      <c r="F1565" s="1" t="s">
        <v>6717</v>
      </c>
      <c r="G1565" s="1" t="str">
        <f>IFERROR(VLOOKUP(A1565,H_C!$A$2:$G$2628,7,0),"Validar HC")</f>
        <v>Ospina, Michel</v>
      </c>
      <c r="H1565" s="167">
        <v>2200286.0</v>
      </c>
      <c r="I1565" s="1">
        <v>42.0</v>
      </c>
    </row>
    <row r="1566" ht="15.75" customHeight="1">
      <c r="A1566" s="1">
        <v>5646819.0</v>
      </c>
      <c r="B1566" s="1" t="s">
        <v>4053</v>
      </c>
      <c r="C1566" s="1" t="s">
        <v>4054</v>
      </c>
      <c r="D1566" s="1" t="s">
        <v>224</v>
      </c>
      <c r="E1566" s="1" t="s">
        <v>738</v>
      </c>
      <c r="F1566" s="1" t="s">
        <v>6717</v>
      </c>
      <c r="G1566" s="1" t="str">
        <f>IFERROR(VLOOKUP(A1566,H_C!$A$2:$G$2628,7,0),"Validar HC")</f>
        <v>Garcia, Helmer</v>
      </c>
      <c r="H1566" s="167">
        <v>2200286.0</v>
      </c>
      <c r="I1566" s="1">
        <v>42.0</v>
      </c>
    </row>
    <row r="1567" ht="15.75" customHeight="1">
      <c r="A1567" s="1">
        <v>5646820.0</v>
      </c>
      <c r="B1567" s="1" t="s">
        <v>1902</v>
      </c>
      <c r="C1567" s="1" t="s">
        <v>1903</v>
      </c>
      <c r="D1567" s="1" t="s">
        <v>224</v>
      </c>
      <c r="E1567" s="1" t="s">
        <v>853</v>
      </c>
      <c r="F1567" s="1" t="s">
        <v>6717</v>
      </c>
      <c r="G1567" s="1" t="str">
        <f>IFERROR(VLOOKUP(A1567,H_C!$A$2:$G$2628,7,0),"Validar HC")</f>
        <v>Garcia, Helmer</v>
      </c>
      <c r="H1567" s="167">
        <v>2200286.0</v>
      </c>
      <c r="I1567" s="1">
        <v>42.0</v>
      </c>
    </row>
    <row r="1568" ht="15.75" customHeight="1">
      <c r="A1568" s="1">
        <v>5650116.0</v>
      </c>
      <c r="B1568" s="1" t="s">
        <v>3740</v>
      </c>
      <c r="C1568" s="1" t="s">
        <v>3741</v>
      </c>
      <c r="D1568" s="1" t="s">
        <v>224</v>
      </c>
      <c r="E1568" s="1" t="s">
        <v>555</v>
      </c>
      <c r="F1568" s="1" t="s">
        <v>6717</v>
      </c>
      <c r="G1568" s="1" t="str">
        <f>IFERROR(VLOOKUP(A1568,H_C!$A$2:$G$2628,7,0),"Validar HC")</f>
        <v>Ayala, Giselle</v>
      </c>
      <c r="H1568" s="167">
        <v>2200286.0</v>
      </c>
      <c r="I1568" s="1">
        <v>42.0</v>
      </c>
    </row>
    <row r="1569" ht="15.75" customHeight="1">
      <c r="A1569" s="1">
        <v>5650127.0</v>
      </c>
      <c r="B1569" s="1" t="s">
        <v>4444</v>
      </c>
      <c r="C1569" s="1" t="s">
        <v>4445</v>
      </c>
      <c r="D1569" s="1" t="s">
        <v>224</v>
      </c>
      <c r="E1569" s="1" t="s">
        <v>1746</v>
      </c>
      <c r="F1569" s="1" t="s">
        <v>6717</v>
      </c>
      <c r="G1569" s="1" t="str">
        <f>IFERROR(VLOOKUP(A1569,H_C!$A$2:$G$2628,7,0),"Validar HC")</f>
        <v>Ayala, Giselle</v>
      </c>
      <c r="H1569" s="167">
        <v>2200286.0</v>
      </c>
      <c r="I1569" s="1">
        <v>42.0</v>
      </c>
    </row>
    <row r="1570" ht="15.75" customHeight="1">
      <c r="A1570" s="1">
        <v>5650403.0</v>
      </c>
      <c r="B1570" s="1" t="s">
        <v>3201</v>
      </c>
      <c r="C1570" s="1" t="s">
        <v>3202</v>
      </c>
      <c r="D1570" s="1" t="s">
        <v>224</v>
      </c>
      <c r="E1570" s="1" t="s">
        <v>412</v>
      </c>
      <c r="F1570" s="1" t="s">
        <v>6717</v>
      </c>
      <c r="G1570" s="1" t="str">
        <f>IFERROR(VLOOKUP(A1570,H_C!$A$2:$G$2628,7,0),"Validar HC")</f>
        <v>Ospina, Michel</v>
      </c>
      <c r="H1570" s="167">
        <v>2200286.0</v>
      </c>
      <c r="I1570" s="1">
        <v>42.0</v>
      </c>
    </row>
    <row r="1571" ht="15.75" customHeight="1">
      <c r="A1571" s="1">
        <v>5650448.0</v>
      </c>
      <c r="B1571" s="1" t="s">
        <v>3286</v>
      </c>
      <c r="C1571" s="1" t="s">
        <v>3287</v>
      </c>
      <c r="D1571" s="1" t="s">
        <v>224</v>
      </c>
      <c r="E1571" s="1" t="s">
        <v>425</v>
      </c>
      <c r="F1571" s="1" t="s">
        <v>6717</v>
      </c>
      <c r="G1571" s="1" t="str">
        <f>IFERROR(VLOOKUP(A1571,H_C!$A$2:$G$2628,7,0),"Validar HC")</f>
        <v>Ospina, Michel</v>
      </c>
      <c r="H1571" s="167">
        <v>2200286.0</v>
      </c>
      <c r="I1571" s="1">
        <v>42.0</v>
      </c>
    </row>
    <row r="1572" ht="15.75" customHeight="1">
      <c r="A1572" s="1">
        <v>5650492.0</v>
      </c>
      <c r="B1572" s="1" t="s">
        <v>4494</v>
      </c>
      <c r="C1572" s="1" t="s">
        <v>4495</v>
      </c>
      <c r="D1572" s="1" t="s">
        <v>224</v>
      </c>
      <c r="E1572" s="1" t="s">
        <v>120</v>
      </c>
      <c r="F1572" s="1" t="s">
        <v>6717</v>
      </c>
      <c r="G1572" s="1" t="str">
        <f>IFERROR(VLOOKUP(A1572,H_C!$A$2:$G$2628,7,0),"Validar HC")</f>
        <v>Ospina, Michel</v>
      </c>
      <c r="H1572" s="167">
        <v>2200286.0</v>
      </c>
      <c r="I1572" s="1">
        <v>42.0</v>
      </c>
    </row>
    <row r="1573" ht="15.75" customHeight="1">
      <c r="A1573" s="1">
        <v>5651669.0</v>
      </c>
      <c r="B1573" s="1" t="s">
        <v>4672</v>
      </c>
      <c r="C1573" s="1" t="s">
        <v>4673</v>
      </c>
      <c r="D1573" s="1" t="s">
        <v>224</v>
      </c>
      <c r="E1573" s="1" t="s">
        <v>835</v>
      </c>
      <c r="F1573" s="1" t="s">
        <v>6717</v>
      </c>
      <c r="G1573" s="1" t="str">
        <f>IFERROR(VLOOKUP(A1573,H_C!$A$2:$G$2628,7,0),"Validar HC")</f>
        <v>Martinez, Wendy</v>
      </c>
      <c r="H1573" s="167">
        <v>2200286.0</v>
      </c>
      <c r="I1573" s="1">
        <v>42.0</v>
      </c>
    </row>
    <row r="1574" ht="15.75" customHeight="1">
      <c r="A1574" s="1">
        <v>5651670.0</v>
      </c>
      <c r="B1574" s="1" t="s">
        <v>4178</v>
      </c>
      <c r="C1574" s="1" t="s">
        <v>4179</v>
      </c>
      <c r="D1574" s="1" t="s">
        <v>224</v>
      </c>
      <c r="E1574" s="1" t="s">
        <v>412</v>
      </c>
      <c r="F1574" s="1" t="s">
        <v>6717</v>
      </c>
      <c r="G1574" s="1" t="str">
        <f>IFERROR(VLOOKUP(A1574,H_C!$A$2:$G$2628,7,0),"Validar HC")</f>
        <v>Ospina, Michel</v>
      </c>
      <c r="H1574" s="167">
        <v>2200286.0</v>
      </c>
      <c r="I1574" s="1">
        <v>42.0</v>
      </c>
    </row>
    <row r="1575" ht="15.75" customHeight="1">
      <c r="A1575" s="1">
        <v>5651703.0</v>
      </c>
      <c r="B1575" s="1" t="s">
        <v>4676</v>
      </c>
      <c r="C1575" s="1" t="s">
        <v>4677</v>
      </c>
      <c r="D1575" s="1" t="s">
        <v>224</v>
      </c>
      <c r="E1575" s="1" t="s">
        <v>847</v>
      </c>
      <c r="F1575" s="1" t="s">
        <v>6717</v>
      </c>
      <c r="G1575" s="1" t="str">
        <f>IFERROR(VLOOKUP(A1575,H_C!$A$2:$G$2628,7,0),"Validar HC")</f>
        <v>Garatejo, Natalia</v>
      </c>
      <c r="H1575" s="167">
        <v>2200286.0</v>
      </c>
      <c r="I1575" s="1">
        <v>42.0</v>
      </c>
    </row>
    <row r="1576" ht="15.75" customHeight="1">
      <c r="A1576" s="1">
        <v>5651741.0</v>
      </c>
      <c r="B1576" s="1" t="s">
        <v>2637</v>
      </c>
      <c r="C1576" s="1" t="s">
        <v>2638</v>
      </c>
      <c r="D1576" s="1" t="s">
        <v>224</v>
      </c>
      <c r="E1576" s="1" t="s">
        <v>412</v>
      </c>
      <c r="F1576" s="1" t="s">
        <v>6717</v>
      </c>
      <c r="G1576" s="1" t="str">
        <f>IFERROR(VLOOKUP(A1576,H_C!$A$2:$G$2628,7,0),"Validar HC")</f>
        <v>Ospina, Michel</v>
      </c>
      <c r="H1576" s="167">
        <v>2200286.0</v>
      </c>
      <c r="I1576" s="1">
        <v>42.0</v>
      </c>
    </row>
    <row r="1577" ht="15.75" customHeight="1">
      <c r="A1577" s="1">
        <v>5651744.0</v>
      </c>
      <c r="B1577" s="1" t="s">
        <v>70</v>
      </c>
      <c r="C1577" s="1" t="s">
        <v>2392</v>
      </c>
      <c r="D1577" s="1" t="s">
        <v>224</v>
      </c>
      <c r="E1577" s="1" t="s">
        <v>81</v>
      </c>
      <c r="F1577" s="1" t="s">
        <v>6717</v>
      </c>
      <c r="G1577" s="1" t="str">
        <f>IFERROR(VLOOKUP(A1577,H_C!$A$2:$G$2628,7,0),"Validar HC")</f>
        <v>Ospina, Michel</v>
      </c>
      <c r="H1577" s="167">
        <v>2200286.0</v>
      </c>
      <c r="I1577" s="1">
        <v>42.0</v>
      </c>
    </row>
    <row r="1578" ht="15.75" customHeight="1">
      <c r="A1578" s="1"/>
      <c r="B1578" s="1"/>
      <c r="C1578" s="1"/>
      <c r="D1578" s="1"/>
      <c r="E1578" s="1"/>
      <c r="F1578" s="1"/>
      <c r="G1578" s="1"/>
      <c r="H1578" s="162"/>
      <c r="I1578" s="1"/>
    </row>
    <row r="1579" ht="15.75" customHeight="1">
      <c r="A1579" s="1">
        <v>5653304.0</v>
      </c>
      <c r="B1579" s="1" t="s">
        <v>3714</v>
      </c>
      <c r="C1579" s="1" t="s">
        <v>3715</v>
      </c>
      <c r="D1579" s="1" t="s">
        <v>224</v>
      </c>
      <c r="E1579" s="1" t="s">
        <v>485</v>
      </c>
      <c r="F1579" s="1" t="s">
        <v>6717</v>
      </c>
      <c r="G1579" s="1" t="str">
        <f>IFERROR(VLOOKUP(A1579,H_C!$A$2:$G$2628,7,0),"Validar HC")</f>
        <v>Martinez, Wendy</v>
      </c>
      <c r="H1579" s="167">
        <v>2200286.0</v>
      </c>
      <c r="I1579" s="1">
        <v>42.0</v>
      </c>
    </row>
    <row r="1580" ht="15.75" customHeight="1">
      <c r="A1580" s="1">
        <v>5653993.0</v>
      </c>
      <c r="B1580" s="1" t="s">
        <v>2325</v>
      </c>
      <c r="C1580" s="1" t="s">
        <v>2326</v>
      </c>
      <c r="D1580" s="1" t="s">
        <v>224</v>
      </c>
      <c r="E1580" s="1" t="s">
        <v>986</v>
      </c>
      <c r="F1580" s="1" t="s">
        <v>6717</v>
      </c>
      <c r="G1580" s="1" t="str">
        <f>IFERROR(VLOOKUP(A1580,H_C!$A$2:$G$2628,7,0),"Validar HC")</f>
        <v>Garatejo, Natalia</v>
      </c>
      <c r="H1580" s="167">
        <v>2200286.0</v>
      </c>
      <c r="I1580" s="1">
        <v>42.0</v>
      </c>
    </row>
    <row r="1581" ht="15.75" customHeight="1">
      <c r="A1581" s="1">
        <v>5654112.0</v>
      </c>
      <c r="B1581" s="1" t="s">
        <v>3936</v>
      </c>
      <c r="C1581" s="1" t="s">
        <v>3937</v>
      </c>
      <c r="D1581" s="1" t="s">
        <v>224</v>
      </c>
      <c r="E1581" s="1" t="s">
        <v>118</v>
      </c>
      <c r="F1581" s="1" t="s">
        <v>6717</v>
      </c>
      <c r="G1581" s="1" t="str">
        <f>IFERROR(VLOOKUP(A1581,H_C!$A$2:$G$2628,7,0),"Validar HC")</f>
        <v>Ospina, Michel</v>
      </c>
      <c r="H1581" s="167">
        <v>2200286.0</v>
      </c>
      <c r="I1581" s="1">
        <v>42.0</v>
      </c>
    </row>
    <row r="1582" ht="15.75" customHeight="1">
      <c r="A1582" s="1">
        <v>5654114.0</v>
      </c>
      <c r="B1582" s="1" t="s">
        <v>4694</v>
      </c>
      <c r="C1582" s="1" t="s">
        <v>4695</v>
      </c>
      <c r="D1582" s="1" t="s">
        <v>224</v>
      </c>
      <c r="E1582" s="1" t="s">
        <v>425</v>
      </c>
      <c r="F1582" s="1" t="s">
        <v>6717</v>
      </c>
      <c r="G1582" s="1" t="str">
        <f>IFERROR(VLOOKUP(A1582,H_C!$A$2:$G$2628,7,0),"Validar HC")</f>
        <v>Ospina, Michel</v>
      </c>
      <c r="H1582" s="167">
        <v>2200286.0</v>
      </c>
      <c r="I1582" s="1">
        <v>42.0</v>
      </c>
    </row>
    <row r="1583" ht="15.75" customHeight="1">
      <c r="A1583" s="1">
        <v>5655167.0</v>
      </c>
      <c r="B1583" s="1" t="s">
        <v>4698</v>
      </c>
      <c r="C1583" s="1" t="s">
        <v>4699</v>
      </c>
      <c r="D1583" s="1" t="s">
        <v>224</v>
      </c>
      <c r="E1583" s="1" t="s">
        <v>425</v>
      </c>
      <c r="F1583" s="1" t="s">
        <v>6717</v>
      </c>
      <c r="G1583" s="1" t="str">
        <f>IFERROR(VLOOKUP(A1583,H_C!$A$2:$G$2628,7,0),"Validar HC")</f>
        <v>Ospina, Michel</v>
      </c>
      <c r="H1583" s="167">
        <v>2200286.0</v>
      </c>
      <c r="I1583" s="1">
        <v>42.0</v>
      </c>
    </row>
    <row r="1584" ht="15.75" customHeight="1">
      <c r="A1584" s="1">
        <v>5655278.0</v>
      </c>
      <c r="B1584" s="1" t="s">
        <v>3149</v>
      </c>
      <c r="C1584" s="1" t="s">
        <v>3150</v>
      </c>
      <c r="D1584" s="1" t="s">
        <v>224</v>
      </c>
      <c r="E1584" s="1" t="s">
        <v>412</v>
      </c>
      <c r="F1584" s="1" t="s">
        <v>6717</v>
      </c>
      <c r="G1584" s="1" t="str">
        <f>IFERROR(VLOOKUP(A1584,H_C!$A$2:$G$2628,7,0),"Validar HC")</f>
        <v>Ospina, Michel</v>
      </c>
      <c r="H1584" s="167">
        <v>2200286.0</v>
      </c>
      <c r="I1584" s="1">
        <v>42.0</v>
      </c>
    </row>
    <row r="1585" ht="15.75" customHeight="1">
      <c r="A1585" s="1">
        <v>5655411.0</v>
      </c>
      <c r="B1585" s="1" t="s">
        <v>2693</v>
      </c>
      <c r="C1585" s="1" t="s">
        <v>2694</v>
      </c>
      <c r="D1585" s="1" t="s">
        <v>224</v>
      </c>
      <c r="E1585" s="1" t="s">
        <v>478</v>
      </c>
      <c r="F1585" s="1" t="s">
        <v>6717</v>
      </c>
      <c r="G1585" s="1" t="str">
        <f>IFERROR(VLOOKUP(A1585,H_C!$A$2:$G$2628,7,0),"Validar HC")</f>
        <v>Celi, Juan</v>
      </c>
      <c r="H1585" s="167">
        <v>2200286.0</v>
      </c>
      <c r="I1585" s="1">
        <v>42.0</v>
      </c>
    </row>
    <row r="1586" ht="15.75" customHeight="1">
      <c r="A1586" s="1">
        <v>5655475.0</v>
      </c>
      <c r="B1586" s="1" t="s">
        <v>4704</v>
      </c>
      <c r="C1586" s="1" t="s">
        <v>4705</v>
      </c>
      <c r="D1586" s="1" t="s">
        <v>224</v>
      </c>
      <c r="E1586" s="1" t="s">
        <v>813</v>
      </c>
      <c r="F1586" s="1" t="s">
        <v>6717</v>
      </c>
      <c r="G1586" s="1" t="str">
        <f>IFERROR(VLOOKUP(A1586,H_C!$A$2:$G$2628,7,0),"Validar HC")</f>
        <v>Garatejo, Natalia</v>
      </c>
      <c r="H1586" s="167">
        <v>2200286.0</v>
      </c>
      <c r="I1586" s="1">
        <v>42.0</v>
      </c>
    </row>
    <row r="1587" ht="15.75" customHeight="1">
      <c r="A1587" s="1">
        <v>5655519.0</v>
      </c>
      <c r="B1587" s="1" t="s">
        <v>4338</v>
      </c>
      <c r="C1587" s="1" t="s">
        <v>4339</v>
      </c>
      <c r="D1587" s="1" t="s">
        <v>224</v>
      </c>
      <c r="E1587" s="1" t="s">
        <v>416</v>
      </c>
      <c r="F1587" s="1" t="s">
        <v>6717</v>
      </c>
      <c r="G1587" s="1" t="str">
        <f>IFERROR(VLOOKUP(A1587,H_C!$A$2:$G$2628,7,0),"Validar HC")</f>
        <v>Ospina, Michel</v>
      </c>
      <c r="H1587" s="167">
        <v>2200286.0</v>
      </c>
      <c r="I1587" s="1">
        <v>42.0</v>
      </c>
    </row>
    <row r="1588" ht="15.75" customHeight="1">
      <c r="A1588" s="1">
        <v>5655606.0</v>
      </c>
      <c r="B1588" s="1" t="s">
        <v>897</v>
      </c>
      <c r="C1588" s="1" t="s">
        <v>898</v>
      </c>
      <c r="D1588" s="1" t="s">
        <v>224</v>
      </c>
      <c r="E1588" s="1" t="s">
        <v>118</v>
      </c>
      <c r="F1588" s="1" t="s">
        <v>6717</v>
      </c>
      <c r="G1588" s="1" t="str">
        <f>IFERROR(VLOOKUP(A1588,H_C!$A$2:$G$2628,7,0),"Validar HC")</f>
        <v>Ospina, Michel</v>
      </c>
      <c r="H1588" s="167">
        <v>2200286.0</v>
      </c>
      <c r="I1588" s="1">
        <v>42.0</v>
      </c>
    </row>
    <row r="1589" ht="15.75" customHeight="1">
      <c r="A1589" s="1">
        <v>5656992.0</v>
      </c>
      <c r="B1589" s="1" t="s">
        <v>4706</v>
      </c>
      <c r="C1589" s="1" t="s">
        <v>4707</v>
      </c>
      <c r="D1589" s="1" t="s">
        <v>224</v>
      </c>
      <c r="E1589" s="1" t="s">
        <v>478</v>
      </c>
      <c r="F1589" s="1" t="s">
        <v>6717</v>
      </c>
      <c r="G1589" s="1" t="str">
        <f>IFERROR(VLOOKUP(A1589,H_C!$A$2:$G$2628,7,0),"Validar HC")</f>
        <v>Celi, Juan</v>
      </c>
      <c r="H1589" s="167">
        <v>2200286.0</v>
      </c>
      <c r="I1589" s="1">
        <v>42.0</v>
      </c>
    </row>
    <row r="1590" ht="15.75" customHeight="1">
      <c r="A1590" s="1">
        <v>5657299.0</v>
      </c>
      <c r="B1590" s="1" t="s">
        <v>4710</v>
      </c>
      <c r="C1590" s="1" t="s">
        <v>4711</v>
      </c>
      <c r="D1590" s="1" t="s">
        <v>224</v>
      </c>
      <c r="E1590" s="1" t="s">
        <v>374</v>
      </c>
      <c r="F1590" s="1" t="s">
        <v>6717</v>
      </c>
      <c r="G1590" s="1" t="str">
        <f>IFERROR(VLOOKUP(A1590,H_C!$A$2:$G$2628,7,0),"Validar HC")</f>
        <v>Martinez, Wendy</v>
      </c>
      <c r="H1590" s="167">
        <v>2200286.0</v>
      </c>
      <c r="I1590" s="1">
        <v>42.0</v>
      </c>
    </row>
    <row r="1591" ht="15.75" customHeight="1">
      <c r="A1591" s="1">
        <v>5657416.0</v>
      </c>
      <c r="B1591" s="1" t="s">
        <v>2655</v>
      </c>
      <c r="C1591" s="1" t="s">
        <v>2656</v>
      </c>
      <c r="D1591" s="1" t="s">
        <v>224</v>
      </c>
      <c r="E1591" s="1" t="s">
        <v>412</v>
      </c>
      <c r="F1591" s="1" t="s">
        <v>6717</v>
      </c>
      <c r="G1591" s="1" t="str">
        <f>IFERROR(VLOOKUP(A1591,H_C!$A$2:$G$2628,7,0),"Validar HC")</f>
        <v>Ospina, Michel</v>
      </c>
      <c r="H1591" s="167">
        <v>2200286.0</v>
      </c>
      <c r="I1591" s="1">
        <v>42.0</v>
      </c>
    </row>
    <row r="1592" ht="15.75" customHeight="1">
      <c r="A1592" s="1">
        <v>5658360.0</v>
      </c>
      <c r="B1592" s="1" t="s">
        <v>4716</v>
      </c>
      <c r="C1592" s="1" t="s">
        <v>4717</v>
      </c>
      <c r="D1592" s="1" t="s">
        <v>224</v>
      </c>
      <c r="E1592" s="1" t="s">
        <v>478</v>
      </c>
      <c r="F1592" s="1" t="s">
        <v>6717</v>
      </c>
      <c r="G1592" s="1" t="str">
        <f>IFERROR(VLOOKUP(A1592,H_C!$A$2:$G$2628,7,0),"Validar HC")</f>
        <v>Celi, Juan</v>
      </c>
      <c r="H1592" s="167">
        <v>2200286.0</v>
      </c>
      <c r="I1592" s="1">
        <v>42.0</v>
      </c>
    </row>
    <row r="1593" ht="15.75" customHeight="1">
      <c r="A1593" s="1">
        <v>5658361.0</v>
      </c>
      <c r="B1593" s="1" t="s">
        <v>4718</v>
      </c>
      <c r="C1593" s="1" t="s">
        <v>4719</v>
      </c>
      <c r="D1593" s="1" t="s">
        <v>224</v>
      </c>
      <c r="E1593" s="1" t="s">
        <v>457</v>
      </c>
      <c r="F1593" s="1" t="s">
        <v>6717</v>
      </c>
      <c r="G1593" s="1" t="str">
        <f>IFERROR(VLOOKUP(A1593,H_C!$A$2:$G$2628,7,0),"Validar HC")</f>
        <v>Celi, Juan</v>
      </c>
      <c r="H1593" s="167">
        <v>2200286.0</v>
      </c>
      <c r="I1593" s="1">
        <v>42.0</v>
      </c>
    </row>
    <row r="1594" ht="15.75" customHeight="1">
      <c r="A1594" s="1">
        <v>5658364.0</v>
      </c>
      <c r="B1594" s="1" t="s">
        <v>4720</v>
      </c>
      <c r="C1594" s="1" t="s">
        <v>4721</v>
      </c>
      <c r="D1594" s="1" t="s">
        <v>224</v>
      </c>
      <c r="E1594" s="1" t="s">
        <v>1348</v>
      </c>
      <c r="F1594" s="1" t="s">
        <v>6717</v>
      </c>
      <c r="G1594" s="1" t="str">
        <f>IFERROR(VLOOKUP(A1594,H_C!$A$2:$G$2628,7,0),"Validar HC")</f>
        <v>Celi, Juan</v>
      </c>
      <c r="H1594" s="167">
        <v>2200286.0</v>
      </c>
      <c r="I1594" s="1">
        <v>42.0</v>
      </c>
    </row>
    <row r="1595" ht="15.75" customHeight="1">
      <c r="A1595" s="1">
        <v>5658366.0</v>
      </c>
      <c r="B1595" s="1" t="s">
        <v>3419</v>
      </c>
      <c r="C1595" s="1" t="s">
        <v>3420</v>
      </c>
      <c r="D1595" s="1" t="s">
        <v>224</v>
      </c>
      <c r="E1595" s="1" t="s">
        <v>1143</v>
      </c>
      <c r="F1595" s="1" t="s">
        <v>6717</v>
      </c>
      <c r="G1595" s="1" t="str">
        <f>IFERROR(VLOOKUP(A1595,H_C!$A$2:$G$2628,7,0),"Validar HC")</f>
        <v>Celi, Juan</v>
      </c>
      <c r="H1595" s="167">
        <v>2200286.0</v>
      </c>
      <c r="I1595" s="1">
        <v>42.0</v>
      </c>
    </row>
    <row r="1596" ht="15.75" customHeight="1">
      <c r="A1596" s="1">
        <v>5658369.0</v>
      </c>
      <c r="B1596" s="1" t="s">
        <v>872</v>
      </c>
      <c r="C1596" s="1" t="s">
        <v>873</v>
      </c>
      <c r="D1596" s="1" t="s">
        <v>224</v>
      </c>
      <c r="E1596" s="1" t="s">
        <v>246</v>
      </c>
      <c r="F1596" s="1" t="s">
        <v>6717</v>
      </c>
      <c r="G1596" s="1" t="str">
        <f>IFERROR(VLOOKUP(A1596,H_C!$A$2:$G$2628,7,0),"Validar HC")</f>
        <v>Garcia, Helmer</v>
      </c>
      <c r="H1596" s="167">
        <v>2200286.0</v>
      </c>
      <c r="I1596" s="1">
        <v>42.0</v>
      </c>
    </row>
    <row r="1597" ht="15.75" customHeight="1">
      <c r="A1597" s="1">
        <v>5658371.0</v>
      </c>
      <c r="B1597" s="1" t="s">
        <v>4556</v>
      </c>
      <c r="C1597" s="1" t="s">
        <v>4557</v>
      </c>
      <c r="D1597" s="1" t="s">
        <v>224</v>
      </c>
      <c r="E1597" s="1" t="s">
        <v>121</v>
      </c>
      <c r="F1597" s="1" t="s">
        <v>6717</v>
      </c>
      <c r="G1597" s="1" t="str">
        <f>IFERROR(VLOOKUP(A1597,H_C!$A$2:$G$2628,7,0),"Validar HC")</f>
        <v>Ospina, Michel</v>
      </c>
      <c r="H1597" s="167">
        <v>2200286.0</v>
      </c>
      <c r="I1597" s="1">
        <v>42.0</v>
      </c>
    </row>
    <row r="1598" ht="15.75" customHeight="1">
      <c r="A1598" s="1">
        <v>5659932.0</v>
      </c>
      <c r="B1598" s="1" t="s">
        <v>4730</v>
      </c>
      <c r="C1598" s="1" t="s">
        <v>4731</v>
      </c>
      <c r="D1598" s="1" t="s">
        <v>224</v>
      </c>
      <c r="E1598" s="1" t="s">
        <v>361</v>
      </c>
      <c r="F1598" s="1" t="s">
        <v>6717</v>
      </c>
      <c r="G1598" s="1" t="str">
        <f>IFERROR(VLOOKUP(A1598,H_C!$A$2:$G$2628,7,0),"Validar HC")</f>
        <v>Gonzalez, Cristian</v>
      </c>
      <c r="H1598" s="167">
        <v>2200286.0</v>
      </c>
      <c r="I1598" s="1">
        <v>42.0</v>
      </c>
    </row>
    <row r="1599" ht="15.75" customHeight="1">
      <c r="A1599" s="1">
        <v>5663186.0</v>
      </c>
      <c r="B1599" s="1" t="s">
        <v>1027</v>
      </c>
      <c r="C1599" s="1" t="s">
        <v>1028</v>
      </c>
      <c r="D1599" s="1" t="s">
        <v>224</v>
      </c>
      <c r="E1599" s="1" t="s">
        <v>425</v>
      </c>
      <c r="F1599" s="1" t="s">
        <v>6717</v>
      </c>
      <c r="G1599" s="1" t="str">
        <f>IFERROR(VLOOKUP(A1599,H_C!$A$2:$G$2628,7,0),"Validar HC")</f>
        <v>Gonzalez, Cristian</v>
      </c>
      <c r="H1599" s="167">
        <v>2200286.0</v>
      </c>
      <c r="I1599" s="1">
        <v>42.0</v>
      </c>
    </row>
    <row r="1600" ht="15.75" customHeight="1">
      <c r="A1600" s="1">
        <v>5664860.0</v>
      </c>
      <c r="B1600" s="1" t="s">
        <v>4736</v>
      </c>
      <c r="C1600" s="1" t="s">
        <v>4737</v>
      </c>
      <c r="D1600" s="1" t="s">
        <v>224</v>
      </c>
      <c r="E1600" s="1" t="s">
        <v>425</v>
      </c>
      <c r="F1600" s="1" t="s">
        <v>6717</v>
      </c>
      <c r="G1600" s="1" t="str">
        <f>IFERROR(VLOOKUP(A1600,H_C!$A$2:$G$2628,7,0),"Validar HC")</f>
        <v>Ospina, Michel</v>
      </c>
      <c r="H1600" s="167">
        <v>2200286.0</v>
      </c>
      <c r="I1600" s="1">
        <v>42.0</v>
      </c>
    </row>
    <row r="1601" ht="15.75" customHeight="1">
      <c r="A1601" s="1">
        <v>5665383.0</v>
      </c>
      <c r="B1601" s="1" t="s">
        <v>4740</v>
      </c>
      <c r="C1601" s="1" t="s">
        <v>4741</v>
      </c>
      <c r="D1601" s="1" t="s">
        <v>224</v>
      </c>
      <c r="E1601" s="1" t="s">
        <v>416</v>
      </c>
      <c r="F1601" s="1" t="s">
        <v>6717</v>
      </c>
      <c r="G1601" s="1" t="str">
        <f>IFERROR(VLOOKUP(A1601,H_C!$A$2:$G$2628,7,0),"Validar HC")</f>
        <v>Soler, Maria</v>
      </c>
      <c r="H1601" s="167">
        <v>2200286.0</v>
      </c>
      <c r="I1601" s="1">
        <v>42.0</v>
      </c>
    </row>
    <row r="1602" ht="15.75" customHeight="1">
      <c r="A1602" s="1">
        <v>5666850.0</v>
      </c>
      <c r="B1602" s="1" t="s">
        <v>4744</v>
      </c>
      <c r="C1602" s="1" t="s">
        <v>4745</v>
      </c>
      <c r="D1602" s="1" t="s">
        <v>224</v>
      </c>
      <c r="E1602" s="1" t="s">
        <v>1363</v>
      </c>
      <c r="F1602" s="1" t="s">
        <v>6717</v>
      </c>
      <c r="G1602" s="1" t="str">
        <f>IFERROR(VLOOKUP(A1602,H_C!$A$2:$G$2628,7,0),"Validar HC")</f>
        <v>Osorio, Julian</v>
      </c>
      <c r="H1602" s="167">
        <v>2200286.0</v>
      </c>
      <c r="I1602" s="1">
        <v>42.0</v>
      </c>
    </row>
    <row r="1603" ht="15.75" customHeight="1">
      <c r="A1603" s="1">
        <v>5666856.0</v>
      </c>
      <c r="B1603" s="1" t="s">
        <v>4408</v>
      </c>
      <c r="C1603" s="1" t="s">
        <v>4409</v>
      </c>
      <c r="D1603" s="1" t="s">
        <v>224</v>
      </c>
      <c r="E1603" s="1" t="s">
        <v>537</v>
      </c>
      <c r="F1603" s="1" t="s">
        <v>6717</v>
      </c>
      <c r="G1603" s="1" t="str">
        <f>IFERROR(VLOOKUP(A1603,H_C!$A$2:$G$2628,7,0),"Validar HC")</f>
        <v>Ayala, Giselle</v>
      </c>
      <c r="H1603" s="167">
        <v>2200286.0</v>
      </c>
      <c r="I1603" s="1">
        <v>42.0</v>
      </c>
    </row>
    <row r="1604" ht="15.75" customHeight="1">
      <c r="A1604" s="1">
        <v>5666866.0</v>
      </c>
      <c r="B1604" s="1" t="s">
        <v>4702</v>
      </c>
      <c r="C1604" s="1" t="s">
        <v>4703</v>
      </c>
      <c r="D1604" s="1" t="s">
        <v>224</v>
      </c>
      <c r="E1604" s="1" t="s">
        <v>323</v>
      </c>
      <c r="F1604" s="1" t="s">
        <v>6717</v>
      </c>
      <c r="G1604" s="1" t="str">
        <f>IFERROR(VLOOKUP(A1604,H_C!$A$2:$G$2628,7,0),"Validar HC")</f>
        <v>Martinez, Wendy</v>
      </c>
      <c r="H1604" s="167">
        <v>2200286.0</v>
      </c>
      <c r="I1604" s="1">
        <v>42.0</v>
      </c>
    </row>
    <row r="1605" ht="15.75" customHeight="1">
      <c r="A1605" s="1">
        <v>5666867.0</v>
      </c>
      <c r="B1605" s="1" t="s">
        <v>4746</v>
      </c>
      <c r="C1605" s="1" t="s">
        <v>4747</v>
      </c>
      <c r="D1605" s="1" t="s">
        <v>224</v>
      </c>
      <c r="E1605" s="1" t="s">
        <v>1695</v>
      </c>
      <c r="F1605" s="1" t="s">
        <v>6717</v>
      </c>
      <c r="G1605" s="1" t="str">
        <f>IFERROR(VLOOKUP(A1605,H_C!$A$2:$G$2628,7,0),"Validar HC")</f>
        <v>Ayala, Giselle</v>
      </c>
      <c r="H1605" s="167">
        <v>2200286.0</v>
      </c>
      <c r="I1605" s="1">
        <v>42.0</v>
      </c>
    </row>
    <row r="1606" ht="15.75" customHeight="1">
      <c r="A1606" s="1">
        <v>5666885.0</v>
      </c>
      <c r="B1606" s="1" t="s">
        <v>2470</v>
      </c>
      <c r="C1606" s="1" t="s">
        <v>2471</v>
      </c>
      <c r="D1606" s="1" t="s">
        <v>224</v>
      </c>
      <c r="E1606" s="1" t="s">
        <v>986</v>
      </c>
      <c r="F1606" s="1" t="s">
        <v>6717</v>
      </c>
      <c r="G1606" s="1" t="str">
        <f>IFERROR(VLOOKUP(A1606,H_C!$A$2:$G$2628,7,0),"Validar HC")</f>
        <v>Garatejo, Natalia</v>
      </c>
      <c r="H1606" s="167">
        <v>2200286.0</v>
      </c>
      <c r="I1606" s="1">
        <v>42.0</v>
      </c>
    </row>
    <row r="1607" ht="15.75" customHeight="1">
      <c r="A1607" s="1">
        <v>5666956.0</v>
      </c>
      <c r="B1607" s="1" t="s">
        <v>4748</v>
      </c>
      <c r="C1607" s="1" t="s">
        <v>4749</v>
      </c>
      <c r="D1607" s="1" t="s">
        <v>224</v>
      </c>
      <c r="E1607" s="1" t="s">
        <v>1695</v>
      </c>
      <c r="F1607" s="1" t="s">
        <v>6717</v>
      </c>
      <c r="G1607" s="1" t="str">
        <f>IFERROR(VLOOKUP(A1607,H_C!$A$2:$G$2628,7,0),"Validar HC")</f>
        <v>Ayala, Giselle</v>
      </c>
      <c r="H1607" s="167">
        <v>2200286.0</v>
      </c>
      <c r="I1607" s="1">
        <v>42.0</v>
      </c>
    </row>
    <row r="1608" ht="15.75" customHeight="1">
      <c r="A1608" s="1">
        <v>5666961.0</v>
      </c>
      <c r="B1608" s="1" t="s">
        <v>2474</v>
      </c>
      <c r="C1608" s="1" t="s">
        <v>2475</v>
      </c>
      <c r="D1608" s="1" t="s">
        <v>224</v>
      </c>
      <c r="E1608" s="1" t="s">
        <v>986</v>
      </c>
      <c r="F1608" s="1" t="s">
        <v>6717</v>
      </c>
      <c r="G1608" s="1" t="str">
        <f>IFERROR(VLOOKUP(A1608,H_C!$A$2:$G$2628,7,0),"Validar HC")</f>
        <v>Garatejo, Natalia</v>
      </c>
      <c r="H1608" s="167">
        <v>2200286.0</v>
      </c>
      <c r="I1608" s="1">
        <v>42.0</v>
      </c>
    </row>
    <row r="1609" ht="15.75" customHeight="1">
      <c r="A1609" s="1">
        <v>5666962.0</v>
      </c>
      <c r="B1609" s="1" t="s">
        <v>4420</v>
      </c>
      <c r="C1609" s="1" t="s">
        <v>4421</v>
      </c>
      <c r="D1609" s="1" t="s">
        <v>224</v>
      </c>
      <c r="E1609" s="1" t="s">
        <v>537</v>
      </c>
      <c r="F1609" s="1" t="s">
        <v>6717</v>
      </c>
      <c r="G1609" s="1" t="str">
        <f>IFERROR(VLOOKUP(A1609,H_C!$A$2:$G$2628,7,0),"Validar HC")</f>
        <v>Ayala, Giselle</v>
      </c>
      <c r="H1609" s="167">
        <v>2200286.0</v>
      </c>
      <c r="I1609" s="1">
        <v>42.0</v>
      </c>
    </row>
    <row r="1610" ht="15.75" customHeight="1">
      <c r="A1610" s="1">
        <v>5666963.0</v>
      </c>
      <c r="B1610" s="1" t="s">
        <v>4750</v>
      </c>
      <c r="C1610" s="1" t="s">
        <v>4751</v>
      </c>
      <c r="D1610" s="1" t="s">
        <v>224</v>
      </c>
      <c r="E1610" s="1" t="s">
        <v>555</v>
      </c>
      <c r="F1610" s="1" t="s">
        <v>6717</v>
      </c>
      <c r="G1610" s="1" t="str">
        <f>IFERROR(VLOOKUP(A1610,H_C!$A$2:$G$2628,7,0),"Validar HC")</f>
        <v>Ayala, Giselle</v>
      </c>
      <c r="H1610" s="167">
        <v>2200286.0</v>
      </c>
      <c r="I1610" s="1">
        <v>42.0</v>
      </c>
    </row>
    <row r="1611" ht="15.75" customHeight="1">
      <c r="A1611" s="1">
        <v>5671009.0</v>
      </c>
      <c r="B1611" s="1" t="s">
        <v>4754</v>
      </c>
      <c r="C1611" s="1" t="s">
        <v>4755</v>
      </c>
      <c r="D1611" s="1" t="s">
        <v>224</v>
      </c>
      <c r="E1611" s="1" t="s">
        <v>2069</v>
      </c>
      <c r="F1611" s="1" t="s">
        <v>6717</v>
      </c>
      <c r="G1611" s="1" t="str">
        <f>IFERROR(VLOOKUP(A1611,H_C!$A$2:$G$2628,7,0),"Validar HC")</f>
        <v>Garatejo, Natalia</v>
      </c>
      <c r="H1611" s="167">
        <v>2200286.0</v>
      </c>
      <c r="I1611" s="1">
        <v>42.0</v>
      </c>
    </row>
    <row r="1612" ht="15.75" customHeight="1">
      <c r="A1612" s="1">
        <v>5671014.0</v>
      </c>
      <c r="B1612" s="1" t="s">
        <v>2450</v>
      </c>
      <c r="C1612" s="1" t="s">
        <v>2451</v>
      </c>
      <c r="D1612" s="1" t="s">
        <v>224</v>
      </c>
      <c r="E1612" s="1" t="s">
        <v>986</v>
      </c>
      <c r="F1612" s="1" t="s">
        <v>6717</v>
      </c>
      <c r="G1612" s="1" t="str">
        <f>IFERROR(VLOOKUP(A1612,H_C!$A$2:$G$2628,7,0),"Validar HC")</f>
        <v>Garatejo, Natalia</v>
      </c>
      <c r="H1612" s="167">
        <v>2200286.0</v>
      </c>
      <c r="I1612" s="1">
        <v>42.0</v>
      </c>
    </row>
    <row r="1613" ht="15.75" customHeight="1">
      <c r="A1613" s="1">
        <v>5671015.0</v>
      </c>
      <c r="B1613" s="1" t="s">
        <v>1789</v>
      </c>
      <c r="C1613" s="1" t="s">
        <v>1790</v>
      </c>
      <c r="D1613" s="1" t="s">
        <v>224</v>
      </c>
      <c r="E1613" s="1" t="s">
        <v>835</v>
      </c>
      <c r="F1613" s="1" t="s">
        <v>6717</v>
      </c>
      <c r="G1613" s="1" t="str">
        <f>IFERROR(VLOOKUP(A1613,H_C!$A$2:$G$2628,7,0),"Validar HC")</f>
        <v>Martinez, Wendy</v>
      </c>
      <c r="H1613" s="167">
        <v>2200286.0</v>
      </c>
      <c r="I1613" s="1">
        <v>42.0</v>
      </c>
    </row>
    <row r="1614" ht="15.75" customHeight="1">
      <c r="A1614" s="1">
        <v>5671016.0</v>
      </c>
      <c r="B1614" s="1" t="s">
        <v>2424</v>
      </c>
      <c r="C1614" s="1" t="s">
        <v>2425</v>
      </c>
      <c r="D1614" s="1" t="s">
        <v>224</v>
      </c>
      <c r="E1614" s="1" t="s">
        <v>986</v>
      </c>
      <c r="F1614" s="1" t="s">
        <v>6717</v>
      </c>
      <c r="G1614" s="1" t="str">
        <f>IFERROR(VLOOKUP(A1614,H_C!$A$2:$G$2628,7,0),"Validar HC")</f>
        <v>Garatejo, Natalia</v>
      </c>
      <c r="H1614" s="167">
        <v>2200286.0</v>
      </c>
      <c r="I1614" s="1">
        <v>42.0</v>
      </c>
    </row>
    <row r="1615" ht="15.75" customHeight="1">
      <c r="A1615" s="1">
        <v>5671024.0</v>
      </c>
      <c r="B1615" s="1" t="s">
        <v>1564</v>
      </c>
      <c r="C1615" s="1" t="s">
        <v>1565</v>
      </c>
      <c r="D1615" s="1" t="s">
        <v>224</v>
      </c>
      <c r="E1615" s="1" t="s">
        <v>478</v>
      </c>
      <c r="F1615" s="1" t="s">
        <v>6717</v>
      </c>
      <c r="G1615" s="1" t="str">
        <f>IFERROR(VLOOKUP(A1615,H_C!$A$2:$G$2628,7,0),"Validar HC")</f>
        <v>Celi, Juan</v>
      </c>
      <c r="H1615" s="167">
        <v>2200286.0</v>
      </c>
      <c r="I1615" s="1">
        <v>42.0</v>
      </c>
    </row>
    <row r="1616" ht="15.75" customHeight="1">
      <c r="A1616" s="1">
        <v>5671038.0</v>
      </c>
      <c r="B1616" s="1" t="s">
        <v>4756</v>
      </c>
      <c r="C1616" s="1" t="s">
        <v>4757</v>
      </c>
      <c r="D1616" s="1" t="s">
        <v>224</v>
      </c>
      <c r="E1616" s="1" t="s">
        <v>2069</v>
      </c>
      <c r="F1616" s="1" t="s">
        <v>6717</v>
      </c>
      <c r="G1616" s="1" t="str">
        <f>IFERROR(VLOOKUP(A1616,H_C!$A$2:$G$2628,7,0),"Validar HC")</f>
        <v>Garatejo, Natalia</v>
      </c>
      <c r="H1616" s="167">
        <v>2200286.0</v>
      </c>
      <c r="I1616" s="1">
        <v>42.0</v>
      </c>
    </row>
    <row r="1617" ht="15.75" customHeight="1">
      <c r="A1617" s="1">
        <v>5671040.0</v>
      </c>
      <c r="B1617" s="1" t="s">
        <v>3061</v>
      </c>
      <c r="C1617" s="1" t="s">
        <v>3062</v>
      </c>
      <c r="D1617" s="1" t="s">
        <v>224</v>
      </c>
      <c r="E1617" s="1" t="s">
        <v>1363</v>
      </c>
      <c r="F1617" s="1" t="s">
        <v>6717</v>
      </c>
      <c r="G1617" s="1" t="str">
        <f>IFERROR(VLOOKUP(A1617,H_C!$A$2:$G$2628,7,0),"Validar HC")</f>
        <v>Osorio, Julian</v>
      </c>
      <c r="H1617" s="167">
        <v>2200286.0</v>
      </c>
      <c r="I1617" s="1">
        <v>42.0</v>
      </c>
    </row>
    <row r="1618" ht="15.75" customHeight="1">
      <c r="A1618" s="1">
        <v>5671069.0</v>
      </c>
      <c r="B1618" s="1" t="s">
        <v>1568</v>
      </c>
      <c r="C1618" s="1" t="s">
        <v>1569</v>
      </c>
      <c r="D1618" s="1" t="s">
        <v>224</v>
      </c>
      <c r="E1618" s="1" t="s">
        <v>478</v>
      </c>
      <c r="F1618" s="1" t="s">
        <v>6717</v>
      </c>
      <c r="G1618" s="1" t="str">
        <f>IFERROR(VLOOKUP(A1618,H_C!$A$2:$G$2628,7,0),"Validar HC")</f>
        <v>Celi, Juan</v>
      </c>
      <c r="H1618" s="167">
        <v>2200286.0</v>
      </c>
      <c r="I1618" s="1">
        <v>42.0</v>
      </c>
    </row>
    <row r="1619" ht="15.75" customHeight="1">
      <c r="A1619" s="1">
        <v>5671070.0</v>
      </c>
      <c r="B1619" s="1" t="s">
        <v>1572</v>
      </c>
      <c r="C1619" s="1" t="s">
        <v>1573</v>
      </c>
      <c r="D1619" s="1" t="s">
        <v>224</v>
      </c>
      <c r="E1619" s="1" t="s">
        <v>478</v>
      </c>
      <c r="F1619" s="1" t="s">
        <v>6717</v>
      </c>
      <c r="G1619" s="1" t="str">
        <f>IFERROR(VLOOKUP(A1619,H_C!$A$2:$G$2628,7,0),"Validar HC")</f>
        <v>Celi, Juan</v>
      </c>
      <c r="H1619" s="167">
        <v>2200286.0</v>
      </c>
      <c r="I1619" s="1">
        <v>42.0</v>
      </c>
    </row>
    <row r="1620" ht="15.75" customHeight="1">
      <c r="A1620" s="1">
        <v>5671086.0</v>
      </c>
      <c r="B1620" s="1" t="s">
        <v>4758</v>
      </c>
      <c r="C1620" s="1" t="s">
        <v>4759</v>
      </c>
      <c r="D1620" s="1" t="s">
        <v>224</v>
      </c>
      <c r="E1620" s="1" t="s">
        <v>2069</v>
      </c>
      <c r="F1620" s="1" t="s">
        <v>6717</v>
      </c>
      <c r="G1620" s="1" t="str">
        <f>IFERROR(VLOOKUP(A1620,H_C!$A$2:$G$2628,7,0),"Validar HC")</f>
        <v>Garatejo, Natalia</v>
      </c>
      <c r="H1620" s="167">
        <v>2200286.0</v>
      </c>
      <c r="I1620" s="1">
        <v>42.0</v>
      </c>
    </row>
    <row r="1621" ht="15.75" customHeight="1">
      <c r="A1621" s="1">
        <v>5671096.0</v>
      </c>
      <c r="B1621" s="1" t="s">
        <v>4762</v>
      </c>
      <c r="C1621" s="1" t="s">
        <v>4763</v>
      </c>
      <c r="D1621" s="1" t="s">
        <v>224</v>
      </c>
      <c r="E1621" s="1" t="s">
        <v>485</v>
      </c>
      <c r="F1621" s="1" t="s">
        <v>6717</v>
      </c>
      <c r="G1621" s="1" t="str">
        <f>IFERROR(VLOOKUP(A1621,H_C!$A$2:$G$2628,7,0),"Validar HC")</f>
        <v>Martinez, Wendy</v>
      </c>
      <c r="H1621" s="167">
        <v>2200286.0</v>
      </c>
      <c r="I1621" s="1">
        <v>42.0</v>
      </c>
    </row>
    <row r="1622" ht="15.75" customHeight="1">
      <c r="A1622" s="1">
        <v>5671133.0</v>
      </c>
      <c r="B1622" s="1" t="s">
        <v>4682</v>
      </c>
      <c r="C1622" s="1" t="s">
        <v>4683</v>
      </c>
      <c r="D1622" s="1" t="s">
        <v>224</v>
      </c>
      <c r="E1622" s="1" t="s">
        <v>323</v>
      </c>
      <c r="F1622" s="1" t="s">
        <v>6717</v>
      </c>
      <c r="G1622" s="1" t="str">
        <f>IFERROR(VLOOKUP(A1622,H_C!$A$2:$G$2628,7,0),"Validar HC")</f>
        <v>Martinez, Wendy</v>
      </c>
      <c r="H1622" s="167">
        <v>2200286.0</v>
      </c>
      <c r="I1622" s="1">
        <v>42.0</v>
      </c>
    </row>
    <row r="1623" ht="15.75" customHeight="1">
      <c r="A1623" s="1">
        <v>5671137.0</v>
      </c>
      <c r="B1623" s="1" t="s">
        <v>1728</v>
      </c>
      <c r="C1623" s="1" t="s">
        <v>1729</v>
      </c>
      <c r="D1623" s="1" t="s">
        <v>224</v>
      </c>
      <c r="E1623" s="1" t="s">
        <v>416</v>
      </c>
      <c r="F1623" s="1" t="s">
        <v>6717</v>
      </c>
      <c r="G1623" s="1" t="str">
        <f>IFERROR(VLOOKUP(A1623,H_C!$A$2:$G$2628,7,0),"Validar HC")</f>
        <v>Soler, Maria</v>
      </c>
      <c r="H1623" s="167">
        <v>2200286.0</v>
      </c>
      <c r="I1623" s="1">
        <v>42.0</v>
      </c>
    </row>
    <row r="1624" ht="15.75" customHeight="1">
      <c r="A1624" s="1">
        <v>5671138.0</v>
      </c>
      <c r="B1624" s="1" t="s">
        <v>4768</v>
      </c>
      <c r="C1624" s="1" t="s">
        <v>4769</v>
      </c>
      <c r="D1624" s="1" t="s">
        <v>224</v>
      </c>
      <c r="E1624" s="1" t="s">
        <v>800</v>
      </c>
      <c r="F1624" s="1" t="s">
        <v>6717</v>
      </c>
      <c r="G1624" s="1" t="str">
        <f>IFERROR(VLOOKUP(A1624,H_C!$A$2:$G$2628,7,0),"Validar HC")</f>
        <v>Garatejo, Natalia</v>
      </c>
      <c r="H1624" s="167">
        <v>2200286.0</v>
      </c>
      <c r="I1624" s="1">
        <v>42.0</v>
      </c>
    </row>
    <row r="1625" ht="15.75" customHeight="1">
      <c r="A1625" s="1">
        <v>5671144.0</v>
      </c>
      <c r="B1625" s="1" t="s">
        <v>3538</v>
      </c>
      <c r="C1625" s="1" t="s">
        <v>3539</v>
      </c>
      <c r="D1625" s="1" t="s">
        <v>224</v>
      </c>
      <c r="E1625" s="1" t="s">
        <v>467</v>
      </c>
      <c r="F1625" s="1" t="s">
        <v>6717</v>
      </c>
      <c r="G1625" s="1" t="str">
        <f>IFERROR(VLOOKUP(A1625,H_C!$A$2:$G$2628,7,0),"Validar HC")</f>
        <v>Martinez, Wendy</v>
      </c>
      <c r="H1625" s="167">
        <v>2200286.0</v>
      </c>
      <c r="I1625" s="1">
        <v>42.0</v>
      </c>
    </row>
    <row r="1626" ht="15.75" customHeight="1">
      <c r="A1626" s="1">
        <v>5673344.0</v>
      </c>
      <c r="B1626" s="1" t="s">
        <v>3712</v>
      </c>
      <c r="C1626" s="1" t="s">
        <v>3713</v>
      </c>
      <c r="D1626" s="1" t="s">
        <v>224</v>
      </c>
      <c r="E1626" s="1" t="s">
        <v>485</v>
      </c>
      <c r="F1626" s="1" t="s">
        <v>6717</v>
      </c>
      <c r="G1626" s="1" t="str">
        <f>IFERROR(VLOOKUP(A1626,H_C!$A$2:$G$2628,7,0),"Validar HC")</f>
        <v>Martinez, Wendy</v>
      </c>
      <c r="H1626" s="167">
        <v>2200286.0</v>
      </c>
      <c r="I1626" s="1">
        <v>42.0</v>
      </c>
    </row>
    <row r="1627" ht="15.75" customHeight="1">
      <c r="A1627" s="1">
        <v>5673355.0</v>
      </c>
      <c r="B1627" s="1" t="s">
        <v>575</v>
      </c>
      <c r="C1627" s="1" t="s">
        <v>576</v>
      </c>
      <c r="D1627" s="1" t="s">
        <v>224</v>
      </c>
      <c r="E1627" s="1" t="s">
        <v>526</v>
      </c>
      <c r="F1627" s="1" t="s">
        <v>6717</v>
      </c>
      <c r="G1627" s="1" t="str">
        <f>IFERROR(VLOOKUP(A1627,H_C!$A$2:$G$2628,7,0),"Validar HC")</f>
        <v>Martinez, Wendy</v>
      </c>
      <c r="H1627" s="167">
        <v>2200286.0</v>
      </c>
      <c r="I1627" s="1">
        <v>42.0</v>
      </c>
    </row>
    <row r="1628" ht="15.75" customHeight="1">
      <c r="A1628" s="1">
        <v>5673499.0</v>
      </c>
      <c r="B1628" s="1" t="s">
        <v>1974</v>
      </c>
      <c r="C1628" s="1" t="s">
        <v>1975</v>
      </c>
      <c r="D1628" s="1" t="s">
        <v>224</v>
      </c>
      <c r="E1628" s="1" t="s">
        <v>316</v>
      </c>
      <c r="F1628" s="1" t="s">
        <v>6717</v>
      </c>
      <c r="G1628" s="1" t="str">
        <f>IFERROR(VLOOKUP(A1628,H_C!$A$2:$G$2628,7,0),"Validar HC")</f>
        <v>Osorio, Julian</v>
      </c>
      <c r="H1628" s="167">
        <v>2200286.0</v>
      </c>
      <c r="I1628" s="1">
        <v>42.0</v>
      </c>
    </row>
    <row r="1629" ht="15.75" customHeight="1">
      <c r="A1629" s="1">
        <v>5674585.0</v>
      </c>
      <c r="B1629" s="1" t="s">
        <v>4772</v>
      </c>
      <c r="C1629" s="1" t="s">
        <v>4773</v>
      </c>
      <c r="D1629" s="1" t="s">
        <v>224</v>
      </c>
      <c r="E1629" s="1" t="s">
        <v>416</v>
      </c>
      <c r="F1629" s="1" t="s">
        <v>6717</v>
      </c>
      <c r="G1629" s="1" t="str">
        <f>IFERROR(VLOOKUP(A1629,H_C!$A$2:$G$2628,7,0),"Validar HC")</f>
        <v>Soler, Maria</v>
      </c>
      <c r="H1629" s="167">
        <v>2200286.0</v>
      </c>
      <c r="I1629" s="1">
        <v>42.0</v>
      </c>
    </row>
    <row r="1630" ht="15.75" customHeight="1">
      <c r="A1630" s="1">
        <v>5676261.0</v>
      </c>
      <c r="B1630" s="1" t="s">
        <v>4774</v>
      </c>
      <c r="C1630" s="1" t="s">
        <v>4775</v>
      </c>
      <c r="D1630" s="1" t="s">
        <v>224</v>
      </c>
      <c r="E1630" s="1" t="s">
        <v>2069</v>
      </c>
      <c r="F1630" s="1" t="s">
        <v>6717</v>
      </c>
      <c r="G1630" s="1" t="str">
        <f>IFERROR(VLOOKUP(A1630,H_C!$A$2:$G$2628,7,0),"Validar HC")</f>
        <v>Garatejo, Natalia</v>
      </c>
      <c r="H1630" s="167">
        <v>2200286.0</v>
      </c>
      <c r="I1630" s="1">
        <v>42.0</v>
      </c>
    </row>
    <row r="1631" ht="15.75" customHeight="1">
      <c r="A1631" s="1">
        <v>5676278.0</v>
      </c>
      <c r="B1631" s="1" t="s">
        <v>2115</v>
      </c>
      <c r="C1631" s="1" t="s">
        <v>2116</v>
      </c>
      <c r="D1631" s="1" t="s">
        <v>224</v>
      </c>
      <c r="E1631" s="1" t="s">
        <v>323</v>
      </c>
      <c r="F1631" s="1" t="s">
        <v>6717</v>
      </c>
      <c r="G1631" s="1" t="str">
        <f>IFERROR(VLOOKUP(A1631,H_C!$A$2:$G$2628,7,0),"Validar HC")</f>
        <v>Martinez, Wendy</v>
      </c>
      <c r="H1631" s="167">
        <v>2200286.0</v>
      </c>
      <c r="I1631" s="1">
        <v>42.0</v>
      </c>
    </row>
    <row r="1632" ht="15.75" customHeight="1">
      <c r="A1632" s="1">
        <v>5676339.0</v>
      </c>
      <c r="B1632" s="1" t="s">
        <v>1812</v>
      </c>
      <c r="C1632" s="1" t="s">
        <v>1813</v>
      </c>
      <c r="D1632" s="1" t="s">
        <v>224</v>
      </c>
      <c r="E1632" s="1" t="s">
        <v>835</v>
      </c>
      <c r="F1632" s="1" t="s">
        <v>6717</v>
      </c>
      <c r="G1632" s="1" t="str">
        <f>IFERROR(VLOOKUP(A1632,H_C!$A$2:$G$2628,7,0),"Validar HC")</f>
        <v>Martinez, Wendy</v>
      </c>
      <c r="H1632" s="167">
        <v>2200286.0</v>
      </c>
      <c r="I1632" s="1">
        <v>42.0</v>
      </c>
    </row>
    <row r="1633" ht="15.75" customHeight="1">
      <c r="A1633" s="1">
        <v>5682509.0</v>
      </c>
      <c r="B1633" s="1" t="s">
        <v>3817</v>
      </c>
      <c r="C1633" s="1" t="s">
        <v>3818</v>
      </c>
      <c r="D1633" s="1" t="s">
        <v>224</v>
      </c>
      <c r="E1633" s="1" t="s">
        <v>738</v>
      </c>
      <c r="F1633" s="1" t="s">
        <v>6717</v>
      </c>
      <c r="G1633" s="1" t="str">
        <f>IFERROR(VLOOKUP(A1633,H_C!$A$2:$G$2628,7,0),"Validar HC")</f>
        <v>Garcia, Helmer</v>
      </c>
      <c r="H1633" s="167">
        <v>2200286.0</v>
      </c>
      <c r="I1633" s="1">
        <v>42.0</v>
      </c>
    </row>
    <row r="1634" ht="15.75" customHeight="1">
      <c r="A1634" s="1">
        <v>5682845.0</v>
      </c>
      <c r="B1634" s="1" t="s">
        <v>4776</v>
      </c>
      <c r="C1634" s="1" t="s">
        <v>4777</v>
      </c>
      <c r="D1634" s="1" t="s">
        <v>224</v>
      </c>
      <c r="E1634" s="1" t="s">
        <v>361</v>
      </c>
      <c r="F1634" s="1" t="s">
        <v>6717</v>
      </c>
      <c r="G1634" s="1" t="str">
        <f>IFERROR(VLOOKUP(A1634,H_C!$A$2:$G$2628,7,0),"Validar HC")</f>
        <v>Gonzalez, Cristian</v>
      </c>
      <c r="H1634" s="167">
        <v>2200286.0</v>
      </c>
      <c r="I1634" s="1">
        <v>42.0</v>
      </c>
    </row>
    <row r="1635" ht="15.75" customHeight="1">
      <c r="A1635" s="1">
        <v>5682851.0</v>
      </c>
      <c r="B1635" s="1" t="s">
        <v>4780</v>
      </c>
      <c r="C1635" s="1" t="s">
        <v>4781</v>
      </c>
      <c r="D1635" s="1" t="s">
        <v>224</v>
      </c>
      <c r="E1635" s="1" t="s">
        <v>361</v>
      </c>
      <c r="F1635" s="1" t="s">
        <v>6717</v>
      </c>
      <c r="G1635" s="1" t="str">
        <f>IFERROR(VLOOKUP(A1635,H_C!$A$2:$G$2628,7,0),"Validar HC")</f>
        <v>Gonzalez, Cristian</v>
      </c>
      <c r="H1635" s="167">
        <v>2200286.0</v>
      </c>
      <c r="I1635" s="1">
        <v>42.0</v>
      </c>
    </row>
    <row r="1636" ht="15.75" customHeight="1">
      <c r="A1636" s="1">
        <v>5687252.0</v>
      </c>
      <c r="B1636" s="1" t="s">
        <v>4784</v>
      </c>
      <c r="C1636" s="1" t="s">
        <v>4785</v>
      </c>
      <c r="D1636" s="1" t="s">
        <v>224</v>
      </c>
      <c r="E1636" s="1" t="s">
        <v>361</v>
      </c>
      <c r="F1636" s="1" t="s">
        <v>6717</v>
      </c>
      <c r="G1636" s="1" t="str">
        <f>IFERROR(VLOOKUP(A1636,H_C!$A$2:$G$2628,7,0),"Validar HC")</f>
        <v>Gonzalez, Cristian</v>
      </c>
      <c r="H1636" s="167">
        <v>2200286.0</v>
      </c>
      <c r="I1636" s="1">
        <v>42.0</v>
      </c>
    </row>
    <row r="1637" ht="15.75" customHeight="1">
      <c r="A1637" s="1">
        <v>5689035.0</v>
      </c>
      <c r="B1637" s="1" t="s">
        <v>3236</v>
      </c>
      <c r="C1637" s="1" t="s">
        <v>3237</v>
      </c>
      <c r="D1637" s="1" t="s">
        <v>224</v>
      </c>
      <c r="E1637" s="1" t="s">
        <v>113</v>
      </c>
      <c r="F1637" s="1" t="s">
        <v>6717</v>
      </c>
      <c r="G1637" s="1" t="str">
        <f>IFERROR(VLOOKUP(A1637,H_C!$A$2:$G$2628,7,0),"Validar HC")</f>
        <v>Soler, Maria</v>
      </c>
      <c r="H1637" s="167">
        <v>2200286.0</v>
      </c>
      <c r="I1637" s="1">
        <v>42.0</v>
      </c>
    </row>
    <row r="1638" ht="15.75" customHeight="1">
      <c r="A1638" s="1">
        <v>5692874.0</v>
      </c>
      <c r="B1638" s="1" t="s">
        <v>4310</v>
      </c>
      <c r="C1638" s="1" t="s">
        <v>4311</v>
      </c>
      <c r="D1638" s="1" t="s">
        <v>224</v>
      </c>
      <c r="E1638" s="1" t="s">
        <v>361</v>
      </c>
      <c r="F1638" s="1" t="s">
        <v>6717</v>
      </c>
      <c r="G1638" s="1" t="str">
        <f>IFERROR(VLOOKUP(A1638,H_C!$A$2:$G$2628,7,0),"Validar HC")</f>
        <v>Gonzalez, Cristian</v>
      </c>
      <c r="H1638" s="167">
        <v>2200286.0</v>
      </c>
      <c r="I1638" s="1">
        <v>42.0</v>
      </c>
    </row>
    <row r="1639" ht="15.75" customHeight="1">
      <c r="A1639" s="1">
        <v>5693017.0</v>
      </c>
      <c r="B1639" s="1" t="s">
        <v>3240</v>
      </c>
      <c r="C1639" s="1" t="s">
        <v>3241</v>
      </c>
      <c r="D1639" s="1" t="s">
        <v>224</v>
      </c>
      <c r="E1639" s="1" t="s">
        <v>113</v>
      </c>
      <c r="F1639" s="1" t="s">
        <v>6717</v>
      </c>
      <c r="G1639" s="1" t="str">
        <f>IFERROR(VLOOKUP(A1639,H_C!$A$2:$G$2628,7,0),"Validar HC")</f>
        <v>Soler, Maria</v>
      </c>
      <c r="H1639" s="167">
        <v>2200286.0</v>
      </c>
      <c r="I1639" s="1">
        <v>42.0</v>
      </c>
    </row>
    <row r="1640" ht="15.75" customHeight="1">
      <c r="A1640" s="1">
        <v>5693020.0</v>
      </c>
      <c r="B1640" s="1" t="s">
        <v>3223</v>
      </c>
      <c r="C1640" s="1" t="s">
        <v>3224</v>
      </c>
      <c r="D1640" s="1" t="s">
        <v>224</v>
      </c>
      <c r="E1640" s="1" t="s">
        <v>113</v>
      </c>
      <c r="F1640" s="1" t="s">
        <v>6717</v>
      </c>
      <c r="G1640" s="1" t="str">
        <f>IFERROR(VLOOKUP(A1640,H_C!$A$2:$G$2628,7,0),"Validar HC")</f>
        <v>Soler, Maria</v>
      </c>
      <c r="H1640" s="167">
        <v>2200286.0</v>
      </c>
      <c r="I1640" s="1">
        <v>42.0</v>
      </c>
    </row>
    <row r="1641" ht="15.75" customHeight="1">
      <c r="A1641" s="1">
        <v>5693239.0</v>
      </c>
      <c r="B1641" s="1" t="s">
        <v>4714</v>
      </c>
      <c r="C1641" s="1" t="s">
        <v>4715</v>
      </c>
      <c r="D1641" s="1" t="s">
        <v>224</v>
      </c>
      <c r="E1641" s="1" t="s">
        <v>526</v>
      </c>
      <c r="F1641" s="1" t="s">
        <v>6717</v>
      </c>
      <c r="G1641" s="1" t="str">
        <f>IFERROR(VLOOKUP(A1641,H_C!$A$2:$G$2628,7,0),"Validar HC")</f>
        <v>Martinez, Wendy</v>
      </c>
      <c r="H1641" s="167">
        <v>2200286.0</v>
      </c>
      <c r="I1641" s="1">
        <v>42.0</v>
      </c>
    </row>
    <row r="1642" ht="15.75" customHeight="1">
      <c r="A1642" s="1">
        <v>5693241.0</v>
      </c>
      <c r="B1642" s="1" t="s">
        <v>4788</v>
      </c>
      <c r="C1642" s="1" t="s">
        <v>4789</v>
      </c>
      <c r="D1642" s="1" t="s">
        <v>224</v>
      </c>
      <c r="E1642" s="1" t="s">
        <v>289</v>
      </c>
      <c r="F1642" s="1" t="s">
        <v>6717</v>
      </c>
      <c r="G1642" s="1" t="str">
        <f>IFERROR(VLOOKUP(A1642,H_C!$A$2:$G$2628,7,0),"Validar HC")</f>
        <v>Celi, Juan</v>
      </c>
      <c r="H1642" s="167">
        <v>2200286.0</v>
      </c>
      <c r="I1642" s="1">
        <v>42.0</v>
      </c>
    </row>
    <row r="1643" ht="15.75" customHeight="1">
      <c r="A1643" s="1">
        <v>5694652.0</v>
      </c>
      <c r="B1643" s="1" t="s">
        <v>3207</v>
      </c>
      <c r="C1643" s="1" t="s">
        <v>3208</v>
      </c>
      <c r="D1643" s="1" t="s">
        <v>224</v>
      </c>
      <c r="E1643" s="1" t="s">
        <v>113</v>
      </c>
      <c r="F1643" s="1" t="s">
        <v>6717</v>
      </c>
      <c r="G1643" s="1" t="str">
        <f>IFERROR(VLOOKUP(A1643,H_C!$A$2:$G$2628,7,0),"Validar HC")</f>
        <v>Soler, Maria</v>
      </c>
      <c r="H1643" s="167">
        <v>2200286.0</v>
      </c>
      <c r="I1643" s="1">
        <v>42.0</v>
      </c>
    </row>
    <row r="1644" ht="15.75" customHeight="1">
      <c r="A1644" s="1">
        <v>5694761.0</v>
      </c>
      <c r="B1644" s="1" t="s">
        <v>1732</v>
      </c>
      <c r="C1644" s="1" t="s">
        <v>1733</v>
      </c>
      <c r="D1644" s="1" t="s">
        <v>224</v>
      </c>
      <c r="E1644" s="1" t="s">
        <v>416</v>
      </c>
      <c r="F1644" s="1" t="s">
        <v>6717</v>
      </c>
      <c r="G1644" s="1" t="str">
        <f>IFERROR(VLOOKUP(A1644,H_C!$A$2:$G$2628,7,0),"Validar HC")</f>
        <v>Soler, Maria</v>
      </c>
      <c r="H1644" s="167">
        <v>2200286.0</v>
      </c>
      <c r="I1644" s="1">
        <v>42.0</v>
      </c>
    </row>
    <row r="1645" ht="15.75" customHeight="1">
      <c r="A1645" s="1">
        <v>5694842.0</v>
      </c>
      <c r="B1645" s="1" t="s">
        <v>1484</v>
      </c>
      <c r="C1645" s="1" t="s">
        <v>1485</v>
      </c>
      <c r="D1645" s="1" t="s">
        <v>224</v>
      </c>
      <c r="E1645" s="1" t="s">
        <v>289</v>
      </c>
      <c r="F1645" s="1" t="s">
        <v>6717</v>
      </c>
      <c r="G1645" s="1" t="str">
        <f>IFERROR(VLOOKUP(A1645,H_C!$A$2:$G$2628,7,0),"Validar HC")</f>
        <v>Celi, Juan</v>
      </c>
      <c r="H1645" s="167">
        <v>2200286.0</v>
      </c>
      <c r="I1645" s="1">
        <v>42.0</v>
      </c>
    </row>
    <row r="1646" ht="15.75" customHeight="1">
      <c r="A1646" s="1">
        <v>5694848.0</v>
      </c>
      <c r="B1646" s="1" t="s">
        <v>4790</v>
      </c>
      <c r="C1646" s="1" t="s">
        <v>4791</v>
      </c>
      <c r="D1646" s="1" t="s">
        <v>224</v>
      </c>
      <c r="E1646" s="1" t="s">
        <v>289</v>
      </c>
      <c r="F1646" s="1" t="s">
        <v>6717</v>
      </c>
      <c r="G1646" s="1" t="str">
        <f>IFERROR(VLOOKUP(A1646,H_C!$A$2:$G$2628,7,0),"Validar HC")</f>
        <v>Celi, Juan</v>
      </c>
      <c r="H1646" s="167">
        <v>2200286.0</v>
      </c>
      <c r="I1646" s="1">
        <v>42.0</v>
      </c>
    </row>
    <row r="1647" ht="15.75" customHeight="1">
      <c r="A1647" s="1">
        <v>5694850.0</v>
      </c>
      <c r="B1647" s="1" t="s">
        <v>4792</v>
      </c>
      <c r="C1647" s="1" t="s">
        <v>4793</v>
      </c>
      <c r="D1647" s="1" t="s">
        <v>224</v>
      </c>
      <c r="E1647" s="1" t="s">
        <v>485</v>
      </c>
      <c r="F1647" s="1" t="s">
        <v>6717</v>
      </c>
      <c r="G1647" s="1" t="str">
        <f>IFERROR(VLOOKUP(A1647,H_C!$A$2:$G$2628,7,0),"Validar HC")</f>
        <v>Martinez, Wendy</v>
      </c>
      <c r="H1647" s="167">
        <v>2200286.0</v>
      </c>
      <c r="I1647" s="1">
        <v>42.0</v>
      </c>
    </row>
    <row r="1648" ht="15.75" customHeight="1">
      <c r="A1648" s="1">
        <v>5694858.0</v>
      </c>
      <c r="B1648" s="1" t="s">
        <v>3726</v>
      </c>
      <c r="C1648" s="1" t="s">
        <v>3727</v>
      </c>
      <c r="D1648" s="1" t="s">
        <v>224</v>
      </c>
      <c r="E1648" s="1" t="s">
        <v>485</v>
      </c>
      <c r="F1648" s="1" t="s">
        <v>6717</v>
      </c>
      <c r="G1648" s="1" t="str">
        <f>IFERROR(VLOOKUP(A1648,H_C!$A$2:$G$2628,7,0),"Validar HC")</f>
        <v>Martinez, Wendy</v>
      </c>
      <c r="H1648" s="167">
        <v>2200286.0</v>
      </c>
      <c r="I1648" s="1">
        <v>42.0</v>
      </c>
    </row>
    <row r="1649" ht="15.75" customHeight="1">
      <c r="A1649" s="1">
        <v>5694878.0</v>
      </c>
      <c r="B1649" s="1" t="s">
        <v>4794</v>
      </c>
      <c r="C1649" s="1" t="s">
        <v>4795</v>
      </c>
      <c r="D1649" s="1" t="s">
        <v>224</v>
      </c>
      <c r="E1649" s="1" t="s">
        <v>485</v>
      </c>
      <c r="F1649" s="1" t="s">
        <v>6717</v>
      </c>
      <c r="G1649" s="1" t="str">
        <f>IFERROR(VLOOKUP(A1649,H_C!$A$2:$G$2628,7,0),"Validar HC")</f>
        <v>Martinez, Wendy</v>
      </c>
      <c r="H1649" s="167">
        <v>2200286.0</v>
      </c>
      <c r="I1649" s="1">
        <v>42.0</v>
      </c>
    </row>
    <row r="1650" ht="15.75" customHeight="1">
      <c r="A1650" s="1">
        <v>5694881.0</v>
      </c>
      <c r="B1650" s="1" t="s">
        <v>379</v>
      </c>
      <c r="C1650" s="1" t="s">
        <v>380</v>
      </c>
      <c r="D1650" s="1" t="s">
        <v>224</v>
      </c>
      <c r="E1650" s="1" t="s">
        <v>329</v>
      </c>
      <c r="F1650" s="1" t="s">
        <v>6717</v>
      </c>
      <c r="G1650" s="1" t="str">
        <f>IFERROR(VLOOKUP(A1650,H_C!$A$2:$G$2628,7,0),"Validar HC")</f>
        <v>Garatejo, Natalia</v>
      </c>
      <c r="H1650" s="167">
        <v>2200286.0</v>
      </c>
      <c r="I1650" s="1">
        <v>42.0</v>
      </c>
    </row>
    <row r="1651" ht="15.75" customHeight="1">
      <c r="A1651" s="1">
        <v>5694885.0</v>
      </c>
      <c r="B1651" s="1" t="s">
        <v>330</v>
      </c>
      <c r="C1651" s="1" t="s">
        <v>334</v>
      </c>
      <c r="D1651" s="1" t="s">
        <v>224</v>
      </c>
      <c r="E1651" s="1" t="s">
        <v>329</v>
      </c>
      <c r="F1651" s="1" t="s">
        <v>6717</v>
      </c>
      <c r="G1651" s="1" t="str">
        <f>IFERROR(VLOOKUP(A1651,H_C!$A$2:$G$2628,7,0),"Validar HC")</f>
        <v>Garatejo, Natalia</v>
      </c>
      <c r="H1651" s="167">
        <v>2200286.0</v>
      </c>
      <c r="I1651" s="1">
        <v>42.0</v>
      </c>
    </row>
    <row r="1652" ht="15.75" customHeight="1">
      <c r="A1652" s="1">
        <v>5694994.0</v>
      </c>
      <c r="B1652" s="1" t="s">
        <v>600</v>
      </c>
      <c r="C1652" s="1" t="s">
        <v>601</v>
      </c>
      <c r="D1652" s="1" t="s">
        <v>224</v>
      </c>
      <c r="E1652" s="1" t="s">
        <v>526</v>
      </c>
      <c r="F1652" s="1" t="s">
        <v>6717</v>
      </c>
      <c r="G1652" s="1" t="str">
        <f>IFERROR(VLOOKUP(A1652,H_C!$A$2:$G$2628,7,0),"Validar HC")</f>
        <v>Martinez, Wendy</v>
      </c>
      <c r="H1652" s="167">
        <v>2200286.0</v>
      </c>
      <c r="I1652" s="1">
        <v>42.0</v>
      </c>
    </row>
    <row r="1653" ht="15.75" customHeight="1">
      <c r="A1653" s="1">
        <v>5695057.0</v>
      </c>
      <c r="B1653" s="1" t="s">
        <v>4796</v>
      </c>
      <c r="C1653" s="1" t="s">
        <v>4797</v>
      </c>
      <c r="D1653" s="1" t="s">
        <v>224</v>
      </c>
      <c r="E1653" s="1" t="s">
        <v>676</v>
      </c>
      <c r="F1653" s="1" t="s">
        <v>6717</v>
      </c>
      <c r="G1653" s="1" t="str">
        <f>IFERROR(VLOOKUP(A1653,H_C!$A$2:$G$2628,7,0),"Validar HC")</f>
        <v>Garatejo, Natalia</v>
      </c>
      <c r="H1653" s="167">
        <v>2200286.0</v>
      </c>
      <c r="I1653" s="1">
        <v>42.0</v>
      </c>
    </row>
    <row r="1654" ht="15.75" customHeight="1">
      <c r="A1654" s="1">
        <v>5695059.0</v>
      </c>
      <c r="B1654" s="1" t="s">
        <v>3762</v>
      </c>
      <c r="C1654" s="1" t="s">
        <v>3763</v>
      </c>
      <c r="D1654" s="1" t="s">
        <v>224</v>
      </c>
      <c r="E1654" s="1" t="s">
        <v>555</v>
      </c>
      <c r="F1654" s="1" t="s">
        <v>6717</v>
      </c>
      <c r="G1654" s="1" t="str">
        <f>IFERROR(VLOOKUP(A1654,H_C!$A$2:$G$2628,7,0),"Validar HC")</f>
        <v>Ayala, Giselle</v>
      </c>
      <c r="H1654" s="167">
        <v>2200286.0</v>
      </c>
      <c r="I1654" s="1">
        <v>42.0</v>
      </c>
    </row>
    <row r="1655" ht="15.75" customHeight="1">
      <c r="A1655" s="1">
        <v>5695060.0</v>
      </c>
      <c r="B1655" s="1" t="s">
        <v>2281</v>
      </c>
      <c r="C1655" s="1" t="s">
        <v>2282</v>
      </c>
      <c r="D1655" s="1" t="s">
        <v>224</v>
      </c>
      <c r="E1655" s="1" t="s">
        <v>986</v>
      </c>
      <c r="F1655" s="1" t="s">
        <v>6717</v>
      </c>
      <c r="G1655" s="1" t="str">
        <f>IFERROR(VLOOKUP(A1655,H_C!$A$2:$G$2628,7,0),"Validar HC")</f>
        <v>Garatejo, Natalia</v>
      </c>
      <c r="H1655" s="167">
        <v>2200286.0</v>
      </c>
      <c r="I1655" s="1">
        <v>42.0</v>
      </c>
    </row>
    <row r="1656" ht="15.75" customHeight="1">
      <c r="A1656" s="1">
        <v>5695061.0</v>
      </c>
      <c r="B1656" s="1" t="s">
        <v>6778</v>
      </c>
      <c r="C1656" s="1" t="s">
        <v>6779</v>
      </c>
      <c r="D1656" s="1" t="s">
        <v>224</v>
      </c>
      <c r="E1656" s="1" t="s">
        <v>813</v>
      </c>
      <c r="F1656" s="1" t="s">
        <v>6717</v>
      </c>
      <c r="G1656" s="1" t="str">
        <f>IFERROR(VLOOKUP(A1656,H_C!$A$2:$G$2628,7,0),"Validar HC")</f>
        <v>Validar HC</v>
      </c>
      <c r="H1656" s="167">
        <v>2200286.0</v>
      </c>
      <c r="I1656" s="1">
        <v>42.0</v>
      </c>
    </row>
    <row r="1657" ht="15.75" customHeight="1">
      <c r="A1657" s="1">
        <v>5695062.0</v>
      </c>
      <c r="B1657" s="1" t="s">
        <v>4786</v>
      </c>
      <c r="C1657" s="1" t="s">
        <v>4787</v>
      </c>
      <c r="D1657" s="1" t="s">
        <v>224</v>
      </c>
      <c r="E1657" s="1" t="s">
        <v>676</v>
      </c>
      <c r="F1657" s="1" t="s">
        <v>6717</v>
      </c>
      <c r="G1657" s="1" t="str">
        <f>IFERROR(VLOOKUP(A1657,H_C!$A$2:$G$2628,7,0),"Validar HC")</f>
        <v>Garatejo, Natalia</v>
      </c>
      <c r="H1657" s="167">
        <v>2200286.0</v>
      </c>
      <c r="I1657" s="1">
        <v>42.0</v>
      </c>
    </row>
    <row r="1658" ht="15.75" customHeight="1">
      <c r="A1658" s="1">
        <v>5695080.0</v>
      </c>
      <c r="B1658" s="1" t="s">
        <v>2304</v>
      </c>
      <c r="C1658" s="1" t="s">
        <v>2305</v>
      </c>
      <c r="D1658" s="1" t="s">
        <v>224</v>
      </c>
      <c r="E1658" s="1" t="s">
        <v>986</v>
      </c>
      <c r="F1658" s="1" t="s">
        <v>6717</v>
      </c>
      <c r="G1658" s="1" t="str">
        <f>IFERROR(VLOOKUP(A1658,H_C!$A$2:$G$2628,7,0),"Validar HC")</f>
        <v>Garatejo, Natalia</v>
      </c>
      <c r="H1658" s="167">
        <v>2200286.0</v>
      </c>
      <c r="I1658" s="1">
        <v>42.0</v>
      </c>
    </row>
    <row r="1659" ht="15.75" customHeight="1">
      <c r="A1659" s="1">
        <v>5696292.0</v>
      </c>
      <c r="B1659" s="1" t="s">
        <v>2329</v>
      </c>
      <c r="C1659" s="1" t="s">
        <v>2330</v>
      </c>
      <c r="D1659" s="1" t="s">
        <v>224</v>
      </c>
      <c r="E1659" s="1" t="s">
        <v>986</v>
      </c>
      <c r="F1659" s="1" t="s">
        <v>6717</v>
      </c>
      <c r="G1659" s="1" t="str">
        <f>IFERROR(VLOOKUP(A1659,H_C!$A$2:$G$2628,7,0),"Validar HC")</f>
        <v>Garatejo, Natalia</v>
      </c>
      <c r="H1659" s="167">
        <v>2200286.0</v>
      </c>
      <c r="I1659" s="1">
        <v>42.0</v>
      </c>
    </row>
    <row r="1660" ht="15.75" customHeight="1">
      <c r="A1660" s="1">
        <v>5696379.0</v>
      </c>
      <c r="B1660" s="1" t="s">
        <v>6780</v>
      </c>
      <c r="C1660" s="1" t="s">
        <v>6781</v>
      </c>
      <c r="D1660" s="1" t="s">
        <v>224</v>
      </c>
      <c r="E1660" s="1" t="s">
        <v>526</v>
      </c>
      <c r="F1660" s="1" t="s">
        <v>6717</v>
      </c>
      <c r="G1660" s="1" t="str">
        <f>IFERROR(VLOOKUP(A1660,H_C!$A$2:$G$2628,7,0),"Validar HC")</f>
        <v>Validar HC</v>
      </c>
      <c r="H1660" s="167">
        <v>2200286.0</v>
      </c>
      <c r="I1660" s="1">
        <v>42.0</v>
      </c>
    </row>
    <row r="1661" ht="15.75" customHeight="1">
      <c r="A1661" s="1">
        <v>5696592.0</v>
      </c>
      <c r="B1661" s="1" t="s">
        <v>6782</v>
      </c>
      <c r="C1661" s="1" t="s">
        <v>6783</v>
      </c>
      <c r="D1661" s="1" t="s">
        <v>224</v>
      </c>
      <c r="E1661" s="1" t="s">
        <v>676</v>
      </c>
      <c r="F1661" s="1" t="s">
        <v>6717</v>
      </c>
      <c r="G1661" s="1" t="str">
        <f>IFERROR(VLOOKUP(A1661,H_C!$A$2:$G$2628,7,0),"Validar HC")</f>
        <v>Validar HC</v>
      </c>
      <c r="H1661" s="167">
        <v>2200286.0</v>
      </c>
      <c r="I1661" s="1">
        <v>42.0</v>
      </c>
    </row>
    <row r="1662" ht="15.75" customHeight="1">
      <c r="A1662" s="1">
        <v>5698081.0</v>
      </c>
      <c r="B1662" s="1" t="s">
        <v>3526</v>
      </c>
      <c r="C1662" s="1" t="s">
        <v>3527</v>
      </c>
      <c r="D1662" s="1" t="s">
        <v>224</v>
      </c>
      <c r="E1662" s="1" t="s">
        <v>467</v>
      </c>
      <c r="F1662" s="1" t="s">
        <v>6717</v>
      </c>
      <c r="G1662" s="1" t="str">
        <f>IFERROR(VLOOKUP(A1662,H_C!$A$2:$G$2628,7,0),"Validar HC")</f>
        <v>Martinez, Wendy</v>
      </c>
      <c r="H1662" s="167">
        <v>2200286.0</v>
      </c>
      <c r="I1662" s="1">
        <v>42.0</v>
      </c>
    </row>
    <row r="1663" ht="15.75" customHeight="1">
      <c r="A1663" s="1">
        <v>5698084.0</v>
      </c>
      <c r="B1663" s="1" t="s">
        <v>4804</v>
      </c>
      <c r="C1663" s="1" t="s">
        <v>4805</v>
      </c>
      <c r="D1663" s="1" t="s">
        <v>224</v>
      </c>
      <c r="E1663" s="1" t="s">
        <v>289</v>
      </c>
      <c r="F1663" s="1" t="s">
        <v>6717</v>
      </c>
      <c r="G1663" s="1" t="str">
        <f>IFERROR(VLOOKUP(A1663,H_C!$A$2:$G$2628,7,0),"Validar HC")</f>
        <v>Celi, Juan</v>
      </c>
      <c r="H1663" s="167">
        <v>2200286.0</v>
      </c>
      <c r="I1663" s="1">
        <v>42.0</v>
      </c>
    </row>
    <row r="1664" ht="15.75" customHeight="1">
      <c r="A1664" s="1">
        <v>5698088.0</v>
      </c>
      <c r="B1664" s="1" t="s">
        <v>1822</v>
      </c>
      <c r="C1664" s="1" t="s">
        <v>1823</v>
      </c>
      <c r="D1664" s="1" t="s">
        <v>224</v>
      </c>
      <c r="E1664" s="1" t="s">
        <v>835</v>
      </c>
      <c r="F1664" s="1" t="s">
        <v>6717</v>
      </c>
      <c r="G1664" s="1" t="str">
        <f>IFERROR(VLOOKUP(A1664,H_C!$A$2:$G$2628,7,0),"Validar HC")</f>
        <v>Martinez, Wendy</v>
      </c>
      <c r="H1664" s="167">
        <v>2200286.0</v>
      </c>
      <c r="I1664" s="1">
        <v>42.0</v>
      </c>
    </row>
    <row r="1665" ht="15.75" customHeight="1">
      <c r="A1665" s="1">
        <v>5698090.0</v>
      </c>
      <c r="B1665" s="1" t="s">
        <v>1681</v>
      </c>
      <c r="C1665" s="1" t="s">
        <v>1682</v>
      </c>
      <c r="D1665" s="1" t="s">
        <v>224</v>
      </c>
      <c r="E1665" s="1" t="s">
        <v>416</v>
      </c>
      <c r="F1665" s="1" t="s">
        <v>6717</v>
      </c>
      <c r="G1665" s="1" t="str">
        <f>IFERROR(VLOOKUP(A1665,H_C!$A$2:$G$2628,7,0),"Validar HC")</f>
        <v>Soler, Maria</v>
      </c>
      <c r="H1665" s="167">
        <v>2200286.0</v>
      </c>
      <c r="I1665" s="1">
        <v>42.0</v>
      </c>
    </row>
    <row r="1666" ht="15.75" customHeight="1">
      <c r="A1666" s="1">
        <v>5698125.0</v>
      </c>
      <c r="B1666" s="1" t="s">
        <v>3991</v>
      </c>
      <c r="C1666" s="1" t="s">
        <v>3992</v>
      </c>
      <c r="D1666" s="1" t="s">
        <v>224</v>
      </c>
      <c r="E1666" s="1" t="s">
        <v>323</v>
      </c>
      <c r="F1666" s="1" t="s">
        <v>6717</v>
      </c>
      <c r="G1666" s="1" t="str">
        <f>IFERROR(VLOOKUP(A1666,H_C!$A$2:$G$2628,7,0),"Validar HC")</f>
        <v>Martinez, Wendy</v>
      </c>
      <c r="H1666" s="167">
        <v>2200286.0</v>
      </c>
      <c r="I1666" s="1">
        <v>42.0</v>
      </c>
    </row>
    <row r="1667" ht="15.75" customHeight="1">
      <c r="A1667" s="1">
        <v>5702857.0</v>
      </c>
      <c r="B1667" s="1" t="s">
        <v>721</v>
      </c>
      <c r="C1667" s="1" t="s">
        <v>723</v>
      </c>
      <c r="D1667" s="1" t="s">
        <v>224</v>
      </c>
      <c r="E1667" s="1" t="s">
        <v>289</v>
      </c>
      <c r="F1667" s="1" t="s">
        <v>6717</v>
      </c>
      <c r="G1667" s="1" t="str">
        <f>IFERROR(VLOOKUP(A1667,H_C!$A$2:$G$2628,7,0),"Validar HC")</f>
        <v>Celi, Juan</v>
      </c>
      <c r="H1667" s="167">
        <v>2200286.0</v>
      </c>
      <c r="I1667" s="1">
        <v>42.0</v>
      </c>
    </row>
    <row r="1668" ht="15.75" customHeight="1">
      <c r="A1668" s="1">
        <v>5702867.0</v>
      </c>
      <c r="B1668" s="1" t="s">
        <v>1502</v>
      </c>
      <c r="C1668" s="1" t="s">
        <v>1503</v>
      </c>
      <c r="D1668" s="1" t="s">
        <v>224</v>
      </c>
      <c r="E1668" s="1" t="s">
        <v>289</v>
      </c>
      <c r="F1668" s="1" t="s">
        <v>6717</v>
      </c>
      <c r="G1668" s="1" t="str">
        <f>IFERROR(VLOOKUP(A1668,H_C!$A$2:$G$2628,7,0),"Validar HC")</f>
        <v>Celi, Juan</v>
      </c>
      <c r="H1668" s="167">
        <v>2200286.0</v>
      </c>
      <c r="I1668" s="1">
        <v>42.0</v>
      </c>
    </row>
    <row r="1669" ht="15.75" customHeight="1">
      <c r="A1669" s="1">
        <v>5702877.0</v>
      </c>
      <c r="B1669" s="1" t="s">
        <v>4810</v>
      </c>
      <c r="C1669" s="1" t="s">
        <v>4811</v>
      </c>
      <c r="D1669" s="1" t="s">
        <v>224</v>
      </c>
      <c r="E1669" s="1" t="s">
        <v>847</v>
      </c>
      <c r="F1669" s="1" t="s">
        <v>6717</v>
      </c>
      <c r="G1669" s="1" t="str">
        <f>IFERROR(VLOOKUP(A1669,H_C!$A$2:$G$2628,7,0),"Validar HC")</f>
        <v>Garatejo, Natalia</v>
      </c>
      <c r="H1669" s="167">
        <v>2200286.0</v>
      </c>
      <c r="I1669" s="1">
        <v>42.0</v>
      </c>
    </row>
    <row r="1670" ht="15.75" customHeight="1">
      <c r="A1670" s="1">
        <v>5702878.0</v>
      </c>
      <c r="B1670" s="1" t="s">
        <v>753</v>
      </c>
      <c r="C1670" s="1" t="s">
        <v>754</v>
      </c>
      <c r="D1670" s="1" t="s">
        <v>224</v>
      </c>
      <c r="E1670" s="1" t="s">
        <v>289</v>
      </c>
      <c r="F1670" s="1" t="s">
        <v>6717</v>
      </c>
      <c r="G1670" s="1" t="str">
        <f>IFERROR(VLOOKUP(A1670,H_C!$A$2:$G$2628,7,0),"Validar HC")</f>
        <v>Celi, Juan</v>
      </c>
      <c r="H1670" s="167">
        <v>2200286.0</v>
      </c>
      <c r="I1670" s="1">
        <v>42.0</v>
      </c>
    </row>
    <row r="1671" ht="15.75" customHeight="1">
      <c r="A1671" s="1">
        <v>5702885.0</v>
      </c>
      <c r="B1671" s="1" t="s">
        <v>4814</v>
      </c>
      <c r="C1671" s="1" t="s">
        <v>4815</v>
      </c>
      <c r="D1671" s="1" t="s">
        <v>224</v>
      </c>
      <c r="E1671" s="1" t="s">
        <v>1348</v>
      </c>
      <c r="F1671" s="1" t="s">
        <v>6717</v>
      </c>
      <c r="G1671" s="1" t="str">
        <f>IFERROR(VLOOKUP(A1671,H_C!$A$2:$G$2628,7,0),"Validar HC")</f>
        <v>Celi, Juan</v>
      </c>
      <c r="H1671" s="167">
        <v>2200286.0</v>
      </c>
      <c r="I1671" s="1">
        <v>42.0</v>
      </c>
    </row>
    <row r="1672" ht="15.75" customHeight="1">
      <c r="A1672" s="1">
        <v>5702887.0</v>
      </c>
      <c r="B1672" s="1" t="s">
        <v>4816</v>
      </c>
      <c r="C1672" s="1" t="s">
        <v>4817</v>
      </c>
      <c r="D1672" s="1" t="s">
        <v>224</v>
      </c>
      <c r="E1672" s="1" t="s">
        <v>1348</v>
      </c>
      <c r="F1672" s="1" t="s">
        <v>6717</v>
      </c>
      <c r="G1672" s="1" t="str">
        <f>IFERROR(VLOOKUP(A1672,H_C!$A$2:$G$2628,7,0),"Validar HC")</f>
        <v>Celi, Juan</v>
      </c>
      <c r="H1672" s="167">
        <v>2200286.0</v>
      </c>
      <c r="I1672" s="1">
        <v>42.0</v>
      </c>
    </row>
    <row r="1673" ht="15.75" customHeight="1">
      <c r="A1673" s="1">
        <v>5702888.0</v>
      </c>
      <c r="B1673" s="1" t="s">
        <v>4818</v>
      </c>
      <c r="C1673" s="1" t="s">
        <v>4819</v>
      </c>
      <c r="D1673" s="1" t="s">
        <v>224</v>
      </c>
      <c r="E1673" s="1" t="s">
        <v>1348</v>
      </c>
      <c r="F1673" s="1" t="s">
        <v>6717</v>
      </c>
      <c r="G1673" s="1" t="str">
        <f>IFERROR(VLOOKUP(A1673,H_C!$A$2:$G$2628,7,0),"Validar HC")</f>
        <v>Celi, Juan</v>
      </c>
      <c r="H1673" s="167">
        <v>2200286.0</v>
      </c>
      <c r="I1673" s="1">
        <v>42.0</v>
      </c>
    </row>
    <row r="1674" ht="15.75" customHeight="1">
      <c r="A1674" s="1">
        <v>5703229.0</v>
      </c>
      <c r="B1674" s="1" t="s">
        <v>1826</v>
      </c>
      <c r="C1674" s="1" t="s">
        <v>1827</v>
      </c>
      <c r="D1674" s="1" t="s">
        <v>224</v>
      </c>
      <c r="E1674" s="1" t="s">
        <v>835</v>
      </c>
      <c r="F1674" s="1" t="s">
        <v>6717</v>
      </c>
      <c r="G1674" s="1" t="str">
        <f>IFERROR(VLOOKUP(A1674,H_C!$A$2:$G$2628,7,0),"Validar HC")</f>
        <v>Martinez, Wendy</v>
      </c>
      <c r="H1674" s="167">
        <v>2200286.0</v>
      </c>
      <c r="I1674" s="1">
        <v>42.0</v>
      </c>
    </row>
    <row r="1675" ht="15.75" customHeight="1">
      <c r="A1675" s="1">
        <v>5704761.0</v>
      </c>
      <c r="B1675" s="1" t="s">
        <v>4188</v>
      </c>
      <c r="C1675" s="1" t="s">
        <v>4189</v>
      </c>
      <c r="D1675" s="1" t="s">
        <v>224</v>
      </c>
      <c r="E1675" s="1" t="s">
        <v>374</v>
      </c>
      <c r="F1675" s="1" t="s">
        <v>6717</v>
      </c>
      <c r="G1675" s="1" t="str">
        <f>IFERROR(VLOOKUP(A1675,H_C!$A$2:$G$2628,7,0),"Validar HC")</f>
        <v>Martinez, Wendy</v>
      </c>
      <c r="H1675" s="167">
        <v>2200286.0</v>
      </c>
      <c r="I1675" s="1">
        <v>42.0</v>
      </c>
    </row>
    <row r="1676" ht="15.75" customHeight="1">
      <c r="A1676" s="1">
        <v>5706758.0</v>
      </c>
      <c r="B1676" s="1" t="s">
        <v>6784</v>
      </c>
      <c r="C1676" s="1" t="s">
        <v>6785</v>
      </c>
      <c r="D1676" s="1" t="s">
        <v>224</v>
      </c>
      <c r="E1676" s="1" t="s">
        <v>329</v>
      </c>
      <c r="F1676" s="1" t="s">
        <v>6717</v>
      </c>
      <c r="G1676" s="1" t="str">
        <f>IFERROR(VLOOKUP(A1676,H_C!$A$2:$G$2628,7,0),"Validar HC")</f>
        <v>Validar HC</v>
      </c>
      <c r="H1676" s="167">
        <v>2200286.0</v>
      </c>
      <c r="I1676" s="1">
        <v>42.0</v>
      </c>
    </row>
    <row r="1677" ht="15.75" customHeight="1">
      <c r="A1677" s="1">
        <v>5706992.0</v>
      </c>
      <c r="B1677" s="1" t="s">
        <v>4820</v>
      </c>
      <c r="C1677" s="1" t="s">
        <v>4821</v>
      </c>
      <c r="D1677" s="1" t="s">
        <v>224</v>
      </c>
      <c r="E1677" s="1" t="s">
        <v>738</v>
      </c>
      <c r="F1677" s="1" t="s">
        <v>6717</v>
      </c>
      <c r="G1677" s="1" t="str">
        <f>IFERROR(VLOOKUP(A1677,H_C!$A$2:$G$2628,7,0),"Validar HC")</f>
        <v>Garcia, Helmer</v>
      </c>
      <c r="H1677" s="167">
        <v>2200286.0</v>
      </c>
      <c r="I1677" s="1">
        <v>42.0</v>
      </c>
    </row>
    <row r="1678" ht="15.75" customHeight="1">
      <c r="A1678" s="1">
        <v>5707226.0</v>
      </c>
      <c r="B1678" s="1" t="s">
        <v>3995</v>
      </c>
      <c r="C1678" s="1" t="s">
        <v>3996</v>
      </c>
      <c r="D1678" s="1" t="s">
        <v>224</v>
      </c>
      <c r="E1678" s="1" t="s">
        <v>323</v>
      </c>
      <c r="F1678" s="1" t="s">
        <v>6717</v>
      </c>
      <c r="G1678" s="1" t="str">
        <f>IFERROR(VLOOKUP(A1678,H_C!$A$2:$G$2628,7,0),"Validar HC")</f>
        <v>Martinez, Wendy</v>
      </c>
      <c r="H1678" s="167">
        <v>2200286.0</v>
      </c>
      <c r="I1678" s="1">
        <v>42.0</v>
      </c>
    </row>
    <row r="1679" ht="15.75" customHeight="1">
      <c r="A1679" s="1">
        <v>5707232.0</v>
      </c>
      <c r="B1679" s="1" t="s">
        <v>4822</v>
      </c>
      <c r="C1679" s="1" t="s">
        <v>4823</v>
      </c>
      <c r="D1679" s="1" t="s">
        <v>224</v>
      </c>
      <c r="E1679" s="1" t="s">
        <v>2069</v>
      </c>
      <c r="F1679" s="1" t="s">
        <v>6717</v>
      </c>
      <c r="G1679" s="1" t="str">
        <f>IFERROR(VLOOKUP(A1679,H_C!$A$2:$G$2628,7,0),"Validar HC")</f>
        <v>Garatejo, Natalia</v>
      </c>
      <c r="H1679" s="167">
        <v>2200286.0</v>
      </c>
      <c r="I1679" s="1">
        <v>42.0</v>
      </c>
    </row>
    <row r="1680" ht="15.75" customHeight="1">
      <c r="A1680" s="1">
        <v>5707233.0</v>
      </c>
      <c r="B1680" s="1" t="s">
        <v>4824</v>
      </c>
      <c r="C1680" s="1" t="s">
        <v>4825</v>
      </c>
      <c r="D1680" s="1" t="s">
        <v>224</v>
      </c>
      <c r="E1680" s="1" t="s">
        <v>1932</v>
      </c>
      <c r="F1680" s="1" t="s">
        <v>6717</v>
      </c>
      <c r="G1680" s="1" t="str">
        <f>IFERROR(VLOOKUP(A1680,H_C!$A$2:$G$2628,7,0),"Validar HC")</f>
        <v>Garatejo, Natalia</v>
      </c>
      <c r="H1680" s="167">
        <v>2200286.0</v>
      </c>
      <c r="I1680" s="1">
        <v>42.0</v>
      </c>
    </row>
    <row r="1681" ht="15.75" customHeight="1">
      <c r="A1681" s="1">
        <v>5707236.0</v>
      </c>
      <c r="B1681" s="1" t="s">
        <v>2117</v>
      </c>
      <c r="C1681" s="1" t="s">
        <v>2118</v>
      </c>
      <c r="D1681" s="1" t="s">
        <v>224</v>
      </c>
      <c r="E1681" s="1" t="s">
        <v>323</v>
      </c>
      <c r="F1681" s="1" t="s">
        <v>6717</v>
      </c>
      <c r="G1681" s="1" t="str">
        <f>IFERROR(VLOOKUP(A1681,H_C!$A$2:$G$2628,7,0),"Validar HC")</f>
        <v>Martinez, Wendy</v>
      </c>
      <c r="H1681" s="167">
        <v>2200286.0</v>
      </c>
      <c r="I1681" s="1">
        <v>42.0</v>
      </c>
    </row>
    <row r="1682" ht="15.75" customHeight="1">
      <c r="A1682" s="1">
        <v>5707237.0</v>
      </c>
      <c r="B1682" s="1" t="s">
        <v>604</v>
      </c>
      <c r="C1682" s="1" t="s">
        <v>605</v>
      </c>
      <c r="D1682" s="1" t="s">
        <v>224</v>
      </c>
      <c r="E1682" s="1" t="s">
        <v>526</v>
      </c>
      <c r="F1682" s="1" t="s">
        <v>6717</v>
      </c>
      <c r="G1682" s="1" t="str">
        <f>IFERROR(VLOOKUP(A1682,H_C!$A$2:$G$2628,7,0),"Validar HC")</f>
        <v>Martinez, Wendy</v>
      </c>
      <c r="H1682" s="167">
        <v>2200286.0</v>
      </c>
      <c r="I1682" s="1">
        <v>42.0</v>
      </c>
    </row>
    <row r="1683" ht="15.75" customHeight="1">
      <c r="A1683" s="1">
        <v>5707239.0</v>
      </c>
      <c r="B1683" s="1" t="s">
        <v>4826</v>
      </c>
      <c r="C1683" s="1" t="s">
        <v>4827</v>
      </c>
      <c r="D1683" s="1" t="s">
        <v>224</v>
      </c>
      <c r="E1683" s="1" t="s">
        <v>1932</v>
      </c>
      <c r="F1683" s="1" t="s">
        <v>6717</v>
      </c>
      <c r="G1683" s="1" t="str">
        <f>IFERROR(VLOOKUP(A1683,H_C!$A$2:$G$2628,7,0),"Validar HC")</f>
        <v>Garatejo, Natalia</v>
      </c>
      <c r="H1683" s="167">
        <v>2200286.0</v>
      </c>
      <c r="I1683" s="1">
        <v>42.0</v>
      </c>
    </row>
    <row r="1684" ht="15.75" customHeight="1">
      <c r="A1684" s="1">
        <v>5707240.0</v>
      </c>
      <c r="B1684" s="1" t="s">
        <v>4828</v>
      </c>
      <c r="C1684" s="1" t="s">
        <v>4829</v>
      </c>
      <c r="D1684" s="1" t="s">
        <v>224</v>
      </c>
      <c r="E1684" s="1" t="s">
        <v>738</v>
      </c>
      <c r="F1684" s="1" t="s">
        <v>6717</v>
      </c>
      <c r="G1684" s="1" t="str">
        <f>IFERROR(VLOOKUP(A1684,H_C!$A$2:$G$2628,7,0),"Validar HC")</f>
        <v>Garcia, Helmer</v>
      </c>
      <c r="H1684" s="167">
        <v>2200286.0</v>
      </c>
      <c r="I1684" s="1">
        <v>42.0</v>
      </c>
    </row>
    <row r="1685" ht="15.75" customHeight="1">
      <c r="A1685" s="1">
        <v>5709264.0</v>
      </c>
      <c r="B1685" s="1" t="s">
        <v>4712</v>
      </c>
      <c r="C1685" s="1" t="s">
        <v>4713</v>
      </c>
      <c r="D1685" s="1" t="s">
        <v>224</v>
      </c>
      <c r="E1685" s="1" t="s">
        <v>526</v>
      </c>
      <c r="F1685" s="1" t="s">
        <v>6717</v>
      </c>
      <c r="G1685" s="1" t="str">
        <f>IFERROR(VLOOKUP(A1685,H_C!$A$2:$G$2628,7,0),"Validar HC")</f>
        <v>Martinez, Wendy</v>
      </c>
      <c r="H1685" s="167">
        <v>2200286.0</v>
      </c>
      <c r="I1685" s="1">
        <v>42.0</v>
      </c>
    </row>
    <row r="1686" ht="15.75" customHeight="1">
      <c r="A1686" s="1">
        <v>5709300.0</v>
      </c>
      <c r="B1686" s="1" t="s">
        <v>1838</v>
      </c>
      <c r="C1686" s="1" t="s">
        <v>1839</v>
      </c>
      <c r="D1686" s="1" t="s">
        <v>224</v>
      </c>
      <c r="E1686" s="1" t="s">
        <v>835</v>
      </c>
      <c r="F1686" s="1" t="s">
        <v>6717</v>
      </c>
      <c r="G1686" s="1" t="str">
        <f>IFERROR(VLOOKUP(A1686,H_C!$A$2:$G$2628,7,0),"Validar HC")</f>
        <v>Martinez, Wendy</v>
      </c>
      <c r="H1686" s="167">
        <v>2200286.0</v>
      </c>
      <c r="I1686" s="1">
        <v>42.0</v>
      </c>
    </row>
    <row r="1687" ht="15.75" customHeight="1">
      <c r="A1687" s="1">
        <v>5709345.0</v>
      </c>
      <c r="B1687" s="1" t="s">
        <v>4834</v>
      </c>
      <c r="C1687" s="1" t="s">
        <v>4835</v>
      </c>
      <c r="D1687" s="1" t="s">
        <v>224</v>
      </c>
      <c r="E1687" s="1" t="s">
        <v>2069</v>
      </c>
      <c r="F1687" s="1" t="s">
        <v>6717</v>
      </c>
      <c r="G1687" s="1" t="str">
        <f>IFERROR(VLOOKUP(A1687,H_C!$A$2:$G$2628,7,0),"Validar HC")</f>
        <v>Garatejo, Natalia</v>
      </c>
      <c r="H1687" s="167">
        <v>2200286.0</v>
      </c>
      <c r="I1687" s="1">
        <v>42.0</v>
      </c>
    </row>
    <row r="1688" ht="15.75" customHeight="1">
      <c r="A1688" s="1">
        <v>5709349.0</v>
      </c>
      <c r="B1688" s="1" t="s">
        <v>4722</v>
      </c>
      <c r="C1688" s="1" t="s">
        <v>4723</v>
      </c>
      <c r="D1688" s="1" t="s">
        <v>224</v>
      </c>
      <c r="E1688" s="1" t="s">
        <v>526</v>
      </c>
      <c r="F1688" s="1" t="s">
        <v>6717</v>
      </c>
      <c r="G1688" s="1" t="str">
        <f>IFERROR(VLOOKUP(A1688,H_C!$A$2:$G$2628,7,0),"Validar HC")</f>
        <v>Martinez, Wendy</v>
      </c>
      <c r="H1688" s="167">
        <v>2200286.0</v>
      </c>
      <c r="I1688" s="1">
        <v>42.0</v>
      </c>
    </row>
    <row r="1689" ht="15.75" customHeight="1">
      <c r="A1689" s="1">
        <v>5709692.0</v>
      </c>
      <c r="B1689" s="1" t="s">
        <v>6786</v>
      </c>
      <c r="C1689" s="1" t="s">
        <v>6787</v>
      </c>
      <c r="D1689" s="1" t="s">
        <v>224</v>
      </c>
      <c r="E1689" s="1" t="s">
        <v>986</v>
      </c>
      <c r="F1689" s="1" t="s">
        <v>6717</v>
      </c>
      <c r="G1689" s="1" t="str">
        <f>IFERROR(VLOOKUP(A1689,H_C!$A$2:$G$2628,7,0),"Validar HC")</f>
        <v>Validar HC</v>
      </c>
      <c r="H1689" s="167">
        <v>2200286.0</v>
      </c>
      <c r="I1689" s="1">
        <v>42.0</v>
      </c>
    </row>
    <row r="1690" ht="15.75" customHeight="1">
      <c r="A1690" s="1">
        <v>5709738.0</v>
      </c>
      <c r="B1690" s="1" t="s">
        <v>4838</v>
      </c>
      <c r="C1690" s="1" t="s">
        <v>4839</v>
      </c>
      <c r="D1690" s="1" t="s">
        <v>224</v>
      </c>
      <c r="E1690" s="1" t="s">
        <v>530</v>
      </c>
      <c r="F1690" s="1" t="s">
        <v>6717</v>
      </c>
      <c r="G1690" s="1" t="str">
        <f>IFERROR(VLOOKUP(A1690,H_C!$A$2:$G$2628,7,0),"Validar HC")</f>
        <v>Garcia, Helmer</v>
      </c>
      <c r="H1690" s="167">
        <v>2200286.0</v>
      </c>
      <c r="I1690" s="1">
        <v>42.0</v>
      </c>
    </row>
    <row r="1691" ht="15.75" customHeight="1">
      <c r="A1691" s="1">
        <v>5709748.0</v>
      </c>
      <c r="B1691" s="1" t="s">
        <v>2121</v>
      </c>
      <c r="C1691" s="1" t="s">
        <v>2122</v>
      </c>
      <c r="D1691" s="1" t="s">
        <v>224</v>
      </c>
      <c r="E1691" s="1" t="s">
        <v>323</v>
      </c>
      <c r="F1691" s="1" t="s">
        <v>6717</v>
      </c>
      <c r="G1691" s="1" t="str">
        <f>IFERROR(VLOOKUP(A1691,H_C!$A$2:$G$2628,7,0),"Validar HC")</f>
        <v>Martinez, Wendy</v>
      </c>
      <c r="H1691" s="167">
        <v>2200286.0</v>
      </c>
      <c r="I1691" s="1">
        <v>42.0</v>
      </c>
    </row>
    <row r="1692" ht="15.75" customHeight="1">
      <c r="A1692" s="1">
        <v>5709749.0</v>
      </c>
      <c r="B1692" s="1" t="s">
        <v>4840</v>
      </c>
      <c r="C1692" s="1" t="s">
        <v>4841</v>
      </c>
      <c r="D1692" s="1" t="s">
        <v>224</v>
      </c>
      <c r="E1692" s="1" t="s">
        <v>1932</v>
      </c>
      <c r="F1692" s="1" t="s">
        <v>6717</v>
      </c>
      <c r="G1692" s="1" t="str">
        <f>IFERROR(VLOOKUP(A1692,H_C!$A$2:$G$2628,7,0),"Validar HC")</f>
        <v>Garatejo, Natalia</v>
      </c>
      <c r="H1692" s="167">
        <v>2200286.0</v>
      </c>
      <c r="I1692" s="1">
        <v>42.0</v>
      </c>
    </row>
    <row r="1693" ht="15.75" customHeight="1">
      <c r="A1693" s="1">
        <v>5709756.0</v>
      </c>
      <c r="B1693" s="1" t="s">
        <v>4842</v>
      </c>
      <c r="C1693" s="1" t="s">
        <v>4843</v>
      </c>
      <c r="D1693" s="1" t="s">
        <v>224</v>
      </c>
      <c r="E1693" s="1" t="s">
        <v>1932</v>
      </c>
      <c r="F1693" s="1" t="s">
        <v>6717</v>
      </c>
      <c r="G1693" s="1" t="str">
        <f>IFERROR(VLOOKUP(A1693,H_C!$A$2:$G$2628,7,0),"Validar HC")</f>
        <v>Garatejo, Natalia</v>
      </c>
      <c r="H1693" s="167">
        <v>2200286.0</v>
      </c>
      <c r="I1693" s="1">
        <v>42.0</v>
      </c>
    </row>
    <row r="1694" ht="15.75" customHeight="1">
      <c r="A1694" s="1">
        <v>5710521.0</v>
      </c>
      <c r="B1694" s="1" t="s">
        <v>4678</v>
      </c>
      <c r="C1694" s="1" t="s">
        <v>4679</v>
      </c>
      <c r="D1694" s="1" t="s">
        <v>224</v>
      </c>
      <c r="E1694" s="1" t="s">
        <v>323</v>
      </c>
      <c r="F1694" s="1" t="s">
        <v>6717</v>
      </c>
      <c r="G1694" s="1" t="str">
        <f>IFERROR(VLOOKUP(A1694,H_C!$A$2:$G$2628,7,0),"Validar HC")</f>
        <v>Martinez, Wendy</v>
      </c>
      <c r="H1694" s="167">
        <v>2200286.0</v>
      </c>
      <c r="I1694" s="1">
        <v>42.0</v>
      </c>
    </row>
    <row r="1695" ht="15.75" customHeight="1">
      <c r="A1695" s="1">
        <v>5712869.0</v>
      </c>
      <c r="B1695" s="1" t="s">
        <v>3809</v>
      </c>
      <c r="C1695" s="1" t="s">
        <v>3810</v>
      </c>
      <c r="D1695" s="1" t="s">
        <v>224</v>
      </c>
      <c r="E1695" s="1" t="s">
        <v>491</v>
      </c>
      <c r="F1695" s="1" t="s">
        <v>6717</v>
      </c>
      <c r="G1695" s="1" t="str">
        <f>IFERROR(VLOOKUP(A1695,H_C!$A$2:$G$2628,7,0),"Validar HC")</f>
        <v>Soler, Maria</v>
      </c>
      <c r="H1695" s="167">
        <v>2200286.0</v>
      </c>
      <c r="I1695" s="1">
        <v>42.0</v>
      </c>
    </row>
    <row r="1696" ht="15.75" customHeight="1">
      <c r="A1696" s="1">
        <v>5712870.0</v>
      </c>
      <c r="B1696" s="1" t="s">
        <v>4846</v>
      </c>
      <c r="C1696" s="1" t="s">
        <v>4847</v>
      </c>
      <c r="D1696" s="1" t="s">
        <v>224</v>
      </c>
      <c r="E1696" s="1" t="s">
        <v>113</v>
      </c>
      <c r="F1696" s="1" t="s">
        <v>6717</v>
      </c>
      <c r="G1696" s="1" t="str">
        <f>IFERROR(VLOOKUP(A1696,H_C!$A$2:$G$2628,7,0),"Validar HC")</f>
        <v>Soler, Maria</v>
      </c>
      <c r="H1696" s="167">
        <v>2200286.0</v>
      </c>
      <c r="I1696" s="1">
        <v>42.0</v>
      </c>
    </row>
    <row r="1697" ht="15.75" customHeight="1">
      <c r="A1697" s="1">
        <v>5712872.0</v>
      </c>
      <c r="B1697" s="1" t="s">
        <v>4230</v>
      </c>
      <c r="C1697" s="1" t="s">
        <v>4231</v>
      </c>
      <c r="D1697" s="1" t="s">
        <v>224</v>
      </c>
      <c r="E1697" s="1" t="s">
        <v>491</v>
      </c>
      <c r="F1697" s="1" t="s">
        <v>6717</v>
      </c>
      <c r="G1697" s="1" t="str">
        <f>IFERROR(VLOOKUP(A1697,H_C!$A$2:$G$2628,7,0),"Validar HC")</f>
        <v>Soler, Maria</v>
      </c>
      <c r="H1697" s="167">
        <v>2200286.0</v>
      </c>
      <c r="I1697" s="1">
        <v>42.0</v>
      </c>
    </row>
    <row r="1698" ht="15.75" customHeight="1">
      <c r="A1698" s="1">
        <v>5712929.0</v>
      </c>
      <c r="B1698" s="1" t="s">
        <v>3793</v>
      </c>
      <c r="C1698" s="1" t="s">
        <v>3794</v>
      </c>
      <c r="D1698" s="1" t="s">
        <v>224</v>
      </c>
      <c r="E1698" s="1" t="s">
        <v>491</v>
      </c>
      <c r="F1698" s="1" t="s">
        <v>6717</v>
      </c>
      <c r="G1698" s="1" t="str">
        <f>IFERROR(VLOOKUP(A1698,H_C!$A$2:$G$2628,7,0),"Validar HC")</f>
        <v>Soler, Maria</v>
      </c>
      <c r="H1698" s="167">
        <v>2200286.0</v>
      </c>
      <c r="I1698" s="1">
        <v>42.0</v>
      </c>
    </row>
    <row r="1699" ht="15.75" customHeight="1">
      <c r="A1699" s="1">
        <v>5714504.0</v>
      </c>
      <c r="B1699" s="1" t="s">
        <v>4850</v>
      </c>
      <c r="C1699" s="1" t="s">
        <v>4851</v>
      </c>
      <c r="D1699" s="1" t="s">
        <v>224</v>
      </c>
      <c r="E1699" s="1" t="s">
        <v>1791</v>
      </c>
      <c r="F1699" s="1" t="s">
        <v>6717</v>
      </c>
      <c r="G1699" s="1" t="str">
        <f>IFERROR(VLOOKUP(A1699,H_C!$A$2:$G$2628,7,0),"Validar HC")</f>
        <v>Garcia, Helmer</v>
      </c>
      <c r="H1699" s="167">
        <v>2200286.0</v>
      </c>
      <c r="I1699" s="1">
        <v>42.0</v>
      </c>
    </row>
    <row r="1700" ht="15.75" customHeight="1">
      <c r="A1700" s="1">
        <v>5719451.0</v>
      </c>
      <c r="B1700" s="1" t="s">
        <v>4852</v>
      </c>
      <c r="C1700" s="1" t="s">
        <v>4853</v>
      </c>
      <c r="D1700" s="1" t="s">
        <v>224</v>
      </c>
      <c r="E1700" s="1" t="s">
        <v>323</v>
      </c>
      <c r="F1700" s="1" t="s">
        <v>6717</v>
      </c>
      <c r="G1700" s="1" t="str">
        <f>IFERROR(VLOOKUP(A1700,H_C!$A$2:$G$2628,7,0),"Validar HC")</f>
        <v>Martinez, Wendy</v>
      </c>
      <c r="H1700" s="167">
        <v>2200286.0</v>
      </c>
      <c r="I1700" s="1">
        <v>42.0</v>
      </c>
    </row>
    <row r="1701" ht="15.75" customHeight="1">
      <c r="A1701" s="1">
        <v>5719500.0</v>
      </c>
      <c r="B1701" s="1" t="s">
        <v>3550</v>
      </c>
      <c r="C1701" s="1" t="s">
        <v>3551</v>
      </c>
      <c r="D1701" s="1" t="s">
        <v>224</v>
      </c>
      <c r="E1701" s="1" t="s">
        <v>467</v>
      </c>
      <c r="F1701" s="1" t="s">
        <v>6717</v>
      </c>
      <c r="G1701" s="1" t="str">
        <f>IFERROR(VLOOKUP(A1701,H_C!$A$2:$G$2628,7,0),"Validar HC")</f>
        <v>Martinez, Wendy</v>
      </c>
      <c r="H1701" s="167">
        <v>2200286.0</v>
      </c>
      <c r="I1701" s="1">
        <v>42.0</v>
      </c>
    </row>
    <row r="1702" ht="15.75" customHeight="1">
      <c r="A1702" s="1">
        <v>5721148.0</v>
      </c>
      <c r="B1702" s="1" t="s">
        <v>4854</v>
      </c>
      <c r="C1702" s="1" t="s">
        <v>4855</v>
      </c>
      <c r="D1702" s="1" t="s">
        <v>224</v>
      </c>
      <c r="E1702" s="1" t="s">
        <v>1791</v>
      </c>
      <c r="F1702" s="1" t="s">
        <v>6717</v>
      </c>
      <c r="G1702" s="1" t="str">
        <f>IFERROR(VLOOKUP(A1702,H_C!$A$2:$G$2628,7,0),"Validar HC")</f>
        <v>Garcia, Helmer</v>
      </c>
      <c r="H1702" s="167">
        <v>2200286.0</v>
      </c>
      <c r="I1702" s="1">
        <v>42.0</v>
      </c>
    </row>
    <row r="1703" ht="15.75" customHeight="1">
      <c r="A1703" s="1">
        <v>5721226.0</v>
      </c>
      <c r="B1703" s="1" t="s">
        <v>3554</v>
      </c>
      <c r="C1703" s="1" t="s">
        <v>3555</v>
      </c>
      <c r="D1703" s="1" t="s">
        <v>224</v>
      </c>
      <c r="E1703" s="1" t="s">
        <v>467</v>
      </c>
      <c r="F1703" s="1" t="s">
        <v>6717</v>
      </c>
      <c r="G1703" s="1" t="str">
        <f>IFERROR(VLOOKUP(A1703,H_C!$A$2:$G$2628,7,0),"Validar HC")</f>
        <v>Martinez, Wendy</v>
      </c>
      <c r="H1703" s="167">
        <v>2200286.0</v>
      </c>
      <c r="I1703" s="1">
        <v>42.0</v>
      </c>
    </row>
    <row r="1704" ht="15.75" customHeight="1">
      <c r="A1704" s="1">
        <v>5721237.0</v>
      </c>
      <c r="B1704" s="1" t="s">
        <v>1781</v>
      </c>
      <c r="C1704" s="1" t="s">
        <v>1782</v>
      </c>
      <c r="D1704" s="1" t="s">
        <v>224</v>
      </c>
      <c r="E1704" s="1" t="s">
        <v>835</v>
      </c>
      <c r="F1704" s="1" t="s">
        <v>6717</v>
      </c>
      <c r="G1704" s="1" t="str">
        <f>IFERROR(VLOOKUP(A1704,H_C!$A$2:$G$2628,7,0),"Validar HC")</f>
        <v>Martinez, Wendy</v>
      </c>
      <c r="H1704" s="167">
        <v>2200286.0</v>
      </c>
      <c r="I1704" s="1">
        <v>42.0</v>
      </c>
    </row>
    <row r="1705" ht="15.75" customHeight="1">
      <c r="A1705" s="1">
        <v>5721295.0</v>
      </c>
      <c r="B1705" s="1" t="s">
        <v>3248</v>
      </c>
      <c r="C1705" s="1" t="s">
        <v>3249</v>
      </c>
      <c r="D1705" s="1" t="s">
        <v>224</v>
      </c>
      <c r="E1705" s="1" t="s">
        <v>1791</v>
      </c>
      <c r="F1705" s="1" t="s">
        <v>6717</v>
      </c>
      <c r="G1705" s="1" t="str">
        <f>IFERROR(VLOOKUP(A1705,H_C!$A$2:$G$2628,7,0),"Validar HC")</f>
        <v>Garcia, Helmer</v>
      </c>
      <c r="H1705" s="167">
        <v>2200286.0</v>
      </c>
      <c r="I1705" s="1">
        <v>42.0</v>
      </c>
    </row>
    <row r="1706" ht="15.75" customHeight="1">
      <c r="A1706" s="1">
        <v>5721306.0</v>
      </c>
      <c r="B1706" s="1" t="s">
        <v>2296</v>
      </c>
      <c r="C1706" s="1" t="s">
        <v>2297</v>
      </c>
      <c r="D1706" s="1" t="s">
        <v>224</v>
      </c>
      <c r="E1706" s="1" t="s">
        <v>986</v>
      </c>
      <c r="F1706" s="1" t="s">
        <v>6717</v>
      </c>
      <c r="G1706" s="1" t="str">
        <f>IFERROR(VLOOKUP(A1706,H_C!$A$2:$G$2628,7,0),"Validar HC")</f>
        <v>Garatejo, Natalia</v>
      </c>
      <c r="H1706" s="167">
        <v>2200286.0</v>
      </c>
      <c r="I1706" s="1">
        <v>42.0</v>
      </c>
    </row>
    <row r="1707" ht="15.75" customHeight="1">
      <c r="A1707" s="1">
        <v>5726237.0</v>
      </c>
      <c r="B1707" s="1" t="s">
        <v>3764</v>
      </c>
      <c r="C1707" s="1" t="s">
        <v>3765</v>
      </c>
      <c r="D1707" s="1" t="s">
        <v>224</v>
      </c>
      <c r="E1707" s="1" t="s">
        <v>555</v>
      </c>
      <c r="F1707" s="1" t="s">
        <v>6717</v>
      </c>
      <c r="G1707" s="1" t="str">
        <f>IFERROR(VLOOKUP(A1707,H_C!$A$2:$G$2628,7,0),"Validar HC")</f>
        <v>Ayala, Giselle</v>
      </c>
      <c r="H1707" s="167">
        <v>2200286.0</v>
      </c>
      <c r="I1707" s="1">
        <v>42.0</v>
      </c>
    </row>
    <row r="1708" ht="15.75" customHeight="1">
      <c r="A1708" s="1">
        <v>5726239.0</v>
      </c>
      <c r="B1708" s="1" t="s">
        <v>4862</v>
      </c>
      <c r="C1708" s="1" t="s">
        <v>4863</v>
      </c>
      <c r="D1708" s="1" t="s">
        <v>224</v>
      </c>
      <c r="E1708" s="1" t="s">
        <v>555</v>
      </c>
      <c r="F1708" s="1" t="s">
        <v>6717</v>
      </c>
      <c r="G1708" s="1" t="str">
        <f>IFERROR(VLOOKUP(A1708,H_C!$A$2:$G$2628,7,0),"Validar HC")</f>
        <v>Ayala, Giselle</v>
      </c>
      <c r="H1708" s="167">
        <v>2200286.0</v>
      </c>
      <c r="I1708" s="1">
        <v>42.0</v>
      </c>
    </row>
    <row r="1709" ht="15.75" customHeight="1">
      <c r="A1709" s="1">
        <v>5726245.0</v>
      </c>
      <c r="B1709" s="1" t="s">
        <v>4864</v>
      </c>
      <c r="C1709" s="1" t="s">
        <v>4865</v>
      </c>
      <c r="D1709" s="1" t="s">
        <v>224</v>
      </c>
      <c r="E1709" s="1" t="s">
        <v>555</v>
      </c>
      <c r="F1709" s="1" t="s">
        <v>6717</v>
      </c>
      <c r="G1709" s="1" t="str">
        <f>IFERROR(VLOOKUP(A1709,H_C!$A$2:$G$2628,7,0),"Validar HC")</f>
        <v>Ayala, Giselle</v>
      </c>
      <c r="H1709" s="167">
        <v>2200286.0</v>
      </c>
      <c r="I1709" s="1">
        <v>42.0</v>
      </c>
    </row>
    <row r="1710" ht="15.75" customHeight="1">
      <c r="A1710" s="1">
        <v>5731922.0</v>
      </c>
      <c r="B1710" s="1" t="s">
        <v>4866</v>
      </c>
      <c r="C1710" s="1" t="s">
        <v>4867</v>
      </c>
      <c r="D1710" s="1" t="s">
        <v>224</v>
      </c>
      <c r="E1710" s="1" t="s">
        <v>316</v>
      </c>
      <c r="F1710" s="1" t="s">
        <v>6717</v>
      </c>
      <c r="G1710" s="1" t="str">
        <f>IFERROR(VLOOKUP(A1710,H_C!$A$2:$G$2628,7,0),"Validar HC")</f>
        <v>Osorio, Julian</v>
      </c>
      <c r="H1710" s="167">
        <v>2200286.0</v>
      </c>
      <c r="I1710" s="1">
        <v>42.0</v>
      </c>
    </row>
    <row r="1711" ht="15.75" customHeight="1">
      <c r="A1711" s="1">
        <v>5731928.0</v>
      </c>
      <c r="B1711" s="1" t="s">
        <v>3870</v>
      </c>
      <c r="C1711" s="1" t="s">
        <v>3871</v>
      </c>
      <c r="D1711" s="1" t="s">
        <v>224</v>
      </c>
      <c r="E1711" s="1" t="s">
        <v>478</v>
      </c>
      <c r="F1711" s="1" t="s">
        <v>6717</v>
      </c>
      <c r="G1711" s="1" t="str">
        <f>IFERROR(VLOOKUP(A1711,H_C!$A$2:$G$2628,7,0),"Validar HC")</f>
        <v>Celi, Juan</v>
      </c>
      <c r="H1711" s="167">
        <v>2200286.0</v>
      </c>
      <c r="I1711" s="1">
        <v>42.0</v>
      </c>
    </row>
    <row r="1712" ht="15.75" customHeight="1">
      <c r="A1712" s="1">
        <v>5731929.0</v>
      </c>
      <c r="B1712" s="1" t="s">
        <v>4868</v>
      </c>
      <c r="C1712" s="1" t="s">
        <v>4869</v>
      </c>
      <c r="D1712" s="1" t="s">
        <v>224</v>
      </c>
      <c r="E1712" s="1" t="s">
        <v>1695</v>
      </c>
      <c r="F1712" s="1" t="s">
        <v>6717</v>
      </c>
      <c r="G1712" s="1" t="str">
        <f>IFERROR(VLOOKUP(A1712,H_C!$A$2:$G$2628,7,0),"Validar HC")</f>
        <v>Ayala, Giselle</v>
      </c>
      <c r="H1712" s="167">
        <v>2200286.0</v>
      </c>
      <c r="I1712" s="1">
        <v>42.0</v>
      </c>
    </row>
    <row r="1713" ht="15.75" customHeight="1">
      <c r="A1713" s="1">
        <v>5731934.0</v>
      </c>
      <c r="B1713" s="1" t="s">
        <v>4870</v>
      </c>
      <c r="C1713" s="1" t="s">
        <v>4871</v>
      </c>
      <c r="D1713" s="1" t="s">
        <v>224</v>
      </c>
      <c r="E1713" s="1" t="s">
        <v>794</v>
      </c>
      <c r="F1713" s="1" t="s">
        <v>6717</v>
      </c>
      <c r="G1713" s="1" t="str">
        <f>IFERROR(VLOOKUP(A1713,H_C!$A$2:$G$2628,7,0),"Validar HC")</f>
        <v>Osorio, Julian</v>
      </c>
      <c r="H1713" s="167">
        <v>2200286.0</v>
      </c>
      <c r="I1713" s="1">
        <v>42.0</v>
      </c>
    </row>
    <row r="1714" ht="15.75" customHeight="1">
      <c r="A1714" s="1">
        <v>5731956.0</v>
      </c>
      <c r="B1714" s="1" t="s">
        <v>4872</v>
      </c>
      <c r="C1714" s="1" t="s">
        <v>4873</v>
      </c>
      <c r="D1714" s="1" t="s">
        <v>224</v>
      </c>
      <c r="E1714" s="1" t="s">
        <v>1695</v>
      </c>
      <c r="F1714" s="1" t="s">
        <v>6717</v>
      </c>
      <c r="G1714" s="1" t="str">
        <f>IFERROR(VLOOKUP(A1714,H_C!$A$2:$G$2628,7,0),"Validar HC")</f>
        <v>Ayala, Giselle</v>
      </c>
      <c r="H1714" s="167">
        <v>2200286.0</v>
      </c>
      <c r="I1714" s="1">
        <v>42.0</v>
      </c>
    </row>
    <row r="1715" ht="15.75" customHeight="1">
      <c r="A1715" s="1">
        <v>5732086.0</v>
      </c>
      <c r="B1715" s="1" t="s">
        <v>4874</v>
      </c>
      <c r="C1715" s="1" t="s">
        <v>4875</v>
      </c>
      <c r="D1715" s="1" t="s">
        <v>224</v>
      </c>
      <c r="E1715" s="1" t="s">
        <v>1363</v>
      </c>
      <c r="F1715" s="1" t="s">
        <v>6717</v>
      </c>
      <c r="G1715" s="1" t="str">
        <f>IFERROR(VLOOKUP(A1715,H_C!$A$2:$G$2628,7,0),"Validar HC")</f>
        <v>Osorio, Julian</v>
      </c>
      <c r="H1715" s="167">
        <v>2200286.0</v>
      </c>
      <c r="I1715" s="1">
        <v>42.0</v>
      </c>
    </row>
    <row r="1716" ht="15.75" customHeight="1">
      <c r="A1716" s="1">
        <v>5732196.0</v>
      </c>
      <c r="B1716" s="1" t="s">
        <v>2703</v>
      </c>
      <c r="C1716" s="1" t="s">
        <v>2704</v>
      </c>
      <c r="D1716" s="1" t="s">
        <v>224</v>
      </c>
      <c r="E1716" s="1" t="s">
        <v>478</v>
      </c>
      <c r="F1716" s="1" t="s">
        <v>6717</v>
      </c>
      <c r="G1716" s="1" t="str">
        <f>IFERROR(VLOOKUP(A1716,H_C!$A$2:$G$2628,7,0),"Validar HC")</f>
        <v>Celi, Juan</v>
      </c>
      <c r="H1716" s="167">
        <v>2200286.0</v>
      </c>
      <c r="I1716" s="1">
        <v>42.0</v>
      </c>
    </row>
    <row r="1717" ht="15.75" customHeight="1">
      <c r="A1717" s="1">
        <v>5732430.0</v>
      </c>
      <c r="B1717" s="1" t="s">
        <v>4876</v>
      </c>
      <c r="C1717" s="1" t="s">
        <v>4877</v>
      </c>
      <c r="D1717" s="1" t="s">
        <v>224</v>
      </c>
      <c r="E1717" s="1" t="s">
        <v>478</v>
      </c>
      <c r="F1717" s="1" t="s">
        <v>6717</v>
      </c>
      <c r="G1717" s="1" t="str">
        <f>IFERROR(VLOOKUP(A1717,H_C!$A$2:$G$2628,7,0),"Validar HC")</f>
        <v>Celi, Juan</v>
      </c>
      <c r="H1717" s="167">
        <v>2200286.0</v>
      </c>
      <c r="I1717" s="1">
        <v>42.0</v>
      </c>
    </row>
    <row r="1718" ht="15.75" customHeight="1">
      <c r="A1718" s="1">
        <v>5732436.0</v>
      </c>
      <c r="B1718" s="1" t="s">
        <v>4878</v>
      </c>
      <c r="C1718" s="1" t="s">
        <v>4879</v>
      </c>
      <c r="D1718" s="1" t="s">
        <v>224</v>
      </c>
      <c r="E1718" s="1" t="s">
        <v>1143</v>
      </c>
      <c r="F1718" s="1" t="s">
        <v>6717</v>
      </c>
      <c r="G1718" s="1" t="str">
        <f>IFERROR(VLOOKUP(A1718,H_C!$A$2:$G$2628,7,0),"Validar HC")</f>
        <v>Celi, Juan</v>
      </c>
      <c r="H1718" s="167">
        <v>2200286.0</v>
      </c>
      <c r="I1718" s="1">
        <v>42.0</v>
      </c>
    </row>
    <row r="1719" ht="15.75" customHeight="1">
      <c r="A1719" s="1">
        <v>5732441.0</v>
      </c>
      <c r="B1719" s="1" t="s">
        <v>4832</v>
      </c>
      <c r="C1719" s="1" t="s">
        <v>4833</v>
      </c>
      <c r="D1719" s="1" t="s">
        <v>224</v>
      </c>
      <c r="E1719" s="1" t="s">
        <v>1348</v>
      </c>
      <c r="F1719" s="1" t="s">
        <v>6717</v>
      </c>
      <c r="G1719" s="1" t="str">
        <f>IFERROR(VLOOKUP(A1719,H_C!$A$2:$G$2628,7,0),"Validar HC")</f>
        <v>Celi, Juan</v>
      </c>
      <c r="H1719" s="167">
        <v>2200286.0</v>
      </c>
      <c r="I1719" s="1">
        <v>42.0</v>
      </c>
    </row>
    <row r="1720" ht="15.75" customHeight="1">
      <c r="A1720" s="1">
        <v>5732451.0</v>
      </c>
      <c r="B1720" s="1" t="s">
        <v>4880</v>
      </c>
      <c r="C1720" s="1" t="s">
        <v>4881</v>
      </c>
      <c r="D1720" s="1" t="s">
        <v>224</v>
      </c>
      <c r="E1720" s="1" t="s">
        <v>457</v>
      </c>
      <c r="F1720" s="1" t="s">
        <v>6717</v>
      </c>
      <c r="G1720" s="1" t="str">
        <f>IFERROR(VLOOKUP(A1720,H_C!$A$2:$G$2628,7,0),"Validar HC")</f>
        <v>Celi, Juan</v>
      </c>
      <c r="H1720" s="167">
        <v>2200286.0</v>
      </c>
      <c r="I1720" s="1">
        <v>42.0</v>
      </c>
    </row>
    <row r="1721" ht="15.75" customHeight="1">
      <c r="A1721" s="1">
        <v>5740891.0</v>
      </c>
      <c r="B1721" s="1" t="s">
        <v>4882</v>
      </c>
      <c r="C1721" s="1" t="s">
        <v>4883</v>
      </c>
      <c r="D1721" s="1" t="s">
        <v>224</v>
      </c>
      <c r="E1721" s="1" t="s">
        <v>1348</v>
      </c>
      <c r="F1721" s="1" t="s">
        <v>6717</v>
      </c>
      <c r="G1721" s="1" t="str">
        <f>IFERROR(VLOOKUP(A1721,H_C!$A$2:$G$2628,7,0),"Validar HC")</f>
        <v>Celi, Juan</v>
      </c>
      <c r="H1721" s="167">
        <v>2200286.0</v>
      </c>
      <c r="I1721" s="1">
        <v>42.0</v>
      </c>
    </row>
    <row r="1722" ht="15.75" customHeight="1">
      <c r="A1722" s="1">
        <v>5745768.0</v>
      </c>
      <c r="B1722" s="1" t="s">
        <v>4884</v>
      </c>
      <c r="C1722" s="1" t="s">
        <v>4885</v>
      </c>
      <c r="D1722" s="1" t="s">
        <v>224</v>
      </c>
      <c r="E1722" s="1" t="s">
        <v>530</v>
      </c>
      <c r="F1722" s="1" t="s">
        <v>6717</v>
      </c>
      <c r="G1722" s="1" t="str">
        <f>IFERROR(VLOOKUP(A1722,H_C!$A$2:$G$2628,7,0),"Validar HC")</f>
        <v>Garcia, Helmer</v>
      </c>
      <c r="H1722" s="167">
        <v>2200286.0</v>
      </c>
      <c r="I1722" s="1">
        <v>42.0</v>
      </c>
    </row>
    <row r="1723" ht="15.75" customHeight="1">
      <c r="A1723" s="1">
        <v>5752220.0</v>
      </c>
      <c r="B1723" s="1" t="s">
        <v>4886</v>
      </c>
      <c r="C1723" s="1" t="s">
        <v>4887</v>
      </c>
      <c r="D1723" s="1" t="s">
        <v>224</v>
      </c>
      <c r="E1723" s="1" t="s">
        <v>232</v>
      </c>
      <c r="F1723" s="1" t="s">
        <v>6717</v>
      </c>
      <c r="G1723" s="1" t="str">
        <f>IFERROR(VLOOKUP(A1723,H_C!$A$2:$G$2628,7,0),"Validar HC")</f>
        <v>Soler, Maria</v>
      </c>
      <c r="H1723" s="167">
        <v>2200286.0</v>
      </c>
      <c r="I1723" s="1">
        <v>42.0</v>
      </c>
    </row>
    <row r="1724" ht="15.75" customHeight="1">
      <c r="A1724" s="1">
        <v>5753861.0</v>
      </c>
      <c r="B1724" s="1" t="s">
        <v>501</v>
      </c>
      <c r="C1724" s="1" t="s">
        <v>502</v>
      </c>
      <c r="D1724" s="1" t="s">
        <v>224</v>
      </c>
      <c r="E1724" s="1" t="s">
        <v>232</v>
      </c>
      <c r="F1724" s="1" t="s">
        <v>6717</v>
      </c>
      <c r="G1724" s="1" t="str">
        <f>IFERROR(VLOOKUP(A1724,H_C!$A$2:$G$2628,7,0),"Validar HC")</f>
        <v>Soler, Maria</v>
      </c>
      <c r="H1724" s="167">
        <v>2200286.0</v>
      </c>
      <c r="I1724" s="1">
        <v>42.0</v>
      </c>
    </row>
    <row r="1725" ht="15.75" customHeight="1">
      <c r="A1725" s="1">
        <v>5763573.0</v>
      </c>
      <c r="B1725" s="1" t="s">
        <v>4888</v>
      </c>
      <c r="C1725" s="1" t="s">
        <v>4889</v>
      </c>
      <c r="D1725" s="1" t="s">
        <v>224</v>
      </c>
      <c r="E1725" s="1" t="s">
        <v>1363</v>
      </c>
      <c r="F1725" s="1" t="s">
        <v>6717</v>
      </c>
      <c r="G1725" s="1" t="str">
        <f>IFERROR(VLOOKUP(A1725,H_C!$A$2:$G$2628,7,0),"Validar HC")</f>
        <v>Osorio, Julian</v>
      </c>
      <c r="H1725" s="167">
        <v>2200286.0</v>
      </c>
      <c r="I1725" s="1">
        <v>42.0</v>
      </c>
    </row>
    <row r="1726" ht="15.75" customHeight="1">
      <c r="A1726" s="1">
        <v>5766574.0</v>
      </c>
      <c r="B1726" s="1" t="s">
        <v>4890</v>
      </c>
      <c r="C1726" s="1" t="s">
        <v>4891</v>
      </c>
      <c r="D1726" s="1" t="s">
        <v>224</v>
      </c>
      <c r="E1726" s="1" t="s">
        <v>813</v>
      </c>
      <c r="F1726" s="1" t="s">
        <v>6717</v>
      </c>
      <c r="G1726" s="1" t="str">
        <f>IFERROR(VLOOKUP(A1726,H_C!$A$2:$G$2628,7,0),"Validar HC")</f>
        <v>Garatejo, Natalia</v>
      </c>
      <c r="H1726" s="167">
        <v>2200286.0</v>
      </c>
      <c r="I1726" s="1">
        <v>42.0</v>
      </c>
    </row>
    <row r="1727" ht="15.75" customHeight="1">
      <c r="A1727" s="1">
        <v>5766578.0</v>
      </c>
      <c r="B1727" s="1" t="s">
        <v>2010</v>
      </c>
      <c r="C1727" s="1" t="s">
        <v>2011</v>
      </c>
      <c r="D1727" s="1" t="s">
        <v>224</v>
      </c>
      <c r="E1727" s="1" t="s">
        <v>794</v>
      </c>
      <c r="F1727" s="1" t="s">
        <v>6717</v>
      </c>
      <c r="G1727" s="1" t="str">
        <f>IFERROR(VLOOKUP(A1727,H_C!$A$2:$G$2628,7,0),"Validar HC")</f>
        <v>Osorio, Julian</v>
      </c>
      <c r="H1727" s="167">
        <v>2200286.0</v>
      </c>
      <c r="I1727" s="1">
        <v>42.0</v>
      </c>
    </row>
    <row r="1728" ht="15.75" customHeight="1">
      <c r="A1728" s="1">
        <v>5767760.0</v>
      </c>
      <c r="B1728" s="1" t="s">
        <v>2097</v>
      </c>
      <c r="C1728" s="1" t="s">
        <v>2098</v>
      </c>
      <c r="D1728" s="1" t="s">
        <v>224</v>
      </c>
      <c r="E1728" s="1" t="s">
        <v>323</v>
      </c>
      <c r="F1728" s="1" t="s">
        <v>6717</v>
      </c>
      <c r="G1728" s="1" t="str">
        <f>IFERROR(VLOOKUP(A1728,H_C!$A$2:$G$2628,7,0),"Validar HC")</f>
        <v>Martinez, Wendy</v>
      </c>
      <c r="H1728" s="167">
        <v>2200286.0</v>
      </c>
      <c r="I1728" s="1">
        <v>42.0</v>
      </c>
    </row>
    <row r="1729" ht="15.75" customHeight="1">
      <c r="A1729" s="1">
        <v>5767771.0</v>
      </c>
      <c r="B1729" s="1" t="s">
        <v>2535</v>
      </c>
      <c r="C1729" s="1" t="s">
        <v>2536</v>
      </c>
      <c r="D1729" s="1" t="s">
        <v>224</v>
      </c>
      <c r="E1729" s="1" t="s">
        <v>116</v>
      </c>
      <c r="F1729" s="1" t="s">
        <v>6717</v>
      </c>
      <c r="G1729" s="1" t="str">
        <f>IFERROR(VLOOKUP(A1729,H_C!$A$2:$G$2628,7,0),"Validar HC")</f>
        <v>Ospina, Michel</v>
      </c>
      <c r="H1729" s="167">
        <v>2200286.0</v>
      </c>
      <c r="I1729" s="1">
        <v>42.0</v>
      </c>
    </row>
    <row r="1730" ht="15.75" customHeight="1">
      <c r="A1730" s="1">
        <v>5767777.0</v>
      </c>
      <c r="B1730" s="1" t="s">
        <v>2395</v>
      </c>
      <c r="C1730" s="1" t="s">
        <v>2396</v>
      </c>
      <c r="D1730" s="1" t="s">
        <v>224</v>
      </c>
      <c r="E1730" s="1" t="s">
        <v>81</v>
      </c>
      <c r="F1730" s="1" t="s">
        <v>6717</v>
      </c>
      <c r="G1730" s="1" t="str">
        <f>IFERROR(VLOOKUP(A1730,H_C!$A$2:$G$2628,7,0),"Validar HC")</f>
        <v>Ospina, Michel</v>
      </c>
      <c r="H1730" s="167">
        <v>2200286.0</v>
      </c>
      <c r="I1730" s="1">
        <v>42.0</v>
      </c>
    </row>
    <row r="1731" ht="15.75" customHeight="1">
      <c r="A1731" s="1">
        <v>5767784.0</v>
      </c>
      <c r="B1731" s="1" t="s">
        <v>2496</v>
      </c>
      <c r="C1731" s="1" t="s">
        <v>2497</v>
      </c>
      <c r="D1731" s="1" t="s">
        <v>224</v>
      </c>
      <c r="E1731" s="1" t="s">
        <v>116</v>
      </c>
      <c r="F1731" s="1" t="s">
        <v>6717</v>
      </c>
      <c r="G1731" s="1" t="str">
        <f>IFERROR(VLOOKUP(A1731,H_C!$A$2:$G$2628,7,0),"Validar HC")</f>
        <v>Ospina, Michel</v>
      </c>
      <c r="H1731" s="167">
        <v>2200286.0</v>
      </c>
      <c r="I1731" s="1">
        <v>42.0</v>
      </c>
    </row>
    <row r="1732" ht="15.75" customHeight="1">
      <c r="A1732" s="1">
        <v>5767921.0</v>
      </c>
      <c r="B1732" s="1" t="s">
        <v>4894</v>
      </c>
      <c r="C1732" s="1" t="s">
        <v>4895</v>
      </c>
      <c r="D1732" s="1" t="s">
        <v>224</v>
      </c>
      <c r="E1732" s="1" t="s">
        <v>361</v>
      </c>
      <c r="F1732" s="1" t="s">
        <v>6717</v>
      </c>
      <c r="G1732" s="1" t="str">
        <f>IFERROR(VLOOKUP(A1732,H_C!$A$2:$G$2628,7,0),"Validar HC")</f>
        <v>Gonzalez, Cristian</v>
      </c>
      <c r="H1732" s="167">
        <v>2200286.0</v>
      </c>
      <c r="I1732" s="1">
        <v>42.0</v>
      </c>
    </row>
    <row r="1733" ht="15.75" customHeight="1">
      <c r="A1733" s="1">
        <v>5771568.0</v>
      </c>
      <c r="B1733" s="1" t="s">
        <v>4896</v>
      </c>
      <c r="C1733" s="1" t="s">
        <v>4897</v>
      </c>
      <c r="D1733" s="1" t="s">
        <v>224</v>
      </c>
      <c r="E1733" s="1" t="s">
        <v>1363</v>
      </c>
      <c r="F1733" s="1" t="s">
        <v>6717</v>
      </c>
      <c r="G1733" s="1" t="str">
        <f>IFERROR(VLOOKUP(A1733,H_C!$A$2:$G$2628,7,0),"Validar HC")</f>
        <v>Osorio, Julian</v>
      </c>
      <c r="H1733" s="167">
        <v>2200286.0</v>
      </c>
      <c r="I1733" s="1">
        <v>42.0</v>
      </c>
    </row>
    <row r="1734" ht="15.75" customHeight="1">
      <c r="A1734" s="1">
        <v>5771570.0</v>
      </c>
      <c r="B1734" s="1" t="s">
        <v>4898</v>
      </c>
      <c r="C1734" s="1" t="s">
        <v>4899</v>
      </c>
      <c r="D1734" s="1" t="s">
        <v>224</v>
      </c>
      <c r="E1734" s="1" t="s">
        <v>813</v>
      </c>
      <c r="F1734" s="1" t="s">
        <v>6717</v>
      </c>
      <c r="G1734" s="1" t="str">
        <f>IFERROR(VLOOKUP(A1734,H_C!$A$2:$G$2628,7,0),"Validar HC")</f>
        <v>Garatejo, Natalia</v>
      </c>
      <c r="H1734" s="167">
        <v>2200286.0</v>
      </c>
      <c r="I1734" s="1">
        <v>42.0</v>
      </c>
    </row>
    <row r="1735" ht="15.75" customHeight="1">
      <c r="A1735" s="1">
        <v>5771572.0</v>
      </c>
      <c r="B1735" s="1" t="s">
        <v>4604</v>
      </c>
      <c r="C1735" s="1" t="s">
        <v>4605</v>
      </c>
      <c r="D1735" s="1" t="s">
        <v>224</v>
      </c>
      <c r="E1735" s="1" t="s">
        <v>526</v>
      </c>
      <c r="F1735" s="1" t="s">
        <v>6717</v>
      </c>
      <c r="G1735" s="1" t="str">
        <f>IFERROR(VLOOKUP(A1735,H_C!$A$2:$G$2628,7,0),"Validar HC")</f>
        <v>Martinez, Wendy</v>
      </c>
      <c r="H1735" s="167">
        <v>2200286.0</v>
      </c>
      <c r="I1735" s="1">
        <v>42.0</v>
      </c>
    </row>
    <row r="1736" ht="15.75" customHeight="1">
      <c r="A1736" s="1">
        <v>5771575.0</v>
      </c>
      <c r="B1736" s="1" t="s">
        <v>608</v>
      </c>
      <c r="C1736" s="1" t="s">
        <v>609</v>
      </c>
      <c r="D1736" s="1" t="s">
        <v>224</v>
      </c>
      <c r="E1736" s="1" t="s">
        <v>526</v>
      </c>
      <c r="F1736" s="1" t="s">
        <v>6717</v>
      </c>
      <c r="G1736" s="1" t="str">
        <f>IFERROR(VLOOKUP(A1736,H_C!$A$2:$G$2628,7,0),"Validar HC")</f>
        <v>Martinez, Wendy</v>
      </c>
      <c r="H1736" s="167">
        <v>2200286.0</v>
      </c>
      <c r="I1736" s="1">
        <v>42.0</v>
      </c>
    </row>
    <row r="1737" ht="15.75" customHeight="1">
      <c r="A1737" s="1">
        <v>5771581.0</v>
      </c>
      <c r="B1737" s="1" t="s">
        <v>4726</v>
      </c>
      <c r="C1737" s="1" t="s">
        <v>4727</v>
      </c>
      <c r="D1737" s="1" t="s">
        <v>224</v>
      </c>
      <c r="E1737" s="1" t="s">
        <v>526</v>
      </c>
      <c r="F1737" s="1" t="s">
        <v>6717</v>
      </c>
      <c r="G1737" s="1" t="str">
        <f>IFERROR(VLOOKUP(A1737,H_C!$A$2:$G$2628,7,0),"Validar HC")</f>
        <v>Martinez, Wendy</v>
      </c>
      <c r="H1737" s="167">
        <v>2200286.0</v>
      </c>
      <c r="I1737" s="1">
        <v>42.0</v>
      </c>
    </row>
    <row r="1738" ht="15.75" customHeight="1">
      <c r="A1738" s="1">
        <v>5771796.0</v>
      </c>
      <c r="B1738" s="1" t="s">
        <v>4902</v>
      </c>
      <c r="C1738" s="1" t="s">
        <v>4903</v>
      </c>
      <c r="D1738" s="1" t="s">
        <v>224</v>
      </c>
      <c r="E1738" s="1" t="s">
        <v>323</v>
      </c>
      <c r="F1738" s="1" t="s">
        <v>6717</v>
      </c>
      <c r="G1738" s="1" t="str">
        <f>IFERROR(VLOOKUP(A1738,H_C!$A$2:$G$2628,7,0),"Validar HC")</f>
        <v>Martinez, Wendy</v>
      </c>
      <c r="H1738" s="167">
        <v>2200286.0</v>
      </c>
      <c r="I1738" s="1">
        <v>42.0</v>
      </c>
    </row>
    <row r="1739" ht="15.75" customHeight="1">
      <c r="A1739" s="1">
        <v>5771935.0</v>
      </c>
      <c r="B1739" s="1" t="s">
        <v>3282</v>
      </c>
      <c r="C1739" s="1" t="s">
        <v>3283</v>
      </c>
      <c r="D1739" s="1" t="s">
        <v>224</v>
      </c>
      <c r="E1739" s="1" t="s">
        <v>425</v>
      </c>
      <c r="F1739" s="1" t="s">
        <v>6717</v>
      </c>
      <c r="G1739" s="1" t="str">
        <f>IFERROR(VLOOKUP(A1739,H_C!$A$2:$G$2628,7,0),"Validar HC")</f>
        <v>Ospina, Michel</v>
      </c>
      <c r="H1739" s="167">
        <v>2200286.0</v>
      </c>
      <c r="I1739" s="1">
        <v>42.0</v>
      </c>
    </row>
    <row r="1740" ht="15.75" customHeight="1">
      <c r="A1740" s="1">
        <v>5775169.0</v>
      </c>
      <c r="B1740" s="1" t="s">
        <v>1278</v>
      </c>
      <c r="C1740" s="1" t="s">
        <v>1279</v>
      </c>
      <c r="D1740" s="1" t="s">
        <v>224</v>
      </c>
      <c r="E1740" s="1" t="s">
        <v>806</v>
      </c>
      <c r="F1740" s="1" t="s">
        <v>6717</v>
      </c>
      <c r="G1740" s="1" t="str">
        <f>IFERROR(VLOOKUP(A1740,H_C!$A$2:$G$2628,7,0),"Validar HC")</f>
        <v>Gonzalez, Cristian</v>
      </c>
      <c r="H1740" s="167">
        <v>2200286.0</v>
      </c>
      <c r="I1740" s="1">
        <v>42.0</v>
      </c>
    </row>
    <row r="1741" ht="15.75" customHeight="1">
      <c r="A1741" s="1">
        <v>5775173.0</v>
      </c>
      <c r="B1741" s="1" t="s">
        <v>4642</v>
      </c>
      <c r="C1741" s="1" t="s">
        <v>4643</v>
      </c>
      <c r="D1741" s="1" t="s">
        <v>224</v>
      </c>
      <c r="E1741" s="1" t="s">
        <v>1044</v>
      </c>
      <c r="F1741" s="1" t="s">
        <v>6717</v>
      </c>
      <c r="G1741" s="1" t="str">
        <f>IFERROR(VLOOKUP(A1741,H_C!$A$2:$G$2628,7,0),"Validar HC")</f>
        <v>Gonzalez, Cristian</v>
      </c>
      <c r="H1741" s="167">
        <v>2200286.0</v>
      </c>
      <c r="I1741" s="1">
        <v>42.0</v>
      </c>
    </row>
    <row r="1742" ht="15.75" customHeight="1">
      <c r="A1742" s="1">
        <v>5775190.0</v>
      </c>
      <c r="B1742" s="1" t="s">
        <v>1286</v>
      </c>
      <c r="C1742" s="1" t="s">
        <v>1287</v>
      </c>
      <c r="D1742" s="1" t="s">
        <v>224</v>
      </c>
      <c r="E1742" s="1" t="s">
        <v>10</v>
      </c>
      <c r="F1742" s="1" t="s">
        <v>6717</v>
      </c>
      <c r="G1742" s="1" t="str">
        <f>IFERROR(VLOOKUP(A1742,H_C!$A$2:$G$2628,7,0),"Validar HC")</f>
        <v>Gonzalez, Cristian</v>
      </c>
      <c r="H1742" s="167">
        <v>2200286.0</v>
      </c>
      <c r="I1742" s="1">
        <v>42.0</v>
      </c>
    </row>
    <row r="1743" ht="15.75" customHeight="1">
      <c r="A1743" s="1">
        <v>5775214.0</v>
      </c>
      <c r="B1743" s="1" t="s">
        <v>1270</v>
      </c>
      <c r="C1743" s="1" t="s">
        <v>1271</v>
      </c>
      <c r="D1743" s="1" t="s">
        <v>224</v>
      </c>
      <c r="E1743" s="1" t="s">
        <v>1044</v>
      </c>
      <c r="F1743" s="1" t="s">
        <v>6717</v>
      </c>
      <c r="G1743" s="1" t="str">
        <f>IFERROR(VLOOKUP(A1743,H_C!$A$2:$G$2628,7,0),"Validar HC")</f>
        <v>Gonzalez, Cristian</v>
      </c>
      <c r="H1743" s="167">
        <v>2200286.0</v>
      </c>
      <c r="I1743" s="1">
        <v>42.0</v>
      </c>
    </row>
    <row r="1744" ht="15.75" customHeight="1">
      <c r="A1744" s="1">
        <v>5775481.0</v>
      </c>
      <c r="B1744" s="1" t="s">
        <v>2227</v>
      </c>
      <c r="C1744" s="1" t="s">
        <v>2228</v>
      </c>
      <c r="D1744" s="1" t="s">
        <v>224</v>
      </c>
      <c r="E1744" s="1" t="s">
        <v>813</v>
      </c>
      <c r="F1744" s="1" t="s">
        <v>6717</v>
      </c>
      <c r="G1744" s="1" t="str">
        <f>IFERROR(VLOOKUP(A1744,H_C!$A$2:$G$2628,7,0),"Validar HC")</f>
        <v>Garatejo, Natalia</v>
      </c>
      <c r="H1744" s="167">
        <v>2200286.0</v>
      </c>
      <c r="I1744" s="1">
        <v>42.0</v>
      </c>
    </row>
    <row r="1745" ht="15.75" customHeight="1">
      <c r="A1745" s="1">
        <v>5775483.0</v>
      </c>
      <c r="B1745" s="1" t="s">
        <v>4692</v>
      </c>
      <c r="C1745" s="1" t="s">
        <v>4693</v>
      </c>
      <c r="D1745" s="1" t="s">
        <v>224</v>
      </c>
      <c r="E1745" s="1" t="s">
        <v>323</v>
      </c>
      <c r="F1745" s="1" t="s">
        <v>6717</v>
      </c>
      <c r="G1745" s="1" t="str">
        <f>IFERROR(VLOOKUP(A1745,H_C!$A$2:$G$2628,7,0),"Validar HC")</f>
        <v>Martinez, Wendy</v>
      </c>
      <c r="H1745" s="167">
        <v>2200286.0</v>
      </c>
      <c r="I1745" s="1">
        <v>42.0</v>
      </c>
    </row>
    <row r="1746" ht="15.75" customHeight="1">
      <c r="A1746" s="1">
        <v>5775487.0</v>
      </c>
      <c r="B1746" s="1" t="s">
        <v>2123</v>
      </c>
      <c r="C1746" s="1" t="s">
        <v>2124</v>
      </c>
      <c r="D1746" s="1" t="s">
        <v>224</v>
      </c>
      <c r="E1746" s="1" t="s">
        <v>323</v>
      </c>
      <c r="F1746" s="1" t="s">
        <v>6717</v>
      </c>
      <c r="G1746" s="1" t="str">
        <f>IFERROR(VLOOKUP(A1746,H_C!$A$2:$G$2628,7,0),"Validar HC")</f>
        <v>Martinez, Wendy</v>
      </c>
      <c r="H1746" s="167">
        <v>2200286.0</v>
      </c>
      <c r="I1746" s="1">
        <v>42.0</v>
      </c>
    </row>
    <row r="1747" ht="15.75" customHeight="1">
      <c r="A1747" s="1">
        <v>5775488.0</v>
      </c>
      <c r="B1747" s="1" t="s">
        <v>4578</v>
      </c>
      <c r="C1747" s="1" t="s">
        <v>4579</v>
      </c>
      <c r="D1747" s="1" t="s">
        <v>224</v>
      </c>
      <c r="E1747" s="1" t="s">
        <v>526</v>
      </c>
      <c r="F1747" s="1" t="s">
        <v>6717</v>
      </c>
      <c r="G1747" s="1" t="str">
        <f>IFERROR(VLOOKUP(A1747,H_C!$A$2:$G$2628,7,0),"Validar HC")</f>
        <v>Martinez, Wendy</v>
      </c>
      <c r="H1747" s="167">
        <v>2200286.0</v>
      </c>
      <c r="I1747" s="1">
        <v>42.0</v>
      </c>
    </row>
    <row r="1748" ht="15.75" customHeight="1">
      <c r="A1748" s="1">
        <v>5775492.0</v>
      </c>
      <c r="B1748" s="1" t="s">
        <v>5641</v>
      </c>
      <c r="C1748" s="1" t="s">
        <v>5642</v>
      </c>
      <c r="D1748" s="1" t="s">
        <v>224</v>
      </c>
      <c r="E1748" s="1" t="s">
        <v>323</v>
      </c>
      <c r="F1748" s="1" t="s">
        <v>6717</v>
      </c>
      <c r="G1748" s="1" t="str">
        <f>IFERROR(VLOOKUP(A1748,H_C!$A$2:$G$2628,7,0),"Validar HC")</f>
        <v>Murcia, Gustavo</v>
      </c>
      <c r="H1748" s="167">
        <v>2200286.0</v>
      </c>
      <c r="I1748" s="1">
        <v>42.0</v>
      </c>
    </row>
    <row r="1749" ht="15.75" customHeight="1">
      <c r="A1749" s="1">
        <v>5775518.0</v>
      </c>
      <c r="B1749" s="1" t="s">
        <v>1316</v>
      </c>
      <c r="C1749" s="1" t="s">
        <v>1317</v>
      </c>
      <c r="D1749" s="1" t="s">
        <v>224</v>
      </c>
      <c r="E1749" s="1" t="s">
        <v>1044</v>
      </c>
      <c r="F1749" s="1" t="s">
        <v>6717</v>
      </c>
      <c r="G1749" s="1" t="str">
        <f>IFERROR(VLOOKUP(A1749,H_C!$A$2:$G$2628,7,0),"Validar HC")</f>
        <v>Gonzalez, Cristian</v>
      </c>
      <c r="H1749" s="167">
        <v>2200286.0</v>
      </c>
      <c r="I1749" s="1">
        <v>42.0</v>
      </c>
    </row>
    <row r="1750" ht="15.75" customHeight="1">
      <c r="A1750" s="1">
        <v>5777270.0</v>
      </c>
      <c r="B1750" s="1" t="s">
        <v>1249</v>
      </c>
      <c r="C1750" s="1" t="s">
        <v>1250</v>
      </c>
      <c r="D1750" s="1" t="s">
        <v>224</v>
      </c>
      <c r="E1750" s="1" t="s">
        <v>907</v>
      </c>
      <c r="F1750" s="1" t="s">
        <v>6717</v>
      </c>
      <c r="G1750" s="1" t="str">
        <f>IFERROR(VLOOKUP(A1750,H_C!$A$2:$G$2628,7,0),"Validar HC")</f>
        <v>Gonzalez, Cristian</v>
      </c>
      <c r="H1750" s="167">
        <v>2200286.0</v>
      </c>
      <c r="I1750" s="1">
        <v>42.0</v>
      </c>
    </row>
    <row r="1751" ht="15.75" customHeight="1">
      <c r="A1751" s="1">
        <v>5777293.0</v>
      </c>
      <c r="B1751" s="1" t="s">
        <v>4912</v>
      </c>
      <c r="C1751" s="1" t="s">
        <v>4913</v>
      </c>
      <c r="D1751" s="1" t="s">
        <v>224</v>
      </c>
      <c r="E1751" s="1" t="s">
        <v>120</v>
      </c>
      <c r="F1751" s="1" t="s">
        <v>6717</v>
      </c>
      <c r="G1751" s="1" t="str">
        <f>IFERROR(VLOOKUP(A1751,H_C!$A$2:$G$2628,7,0),"Validar HC")</f>
        <v>Ospina, Michel</v>
      </c>
      <c r="H1751" s="167">
        <v>2200286.0</v>
      </c>
      <c r="I1751" s="1">
        <v>42.0</v>
      </c>
    </row>
    <row r="1752" ht="15.75" customHeight="1">
      <c r="A1752" s="1">
        <v>3070823.0</v>
      </c>
      <c r="B1752" s="1" t="s">
        <v>4190</v>
      </c>
      <c r="C1752" s="1" t="s">
        <v>4191</v>
      </c>
      <c r="D1752" s="1" t="s">
        <v>224</v>
      </c>
      <c r="E1752" s="1" t="s">
        <v>374</v>
      </c>
      <c r="F1752" s="1" t="s">
        <v>6717</v>
      </c>
      <c r="G1752" s="1" t="str">
        <f>IFERROR(VLOOKUP(A1752,H_C!$A$2:$G$2628,7,0),"Validar HC")</f>
        <v>Martinez, Wendy</v>
      </c>
      <c r="H1752" s="167">
        <v>2200286.0</v>
      </c>
      <c r="I1752" s="1">
        <v>42.0</v>
      </c>
    </row>
    <row r="1753" ht="15.75" customHeight="1">
      <c r="A1753" s="1">
        <v>2762534.0</v>
      </c>
      <c r="B1753" s="1" t="s">
        <v>4914</v>
      </c>
      <c r="C1753" s="1" t="s">
        <v>4915</v>
      </c>
      <c r="D1753" s="1" t="s">
        <v>224</v>
      </c>
      <c r="E1753" s="1" t="s">
        <v>738</v>
      </c>
      <c r="F1753" s="1" t="s">
        <v>6717</v>
      </c>
      <c r="G1753" s="1" t="str">
        <f>IFERROR(VLOOKUP(A1753,H_C!$A$2:$G$2628,7,0),"Validar HC")</f>
        <v>Garcia, Helmer</v>
      </c>
      <c r="H1753" s="167">
        <v>2200286.0</v>
      </c>
      <c r="I1753" s="1">
        <v>42.0</v>
      </c>
    </row>
    <row r="1754" ht="15.75" customHeight="1">
      <c r="A1754" s="1">
        <v>4570274.0</v>
      </c>
      <c r="B1754" s="1" t="s">
        <v>4916</v>
      </c>
      <c r="C1754" s="1" t="s">
        <v>4917</v>
      </c>
      <c r="D1754" s="1" t="s">
        <v>224</v>
      </c>
      <c r="E1754" s="1" t="s">
        <v>1060</v>
      </c>
      <c r="F1754" s="1" t="s">
        <v>6717</v>
      </c>
      <c r="G1754" s="1" t="str">
        <f>IFERROR(VLOOKUP(A1754,H_C!$A$2:$G$2628,7,0),"Validar HC")</f>
        <v>Garcia, Helmer</v>
      </c>
      <c r="H1754" s="167">
        <v>2200286.0</v>
      </c>
      <c r="I1754" s="1">
        <v>42.0</v>
      </c>
    </row>
    <row r="1755" ht="15.75" customHeight="1">
      <c r="A1755" s="1">
        <v>4975392.0</v>
      </c>
      <c r="B1755" s="1" t="s">
        <v>1450</v>
      </c>
      <c r="C1755" s="1" t="s">
        <v>1451</v>
      </c>
      <c r="D1755" s="1" t="s">
        <v>224</v>
      </c>
      <c r="E1755" s="1" t="s">
        <v>289</v>
      </c>
      <c r="F1755" s="1" t="s">
        <v>6717</v>
      </c>
      <c r="G1755" s="1" t="str">
        <f>IFERROR(VLOOKUP(A1755,H_C!$A$2:$G$2628,7,0),"Validar HC")</f>
        <v>Celi, Juan</v>
      </c>
      <c r="H1755" s="167">
        <v>2200286.0</v>
      </c>
      <c r="I1755" s="1">
        <v>42.0</v>
      </c>
    </row>
    <row r="1756" ht="15.75" customHeight="1">
      <c r="A1756" s="1">
        <v>5119730.0</v>
      </c>
      <c r="B1756" s="1" t="s">
        <v>2895</v>
      </c>
      <c r="C1756" s="1" t="s">
        <v>2896</v>
      </c>
      <c r="D1756" s="1" t="s">
        <v>224</v>
      </c>
      <c r="E1756" s="1" t="s">
        <v>1186</v>
      </c>
      <c r="F1756" s="1" t="s">
        <v>6717</v>
      </c>
      <c r="G1756" s="1" t="str">
        <f>IFERROR(VLOOKUP(A1756,H_C!$A$2:$G$2628,7,0),"Validar HC")</f>
        <v>Soler, Maria</v>
      </c>
      <c r="H1756" s="167">
        <v>2200286.0</v>
      </c>
      <c r="I1756" s="1">
        <v>42.0</v>
      </c>
    </row>
    <row r="1757" ht="15.75" customHeight="1">
      <c r="A1757" s="1">
        <v>5443995.0</v>
      </c>
      <c r="B1757" s="1" t="s">
        <v>2936</v>
      </c>
      <c r="C1757" s="1" t="s">
        <v>2937</v>
      </c>
      <c r="D1757" s="1" t="s">
        <v>224</v>
      </c>
      <c r="E1757" s="1" t="s">
        <v>1186</v>
      </c>
      <c r="F1757" s="1" t="s">
        <v>6717</v>
      </c>
      <c r="G1757" s="1" t="str">
        <f>IFERROR(VLOOKUP(A1757,H_C!$A$2:$G$2628,7,0),"Validar HC")</f>
        <v>Soler, Maria</v>
      </c>
      <c r="H1757" s="167">
        <v>2200286.0</v>
      </c>
      <c r="I1757" s="1">
        <v>42.0</v>
      </c>
    </row>
    <row r="1758" ht="15.75" customHeight="1">
      <c r="A1758" s="1">
        <v>5552116.0</v>
      </c>
      <c r="B1758" s="1" t="s">
        <v>4918</v>
      </c>
      <c r="C1758" s="1" t="s">
        <v>4919</v>
      </c>
      <c r="D1758" s="1" t="s">
        <v>224</v>
      </c>
      <c r="E1758" s="1" t="s">
        <v>254</v>
      </c>
      <c r="F1758" s="1" t="s">
        <v>6717</v>
      </c>
      <c r="G1758" s="1" t="str">
        <f>IFERROR(VLOOKUP(A1758,H_C!$A$2:$G$2628,7,0),"Validar HC")</f>
        <v>Gonzalez, Cristian</v>
      </c>
      <c r="H1758" s="167">
        <v>2200286.0</v>
      </c>
      <c r="I1758" s="1">
        <v>42.0</v>
      </c>
    </row>
    <row r="1759" ht="15.75" customHeight="1">
      <c r="A1759" s="1">
        <v>5782588.0</v>
      </c>
      <c r="B1759" s="1" t="s">
        <v>3388</v>
      </c>
      <c r="C1759" s="1" t="s">
        <v>3389</v>
      </c>
      <c r="D1759" s="1" t="s">
        <v>224</v>
      </c>
      <c r="E1759" s="1" t="s">
        <v>441</v>
      </c>
      <c r="F1759" s="1" t="s">
        <v>6717</v>
      </c>
      <c r="G1759" s="1" t="str">
        <f>IFERROR(VLOOKUP(A1759,H_C!$A$2:$G$2628,7,0),"Validar HC")</f>
        <v>Gonzalez, Cristian</v>
      </c>
      <c r="H1759" s="167">
        <v>2200286.0</v>
      </c>
      <c r="I1759" s="1">
        <v>42.0</v>
      </c>
    </row>
    <row r="1760" ht="15.75" customHeight="1">
      <c r="A1760" s="1">
        <v>5782589.0</v>
      </c>
      <c r="B1760" s="1" t="s">
        <v>3296</v>
      </c>
      <c r="C1760" s="1" t="s">
        <v>3297</v>
      </c>
      <c r="D1760" s="1" t="s">
        <v>224</v>
      </c>
      <c r="E1760" s="1" t="s">
        <v>425</v>
      </c>
      <c r="F1760" s="1" t="s">
        <v>6717</v>
      </c>
      <c r="G1760" s="1" t="str">
        <f>IFERROR(VLOOKUP(A1760,H_C!$A$2:$G$2628,7,0),"Validar HC")</f>
        <v>Ospina, Michel</v>
      </c>
      <c r="H1760" s="167">
        <v>2200286.0</v>
      </c>
      <c r="I1760" s="1">
        <v>42.0</v>
      </c>
    </row>
    <row r="1761" ht="15.75" customHeight="1">
      <c r="A1761" s="1">
        <v>5782592.0</v>
      </c>
      <c r="B1761" s="1" t="s">
        <v>3302</v>
      </c>
      <c r="C1761" s="1" t="s">
        <v>3303</v>
      </c>
      <c r="D1761" s="1" t="s">
        <v>224</v>
      </c>
      <c r="E1761" s="1" t="s">
        <v>425</v>
      </c>
      <c r="F1761" s="1" t="s">
        <v>6717</v>
      </c>
      <c r="G1761" s="1" t="str">
        <f>IFERROR(VLOOKUP(A1761,H_C!$A$2:$G$2628,7,0),"Validar HC")</f>
        <v>Ospina, Michel</v>
      </c>
      <c r="H1761" s="167">
        <v>2200286.0</v>
      </c>
      <c r="I1761" s="1">
        <v>42.0</v>
      </c>
    </row>
    <row r="1762" ht="15.75" customHeight="1">
      <c r="A1762" s="1">
        <v>5782593.0</v>
      </c>
      <c r="B1762" s="1" t="s">
        <v>4926</v>
      </c>
      <c r="C1762" s="1" t="s">
        <v>4927</v>
      </c>
      <c r="D1762" s="1" t="s">
        <v>224</v>
      </c>
      <c r="E1762" s="1" t="s">
        <v>530</v>
      </c>
      <c r="F1762" s="1" t="s">
        <v>6717</v>
      </c>
      <c r="G1762" s="1" t="str">
        <f>IFERROR(VLOOKUP(A1762,H_C!$A$2:$G$2628,7,0),"Validar HC")</f>
        <v>Garcia, Helmer</v>
      </c>
      <c r="H1762" s="167">
        <v>2200286.0</v>
      </c>
      <c r="I1762" s="1">
        <v>42.0</v>
      </c>
    </row>
    <row r="1763" ht="15.75" customHeight="1">
      <c r="A1763" s="1">
        <v>5785933.0</v>
      </c>
      <c r="B1763" s="1" t="s">
        <v>1037</v>
      </c>
      <c r="C1763" s="1" t="s">
        <v>1038</v>
      </c>
      <c r="D1763" s="1" t="s">
        <v>224</v>
      </c>
      <c r="E1763" s="1" t="s">
        <v>254</v>
      </c>
      <c r="F1763" s="1" t="s">
        <v>6717</v>
      </c>
      <c r="G1763" s="1" t="str">
        <f>IFERROR(VLOOKUP(A1763,H_C!$A$2:$G$2628,7,0),"Validar HC")</f>
        <v>Gonzalez, Cristian</v>
      </c>
      <c r="H1763" s="167">
        <v>2200286.0</v>
      </c>
      <c r="I1763" s="1">
        <v>42.0</v>
      </c>
    </row>
    <row r="1764" ht="15.75" customHeight="1">
      <c r="A1764" s="1">
        <v>5785941.0</v>
      </c>
      <c r="B1764" s="1" t="s">
        <v>968</v>
      </c>
      <c r="C1764" s="1" t="s">
        <v>969</v>
      </c>
      <c r="D1764" s="1" t="s">
        <v>224</v>
      </c>
      <c r="E1764" s="1" t="s">
        <v>254</v>
      </c>
      <c r="F1764" s="1" t="s">
        <v>6717</v>
      </c>
      <c r="G1764" s="1" t="str">
        <f>IFERROR(VLOOKUP(A1764,H_C!$A$2:$G$2628,7,0),"Validar HC")</f>
        <v>Gonzalez, Cristian</v>
      </c>
      <c r="H1764" s="167">
        <v>2200286.0</v>
      </c>
      <c r="I1764" s="1">
        <v>42.0</v>
      </c>
    </row>
    <row r="1765" ht="15.75" customHeight="1">
      <c r="A1765" s="1">
        <v>5785993.0</v>
      </c>
      <c r="B1765" s="1" t="s">
        <v>4928</v>
      </c>
      <c r="C1765" s="1" t="s">
        <v>4929</v>
      </c>
      <c r="D1765" s="1" t="s">
        <v>224</v>
      </c>
      <c r="E1765" s="1" t="s">
        <v>309</v>
      </c>
      <c r="F1765" s="1" t="s">
        <v>6717</v>
      </c>
      <c r="G1765" s="1" t="str">
        <f>IFERROR(VLOOKUP(A1765,H_C!$A$2:$G$2628,7,0),"Validar HC")</f>
        <v>Gonzalez, Cristian</v>
      </c>
      <c r="H1765" s="167">
        <v>2200286.0</v>
      </c>
      <c r="I1765" s="1">
        <v>42.0</v>
      </c>
    </row>
    <row r="1766" ht="15.75" customHeight="1">
      <c r="A1766" s="1">
        <v>5787552.0</v>
      </c>
      <c r="B1766" s="1" t="s">
        <v>4272</v>
      </c>
      <c r="C1766" s="1" t="s">
        <v>4273</v>
      </c>
      <c r="D1766" s="1" t="s">
        <v>224</v>
      </c>
      <c r="E1766" s="1" t="s">
        <v>549</v>
      </c>
      <c r="F1766" s="1" t="s">
        <v>6717</v>
      </c>
      <c r="G1766" s="1" t="str">
        <f>IFERROR(VLOOKUP(A1766,H_C!$A$2:$G$2628,7,0),"Validar HC")</f>
        <v>Soler, Maria</v>
      </c>
      <c r="H1766" s="167">
        <v>2200286.0</v>
      </c>
      <c r="I1766" s="1">
        <v>42.0</v>
      </c>
    </row>
    <row r="1767" ht="15.75" customHeight="1">
      <c r="A1767" s="1">
        <v>5787675.0</v>
      </c>
      <c r="B1767" s="1" t="s">
        <v>1438</v>
      </c>
      <c r="C1767" s="1" t="s">
        <v>1439</v>
      </c>
      <c r="D1767" s="1" t="s">
        <v>224</v>
      </c>
      <c r="E1767" s="1" t="s">
        <v>738</v>
      </c>
      <c r="F1767" s="1" t="s">
        <v>6717</v>
      </c>
      <c r="G1767" s="1" t="str">
        <f>IFERROR(VLOOKUP(A1767,H_C!$A$2:$G$2628,7,0),"Validar HC")</f>
        <v>Garcia, Helmer</v>
      </c>
      <c r="H1767" s="167">
        <v>2200286.0</v>
      </c>
      <c r="I1767" s="1">
        <v>42.0</v>
      </c>
    </row>
    <row r="1768" ht="15.75" customHeight="1">
      <c r="A1768" s="1">
        <v>5791683.0</v>
      </c>
      <c r="B1768" s="1" t="s">
        <v>4276</v>
      </c>
      <c r="C1768" s="1" t="s">
        <v>4277</v>
      </c>
      <c r="D1768" s="1" t="s">
        <v>224</v>
      </c>
      <c r="E1768" s="1" t="s">
        <v>549</v>
      </c>
      <c r="F1768" s="1" t="s">
        <v>6717</v>
      </c>
      <c r="G1768" s="1" t="str">
        <f>IFERROR(VLOOKUP(A1768,H_C!$A$2:$G$2628,7,0),"Validar HC")</f>
        <v>Soler, Maria</v>
      </c>
      <c r="H1768" s="167">
        <v>2200286.0</v>
      </c>
      <c r="I1768" s="1">
        <v>42.0</v>
      </c>
    </row>
    <row r="1769" ht="15.75" customHeight="1">
      <c r="A1769" s="1">
        <v>5791693.0</v>
      </c>
      <c r="B1769" s="1" t="s">
        <v>4270</v>
      </c>
      <c r="C1769" s="1" t="s">
        <v>4271</v>
      </c>
      <c r="D1769" s="1" t="s">
        <v>224</v>
      </c>
      <c r="E1769" s="1" t="s">
        <v>549</v>
      </c>
      <c r="F1769" s="1" t="s">
        <v>6717</v>
      </c>
      <c r="G1769" s="1" t="str">
        <f>IFERROR(VLOOKUP(A1769,H_C!$A$2:$G$2628,7,0),"Validar HC")</f>
        <v>Soler, Maria</v>
      </c>
      <c r="H1769" s="167">
        <v>2200286.0</v>
      </c>
      <c r="I1769" s="1">
        <v>42.0</v>
      </c>
    </row>
    <row r="1770" ht="15.75" customHeight="1">
      <c r="A1770" s="1">
        <v>5793080.0</v>
      </c>
      <c r="B1770" s="1" t="s">
        <v>2746</v>
      </c>
      <c r="C1770" s="1" t="s">
        <v>2747</v>
      </c>
      <c r="D1770" s="1" t="s">
        <v>224</v>
      </c>
      <c r="E1770" s="1" t="s">
        <v>121</v>
      </c>
      <c r="F1770" s="1" t="s">
        <v>6717</v>
      </c>
      <c r="G1770" s="1" t="str">
        <f>IFERROR(VLOOKUP(A1770,H_C!$A$2:$G$2628,7,0),"Validar HC")</f>
        <v>Ospina, Michel</v>
      </c>
      <c r="H1770" s="167">
        <v>2200286.0</v>
      </c>
      <c r="I1770" s="1">
        <v>42.0</v>
      </c>
    </row>
    <row r="1771" ht="15.75" customHeight="1">
      <c r="A1771" s="1">
        <v>5793961.0</v>
      </c>
      <c r="B1771" s="1" t="s">
        <v>1664</v>
      </c>
      <c r="C1771" s="1" t="s">
        <v>1665</v>
      </c>
      <c r="D1771" s="1" t="s">
        <v>224</v>
      </c>
      <c r="E1771" s="1" t="s">
        <v>416</v>
      </c>
      <c r="F1771" s="1" t="s">
        <v>6717</v>
      </c>
      <c r="G1771" s="1" t="str">
        <f>IFERROR(VLOOKUP(A1771,H_C!$A$2:$G$2628,7,0),"Validar HC")</f>
        <v>Soler, Maria</v>
      </c>
      <c r="H1771" s="167">
        <v>2200286.0</v>
      </c>
      <c r="I1771" s="1">
        <v>42.0</v>
      </c>
    </row>
    <row r="1772" ht="15.75" customHeight="1">
      <c r="A1772" s="1">
        <v>5793963.0</v>
      </c>
      <c r="B1772" s="1" t="s">
        <v>4280</v>
      </c>
      <c r="C1772" s="1" t="s">
        <v>4281</v>
      </c>
      <c r="D1772" s="1" t="s">
        <v>224</v>
      </c>
      <c r="E1772" s="1" t="s">
        <v>549</v>
      </c>
      <c r="F1772" s="1" t="s">
        <v>6717</v>
      </c>
      <c r="G1772" s="1" t="str">
        <f>IFERROR(VLOOKUP(A1772,H_C!$A$2:$G$2628,7,0),"Validar HC")</f>
        <v>Soler, Maria</v>
      </c>
      <c r="H1772" s="167">
        <v>2200286.0</v>
      </c>
      <c r="I1772" s="1">
        <v>42.0</v>
      </c>
    </row>
    <row r="1773" ht="15.75" customHeight="1">
      <c r="A1773" s="1">
        <v>5794005.0</v>
      </c>
      <c r="B1773" s="1" t="s">
        <v>2777</v>
      </c>
      <c r="C1773" s="1" t="s">
        <v>2778</v>
      </c>
      <c r="D1773" s="1" t="s">
        <v>224</v>
      </c>
      <c r="E1773" s="1" t="s">
        <v>121</v>
      </c>
      <c r="F1773" s="1" t="s">
        <v>6717</v>
      </c>
      <c r="G1773" s="1" t="str">
        <f>IFERROR(VLOOKUP(A1773,H_C!$A$2:$G$2628,7,0),"Validar HC")</f>
        <v>Ospina, Michel</v>
      </c>
      <c r="H1773" s="167">
        <v>2200286.0</v>
      </c>
      <c r="I1773" s="1">
        <v>42.0</v>
      </c>
    </row>
    <row r="1774" ht="15.75" customHeight="1">
      <c r="A1774" s="1">
        <v>5794115.0</v>
      </c>
      <c r="B1774" s="1" t="s">
        <v>4938</v>
      </c>
      <c r="C1774" s="1" t="s">
        <v>4939</v>
      </c>
      <c r="D1774" s="1" t="s">
        <v>224</v>
      </c>
      <c r="E1774" s="1" t="s">
        <v>121</v>
      </c>
      <c r="F1774" s="1" t="s">
        <v>6717</v>
      </c>
      <c r="G1774" s="1" t="str">
        <f>IFERROR(VLOOKUP(A1774,H_C!$A$2:$G$2628,7,0),"Validar HC")</f>
        <v>Gonzalez, Cristian</v>
      </c>
      <c r="H1774" s="167">
        <v>2200286.0</v>
      </c>
      <c r="I1774" s="1">
        <v>42.0</v>
      </c>
    </row>
    <row r="1775" ht="15.75" customHeight="1">
      <c r="A1775" s="1">
        <v>5796163.0</v>
      </c>
      <c r="B1775" s="1" t="s">
        <v>4488</v>
      </c>
      <c r="C1775" s="1" t="s">
        <v>4489</v>
      </c>
      <c r="D1775" s="1" t="s">
        <v>224</v>
      </c>
      <c r="E1775" s="1" t="s">
        <v>6747</v>
      </c>
      <c r="F1775" s="1" t="s">
        <v>6717</v>
      </c>
      <c r="G1775" s="1" t="str">
        <f>IFERROR(VLOOKUP(A1775,H_C!$A$2:$G$2628,7,0),"Validar HC")</f>
        <v>Ospina, Michel</v>
      </c>
      <c r="H1775" s="167">
        <v>2200286.0</v>
      </c>
      <c r="I1775" s="1">
        <v>42.0</v>
      </c>
    </row>
    <row r="1776" ht="15.75" customHeight="1">
      <c r="A1776" s="1">
        <v>5800474.0</v>
      </c>
      <c r="B1776" s="1" t="s">
        <v>4940</v>
      </c>
      <c r="C1776" s="1" t="s">
        <v>4941</v>
      </c>
      <c r="D1776" s="1" t="s">
        <v>224</v>
      </c>
      <c r="E1776" s="1" t="s">
        <v>113</v>
      </c>
      <c r="F1776" s="1" t="s">
        <v>6717</v>
      </c>
      <c r="G1776" s="1" t="str">
        <f>IFERROR(VLOOKUP(A1776,H_C!$A$2:$G$2628,7,0),"Validar HC")</f>
        <v>Soler, Maria</v>
      </c>
      <c r="H1776" s="167">
        <v>2200286.0</v>
      </c>
      <c r="I1776" s="1">
        <v>42.0</v>
      </c>
    </row>
    <row r="1777" ht="15.75" customHeight="1">
      <c r="A1777" s="1">
        <v>5803183.0</v>
      </c>
      <c r="B1777" s="1" t="s">
        <v>4434</v>
      </c>
      <c r="C1777" s="1" t="s">
        <v>4435</v>
      </c>
      <c r="D1777" s="1" t="s">
        <v>224</v>
      </c>
      <c r="E1777" s="1" t="s">
        <v>246</v>
      </c>
      <c r="F1777" s="1" t="s">
        <v>6717</v>
      </c>
      <c r="G1777" s="1" t="str">
        <f>IFERROR(VLOOKUP(A1777,H_C!$A$2:$G$2628,7,0),"Validar HC")</f>
        <v>Garcia, Helmer</v>
      </c>
      <c r="H1777" s="167">
        <v>2200286.0</v>
      </c>
      <c r="I1777" s="1">
        <v>42.0</v>
      </c>
    </row>
    <row r="1778" ht="15.75" customHeight="1">
      <c r="A1778" s="1">
        <v>5803184.0</v>
      </c>
      <c r="B1778" s="1" t="s">
        <v>2178</v>
      </c>
      <c r="C1778" s="1" t="s">
        <v>2179</v>
      </c>
      <c r="D1778" s="1" t="s">
        <v>224</v>
      </c>
      <c r="E1778" s="1" t="s">
        <v>246</v>
      </c>
      <c r="F1778" s="1" t="s">
        <v>6717</v>
      </c>
      <c r="G1778" s="1" t="str">
        <f>IFERROR(VLOOKUP(A1778,H_C!$A$2:$G$2628,7,0),"Validar HC")</f>
        <v>Garcia, Helmer</v>
      </c>
      <c r="H1778" s="167">
        <v>2200286.0</v>
      </c>
      <c r="I1778" s="1">
        <v>42.0</v>
      </c>
    </row>
    <row r="1779" ht="15.75" customHeight="1">
      <c r="A1779" s="1">
        <v>5803400.0</v>
      </c>
      <c r="B1779" s="1" t="s">
        <v>4944</v>
      </c>
      <c r="C1779" s="1" t="s">
        <v>4945</v>
      </c>
      <c r="D1779" s="1" t="s">
        <v>224</v>
      </c>
      <c r="E1779" s="1" t="s">
        <v>323</v>
      </c>
      <c r="F1779" s="1" t="s">
        <v>6717</v>
      </c>
      <c r="G1779" s="1" t="str">
        <f>IFERROR(VLOOKUP(A1779,H_C!$A$2:$G$2628,7,0),"Validar HC")</f>
        <v>Martinez, Wendy</v>
      </c>
      <c r="H1779" s="167">
        <v>2200286.0</v>
      </c>
      <c r="I1779" s="1">
        <v>42.0</v>
      </c>
    </row>
    <row r="1780" ht="15.75" customHeight="1">
      <c r="A1780" s="1">
        <v>5803428.0</v>
      </c>
      <c r="B1780" s="1" t="s">
        <v>2827</v>
      </c>
      <c r="C1780" s="1" t="s">
        <v>2828</v>
      </c>
      <c r="D1780" s="1" t="s">
        <v>224</v>
      </c>
      <c r="E1780" s="1" t="s">
        <v>232</v>
      </c>
      <c r="F1780" s="1" t="s">
        <v>6717</v>
      </c>
      <c r="G1780" s="1" t="str">
        <f>IFERROR(VLOOKUP(A1780,H_C!$A$2:$G$2628,7,0),"Validar HC")</f>
        <v>Soler, Maria</v>
      </c>
      <c r="H1780" s="167">
        <v>2200286.0</v>
      </c>
      <c r="I1780" s="1">
        <v>42.0</v>
      </c>
    </row>
    <row r="1781" ht="15.75" customHeight="1">
      <c r="A1781" s="1">
        <v>5803434.0</v>
      </c>
      <c r="B1781" s="1" t="s">
        <v>295</v>
      </c>
      <c r="C1781" s="1" t="s">
        <v>296</v>
      </c>
      <c r="D1781" s="1" t="s">
        <v>224</v>
      </c>
      <c r="E1781" s="1" t="s">
        <v>222</v>
      </c>
      <c r="F1781" s="1" t="s">
        <v>6717</v>
      </c>
      <c r="G1781" s="1" t="str">
        <f>IFERROR(VLOOKUP(A1781,H_C!$A$2:$G$2628,7,0),"Validar HC")</f>
        <v>Soler, Maria</v>
      </c>
      <c r="H1781" s="167">
        <v>2200286.0</v>
      </c>
      <c r="I1781" s="1">
        <v>42.0</v>
      </c>
    </row>
    <row r="1782" ht="15.75" customHeight="1">
      <c r="A1782" s="1">
        <v>5803435.0</v>
      </c>
      <c r="B1782" s="1" t="s">
        <v>4946</v>
      </c>
      <c r="C1782" s="1" t="s">
        <v>4947</v>
      </c>
      <c r="D1782" s="1" t="s">
        <v>224</v>
      </c>
      <c r="E1782" s="1" t="s">
        <v>222</v>
      </c>
      <c r="F1782" s="1" t="s">
        <v>6717</v>
      </c>
      <c r="G1782" s="1" t="str">
        <f>IFERROR(VLOOKUP(A1782,H_C!$A$2:$G$2628,7,0),"Validar HC")</f>
        <v>Soler, Maria</v>
      </c>
      <c r="H1782" s="167">
        <v>2200286.0</v>
      </c>
      <c r="I1782" s="1">
        <v>42.0</v>
      </c>
    </row>
    <row r="1783" ht="15.75" customHeight="1">
      <c r="A1783" s="1">
        <v>5803531.0</v>
      </c>
      <c r="B1783" s="1" t="s">
        <v>1543</v>
      </c>
      <c r="C1783" s="1" t="s">
        <v>1544</v>
      </c>
      <c r="D1783" s="1" t="s">
        <v>224</v>
      </c>
      <c r="E1783" s="1" t="s">
        <v>478</v>
      </c>
      <c r="F1783" s="1" t="s">
        <v>6717</v>
      </c>
      <c r="G1783" s="1" t="str">
        <f>IFERROR(VLOOKUP(A1783,H_C!$A$2:$G$2628,7,0),"Validar HC")</f>
        <v>Celi, Juan</v>
      </c>
      <c r="H1783" s="167">
        <v>2200286.0</v>
      </c>
      <c r="I1783" s="1">
        <v>42.0</v>
      </c>
    </row>
    <row r="1784" ht="15.75" customHeight="1">
      <c r="A1784" s="1">
        <v>5804197.0</v>
      </c>
      <c r="B1784" s="1" t="s">
        <v>321</v>
      </c>
      <c r="C1784" s="1" t="s">
        <v>322</v>
      </c>
      <c r="D1784" s="1" t="s">
        <v>224</v>
      </c>
      <c r="E1784" s="1" t="s">
        <v>222</v>
      </c>
      <c r="F1784" s="1" t="s">
        <v>6717</v>
      </c>
      <c r="G1784" s="1" t="str">
        <f>IFERROR(VLOOKUP(A1784,H_C!$A$2:$G$2628,7,0),"Validar HC")</f>
        <v>Soler, Maria</v>
      </c>
      <c r="H1784" s="167">
        <v>2200286.0</v>
      </c>
      <c r="I1784" s="1">
        <v>42.0</v>
      </c>
    </row>
    <row r="1785" ht="15.75" customHeight="1">
      <c r="A1785" s="1">
        <v>5804395.0</v>
      </c>
      <c r="B1785" s="1" t="s">
        <v>704</v>
      </c>
      <c r="C1785" s="1" t="s">
        <v>705</v>
      </c>
      <c r="D1785" s="1" t="s">
        <v>224</v>
      </c>
      <c r="E1785" s="1" t="s">
        <v>239</v>
      </c>
      <c r="F1785" s="1" t="s">
        <v>6717</v>
      </c>
      <c r="G1785" s="1" t="str">
        <f>IFERROR(VLOOKUP(A1785,H_C!$A$2:$G$2628,7,0),"Validar HC")</f>
        <v>Soler, Maria</v>
      </c>
      <c r="H1785" s="167">
        <v>2200286.0</v>
      </c>
      <c r="I1785" s="1">
        <v>42.0</v>
      </c>
    </row>
    <row r="1786" ht="15.75" customHeight="1">
      <c r="A1786" s="1">
        <v>5804414.0</v>
      </c>
      <c r="B1786" s="1" t="s">
        <v>2916</v>
      </c>
      <c r="C1786" s="1" t="s">
        <v>2917</v>
      </c>
      <c r="D1786" s="1" t="s">
        <v>224</v>
      </c>
      <c r="E1786" s="1" t="s">
        <v>1186</v>
      </c>
      <c r="F1786" s="1" t="s">
        <v>6717</v>
      </c>
      <c r="G1786" s="1" t="str">
        <f>IFERROR(VLOOKUP(A1786,H_C!$A$2:$G$2628,7,0),"Validar HC")</f>
        <v>Soler, Maria</v>
      </c>
      <c r="H1786" s="167">
        <v>2200286.0</v>
      </c>
      <c r="I1786" s="1">
        <v>42.0</v>
      </c>
    </row>
    <row r="1787" ht="15.75" customHeight="1">
      <c r="A1787" s="1">
        <v>5804439.0</v>
      </c>
      <c r="B1787" s="1" t="s">
        <v>4954</v>
      </c>
      <c r="C1787" s="1" t="s">
        <v>4955</v>
      </c>
      <c r="D1787" s="1" t="s">
        <v>224</v>
      </c>
      <c r="E1787" s="1" t="s">
        <v>289</v>
      </c>
      <c r="F1787" s="1" t="s">
        <v>6717</v>
      </c>
      <c r="G1787" s="1" t="str">
        <f>IFERROR(VLOOKUP(A1787,H_C!$A$2:$G$2628,7,0),"Validar HC")</f>
        <v>Celi, Juan</v>
      </c>
      <c r="H1787" s="167">
        <v>2200286.0</v>
      </c>
      <c r="I1787" s="1">
        <v>42.0</v>
      </c>
    </row>
    <row r="1788" ht="15.75" customHeight="1">
      <c r="A1788" s="1">
        <v>5804440.0</v>
      </c>
      <c r="B1788" s="1" t="s">
        <v>4956</v>
      </c>
      <c r="C1788" s="1" t="s">
        <v>4957</v>
      </c>
      <c r="D1788" s="1" t="s">
        <v>224</v>
      </c>
      <c r="E1788" s="1" t="s">
        <v>222</v>
      </c>
      <c r="F1788" s="1" t="s">
        <v>6717</v>
      </c>
      <c r="G1788" s="1" t="str">
        <f>IFERROR(VLOOKUP(A1788,H_C!$A$2:$G$2628,7,0),"Validar HC")</f>
        <v>Soler, Maria</v>
      </c>
      <c r="H1788" s="167">
        <v>2200286.0</v>
      </c>
      <c r="I1788" s="1">
        <v>42.0</v>
      </c>
    </row>
    <row r="1789" ht="15.75" customHeight="1">
      <c r="A1789" s="1">
        <v>5804441.0</v>
      </c>
      <c r="B1789" s="1" t="s">
        <v>4438</v>
      </c>
      <c r="C1789" s="1" t="s">
        <v>4439</v>
      </c>
      <c r="D1789" s="1" t="s">
        <v>224</v>
      </c>
      <c r="E1789" s="1" t="s">
        <v>246</v>
      </c>
      <c r="F1789" s="1" t="s">
        <v>6717</v>
      </c>
      <c r="G1789" s="1" t="str">
        <f>IFERROR(VLOOKUP(A1789,H_C!$A$2:$G$2628,7,0),"Validar HC")</f>
        <v>Garcia, Helmer</v>
      </c>
      <c r="H1789" s="167">
        <v>2200286.0</v>
      </c>
      <c r="I1789" s="1">
        <v>42.0</v>
      </c>
    </row>
    <row r="1790" ht="15.75" customHeight="1">
      <c r="A1790" s="1">
        <v>5804442.0</v>
      </c>
      <c r="B1790" s="1" t="s">
        <v>4960</v>
      </c>
      <c r="C1790" s="1" t="s">
        <v>4961</v>
      </c>
      <c r="D1790" s="1" t="s">
        <v>224</v>
      </c>
      <c r="E1790" s="1" t="s">
        <v>813</v>
      </c>
      <c r="F1790" s="1" t="s">
        <v>6717</v>
      </c>
      <c r="G1790" s="1" t="str">
        <f>IFERROR(VLOOKUP(A1790,H_C!$A$2:$G$2628,7,0),"Validar HC")</f>
        <v>Garatejo, Natalia</v>
      </c>
      <c r="H1790" s="167">
        <v>2200286.0</v>
      </c>
      <c r="I1790" s="1">
        <v>42.0</v>
      </c>
    </row>
    <row r="1791" ht="15.75" customHeight="1">
      <c r="A1791" s="1">
        <v>5804443.0</v>
      </c>
      <c r="B1791" s="1" t="s">
        <v>1492</v>
      </c>
      <c r="C1791" s="1" t="s">
        <v>1493</v>
      </c>
      <c r="D1791" s="1" t="s">
        <v>224</v>
      </c>
      <c r="E1791" s="1" t="s">
        <v>289</v>
      </c>
      <c r="F1791" s="1" t="s">
        <v>6717</v>
      </c>
      <c r="G1791" s="1" t="str">
        <f>IFERROR(VLOOKUP(A1791,H_C!$A$2:$G$2628,7,0),"Validar HC")</f>
        <v>Celi, Juan</v>
      </c>
      <c r="H1791" s="167">
        <v>2200286.0</v>
      </c>
      <c r="I1791" s="1">
        <v>42.0</v>
      </c>
    </row>
    <row r="1792" ht="15.75" customHeight="1">
      <c r="A1792" s="1">
        <v>5804445.0</v>
      </c>
      <c r="B1792" s="1" t="s">
        <v>1474</v>
      </c>
      <c r="C1792" s="1" t="s">
        <v>1475</v>
      </c>
      <c r="D1792" s="1" t="s">
        <v>224</v>
      </c>
      <c r="E1792" s="1" t="s">
        <v>289</v>
      </c>
      <c r="F1792" s="1" t="s">
        <v>6717</v>
      </c>
      <c r="G1792" s="1" t="str">
        <f>IFERROR(VLOOKUP(A1792,H_C!$A$2:$G$2628,7,0),"Validar HC")</f>
        <v>Celi, Juan</v>
      </c>
      <c r="H1792" s="167">
        <v>2200286.0</v>
      </c>
      <c r="I1792" s="1">
        <v>42.0</v>
      </c>
    </row>
    <row r="1793" ht="15.75" customHeight="1">
      <c r="A1793" s="1">
        <v>5804446.0</v>
      </c>
      <c r="B1793" s="1" t="s">
        <v>4966</v>
      </c>
      <c r="C1793" s="1" t="s">
        <v>4967</v>
      </c>
      <c r="D1793" s="1" t="s">
        <v>224</v>
      </c>
      <c r="E1793" s="1" t="s">
        <v>289</v>
      </c>
      <c r="F1793" s="1" t="s">
        <v>6717</v>
      </c>
      <c r="G1793" s="1" t="str">
        <f>IFERROR(VLOOKUP(A1793,H_C!$A$2:$G$2628,7,0),"Validar HC")</f>
        <v>Celi, Juan</v>
      </c>
      <c r="H1793" s="167">
        <v>2200286.0</v>
      </c>
      <c r="I1793" s="1">
        <v>42.0</v>
      </c>
    </row>
    <row r="1794" ht="15.75" customHeight="1">
      <c r="A1794" s="1">
        <v>5804447.0</v>
      </c>
      <c r="B1794" s="1" t="s">
        <v>1488</v>
      </c>
      <c r="C1794" s="1" t="s">
        <v>1489</v>
      </c>
      <c r="D1794" s="1" t="s">
        <v>224</v>
      </c>
      <c r="E1794" s="1" t="s">
        <v>289</v>
      </c>
      <c r="F1794" s="1" t="s">
        <v>6717</v>
      </c>
      <c r="G1794" s="1" t="str">
        <f>IFERROR(VLOOKUP(A1794,H_C!$A$2:$G$2628,7,0),"Validar HC")</f>
        <v>Celi, Juan</v>
      </c>
      <c r="H1794" s="167">
        <v>2200286.0</v>
      </c>
      <c r="I1794" s="1">
        <v>42.0</v>
      </c>
    </row>
    <row r="1795" ht="15.75" customHeight="1">
      <c r="A1795" s="1">
        <v>5804448.0</v>
      </c>
      <c r="B1795" s="1" t="s">
        <v>4970</v>
      </c>
      <c r="C1795" s="1" t="s">
        <v>4971</v>
      </c>
      <c r="D1795" s="1" t="s">
        <v>224</v>
      </c>
      <c r="E1795" s="1" t="s">
        <v>289</v>
      </c>
      <c r="F1795" s="1" t="s">
        <v>6717</v>
      </c>
      <c r="G1795" s="1" t="str">
        <f>IFERROR(VLOOKUP(A1795,H_C!$A$2:$G$2628,7,0),"Validar HC")</f>
        <v>Celi, Juan</v>
      </c>
      <c r="H1795" s="167">
        <v>2200286.0</v>
      </c>
      <c r="I1795" s="1">
        <v>42.0</v>
      </c>
    </row>
    <row r="1796" ht="15.75" customHeight="1">
      <c r="A1796" s="1">
        <v>5804487.0</v>
      </c>
      <c r="B1796" s="1" t="s">
        <v>4974</v>
      </c>
      <c r="C1796" s="1" t="s">
        <v>4975</v>
      </c>
      <c r="D1796" s="1" t="s">
        <v>224</v>
      </c>
      <c r="E1796" s="1" t="s">
        <v>847</v>
      </c>
      <c r="F1796" s="1" t="s">
        <v>6717</v>
      </c>
      <c r="G1796" s="1" t="str">
        <f>IFERROR(VLOOKUP(A1796,H_C!$A$2:$G$2628,7,0),"Validar HC")</f>
        <v>Garatejo, Natalia</v>
      </c>
      <c r="H1796" s="167">
        <v>2200286.0</v>
      </c>
      <c r="I1796" s="1">
        <v>42.0</v>
      </c>
    </row>
    <row r="1797" ht="15.75" customHeight="1">
      <c r="A1797" s="1">
        <v>5804488.0</v>
      </c>
      <c r="B1797" s="1" t="s">
        <v>4978</v>
      </c>
      <c r="C1797" s="1" t="s">
        <v>4979</v>
      </c>
      <c r="D1797" s="1" t="s">
        <v>224</v>
      </c>
      <c r="E1797" s="1" t="s">
        <v>289</v>
      </c>
      <c r="F1797" s="1" t="s">
        <v>6717</v>
      </c>
      <c r="G1797" s="1" t="str">
        <f>IFERROR(VLOOKUP(A1797,H_C!$A$2:$G$2628,7,0),"Validar HC")</f>
        <v>Celi, Juan</v>
      </c>
      <c r="H1797" s="167">
        <v>2200286.0</v>
      </c>
      <c r="I1797" s="1">
        <v>42.0</v>
      </c>
    </row>
    <row r="1798" ht="15.75" customHeight="1">
      <c r="A1798" s="1">
        <v>5804496.0</v>
      </c>
      <c r="B1798" s="1" t="s">
        <v>4764</v>
      </c>
      <c r="C1798" s="1" t="s">
        <v>4765</v>
      </c>
      <c r="D1798" s="1" t="s">
        <v>224</v>
      </c>
      <c r="E1798" s="1" t="s">
        <v>847</v>
      </c>
      <c r="F1798" s="1" t="s">
        <v>6717</v>
      </c>
      <c r="G1798" s="1" t="str">
        <f>IFERROR(VLOOKUP(A1798,H_C!$A$2:$G$2628,7,0),"Validar HC")</f>
        <v>Garatejo, Natalia</v>
      </c>
      <c r="H1798" s="167">
        <v>2200286.0</v>
      </c>
      <c r="I1798" s="1">
        <v>42.0</v>
      </c>
    </row>
    <row r="1799" ht="15.75" customHeight="1">
      <c r="A1799" s="1">
        <v>5804535.0</v>
      </c>
      <c r="B1799" s="1" t="s">
        <v>4982</v>
      </c>
      <c r="C1799" s="1" t="s">
        <v>4983</v>
      </c>
      <c r="D1799" s="1" t="s">
        <v>224</v>
      </c>
      <c r="E1799" s="1" t="s">
        <v>323</v>
      </c>
      <c r="F1799" s="1" t="s">
        <v>6717</v>
      </c>
      <c r="G1799" s="1" t="str">
        <f>IFERROR(VLOOKUP(A1799,H_C!$A$2:$G$2628,7,0),"Validar HC")</f>
        <v>Martinez, Wendy</v>
      </c>
      <c r="H1799" s="167">
        <v>2200286.0</v>
      </c>
      <c r="I1799" s="1">
        <v>42.0</v>
      </c>
    </row>
    <row r="1800" ht="15.75" customHeight="1">
      <c r="A1800" s="1">
        <v>5804610.0</v>
      </c>
      <c r="B1800" s="1" t="s">
        <v>274</v>
      </c>
      <c r="C1800" s="1" t="s">
        <v>275</v>
      </c>
      <c r="D1800" s="1" t="s">
        <v>224</v>
      </c>
      <c r="E1800" s="1" t="s">
        <v>222</v>
      </c>
      <c r="F1800" s="1" t="s">
        <v>6717</v>
      </c>
      <c r="G1800" s="1" t="str">
        <f>IFERROR(VLOOKUP(A1800,H_C!$A$2:$G$2628,7,0),"Validar HC")</f>
        <v>Soler, Maria</v>
      </c>
      <c r="H1800" s="167">
        <v>2200286.0</v>
      </c>
      <c r="I1800" s="1">
        <v>42.0</v>
      </c>
    </row>
    <row r="1801" ht="15.75" customHeight="1">
      <c r="A1801" s="1">
        <v>5804612.0</v>
      </c>
      <c r="B1801" s="1" t="s">
        <v>4984</v>
      </c>
      <c r="C1801" s="1" t="s">
        <v>4985</v>
      </c>
      <c r="D1801" s="1" t="s">
        <v>224</v>
      </c>
      <c r="E1801" s="1" t="s">
        <v>222</v>
      </c>
      <c r="F1801" s="1" t="s">
        <v>6717</v>
      </c>
      <c r="G1801" s="1" t="str">
        <f>IFERROR(VLOOKUP(A1801,H_C!$A$2:$G$2628,7,0),"Validar HC")</f>
        <v>Soler, Maria</v>
      </c>
      <c r="H1801" s="167">
        <v>2200286.0</v>
      </c>
      <c r="I1801" s="1">
        <v>42.0</v>
      </c>
    </row>
    <row r="1802" ht="15.75" customHeight="1">
      <c r="A1802" s="1">
        <v>5804706.0</v>
      </c>
      <c r="B1802" s="1" t="s">
        <v>4766</v>
      </c>
      <c r="C1802" s="1" t="s">
        <v>4767</v>
      </c>
      <c r="D1802" s="1" t="s">
        <v>224</v>
      </c>
      <c r="E1802" s="1" t="s">
        <v>847</v>
      </c>
      <c r="F1802" s="1" t="s">
        <v>6717</v>
      </c>
      <c r="G1802" s="1" t="str">
        <f>IFERROR(VLOOKUP(A1802,H_C!$A$2:$G$2628,7,0),"Validar HC")</f>
        <v>Garatejo, Natalia</v>
      </c>
      <c r="H1802" s="167">
        <v>2200286.0</v>
      </c>
      <c r="I1802" s="1">
        <v>42.0</v>
      </c>
    </row>
    <row r="1803" ht="15.75" customHeight="1">
      <c r="A1803" s="1">
        <v>5804708.0</v>
      </c>
      <c r="B1803" s="1" t="s">
        <v>1576</v>
      </c>
      <c r="C1803" s="1" t="s">
        <v>1577</v>
      </c>
      <c r="D1803" s="1" t="s">
        <v>224</v>
      </c>
      <c r="E1803" s="1" t="s">
        <v>478</v>
      </c>
      <c r="F1803" s="1" t="s">
        <v>6717</v>
      </c>
      <c r="G1803" s="1" t="str">
        <f>IFERROR(VLOOKUP(A1803,H_C!$A$2:$G$2628,7,0),"Validar HC")</f>
        <v>Celi, Juan</v>
      </c>
      <c r="H1803" s="167">
        <v>2200286.0</v>
      </c>
      <c r="I1803" s="1">
        <v>42.0</v>
      </c>
    </row>
    <row r="1804" ht="15.75" customHeight="1">
      <c r="A1804" s="1">
        <v>5804712.0</v>
      </c>
      <c r="B1804" s="1" t="s">
        <v>3886</v>
      </c>
      <c r="C1804" s="1" t="s">
        <v>3887</v>
      </c>
      <c r="D1804" s="1" t="s">
        <v>224</v>
      </c>
      <c r="E1804" s="1" t="s">
        <v>478</v>
      </c>
      <c r="F1804" s="1" t="s">
        <v>6717</v>
      </c>
      <c r="G1804" s="1" t="str">
        <f>IFERROR(VLOOKUP(A1804,H_C!$A$2:$G$2628,7,0),"Validar HC")</f>
        <v>Celi, Juan</v>
      </c>
      <c r="H1804" s="167">
        <v>2200286.0</v>
      </c>
      <c r="I1804" s="1">
        <v>42.0</v>
      </c>
    </row>
    <row r="1805" ht="15.75" customHeight="1">
      <c r="A1805" s="1">
        <v>5804713.0</v>
      </c>
      <c r="B1805" s="1" t="s">
        <v>792</v>
      </c>
      <c r="C1805" s="1" t="s">
        <v>793</v>
      </c>
      <c r="D1805" s="1" t="s">
        <v>224</v>
      </c>
      <c r="E1805" s="1" t="s">
        <v>289</v>
      </c>
      <c r="F1805" s="1" t="s">
        <v>6717</v>
      </c>
      <c r="G1805" s="1" t="str">
        <f>IFERROR(VLOOKUP(A1805,H_C!$A$2:$G$2628,7,0),"Validar HC")</f>
        <v>Celi, Juan</v>
      </c>
      <c r="H1805" s="167">
        <v>2200286.0</v>
      </c>
      <c r="I1805" s="1">
        <v>42.0</v>
      </c>
    </row>
    <row r="1806" ht="15.75" customHeight="1">
      <c r="A1806" s="1">
        <v>5806437.0</v>
      </c>
      <c r="B1806" s="1" t="s">
        <v>4988</v>
      </c>
      <c r="C1806" s="1" t="s">
        <v>4989</v>
      </c>
      <c r="D1806" s="1" t="s">
        <v>224</v>
      </c>
      <c r="E1806" s="1" t="s">
        <v>1932</v>
      </c>
      <c r="F1806" s="1" t="s">
        <v>6717</v>
      </c>
      <c r="G1806" s="1" t="str">
        <f>IFERROR(VLOOKUP(A1806,H_C!$A$2:$G$2628,7,0),"Validar HC")</f>
        <v>Garatejo, Natalia</v>
      </c>
      <c r="H1806" s="167">
        <v>2200286.0</v>
      </c>
      <c r="I1806" s="1">
        <v>42.0</v>
      </c>
    </row>
    <row r="1807" ht="15.75" customHeight="1">
      <c r="A1807" s="1">
        <v>5806707.0</v>
      </c>
      <c r="B1807" s="1" t="s">
        <v>1580</v>
      </c>
      <c r="C1807" s="1" t="s">
        <v>1581</v>
      </c>
      <c r="D1807" s="1" t="s">
        <v>224</v>
      </c>
      <c r="E1807" s="1" t="s">
        <v>478</v>
      </c>
      <c r="F1807" s="1" t="s">
        <v>6717</v>
      </c>
      <c r="G1807" s="1" t="str">
        <f>IFERROR(VLOOKUP(A1807,H_C!$A$2:$G$2628,7,0),"Validar HC")</f>
        <v>Celi, Juan</v>
      </c>
      <c r="H1807" s="167">
        <v>2200286.0</v>
      </c>
      <c r="I1807" s="1">
        <v>42.0</v>
      </c>
    </row>
    <row r="1808" ht="15.75" customHeight="1">
      <c r="A1808" s="1">
        <v>5806824.0</v>
      </c>
      <c r="B1808" s="1" t="s">
        <v>4041</v>
      </c>
      <c r="C1808" s="1" t="s">
        <v>4042</v>
      </c>
      <c r="D1808" s="1" t="s">
        <v>224</v>
      </c>
      <c r="E1808" s="1" t="s">
        <v>1177</v>
      </c>
      <c r="F1808" s="1" t="s">
        <v>6717</v>
      </c>
      <c r="G1808" s="1" t="str">
        <f>IFERROR(VLOOKUP(A1808,H_C!$A$2:$G$2628,7,0),"Validar HC")</f>
        <v>Martinez, Wendy</v>
      </c>
      <c r="H1808" s="167">
        <v>2200286.0</v>
      </c>
      <c r="I1808" s="1">
        <v>42.0</v>
      </c>
    </row>
    <row r="1809" ht="15.75" customHeight="1">
      <c r="A1809" s="1">
        <v>5807525.0</v>
      </c>
      <c r="B1809" s="1" t="s">
        <v>3896</v>
      </c>
      <c r="C1809" s="1" t="s">
        <v>3897</v>
      </c>
      <c r="D1809" s="1" t="s">
        <v>224</v>
      </c>
      <c r="E1809" s="1" t="s">
        <v>478</v>
      </c>
      <c r="F1809" s="1" t="s">
        <v>6717</v>
      </c>
      <c r="G1809" s="1" t="str">
        <f>IFERROR(VLOOKUP(A1809,H_C!$A$2:$G$2628,7,0),"Validar HC")</f>
        <v>Celi, Juan</v>
      </c>
      <c r="H1809" s="167">
        <v>2200286.0</v>
      </c>
      <c r="I1809" s="1">
        <v>42.0</v>
      </c>
    </row>
    <row r="1810" ht="15.75" customHeight="1">
      <c r="A1810" s="1">
        <v>5341994.0</v>
      </c>
      <c r="B1810" s="1" t="s">
        <v>4990</v>
      </c>
      <c r="C1810" s="1" t="s">
        <v>4991</v>
      </c>
      <c r="D1810" s="1" t="s">
        <v>224</v>
      </c>
      <c r="E1810" s="1" t="s">
        <v>1348</v>
      </c>
      <c r="F1810" s="1" t="s">
        <v>6717</v>
      </c>
      <c r="G1810" s="1" t="str">
        <f>IFERROR(VLOOKUP(A1810,H_C!$A$2:$G$2628,7,0),"Validar HC")</f>
        <v>Celi, Juan</v>
      </c>
      <c r="H1810" s="167">
        <v>2200286.0</v>
      </c>
      <c r="I1810" s="1">
        <v>42.0</v>
      </c>
    </row>
    <row r="1811" ht="15.75" customHeight="1">
      <c r="A1811" s="1">
        <v>5808847.0</v>
      </c>
      <c r="B1811" s="1" t="s">
        <v>4992</v>
      </c>
      <c r="C1811" s="1" t="s">
        <v>4993</v>
      </c>
      <c r="D1811" s="1" t="s">
        <v>224</v>
      </c>
      <c r="E1811" s="1" t="s">
        <v>1695</v>
      </c>
      <c r="F1811" s="1" t="s">
        <v>6717</v>
      </c>
      <c r="G1811" s="1" t="str">
        <f>IFERROR(VLOOKUP(A1811,H_C!$A$2:$G$2628,7,0),"Validar HC")</f>
        <v>Ayala, Giselle</v>
      </c>
      <c r="H1811" s="167">
        <v>2200286.0</v>
      </c>
      <c r="I1811" s="1">
        <v>42.0</v>
      </c>
    </row>
    <row r="1812" ht="15.75" customHeight="1">
      <c r="A1812" s="1">
        <v>5807910.0</v>
      </c>
      <c r="B1812" s="1" t="s">
        <v>4942</v>
      </c>
      <c r="C1812" s="1" t="s">
        <v>4943</v>
      </c>
      <c r="D1812" s="1" t="s">
        <v>224</v>
      </c>
      <c r="E1812" s="1" t="s">
        <v>316</v>
      </c>
      <c r="F1812" s="1" t="s">
        <v>6717</v>
      </c>
      <c r="G1812" s="1" t="str">
        <f>IFERROR(VLOOKUP(A1812,H_C!$A$2:$G$2628,7,0),"Validar HC")</f>
        <v>Osorio, Julian</v>
      </c>
      <c r="H1812" s="167">
        <v>2200286.0</v>
      </c>
      <c r="I1812" s="1">
        <v>42.0</v>
      </c>
    </row>
    <row r="1813" ht="15.75" customHeight="1">
      <c r="A1813" s="1">
        <v>5808878.0</v>
      </c>
      <c r="B1813" s="1" t="s">
        <v>3025</v>
      </c>
      <c r="C1813" s="1" t="s">
        <v>3026</v>
      </c>
      <c r="D1813" s="1" t="s">
        <v>224</v>
      </c>
      <c r="E1813" s="1" t="s">
        <v>316</v>
      </c>
      <c r="F1813" s="1" t="s">
        <v>6717</v>
      </c>
      <c r="G1813" s="1" t="str">
        <f>IFERROR(VLOOKUP(A1813,H_C!$A$2:$G$2628,7,0),"Validar HC")</f>
        <v>Osorio, Julian</v>
      </c>
      <c r="H1813" s="167">
        <v>2200286.0</v>
      </c>
      <c r="I1813" s="1">
        <v>42.0</v>
      </c>
    </row>
    <row r="1814" ht="15.75" customHeight="1">
      <c r="A1814" s="1">
        <v>5807553.0</v>
      </c>
      <c r="B1814" s="1" t="s">
        <v>4464</v>
      </c>
      <c r="C1814" s="1" t="s">
        <v>4465</v>
      </c>
      <c r="D1814" s="1" t="s">
        <v>224</v>
      </c>
      <c r="E1814" s="1" t="s">
        <v>695</v>
      </c>
      <c r="F1814" s="1" t="s">
        <v>6717</v>
      </c>
      <c r="G1814" s="1" t="str">
        <f>IFERROR(VLOOKUP(A1814,H_C!$A$2:$G$2628,7,0),"Validar HC")</f>
        <v>Ayala, Giselle</v>
      </c>
      <c r="H1814" s="167">
        <v>2200286.0</v>
      </c>
      <c r="I1814" s="1">
        <v>42.0</v>
      </c>
    </row>
    <row r="1815" ht="15.75" customHeight="1">
      <c r="A1815" s="1">
        <v>5806532.0</v>
      </c>
      <c r="B1815" s="1" t="s">
        <v>4996</v>
      </c>
      <c r="C1815" s="1" t="s">
        <v>4997</v>
      </c>
      <c r="D1815" s="1" t="s">
        <v>224</v>
      </c>
      <c r="E1815" s="1" t="s">
        <v>4119</v>
      </c>
      <c r="F1815" s="1" t="s">
        <v>6717</v>
      </c>
      <c r="G1815" s="1" t="str">
        <f>IFERROR(VLOOKUP(A1815,H_C!$A$2:$G$2628,7,0),"Validar HC")</f>
        <v>Gonzalez, Cristian</v>
      </c>
      <c r="H1815" s="167">
        <v>2200286.0</v>
      </c>
      <c r="I1815" s="1">
        <v>42.0</v>
      </c>
    </row>
    <row r="1816" ht="15.75" customHeight="1">
      <c r="A1816" s="1">
        <v>5808860.0</v>
      </c>
      <c r="B1816" s="1" t="s">
        <v>4998</v>
      </c>
      <c r="C1816" s="1" t="s">
        <v>4999</v>
      </c>
      <c r="D1816" s="1" t="s">
        <v>224</v>
      </c>
      <c r="E1816" s="1" t="s">
        <v>695</v>
      </c>
      <c r="F1816" s="1" t="s">
        <v>6717</v>
      </c>
      <c r="G1816" s="1" t="str">
        <f>IFERROR(VLOOKUP(A1816,H_C!$A$2:$G$2628,7,0),"Validar HC")</f>
        <v>Ayala, Giselle</v>
      </c>
      <c r="H1816" s="167">
        <v>2200286.0</v>
      </c>
      <c r="I1816" s="1">
        <v>42.0</v>
      </c>
    </row>
    <row r="1817" ht="15.75" customHeight="1">
      <c r="A1817" s="1">
        <v>5808842.0</v>
      </c>
      <c r="B1817" s="1" t="s">
        <v>1978</v>
      </c>
      <c r="C1817" s="1" t="s">
        <v>1979</v>
      </c>
      <c r="D1817" s="1" t="s">
        <v>224</v>
      </c>
      <c r="E1817" s="1" t="s">
        <v>316</v>
      </c>
      <c r="F1817" s="1" t="s">
        <v>6717</v>
      </c>
      <c r="G1817" s="1" t="str">
        <f>IFERROR(VLOOKUP(A1817,H_C!$A$2:$G$2628,7,0),"Validar HC")</f>
        <v>Osorio, Julian</v>
      </c>
      <c r="H1817" s="167">
        <v>2200286.0</v>
      </c>
      <c r="I1817" s="1">
        <v>42.0</v>
      </c>
    </row>
    <row r="1818" ht="15.75" customHeight="1">
      <c r="A1818" s="1">
        <v>5808867.0</v>
      </c>
      <c r="B1818" s="1" t="s">
        <v>2771</v>
      </c>
      <c r="C1818" s="1" t="s">
        <v>2772</v>
      </c>
      <c r="D1818" s="1" t="s">
        <v>224</v>
      </c>
      <c r="E1818" s="1" t="s">
        <v>121</v>
      </c>
      <c r="F1818" s="1" t="s">
        <v>6717</v>
      </c>
      <c r="G1818" s="1" t="str">
        <f>IFERROR(VLOOKUP(A1818,H_C!$A$2:$G$2628,7,0),"Validar HC")</f>
        <v>Ospina, Michel</v>
      </c>
      <c r="H1818" s="167">
        <v>2200286.0</v>
      </c>
      <c r="I1818" s="1">
        <v>42.0</v>
      </c>
    </row>
    <row r="1819" ht="15.75" customHeight="1">
      <c r="A1819" s="1">
        <v>5808871.0</v>
      </c>
      <c r="B1819" s="1" t="s">
        <v>2773</v>
      </c>
      <c r="C1819" s="1" t="s">
        <v>2774</v>
      </c>
      <c r="D1819" s="1" t="s">
        <v>224</v>
      </c>
      <c r="E1819" s="1" t="s">
        <v>121</v>
      </c>
      <c r="F1819" s="1" t="s">
        <v>6717</v>
      </c>
      <c r="G1819" s="1" t="str">
        <f>IFERROR(VLOOKUP(A1819,H_C!$A$2:$G$2628,7,0),"Validar HC")</f>
        <v>Ospina, Michel</v>
      </c>
      <c r="H1819" s="167">
        <v>2200286.0</v>
      </c>
      <c r="I1819" s="1">
        <v>42.0</v>
      </c>
    </row>
    <row r="1820" ht="15.75" customHeight="1">
      <c r="A1820" s="1">
        <v>5807810.0</v>
      </c>
      <c r="B1820" s="1" t="s">
        <v>2799</v>
      </c>
      <c r="C1820" s="1" t="s">
        <v>2800</v>
      </c>
      <c r="D1820" s="1" t="s">
        <v>224</v>
      </c>
      <c r="E1820" s="1" t="s">
        <v>121</v>
      </c>
      <c r="F1820" s="1" t="s">
        <v>6717</v>
      </c>
      <c r="G1820" s="1" t="str">
        <f>IFERROR(VLOOKUP(A1820,H_C!$A$2:$G$2628,7,0),"Validar HC")</f>
        <v>Ospina, Michel</v>
      </c>
      <c r="H1820" s="167">
        <v>2200286.0</v>
      </c>
      <c r="I1820" s="1">
        <v>42.0</v>
      </c>
    </row>
    <row r="1821" ht="15.75" customHeight="1">
      <c r="A1821" s="1">
        <v>5809824.0</v>
      </c>
      <c r="B1821" s="1" t="s">
        <v>5000</v>
      </c>
      <c r="C1821" s="1" t="s">
        <v>5001</v>
      </c>
      <c r="D1821" s="1" t="s">
        <v>224</v>
      </c>
      <c r="E1821" s="1" t="s">
        <v>121</v>
      </c>
      <c r="F1821" s="1" t="s">
        <v>6717</v>
      </c>
      <c r="G1821" s="1" t="str">
        <f>IFERROR(VLOOKUP(A1821,H_C!$A$2:$G$2628,7,0),"Validar HC")</f>
        <v>Ospina, Michel</v>
      </c>
      <c r="H1821" s="167">
        <v>2200286.0</v>
      </c>
      <c r="I1821" s="1">
        <v>42.0</v>
      </c>
    </row>
    <row r="1822" ht="15.75" customHeight="1">
      <c r="A1822" s="1">
        <v>5812835.0</v>
      </c>
      <c r="B1822" s="1" t="s">
        <v>5002</v>
      </c>
      <c r="C1822" s="1" t="s">
        <v>5003</v>
      </c>
      <c r="D1822" s="1" t="s">
        <v>224</v>
      </c>
      <c r="E1822" s="1" t="s">
        <v>738</v>
      </c>
      <c r="F1822" s="1" t="s">
        <v>6717</v>
      </c>
      <c r="G1822" s="1" t="str">
        <f>IFERROR(VLOOKUP(A1822,H_C!$A$2:$G$2628,7,0),"Validar HC")</f>
        <v>Garcia, Helmer</v>
      </c>
      <c r="H1822" s="167">
        <v>2200286.0</v>
      </c>
      <c r="I1822" s="1">
        <v>42.0</v>
      </c>
    </row>
    <row r="1823" ht="15.75" customHeight="1">
      <c r="A1823" s="1">
        <v>5813406.0</v>
      </c>
      <c r="B1823" s="1" t="s">
        <v>4061</v>
      </c>
      <c r="C1823" s="1" t="s">
        <v>4062</v>
      </c>
      <c r="D1823" s="1" t="s">
        <v>224</v>
      </c>
      <c r="E1823" s="1" t="s">
        <v>738</v>
      </c>
      <c r="F1823" s="1" t="s">
        <v>6717</v>
      </c>
      <c r="G1823" s="1" t="str">
        <f>IFERROR(VLOOKUP(A1823,H_C!$A$2:$G$2628,7,0),"Validar HC")</f>
        <v>Garcia, Helmer</v>
      </c>
      <c r="H1823" s="167">
        <v>2200286.0</v>
      </c>
      <c r="I1823" s="1">
        <v>42.0</v>
      </c>
    </row>
    <row r="1824" ht="15.75" customHeight="1">
      <c r="A1824" s="1">
        <v>5814363.0</v>
      </c>
      <c r="B1824" s="1" t="s">
        <v>2795</v>
      </c>
      <c r="C1824" s="1" t="s">
        <v>2796</v>
      </c>
      <c r="D1824" s="1" t="s">
        <v>224</v>
      </c>
      <c r="E1824" s="1" t="s">
        <v>121</v>
      </c>
      <c r="F1824" s="1" t="s">
        <v>6717</v>
      </c>
      <c r="G1824" s="1" t="str">
        <f>IFERROR(VLOOKUP(A1824,H_C!$A$2:$G$2628,7,0),"Validar HC")</f>
        <v>Ospina, Michel</v>
      </c>
      <c r="H1824" s="167">
        <v>2200286.0</v>
      </c>
      <c r="I1824" s="1">
        <v>42.0</v>
      </c>
    </row>
    <row r="1825" ht="15.75" customHeight="1">
      <c r="A1825" s="1">
        <v>5820337.0</v>
      </c>
      <c r="B1825" s="1" t="s">
        <v>4906</v>
      </c>
      <c r="C1825" s="1" t="s">
        <v>4907</v>
      </c>
      <c r="D1825" s="1" t="s">
        <v>224</v>
      </c>
      <c r="E1825" s="1" t="s">
        <v>416</v>
      </c>
      <c r="F1825" s="1" t="s">
        <v>6717</v>
      </c>
      <c r="G1825" s="1" t="str">
        <f>IFERROR(VLOOKUP(A1825,H_C!$A$2:$G$2628,7,0),"Validar HC")</f>
        <v>Soler, Maria</v>
      </c>
      <c r="H1825" s="167">
        <v>2200286.0</v>
      </c>
      <c r="I1825" s="1">
        <v>42.0</v>
      </c>
    </row>
    <row r="1826" ht="15.75" customHeight="1">
      <c r="A1826" s="1">
        <v>5827463.0</v>
      </c>
      <c r="B1826" s="1" t="s">
        <v>4518</v>
      </c>
      <c r="C1826" s="1" t="s">
        <v>4519</v>
      </c>
      <c r="D1826" s="1" t="s">
        <v>224</v>
      </c>
      <c r="E1826" s="1" t="s">
        <v>120</v>
      </c>
      <c r="F1826" s="1" t="s">
        <v>6717</v>
      </c>
      <c r="G1826" s="1" t="str">
        <f>IFERROR(VLOOKUP(A1826,H_C!$A$2:$G$2628,7,0),"Validar HC")</f>
        <v>Ospina, Michel</v>
      </c>
      <c r="H1826" s="167">
        <v>2200286.0</v>
      </c>
      <c r="I1826" s="1">
        <v>42.0</v>
      </c>
    </row>
    <row r="1827" ht="15.75" customHeight="1">
      <c r="A1827" s="1">
        <v>4979179.0</v>
      </c>
      <c r="B1827" s="1" t="s">
        <v>5008</v>
      </c>
      <c r="C1827" s="1" t="s">
        <v>5009</v>
      </c>
      <c r="D1827" s="1" t="s">
        <v>224</v>
      </c>
      <c r="E1827" s="1" t="s">
        <v>222</v>
      </c>
      <c r="F1827" s="1" t="s">
        <v>6717</v>
      </c>
      <c r="G1827" s="1" t="str">
        <f>IFERROR(VLOOKUP(A1827,H_C!$A$2:$G$2628,7,0),"Validar HC")</f>
        <v>Soler, Maria</v>
      </c>
      <c r="H1827" s="167">
        <v>2200286.0</v>
      </c>
      <c r="I1827" s="1">
        <v>42.0</v>
      </c>
    </row>
    <row r="1828" ht="15.75" customHeight="1">
      <c r="A1828" s="1">
        <v>5827736.0</v>
      </c>
      <c r="B1828" s="1" t="s">
        <v>3851</v>
      </c>
      <c r="C1828" s="1" t="s">
        <v>3852</v>
      </c>
      <c r="D1828" s="1" t="s">
        <v>224</v>
      </c>
      <c r="E1828" s="1" t="s">
        <v>232</v>
      </c>
      <c r="F1828" s="1" t="s">
        <v>6717</v>
      </c>
      <c r="G1828" s="1" t="str">
        <f>IFERROR(VLOOKUP(A1828,H_C!$A$2:$G$2628,7,0),"Validar HC")</f>
        <v>Soler, Maria</v>
      </c>
      <c r="H1828" s="167">
        <v>2200286.0</v>
      </c>
      <c r="I1828" s="1">
        <v>42.0</v>
      </c>
    </row>
    <row r="1829" ht="15.75" customHeight="1">
      <c r="A1829" s="1">
        <v>4386514.0</v>
      </c>
      <c r="B1829" s="1" t="s">
        <v>507</v>
      </c>
      <c r="C1829" s="1" t="s">
        <v>508</v>
      </c>
      <c r="D1829" s="1" t="s">
        <v>224</v>
      </c>
      <c r="E1829" s="1" t="s">
        <v>232</v>
      </c>
      <c r="F1829" s="1" t="s">
        <v>6717</v>
      </c>
      <c r="G1829" s="1" t="str">
        <f>IFERROR(VLOOKUP(A1829,H_C!$A$2:$G$2628,7,0),"Validar HC")</f>
        <v>Soler, Maria</v>
      </c>
      <c r="H1829" s="167">
        <v>2200286.0</v>
      </c>
      <c r="I1829" s="1">
        <v>42.0</v>
      </c>
    </row>
    <row r="1830" ht="15.75" customHeight="1">
      <c r="A1830" s="1">
        <v>5458108.0</v>
      </c>
      <c r="B1830" s="1" t="s">
        <v>708</v>
      </c>
      <c r="C1830" s="1" t="s">
        <v>709</v>
      </c>
      <c r="D1830" s="1" t="s">
        <v>224</v>
      </c>
      <c r="E1830" s="1" t="s">
        <v>239</v>
      </c>
      <c r="F1830" s="1" t="s">
        <v>6717</v>
      </c>
      <c r="G1830" s="1" t="str">
        <f>IFERROR(VLOOKUP(A1830,H_C!$A$2:$G$2628,7,0),"Validar HC")</f>
        <v>Soler, Maria</v>
      </c>
      <c r="H1830" s="167">
        <v>2200286.0</v>
      </c>
      <c r="I1830" s="1">
        <v>42.0</v>
      </c>
    </row>
    <row r="1831" ht="15.75" customHeight="1">
      <c r="A1831" s="1">
        <v>4941753.0</v>
      </c>
      <c r="B1831" s="1" t="s">
        <v>6788</v>
      </c>
      <c r="C1831" s="1" t="s">
        <v>6789</v>
      </c>
      <c r="D1831" s="1" t="s">
        <v>224</v>
      </c>
      <c r="E1831" s="1" t="s">
        <v>232</v>
      </c>
      <c r="F1831" s="1" t="s">
        <v>6717</v>
      </c>
      <c r="G1831" s="1" t="str">
        <f>IFERROR(VLOOKUP(A1831,H_C!$A$2:$G$2628,7,0),"Validar HC")</f>
        <v>Validar HC</v>
      </c>
      <c r="H1831" s="167">
        <v>2200286.0</v>
      </c>
      <c r="I1831" s="1">
        <v>42.0</v>
      </c>
    </row>
    <row r="1832" ht="15.75" customHeight="1">
      <c r="A1832" s="1">
        <v>5828718.0</v>
      </c>
      <c r="B1832" s="1" t="s">
        <v>461</v>
      </c>
      <c r="C1832" s="1" t="s">
        <v>462</v>
      </c>
      <c r="D1832" s="1" t="s">
        <v>224</v>
      </c>
      <c r="E1832" s="1" t="s">
        <v>232</v>
      </c>
      <c r="F1832" s="1" t="s">
        <v>6717</v>
      </c>
      <c r="G1832" s="1" t="str">
        <f>IFERROR(VLOOKUP(A1832,H_C!$A$2:$G$2628,7,0),"Validar HC")</f>
        <v>Soler, Maria</v>
      </c>
      <c r="H1832" s="167">
        <v>2200286.0</v>
      </c>
      <c r="I1832" s="1">
        <v>42.0</v>
      </c>
    </row>
    <row r="1833" ht="15.75" customHeight="1">
      <c r="A1833" s="1">
        <v>5827739.0</v>
      </c>
      <c r="B1833" s="1" t="s">
        <v>5012</v>
      </c>
      <c r="C1833" s="1" t="s">
        <v>5013</v>
      </c>
      <c r="D1833" s="1" t="s">
        <v>224</v>
      </c>
      <c r="E1833" s="1" t="s">
        <v>222</v>
      </c>
      <c r="F1833" s="1" t="s">
        <v>6717</v>
      </c>
      <c r="G1833" s="1" t="str">
        <f>IFERROR(VLOOKUP(A1833,H_C!$A$2:$G$2628,7,0),"Validar HC")</f>
        <v>Soler, Maria</v>
      </c>
      <c r="H1833" s="167">
        <v>2200286.0</v>
      </c>
      <c r="I1833" s="1">
        <v>42.0</v>
      </c>
    </row>
    <row r="1834" ht="15.75" customHeight="1">
      <c r="A1834" s="1">
        <v>5827740.0</v>
      </c>
      <c r="B1834" s="1" t="s">
        <v>5016</v>
      </c>
      <c r="C1834" s="1" t="s">
        <v>5017</v>
      </c>
      <c r="D1834" s="1" t="s">
        <v>224</v>
      </c>
      <c r="E1834" s="1" t="s">
        <v>841</v>
      </c>
      <c r="F1834" s="1" t="s">
        <v>6717</v>
      </c>
      <c r="G1834" s="1" t="str">
        <f>IFERROR(VLOOKUP(A1834,H_C!$A$2:$G$2628,7,0),"Validar HC")</f>
        <v>Soler, Maria</v>
      </c>
      <c r="H1834" s="167">
        <v>2200286.0</v>
      </c>
      <c r="I1834" s="1">
        <v>42.0</v>
      </c>
    </row>
    <row r="1835" ht="15.75" customHeight="1">
      <c r="A1835" s="1">
        <v>5827747.0</v>
      </c>
      <c r="B1835" s="1" t="s">
        <v>1707</v>
      </c>
      <c r="C1835" s="1" t="s">
        <v>1708</v>
      </c>
      <c r="D1835" s="1" t="s">
        <v>224</v>
      </c>
      <c r="E1835" s="1" t="s">
        <v>416</v>
      </c>
      <c r="F1835" s="1" t="s">
        <v>6717</v>
      </c>
      <c r="G1835" s="1" t="str">
        <f>IFERROR(VLOOKUP(A1835,H_C!$A$2:$G$2628,7,0),"Validar HC")</f>
        <v>Soler, Maria</v>
      </c>
      <c r="H1835" s="167">
        <v>2200286.0</v>
      </c>
      <c r="I1835" s="1">
        <v>42.0</v>
      </c>
    </row>
    <row r="1836" ht="15.75" customHeight="1">
      <c r="A1836" s="1">
        <v>5827790.0</v>
      </c>
      <c r="B1836" s="1" t="s">
        <v>5018</v>
      </c>
      <c r="C1836" s="1" t="s">
        <v>5019</v>
      </c>
      <c r="D1836" s="1" t="s">
        <v>224</v>
      </c>
      <c r="E1836" s="1" t="s">
        <v>416</v>
      </c>
      <c r="F1836" s="1" t="s">
        <v>6717</v>
      </c>
      <c r="G1836" s="1" t="str">
        <f>IFERROR(VLOOKUP(A1836,H_C!$A$2:$G$2628,7,0),"Validar HC")</f>
        <v>Soler, Maria</v>
      </c>
      <c r="H1836" s="167">
        <v>2200286.0</v>
      </c>
      <c r="I1836" s="1">
        <v>42.0</v>
      </c>
    </row>
    <row r="1837" ht="15.75" customHeight="1">
      <c r="A1837" s="1">
        <v>5830938.0</v>
      </c>
      <c r="B1837" s="1" t="s">
        <v>5022</v>
      </c>
      <c r="C1837" s="1" t="s">
        <v>5023</v>
      </c>
      <c r="D1837" s="1" t="s">
        <v>224</v>
      </c>
      <c r="E1837" s="1" t="s">
        <v>416</v>
      </c>
      <c r="F1837" s="1" t="s">
        <v>6717</v>
      </c>
      <c r="G1837" s="1" t="str">
        <f>IFERROR(VLOOKUP(A1837,H_C!$A$2:$G$2628,7,0),"Validar HC")</f>
        <v>Soler, Maria</v>
      </c>
      <c r="H1837" s="167">
        <v>2200286.0</v>
      </c>
      <c r="I1837" s="1">
        <v>42.0</v>
      </c>
    </row>
    <row r="1838" ht="15.75" customHeight="1">
      <c r="A1838" s="1">
        <v>5832431.0</v>
      </c>
      <c r="B1838" s="1" t="s">
        <v>4892</v>
      </c>
      <c r="C1838" s="1" t="s">
        <v>4893</v>
      </c>
      <c r="D1838" s="1" t="s">
        <v>224</v>
      </c>
      <c r="E1838" s="1" t="s">
        <v>416</v>
      </c>
      <c r="F1838" s="1" t="s">
        <v>6717</v>
      </c>
      <c r="G1838" s="1" t="str">
        <f>IFERROR(VLOOKUP(A1838,H_C!$A$2:$G$2628,7,0),"Validar HC")</f>
        <v>Soler, Maria</v>
      </c>
      <c r="H1838" s="167">
        <v>2200286.0</v>
      </c>
      <c r="I1838" s="1">
        <v>42.0</v>
      </c>
    </row>
    <row r="1839" ht="15.75" customHeight="1">
      <c r="A1839" s="1">
        <v>5832209.0</v>
      </c>
      <c r="B1839" s="1" t="s">
        <v>4908</v>
      </c>
      <c r="C1839" s="1" t="s">
        <v>4909</v>
      </c>
      <c r="D1839" s="1" t="s">
        <v>224</v>
      </c>
      <c r="E1839" s="1" t="s">
        <v>416</v>
      </c>
      <c r="F1839" s="1" t="s">
        <v>6717</v>
      </c>
      <c r="G1839" s="1" t="str">
        <f>IFERROR(VLOOKUP(A1839,H_C!$A$2:$G$2628,7,0),"Validar HC")</f>
        <v>Soler, Maria</v>
      </c>
      <c r="H1839" s="167">
        <v>2200286.0</v>
      </c>
      <c r="I1839" s="1">
        <v>42.0</v>
      </c>
    </row>
    <row r="1840" ht="15.75" customHeight="1">
      <c r="A1840" s="1">
        <v>5832392.0</v>
      </c>
      <c r="B1840" s="1" t="s">
        <v>956</v>
      </c>
      <c r="C1840" s="1" t="s">
        <v>957</v>
      </c>
      <c r="D1840" s="1" t="s">
        <v>224</v>
      </c>
      <c r="E1840" s="1" t="s">
        <v>118</v>
      </c>
      <c r="F1840" s="1" t="s">
        <v>6717</v>
      </c>
      <c r="G1840" s="1" t="str">
        <f>IFERROR(VLOOKUP(A1840,H_C!$A$2:$G$2628,7,0),"Validar HC")</f>
        <v>Ospina, Michel</v>
      </c>
      <c r="H1840" s="167">
        <v>2200286.0</v>
      </c>
      <c r="I1840" s="1">
        <v>42.0</v>
      </c>
    </row>
    <row r="1841" ht="15.75" customHeight="1">
      <c r="A1841" s="1">
        <v>5834135.0</v>
      </c>
      <c r="B1841" s="1" t="s">
        <v>5028</v>
      </c>
      <c r="C1841" s="1" t="s">
        <v>5029</v>
      </c>
      <c r="D1841" s="1" t="s">
        <v>224</v>
      </c>
      <c r="E1841" s="1" t="s">
        <v>120</v>
      </c>
      <c r="F1841" s="1" t="s">
        <v>6717</v>
      </c>
      <c r="G1841" s="1" t="str">
        <f>IFERROR(VLOOKUP(A1841,H_C!$A$2:$G$2628,7,0),"Validar HC")</f>
        <v>Ospina, Michel</v>
      </c>
      <c r="H1841" s="167">
        <v>2200286.0</v>
      </c>
      <c r="I1841" s="1">
        <v>42.0</v>
      </c>
    </row>
    <row r="1842" ht="15.75" customHeight="1">
      <c r="A1842" s="1">
        <v>5832391.0</v>
      </c>
      <c r="B1842" s="1" t="s">
        <v>3570</v>
      </c>
      <c r="C1842" s="1" t="s">
        <v>3571</v>
      </c>
      <c r="D1842" s="1" t="s">
        <v>224</v>
      </c>
      <c r="E1842" s="1" t="s">
        <v>118</v>
      </c>
      <c r="F1842" s="1" t="s">
        <v>6717</v>
      </c>
      <c r="G1842" s="1" t="str">
        <f>IFERROR(VLOOKUP(A1842,H_C!$A$2:$G$2628,7,0),"Validar HC")</f>
        <v>Ospina, Michel</v>
      </c>
      <c r="H1842" s="167">
        <v>2200286.0</v>
      </c>
      <c r="I1842" s="1">
        <v>42.0</v>
      </c>
    </row>
    <row r="1843" ht="15.75" customHeight="1">
      <c r="A1843" s="1">
        <v>5831045.0</v>
      </c>
      <c r="B1843" s="1" t="s">
        <v>934</v>
      </c>
      <c r="C1843" s="1" t="s">
        <v>935</v>
      </c>
      <c r="D1843" s="1" t="s">
        <v>224</v>
      </c>
      <c r="E1843" s="1" t="s">
        <v>118</v>
      </c>
      <c r="F1843" s="1" t="s">
        <v>6717</v>
      </c>
      <c r="G1843" s="1" t="str">
        <f>IFERROR(VLOOKUP(A1843,H_C!$A$2:$G$2628,7,0),"Validar HC")</f>
        <v>Ospina, Michel</v>
      </c>
      <c r="H1843" s="167">
        <v>2200286.0</v>
      </c>
      <c r="I1843" s="1">
        <v>42.0</v>
      </c>
    </row>
    <row r="1844" ht="15.75" customHeight="1">
      <c r="A1844" s="1">
        <v>5564257.0</v>
      </c>
      <c r="B1844" s="1" t="s">
        <v>5032</v>
      </c>
      <c r="C1844" s="1" t="s">
        <v>5033</v>
      </c>
      <c r="D1844" s="1" t="s">
        <v>224</v>
      </c>
      <c r="E1844" s="1" t="s">
        <v>1932</v>
      </c>
      <c r="F1844" s="1" t="s">
        <v>6717</v>
      </c>
      <c r="G1844" s="1" t="str">
        <f>IFERROR(VLOOKUP(A1844,H_C!$A$2:$G$2628,7,0),"Validar HC")</f>
        <v>Garatejo, Natalia</v>
      </c>
      <c r="H1844" s="167">
        <v>2200286.0</v>
      </c>
      <c r="I1844" s="1">
        <v>42.0</v>
      </c>
    </row>
    <row r="1845" ht="15.75" customHeight="1">
      <c r="A1845" s="1">
        <v>5550853.0</v>
      </c>
      <c r="B1845" s="1" t="s">
        <v>1770</v>
      </c>
      <c r="C1845" s="1" t="s">
        <v>1771</v>
      </c>
      <c r="D1845" s="1" t="s">
        <v>224</v>
      </c>
      <c r="E1845" s="1" t="s">
        <v>835</v>
      </c>
      <c r="F1845" s="1" t="s">
        <v>6717</v>
      </c>
      <c r="G1845" s="1" t="str">
        <f>IFERROR(VLOOKUP(A1845,H_C!$A$2:$G$2628,7,0),"Validar HC")</f>
        <v>Martinez, Wendy</v>
      </c>
      <c r="H1845" s="167">
        <v>2200286.0</v>
      </c>
      <c r="I1845" s="1">
        <v>42.0</v>
      </c>
    </row>
    <row r="1846" ht="15.75" customHeight="1">
      <c r="A1846" s="1">
        <v>5559205.0</v>
      </c>
      <c r="B1846" s="1" t="s">
        <v>1785</v>
      </c>
      <c r="C1846" s="1" t="s">
        <v>1786</v>
      </c>
      <c r="D1846" s="1" t="s">
        <v>224</v>
      </c>
      <c r="E1846" s="1" t="s">
        <v>835</v>
      </c>
      <c r="F1846" s="1" t="s">
        <v>6717</v>
      </c>
      <c r="G1846" s="1" t="str">
        <f>IFERROR(VLOOKUP(A1846,H_C!$A$2:$G$2628,7,0),"Validar HC")</f>
        <v>Martinez, Wendy</v>
      </c>
      <c r="H1846" s="167">
        <v>2200286.0</v>
      </c>
      <c r="I1846" s="1">
        <v>42.0</v>
      </c>
    </row>
    <row r="1847" ht="15.75" customHeight="1">
      <c r="A1847" s="1">
        <v>5564254.0</v>
      </c>
      <c r="B1847" s="1" t="s">
        <v>5036</v>
      </c>
      <c r="C1847" s="1" t="s">
        <v>5037</v>
      </c>
      <c r="D1847" s="1" t="s">
        <v>224</v>
      </c>
      <c r="E1847" s="1" t="s">
        <v>835</v>
      </c>
      <c r="F1847" s="1" t="s">
        <v>6717</v>
      </c>
      <c r="G1847" s="1" t="str">
        <f>IFERROR(VLOOKUP(A1847,H_C!$A$2:$G$2628,7,0),"Validar HC")</f>
        <v>Martinez, Wendy</v>
      </c>
      <c r="H1847" s="167">
        <v>2200286.0</v>
      </c>
      <c r="I1847" s="1">
        <v>42.0</v>
      </c>
    </row>
    <row r="1848" ht="15.75" customHeight="1">
      <c r="A1848" s="1">
        <v>5835554.0</v>
      </c>
      <c r="B1848" s="1" t="s">
        <v>4798</v>
      </c>
      <c r="C1848" s="1" t="s">
        <v>4799</v>
      </c>
      <c r="D1848" s="1" t="s">
        <v>224</v>
      </c>
      <c r="E1848" s="1" t="s">
        <v>232</v>
      </c>
      <c r="F1848" s="1" t="s">
        <v>6717</v>
      </c>
      <c r="G1848" s="1" t="str">
        <f>IFERROR(VLOOKUP(A1848,H_C!$A$2:$G$2628,7,0),"Validar HC")</f>
        <v>Soler, Maria</v>
      </c>
      <c r="H1848" s="167">
        <v>2200286.0</v>
      </c>
      <c r="I1848" s="1">
        <v>42.0</v>
      </c>
    </row>
    <row r="1849" ht="15.75" customHeight="1">
      <c r="A1849" s="1">
        <v>5834578.0</v>
      </c>
      <c r="B1849" s="1" t="s">
        <v>4514</v>
      </c>
      <c r="C1849" s="1" t="s">
        <v>4515</v>
      </c>
      <c r="D1849" s="1" t="s">
        <v>224</v>
      </c>
      <c r="E1849" s="1" t="s">
        <v>120</v>
      </c>
      <c r="F1849" s="1" t="s">
        <v>6717</v>
      </c>
      <c r="G1849" s="1" t="str">
        <f>IFERROR(VLOOKUP(A1849,H_C!$A$2:$G$2628,7,0),"Validar HC")</f>
        <v>Ospina, Michel</v>
      </c>
      <c r="H1849" s="167">
        <v>2200286.0</v>
      </c>
      <c r="I1849" s="1">
        <v>42.0</v>
      </c>
    </row>
    <row r="1850" ht="15.75" customHeight="1">
      <c r="A1850" s="1">
        <v>5834647.0</v>
      </c>
      <c r="B1850" s="1" t="s">
        <v>5040</v>
      </c>
      <c r="C1850" s="1" t="s">
        <v>5041</v>
      </c>
      <c r="D1850" s="1" t="s">
        <v>224</v>
      </c>
      <c r="E1850" s="1" t="s">
        <v>425</v>
      </c>
      <c r="F1850" s="1" t="s">
        <v>6717</v>
      </c>
      <c r="G1850" s="1" t="str">
        <f>IFERROR(VLOOKUP(A1850,H_C!$A$2:$G$2628,7,0),"Validar HC")</f>
        <v>Ospina, Michel</v>
      </c>
      <c r="H1850" s="167">
        <v>2200286.0</v>
      </c>
      <c r="I1850" s="1">
        <v>42.0</v>
      </c>
    </row>
    <row r="1851" ht="15.75" customHeight="1">
      <c r="A1851" s="1">
        <v>5835435.0</v>
      </c>
      <c r="B1851" s="1" t="s">
        <v>5042</v>
      </c>
      <c r="C1851" s="1" t="s">
        <v>5043</v>
      </c>
      <c r="D1851" s="1" t="s">
        <v>224</v>
      </c>
      <c r="E1851" s="1" t="s">
        <v>120</v>
      </c>
      <c r="F1851" s="1" t="s">
        <v>6717</v>
      </c>
      <c r="G1851" s="1" t="str">
        <f>IFERROR(VLOOKUP(A1851,H_C!$A$2:$G$2628,7,0),"Validar HC")</f>
        <v>Ospina, Michel</v>
      </c>
      <c r="H1851" s="167">
        <v>2200286.0</v>
      </c>
      <c r="I1851" s="1">
        <v>42.0</v>
      </c>
    </row>
    <row r="1852" ht="15.75" customHeight="1">
      <c r="A1852" s="1">
        <v>5834642.0</v>
      </c>
      <c r="B1852" s="1" t="s">
        <v>5046</v>
      </c>
      <c r="C1852" s="1" t="s">
        <v>5047</v>
      </c>
      <c r="D1852" s="1" t="s">
        <v>224</v>
      </c>
      <c r="E1852" s="1" t="s">
        <v>120</v>
      </c>
      <c r="F1852" s="1" t="s">
        <v>6717</v>
      </c>
      <c r="G1852" s="1" t="str">
        <f>IFERROR(VLOOKUP(A1852,H_C!$A$2:$G$2628,7,0),"Validar HC")</f>
        <v>Ospina, Michel</v>
      </c>
      <c r="H1852" s="167">
        <v>2200286.0</v>
      </c>
      <c r="I1852" s="1">
        <v>42.0</v>
      </c>
    </row>
    <row r="1853" ht="15.75" customHeight="1">
      <c r="A1853" s="1">
        <v>5830517.0</v>
      </c>
      <c r="B1853" s="1" t="s">
        <v>3805</v>
      </c>
      <c r="C1853" s="1" t="s">
        <v>3806</v>
      </c>
      <c r="D1853" s="1" t="s">
        <v>224</v>
      </c>
      <c r="E1853" s="1" t="s">
        <v>491</v>
      </c>
      <c r="F1853" s="1" t="s">
        <v>6717</v>
      </c>
      <c r="G1853" s="1" t="str">
        <f>IFERROR(VLOOKUP(A1853,H_C!$A$2:$G$2628,7,0),"Validar HC")</f>
        <v>Soler, Maria</v>
      </c>
      <c r="H1853" s="167">
        <v>2200286.0</v>
      </c>
      <c r="I1853" s="1">
        <v>42.0</v>
      </c>
    </row>
    <row r="1854" ht="15.75" customHeight="1">
      <c r="A1854" s="1">
        <v>5365360.0</v>
      </c>
      <c r="B1854" s="1" t="s">
        <v>6790</v>
      </c>
      <c r="C1854" s="1" t="s">
        <v>6791</v>
      </c>
      <c r="D1854" s="1" t="s">
        <v>224</v>
      </c>
      <c r="E1854" s="1" t="s">
        <v>239</v>
      </c>
      <c r="F1854" s="1" t="s">
        <v>6717</v>
      </c>
      <c r="G1854" s="1" t="str">
        <f>IFERROR(VLOOKUP(A1854,H_C!$A$2:$G$2628,7,0),"Validar HC")</f>
        <v>Validar HC</v>
      </c>
      <c r="H1854" s="167">
        <v>2200286.0</v>
      </c>
      <c r="I1854" s="1">
        <v>42.0</v>
      </c>
    </row>
    <row r="1855" ht="15.75" customHeight="1">
      <c r="A1855" s="1">
        <v>5828686.0</v>
      </c>
      <c r="B1855" s="1" t="s">
        <v>4930</v>
      </c>
      <c r="C1855" s="1" t="s">
        <v>4931</v>
      </c>
      <c r="D1855" s="1" t="s">
        <v>224</v>
      </c>
      <c r="E1855" s="1" t="s">
        <v>1044</v>
      </c>
      <c r="F1855" s="1" t="s">
        <v>6717</v>
      </c>
      <c r="G1855" s="1" t="str">
        <f>IFERROR(VLOOKUP(A1855,H_C!$A$2:$G$2628,7,0),"Validar HC")</f>
        <v>Gonzalez, Cristian</v>
      </c>
      <c r="H1855" s="167">
        <v>2200286.0</v>
      </c>
      <c r="I1855" s="1">
        <v>42.0</v>
      </c>
    </row>
    <row r="1856" ht="15.75" customHeight="1">
      <c r="A1856" s="1">
        <v>5828681.0</v>
      </c>
      <c r="B1856" s="1" t="s">
        <v>4634</v>
      </c>
      <c r="C1856" s="1" t="s">
        <v>4635</v>
      </c>
      <c r="D1856" s="1" t="s">
        <v>224</v>
      </c>
      <c r="E1856" s="1" t="s">
        <v>632</v>
      </c>
      <c r="F1856" s="1" t="s">
        <v>6717</v>
      </c>
      <c r="G1856" s="1" t="str">
        <f>IFERROR(VLOOKUP(A1856,H_C!$A$2:$G$2628,7,0),"Validar HC")</f>
        <v>Gonzalez, Cristian</v>
      </c>
      <c r="H1856" s="167">
        <v>2200286.0</v>
      </c>
      <c r="I1856" s="1">
        <v>42.0</v>
      </c>
    </row>
    <row r="1857" ht="15.75" customHeight="1">
      <c r="A1857" s="1">
        <v>5828685.0</v>
      </c>
      <c r="B1857" s="1" t="s">
        <v>4922</v>
      </c>
      <c r="C1857" s="1" t="s">
        <v>4923</v>
      </c>
      <c r="D1857" s="1" t="s">
        <v>224</v>
      </c>
      <c r="E1857" s="1" t="s">
        <v>806</v>
      </c>
      <c r="F1857" s="1" t="s">
        <v>6717</v>
      </c>
      <c r="G1857" s="1" t="str">
        <f>IFERROR(VLOOKUP(A1857,H_C!$A$2:$G$2628,7,0),"Validar HC")</f>
        <v>Gonzalez, Cristian</v>
      </c>
      <c r="H1857" s="167">
        <v>2200286.0</v>
      </c>
      <c r="I1857" s="1">
        <v>42.0</v>
      </c>
    </row>
    <row r="1858" ht="15.75" customHeight="1">
      <c r="A1858" s="1">
        <v>4798978.0</v>
      </c>
      <c r="B1858" s="1" t="s">
        <v>5052</v>
      </c>
      <c r="C1858" s="1" t="s">
        <v>5053</v>
      </c>
      <c r="D1858" s="1" t="s">
        <v>224</v>
      </c>
      <c r="E1858" s="1" t="s">
        <v>478</v>
      </c>
      <c r="F1858" s="1" t="s">
        <v>6717</v>
      </c>
      <c r="G1858" s="1" t="str">
        <f>IFERROR(VLOOKUP(A1858,H_C!$A$2:$G$2628,7,0),"Validar HC")</f>
        <v>Celi, Juan</v>
      </c>
      <c r="H1858" s="167">
        <v>2200286.0</v>
      </c>
      <c r="I1858" s="1">
        <v>42.0</v>
      </c>
    </row>
    <row r="1859" ht="15.75" customHeight="1">
      <c r="A1859" s="1">
        <v>5840280.0</v>
      </c>
      <c r="B1859" s="1" t="s">
        <v>2681</v>
      </c>
      <c r="C1859" s="1" t="s">
        <v>2682</v>
      </c>
      <c r="D1859" s="1" t="s">
        <v>224</v>
      </c>
      <c r="E1859" s="1" t="s">
        <v>478</v>
      </c>
      <c r="F1859" s="1" t="s">
        <v>6717</v>
      </c>
      <c r="G1859" s="1" t="str">
        <f>IFERROR(VLOOKUP(A1859,H_C!$A$2:$G$2628,7,0),"Validar HC")</f>
        <v>Celi, Juan</v>
      </c>
      <c r="H1859" s="167">
        <v>2200286.0</v>
      </c>
      <c r="I1859" s="1">
        <v>42.0</v>
      </c>
    </row>
    <row r="1860" ht="15.75" customHeight="1">
      <c r="A1860" s="1">
        <v>5842669.0</v>
      </c>
      <c r="B1860" s="1" t="s">
        <v>5058</v>
      </c>
      <c r="C1860" s="1" t="s">
        <v>5059</v>
      </c>
      <c r="D1860" s="1" t="s">
        <v>224</v>
      </c>
      <c r="E1860" s="1" t="s">
        <v>316</v>
      </c>
      <c r="F1860" s="1" t="s">
        <v>6717</v>
      </c>
      <c r="G1860" s="1" t="str">
        <f>IFERROR(VLOOKUP(A1860,H_C!$A$2:$G$2628,7,0),"Validar HC")</f>
        <v>Osorio, Julian</v>
      </c>
      <c r="H1860" s="167">
        <v>2200286.0</v>
      </c>
      <c r="I1860" s="1">
        <v>42.0</v>
      </c>
    </row>
    <row r="1861" ht="15.75" customHeight="1">
      <c r="A1861" s="1">
        <v>5842404.0</v>
      </c>
      <c r="B1861" s="1" t="s">
        <v>5060</v>
      </c>
      <c r="C1861" s="1" t="s">
        <v>5061</v>
      </c>
      <c r="D1861" s="1" t="s">
        <v>224</v>
      </c>
      <c r="E1861" s="1" t="s">
        <v>316</v>
      </c>
      <c r="F1861" s="1" t="s">
        <v>6717</v>
      </c>
      <c r="G1861" s="1" t="str">
        <f>IFERROR(VLOOKUP(A1861,H_C!$A$2:$G$2628,7,0),"Validar HC")</f>
        <v>Osorio, Julian</v>
      </c>
      <c r="H1861" s="167">
        <v>2200286.0</v>
      </c>
      <c r="I1861" s="1">
        <v>42.0</v>
      </c>
    </row>
    <row r="1862" ht="15.75" customHeight="1">
      <c r="A1862" s="1">
        <v>5842677.0</v>
      </c>
      <c r="B1862" s="1" t="s">
        <v>5064</v>
      </c>
      <c r="C1862" s="1" t="s">
        <v>5065</v>
      </c>
      <c r="D1862" s="1" t="s">
        <v>224</v>
      </c>
      <c r="E1862" s="1" t="s">
        <v>316</v>
      </c>
      <c r="F1862" s="1" t="s">
        <v>6717</v>
      </c>
      <c r="G1862" s="1" t="str">
        <f>IFERROR(VLOOKUP(A1862,H_C!$A$2:$G$2628,7,0),"Validar HC")</f>
        <v>Osorio, Julian</v>
      </c>
      <c r="H1862" s="167">
        <v>2200286.0</v>
      </c>
      <c r="I1862" s="1">
        <v>42.0</v>
      </c>
    </row>
    <row r="1863" ht="15.75" customHeight="1">
      <c r="A1863" s="1">
        <v>5842418.0</v>
      </c>
      <c r="B1863" s="1" t="s">
        <v>4962</v>
      </c>
      <c r="C1863" s="1" t="s">
        <v>4963</v>
      </c>
      <c r="D1863" s="1" t="s">
        <v>224</v>
      </c>
      <c r="E1863" s="1" t="s">
        <v>316</v>
      </c>
      <c r="F1863" s="1" t="s">
        <v>6717</v>
      </c>
      <c r="G1863" s="1" t="str">
        <f>IFERROR(VLOOKUP(A1863,H_C!$A$2:$G$2628,7,0),"Validar HC")</f>
        <v>Osorio, Julian</v>
      </c>
      <c r="H1863" s="167">
        <v>2200286.0</v>
      </c>
      <c r="I1863" s="1">
        <v>42.0</v>
      </c>
    </row>
    <row r="1864" ht="15.75" customHeight="1">
      <c r="A1864" s="1">
        <v>5843589.0</v>
      </c>
      <c r="B1864" s="1" t="s">
        <v>4924</v>
      </c>
      <c r="C1864" s="1" t="s">
        <v>4925</v>
      </c>
      <c r="D1864" s="1" t="s">
        <v>224</v>
      </c>
      <c r="E1864" s="1" t="s">
        <v>907</v>
      </c>
      <c r="F1864" s="1" t="s">
        <v>6717</v>
      </c>
      <c r="G1864" s="1" t="str">
        <f>IFERROR(VLOOKUP(A1864,H_C!$A$2:$G$2628,7,0),"Validar HC")</f>
        <v>Gonzalez, Cristian</v>
      </c>
      <c r="H1864" s="167">
        <v>2200286.0</v>
      </c>
      <c r="I1864" s="1">
        <v>42.0</v>
      </c>
    </row>
    <row r="1865" ht="15.75" customHeight="1">
      <c r="A1865" s="1">
        <v>5843621.0</v>
      </c>
      <c r="B1865" s="1" t="s">
        <v>4506</v>
      </c>
      <c r="C1865" s="1" t="s">
        <v>4507</v>
      </c>
      <c r="D1865" s="1" t="s">
        <v>224</v>
      </c>
      <c r="E1865" s="1" t="s">
        <v>120</v>
      </c>
      <c r="F1865" s="1" t="s">
        <v>6717</v>
      </c>
      <c r="G1865" s="1" t="str">
        <f>IFERROR(VLOOKUP(A1865,H_C!$A$2:$G$2628,7,0),"Validar HC")</f>
        <v>Ospina, Michel</v>
      </c>
      <c r="H1865" s="167">
        <v>2200286.0</v>
      </c>
      <c r="I1865" s="1">
        <v>42.0</v>
      </c>
    </row>
    <row r="1866" ht="15.75" customHeight="1">
      <c r="A1866" s="1">
        <v>5832033.0</v>
      </c>
      <c r="B1866" s="1" t="s">
        <v>5074</v>
      </c>
      <c r="C1866" s="1" t="s">
        <v>5075</v>
      </c>
      <c r="D1866" s="1" t="s">
        <v>224</v>
      </c>
      <c r="E1866" s="1" t="s">
        <v>425</v>
      </c>
      <c r="F1866" s="1" t="s">
        <v>6717</v>
      </c>
      <c r="G1866" s="1" t="str">
        <f>IFERROR(VLOOKUP(A1866,H_C!$A$2:$G$2628,7,0),"Validar HC")</f>
        <v>Ospina, Michel</v>
      </c>
      <c r="H1866" s="167">
        <v>2200286.0</v>
      </c>
      <c r="I1866" s="1">
        <v>42.0</v>
      </c>
    </row>
    <row r="1867" ht="15.75" customHeight="1">
      <c r="A1867" s="1">
        <v>5846026.0</v>
      </c>
      <c r="B1867" s="1" t="s">
        <v>3425</v>
      </c>
      <c r="C1867" s="1" t="s">
        <v>3426</v>
      </c>
      <c r="D1867" s="1" t="s">
        <v>224</v>
      </c>
      <c r="E1867" s="1" t="s">
        <v>457</v>
      </c>
      <c r="F1867" s="1" t="s">
        <v>6717</v>
      </c>
      <c r="G1867" s="1" t="str">
        <f>IFERROR(VLOOKUP(A1867,H_C!$A$2:$G$2628,7,0),"Validar HC")</f>
        <v>Celi, Juan</v>
      </c>
      <c r="H1867" s="167">
        <v>2200286.0</v>
      </c>
      <c r="I1867" s="1">
        <v>42.0</v>
      </c>
    </row>
    <row r="1868" ht="15.75" customHeight="1">
      <c r="A1868" s="1">
        <v>5846031.0</v>
      </c>
      <c r="B1868" s="1" t="s">
        <v>4782</v>
      </c>
      <c r="C1868" s="1" t="s">
        <v>4783</v>
      </c>
      <c r="D1868" s="1" t="s">
        <v>224</v>
      </c>
      <c r="E1868" s="1" t="s">
        <v>676</v>
      </c>
      <c r="F1868" s="1" t="s">
        <v>6717</v>
      </c>
      <c r="G1868" s="1" t="str">
        <f>IFERROR(VLOOKUP(A1868,H_C!$A$2:$G$2628,7,0),"Validar HC")</f>
        <v>Garatejo, Natalia</v>
      </c>
      <c r="H1868" s="167">
        <v>2200286.0</v>
      </c>
      <c r="I1868" s="1">
        <v>42.0</v>
      </c>
    </row>
    <row r="1869" ht="15.75" customHeight="1">
      <c r="A1869" s="1">
        <v>5846048.0</v>
      </c>
      <c r="B1869" s="1" t="s">
        <v>3414</v>
      </c>
      <c r="C1869" s="1" t="s">
        <v>3415</v>
      </c>
      <c r="D1869" s="1" t="s">
        <v>224</v>
      </c>
      <c r="E1869" s="1" t="s">
        <v>457</v>
      </c>
      <c r="F1869" s="1" t="s">
        <v>6717</v>
      </c>
      <c r="G1869" s="1" t="str">
        <f>IFERROR(VLOOKUP(A1869,H_C!$A$2:$G$2628,7,0),"Validar HC")</f>
        <v>Celi, Juan</v>
      </c>
      <c r="H1869" s="167">
        <v>2200286.0</v>
      </c>
      <c r="I1869" s="1">
        <v>42.0</v>
      </c>
    </row>
    <row r="1870" ht="15.75" customHeight="1">
      <c r="A1870" s="1">
        <v>5846036.0</v>
      </c>
      <c r="B1870" s="1" t="s">
        <v>3443</v>
      </c>
      <c r="C1870" s="1" t="s">
        <v>3444</v>
      </c>
      <c r="D1870" s="1" t="s">
        <v>224</v>
      </c>
      <c r="E1870" s="1" t="s">
        <v>853</v>
      </c>
      <c r="F1870" s="1" t="s">
        <v>6717</v>
      </c>
      <c r="G1870" s="1" t="str">
        <f>IFERROR(VLOOKUP(A1870,H_C!$A$2:$G$2628,7,0),"Validar HC")</f>
        <v>Celi, Juan</v>
      </c>
      <c r="H1870" s="167">
        <v>2200286.0</v>
      </c>
      <c r="I1870" s="1">
        <v>42.0</v>
      </c>
    </row>
    <row r="1871" ht="15.75" customHeight="1">
      <c r="A1871" s="1">
        <v>5845986.0</v>
      </c>
      <c r="B1871" s="1" t="s">
        <v>4812</v>
      </c>
      <c r="C1871" s="1" t="s">
        <v>4813</v>
      </c>
      <c r="D1871" s="1" t="s">
        <v>224</v>
      </c>
      <c r="E1871" s="1" t="s">
        <v>457</v>
      </c>
      <c r="F1871" s="1" t="s">
        <v>6717</v>
      </c>
      <c r="G1871" s="1" t="str">
        <f>IFERROR(VLOOKUP(A1871,H_C!$A$2:$G$2628,7,0),"Validar HC")</f>
        <v>Celi, Juan</v>
      </c>
      <c r="H1871" s="167">
        <v>2200286.0</v>
      </c>
      <c r="I1871" s="1">
        <v>42.0</v>
      </c>
    </row>
    <row r="1872" ht="15.75" customHeight="1">
      <c r="A1872" s="1">
        <v>5846033.0</v>
      </c>
      <c r="B1872" s="1" t="s">
        <v>2065</v>
      </c>
      <c r="C1872" s="1" t="s">
        <v>2066</v>
      </c>
      <c r="D1872" s="1" t="s">
        <v>224</v>
      </c>
      <c r="E1872" s="1" t="s">
        <v>391</v>
      </c>
      <c r="F1872" s="1" t="s">
        <v>6717</v>
      </c>
      <c r="G1872" s="1" t="str">
        <f>IFERROR(VLOOKUP(A1872,H_C!$A$2:$G$2628,7,0),"Validar HC")</f>
        <v>Garcia, Helmer</v>
      </c>
      <c r="H1872" s="167">
        <v>2200286.0</v>
      </c>
      <c r="I1872" s="1">
        <v>42.0</v>
      </c>
    </row>
    <row r="1873" ht="15.75" customHeight="1">
      <c r="A1873" s="1">
        <v>5846019.0</v>
      </c>
      <c r="B1873" s="1" t="s">
        <v>3439</v>
      </c>
      <c r="C1873" s="1" t="s">
        <v>3440</v>
      </c>
      <c r="D1873" s="1" t="s">
        <v>224</v>
      </c>
      <c r="E1873" s="1" t="s">
        <v>1348</v>
      </c>
      <c r="F1873" s="1" t="s">
        <v>6717</v>
      </c>
      <c r="G1873" s="1" t="str">
        <f>IFERROR(VLOOKUP(A1873,H_C!$A$2:$G$2628,7,0),"Validar HC")</f>
        <v>Celi, Juan</v>
      </c>
      <c r="H1873" s="167">
        <v>2200286.0</v>
      </c>
      <c r="I1873" s="1">
        <v>42.0</v>
      </c>
    </row>
    <row r="1874" ht="15.75" customHeight="1">
      <c r="A1874" s="1">
        <v>5846022.0</v>
      </c>
      <c r="B1874" s="1" t="s">
        <v>4986</v>
      </c>
      <c r="C1874" s="1" t="s">
        <v>4987</v>
      </c>
      <c r="D1874" s="1" t="s">
        <v>224</v>
      </c>
      <c r="E1874" s="1" t="s">
        <v>331</v>
      </c>
      <c r="F1874" s="1" t="s">
        <v>6717</v>
      </c>
      <c r="G1874" s="1" t="str">
        <f>IFERROR(VLOOKUP(A1874,H_C!$A$2:$G$2628,7,0),"Validar HC")</f>
        <v>Garzon, Maria</v>
      </c>
      <c r="H1874" s="167">
        <v>2200286.0</v>
      </c>
      <c r="I1874" s="1">
        <v>42.0</v>
      </c>
    </row>
    <row r="1875" ht="15.75" customHeight="1">
      <c r="A1875" s="1">
        <v>5846032.0</v>
      </c>
      <c r="B1875" s="1" t="s">
        <v>5056</v>
      </c>
      <c r="C1875" s="1" t="s">
        <v>5057</v>
      </c>
      <c r="D1875" s="1" t="s">
        <v>224</v>
      </c>
      <c r="E1875" s="1" t="s">
        <v>323</v>
      </c>
      <c r="F1875" s="1" t="s">
        <v>6717</v>
      </c>
      <c r="G1875" s="1" t="str">
        <f>IFERROR(VLOOKUP(A1875,H_C!$A$2:$G$2628,7,0),"Validar HC")</f>
        <v>Martinez, Wendy</v>
      </c>
      <c r="H1875" s="167">
        <v>2200286.0</v>
      </c>
      <c r="I1875" s="1">
        <v>42.0</v>
      </c>
    </row>
    <row r="1876" ht="15.75" customHeight="1">
      <c r="A1876" s="1">
        <v>5846034.0</v>
      </c>
      <c r="B1876" s="1" t="s">
        <v>2133</v>
      </c>
      <c r="C1876" s="1" t="s">
        <v>2134</v>
      </c>
      <c r="D1876" s="1" t="s">
        <v>224</v>
      </c>
      <c r="E1876" s="1" t="s">
        <v>323</v>
      </c>
      <c r="F1876" s="1" t="s">
        <v>6717</v>
      </c>
      <c r="G1876" s="1" t="str">
        <f>IFERROR(VLOOKUP(A1876,H_C!$A$2:$G$2628,7,0),"Validar HC")</f>
        <v>Martinez, Wendy</v>
      </c>
      <c r="H1876" s="167">
        <v>2200286.0</v>
      </c>
      <c r="I1876" s="1">
        <v>42.0</v>
      </c>
    </row>
    <row r="1877" ht="15.75" customHeight="1">
      <c r="A1877" s="1">
        <v>5846035.0</v>
      </c>
      <c r="B1877" s="1" t="s">
        <v>3973</v>
      </c>
      <c r="C1877" s="1" t="s">
        <v>3974</v>
      </c>
      <c r="D1877" s="1" t="s">
        <v>224</v>
      </c>
      <c r="E1877" s="1" t="s">
        <v>323</v>
      </c>
      <c r="F1877" s="1" t="s">
        <v>6717</v>
      </c>
      <c r="G1877" s="1" t="str">
        <f>IFERROR(VLOOKUP(A1877,H_C!$A$2:$G$2628,7,0),"Validar HC")</f>
        <v>Martinez, Wendy</v>
      </c>
      <c r="H1877" s="167">
        <v>2200286.0</v>
      </c>
      <c r="I1877" s="1">
        <v>42.0</v>
      </c>
    </row>
    <row r="1878" ht="15.75" customHeight="1">
      <c r="A1878" s="1">
        <v>5846038.0</v>
      </c>
      <c r="B1878" s="1" t="s">
        <v>4590</v>
      </c>
      <c r="C1878" s="1" t="s">
        <v>4591</v>
      </c>
      <c r="D1878" s="1" t="s">
        <v>224</v>
      </c>
      <c r="E1878" s="1" t="s">
        <v>526</v>
      </c>
      <c r="F1878" s="1" t="s">
        <v>6717</v>
      </c>
      <c r="G1878" s="1" t="str">
        <f>IFERROR(VLOOKUP(A1878,H_C!$A$2:$G$2628,7,0),"Validar HC")</f>
        <v>Martinez, Wendy</v>
      </c>
      <c r="H1878" s="167">
        <v>2200286.0</v>
      </c>
      <c r="I1878" s="1">
        <v>42.0</v>
      </c>
    </row>
    <row r="1879" ht="15.75" customHeight="1">
      <c r="A1879" s="1">
        <v>5846030.0</v>
      </c>
      <c r="B1879" s="1" t="s">
        <v>5068</v>
      </c>
      <c r="C1879" s="1" t="s">
        <v>5069</v>
      </c>
      <c r="D1879" s="1" t="s">
        <v>224</v>
      </c>
      <c r="E1879" s="1" t="s">
        <v>323</v>
      </c>
      <c r="F1879" s="1" t="s">
        <v>6717</v>
      </c>
      <c r="G1879" s="1" t="str">
        <f>IFERROR(VLOOKUP(A1879,H_C!$A$2:$G$2628,7,0),"Validar HC")</f>
        <v>Martinez, Wendy</v>
      </c>
      <c r="H1879" s="167">
        <v>2200286.0</v>
      </c>
      <c r="I1879" s="1">
        <v>42.0</v>
      </c>
    </row>
    <row r="1880" ht="15.75" customHeight="1">
      <c r="A1880" s="1">
        <v>5847301.0</v>
      </c>
      <c r="B1880" s="1" t="s">
        <v>2309</v>
      </c>
      <c r="C1880" s="1" t="s">
        <v>2310</v>
      </c>
      <c r="D1880" s="1" t="s">
        <v>224</v>
      </c>
      <c r="E1880" s="1" t="s">
        <v>986</v>
      </c>
      <c r="F1880" s="1" t="s">
        <v>6717</v>
      </c>
      <c r="G1880" s="1" t="str">
        <f>IFERROR(VLOOKUP(A1880,H_C!$A$2:$G$2628,7,0),"Validar HC")</f>
        <v>Garatejo, Natalia</v>
      </c>
      <c r="H1880" s="167">
        <v>2200286.0</v>
      </c>
      <c r="I1880" s="1">
        <v>42.0</v>
      </c>
    </row>
    <row r="1881" ht="15.75" customHeight="1">
      <c r="A1881" s="1">
        <v>5847293.0</v>
      </c>
      <c r="B1881" s="1" t="s">
        <v>4948</v>
      </c>
      <c r="C1881" s="1" t="s">
        <v>4949</v>
      </c>
      <c r="D1881" s="1" t="s">
        <v>224</v>
      </c>
      <c r="E1881" s="1" t="s">
        <v>1363</v>
      </c>
      <c r="F1881" s="1" t="s">
        <v>6717</v>
      </c>
      <c r="G1881" s="1" t="str">
        <f>IFERROR(VLOOKUP(A1881,H_C!$A$2:$G$2628,7,0),"Validar HC")</f>
        <v>Osorio, Julian</v>
      </c>
      <c r="H1881" s="167">
        <v>2200286.0</v>
      </c>
      <c r="I1881" s="1">
        <v>42.0</v>
      </c>
    </row>
    <row r="1882" ht="15.75" customHeight="1">
      <c r="A1882" s="1">
        <v>5847541.0</v>
      </c>
      <c r="B1882" s="1" t="s">
        <v>2259</v>
      </c>
      <c r="C1882" s="1" t="s">
        <v>2260</v>
      </c>
      <c r="D1882" s="1" t="s">
        <v>224</v>
      </c>
      <c r="E1882" s="1" t="s">
        <v>986</v>
      </c>
      <c r="F1882" s="1" t="s">
        <v>6717</v>
      </c>
      <c r="G1882" s="1" t="str">
        <f>IFERROR(VLOOKUP(A1882,H_C!$A$2:$G$2628,7,0),"Validar HC")</f>
        <v>Garatejo, Natalia</v>
      </c>
      <c r="H1882" s="167">
        <v>2200286.0</v>
      </c>
      <c r="I1882" s="1">
        <v>42.0</v>
      </c>
    </row>
    <row r="1883" ht="15.75" customHeight="1">
      <c r="A1883" s="1">
        <v>5847297.0</v>
      </c>
      <c r="B1883" s="1" t="s">
        <v>543</v>
      </c>
      <c r="C1883" s="1" t="s">
        <v>544</v>
      </c>
      <c r="D1883" s="1" t="s">
        <v>224</v>
      </c>
      <c r="E1883" s="1" t="s">
        <v>526</v>
      </c>
      <c r="F1883" s="1" t="s">
        <v>6717</v>
      </c>
      <c r="G1883" s="1" t="str">
        <f>IFERROR(VLOOKUP(A1883,H_C!$A$2:$G$2628,7,0),"Validar HC")</f>
        <v>Martinez, Wendy</v>
      </c>
      <c r="H1883" s="167">
        <v>2200286.0</v>
      </c>
      <c r="I1883" s="1">
        <v>42.0</v>
      </c>
    </row>
    <row r="1884" ht="15.75" customHeight="1">
      <c r="A1884" s="1">
        <v>4311104.0</v>
      </c>
      <c r="B1884" s="1" t="s">
        <v>2428</v>
      </c>
      <c r="C1884" s="1" t="s">
        <v>2429</v>
      </c>
      <c r="D1884" s="1" t="s">
        <v>224</v>
      </c>
      <c r="E1884" s="1" t="s">
        <v>986</v>
      </c>
      <c r="F1884" s="1" t="s">
        <v>6717</v>
      </c>
      <c r="G1884" s="1" t="str">
        <f>IFERROR(VLOOKUP(A1884,H_C!$A$2:$G$2628,7,0),"Validar HC")</f>
        <v>Garatejo, Natalia</v>
      </c>
      <c r="H1884" s="167">
        <v>2200286.0</v>
      </c>
      <c r="I1884" s="1">
        <v>42.0</v>
      </c>
    </row>
    <row r="1885" ht="15.75" customHeight="1">
      <c r="A1885" s="1">
        <v>5846415.0</v>
      </c>
      <c r="B1885" s="1" t="s">
        <v>4724</v>
      </c>
      <c r="C1885" s="1" t="s">
        <v>4725</v>
      </c>
      <c r="D1885" s="1" t="s">
        <v>224</v>
      </c>
      <c r="E1885" s="1" t="s">
        <v>526</v>
      </c>
      <c r="F1885" s="1" t="s">
        <v>6717</v>
      </c>
      <c r="G1885" s="1" t="str">
        <f>IFERROR(VLOOKUP(A1885,H_C!$A$2:$G$2628,7,0),"Validar HC")</f>
        <v>Martinez, Wendy</v>
      </c>
      <c r="H1885" s="167">
        <v>2200286.0</v>
      </c>
      <c r="I1885" s="1">
        <v>42.0</v>
      </c>
    </row>
    <row r="1886" ht="15.75" customHeight="1">
      <c r="A1886" s="1">
        <v>5266591.0</v>
      </c>
      <c r="B1886" s="1" t="s">
        <v>2466</v>
      </c>
      <c r="C1886" s="1" t="s">
        <v>2467</v>
      </c>
      <c r="D1886" s="1" t="s">
        <v>224</v>
      </c>
      <c r="E1886" s="1" t="s">
        <v>986</v>
      </c>
      <c r="F1886" s="1" t="s">
        <v>6717</v>
      </c>
      <c r="G1886" s="1" t="str">
        <f>IFERROR(VLOOKUP(A1886,H_C!$A$2:$G$2628,7,0),"Validar HC")</f>
        <v>Garatejo, Natalia</v>
      </c>
      <c r="H1886" s="167">
        <v>2200286.0</v>
      </c>
      <c r="I1886" s="1">
        <v>42.0</v>
      </c>
    </row>
    <row r="1887" ht="15.75" customHeight="1">
      <c r="A1887" s="1">
        <v>5846416.0</v>
      </c>
      <c r="B1887" s="1" t="s">
        <v>4666</v>
      </c>
      <c r="C1887" s="1" t="s">
        <v>4667</v>
      </c>
      <c r="D1887" s="1" t="s">
        <v>224</v>
      </c>
      <c r="E1887" s="1" t="s">
        <v>323</v>
      </c>
      <c r="F1887" s="1" t="s">
        <v>6717</v>
      </c>
      <c r="G1887" s="1" t="str">
        <f>IFERROR(VLOOKUP(A1887,H_C!$A$2:$G$2628,7,0),"Validar HC")</f>
        <v>Martinez, Wendy</v>
      </c>
      <c r="H1887" s="167">
        <v>2200286.0</v>
      </c>
      <c r="I1887" s="1">
        <v>42.0</v>
      </c>
    </row>
    <row r="1888" ht="15.75" customHeight="1">
      <c r="A1888" s="1">
        <v>5847498.0</v>
      </c>
      <c r="B1888" s="1" t="s">
        <v>1895</v>
      </c>
      <c r="C1888" s="1" t="s">
        <v>1896</v>
      </c>
      <c r="D1888" s="1" t="s">
        <v>224</v>
      </c>
      <c r="E1888" s="1" t="s">
        <v>1060</v>
      </c>
      <c r="F1888" s="1" t="s">
        <v>6717</v>
      </c>
      <c r="G1888" s="1" t="str">
        <f>IFERROR(VLOOKUP(A1888,H_C!$A$2:$G$2628,7,0),"Validar HC")</f>
        <v>Garcia, Helmer</v>
      </c>
      <c r="H1888" s="167">
        <v>2200286.0</v>
      </c>
      <c r="I1888" s="1">
        <v>42.0</v>
      </c>
    </row>
    <row r="1889" ht="15.75" customHeight="1">
      <c r="A1889" s="1">
        <v>5847496.0</v>
      </c>
      <c r="B1889" s="1" t="s">
        <v>5084</v>
      </c>
      <c r="C1889" s="1" t="s">
        <v>5085</v>
      </c>
      <c r="D1889" s="1" t="s">
        <v>224</v>
      </c>
      <c r="E1889" s="1" t="s">
        <v>738</v>
      </c>
      <c r="F1889" s="1" t="s">
        <v>6717</v>
      </c>
      <c r="G1889" s="1" t="str">
        <f>IFERROR(VLOOKUP(A1889,H_C!$A$2:$G$2628,7,0),"Validar HC")</f>
        <v>Garcia, Helmer</v>
      </c>
      <c r="H1889" s="167">
        <v>2200286.0</v>
      </c>
      <c r="I1889" s="1">
        <v>42.0</v>
      </c>
    </row>
    <row r="1890" ht="15.75" customHeight="1">
      <c r="A1890" s="1">
        <v>5847506.0</v>
      </c>
      <c r="B1890" s="1" t="s">
        <v>5086</v>
      </c>
      <c r="C1890" s="1" t="s">
        <v>5087</v>
      </c>
      <c r="D1890" s="1" t="s">
        <v>224</v>
      </c>
      <c r="E1890" s="1" t="s">
        <v>738</v>
      </c>
      <c r="F1890" s="1" t="s">
        <v>6717</v>
      </c>
      <c r="G1890" s="1" t="str">
        <f>IFERROR(VLOOKUP(A1890,H_C!$A$2:$G$2628,7,0),"Validar HC")</f>
        <v>Garcia, Helmer</v>
      </c>
      <c r="H1890" s="167">
        <v>2200286.0</v>
      </c>
      <c r="I1890" s="1">
        <v>42.0</v>
      </c>
    </row>
    <row r="1891" ht="15.75" customHeight="1">
      <c r="A1891" s="1">
        <v>5847494.0</v>
      </c>
      <c r="B1891" s="1" t="s">
        <v>5088</v>
      </c>
      <c r="C1891" s="1" t="s">
        <v>5089</v>
      </c>
      <c r="D1891" s="1" t="s">
        <v>224</v>
      </c>
      <c r="E1891" s="1" t="s">
        <v>530</v>
      </c>
      <c r="F1891" s="1" t="s">
        <v>6717</v>
      </c>
      <c r="G1891" s="1" t="str">
        <f>IFERROR(VLOOKUP(A1891,H_C!$A$2:$G$2628,7,0),"Validar HC")</f>
        <v>Garcia, Helmer</v>
      </c>
      <c r="H1891" s="167">
        <v>2200286.0</v>
      </c>
      <c r="I1891" s="1">
        <v>42.0</v>
      </c>
    </row>
    <row r="1892" ht="15.75" customHeight="1">
      <c r="A1892" s="1">
        <v>5849446.0</v>
      </c>
      <c r="B1892" s="1" t="s">
        <v>3232</v>
      </c>
      <c r="C1892" s="1" t="s">
        <v>3233</v>
      </c>
      <c r="D1892" s="1" t="s">
        <v>224</v>
      </c>
      <c r="E1892" s="1" t="s">
        <v>113</v>
      </c>
      <c r="F1892" s="1" t="s">
        <v>6717</v>
      </c>
      <c r="G1892" s="1" t="str">
        <f>IFERROR(VLOOKUP(A1892,H_C!$A$2:$G$2628,7,0),"Validar HC")</f>
        <v>Soler, Maria</v>
      </c>
      <c r="H1892" s="167">
        <v>2200286.0</v>
      </c>
      <c r="I1892" s="1">
        <v>42.0</v>
      </c>
    </row>
    <row r="1893" ht="15.75" customHeight="1">
      <c r="A1893" s="1">
        <v>5259826.0</v>
      </c>
      <c r="B1893" s="1" t="s">
        <v>3266</v>
      </c>
      <c r="C1893" s="1" t="s">
        <v>3267</v>
      </c>
      <c r="D1893" s="1" t="s">
        <v>224</v>
      </c>
      <c r="E1893" s="1" t="s">
        <v>1791</v>
      </c>
      <c r="F1893" s="1" t="s">
        <v>6717</v>
      </c>
      <c r="G1893" s="1" t="str">
        <f>IFERROR(VLOOKUP(A1893,H_C!$A$2:$G$2628,7,0),"Validar HC")</f>
        <v>Garcia, Helmer</v>
      </c>
      <c r="H1893" s="167">
        <v>2200286.0</v>
      </c>
      <c r="I1893" s="1">
        <v>42.0</v>
      </c>
    </row>
    <row r="1894" ht="15.75" customHeight="1">
      <c r="A1894" s="1">
        <v>5849357.0</v>
      </c>
      <c r="B1894" s="1" t="s">
        <v>4934</v>
      </c>
      <c r="C1894" s="1" t="s">
        <v>4935</v>
      </c>
      <c r="D1894" s="1" t="s">
        <v>224</v>
      </c>
      <c r="E1894" s="1" t="s">
        <v>1791</v>
      </c>
      <c r="F1894" s="1" t="s">
        <v>6717</v>
      </c>
      <c r="G1894" s="1" t="str">
        <f>IFERROR(VLOOKUP(A1894,H_C!$A$2:$G$2628,7,0),"Validar HC")</f>
        <v>Garcia, Helmer</v>
      </c>
      <c r="H1894" s="167">
        <v>2200286.0</v>
      </c>
      <c r="I1894" s="1">
        <v>42.0</v>
      </c>
    </row>
    <row r="1895" ht="15.75" customHeight="1">
      <c r="A1895" s="1">
        <v>5849360.0</v>
      </c>
      <c r="B1895" s="1" t="s">
        <v>6792</v>
      </c>
      <c r="C1895" s="1" t="s">
        <v>6793</v>
      </c>
      <c r="D1895" s="1" t="s">
        <v>224</v>
      </c>
      <c r="E1895" s="1" t="s">
        <v>738</v>
      </c>
      <c r="F1895" s="1" t="s">
        <v>6717</v>
      </c>
      <c r="G1895" s="1" t="str">
        <f>IFERROR(VLOOKUP(A1895,H_C!$A$2:$G$2628,7,0),"Validar HC")</f>
        <v>Validar HC</v>
      </c>
      <c r="H1895" s="167">
        <v>2200286.0</v>
      </c>
      <c r="I1895" s="1">
        <v>42.0</v>
      </c>
    </row>
    <row r="1896" ht="15.75" customHeight="1">
      <c r="A1896" s="1">
        <v>5851501.0</v>
      </c>
      <c r="B1896" s="1" t="s">
        <v>3350</v>
      </c>
      <c r="C1896" s="1" t="s">
        <v>3351</v>
      </c>
      <c r="D1896" s="1" t="s">
        <v>224</v>
      </c>
      <c r="E1896" s="1" t="s">
        <v>2372</v>
      </c>
      <c r="F1896" s="1" t="s">
        <v>6717</v>
      </c>
      <c r="G1896" s="1" t="str">
        <f>IFERROR(VLOOKUP(A1896,H_C!$A$2:$G$2628,7,0),"Validar HC")</f>
        <v>Garcia, Helmer</v>
      </c>
      <c r="H1896" s="167">
        <v>2200286.0</v>
      </c>
      <c r="I1896" s="1">
        <v>42.0</v>
      </c>
    </row>
    <row r="1897" ht="15.75" customHeight="1">
      <c r="A1897" s="1">
        <v>5852508.0</v>
      </c>
      <c r="B1897" s="1" t="s">
        <v>3258</v>
      </c>
      <c r="C1897" s="1" t="s">
        <v>3259</v>
      </c>
      <c r="D1897" s="1" t="s">
        <v>224</v>
      </c>
      <c r="E1897" s="1" t="s">
        <v>1791</v>
      </c>
      <c r="F1897" s="1" t="s">
        <v>6717</v>
      </c>
      <c r="G1897" s="1" t="str">
        <f>IFERROR(VLOOKUP(A1897,H_C!$A$2:$G$2628,7,0),"Validar HC")</f>
        <v>Garcia, Helmer</v>
      </c>
      <c r="H1897" s="167">
        <v>2200286.0</v>
      </c>
      <c r="I1897" s="1">
        <v>42.0</v>
      </c>
    </row>
    <row r="1898" ht="15.75" customHeight="1">
      <c r="A1898" s="1">
        <v>5853941.0</v>
      </c>
      <c r="B1898" s="1" t="s">
        <v>5094</v>
      </c>
      <c r="C1898" s="1" t="s">
        <v>5095</v>
      </c>
      <c r="D1898" s="1" t="s">
        <v>224</v>
      </c>
      <c r="E1898" s="1" t="s">
        <v>738</v>
      </c>
      <c r="F1898" s="1" t="s">
        <v>6717</v>
      </c>
      <c r="G1898" s="1" t="str">
        <f>IFERROR(VLOOKUP(A1898,H_C!$A$2:$G$2628,7,0),"Validar HC")</f>
        <v>Garcia, Helmer</v>
      </c>
      <c r="H1898" s="167">
        <v>2200286.0</v>
      </c>
      <c r="I1898" s="1">
        <v>42.0</v>
      </c>
    </row>
    <row r="1899" ht="15.75" customHeight="1">
      <c r="A1899" s="1">
        <v>5853965.0</v>
      </c>
      <c r="B1899" s="1" t="s">
        <v>5096</v>
      </c>
      <c r="C1899" s="1" t="s">
        <v>5097</v>
      </c>
      <c r="D1899" s="1" t="s">
        <v>224</v>
      </c>
      <c r="E1899" s="1" t="s">
        <v>738</v>
      </c>
      <c r="F1899" s="1" t="s">
        <v>6717</v>
      </c>
      <c r="G1899" s="1" t="str">
        <f>IFERROR(VLOOKUP(A1899,H_C!$A$2:$G$2628,7,0),"Validar HC")</f>
        <v>Garcia, Helmer</v>
      </c>
      <c r="H1899" s="167">
        <v>2200286.0</v>
      </c>
      <c r="I1899" s="1">
        <v>42.0</v>
      </c>
    </row>
    <row r="1900" ht="15.75" customHeight="1">
      <c r="A1900" s="1">
        <v>5853953.0</v>
      </c>
      <c r="B1900" s="1" t="s">
        <v>4065</v>
      </c>
      <c r="C1900" s="1" t="s">
        <v>4066</v>
      </c>
      <c r="D1900" s="1" t="s">
        <v>224</v>
      </c>
      <c r="E1900" s="1" t="s">
        <v>738</v>
      </c>
      <c r="F1900" s="1" t="s">
        <v>6717</v>
      </c>
      <c r="G1900" s="1" t="str">
        <f>IFERROR(VLOOKUP(A1900,H_C!$A$2:$G$2628,7,0),"Validar HC")</f>
        <v>Garcia, Helmer</v>
      </c>
      <c r="H1900" s="167">
        <v>2200286.0</v>
      </c>
      <c r="I1900" s="1">
        <v>42.0</v>
      </c>
    </row>
    <row r="1901" ht="15.75" customHeight="1">
      <c r="A1901" s="1">
        <v>5853945.0</v>
      </c>
      <c r="B1901" s="1" t="s">
        <v>1899</v>
      </c>
      <c r="C1901" s="1" t="s">
        <v>1900</v>
      </c>
      <c r="D1901" s="1" t="s">
        <v>224</v>
      </c>
      <c r="E1901" s="1" t="s">
        <v>853</v>
      </c>
      <c r="F1901" s="1" t="s">
        <v>6717</v>
      </c>
      <c r="G1901" s="1" t="str">
        <f>IFERROR(VLOOKUP(A1901,H_C!$A$2:$G$2628,7,0),"Validar HC")</f>
        <v>Garcia, Helmer</v>
      </c>
      <c r="H1901" s="167">
        <v>2200286.0</v>
      </c>
      <c r="I1901" s="1">
        <v>42.0</v>
      </c>
    </row>
    <row r="1902" ht="15.75" customHeight="1">
      <c r="A1902" s="1">
        <v>5853968.0</v>
      </c>
      <c r="B1902" s="1" t="s">
        <v>5100</v>
      </c>
      <c r="C1902" s="1" t="s">
        <v>5101</v>
      </c>
      <c r="D1902" s="1" t="s">
        <v>224</v>
      </c>
      <c r="E1902" s="1" t="s">
        <v>738</v>
      </c>
      <c r="F1902" s="1" t="s">
        <v>6717</v>
      </c>
      <c r="G1902" s="1" t="str">
        <f>IFERROR(VLOOKUP(A1902,H_C!$A$2:$G$2628,7,0),"Validar HC")</f>
        <v>Garcia, Helmer</v>
      </c>
      <c r="H1902" s="167">
        <v>2200286.0</v>
      </c>
      <c r="I1902" s="1">
        <v>42.0</v>
      </c>
    </row>
    <row r="1903" ht="15.75" customHeight="1">
      <c r="A1903" s="1">
        <v>5854966.0</v>
      </c>
      <c r="B1903" s="1" t="s">
        <v>1904</v>
      </c>
      <c r="C1903" s="1" t="s">
        <v>1905</v>
      </c>
      <c r="D1903" s="1" t="s">
        <v>224</v>
      </c>
      <c r="E1903" s="1" t="s">
        <v>853</v>
      </c>
      <c r="F1903" s="1" t="s">
        <v>6717</v>
      </c>
      <c r="G1903" s="1" t="str">
        <f>IFERROR(VLOOKUP(A1903,H_C!$A$2:$G$2628,7,0),"Validar HC")</f>
        <v>Garcia, Helmer</v>
      </c>
      <c r="H1903" s="167">
        <v>2200286.0</v>
      </c>
      <c r="I1903" s="1">
        <v>42.0</v>
      </c>
    </row>
    <row r="1904" ht="15.75" customHeight="1">
      <c r="A1904" s="1">
        <v>5854949.0</v>
      </c>
      <c r="B1904" s="1" t="s">
        <v>5102</v>
      </c>
      <c r="C1904" s="1" t="s">
        <v>5103</v>
      </c>
      <c r="D1904" s="1" t="s">
        <v>224</v>
      </c>
      <c r="E1904" s="1" t="s">
        <v>738</v>
      </c>
      <c r="F1904" s="1" t="s">
        <v>6717</v>
      </c>
      <c r="G1904" s="1" t="str">
        <f>IFERROR(VLOOKUP(A1904,H_C!$A$2:$G$2628,7,0),"Validar HC")</f>
        <v>Garcia, Helmer</v>
      </c>
      <c r="H1904" s="167">
        <v>2200286.0</v>
      </c>
      <c r="I1904" s="1">
        <v>42.0</v>
      </c>
    </row>
    <row r="1905" ht="15.75" customHeight="1">
      <c r="A1905" s="1">
        <v>5861553.0</v>
      </c>
      <c r="B1905" s="1" t="s">
        <v>4268</v>
      </c>
      <c r="C1905" s="1" t="s">
        <v>4269</v>
      </c>
      <c r="D1905" s="1" t="s">
        <v>224</v>
      </c>
      <c r="E1905" s="1" t="s">
        <v>549</v>
      </c>
      <c r="F1905" s="1" t="s">
        <v>6717</v>
      </c>
      <c r="G1905" s="1" t="str">
        <f>IFERROR(VLOOKUP(A1905,H_C!$A$2:$G$2628,7,0),"Validar HC")</f>
        <v>Soler, Maria</v>
      </c>
      <c r="H1905" s="167">
        <v>2200286.0</v>
      </c>
      <c r="I1905" s="1">
        <v>42.0</v>
      </c>
    </row>
    <row r="1906" ht="15.75" customHeight="1">
      <c r="A1906" s="1">
        <v>5861542.0</v>
      </c>
      <c r="B1906" s="1" t="s">
        <v>3217</v>
      </c>
      <c r="C1906" s="1" t="s">
        <v>3218</v>
      </c>
      <c r="D1906" s="1" t="s">
        <v>224</v>
      </c>
      <c r="E1906" s="1" t="s">
        <v>113</v>
      </c>
      <c r="F1906" s="1" t="s">
        <v>6717</v>
      </c>
      <c r="G1906" s="1" t="str">
        <f>IFERROR(VLOOKUP(A1906,H_C!$A$2:$G$2628,7,0),"Validar HC")</f>
        <v>Soler, Maria</v>
      </c>
      <c r="H1906" s="167">
        <v>2200286.0</v>
      </c>
      <c r="I1906" s="1">
        <v>42.0</v>
      </c>
    </row>
    <row r="1907" ht="15.75" customHeight="1">
      <c r="A1907" s="1">
        <v>5861548.0</v>
      </c>
      <c r="B1907" s="1" t="s">
        <v>4282</v>
      </c>
      <c r="C1907" s="1" t="s">
        <v>4283</v>
      </c>
      <c r="D1907" s="1" t="s">
        <v>224</v>
      </c>
      <c r="E1907" s="1" t="s">
        <v>549</v>
      </c>
      <c r="F1907" s="1" t="s">
        <v>6717</v>
      </c>
      <c r="G1907" s="1" t="str">
        <f>IFERROR(VLOOKUP(A1907,H_C!$A$2:$G$2628,7,0),"Validar HC")</f>
        <v>Soler, Maria</v>
      </c>
      <c r="H1907" s="167">
        <v>2200286.0</v>
      </c>
      <c r="I1907" s="1">
        <v>42.0</v>
      </c>
    </row>
    <row r="1908" ht="15.75" customHeight="1">
      <c r="A1908" s="1">
        <v>5862602.0</v>
      </c>
      <c r="B1908" s="1" t="s">
        <v>4554</v>
      </c>
      <c r="C1908" s="1" t="s">
        <v>4555</v>
      </c>
      <c r="D1908" s="1" t="s">
        <v>224</v>
      </c>
      <c r="E1908" s="1" t="s">
        <v>121</v>
      </c>
      <c r="F1908" s="1" t="s">
        <v>6717</v>
      </c>
      <c r="G1908" s="1" t="str">
        <f>IFERROR(VLOOKUP(A1908,H_C!$A$2:$G$2628,7,0),"Validar HC")</f>
        <v>Ospina, Michel</v>
      </c>
      <c r="H1908" s="167">
        <v>2200286.0</v>
      </c>
      <c r="I1908" s="1">
        <v>42.0</v>
      </c>
    </row>
    <row r="1909" ht="15.75" customHeight="1">
      <c r="A1909" s="1">
        <v>5862467.0</v>
      </c>
      <c r="B1909" s="1" t="s">
        <v>3364</v>
      </c>
      <c r="C1909" s="1" t="s">
        <v>3365</v>
      </c>
      <c r="D1909" s="1" t="s">
        <v>224</v>
      </c>
      <c r="E1909" s="1" t="s">
        <v>441</v>
      </c>
      <c r="F1909" s="1" t="s">
        <v>6717</v>
      </c>
      <c r="G1909" s="1" t="str">
        <f>IFERROR(VLOOKUP(A1909,H_C!$A$2:$G$2628,7,0),"Validar HC")</f>
        <v>Gonzalez, Cristian</v>
      </c>
      <c r="H1909" s="167">
        <v>2200286.0</v>
      </c>
      <c r="I1909" s="1">
        <v>42.0</v>
      </c>
    </row>
    <row r="1910" ht="15.75" customHeight="1">
      <c r="A1910" s="1">
        <v>5862495.0</v>
      </c>
      <c r="B1910" s="1" t="s">
        <v>3270</v>
      </c>
      <c r="C1910" s="1" t="s">
        <v>3271</v>
      </c>
      <c r="D1910" s="1" t="s">
        <v>224</v>
      </c>
      <c r="E1910" s="1" t="s">
        <v>425</v>
      </c>
      <c r="F1910" s="1" t="s">
        <v>6717</v>
      </c>
      <c r="G1910" s="1" t="str">
        <f>IFERROR(VLOOKUP(A1910,H_C!$A$2:$G$2628,7,0),"Validar HC")</f>
        <v>Ospina, Michel</v>
      </c>
      <c r="H1910" s="167">
        <v>2200286.0</v>
      </c>
      <c r="I1910" s="1">
        <v>42.0</v>
      </c>
    </row>
    <row r="1911" ht="15.75" customHeight="1">
      <c r="A1911" s="1">
        <v>5862497.0</v>
      </c>
      <c r="B1911" s="1" t="s">
        <v>1724</v>
      </c>
      <c r="C1911" s="1" t="s">
        <v>1725</v>
      </c>
      <c r="D1911" s="1" t="s">
        <v>224</v>
      </c>
      <c r="E1911" s="1" t="s">
        <v>113</v>
      </c>
      <c r="F1911" s="1" t="s">
        <v>6717</v>
      </c>
      <c r="G1911" s="1" t="str">
        <f>IFERROR(VLOOKUP(A1911,H_C!$A$2:$G$2628,7,0),"Validar HC")</f>
        <v>Soler, Maria</v>
      </c>
      <c r="H1911" s="167">
        <v>2200286.0</v>
      </c>
      <c r="I1911" s="1">
        <v>42.0</v>
      </c>
    </row>
    <row r="1912" ht="15.75" customHeight="1">
      <c r="A1912" s="1">
        <v>5862753.0</v>
      </c>
      <c r="B1912" s="1" t="s">
        <v>4266</v>
      </c>
      <c r="C1912" s="1" t="s">
        <v>4267</v>
      </c>
      <c r="D1912" s="1" t="s">
        <v>224</v>
      </c>
      <c r="E1912" s="1" t="s">
        <v>549</v>
      </c>
      <c r="F1912" s="1" t="s">
        <v>6717</v>
      </c>
      <c r="G1912" s="1" t="str">
        <f>IFERROR(VLOOKUP(A1912,H_C!$A$2:$G$2628,7,0),"Validar HC")</f>
        <v>Soler, Maria</v>
      </c>
      <c r="H1912" s="167">
        <v>2200286.0</v>
      </c>
      <c r="I1912" s="1">
        <v>42.0</v>
      </c>
    </row>
    <row r="1913" ht="15.75" customHeight="1">
      <c r="A1913" s="1">
        <v>5492008.0</v>
      </c>
      <c r="B1913" s="1" t="s">
        <v>3898</v>
      </c>
      <c r="C1913" s="1" t="s">
        <v>3899</v>
      </c>
      <c r="D1913" s="1" t="s">
        <v>224</v>
      </c>
      <c r="E1913" s="1" t="s">
        <v>9</v>
      </c>
      <c r="F1913" s="1" t="s">
        <v>6717</v>
      </c>
      <c r="G1913" s="1" t="str">
        <f>IFERROR(VLOOKUP(A1913,H_C!$A$2:$G$2628,7,0),"Validar HC")</f>
        <v>Celi, Juan</v>
      </c>
      <c r="H1913" s="167">
        <v>2200286.0</v>
      </c>
      <c r="I1913" s="1">
        <v>42.0</v>
      </c>
    </row>
    <row r="1914" ht="15.75" customHeight="1">
      <c r="A1914" s="1">
        <v>5863829.0</v>
      </c>
      <c r="B1914" s="1" t="s">
        <v>2707</v>
      </c>
      <c r="C1914" s="1" t="s">
        <v>2708</v>
      </c>
      <c r="D1914" s="1" t="s">
        <v>224</v>
      </c>
      <c r="E1914" s="1" t="s">
        <v>478</v>
      </c>
      <c r="F1914" s="1" t="s">
        <v>6717</v>
      </c>
      <c r="G1914" s="1" t="str">
        <f>IFERROR(VLOOKUP(A1914,H_C!$A$2:$G$2628,7,0),"Validar HC")</f>
        <v>Celi, Juan</v>
      </c>
      <c r="H1914" s="167">
        <v>2200286.0</v>
      </c>
      <c r="I1914" s="1">
        <v>42.0</v>
      </c>
    </row>
    <row r="1915" ht="15.75" customHeight="1">
      <c r="A1915" s="1">
        <v>5863813.0</v>
      </c>
      <c r="B1915" s="1" t="s">
        <v>2730</v>
      </c>
      <c r="C1915" s="1" t="s">
        <v>2731</v>
      </c>
      <c r="D1915" s="1" t="s">
        <v>224</v>
      </c>
      <c r="E1915" s="1" t="s">
        <v>478</v>
      </c>
      <c r="F1915" s="1" t="s">
        <v>6717</v>
      </c>
      <c r="G1915" s="1" t="str">
        <f>IFERROR(VLOOKUP(A1915,H_C!$A$2:$G$2628,7,0),"Validar HC")</f>
        <v>Celi, Juan</v>
      </c>
      <c r="H1915" s="167">
        <v>2200286.0</v>
      </c>
      <c r="I1915" s="1">
        <v>42.0</v>
      </c>
    </row>
    <row r="1916" ht="15.75" customHeight="1">
      <c r="A1916" s="1">
        <v>5863756.0</v>
      </c>
      <c r="B1916" s="1" t="s">
        <v>5110</v>
      </c>
      <c r="C1916" s="1" t="s">
        <v>5111</v>
      </c>
      <c r="D1916" s="1" t="s">
        <v>224</v>
      </c>
      <c r="E1916" s="1" t="s">
        <v>1746</v>
      </c>
      <c r="F1916" s="1" t="s">
        <v>6717</v>
      </c>
      <c r="G1916" s="1" t="str">
        <f>IFERROR(VLOOKUP(A1916,H_C!$A$2:$G$2628,7,0),"Validar HC")</f>
        <v>Ayala, Giselle</v>
      </c>
      <c r="H1916" s="167">
        <v>2200286.0</v>
      </c>
      <c r="I1916" s="1">
        <v>42.0</v>
      </c>
    </row>
    <row r="1917" ht="15.75" customHeight="1">
      <c r="A1917" s="1">
        <v>5863961.0</v>
      </c>
      <c r="B1917" s="1" t="s">
        <v>5112</v>
      </c>
      <c r="C1917" s="1" t="s">
        <v>5113</v>
      </c>
      <c r="D1917" s="1" t="s">
        <v>224</v>
      </c>
      <c r="E1917" s="1" t="s">
        <v>1746</v>
      </c>
      <c r="F1917" s="1" t="s">
        <v>6717</v>
      </c>
      <c r="G1917" s="1" t="str">
        <f>IFERROR(VLOOKUP(A1917,H_C!$A$2:$G$2628,7,0),"Validar HC")</f>
        <v>Ayala, Giselle</v>
      </c>
      <c r="H1917" s="167">
        <v>2200286.0</v>
      </c>
      <c r="I1917" s="1">
        <v>42.0</v>
      </c>
    </row>
    <row r="1918" ht="15.75" customHeight="1">
      <c r="A1918" s="1">
        <v>4734504.0</v>
      </c>
      <c r="B1918" s="1" t="s">
        <v>4972</v>
      </c>
      <c r="C1918" s="1" t="s">
        <v>4973</v>
      </c>
      <c r="D1918" s="1" t="s">
        <v>224</v>
      </c>
      <c r="E1918" s="1" t="s">
        <v>1363</v>
      </c>
      <c r="F1918" s="1" t="s">
        <v>6717</v>
      </c>
      <c r="G1918" s="1" t="str">
        <f>IFERROR(VLOOKUP(A1918,H_C!$A$2:$G$2628,7,0),"Validar HC")</f>
        <v>Osorio, Julian</v>
      </c>
      <c r="H1918" s="167">
        <v>2200286.0</v>
      </c>
      <c r="I1918" s="1">
        <v>42.0</v>
      </c>
    </row>
    <row r="1919" ht="15.75" customHeight="1">
      <c r="A1919" s="1">
        <v>5863758.0</v>
      </c>
      <c r="B1919" s="1" t="s">
        <v>4113</v>
      </c>
      <c r="C1919" s="1" t="s">
        <v>4114</v>
      </c>
      <c r="D1919" s="1" t="s">
        <v>224</v>
      </c>
      <c r="E1919" s="1" t="s">
        <v>3225</v>
      </c>
      <c r="F1919" s="1" t="s">
        <v>6717</v>
      </c>
      <c r="G1919" s="1" t="str">
        <f>IFERROR(VLOOKUP(A1919,H_C!$A$2:$G$2628,7,0),"Validar HC")</f>
        <v>Ayala, Giselle</v>
      </c>
      <c r="H1919" s="167">
        <v>2200286.0</v>
      </c>
      <c r="I1919" s="1">
        <v>42.0</v>
      </c>
    </row>
    <row r="1920" ht="15.75" customHeight="1">
      <c r="A1920" s="1">
        <v>5864470.0</v>
      </c>
      <c r="B1920" s="1" t="s">
        <v>4480</v>
      </c>
      <c r="C1920" s="1" t="s">
        <v>4481</v>
      </c>
      <c r="D1920" s="1" t="s">
        <v>224</v>
      </c>
      <c r="E1920" s="1" t="s">
        <v>695</v>
      </c>
      <c r="F1920" s="1" t="s">
        <v>6717</v>
      </c>
      <c r="G1920" s="1" t="str">
        <f>IFERROR(VLOOKUP(A1920,H_C!$A$2:$G$2628,7,0),"Validar HC")</f>
        <v>Ayala, Giselle</v>
      </c>
      <c r="H1920" s="167">
        <v>2200286.0</v>
      </c>
      <c r="I1920" s="1">
        <v>42.0</v>
      </c>
    </row>
    <row r="1921" ht="15.75" customHeight="1">
      <c r="A1921" s="1">
        <v>5863754.0</v>
      </c>
      <c r="B1921" s="1" t="s">
        <v>5116</v>
      </c>
      <c r="C1921" s="1" t="s">
        <v>5117</v>
      </c>
      <c r="D1921" s="1" t="s">
        <v>224</v>
      </c>
      <c r="E1921" s="1" t="s">
        <v>1363</v>
      </c>
      <c r="F1921" s="1" t="s">
        <v>6717</v>
      </c>
      <c r="G1921" s="1" t="str">
        <f>IFERROR(VLOOKUP(A1921,H_C!$A$2:$G$2628,7,0),"Validar HC")</f>
        <v>Osorio, Julian</v>
      </c>
      <c r="H1921" s="167">
        <v>2200286.0</v>
      </c>
      <c r="I1921" s="1">
        <v>42.0</v>
      </c>
    </row>
    <row r="1922" ht="15.75" customHeight="1">
      <c r="A1922" s="1">
        <v>5297830.0</v>
      </c>
      <c r="B1922" s="1" t="s">
        <v>4416</v>
      </c>
      <c r="C1922" s="1" t="s">
        <v>4417</v>
      </c>
      <c r="D1922" s="1" t="s">
        <v>224</v>
      </c>
      <c r="E1922" s="1" t="s">
        <v>3225</v>
      </c>
      <c r="F1922" s="1" t="s">
        <v>6717</v>
      </c>
      <c r="G1922" s="1" t="str">
        <f>IFERROR(VLOOKUP(A1922,H_C!$A$2:$G$2628,7,0),"Validar HC")</f>
        <v>Ayala, Giselle</v>
      </c>
      <c r="H1922" s="167">
        <v>2200286.0</v>
      </c>
      <c r="I1922" s="1">
        <v>42.0</v>
      </c>
    </row>
    <row r="1923" ht="15.75" customHeight="1">
      <c r="A1923" s="1">
        <v>5313589.0</v>
      </c>
      <c r="B1923" s="1" t="s">
        <v>4412</v>
      </c>
      <c r="C1923" s="1" t="s">
        <v>4413</v>
      </c>
      <c r="D1923" s="1" t="s">
        <v>224</v>
      </c>
      <c r="E1923" s="1" t="s">
        <v>3225</v>
      </c>
      <c r="F1923" s="1" t="s">
        <v>6717</v>
      </c>
      <c r="G1923" s="1" t="str">
        <f>IFERROR(VLOOKUP(A1923,H_C!$A$2:$G$2628,7,0),"Validar HC")</f>
        <v>Ayala, Giselle</v>
      </c>
      <c r="H1923" s="167">
        <v>2200286.0</v>
      </c>
      <c r="I1923" s="1">
        <v>42.0</v>
      </c>
    </row>
    <row r="1924" ht="15.75" customHeight="1">
      <c r="A1924" s="1">
        <v>5863760.0</v>
      </c>
      <c r="B1924" s="1" t="s">
        <v>5123</v>
      </c>
      <c r="C1924" s="1" t="s">
        <v>5124</v>
      </c>
      <c r="D1924" s="1" t="s">
        <v>224</v>
      </c>
      <c r="E1924" s="1" t="s">
        <v>813</v>
      </c>
      <c r="F1924" s="1" t="s">
        <v>6717</v>
      </c>
      <c r="G1924" s="1" t="str">
        <f>IFERROR(VLOOKUP(A1924,H_C!$A$2:$G$2628,7,0),"Validar HC")</f>
        <v>Garatejo, Natalia</v>
      </c>
      <c r="H1924" s="167">
        <v>2200286.0</v>
      </c>
      <c r="I1924" s="1">
        <v>42.0</v>
      </c>
    </row>
    <row r="1925" ht="15.75" customHeight="1">
      <c r="A1925" s="1">
        <v>5863828.0</v>
      </c>
      <c r="B1925" s="1" t="s">
        <v>3447</v>
      </c>
      <c r="C1925" s="1" t="s">
        <v>3448</v>
      </c>
      <c r="D1925" s="1" t="s">
        <v>224</v>
      </c>
      <c r="E1925" s="1" t="s">
        <v>853</v>
      </c>
      <c r="F1925" s="1" t="s">
        <v>6717</v>
      </c>
      <c r="G1925" s="1" t="str">
        <f>IFERROR(VLOOKUP(A1925,H_C!$A$2:$G$2628,7,0),"Validar HC")</f>
        <v>Celi, Juan</v>
      </c>
      <c r="H1925" s="167">
        <v>2200286.0</v>
      </c>
      <c r="I1925" s="1">
        <v>42.0</v>
      </c>
    </row>
    <row r="1926" ht="15.75" customHeight="1">
      <c r="A1926" s="1">
        <v>5863785.0</v>
      </c>
      <c r="B1926" s="1" t="s">
        <v>4388</v>
      </c>
      <c r="C1926" s="1" t="s">
        <v>4389</v>
      </c>
      <c r="D1926" s="1" t="s">
        <v>224</v>
      </c>
      <c r="E1926" s="1" t="s">
        <v>2285</v>
      </c>
      <c r="F1926" s="1" t="s">
        <v>6717</v>
      </c>
      <c r="G1926" s="1" t="str">
        <f>IFERROR(VLOOKUP(A1926,H_C!$A$2:$G$2628,7,0),"Validar HC")</f>
        <v>Ayala, Giselle</v>
      </c>
      <c r="H1926" s="167">
        <v>2200286.0</v>
      </c>
      <c r="I1926" s="1">
        <v>42.0</v>
      </c>
    </row>
    <row r="1927" ht="15.75" customHeight="1">
      <c r="A1927" s="1">
        <v>5863958.0</v>
      </c>
      <c r="B1927" s="1" t="s">
        <v>3435</v>
      </c>
      <c r="C1927" s="1" t="s">
        <v>3436</v>
      </c>
      <c r="D1927" s="1" t="s">
        <v>224</v>
      </c>
      <c r="E1927" s="1" t="s">
        <v>1348</v>
      </c>
      <c r="F1927" s="1" t="s">
        <v>6717</v>
      </c>
      <c r="G1927" s="1" t="str">
        <f>IFERROR(VLOOKUP(A1927,H_C!$A$2:$G$2628,7,0),"Validar HC")</f>
        <v>Celi, Juan</v>
      </c>
      <c r="H1927" s="167">
        <v>2200286.0</v>
      </c>
      <c r="I1927" s="1">
        <v>42.0</v>
      </c>
    </row>
    <row r="1928" ht="15.75" customHeight="1">
      <c r="A1928" s="1">
        <v>5864034.0</v>
      </c>
      <c r="B1928" s="1" t="s">
        <v>3556</v>
      </c>
      <c r="C1928" s="1" t="s">
        <v>3557</v>
      </c>
      <c r="D1928" s="1" t="s">
        <v>224</v>
      </c>
      <c r="E1928" s="1" t="s">
        <v>467</v>
      </c>
      <c r="F1928" s="1" t="s">
        <v>6717</v>
      </c>
      <c r="G1928" s="1" t="str">
        <f>IFERROR(VLOOKUP(A1928,H_C!$A$2:$G$2628,7,0),"Validar HC")</f>
        <v>Martinez, Wendy</v>
      </c>
      <c r="H1928" s="167">
        <v>2200286.0</v>
      </c>
      <c r="I1928" s="1">
        <v>42.0</v>
      </c>
    </row>
    <row r="1929" ht="15.75" customHeight="1">
      <c r="A1929" s="1">
        <v>4607163.0</v>
      </c>
      <c r="B1929" s="1" t="s">
        <v>5127</v>
      </c>
      <c r="C1929" s="1" t="s">
        <v>5128</v>
      </c>
      <c r="D1929" s="1" t="s">
        <v>224</v>
      </c>
      <c r="E1929" s="1" t="s">
        <v>1348</v>
      </c>
      <c r="F1929" s="1" t="s">
        <v>6717</v>
      </c>
      <c r="G1929" s="1" t="str">
        <f>IFERROR(VLOOKUP(A1929,H_C!$A$2:$G$2628,7,0),"Validar HC")</f>
        <v>Celi, Juan</v>
      </c>
      <c r="H1929" s="167">
        <v>2200286.0</v>
      </c>
      <c r="I1929" s="1">
        <v>42.0</v>
      </c>
    </row>
    <row r="1930" ht="15.75" customHeight="1">
      <c r="A1930" s="1">
        <v>5864037.0</v>
      </c>
      <c r="B1930" s="1" t="s">
        <v>4808</v>
      </c>
      <c r="C1930" s="1" t="s">
        <v>4809</v>
      </c>
      <c r="D1930" s="1" t="s">
        <v>224</v>
      </c>
      <c r="E1930" s="1" t="s">
        <v>1348</v>
      </c>
      <c r="F1930" s="1" t="s">
        <v>6717</v>
      </c>
      <c r="G1930" s="1" t="str">
        <f>IFERROR(VLOOKUP(A1930,H_C!$A$2:$G$2628,7,0),"Validar HC")</f>
        <v>Celi, Juan</v>
      </c>
      <c r="H1930" s="167">
        <v>2200286.0</v>
      </c>
      <c r="I1930" s="1">
        <v>42.0</v>
      </c>
    </row>
    <row r="1931" ht="15.75" customHeight="1">
      <c r="A1931" s="1">
        <v>5866139.0</v>
      </c>
      <c r="B1931" s="1" t="s">
        <v>5104</v>
      </c>
      <c r="C1931" s="1" t="s">
        <v>5105</v>
      </c>
      <c r="D1931" s="1" t="s">
        <v>224</v>
      </c>
      <c r="E1931" s="1" t="s">
        <v>478</v>
      </c>
      <c r="F1931" s="1" t="s">
        <v>6717</v>
      </c>
      <c r="G1931" s="1" t="str">
        <f>IFERROR(VLOOKUP(A1931,H_C!$A$2:$G$2628,7,0),"Validar HC")</f>
        <v>Celi, Juan</v>
      </c>
      <c r="H1931" s="167">
        <v>2200286.0</v>
      </c>
      <c r="I1931" s="1">
        <v>42.0</v>
      </c>
    </row>
    <row r="1932" ht="15.75" customHeight="1">
      <c r="A1932" s="1">
        <v>5866133.0</v>
      </c>
      <c r="B1932" s="1" t="s">
        <v>2726</v>
      </c>
      <c r="C1932" s="1" t="s">
        <v>2727</v>
      </c>
      <c r="D1932" s="1" t="s">
        <v>224</v>
      </c>
      <c r="E1932" s="1" t="s">
        <v>478</v>
      </c>
      <c r="F1932" s="1" t="s">
        <v>6717</v>
      </c>
      <c r="G1932" s="1" t="str">
        <f>IFERROR(VLOOKUP(A1932,H_C!$A$2:$G$2628,7,0),"Validar HC")</f>
        <v>Celi, Juan</v>
      </c>
      <c r="H1932" s="167">
        <v>2200286.0</v>
      </c>
      <c r="I1932" s="1">
        <v>42.0</v>
      </c>
    </row>
    <row r="1933" ht="15.75" customHeight="1">
      <c r="A1933" s="1">
        <v>5866140.0</v>
      </c>
      <c r="B1933" s="1" t="s">
        <v>1541</v>
      </c>
      <c r="C1933" s="1" t="s">
        <v>1542</v>
      </c>
      <c r="D1933" s="1" t="s">
        <v>224</v>
      </c>
      <c r="E1933" s="1" t="s">
        <v>478</v>
      </c>
      <c r="F1933" s="1" t="s">
        <v>6717</v>
      </c>
      <c r="G1933" s="1" t="str">
        <f>IFERROR(VLOOKUP(A1933,H_C!$A$2:$G$2628,7,0),"Validar HC")</f>
        <v>Celi, Juan</v>
      </c>
      <c r="H1933" s="167">
        <v>2200286.0</v>
      </c>
      <c r="I1933" s="1">
        <v>42.0</v>
      </c>
    </row>
    <row r="1934" ht="15.75" customHeight="1">
      <c r="A1934" s="1">
        <v>5866137.0</v>
      </c>
      <c r="B1934" s="1" t="s">
        <v>1531</v>
      </c>
      <c r="C1934" s="1" t="s">
        <v>1532</v>
      </c>
      <c r="D1934" s="1" t="s">
        <v>224</v>
      </c>
      <c r="E1934" s="1" t="s">
        <v>478</v>
      </c>
      <c r="F1934" s="1" t="s">
        <v>6717</v>
      </c>
      <c r="G1934" s="1" t="str">
        <f>IFERROR(VLOOKUP(A1934,H_C!$A$2:$G$2628,7,0),"Validar HC")</f>
        <v>Celi, Juan</v>
      </c>
      <c r="H1934" s="167">
        <v>2200286.0</v>
      </c>
      <c r="I1934" s="1">
        <v>42.0</v>
      </c>
    </row>
    <row r="1935" ht="15.75" customHeight="1">
      <c r="A1935" s="1">
        <v>5866038.0</v>
      </c>
      <c r="B1935" s="1" t="s">
        <v>4830</v>
      </c>
      <c r="C1935" s="1" t="s">
        <v>4831</v>
      </c>
      <c r="D1935" s="1" t="s">
        <v>224</v>
      </c>
      <c r="E1935" s="1" t="s">
        <v>1348</v>
      </c>
      <c r="F1935" s="1" t="s">
        <v>6717</v>
      </c>
      <c r="G1935" s="1" t="str">
        <f>IFERROR(VLOOKUP(A1935,H_C!$A$2:$G$2628,7,0),"Validar HC")</f>
        <v>Celi, Juan</v>
      </c>
      <c r="H1935" s="167">
        <v>2200286.0</v>
      </c>
      <c r="I1935" s="1">
        <v>42.0</v>
      </c>
    </row>
    <row r="1936" ht="15.75" customHeight="1">
      <c r="A1936" s="1">
        <v>5866042.0</v>
      </c>
      <c r="B1936" s="1" t="s">
        <v>4696</v>
      </c>
      <c r="C1936" s="1" t="s">
        <v>4697</v>
      </c>
      <c r="D1936" s="1" t="s">
        <v>224</v>
      </c>
      <c r="E1936" s="1" t="s">
        <v>323</v>
      </c>
      <c r="F1936" s="1" t="s">
        <v>6717</v>
      </c>
      <c r="G1936" s="1" t="str">
        <f>IFERROR(VLOOKUP(A1936,H_C!$A$2:$G$2628,7,0),"Validar HC")</f>
        <v>Martinez, Wendy</v>
      </c>
      <c r="H1936" s="167">
        <v>2200286.0</v>
      </c>
      <c r="I1936" s="1">
        <v>42.0</v>
      </c>
    </row>
    <row r="1937" ht="15.75" customHeight="1">
      <c r="A1937" s="1">
        <v>5867234.0</v>
      </c>
      <c r="B1937" s="1" t="s">
        <v>4760</v>
      </c>
      <c r="C1937" s="1" t="s">
        <v>4761</v>
      </c>
      <c r="D1937" s="1" t="s">
        <v>224</v>
      </c>
      <c r="E1937" s="1" t="s">
        <v>847</v>
      </c>
      <c r="F1937" s="1" t="s">
        <v>6717</v>
      </c>
      <c r="G1937" s="1" t="str">
        <f>IFERROR(VLOOKUP(A1937,H_C!$A$2:$G$2628,7,0),"Validar HC")</f>
        <v>Garatejo, Natalia</v>
      </c>
      <c r="H1937" s="167">
        <v>2200286.0</v>
      </c>
      <c r="I1937" s="1">
        <v>42.0</v>
      </c>
    </row>
    <row r="1938" ht="15.75" customHeight="1">
      <c r="A1938" s="1">
        <v>5867161.0</v>
      </c>
      <c r="B1938" s="1" t="s">
        <v>4900</v>
      </c>
      <c r="C1938" s="1" t="s">
        <v>4901</v>
      </c>
      <c r="D1938" s="1" t="s">
        <v>224</v>
      </c>
      <c r="E1938" s="1" t="s">
        <v>416</v>
      </c>
      <c r="F1938" s="1" t="s">
        <v>6717</v>
      </c>
      <c r="G1938" s="1" t="str">
        <f>IFERROR(VLOOKUP(A1938,H_C!$A$2:$G$2628,7,0),"Validar HC")</f>
        <v>Soler, Maria</v>
      </c>
      <c r="H1938" s="167">
        <v>2200286.0</v>
      </c>
      <c r="I1938" s="1">
        <v>42.0</v>
      </c>
    </row>
    <row r="1939" ht="15.75" customHeight="1">
      <c r="A1939" s="1">
        <v>5868922.0</v>
      </c>
      <c r="B1939" s="1" t="s">
        <v>1584</v>
      </c>
      <c r="C1939" s="1" t="s">
        <v>1585</v>
      </c>
      <c r="D1939" s="1" t="s">
        <v>224</v>
      </c>
      <c r="E1939" s="1" t="s">
        <v>478</v>
      </c>
      <c r="F1939" s="1" t="s">
        <v>6717</v>
      </c>
      <c r="G1939" s="1" t="str">
        <f>IFERROR(VLOOKUP(A1939,H_C!$A$2:$G$2628,7,0),"Validar HC")</f>
        <v>Celi, Juan</v>
      </c>
      <c r="H1939" s="167">
        <v>2200286.0</v>
      </c>
      <c r="I1939" s="1">
        <v>42.0</v>
      </c>
    </row>
    <row r="1940" ht="15.75" customHeight="1">
      <c r="A1940" s="1">
        <v>5358411.0</v>
      </c>
      <c r="B1940" s="1" t="s">
        <v>1749</v>
      </c>
      <c r="C1940" s="1" t="s">
        <v>1750</v>
      </c>
      <c r="D1940" s="1" t="s">
        <v>224</v>
      </c>
      <c r="E1940" s="1" t="s">
        <v>835</v>
      </c>
      <c r="F1940" s="1" t="s">
        <v>6717</v>
      </c>
      <c r="G1940" s="1" t="str">
        <f>IFERROR(VLOOKUP(A1940,H_C!$A$2:$G$2628,7,0),"Validar HC")</f>
        <v>Martinez, Wendy</v>
      </c>
      <c r="H1940" s="167">
        <v>2200286.0</v>
      </c>
      <c r="I1940" s="1">
        <v>42.0</v>
      </c>
    </row>
    <row r="1941" ht="15.75" customHeight="1">
      <c r="A1941" s="1">
        <v>5869216.0</v>
      </c>
      <c r="B1941" s="1" t="s">
        <v>1738</v>
      </c>
      <c r="C1941" s="1" t="s">
        <v>1739</v>
      </c>
      <c r="D1941" s="1" t="s">
        <v>224</v>
      </c>
      <c r="E1941" s="1" t="s">
        <v>416</v>
      </c>
      <c r="F1941" s="1" t="s">
        <v>6717</v>
      </c>
      <c r="G1941" s="1" t="str">
        <f>IFERROR(VLOOKUP(A1941,H_C!$A$2:$G$2628,7,0),"Validar HC")</f>
        <v>Soler, Maria</v>
      </c>
      <c r="H1941" s="167">
        <v>2200286.0</v>
      </c>
      <c r="I1941" s="1">
        <v>42.0</v>
      </c>
    </row>
    <row r="1942" ht="15.75" customHeight="1">
      <c r="A1942" s="1">
        <v>5868840.0</v>
      </c>
      <c r="B1942" s="1" t="s">
        <v>4910</v>
      </c>
      <c r="C1942" s="1" t="s">
        <v>4911</v>
      </c>
      <c r="D1942" s="1" t="s">
        <v>224</v>
      </c>
      <c r="E1942" s="1" t="s">
        <v>416</v>
      </c>
      <c r="F1942" s="1" t="s">
        <v>6717</v>
      </c>
      <c r="G1942" s="1" t="str">
        <f>IFERROR(VLOOKUP(A1942,H_C!$A$2:$G$2628,7,0),"Validar HC")</f>
        <v>Soler, Maria</v>
      </c>
      <c r="H1942" s="167">
        <v>2200286.0</v>
      </c>
      <c r="I1942" s="1">
        <v>42.0</v>
      </c>
    </row>
    <row r="1943" ht="15.75" customHeight="1">
      <c r="A1943" s="1">
        <v>5867464.0</v>
      </c>
      <c r="B1943" s="1" t="s">
        <v>5044</v>
      </c>
      <c r="C1943" s="1" t="s">
        <v>5045</v>
      </c>
      <c r="D1943" s="1" t="s">
        <v>224</v>
      </c>
      <c r="E1943" s="1" t="s">
        <v>323</v>
      </c>
      <c r="F1943" s="1" t="s">
        <v>6717</v>
      </c>
      <c r="G1943" s="1" t="str">
        <f>IFERROR(VLOOKUP(A1943,H_C!$A$2:$G$2628,7,0),"Validar HC")</f>
        <v>Martinez, Wendy</v>
      </c>
      <c r="H1943" s="167">
        <v>2200286.0</v>
      </c>
      <c r="I1943" s="1">
        <v>42.0</v>
      </c>
    </row>
    <row r="1944" ht="15.75" customHeight="1">
      <c r="A1944" s="1">
        <v>5285097.0</v>
      </c>
      <c r="B1944" s="1" t="s">
        <v>5038</v>
      </c>
      <c r="C1944" s="1" t="s">
        <v>5039</v>
      </c>
      <c r="D1944" s="1" t="s">
        <v>224</v>
      </c>
      <c r="E1944" s="1" t="s">
        <v>323</v>
      </c>
      <c r="F1944" s="1" t="s">
        <v>6717</v>
      </c>
      <c r="G1944" s="1" t="str">
        <f>IFERROR(VLOOKUP(A1944,H_C!$A$2:$G$2628,7,0),"Validar HC")</f>
        <v>Martinez, Wendy</v>
      </c>
      <c r="H1944" s="167">
        <v>2200286.0</v>
      </c>
      <c r="I1944" s="1">
        <v>42.0</v>
      </c>
    </row>
    <row r="1945" ht="15.75" customHeight="1">
      <c r="A1945" s="1">
        <v>5867456.0</v>
      </c>
      <c r="B1945" s="1" t="s">
        <v>2085</v>
      </c>
      <c r="C1945" s="1" t="s">
        <v>2086</v>
      </c>
      <c r="D1945" s="1" t="s">
        <v>224</v>
      </c>
      <c r="E1945" s="1" t="s">
        <v>323</v>
      </c>
      <c r="F1945" s="1" t="s">
        <v>6717</v>
      </c>
      <c r="G1945" s="1" t="str">
        <f>IFERROR(VLOOKUP(A1945,H_C!$A$2:$G$2628,7,0),"Validar HC")</f>
        <v>Martinez, Wendy</v>
      </c>
      <c r="H1945" s="167">
        <v>2200286.0</v>
      </c>
      <c r="I1945" s="1">
        <v>42.0</v>
      </c>
    </row>
    <row r="1946" ht="15.75" customHeight="1">
      <c r="A1946" s="1">
        <v>5867463.0</v>
      </c>
      <c r="B1946" s="1" t="s">
        <v>618</v>
      </c>
      <c r="C1946" s="1" t="s">
        <v>619</v>
      </c>
      <c r="D1946" s="1" t="s">
        <v>224</v>
      </c>
      <c r="E1946" s="1" t="s">
        <v>526</v>
      </c>
      <c r="F1946" s="1" t="s">
        <v>6717</v>
      </c>
      <c r="G1946" s="1" t="str">
        <f>IFERROR(VLOOKUP(A1946,H_C!$A$2:$G$2628,7,0),"Validar HC")</f>
        <v>Martinez, Wendy</v>
      </c>
      <c r="H1946" s="167">
        <v>2200286.0</v>
      </c>
      <c r="I1946" s="1">
        <v>42.0</v>
      </c>
    </row>
    <row r="1947" ht="15.75" customHeight="1">
      <c r="A1947" s="1">
        <v>5867462.0</v>
      </c>
      <c r="B1947" s="1" t="s">
        <v>3999</v>
      </c>
      <c r="C1947" s="1" t="s">
        <v>4000</v>
      </c>
      <c r="D1947" s="1" t="s">
        <v>224</v>
      </c>
      <c r="E1947" s="1" t="s">
        <v>323</v>
      </c>
      <c r="F1947" s="1" t="s">
        <v>6717</v>
      </c>
      <c r="G1947" s="1" t="str">
        <f>IFERROR(VLOOKUP(A1947,H_C!$A$2:$G$2628,7,0),"Validar HC")</f>
        <v>Martinez, Wendy</v>
      </c>
      <c r="H1947" s="167">
        <v>2200286.0</v>
      </c>
      <c r="I1947" s="1">
        <v>42.0</v>
      </c>
    </row>
    <row r="1948" ht="15.75" customHeight="1">
      <c r="A1948" s="1">
        <v>5868838.0</v>
      </c>
      <c r="B1948" s="1" t="s">
        <v>4732</v>
      </c>
      <c r="C1948" s="1" t="s">
        <v>4733</v>
      </c>
      <c r="D1948" s="1" t="s">
        <v>224</v>
      </c>
      <c r="E1948" s="1" t="s">
        <v>526</v>
      </c>
      <c r="F1948" s="1" t="s">
        <v>6717</v>
      </c>
      <c r="G1948" s="1" t="str">
        <f>IFERROR(VLOOKUP(A1948,H_C!$A$2:$G$2628,7,0),"Validar HC")</f>
        <v>Martinez, Wendy</v>
      </c>
      <c r="H1948" s="167">
        <v>2200286.0</v>
      </c>
      <c r="I1948" s="1">
        <v>42.0</v>
      </c>
    </row>
    <row r="1949" ht="15.75" customHeight="1">
      <c r="A1949" s="1">
        <v>5867460.0</v>
      </c>
      <c r="B1949" s="1" t="s">
        <v>547</v>
      </c>
      <c r="C1949" s="1" t="s">
        <v>548</v>
      </c>
      <c r="D1949" s="1" t="s">
        <v>224</v>
      </c>
      <c r="E1949" s="1" t="s">
        <v>526</v>
      </c>
      <c r="F1949" s="1" t="s">
        <v>6717</v>
      </c>
      <c r="G1949" s="1" t="str">
        <f>IFERROR(VLOOKUP(A1949,H_C!$A$2:$G$2628,7,0),"Validar HC")</f>
        <v>Martinez, Wendy</v>
      </c>
      <c r="H1949" s="167">
        <v>2200286.0</v>
      </c>
      <c r="I1949" s="1">
        <v>42.0</v>
      </c>
    </row>
    <row r="1950" ht="15.75" customHeight="1">
      <c r="A1950" s="1">
        <v>5867458.0</v>
      </c>
      <c r="B1950" s="1" t="s">
        <v>4674</v>
      </c>
      <c r="C1950" s="1" t="s">
        <v>4675</v>
      </c>
      <c r="D1950" s="1" t="s">
        <v>224</v>
      </c>
      <c r="E1950" s="1" t="s">
        <v>323</v>
      </c>
      <c r="F1950" s="1" t="s">
        <v>6717</v>
      </c>
      <c r="G1950" s="1" t="str">
        <f>IFERROR(VLOOKUP(A1950,H_C!$A$2:$G$2628,7,0),"Validar HC")</f>
        <v>Martinez, Wendy</v>
      </c>
      <c r="H1950" s="167">
        <v>2200286.0</v>
      </c>
      <c r="I1950" s="1">
        <v>42.0</v>
      </c>
    </row>
    <row r="1951" ht="15.75" customHeight="1">
      <c r="A1951" s="1">
        <v>5748572.0</v>
      </c>
      <c r="B1951" s="1" t="s">
        <v>4126</v>
      </c>
      <c r="C1951" s="1" t="s">
        <v>4127</v>
      </c>
      <c r="D1951" s="1" t="s">
        <v>224</v>
      </c>
      <c r="E1951" s="1" t="s">
        <v>3225</v>
      </c>
      <c r="F1951" s="1" t="s">
        <v>6717</v>
      </c>
      <c r="G1951" s="1" t="str">
        <f>IFERROR(VLOOKUP(A1951,H_C!$A$2:$G$2628,7,0),"Validar HC")</f>
        <v>Ayala, Giselle</v>
      </c>
      <c r="H1951" s="167">
        <v>2200286.0</v>
      </c>
      <c r="I1951" s="1">
        <v>42.0</v>
      </c>
    </row>
    <row r="1952" ht="15.75" customHeight="1">
      <c r="A1952" s="1">
        <v>5608171.0</v>
      </c>
      <c r="B1952" s="1" t="s">
        <v>6794</v>
      </c>
      <c r="C1952" s="1" t="s">
        <v>6795</v>
      </c>
      <c r="D1952" s="1" t="s">
        <v>224</v>
      </c>
      <c r="E1952" s="1" t="s">
        <v>522</v>
      </c>
      <c r="F1952" s="1" t="s">
        <v>6717</v>
      </c>
      <c r="G1952" s="1" t="str">
        <f>IFERROR(VLOOKUP(A1952,H_C!$A$2:$G$2628,7,0),"Validar HC")</f>
        <v>Validar HC</v>
      </c>
      <c r="H1952" s="167">
        <v>2200286.0</v>
      </c>
      <c r="I1952" s="1">
        <v>42.0</v>
      </c>
    </row>
    <row r="1953" ht="15.75" customHeight="1">
      <c r="A1953" s="1">
        <v>5870146.0</v>
      </c>
      <c r="B1953" s="1" t="s">
        <v>4654</v>
      </c>
      <c r="C1953" s="1" t="s">
        <v>4655</v>
      </c>
      <c r="D1953" s="1" t="s">
        <v>224</v>
      </c>
      <c r="E1953" s="1" t="s">
        <v>522</v>
      </c>
      <c r="F1953" s="1" t="s">
        <v>6717</v>
      </c>
      <c r="G1953" s="1" t="str">
        <f>IFERROR(VLOOKUP(A1953,H_C!$A$2:$G$2628,7,0),"Validar HC")</f>
        <v>Martinez, Wendy</v>
      </c>
      <c r="H1953" s="167">
        <v>2200286.0</v>
      </c>
      <c r="I1953" s="1">
        <v>42.0</v>
      </c>
    </row>
    <row r="1954" ht="15.75" customHeight="1">
      <c r="A1954" s="1">
        <v>5870149.0</v>
      </c>
      <c r="B1954" s="1" t="s">
        <v>3177</v>
      </c>
      <c r="C1954" s="1" t="s">
        <v>3178</v>
      </c>
      <c r="D1954" s="1" t="s">
        <v>224</v>
      </c>
      <c r="E1954" s="1" t="s">
        <v>412</v>
      </c>
      <c r="F1954" s="1" t="s">
        <v>6717</v>
      </c>
      <c r="G1954" s="1" t="str">
        <f>IFERROR(VLOOKUP(A1954,H_C!$A$2:$G$2628,7,0),"Validar HC")</f>
        <v>Ospina, Michel</v>
      </c>
      <c r="H1954" s="167">
        <v>2200286.0</v>
      </c>
      <c r="I1954" s="1">
        <v>42.0</v>
      </c>
    </row>
    <row r="1955" ht="15.75" customHeight="1">
      <c r="A1955" s="1">
        <v>5872238.0</v>
      </c>
      <c r="B1955" s="1" t="s">
        <v>4904</v>
      </c>
      <c r="C1955" s="1" t="s">
        <v>4905</v>
      </c>
      <c r="D1955" s="1" t="s">
        <v>224</v>
      </c>
      <c r="E1955" s="1" t="s">
        <v>416</v>
      </c>
      <c r="F1955" s="1" t="s">
        <v>6717</v>
      </c>
      <c r="G1955" s="1" t="str">
        <f>IFERROR(VLOOKUP(A1955,H_C!$A$2:$G$2628,7,0),"Validar HC")</f>
        <v>Soler, Maria</v>
      </c>
      <c r="H1955" s="167">
        <v>2200286.0</v>
      </c>
      <c r="I1955" s="1">
        <v>42.0</v>
      </c>
    </row>
    <row r="1956" ht="15.75" customHeight="1">
      <c r="A1956" s="1"/>
      <c r="B1956" s="1"/>
      <c r="C1956" s="1"/>
      <c r="D1956" s="1"/>
      <c r="E1956" s="1"/>
      <c r="F1956" s="1"/>
      <c r="G1956" s="1"/>
      <c r="H1956" s="162"/>
      <c r="I1956" s="1"/>
    </row>
    <row r="1957" ht="15.75" customHeight="1">
      <c r="A1957" s="1">
        <v>5872046.0</v>
      </c>
      <c r="B1957" s="1" t="s">
        <v>4172</v>
      </c>
      <c r="C1957" s="1" t="s">
        <v>4173</v>
      </c>
      <c r="D1957" s="1" t="s">
        <v>224</v>
      </c>
      <c r="E1957" s="1" t="s">
        <v>412</v>
      </c>
      <c r="F1957" s="1" t="s">
        <v>6717</v>
      </c>
      <c r="G1957" s="1" t="str">
        <f>IFERROR(VLOOKUP(A1957,H_C!$A$2:$G$2628,7,0),"Validar HC")</f>
        <v>Ospina, Michel</v>
      </c>
      <c r="H1957" s="167">
        <v>2200286.0</v>
      </c>
      <c r="I1957" s="1">
        <v>42.0</v>
      </c>
    </row>
    <row r="1958" ht="15.75" customHeight="1">
      <c r="A1958" s="1">
        <v>5080438.0</v>
      </c>
      <c r="B1958" s="1" t="s">
        <v>4662</v>
      </c>
      <c r="C1958" s="1" t="s">
        <v>4663</v>
      </c>
      <c r="D1958" s="1" t="s">
        <v>224</v>
      </c>
      <c r="E1958" s="1" t="s">
        <v>522</v>
      </c>
      <c r="F1958" s="1" t="s">
        <v>6717</v>
      </c>
      <c r="G1958" s="1" t="str">
        <f>IFERROR(VLOOKUP(A1958,H_C!$A$2:$G$2628,7,0),"Validar HC")</f>
        <v>Martinez, Wendy</v>
      </c>
      <c r="H1958" s="167">
        <v>2200286.0</v>
      </c>
      <c r="I1958" s="1">
        <v>42.0</v>
      </c>
    </row>
    <row r="1959" ht="15.75" customHeight="1">
      <c r="A1959" s="1">
        <v>5872088.0</v>
      </c>
      <c r="B1959" s="1" t="s">
        <v>2400</v>
      </c>
      <c r="C1959" s="1" t="s">
        <v>2401</v>
      </c>
      <c r="D1959" s="1" t="s">
        <v>224</v>
      </c>
      <c r="E1959" s="1" t="s">
        <v>81</v>
      </c>
      <c r="F1959" s="1" t="s">
        <v>6717</v>
      </c>
      <c r="G1959" s="1" t="str">
        <f>IFERROR(VLOOKUP(A1959,H_C!$A$2:$G$2628,7,0),"Validar HC")</f>
        <v>Ospina, Michel</v>
      </c>
      <c r="H1959" s="167">
        <v>2200286.0</v>
      </c>
      <c r="I1959" s="1">
        <v>42.0</v>
      </c>
    </row>
    <row r="1960" ht="15.75" customHeight="1">
      <c r="A1960" s="1">
        <v>5502361.0</v>
      </c>
      <c r="B1960" s="1" t="s">
        <v>1004</v>
      </c>
      <c r="C1960" s="1" t="s">
        <v>1005</v>
      </c>
      <c r="D1960" s="1" t="s">
        <v>224</v>
      </c>
      <c r="E1960" s="1" t="s">
        <v>254</v>
      </c>
      <c r="F1960" s="1" t="s">
        <v>6717</v>
      </c>
      <c r="G1960" s="1" t="str">
        <f>IFERROR(VLOOKUP(A1960,H_C!$A$2:$G$2628,7,0),"Validar HC")</f>
        <v>Gonzalez, Cristian</v>
      </c>
      <c r="H1960" s="167">
        <v>2200286.0</v>
      </c>
      <c r="I1960" s="1">
        <v>42.0</v>
      </c>
    </row>
    <row r="1961" ht="15.75" customHeight="1">
      <c r="A1961" s="1">
        <v>5872099.0</v>
      </c>
      <c r="B1961" s="1" t="s">
        <v>1247</v>
      </c>
      <c r="C1961" s="1" t="s">
        <v>1248</v>
      </c>
      <c r="D1961" s="1" t="s">
        <v>224</v>
      </c>
      <c r="E1961" s="1" t="s">
        <v>254</v>
      </c>
      <c r="F1961" s="1" t="s">
        <v>6717</v>
      </c>
      <c r="G1961" s="1" t="str">
        <f>IFERROR(VLOOKUP(A1961,H_C!$A$2:$G$2628,7,0),"Validar HC")</f>
        <v>Gonzalez, Cristian</v>
      </c>
      <c r="H1961" s="167">
        <v>2200286.0</v>
      </c>
      <c r="I1961" s="1">
        <v>42.0</v>
      </c>
    </row>
    <row r="1962" ht="15.75" customHeight="1">
      <c r="A1962" s="1">
        <v>5872120.0</v>
      </c>
      <c r="B1962" s="1" t="s">
        <v>4920</v>
      </c>
      <c r="C1962" s="1" t="s">
        <v>4921</v>
      </c>
      <c r="D1962" s="1" t="s">
        <v>224</v>
      </c>
      <c r="E1962" s="1" t="s">
        <v>254</v>
      </c>
      <c r="F1962" s="1" t="s">
        <v>6717</v>
      </c>
      <c r="G1962" s="1" t="str">
        <f>IFERROR(VLOOKUP(A1962,H_C!$A$2:$G$2628,7,0),"Validar HC")</f>
        <v>Gonzalez, Cristian</v>
      </c>
      <c r="H1962" s="167">
        <v>2200286.0</v>
      </c>
      <c r="I1962" s="1">
        <v>42.0</v>
      </c>
    </row>
    <row r="1963" ht="15.75" customHeight="1">
      <c r="A1963" s="1">
        <v>2271052.0</v>
      </c>
      <c r="B1963" s="1" t="s">
        <v>2576</v>
      </c>
      <c r="C1963" s="1" t="s">
        <v>2577</v>
      </c>
      <c r="D1963" s="1" t="s">
        <v>224</v>
      </c>
      <c r="E1963" s="1" t="s">
        <v>514</v>
      </c>
      <c r="F1963" s="1" t="s">
        <v>6717</v>
      </c>
      <c r="G1963" s="1" t="str">
        <f>IFERROR(VLOOKUP(A1963,H_C!$A$2:$G$2628,7,0),"Validar HC")</f>
        <v>Garatejo, Natalia</v>
      </c>
      <c r="H1963" s="167">
        <v>2200286.0</v>
      </c>
      <c r="I1963" s="1">
        <v>42.0</v>
      </c>
    </row>
    <row r="1964" ht="15.75" customHeight="1">
      <c r="A1964" s="1">
        <v>5874212.0</v>
      </c>
      <c r="B1964" s="1" t="s">
        <v>5151</v>
      </c>
      <c r="C1964" s="1" t="s">
        <v>5152</v>
      </c>
      <c r="D1964" s="1" t="s">
        <v>224</v>
      </c>
      <c r="E1964" s="1" t="s">
        <v>738</v>
      </c>
      <c r="F1964" s="1" t="s">
        <v>6717</v>
      </c>
      <c r="G1964" s="1" t="str">
        <f>IFERROR(VLOOKUP(A1964,H_C!$A$2:$G$2628,7,0),"Validar HC")</f>
        <v>Garcia, Helmer</v>
      </c>
      <c r="H1964" s="167">
        <v>2200286.0</v>
      </c>
      <c r="I1964" s="1">
        <v>42.0</v>
      </c>
    </row>
    <row r="1965" ht="15.75" customHeight="1">
      <c r="A1965" s="1">
        <v>5874207.0</v>
      </c>
      <c r="B1965" s="1" t="s">
        <v>2251</v>
      </c>
      <c r="C1965" s="1" t="s">
        <v>2252</v>
      </c>
      <c r="D1965" s="1" t="s">
        <v>224</v>
      </c>
      <c r="E1965" s="1" t="s">
        <v>986</v>
      </c>
      <c r="F1965" s="1" t="s">
        <v>6717</v>
      </c>
      <c r="G1965" s="1" t="str">
        <f>IFERROR(VLOOKUP(A1965,H_C!$A$2:$G$2628,7,0),"Validar HC")</f>
        <v>Garatejo, Natalia</v>
      </c>
      <c r="H1965" s="167">
        <v>2200286.0</v>
      </c>
      <c r="I1965" s="1">
        <v>42.0</v>
      </c>
    </row>
    <row r="1966" ht="15.75" customHeight="1">
      <c r="A1966" s="1">
        <v>4015489.0</v>
      </c>
      <c r="B1966" s="1" t="s">
        <v>5153</v>
      </c>
      <c r="C1966" s="1" t="s">
        <v>5154</v>
      </c>
      <c r="D1966" s="1" t="s">
        <v>224</v>
      </c>
      <c r="E1966" s="1" t="s">
        <v>738</v>
      </c>
      <c r="F1966" s="1" t="s">
        <v>6717</v>
      </c>
      <c r="G1966" s="1" t="str">
        <f>IFERROR(VLOOKUP(A1966,H_C!$A$2:$G$2628,7,0),"Validar HC")</f>
        <v>Garcia, Helmer</v>
      </c>
      <c r="H1966" s="167">
        <v>2200286.0</v>
      </c>
      <c r="I1966" s="1">
        <v>42.0</v>
      </c>
    </row>
    <row r="1967" ht="15.75" customHeight="1">
      <c r="A1967" s="1">
        <v>5874193.0</v>
      </c>
      <c r="B1967" s="1" t="s">
        <v>5155</v>
      </c>
      <c r="C1967" s="1" t="s">
        <v>5156</v>
      </c>
      <c r="D1967" s="1" t="s">
        <v>224</v>
      </c>
      <c r="E1967" s="1" t="s">
        <v>738</v>
      </c>
      <c r="F1967" s="1" t="s">
        <v>6717</v>
      </c>
      <c r="G1967" s="1" t="str">
        <f>IFERROR(VLOOKUP(A1967,H_C!$A$2:$G$2628,7,0),"Validar HC")</f>
        <v>Garcia, Helmer</v>
      </c>
      <c r="H1967" s="167">
        <v>2200286.0</v>
      </c>
      <c r="I1967" s="1">
        <v>42.0</v>
      </c>
    </row>
    <row r="1968" ht="15.75" customHeight="1">
      <c r="A1968" s="1">
        <v>5874103.0</v>
      </c>
      <c r="B1968" s="1" t="s">
        <v>4140</v>
      </c>
      <c r="C1968" s="1" t="s">
        <v>4141</v>
      </c>
      <c r="D1968" s="1" t="s">
        <v>224</v>
      </c>
      <c r="E1968" s="1" t="s">
        <v>412</v>
      </c>
      <c r="F1968" s="1" t="s">
        <v>6717</v>
      </c>
      <c r="G1968" s="1" t="str">
        <f>IFERROR(VLOOKUP(A1968,H_C!$A$2:$G$2628,7,0),"Validar HC")</f>
        <v>Ospina, Michel</v>
      </c>
      <c r="H1968" s="167">
        <v>2200286.0</v>
      </c>
      <c r="I1968" s="1">
        <v>42.0</v>
      </c>
    </row>
    <row r="1969" ht="15.75" customHeight="1">
      <c r="A1969" s="1">
        <v>5872834.0</v>
      </c>
      <c r="B1969" s="1" t="s">
        <v>4658</v>
      </c>
      <c r="C1969" s="1" t="s">
        <v>4659</v>
      </c>
      <c r="D1969" s="1" t="s">
        <v>224</v>
      </c>
      <c r="E1969" s="1" t="s">
        <v>522</v>
      </c>
      <c r="F1969" s="1" t="s">
        <v>6717</v>
      </c>
      <c r="G1969" s="1" t="str">
        <f>IFERROR(VLOOKUP(A1969,H_C!$A$2:$G$2628,7,0),"Validar HC")</f>
        <v>Martinez, Wendy</v>
      </c>
      <c r="H1969" s="167">
        <v>2200286.0</v>
      </c>
      <c r="I1969" s="1">
        <v>42.0</v>
      </c>
    </row>
    <row r="1970" ht="15.75" customHeight="1">
      <c r="A1970" s="1">
        <v>5872830.0</v>
      </c>
      <c r="B1970" s="1" t="s">
        <v>2665</v>
      </c>
      <c r="C1970" s="1" t="s">
        <v>2666</v>
      </c>
      <c r="D1970" s="1" t="s">
        <v>224</v>
      </c>
      <c r="E1970" s="1" t="s">
        <v>412</v>
      </c>
      <c r="F1970" s="1" t="s">
        <v>6717</v>
      </c>
      <c r="G1970" s="1" t="str">
        <f>IFERROR(VLOOKUP(A1970,H_C!$A$2:$G$2628,7,0),"Validar HC")</f>
        <v>Ospina, Michel</v>
      </c>
      <c r="H1970" s="167">
        <v>2200286.0</v>
      </c>
      <c r="I1970" s="1">
        <v>42.0</v>
      </c>
    </row>
    <row r="1971" ht="15.75" customHeight="1">
      <c r="A1971" s="1">
        <v>3924298.0</v>
      </c>
      <c r="B1971" s="1" t="s">
        <v>3167</v>
      </c>
      <c r="C1971" s="1" t="s">
        <v>3168</v>
      </c>
      <c r="D1971" s="1" t="s">
        <v>224</v>
      </c>
      <c r="E1971" s="1" t="s">
        <v>412</v>
      </c>
      <c r="F1971" s="1" t="s">
        <v>6717</v>
      </c>
      <c r="G1971" s="1" t="str">
        <f>IFERROR(VLOOKUP(A1971,H_C!$A$2:$G$2628,7,0),"Validar HC")</f>
        <v>Ospina, Michel</v>
      </c>
      <c r="H1971" s="167">
        <v>2200286.0</v>
      </c>
      <c r="I1971" s="1">
        <v>42.0</v>
      </c>
    </row>
    <row r="1972" ht="15.75" customHeight="1">
      <c r="A1972" s="1">
        <v>5875048.0</v>
      </c>
      <c r="B1972" s="1" t="s">
        <v>5161</v>
      </c>
      <c r="C1972" s="1" t="s">
        <v>5162</v>
      </c>
      <c r="D1972" s="1" t="s">
        <v>224</v>
      </c>
      <c r="E1972" s="1" t="s">
        <v>738</v>
      </c>
      <c r="F1972" s="1" t="s">
        <v>6717</v>
      </c>
      <c r="G1972" s="1" t="str">
        <f>IFERROR(VLOOKUP(A1972,H_C!$A$2:$G$2628,7,0),"Validar HC")</f>
        <v>Garcia, Helmer</v>
      </c>
      <c r="H1972" s="167">
        <v>2200286.0</v>
      </c>
      <c r="I1972" s="1">
        <v>42.0</v>
      </c>
    </row>
    <row r="1973" ht="15.75" customHeight="1">
      <c r="A1973" s="1">
        <v>5875481.0</v>
      </c>
      <c r="B1973" s="1" t="s">
        <v>5163</v>
      </c>
      <c r="C1973" s="1" t="s">
        <v>5164</v>
      </c>
      <c r="D1973" s="1" t="s">
        <v>224</v>
      </c>
      <c r="E1973" s="1" t="s">
        <v>425</v>
      </c>
      <c r="F1973" s="1" t="s">
        <v>6717</v>
      </c>
      <c r="G1973" s="1" t="str">
        <f>IFERROR(VLOOKUP(A1973,H_C!$A$2:$G$2628,7,0),"Validar HC")</f>
        <v>Ospina, Michel</v>
      </c>
      <c r="H1973" s="167">
        <v>2200286.0</v>
      </c>
      <c r="I1973" s="1">
        <v>42.0</v>
      </c>
    </row>
    <row r="1974" ht="15.75" customHeight="1">
      <c r="A1974" s="1">
        <v>5874319.0</v>
      </c>
      <c r="B1974" s="1" t="s">
        <v>1029</v>
      </c>
      <c r="C1974" s="1" t="s">
        <v>1030</v>
      </c>
      <c r="D1974" s="1" t="s">
        <v>224</v>
      </c>
      <c r="E1974" s="1" t="s">
        <v>254</v>
      </c>
      <c r="F1974" s="1" t="s">
        <v>6717</v>
      </c>
      <c r="G1974" s="1" t="str">
        <f>IFERROR(VLOOKUP(A1974,H_C!$A$2:$G$2628,7,0),"Validar HC")</f>
        <v>Gonzalez, Cristian</v>
      </c>
      <c r="H1974" s="167">
        <v>2200286.0</v>
      </c>
      <c r="I1974" s="1">
        <v>42.0</v>
      </c>
    </row>
    <row r="1975" ht="15.75" customHeight="1">
      <c r="A1975" s="1">
        <v>3076035.0</v>
      </c>
      <c r="B1975" s="1" t="s">
        <v>2572</v>
      </c>
      <c r="C1975" s="1" t="s">
        <v>2573</v>
      </c>
      <c r="D1975" s="1" t="s">
        <v>224</v>
      </c>
      <c r="E1975" s="1" t="s">
        <v>385</v>
      </c>
      <c r="F1975" s="1" t="s">
        <v>6717</v>
      </c>
      <c r="G1975" s="1" t="str">
        <f>IFERROR(VLOOKUP(A1975,H_C!$A$2:$G$2628,7,0),"Validar HC")</f>
        <v>Garatejo, Natalia</v>
      </c>
      <c r="H1975" s="167">
        <v>2200286.0</v>
      </c>
      <c r="I1975" s="1">
        <v>42.0</v>
      </c>
    </row>
    <row r="1976" ht="15.75" customHeight="1">
      <c r="A1976" s="1">
        <v>4909432.0</v>
      </c>
      <c r="B1976" s="1" t="s">
        <v>4192</v>
      </c>
      <c r="C1976" s="1" t="s">
        <v>4193</v>
      </c>
      <c r="D1976" s="1" t="s">
        <v>224</v>
      </c>
      <c r="E1976" s="1" t="s">
        <v>374</v>
      </c>
      <c r="F1976" s="1" t="s">
        <v>6717</v>
      </c>
      <c r="G1976" s="1" t="str">
        <f>IFERROR(VLOOKUP(A1976,H_C!$A$2:$G$2628,7,0),"Validar HC")</f>
        <v>Martinez, Wendy</v>
      </c>
      <c r="H1976" s="167">
        <v>2200286.0</v>
      </c>
      <c r="I1976" s="1">
        <v>42.0</v>
      </c>
    </row>
    <row r="1977" ht="15.75" customHeight="1">
      <c r="A1977" s="1">
        <v>5876599.0</v>
      </c>
      <c r="B1977" s="1" t="s">
        <v>4856</v>
      </c>
      <c r="C1977" s="1" t="s">
        <v>4857</v>
      </c>
      <c r="D1977" s="1" t="s">
        <v>224</v>
      </c>
      <c r="E1977" s="1" t="s">
        <v>695</v>
      </c>
      <c r="F1977" s="1" t="s">
        <v>6717</v>
      </c>
      <c r="G1977" s="1" t="str">
        <f>IFERROR(VLOOKUP(A1977,H_C!$A$2:$G$2628,7,0),"Validar HC")</f>
        <v>Ayala, Giselle</v>
      </c>
      <c r="H1977" s="167">
        <v>2200286.0</v>
      </c>
      <c r="I1977" s="1">
        <v>42.0</v>
      </c>
    </row>
    <row r="1978" ht="15.75" customHeight="1">
      <c r="A1978" s="1">
        <v>5876897.0</v>
      </c>
      <c r="B1978" s="1" t="s">
        <v>5165</v>
      </c>
      <c r="C1978" s="1" t="s">
        <v>5166</v>
      </c>
      <c r="D1978" s="1" t="s">
        <v>224</v>
      </c>
      <c r="E1978" s="1" t="s">
        <v>316</v>
      </c>
      <c r="F1978" s="1" t="s">
        <v>6717</v>
      </c>
      <c r="G1978" s="1" t="str">
        <f>IFERROR(VLOOKUP(A1978,H_C!$A$2:$G$2628,7,0),"Validar HC")</f>
        <v>Osorio, Julian</v>
      </c>
      <c r="H1978" s="167">
        <v>2200286.0</v>
      </c>
      <c r="I1978" s="1">
        <v>42.0</v>
      </c>
    </row>
    <row r="1979" ht="15.75" customHeight="1">
      <c r="A1979" s="1">
        <v>5876902.0</v>
      </c>
      <c r="B1979" s="1" t="s">
        <v>5167</v>
      </c>
      <c r="C1979" s="1" t="s">
        <v>5168</v>
      </c>
      <c r="D1979" s="1" t="s">
        <v>224</v>
      </c>
      <c r="E1979" s="1" t="s">
        <v>1363</v>
      </c>
      <c r="F1979" s="1" t="s">
        <v>6717</v>
      </c>
      <c r="G1979" s="1" t="str">
        <f>IFERROR(VLOOKUP(A1979,H_C!$A$2:$G$2628,7,0),"Validar HC")</f>
        <v>Osorio, Julian</v>
      </c>
      <c r="H1979" s="167">
        <v>2200286.0</v>
      </c>
      <c r="I1979" s="1">
        <v>42.0</v>
      </c>
    </row>
    <row r="1980" ht="15.75" customHeight="1">
      <c r="A1980" s="1">
        <v>3153595.0</v>
      </c>
      <c r="B1980" s="1" t="s">
        <v>5169</v>
      </c>
      <c r="C1980" s="1" t="s">
        <v>5170</v>
      </c>
      <c r="D1980" s="1" t="s">
        <v>224</v>
      </c>
      <c r="E1980" s="1" t="s">
        <v>316</v>
      </c>
      <c r="F1980" s="1" t="s">
        <v>6717</v>
      </c>
      <c r="G1980" s="1" t="str">
        <f>IFERROR(VLOOKUP(A1980,H_C!$A$2:$G$2628,7,0),"Validar HC")</f>
        <v>Osorio, Julian</v>
      </c>
      <c r="H1980" s="167">
        <v>2200286.0</v>
      </c>
      <c r="I1980" s="1">
        <v>42.0</v>
      </c>
    </row>
    <row r="1981" ht="15.75" customHeight="1">
      <c r="A1981" s="1">
        <v>5876901.0</v>
      </c>
      <c r="B1981" s="1" t="s">
        <v>5092</v>
      </c>
      <c r="C1981" s="1" t="s">
        <v>5093</v>
      </c>
      <c r="D1981" s="1" t="s">
        <v>224</v>
      </c>
      <c r="E1981" s="1" t="s">
        <v>1363</v>
      </c>
      <c r="F1981" s="1" t="s">
        <v>6717</v>
      </c>
      <c r="G1981" s="1" t="str">
        <f>IFERROR(VLOOKUP(A1981,H_C!$A$2:$G$2628,7,0),"Validar HC")</f>
        <v>Osorio, Julian</v>
      </c>
      <c r="H1981" s="167">
        <v>2200286.0</v>
      </c>
      <c r="I1981" s="1">
        <v>42.0</v>
      </c>
    </row>
    <row r="1982" ht="15.75" customHeight="1">
      <c r="A1982" s="1">
        <v>5876858.0</v>
      </c>
      <c r="B1982" s="1" t="s">
        <v>4466</v>
      </c>
      <c r="C1982" s="1" t="s">
        <v>4467</v>
      </c>
      <c r="D1982" s="1" t="s">
        <v>224</v>
      </c>
      <c r="E1982" s="1" t="s">
        <v>695</v>
      </c>
      <c r="F1982" s="1" t="s">
        <v>6717</v>
      </c>
      <c r="G1982" s="1" t="str">
        <f>IFERROR(VLOOKUP(A1982,H_C!$A$2:$G$2628,7,0),"Validar HC")</f>
        <v>Ayala, Giselle</v>
      </c>
      <c r="H1982" s="167">
        <v>2200286.0</v>
      </c>
      <c r="I1982" s="1">
        <v>42.0</v>
      </c>
    </row>
    <row r="1983" ht="15.75" customHeight="1">
      <c r="A1983" s="1">
        <v>5876895.0</v>
      </c>
      <c r="B1983" s="1" t="s">
        <v>4450</v>
      </c>
      <c r="C1983" s="1" t="s">
        <v>4451</v>
      </c>
      <c r="D1983" s="1" t="s">
        <v>224</v>
      </c>
      <c r="E1983" s="1" t="s">
        <v>695</v>
      </c>
      <c r="F1983" s="1" t="s">
        <v>6717</v>
      </c>
      <c r="G1983" s="1" t="str">
        <f>IFERROR(VLOOKUP(A1983,H_C!$A$2:$G$2628,7,0),"Validar HC")</f>
        <v>Ayala, Giselle</v>
      </c>
      <c r="H1983" s="167">
        <v>2200286.0</v>
      </c>
      <c r="I1983" s="1">
        <v>42.0</v>
      </c>
    </row>
    <row r="1984" ht="15.75" customHeight="1">
      <c r="A1984" s="1">
        <v>5876853.0</v>
      </c>
      <c r="B1984" s="1" t="s">
        <v>4484</v>
      </c>
      <c r="C1984" s="1" t="s">
        <v>4485</v>
      </c>
      <c r="D1984" s="1" t="s">
        <v>224</v>
      </c>
      <c r="E1984" s="1" t="s">
        <v>695</v>
      </c>
      <c r="F1984" s="1" t="s">
        <v>6717</v>
      </c>
      <c r="G1984" s="1" t="str">
        <f>IFERROR(VLOOKUP(A1984,H_C!$A$2:$G$2628,7,0),"Validar HC")</f>
        <v>Ayala, Giselle</v>
      </c>
      <c r="H1984" s="167">
        <v>2200286.0</v>
      </c>
      <c r="I1984" s="1">
        <v>42.0</v>
      </c>
    </row>
    <row r="1985" ht="15.75" customHeight="1">
      <c r="A1985" s="1">
        <v>5876610.0</v>
      </c>
      <c r="B1985" s="1" t="s">
        <v>1970</v>
      </c>
      <c r="C1985" s="1" t="s">
        <v>1971</v>
      </c>
      <c r="D1985" s="1" t="s">
        <v>224</v>
      </c>
      <c r="E1985" s="1" t="s">
        <v>794</v>
      </c>
      <c r="F1985" s="1" t="s">
        <v>6717</v>
      </c>
      <c r="G1985" s="1" t="str">
        <f>IFERROR(VLOOKUP(A1985,H_C!$A$2:$G$2628,7,0),"Validar HC")</f>
        <v>Osorio, Julian</v>
      </c>
      <c r="H1985" s="167">
        <v>2200286.0</v>
      </c>
      <c r="I1985" s="1">
        <v>42.0</v>
      </c>
    </row>
    <row r="1986" ht="15.75" customHeight="1">
      <c r="A1986" s="1">
        <v>5876893.0</v>
      </c>
      <c r="B1986" s="1" t="s">
        <v>3063</v>
      </c>
      <c r="C1986" s="1" t="s">
        <v>3064</v>
      </c>
      <c r="D1986" s="1" t="s">
        <v>224</v>
      </c>
      <c r="E1986" s="1" t="s">
        <v>1363</v>
      </c>
      <c r="F1986" s="1" t="s">
        <v>6717</v>
      </c>
      <c r="G1986" s="1" t="str">
        <f>IFERROR(VLOOKUP(A1986,H_C!$A$2:$G$2628,7,0),"Validar HC")</f>
        <v>Osorio, Julian</v>
      </c>
      <c r="H1986" s="167">
        <v>2200286.0</v>
      </c>
      <c r="I1986" s="1">
        <v>42.0</v>
      </c>
    </row>
    <row r="1987" ht="15.75" customHeight="1">
      <c r="A1987" s="1">
        <v>5876896.0</v>
      </c>
      <c r="B1987" s="1" t="s">
        <v>4470</v>
      </c>
      <c r="C1987" s="1" t="s">
        <v>4471</v>
      </c>
      <c r="D1987" s="1" t="s">
        <v>224</v>
      </c>
      <c r="E1987" s="1" t="s">
        <v>1746</v>
      </c>
      <c r="F1987" s="1" t="s">
        <v>6717</v>
      </c>
      <c r="G1987" s="1" t="str">
        <f>IFERROR(VLOOKUP(A1987,H_C!$A$2:$G$2628,7,0),"Validar HC")</f>
        <v>Ayala, Giselle</v>
      </c>
      <c r="H1987" s="167">
        <v>2200286.0</v>
      </c>
      <c r="I1987" s="1">
        <v>42.0</v>
      </c>
    </row>
    <row r="1988" ht="15.75" customHeight="1">
      <c r="A1988" s="1">
        <v>5876601.0</v>
      </c>
      <c r="B1988" s="1" t="s">
        <v>5175</v>
      </c>
      <c r="C1988" s="1" t="s">
        <v>5176</v>
      </c>
      <c r="D1988" s="1" t="s">
        <v>224</v>
      </c>
      <c r="E1988" s="1" t="s">
        <v>316</v>
      </c>
      <c r="F1988" s="1" t="s">
        <v>6717</v>
      </c>
      <c r="G1988" s="1" t="str">
        <f>IFERROR(VLOOKUP(A1988,H_C!$A$2:$G$2628,7,0),"Validar HC")</f>
        <v>Osorio, Julian</v>
      </c>
      <c r="H1988" s="167">
        <v>2200286.0</v>
      </c>
      <c r="I1988" s="1">
        <v>42.0</v>
      </c>
    </row>
    <row r="1989" ht="15.75" customHeight="1">
      <c r="A1989" s="1">
        <v>5876900.0</v>
      </c>
      <c r="B1989" s="1" t="s">
        <v>5179</v>
      </c>
      <c r="C1989" s="1" t="s">
        <v>5180</v>
      </c>
      <c r="D1989" s="1" t="s">
        <v>224</v>
      </c>
      <c r="E1989" s="1" t="s">
        <v>1363</v>
      </c>
      <c r="F1989" s="1" t="s">
        <v>6717</v>
      </c>
      <c r="G1989" s="1" t="str">
        <f>IFERROR(VLOOKUP(A1989,H_C!$A$2:$G$2628,7,0),"Validar HC")</f>
        <v>Osorio, Julian</v>
      </c>
      <c r="H1989" s="167">
        <v>2200286.0</v>
      </c>
      <c r="I1989" s="1">
        <v>42.0</v>
      </c>
    </row>
    <row r="1990" ht="15.75" customHeight="1">
      <c r="A1990" s="1">
        <v>5876899.0</v>
      </c>
      <c r="B1990" s="1" t="s">
        <v>4858</v>
      </c>
      <c r="C1990" s="1" t="s">
        <v>4859</v>
      </c>
      <c r="D1990" s="1" t="s">
        <v>224</v>
      </c>
      <c r="E1990" s="1" t="s">
        <v>1746</v>
      </c>
      <c r="F1990" s="1" t="s">
        <v>6717</v>
      </c>
      <c r="G1990" s="1" t="str">
        <f>IFERROR(VLOOKUP(A1990,H_C!$A$2:$G$2628,7,0),"Validar HC")</f>
        <v>Ayala, Giselle</v>
      </c>
      <c r="H1990" s="167">
        <v>2200286.0</v>
      </c>
      <c r="I1990" s="1">
        <v>42.0</v>
      </c>
    </row>
    <row r="1991" ht="15.75" customHeight="1">
      <c r="A1991" s="1">
        <v>5876606.0</v>
      </c>
      <c r="B1991" s="1" t="s">
        <v>5185</v>
      </c>
      <c r="C1991" s="1" t="s">
        <v>5186</v>
      </c>
      <c r="D1991" s="1" t="s">
        <v>224</v>
      </c>
      <c r="E1991" s="1" t="s">
        <v>1363</v>
      </c>
      <c r="F1991" s="1" t="s">
        <v>6717</v>
      </c>
      <c r="G1991" s="1" t="str">
        <f>IFERROR(VLOOKUP(A1991,H_C!$A$2:$G$2628,7,0),"Validar HC")</f>
        <v>Osorio, Julian</v>
      </c>
      <c r="H1991" s="167">
        <v>2200286.0</v>
      </c>
      <c r="I1991" s="1">
        <v>42.0</v>
      </c>
    </row>
    <row r="1992" ht="15.75" customHeight="1">
      <c r="A1992" s="1">
        <v>3174965.0</v>
      </c>
      <c r="B1992" s="1" t="s">
        <v>5014</v>
      </c>
      <c r="C1992" s="1" t="s">
        <v>5015</v>
      </c>
      <c r="D1992" s="1" t="s">
        <v>224</v>
      </c>
      <c r="E1992" s="1" t="s">
        <v>361</v>
      </c>
      <c r="F1992" s="1" t="s">
        <v>6717</v>
      </c>
      <c r="G1992" s="1" t="str">
        <f>IFERROR(VLOOKUP(A1992,H_C!$A$2:$G$2628,7,0),"Validar HC")</f>
        <v>Gonzalez, Cristian</v>
      </c>
      <c r="H1992" s="167">
        <v>2200286.0</v>
      </c>
      <c r="I1992" s="1">
        <v>42.0</v>
      </c>
    </row>
    <row r="1993" ht="15.75" customHeight="1">
      <c r="A1993" s="1">
        <v>5876862.0</v>
      </c>
      <c r="B1993" s="1" t="s">
        <v>1253</v>
      </c>
      <c r="C1993" s="1" t="s">
        <v>1254</v>
      </c>
      <c r="D1993" s="1" t="s">
        <v>224</v>
      </c>
      <c r="E1993" s="1" t="s">
        <v>254</v>
      </c>
      <c r="F1993" s="1" t="s">
        <v>6717</v>
      </c>
      <c r="G1993" s="1" t="str">
        <f>IFERROR(VLOOKUP(A1993,H_C!$A$2:$G$2628,7,0),"Validar HC")</f>
        <v>Gonzalez, Cristian</v>
      </c>
      <c r="H1993" s="167">
        <v>2200286.0</v>
      </c>
      <c r="I1993" s="1">
        <v>42.0</v>
      </c>
    </row>
    <row r="1994" ht="15.75" customHeight="1">
      <c r="A1994" s="1">
        <v>4432796.0</v>
      </c>
      <c r="B1994" s="1" t="s">
        <v>1013</v>
      </c>
      <c r="C1994" s="1" t="s">
        <v>1014</v>
      </c>
      <c r="D1994" s="1" t="s">
        <v>224</v>
      </c>
      <c r="E1994" s="1" t="s">
        <v>254</v>
      </c>
      <c r="F1994" s="1" t="s">
        <v>6717</v>
      </c>
      <c r="G1994" s="1" t="str">
        <f>IFERROR(VLOOKUP(A1994,H_C!$A$2:$G$2628,7,0),"Validar HC")</f>
        <v>Gonzalez, Cristian</v>
      </c>
      <c r="H1994" s="167">
        <v>2200286.0</v>
      </c>
      <c r="I1994" s="1">
        <v>42.0</v>
      </c>
    </row>
    <row r="1995" ht="15.75" customHeight="1">
      <c r="A1995" s="1">
        <v>5878427.0</v>
      </c>
      <c r="B1995" s="1" t="s">
        <v>3211</v>
      </c>
      <c r="C1995" s="1" t="s">
        <v>3212</v>
      </c>
      <c r="D1995" s="1" t="s">
        <v>224</v>
      </c>
      <c r="E1995" s="1" t="s">
        <v>113</v>
      </c>
      <c r="F1995" s="1" t="s">
        <v>6717</v>
      </c>
      <c r="G1995" s="1" t="str">
        <f>IFERROR(VLOOKUP(A1995,H_C!$A$2:$G$2628,7,0),"Validar HC")</f>
        <v>Soler, Maria</v>
      </c>
      <c r="H1995" s="167">
        <v>2200286.0</v>
      </c>
      <c r="I1995" s="1">
        <v>42.0</v>
      </c>
    </row>
    <row r="1996" ht="15.75" customHeight="1">
      <c r="A1996" s="1">
        <v>5167969.0</v>
      </c>
      <c r="B1996" s="1" t="s">
        <v>1716</v>
      </c>
      <c r="C1996" s="1" t="s">
        <v>1717</v>
      </c>
      <c r="D1996" s="1" t="s">
        <v>224</v>
      </c>
      <c r="E1996" s="1" t="s">
        <v>113</v>
      </c>
      <c r="F1996" s="1" t="s">
        <v>6717</v>
      </c>
      <c r="G1996" s="1" t="str">
        <f>IFERROR(VLOOKUP(A1996,H_C!$A$2:$G$2628,7,0),"Validar HC")</f>
        <v>Soler, Maria</v>
      </c>
      <c r="H1996" s="167">
        <v>2200286.0</v>
      </c>
      <c r="I1996" s="1">
        <v>42.0</v>
      </c>
    </row>
    <row r="1997" ht="15.75" customHeight="1">
      <c r="A1997" s="1">
        <v>5878188.0</v>
      </c>
      <c r="B1997" s="1" t="s">
        <v>4003</v>
      </c>
      <c r="C1997" s="1" t="s">
        <v>4004</v>
      </c>
      <c r="D1997" s="1" t="s">
        <v>224</v>
      </c>
      <c r="E1997" s="1" t="s">
        <v>323</v>
      </c>
      <c r="F1997" s="1" t="s">
        <v>6717</v>
      </c>
      <c r="G1997" s="1" t="str">
        <f>IFERROR(VLOOKUP(A1997,H_C!$A$2:$G$2628,7,0),"Validar HC")</f>
        <v>Martinez, Wendy</v>
      </c>
      <c r="H1997" s="167">
        <v>2200286.0</v>
      </c>
      <c r="I1997" s="1">
        <v>42.0</v>
      </c>
    </row>
    <row r="1998" ht="15.75" customHeight="1">
      <c r="A1998" s="1">
        <v>5351958.0</v>
      </c>
      <c r="B1998" s="1" t="s">
        <v>2000</v>
      </c>
      <c r="C1998" s="1" t="s">
        <v>2001</v>
      </c>
      <c r="D1998" s="1" t="s">
        <v>224</v>
      </c>
      <c r="E1998" s="1" t="s">
        <v>316</v>
      </c>
      <c r="F1998" s="1" t="s">
        <v>6717</v>
      </c>
      <c r="G1998" s="1" t="str">
        <f>IFERROR(VLOOKUP(A1998,H_C!$A$2:$G$2628,7,0),"Validar HC")</f>
        <v>Osorio, Julian</v>
      </c>
      <c r="H1998" s="167">
        <v>2200286.0</v>
      </c>
      <c r="I1998" s="1">
        <v>42.0</v>
      </c>
    </row>
    <row r="1999" ht="15.75" customHeight="1">
      <c r="A1999" s="1">
        <v>5883528.0</v>
      </c>
      <c r="B1999" s="1" t="s">
        <v>5189</v>
      </c>
      <c r="C1999" s="1" t="s">
        <v>5190</v>
      </c>
      <c r="D1999" s="1" t="s">
        <v>224</v>
      </c>
      <c r="E1999" s="1" t="s">
        <v>738</v>
      </c>
      <c r="F1999" s="1" t="s">
        <v>6717</v>
      </c>
      <c r="G1999" s="1" t="str">
        <f>IFERROR(VLOOKUP(A1999,H_C!$A$2:$G$2628,7,0),"Validar HC")</f>
        <v>Garcia, Helmer</v>
      </c>
      <c r="H1999" s="167">
        <v>2200286.0</v>
      </c>
      <c r="I1999" s="1">
        <v>42.0</v>
      </c>
    </row>
    <row r="2000" ht="15.75" customHeight="1">
      <c r="A2000" s="1">
        <v>5882681.0</v>
      </c>
      <c r="B2000" s="1" t="s">
        <v>4936</v>
      </c>
      <c r="C2000" s="1" t="s">
        <v>4937</v>
      </c>
      <c r="D2000" s="1" t="s">
        <v>224</v>
      </c>
      <c r="E2000" s="1" t="s">
        <v>1791</v>
      </c>
      <c r="F2000" s="1" t="s">
        <v>6717</v>
      </c>
      <c r="G2000" s="1" t="str">
        <f>IFERROR(VLOOKUP(A2000,H_C!$A$2:$G$2628,7,0),"Validar HC")</f>
        <v>Garcia, Helmer</v>
      </c>
      <c r="H2000" s="167">
        <v>2200286.0</v>
      </c>
      <c r="I2000" s="1">
        <v>42.0</v>
      </c>
    </row>
    <row r="2001" ht="15.75" customHeight="1">
      <c r="A2001" s="1">
        <v>5882201.0</v>
      </c>
      <c r="B2001" s="1" t="s">
        <v>4566</v>
      </c>
      <c r="C2001" s="1" t="s">
        <v>4567</v>
      </c>
      <c r="D2001" s="1" t="s">
        <v>224</v>
      </c>
      <c r="E2001" s="1" t="s">
        <v>121</v>
      </c>
      <c r="F2001" s="1" t="s">
        <v>6717</v>
      </c>
      <c r="G2001" s="1" t="str">
        <f>IFERROR(VLOOKUP(A2001,H_C!$A$2:$G$2628,7,0),"Validar HC")</f>
        <v>Ospina, Michel</v>
      </c>
      <c r="H2001" s="167">
        <v>2200286.0</v>
      </c>
      <c r="I2001" s="1">
        <v>42.0</v>
      </c>
    </row>
    <row r="2002" ht="15.75" customHeight="1">
      <c r="A2002" s="1">
        <v>5886060.0</v>
      </c>
      <c r="B2002" s="1" t="s">
        <v>5193</v>
      </c>
      <c r="C2002" s="1" t="s">
        <v>5194</v>
      </c>
      <c r="D2002" s="1" t="s">
        <v>224</v>
      </c>
      <c r="E2002" s="1" t="s">
        <v>425</v>
      </c>
      <c r="F2002" s="1" t="s">
        <v>6717</v>
      </c>
      <c r="G2002" s="1" t="str">
        <f>IFERROR(VLOOKUP(A2002,H_C!$A$2:$G$2628,7,0),"Validar HC")</f>
        <v>Ospina, Michel</v>
      </c>
      <c r="H2002" s="167">
        <v>2200286.0</v>
      </c>
      <c r="I2002" s="1">
        <v>42.0</v>
      </c>
    </row>
    <row r="2003" ht="15.75" customHeight="1">
      <c r="A2003" s="1">
        <v>5883509.0</v>
      </c>
      <c r="B2003" s="1" t="s">
        <v>5195</v>
      </c>
      <c r="C2003" s="1" t="s">
        <v>5196</v>
      </c>
      <c r="D2003" s="1" t="s">
        <v>224</v>
      </c>
      <c r="E2003" s="1" t="s">
        <v>478</v>
      </c>
      <c r="F2003" s="1" t="s">
        <v>6717</v>
      </c>
      <c r="G2003" s="1" t="str">
        <f>IFERROR(VLOOKUP(A2003,H_C!$A$2:$G$2628,7,0),"Validar HC")</f>
        <v>Celi, Juan</v>
      </c>
      <c r="H2003" s="167">
        <v>2200286.0</v>
      </c>
      <c r="I2003" s="1">
        <v>42.0</v>
      </c>
    </row>
    <row r="2004" ht="15.75" customHeight="1">
      <c r="A2004" s="1">
        <v>5885445.0</v>
      </c>
      <c r="B2004" s="1" t="s">
        <v>5199</v>
      </c>
      <c r="C2004" s="1" t="s">
        <v>5200</v>
      </c>
      <c r="D2004" s="1" t="s">
        <v>224</v>
      </c>
      <c r="E2004" s="1" t="s">
        <v>329</v>
      </c>
      <c r="F2004" s="1" t="s">
        <v>6717</v>
      </c>
      <c r="G2004" s="1" t="str">
        <f>IFERROR(VLOOKUP(A2004,H_C!$A$2:$G$2628,7,0),"Validar HC")</f>
        <v>Garatejo, Natalia</v>
      </c>
      <c r="H2004" s="167">
        <v>2200286.0</v>
      </c>
      <c r="I2004" s="1">
        <v>42.0</v>
      </c>
    </row>
    <row r="2005" ht="15.75" customHeight="1">
      <c r="A2005" s="1">
        <v>5883527.0</v>
      </c>
      <c r="B2005" s="1" t="s">
        <v>2093</v>
      </c>
      <c r="C2005" s="1" t="s">
        <v>2094</v>
      </c>
      <c r="D2005" s="1" t="s">
        <v>224</v>
      </c>
      <c r="E2005" s="1" t="s">
        <v>323</v>
      </c>
      <c r="F2005" s="1" t="s">
        <v>6717</v>
      </c>
      <c r="G2005" s="1" t="str">
        <f>IFERROR(VLOOKUP(A2005,H_C!$A$2:$G$2628,7,0),"Validar HC")</f>
        <v>Martinez, Wendy</v>
      </c>
      <c r="H2005" s="167">
        <v>2200286.0</v>
      </c>
      <c r="I2005" s="1">
        <v>42.0</v>
      </c>
    </row>
    <row r="2006" ht="15.75" customHeight="1">
      <c r="A2006" s="1">
        <v>5883510.0</v>
      </c>
      <c r="B2006" s="1" t="s">
        <v>5181</v>
      </c>
      <c r="C2006" s="1" t="s">
        <v>5182</v>
      </c>
      <c r="D2006" s="1" t="s">
        <v>224</v>
      </c>
      <c r="E2006" s="1" t="s">
        <v>478</v>
      </c>
      <c r="F2006" s="1" t="s">
        <v>6717</v>
      </c>
      <c r="G2006" s="1" t="str">
        <f>IFERROR(VLOOKUP(A2006,H_C!$A$2:$G$2628,7,0),"Validar HC")</f>
        <v>Celi, Juan</v>
      </c>
      <c r="H2006" s="167">
        <v>2200286.0</v>
      </c>
      <c r="I2006" s="1">
        <v>42.0</v>
      </c>
    </row>
    <row r="2007" ht="15.75" customHeight="1">
      <c r="A2007" s="1">
        <v>5883511.0</v>
      </c>
      <c r="B2007" s="1" t="s">
        <v>5205</v>
      </c>
      <c r="C2007" s="1" t="s">
        <v>5206</v>
      </c>
      <c r="D2007" s="1" t="s">
        <v>224</v>
      </c>
      <c r="E2007" s="1" t="s">
        <v>1932</v>
      </c>
      <c r="F2007" s="1" t="s">
        <v>6717</v>
      </c>
      <c r="G2007" s="1" t="str">
        <f>IFERROR(VLOOKUP(A2007,H_C!$A$2:$G$2628,7,0),"Validar HC")</f>
        <v>Garatejo, Natalia</v>
      </c>
      <c r="H2007" s="167">
        <v>2200286.0</v>
      </c>
      <c r="I2007" s="1">
        <v>42.0</v>
      </c>
    </row>
    <row r="2008" ht="15.75" customHeight="1">
      <c r="A2008" s="1">
        <v>5883525.0</v>
      </c>
      <c r="B2008" s="1" t="s">
        <v>4384</v>
      </c>
      <c r="C2008" s="1" t="s">
        <v>4385</v>
      </c>
      <c r="D2008" s="1" t="s">
        <v>224</v>
      </c>
      <c r="E2008" s="1" t="s">
        <v>2285</v>
      </c>
      <c r="F2008" s="1" t="s">
        <v>6717</v>
      </c>
      <c r="G2008" s="1" t="str">
        <f>IFERROR(VLOOKUP(A2008,H_C!$A$2:$G$2628,7,0),"Validar HC")</f>
        <v>Ayala, Giselle</v>
      </c>
      <c r="H2008" s="167">
        <v>2200286.0</v>
      </c>
      <c r="I2008" s="1">
        <v>42.0</v>
      </c>
    </row>
    <row r="2009" ht="15.75" customHeight="1">
      <c r="A2009" s="1">
        <v>5884681.0</v>
      </c>
      <c r="B2009" s="1" t="s">
        <v>5211</v>
      </c>
      <c r="C2009" s="1" t="s">
        <v>5212</v>
      </c>
      <c r="D2009" s="1" t="s">
        <v>224</v>
      </c>
      <c r="E2009" s="1" t="s">
        <v>549</v>
      </c>
      <c r="F2009" s="1" t="s">
        <v>6717</v>
      </c>
      <c r="G2009" s="1" t="str">
        <f>IFERROR(VLOOKUP(A2009,H_C!$A$2:$G$2628,7,0),"Validar HC")</f>
        <v>Soler, Maria</v>
      </c>
      <c r="H2009" s="167">
        <v>2200286.0</v>
      </c>
      <c r="I2009" s="1">
        <v>42.0</v>
      </c>
    </row>
    <row r="2010" ht="15.75" customHeight="1">
      <c r="A2010" s="1">
        <v>5885426.0</v>
      </c>
      <c r="B2010" s="1" t="s">
        <v>5213</v>
      </c>
      <c r="C2010" s="1" t="s">
        <v>5214</v>
      </c>
      <c r="D2010" s="1" t="s">
        <v>224</v>
      </c>
      <c r="E2010" s="1" t="s">
        <v>416</v>
      </c>
      <c r="F2010" s="1" t="s">
        <v>6717</v>
      </c>
      <c r="G2010" s="1" t="str">
        <f>IFERROR(VLOOKUP(A2010,H_C!$A$2:$G$2628,7,0),"Validar HC")</f>
        <v>Soler, Maria</v>
      </c>
      <c r="H2010" s="167">
        <v>2200286.0</v>
      </c>
      <c r="I2010" s="1">
        <v>42.0</v>
      </c>
    </row>
    <row r="2011" ht="15.75" customHeight="1">
      <c r="A2011" s="1">
        <v>5884679.0</v>
      </c>
      <c r="B2011" s="1" t="s">
        <v>5215</v>
      </c>
      <c r="C2011" s="1" t="s">
        <v>5216</v>
      </c>
      <c r="D2011" s="1" t="s">
        <v>224</v>
      </c>
      <c r="E2011" s="1" t="s">
        <v>416</v>
      </c>
      <c r="F2011" s="1" t="s">
        <v>6717</v>
      </c>
      <c r="G2011" s="1" t="str">
        <f>IFERROR(VLOOKUP(A2011,H_C!$A$2:$G$2628,7,0),"Validar HC")</f>
        <v>Soler, Maria</v>
      </c>
      <c r="H2011" s="167">
        <v>2200286.0</v>
      </c>
      <c r="I2011" s="1">
        <v>42.0</v>
      </c>
    </row>
    <row r="2012" ht="15.75" customHeight="1">
      <c r="A2012" s="1">
        <v>5884819.0</v>
      </c>
      <c r="B2012" s="1" t="s">
        <v>4250</v>
      </c>
      <c r="C2012" s="1" t="s">
        <v>4251</v>
      </c>
      <c r="D2012" s="1" t="s">
        <v>224</v>
      </c>
      <c r="E2012" s="1" t="s">
        <v>549</v>
      </c>
      <c r="F2012" s="1" t="s">
        <v>6717</v>
      </c>
      <c r="G2012" s="1" t="str">
        <f>IFERROR(VLOOKUP(A2012,H_C!$A$2:$G$2628,7,0),"Validar HC")</f>
        <v>Soler, Maria</v>
      </c>
      <c r="H2012" s="167">
        <v>2200286.0</v>
      </c>
      <c r="I2012" s="1">
        <v>42.0</v>
      </c>
    </row>
    <row r="2013" ht="15.75" customHeight="1">
      <c r="A2013" s="1">
        <v>5886033.0</v>
      </c>
      <c r="B2013" s="1" t="s">
        <v>5217</v>
      </c>
      <c r="C2013" s="1" t="s">
        <v>5218</v>
      </c>
      <c r="D2013" s="1" t="s">
        <v>224</v>
      </c>
      <c r="E2013" s="1" t="s">
        <v>416</v>
      </c>
      <c r="F2013" s="1" t="s">
        <v>6717</v>
      </c>
      <c r="G2013" s="1" t="str">
        <f>IFERROR(VLOOKUP(A2013,H_C!$A$2:$G$2628,7,0),"Validar HC")</f>
        <v>Soler, Maria</v>
      </c>
      <c r="H2013" s="167">
        <v>2200286.0</v>
      </c>
      <c r="I2013" s="1">
        <v>42.0</v>
      </c>
    </row>
    <row r="2014" ht="15.75" customHeight="1">
      <c r="A2014" s="1">
        <v>5887515.0</v>
      </c>
      <c r="B2014" s="1" t="s">
        <v>5187</v>
      </c>
      <c r="C2014" s="1" t="s">
        <v>5188</v>
      </c>
      <c r="D2014" s="1" t="s">
        <v>224</v>
      </c>
      <c r="E2014" s="1" t="s">
        <v>478</v>
      </c>
      <c r="F2014" s="1" t="s">
        <v>6717</v>
      </c>
      <c r="G2014" s="1" t="str">
        <f>IFERROR(VLOOKUP(A2014,H_C!$A$2:$G$2628,7,0),"Validar HC")</f>
        <v>Celi, Juan</v>
      </c>
      <c r="H2014" s="167">
        <v>2200286.0</v>
      </c>
      <c r="I2014" s="1">
        <v>42.0</v>
      </c>
    </row>
    <row r="2015" ht="15.75" customHeight="1">
      <c r="A2015" s="1">
        <v>5887508.0</v>
      </c>
      <c r="B2015" s="1" t="s">
        <v>2053</v>
      </c>
      <c r="C2015" s="1" t="s">
        <v>2054</v>
      </c>
      <c r="D2015" s="1" t="s">
        <v>224</v>
      </c>
      <c r="E2015" s="1" t="s">
        <v>391</v>
      </c>
      <c r="F2015" s="1" t="s">
        <v>6717</v>
      </c>
      <c r="G2015" s="1" t="str">
        <f>IFERROR(VLOOKUP(A2015,H_C!$A$2:$G$2628,7,0),"Validar HC")</f>
        <v>Garcia, Helmer</v>
      </c>
      <c r="H2015" s="167">
        <v>2200286.0</v>
      </c>
      <c r="I2015" s="1">
        <v>42.0</v>
      </c>
    </row>
    <row r="2016" ht="15.75" customHeight="1">
      <c r="A2016" s="1">
        <v>5886031.0</v>
      </c>
      <c r="B2016" s="1" t="s">
        <v>4836</v>
      </c>
      <c r="C2016" s="1" t="s">
        <v>4837</v>
      </c>
      <c r="D2016" s="1" t="s">
        <v>224</v>
      </c>
      <c r="E2016" s="1" t="s">
        <v>1348</v>
      </c>
      <c r="F2016" s="1" t="s">
        <v>6717</v>
      </c>
      <c r="G2016" s="1" t="str">
        <f>IFERROR(VLOOKUP(A2016,H_C!$A$2:$G$2628,7,0),"Validar HC")</f>
        <v>Celi, Juan</v>
      </c>
      <c r="H2016" s="167">
        <v>2200286.0</v>
      </c>
      <c r="I2016" s="1">
        <v>42.0</v>
      </c>
    </row>
    <row r="2017" ht="15.75" customHeight="1">
      <c r="A2017" s="1">
        <v>5887112.0</v>
      </c>
      <c r="B2017" s="1" t="s">
        <v>4440</v>
      </c>
      <c r="C2017" s="1" t="s">
        <v>4441</v>
      </c>
      <c r="D2017" s="1" t="s">
        <v>224</v>
      </c>
      <c r="E2017" s="1" t="s">
        <v>246</v>
      </c>
      <c r="F2017" s="1" t="s">
        <v>6717</v>
      </c>
      <c r="G2017" s="1" t="str">
        <f>IFERROR(VLOOKUP(A2017,H_C!$A$2:$G$2628,7,0),"Validar HC")</f>
        <v>Garcia, Helmer</v>
      </c>
      <c r="H2017" s="167">
        <v>2200286.0</v>
      </c>
      <c r="I2017" s="1">
        <v>42.0</v>
      </c>
    </row>
    <row r="2018" ht="15.75" customHeight="1">
      <c r="A2018" s="1">
        <v>5687212.0</v>
      </c>
      <c r="B2018" s="1" t="s">
        <v>1588</v>
      </c>
      <c r="C2018" s="1" t="s">
        <v>1589</v>
      </c>
      <c r="D2018" s="1" t="s">
        <v>224</v>
      </c>
      <c r="E2018" s="1" t="s">
        <v>478</v>
      </c>
      <c r="F2018" s="1" t="s">
        <v>6717</v>
      </c>
      <c r="G2018" s="1" t="str">
        <f>IFERROR(VLOOKUP(A2018,H_C!$A$2:$G$2628,7,0),"Validar HC")</f>
        <v>Celi, Juan</v>
      </c>
      <c r="H2018" s="167">
        <v>2200286.0</v>
      </c>
      <c r="I2018" s="1">
        <v>42.0</v>
      </c>
    </row>
    <row r="2019" ht="15.75" customHeight="1">
      <c r="A2019" s="1">
        <v>5887108.0</v>
      </c>
      <c r="B2019" s="1" t="s">
        <v>877</v>
      </c>
      <c r="C2019" s="1" t="s">
        <v>878</v>
      </c>
      <c r="D2019" s="1" t="s">
        <v>224</v>
      </c>
      <c r="E2019" s="1" t="s">
        <v>246</v>
      </c>
      <c r="F2019" s="1" t="s">
        <v>6717</v>
      </c>
      <c r="G2019" s="1" t="str">
        <f>IFERROR(VLOOKUP(A2019,H_C!$A$2:$G$2628,7,0),"Validar HC")</f>
        <v>Garcia, Helmer</v>
      </c>
      <c r="H2019" s="167">
        <v>2200286.0</v>
      </c>
      <c r="I2019" s="1">
        <v>42.0</v>
      </c>
    </row>
    <row r="2020" ht="15.75" customHeight="1">
      <c r="A2020" s="1">
        <v>5887116.0</v>
      </c>
      <c r="B2020" s="1" t="s">
        <v>3730</v>
      </c>
      <c r="C2020" s="1" t="s">
        <v>3731</v>
      </c>
      <c r="D2020" s="1" t="s">
        <v>224</v>
      </c>
      <c r="E2020" s="1" t="s">
        <v>485</v>
      </c>
      <c r="F2020" s="1" t="s">
        <v>6717</v>
      </c>
      <c r="G2020" s="1" t="str">
        <f>IFERROR(VLOOKUP(A2020,H_C!$A$2:$G$2628,7,0),"Validar HC")</f>
        <v>Martinez, Wendy</v>
      </c>
      <c r="H2020" s="167">
        <v>2200286.0</v>
      </c>
      <c r="I2020" s="1">
        <v>42.0</v>
      </c>
    </row>
    <row r="2021" ht="15.75" customHeight="1">
      <c r="A2021" s="1">
        <v>5887492.0</v>
      </c>
      <c r="B2021" s="1" t="s">
        <v>2734</v>
      </c>
      <c r="C2021" s="1" t="s">
        <v>2735</v>
      </c>
      <c r="D2021" s="1" t="s">
        <v>224</v>
      </c>
      <c r="E2021" s="1" t="s">
        <v>478</v>
      </c>
      <c r="F2021" s="1" t="s">
        <v>6717</v>
      </c>
      <c r="G2021" s="1" t="str">
        <f>IFERROR(VLOOKUP(A2021,H_C!$A$2:$G$2628,7,0),"Validar HC")</f>
        <v>Celi, Juan</v>
      </c>
      <c r="H2021" s="167">
        <v>2200286.0</v>
      </c>
      <c r="I2021" s="1">
        <v>42.0</v>
      </c>
    </row>
    <row r="2022" ht="15.75" customHeight="1">
      <c r="A2022" s="1">
        <v>5887503.0</v>
      </c>
      <c r="B2022" s="1" t="s">
        <v>2714</v>
      </c>
      <c r="C2022" s="1" t="s">
        <v>2715</v>
      </c>
      <c r="D2022" s="1" t="s">
        <v>224</v>
      </c>
      <c r="E2022" s="1" t="s">
        <v>478</v>
      </c>
      <c r="F2022" s="1" t="s">
        <v>6717</v>
      </c>
      <c r="G2022" s="1" t="str">
        <f>IFERROR(VLOOKUP(A2022,H_C!$A$2:$G$2628,7,0),"Validar HC")</f>
        <v>Celi, Juan</v>
      </c>
      <c r="H2022" s="167">
        <v>2200286.0</v>
      </c>
      <c r="I2022" s="1">
        <v>42.0</v>
      </c>
    </row>
    <row r="2023" ht="15.75" customHeight="1">
      <c r="A2023" s="1">
        <v>5055465.0</v>
      </c>
      <c r="B2023" s="1" t="s">
        <v>5191</v>
      </c>
      <c r="C2023" s="1" t="s">
        <v>5192</v>
      </c>
      <c r="D2023" s="1" t="s">
        <v>224</v>
      </c>
      <c r="E2023" s="1" t="s">
        <v>478</v>
      </c>
      <c r="F2023" s="1" t="s">
        <v>6717</v>
      </c>
      <c r="G2023" s="1" t="str">
        <f>IFERROR(VLOOKUP(A2023,H_C!$A$2:$G$2628,7,0),"Validar HC")</f>
        <v>Celi, Juan</v>
      </c>
      <c r="H2023" s="167">
        <v>2200286.0</v>
      </c>
      <c r="I2023" s="1">
        <v>42.0</v>
      </c>
    </row>
    <row r="2024" ht="15.75" customHeight="1">
      <c r="A2024" s="1">
        <v>5885942.0</v>
      </c>
      <c r="B2024" s="1" t="s">
        <v>5201</v>
      </c>
      <c r="C2024" s="1" t="s">
        <v>5202</v>
      </c>
      <c r="D2024" s="1" t="s">
        <v>224</v>
      </c>
      <c r="E2024" s="1" t="s">
        <v>478</v>
      </c>
      <c r="F2024" s="1" t="s">
        <v>6717</v>
      </c>
      <c r="G2024" s="1" t="str">
        <f>IFERROR(VLOOKUP(A2024,H_C!$A$2:$G$2628,7,0),"Validar HC")</f>
        <v>Celi, Juan</v>
      </c>
      <c r="H2024" s="167">
        <v>2200286.0</v>
      </c>
      <c r="I2024" s="1">
        <v>42.0</v>
      </c>
    </row>
    <row r="2025" ht="15.75" customHeight="1">
      <c r="A2025" s="1">
        <v>5887494.0</v>
      </c>
      <c r="B2025" s="1" t="s">
        <v>5219</v>
      </c>
      <c r="C2025" s="1" t="s">
        <v>5220</v>
      </c>
      <c r="D2025" s="1" t="s">
        <v>224</v>
      </c>
      <c r="E2025" s="1" t="s">
        <v>416</v>
      </c>
      <c r="F2025" s="1" t="s">
        <v>6717</v>
      </c>
      <c r="G2025" s="1" t="str">
        <f>IFERROR(VLOOKUP(A2025,H_C!$A$2:$G$2628,7,0),"Validar HC")</f>
        <v>Soler, Maria</v>
      </c>
      <c r="H2025" s="167">
        <v>2200286.0</v>
      </c>
      <c r="I2025" s="1">
        <v>42.0</v>
      </c>
    </row>
    <row r="2026" ht="15.75" customHeight="1">
      <c r="A2026" s="1">
        <v>5887402.0</v>
      </c>
      <c r="B2026" s="1" t="s">
        <v>5221</v>
      </c>
      <c r="C2026" s="1" t="s">
        <v>5222</v>
      </c>
      <c r="D2026" s="1" t="s">
        <v>224</v>
      </c>
      <c r="E2026" s="1" t="s">
        <v>1791</v>
      </c>
      <c r="F2026" s="1" t="s">
        <v>6717</v>
      </c>
      <c r="G2026" s="1" t="str">
        <f>IFERROR(VLOOKUP(A2026,H_C!$A$2:$G$2628,7,0),"Validar HC")</f>
        <v>Garcia, Helmer</v>
      </c>
      <c r="H2026" s="167">
        <v>2200286.0</v>
      </c>
      <c r="I2026" s="1">
        <v>42.0</v>
      </c>
    </row>
    <row r="2027" ht="15.75" customHeight="1">
      <c r="A2027" s="1">
        <v>5887361.0</v>
      </c>
      <c r="B2027" s="1" t="s">
        <v>2219</v>
      </c>
      <c r="C2027" s="1" t="s">
        <v>2220</v>
      </c>
      <c r="D2027" s="1" t="s">
        <v>224</v>
      </c>
      <c r="E2027" s="1" t="s">
        <v>813</v>
      </c>
      <c r="F2027" s="1" t="s">
        <v>6717</v>
      </c>
      <c r="G2027" s="1" t="str">
        <f>IFERROR(VLOOKUP(A2027,H_C!$A$2:$G$2628,7,0),"Validar HC")</f>
        <v>Garatejo, Natalia</v>
      </c>
      <c r="H2027" s="167">
        <v>2200286.0</v>
      </c>
      <c r="I2027" s="1">
        <v>42.0</v>
      </c>
    </row>
    <row r="2028" ht="15.75" customHeight="1">
      <c r="A2028" s="1">
        <v>5889273.0</v>
      </c>
      <c r="B2028" s="1" t="s">
        <v>5223</v>
      </c>
      <c r="C2028" s="1" t="s">
        <v>5224</v>
      </c>
      <c r="D2028" s="1" t="s">
        <v>224</v>
      </c>
      <c r="E2028" s="1" t="s">
        <v>555</v>
      </c>
      <c r="F2028" s="1" t="s">
        <v>6717</v>
      </c>
      <c r="G2028" s="1" t="str">
        <f>IFERROR(VLOOKUP(A2028,H_C!$A$2:$G$2628,7,0),"Validar HC")</f>
        <v>Ayala, Giselle</v>
      </c>
      <c r="H2028" s="167">
        <v>2200286.0</v>
      </c>
      <c r="I2028" s="1">
        <v>42.0</v>
      </c>
    </row>
    <row r="2029" ht="15.75" customHeight="1">
      <c r="A2029" s="1">
        <v>5887502.0</v>
      </c>
      <c r="B2029" s="1" t="s">
        <v>5225</v>
      </c>
      <c r="C2029" s="1" t="s">
        <v>5226</v>
      </c>
      <c r="D2029" s="1" t="s">
        <v>224</v>
      </c>
      <c r="E2029" s="1" t="s">
        <v>813</v>
      </c>
      <c r="F2029" s="1" t="s">
        <v>6717</v>
      </c>
      <c r="G2029" s="1" t="str">
        <f>IFERROR(VLOOKUP(A2029,H_C!$A$2:$G$2628,7,0),"Validar HC")</f>
        <v>Garatejo, Natalia</v>
      </c>
      <c r="H2029" s="167">
        <v>2200286.0</v>
      </c>
      <c r="I2029" s="1">
        <v>42.0</v>
      </c>
    </row>
    <row r="2030" ht="15.75" customHeight="1">
      <c r="A2030" s="1">
        <v>5887066.0</v>
      </c>
      <c r="B2030" s="1" t="s">
        <v>2223</v>
      </c>
      <c r="C2030" s="1" t="s">
        <v>2224</v>
      </c>
      <c r="D2030" s="1" t="s">
        <v>224</v>
      </c>
      <c r="E2030" s="1" t="s">
        <v>813</v>
      </c>
      <c r="F2030" s="1" t="s">
        <v>6717</v>
      </c>
      <c r="G2030" s="1" t="str">
        <f>IFERROR(VLOOKUP(A2030,H_C!$A$2:$G$2628,7,0),"Validar HC")</f>
        <v>Garatejo, Natalia</v>
      </c>
      <c r="H2030" s="167">
        <v>2200286.0</v>
      </c>
      <c r="I2030" s="1">
        <v>42.0</v>
      </c>
    </row>
    <row r="2031" ht="15.75" customHeight="1">
      <c r="A2031" s="1">
        <v>5887053.0</v>
      </c>
      <c r="B2031" s="1" t="s">
        <v>2317</v>
      </c>
      <c r="C2031" s="1" t="s">
        <v>2318</v>
      </c>
      <c r="D2031" s="1" t="s">
        <v>224</v>
      </c>
      <c r="E2031" s="1" t="s">
        <v>986</v>
      </c>
      <c r="F2031" s="1" t="s">
        <v>6717</v>
      </c>
      <c r="G2031" s="1" t="str">
        <f>IFERROR(VLOOKUP(A2031,H_C!$A$2:$G$2628,7,0),"Validar HC")</f>
        <v>Garatejo, Natalia</v>
      </c>
      <c r="H2031" s="167">
        <v>2200286.0</v>
      </c>
      <c r="I2031" s="1">
        <v>42.0</v>
      </c>
    </row>
    <row r="2032" ht="15.75" customHeight="1">
      <c r="A2032" s="1">
        <v>5887400.0</v>
      </c>
      <c r="B2032" s="1" t="s">
        <v>3734</v>
      </c>
      <c r="C2032" s="1" t="s">
        <v>3735</v>
      </c>
      <c r="D2032" s="1" t="s">
        <v>224</v>
      </c>
      <c r="E2032" s="1" t="s">
        <v>555</v>
      </c>
      <c r="F2032" s="1" t="s">
        <v>6717</v>
      </c>
      <c r="G2032" s="1" t="str">
        <f>IFERROR(VLOOKUP(A2032,H_C!$A$2:$G$2628,7,0),"Validar HC")</f>
        <v>Ayala, Giselle</v>
      </c>
      <c r="H2032" s="167">
        <v>2200286.0</v>
      </c>
      <c r="I2032" s="1">
        <v>42.0</v>
      </c>
    </row>
    <row r="2033" ht="15.75" customHeight="1">
      <c r="A2033" s="1">
        <v>5887099.0</v>
      </c>
      <c r="B2033" s="1" t="s">
        <v>3778</v>
      </c>
      <c r="C2033" s="1" t="s">
        <v>3779</v>
      </c>
      <c r="D2033" s="1" t="s">
        <v>224</v>
      </c>
      <c r="E2033" s="1" t="s">
        <v>555</v>
      </c>
      <c r="F2033" s="1" t="s">
        <v>6717</v>
      </c>
      <c r="G2033" s="1" t="str">
        <f>IFERROR(VLOOKUP(A2033,H_C!$A$2:$G$2628,7,0),"Validar HC")</f>
        <v>Ayala, Giselle</v>
      </c>
      <c r="H2033" s="167">
        <v>2200286.0</v>
      </c>
      <c r="I2033" s="1">
        <v>42.0</v>
      </c>
    </row>
    <row r="2034" ht="15.75" customHeight="1">
      <c r="A2034" s="1">
        <v>5887050.0</v>
      </c>
      <c r="B2034" s="1" t="s">
        <v>2446</v>
      </c>
      <c r="C2034" s="1" t="s">
        <v>2447</v>
      </c>
      <c r="D2034" s="1" t="s">
        <v>224</v>
      </c>
      <c r="E2034" s="1" t="s">
        <v>986</v>
      </c>
      <c r="F2034" s="1" t="s">
        <v>6717</v>
      </c>
      <c r="G2034" s="1" t="str">
        <f>IFERROR(VLOOKUP(A2034,H_C!$A$2:$G$2628,7,0),"Validar HC")</f>
        <v>Garatejo, Natalia</v>
      </c>
      <c r="H2034" s="167">
        <v>2200286.0</v>
      </c>
      <c r="I2034" s="1">
        <v>42.0</v>
      </c>
    </row>
    <row r="2035" ht="15.75" customHeight="1">
      <c r="A2035" s="1">
        <v>5889275.0</v>
      </c>
      <c r="B2035" s="1" t="s">
        <v>5227</v>
      </c>
      <c r="C2035" s="1" t="s">
        <v>5228</v>
      </c>
      <c r="D2035" s="1" t="s">
        <v>224</v>
      </c>
      <c r="E2035" s="1" t="s">
        <v>813</v>
      </c>
      <c r="F2035" s="1" t="s">
        <v>6717</v>
      </c>
      <c r="G2035" s="1" t="str">
        <f>IFERROR(VLOOKUP(A2035,H_C!$A$2:$G$2628,7,0),"Validar HC")</f>
        <v>Garatejo, Natalia</v>
      </c>
      <c r="H2035" s="167">
        <v>2200286.0</v>
      </c>
      <c r="I2035" s="1">
        <v>42.0</v>
      </c>
    </row>
    <row r="2036" ht="15.75" customHeight="1">
      <c r="A2036" s="1">
        <v>5887397.0</v>
      </c>
      <c r="B2036" s="1" t="s">
        <v>2478</v>
      </c>
      <c r="C2036" s="1" t="s">
        <v>2479</v>
      </c>
      <c r="D2036" s="1" t="s">
        <v>224</v>
      </c>
      <c r="E2036" s="1" t="s">
        <v>986</v>
      </c>
      <c r="F2036" s="1" t="s">
        <v>6717</v>
      </c>
      <c r="G2036" s="1" t="str">
        <f>IFERROR(VLOOKUP(A2036,H_C!$A$2:$G$2628,7,0),"Validar HC")</f>
        <v>Garatejo, Natalia</v>
      </c>
      <c r="H2036" s="167">
        <v>2200286.0</v>
      </c>
      <c r="I2036" s="1">
        <v>42.0</v>
      </c>
    </row>
    <row r="2037" ht="15.75" customHeight="1">
      <c r="A2037" s="1">
        <v>5887364.0</v>
      </c>
      <c r="B2037" s="1" t="s">
        <v>3746</v>
      </c>
      <c r="C2037" s="1" t="s">
        <v>3747</v>
      </c>
      <c r="D2037" s="1" t="s">
        <v>224</v>
      </c>
      <c r="E2037" s="1" t="s">
        <v>555</v>
      </c>
      <c r="F2037" s="1" t="s">
        <v>6717</v>
      </c>
      <c r="G2037" s="1" t="str">
        <f>IFERROR(VLOOKUP(A2037,H_C!$A$2:$G$2628,7,0),"Validar HC")</f>
        <v>Ayala, Giselle</v>
      </c>
      <c r="H2037" s="167">
        <v>2200286.0</v>
      </c>
      <c r="I2037" s="1">
        <v>42.0</v>
      </c>
    </row>
    <row r="2038" ht="15.75" customHeight="1">
      <c r="A2038" s="1">
        <v>5889269.0</v>
      </c>
      <c r="B2038" s="1" t="s">
        <v>6796</v>
      </c>
      <c r="C2038" s="1" t="s">
        <v>6797</v>
      </c>
      <c r="D2038" s="1" t="s">
        <v>224</v>
      </c>
      <c r="E2038" s="1" t="s">
        <v>537</v>
      </c>
      <c r="F2038" s="1" t="s">
        <v>6717</v>
      </c>
      <c r="G2038" s="1" t="str">
        <f>IFERROR(VLOOKUP(A2038,H_C!$A$2:$G$2628,7,0),"Validar HC")</f>
        <v>Validar HC</v>
      </c>
      <c r="H2038" s="167">
        <v>2200286.0</v>
      </c>
      <c r="I2038" s="1">
        <v>42.0</v>
      </c>
    </row>
    <row r="2039" ht="15.75" customHeight="1">
      <c r="A2039" s="1">
        <v>5259818.0</v>
      </c>
      <c r="B2039" s="1" t="s">
        <v>4932</v>
      </c>
      <c r="C2039" s="1" t="s">
        <v>4933</v>
      </c>
      <c r="D2039" s="1" t="s">
        <v>224</v>
      </c>
      <c r="E2039" s="1" t="s">
        <v>1791</v>
      </c>
      <c r="F2039" s="1" t="s">
        <v>6717</v>
      </c>
      <c r="G2039" s="1" t="str">
        <f>IFERROR(VLOOKUP(A2039,H_C!$A$2:$G$2628,7,0),"Validar HC")</f>
        <v>Garcia, Helmer</v>
      </c>
      <c r="H2039" s="167">
        <v>2200286.0</v>
      </c>
      <c r="I2039" s="1">
        <v>42.0</v>
      </c>
    </row>
    <row r="2040" ht="15.75" customHeight="1">
      <c r="A2040" s="1">
        <v>5891085.0</v>
      </c>
      <c r="B2040" s="1" t="s">
        <v>2191</v>
      </c>
      <c r="C2040" s="1" t="s">
        <v>2192</v>
      </c>
      <c r="D2040" s="1" t="s">
        <v>224</v>
      </c>
      <c r="E2040" s="1" t="s">
        <v>246</v>
      </c>
      <c r="F2040" s="1" t="s">
        <v>6717</v>
      </c>
      <c r="G2040" s="1" t="str">
        <f>IFERROR(VLOOKUP(A2040,H_C!$A$2:$G$2628,7,0),"Validar HC")</f>
        <v>Garcia, Helmer</v>
      </c>
      <c r="H2040" s="167">
        <v>2200286.0</v>
      </c>
      <c r="I2040" s="1">
        <v>42.0</v>
      </c>
    </row>
    <row r="2041" ht="15.75" customHeight="1">
      <c r="A2041" s="1">
        <v>5891342.0</v>
      </c>
      <c r="B2041" s="1" t="s">
        <v>3912</v>
      </c>
      <c r="C2041" s="1" t="s">
        <v>3913</v>
      </c>
      <c r="D2041" s="1" t="s">
        <v>224</v>
      </c>
      <c r="E2041" s="1" t="s">
        <v>118</v>
      </c>
      <c r="F2041" s="1" t="s">
        <v>6717</v>
      </c>
      <c r="G2041" s="1" t="str">
        <f>IFERROR(VLOOKUP(A2041,H_C!$A$2:$G$2628,7,0),"Validar HC")</f>
        <v>Ospina, Michel</v>
      </c>
      <c r="H2041" s="167">
        <v>2200286.0</v>
      </c>
      <c r="I2041" s="1">
        <v>42.0</v>
      </c>
    </row>
    <row r="2042" ht="15.75" customHeight="1">
      <c r="A2042" s="1">
        <v>5891344.0</v>
      </c>
      <c r="B2042" s="1" t="s">
        <v>925</v>
      </c>
      <c r="C2042" s="1" t="s">
        <v>926</v>
      </c>
      <c r="D2042" s="1" t="s">
        <v>224</v>
      </c>
      <c r="E2042" s="1" t="s">
        <v>118</v>
      </c>
      <c r="F2042" s="1" t="s">
        <v>6717</v>
      </c>
      <c r="G2042" s="1" t="str">
        <f>IFERROR(VLOOKUP(A2042,H_C!$A$2:$G$2628,7,0),"Validar HC")</f>
        <v>Ospina, Michel</v>
      </c>
      <c r="H2042" s="167">
        <v>2200286.0</v>
      </c>
      <c r="I2042" s="1">
        <v>42.0</v>
      </c>
    </row>
    <row r="2043" ht="15.75" customHeight="1">
      <c r="A2043" s="1">
        <v>5887325.0</v>
      </c>
      <c r="B2043" s="1" t="s">
        <v>4502</v>
      </c>
      <c r="C2043" s="1" t="s">
        <v>4503</v>
      </c>
      <c r="D2043" s="1" t="s">
        <v>224</v>
      </c>
      <c r="E2043" s="1" t="s">
        <v>118</v>
      </c>
      <c r="F2043" s="1" t="s">
        <v>6717</v>
      </c>
      <c r="G2043" s="1" t="str">
        <f>IFERROR(VLOOKUP(A2043,H_C!$A$2:$G$2628,7,0),"Validar HC")</f>
        <v>Ospina, Michel</v>
      </c>
      <c r="H2043" s="167">
        <v>2200286.0</v>
      </c>
      <c r="I2043" s="1">
        <v>42.0</v>
      </c>
    </row>
    <row r="2044" ht="15.75" customHeight="1">
      <c r="A2044" s="1">
        <v>5892250.0</v>
      </c>
      <c r="B2044" s="1" t="s">
        <v>1777</v>
      </c>
      <c r="C2044" s="1" t="s">
        <v>1778</v>
      </c>
      <c r="D2044" s="1" t="s">
        <v>224</v>
      </c>
      <c r="E2044" s="1" t="s">
        <v>835</v>
      </c>
      <c r="F2044" s="1" t="s">
        <v>6717</v>
      </c>
      <c r="G2044" s="1" t="str">
        <f>IFERROR(VLOOKUP(A2044,H_C!$A$2:$G$2628,7,0),"Validar HC")</f>
        <v>Martinez, Wendy</v>
      </c>
      <c r="H2044" s="167">
        <v>2200286.0</v>
      </c>
      <c r="I2044" s="1">
        <v>42.0</v>
      </c>
    </row>
    <row r="2045" ht="15.75" customHeight="1">
      <c r="A2045" s="1">
        <v>3432578.0</v>
      </c>
      <c r="B2045" s="1" t="s">
        <v>5235</v>
      </c>
      <c r="C2045" s="1" t="s">
        <v>5236</v>
      </c>
      <c r="D2045" s="1" t="s">
        <v>224</v>
      </c>
      <c r="E2045" s="1" t="s">
        <v>2069</v>
      </c>
      <c r="F2045" s="1" t="s">
        <v>6717</v>
      </c>
      <c r="G2045" s="1" t="str">
        <f>IFERROR(VLOOKUP(A2045,H_C!$A$2:$G$2628,7,0),"Validar HC")</f>
        <v>Garatejo, Natalia</v>
      </c>
      <c r="H2045" s="167">
        <v>2200286.0</v>
      </c>
      <c r="I2045" s="1">
        <v>42.0</v>
      </c>
    </row>
    <row r="2046" ht="15.75" customHeight="1">
      <c r="A2046" s="1">
        <v>5896151.0</v>
      </c>
      <c r="B2046" s="1" t="s">
        <v>3954</v>
      </c>
      <c r="C2046" s="1" t="s">
        <v>3955</v>
      </c>
      <c r="D2046" s="1" t="s">
        <v>224</v>
      </c>
      <c r="E2046" s="1" t="s">
        <v>118</v>
      </c>
      <c r="F2046" s="1" t="s">
        <v>6717</v>
      </c>
      <c r="G2046" s="1" t="str">
        <f>IFERROR(VLOOKUP(A2046,H_C!$A$2:$G$2628,7,0),"Validar HC")</f>
        <v>Ospina, Michel</v>
      </c>
      <c r="H2046" s="167">
        <v>2200286.0</v>
      </c>
      <c r="I2046" s="1">
        <v>42.0</v>
      </c>
    </row>
    <row r="2047" ht="15.75" customHeight="1">
      <c r="A2047" s="1">
        <v>5533577.0</v>
      </c>
      <c r="B2047" s="1" t="s">
        <v>5239</v>
      </c>
      <c r="C2047" s="1" t="s">
        <v>5240</v>
      </c>
      <c r="D2047" s="1" t="s">
        <v>224</v>
      </c>
      <c r="E2047" s="1" t="s">
        <v>329</v>
      </c>
      <c r="F2047" s="1" t="s">
        <v>6717</v>
      </c>
      <c r="G2047" s="1" t="str">
        <f>IFERROR(VLOOKUP(A2047,H_C!$A$2:$G$2628,7,0),"Validar HC")</f>
        <v>Garatejo, Natalia</v>
      </c>
      <c r="H2047" s="167">
        <v>2200286.0</v>
      </c>
      <c r="I2047" s="1">
        <v>42.0</v>
      </c>
    </row>
    <row r="2048" ht="15.75" customHeight="1">
      <c r="A2048" s="1">
        <v>5533616.0</v>
      </c>
      <c r="B2048" s="1" t="s">
        <v>5241</v>
      </c>
      <c r="C2048" s="1" t="s">
        <v>5242</v>
      </c>
      <c r="D2048" s="1" t="s">
        <v>224</v>
      </c>
      <c r="E2048" s="1" t="s">
        <v>1932</v>
      </c>
      <c r="F2048" s="1" t="s">
        <v>6717</v>
      </c>
      <c r="G2048" s="1" t="str">
        <f>IFERROR(VLOOKUP(A2048,H_C!$A$2:$G$2628,7,0),"Validar HC")</f>
        <v>Garatejo, Natalia</v>
      </c>
      <c r="H2048" s="167">
        <v>2200286.0</v>
      </c>
      <c r="I2048" s="1">
        <v>42.0</v>
      </c>
    </row>
    <row r="2049" ht="15.75" customHeight="1">
      <c r="A2049" s="1">
        <v>5533633.0</v>
      </c>
      <c r="B2049" s="1" t="s">
        <v>3087</v>
      </c>
      <c r="C2049" s="1" t="s">
        <v>3088</v>
      </c>
      <c r="D2049" s="1" t="s">
        <v>224</v>
      </c>
      <c r="E2049" s="1" t="s">
        <v>329</v>
      </c>
      <c r="F2049" s="1" t="s">
        <v>6717</v>
      </c>
      <c r="G2049" s="1" t="str">
        <f>IFERROR(VLOOKUP(A2049,H_C!$A$2:$G$2628,7,0),"Validar HC")</f>
        <v>Garatejo, Natalia</v>
      </c>
      <c r="H2049" s="167">
        <v>2200286.0</v>
      </c>
      <c r="I2049" s="1">
        <v>42.0</v>
      </c>
    </row>
    <row r="2050" ht="15.75" customHeight="1">
      <c r="A2050" s="1">
        <v>5533583.0</v>
      </c>
      <c r="B2050" s="1" t="s">
        <v>417</v>
      </c>
      <c r="C2050" s="1" t="s">
        <v>418</v>
      </c>
      <c r="D2050" s="1" t="s">
        <v>224</v>
      </c>
      <c r="E2050" s="1" t="s">
        <v>329</v>
      </c>
      <c r="F2050" s="1" t="s">
        <v>6717</v>
      </c>
      <c r="G2050" s="1" t="str">
        <f>IFERROR(VLOOKUP(A2050,H_C!$A$2:$G$2628,7,0),"Validar HC")</f>
        <v>Garatejo, Natalia</v>
      </c>
      <c r="H2050" s="167">
        <v>2200286.0</v>
      </c>
      <c r="I2050" s="1">
        <v>42.0</v>
      </c>
    </row>
    <row r="2051" ht="15.75" customHeight="1">
      <c r="A2051" s="1">
        <v>5533630.0</v>
      </c>
      <c r="B2051" s="1" t="s">
        <v>3113</v>
      </c>
      <c r="C2051" s="1" t="s">
        <v>3114</v>
      </c>
      <c r="D2051" s="1" t="s">
        <v>224</v>
      </c>
      <c r="E2051" s="1" t="s">
        <v>329</v>
      </c>
      <c r="F2051" s="1" t="s">
        <v>6717</v>
      </c>
      <c r="G2051" s="1" t="str">
        <f>IFERROR(VLOOKUP(A2051,H_C!$A$2:$G$2628,7,0),"Validar HC")</f>
        <v>Garatejo, Natalia</v>
      </c>
      <c r="H2051" s="167">
        <v>2200286.0</v>
      </c>
      <c r="I2051" s="1">
        <v>42.0</v>
      </c>
    </row>
    <row r="2052" ht="15.75" customHeight="1">
      <c r="A2052" s="1">
        <v>5534106.0</v>
      </c>
      <c r="B2052" s="1" t="s">
        <v>3103</v>
      </c>
      <c r="C2052" s="1" t="s">
        <v>3104</v>
      </c>
      <c r="D2052" s="1" t="s">
        <v>224</v>
      </c>
      <c r="E2052" s="1" t="s">
        <v>329</v>
      </c>
      <c r="F2052" s="1" t="s">
        <v>6717</v>
      </c>
      <c r="G2052" s="1" t="str">
        <f>IFERROR(VLOOKUP(A2052,H_C!$A$2:$G$2628,7,0),"Validar HC")</f>
        <v>Garatejo, Natalia</v>
      </c>
      <c r="H2052" s="167">
        <v>2200286.0</v>
      </c>
      <c r="I2052" s="1">
        <v>42.0</v>
      </c>
    </row>
    <row r="2053" ht="15.75" customHeight="1">
      <c r="A2053" s="1">
        <v>5533612.0</v>
      </c>
      <c r="B2053" s="1" t="s">
        <v>5004</v>
      </c>
      <c r="C2053" s="1" t="s">
        <v>5005</v>
      </c>
      <c r="D2053" s="1" t="s">
        <v>224</v>
      </c>
      <c r="E2053" s="1" t="s">
        <v>800</v>
      </c>
      <c r="F2053" s="1" t="s">
        <v>6717</v>
      </c>
      <c r="G2053" s="1" t="str">
        <f>IFERROR(VLOOKUP(A2053,H_C!$A$2:$G$2628,7,0),"Validar HC")</f>
        <v>Garatejo, Natalia</v>
      </c>
      <c r="H2053" s="167">
        <v>2200286.0</v>
      </c>
      <c r="I2053" s="1">
        <v>42.0</v>
      </c>
    </row>
    <row r="2054" ht="15.75" customHeight="1">
      <c r="A2054" s="1">
        <v>5896389.0</v>
      </c>
      <c r="B2054" s="1" t="s">
        <v>4306</v>
      </c>
      <c r="C2054" s="1" t="s">
        <v>4307</v>
      </c>
      <c r="D2054" s="1" t="s">
        <v>224</v>
      </c>
      <c r="E2054" s="1" t="s">
        <v>361</v>
      </c>
      <c r="F2054" s="1" t="s">
        <v>6717</v>
      </c>
      <c r="G2054" s="1" t="str">
        <f>IFERROR(VLOOKUP(A2054,H_C!$A$2:$G$2628,7,0),"Validar HC")</f>
        <v>Gonzalez, Cristian</v>
      </c>
      <c r="H2054" s="167">
        <v>2200286.0</v>
      </c>
      <c r="I2054" s="1">
        <v>42.0</v>
      </c>
    </row>
    <row r="2055" ht="15.75" customHeight="1">
      <c r="A2055" s="1">
        <v>5896391.0</v>
      </c>
      <c r="B2055" s="1" t="s">
        <v>4314</v>
      </c>
      <c r="C2055" s="1" t="s">
        <v>4315</v>
      </c>
      <c r="D2055" s="1" t="s">
        <v>224</v>
      </c>
      <c r="E2055" s="1" t="s">
        <v>361</v>
      </c>
      <c r="F2055" s="1" t="s">
        <v>6717</v>
      </c>
      <c r="G2055" s="1" t="str">
        <f>IFERROR(VLOOKUP(A2055,H_C!$A$2:$G$2628,7,0),"Validar HC")</f>
        <v>Gonzalez, Cristian</v>
      </c>
      <c r="H2055" s="167">
        <v>2200286.0</v>
      </c>
      <c r="I2055" s="1">
        <v>42.0</v>
      </c>
    </row>
    <row r="2056" ht="15.75" customHeight="1">
      <c r="A2056" s="1">
        <v>5898227.0</v>
      </c>
      <c r="B2056" s="1" t="s">
        <v>5066</v>
      </c>
      <c r="C2056" s="1" t="s">
        <v>5067</v>
      </c>
      <c r="D2056" s="1" t="s">
        <v>224</v>
      </c>
      <c r="E2056" s="1" t="s">
        <v>323</v>
      </c>
      <c r="F2056" s="1" t="s">
        <v>6717</v>
      </c>
      <c r="G2056" s="1" t="str">
        <f>IFERROR(VLOOKUP(A2056,H_C!$A$2:$G$2628,7,0),"Validar HC")</f>
        <v>Martinez, Wendy</v>
      </c>
      <c r="H2056" s="167">
        <v>2200286.0</v>
      </c>
      <c r="I2056" s="1">
        <v>42.0</v>
      </c>
    </row>
    <row r="2057" ht="15.75" customHeight="1">
      <c r="A2057" s="1">
        <v>5898249.0</v>
      </c>
      <c r="B2057" s="1" t="s">
        <v>5072</v>
      </c>
      <c r="C2057" s="1" t="s">
        <v>5073</v>
      </c>
      <c r="D2057" s="1" t="s">
        <v>224</v>
      </c>
      <c r="E2057" s="1" t="s">
        <v>323</v>
      </c>
      <c r="F2057" s="1" t="s">
        <v>6717</v>
      </c>
      <c r="G2057" s="1" t="str">
        <f>IFERROR(VLOOKUP(A2057,H_C!$A$2:$G$2628,7,0),"Validar HC")</f>
        <v>Martinez, Wendy</v>
      </c>
      <c r="H2057" s="167">
        <v>2200286.0</v>
      </c>
      <c r="I2057" s="1">
        <v>42.0</v>
      </c>
    </row>
    <row r="2058" ht="15.75" customHeight="1">
      <c r="A2058" s="1">
        <v>5898837.0</v>
      </c>
      <c r="B2058" s="1" t="s">
        <v>5249</v>
      </c>
      <c r="C2058" s="1" t="s">
        <v>5250</v>
      </c>
      <c r="D2058" s="1" t="s">
        <v>224</v>
      </c>
      <c r="E2058" s="1" t="s">
        <v>329</v>
      </c>
      <c r="F2058" s="1" t="s">
        <v>6717</v>
      </c>
      <c r="G2058" s="1" t="str">
        <f>IFERROR(VLOOKUP(A2058,H_C!$A$2:$G$2628,7,0),"Validar HC")</f>
        <v>Garatejo, Natalia</v>
      </c>
      <c r="H2058" s="167">
        <v>2200286.0</v>
      </c>
      <c r="I2058" s="1">
        <v>42.0</v>
      </c>
    </row>
    <row r="2059" ht="15.75" customHeight="1">
      <c r="A2059" s="1">
        <v>5126446.0</v>
      </c>
      <c r="B2059" s="1" t="s">
        <v>5251</v>
      </c>
      <c r="C2059" s="1" t="s">
        <v>5252</v>
      </c>
      <c r="D2059" s="1" t="s">
        <v>224</v>
      </c>
      <c r="E2059" s="1" t="s">
        <v>847</v>
      </c>
      <c r="F2059" s="1" t="s">
        <v>6717</v>
      </c>
      <c r="G2059" s="1" t="str">
        <f>IFERROR(VLOOKUP(A2059,H_C!$A$2:$G$2628,7,0),"Validar HC")</f>
        <v>Garatejo, Natalia</v>
      </c>
      <c r="H2059" s="167">
        <v>2200286.0</v>
      </c>
      <c r="I2059" s="1">
        <v>42.0</v>
      </c>
    </row>
    <row r="2060" ht="15.75" customHeight="1">
      <c r="A2060" s="1">
        <v>5898225.0</v>
      </c>
      <c r="B2060" s="1" t="s">
        <v>560</v>
      </c>
      <c r="C2060" s="1" t="s">
        <v>561</v>
      </c>
      <c r="D2060" s="1" t="s">
        <v>224</v>
      </c>
      <c r="E2060" s="1" t="s">
        <v>526</v>
      </c>
      <c r="F2060" s="1" t="s">
        <v>6717</v>
      </c>
      <c r="G2060" s="1" t="str">
        <f>IFERROR(VLOOKUP(A2060,H_C!$A$2:$G$2628,7,0),"Validar HC")</f>
        <v>Martinez, Wendy</v>
      </c>
      <c r="H2060" s="167">
        <v>2200286.0</v>
      </c>
      <c r="I2060" s="1">
        <v>42.0</v>
      </c>
    </row>
    <row r="2061" ht="15.75" customHeight="1">
      <c r="A2061" s="1">
        <v>5898207.0</v>
      </c>
      <c r="B2061" s="1" t="s">
        <v>3117</v>
      </c>
      <c r="C2061" s="1" t="s">
        <v>3118</v>
      </c>
      <c r="D2061" s="1" t="s">
        <v>224</v>
      </c>
      <c r="E2061" s="1" t="s">
        <v>329</v>
      </c>
      <c r="F2061" s="1" t="s">
        <v>6717</v>
      </c>
      <c r="G2061" s="1" t="str">
        <f>IFERROR(VLOOKUP(A2061,H_C!$A$2:$G$2628,7,0),"Validar HC")</f>
        <v>Garatejo, Natalia</v>
      </c>
      <c r="H2061" s="167">
        <v>2200286.0</v>
      </c>
      <c r="I2061" s="1">
        <v>42.0</v>
      </c>
    </row>
    <row r="2062" ht="15.75" customHeight="1">
      <c r="A2062" s="1">
        <v>5898229.0</v>
      </c>
      <c r="B2062" s="1" t="s">
        <v>5010</v>
      </c>
      <c r="C2062" s="1" t="s">
        <v>5011</v>
      </c>
      <c r="D2062" s="1" t="s">
        <v>224</v>
      </c>
      <c r="E2062" s="1" t="s">
        <v>800</v>
      </c>
      <c r="F2062" s="1" t="s">
        <v>6717</v>
      </c>
      <c r="G2062" s="1" t="str">
        <f>IFERROR(VLOOKUP(A2062,H_C!$A$2:$G$2628,7,0),"Validar HC")</f>
        <v>Garatejo, Natalia</v>
      </c>
      <c r="H2062" s="167">
        <v>2200286.0</v>
      </c>
      <c r="I2062" s="1">
        <v>42.0</v>
      </c>
    </row>
    <row r="2063" ht="15.75" customHeight="1">
      <c r="A2063" s="1">
        <v>5898201.0</v>
      </c>
      <c r="B2063" s="1" t="s">
        <v>423</v>
      </c>
      <c r="C2063" s="1" t="s">
        <v>424</v>
      </c>
      <c r="D2063" s="1" t="s">
        <v>224</v>
      </c>
      <c r="E2063" s="1" t="s">
        <v>329</v>
      </c>
      <c r="F2063" s="1" t="s">
        <v>6717</v>
      </c>
      <c r="G2063" s="1" t="str">
        <f>IFERROR(VLOOKUP(A2063,H_C!$A$2:$G$2628,7,0),"Validar HC")</f>
        <v>Garatejo, Natalia</v>
      </c>
      <c r="H2063" s="167">
        <v>2200286.0</v>
      </c>
      <c r="I2063" s="1">
        <v>42.0</v>
      </c>
    </row>
    <row r="2064" ht="15.75" customHeight="1">
      <c r="A2064" s="1">
        <v>5898218.0</v>
      </c>
      <c r="B2064" s="1" t="s">
        <v>5253</v>
      </c>
      <c r="C2064" s="1" t="s">
        <v>5254</v>
      </c>
      <c r="D2064" s="1" t="s">
        <v>224</v>
      </c>
      <c r="E2064" s="1" t="s">
        <v>329</v>
      </c>
      <c r="F2064" s="1" t="s">
        <v>6717</v>
      </c>
      <c r="G2064" s="1" t="str">
        <f>IFERROR(VLOOKUP(A2064,H_C!$A$2:$G$2628,7,0),"Validar HC")</f>
        <v>Garatejo, Natalia</v>
      </c>
      <c r="H2064" s="167">
        <v>2200286.0</v>
      </c>
      <c r="I2064" s="1">
        <v>42.0</v>
      </c>
    </row>
    <row r="2065" ht="15.75" customHeight="1">
      <c r="A2065" s="1">
        <v>5898204.0</v>
      </c>
      <c r="B2065" s="1" t="s">
        <v>4007</v>
      </c>
      <c r="C2065" s="1" t="s">
        <v>4008</v>
      </c>
      <c r="D2065" s="1" t="s">
        <v>224</v>
      </c>
      <c r="E2065" s="1" t="s">
        <v>323</v>
      </c>
      <c r="F2065" s="1" t="s">
        <v>6717</v>
      </c>
      <c r="G2065" s="1" t="str">
        <f>IFERROR(VLOOKUP(A2065,H_C!$A$2:$G$2628,7,0),"Validar HC")</f>
        <v>Martinez, Wendy</v>
      </c>
      <c r="H2065" s="167">
        <v>2200286.0</v>
      </c>
      <c r="I2065" s="1">
        <v>42.0</v>
      </c>
    </row>
    <row r="2066" ht="15.75" customHeight="1">
      <c r="A2066" s="1">
        <v>5898224.0</v>
      </c>
      <c r="B2066" s="1" t="s">
        <v>3564</v>
      </c>
      <c r="C2066" s="1" t="s">
        <v>3565</v>
      </c>
      <c r="D2066" s="1" t="s">
        <v>224</v>
      </c>
      <c r="E2066" s="1" t="s">
        <v>467</v>
      </c>
      <c r="F2066" s="1" t="s">
        <v>6717</v>
      </c>
      <c r="G2066" s="1" t="str">
        <f>IFERROR(VLOOKUP(A2066,H_C!$A$2:$G$2628,7,0),"Validar HC")</f>
        <v>Martinez, Wendy</v>
      </c>
      <c r="H2066" s="167">
        <v>2200286.0</v>
      </c>
      <c r="I2066" s="1">
        <v>42.0</v>
      </c>
    </row>
    <row r="2067" ht="15.75" customHeight="1">
      <c r="A2067" s="1">
        <v>5898384.0</v>
      </c>
      <c r="B2067" s="1" t="s">
        <v>952</v>
      </c>
      <c r="C2067" s="1" t="s">
        <v>953</v>
      </c>
      <c r="D2067" s="1" t="s">
        <v>224</v>
      </c>
      <c r="E2067" s="1" t="s">
        <v>118</v>
      </c>
      <c r="F2067" s="1" t="s">
        <v>6717</v>
      </c>
      <c r="G2067" s="1" t="str">
        <f>IFERROR(VLOOKUP(A2067,H_C!$A$2:$G$2628,7,0),"Validar HC")</f>
        <v>Ospina, Michel</v>
      </c>
      <c r="H2067" s="167">
        <v>2200286.0</v>
      </c>
      <c r="I2067" s="1">
        <v>42.0</v>
      </c>
    </row>
    <row r="2068" ht="15.75" customHeight="1">
      <c r="A2068" s="1">
        <v>5899286.0</v>
      </c>
      <c r="B2068" s="1" t="s">
        <v>2849</v>
      </c>
      <c r="C2068" s="1" t="s">
        <v>2850</v>
      </c>
      <c r="D2068" s="1" t="s">
        <v>224</v>
      </c>
      <c r="E2068" s="1" t="s">
        <v>232</v>
      </c>
      <c r="F2068" s="1" t="s">
        <v>6717</v>
      </c>
      <c r="G2068" s="1" t="str">
        <f>IFERROR(VLOOKUP(A2068,H_C!$A$2:$G$2628,7,0),"Validar HC")</f>
        <v>Soler, Maria</v>
      </c>
      <c r="H2068" s="167">
        <v>2200286.0</v>
      </c>
      <c r="I2068" s="1">
        <v>42.0</v>
      </c>
    </row>
    <row r="2069" ht="15.75" customHeight="1">
      <c r="A2069" s="1">
        <v>5899291.0</v>
      </c>
      <c r="B2069" s="1" t="s">
        <v>2815</v>
      </c>
      <c r="C2069" s="1" t="s">
        <v>2816</v>
      </c>
      <c r="D2069" s="1" t="s">
        <v>224</v>
      </c>
      <c r="E2069" s="1" t="s">
        <v>232</v>
      </c>
      <c r="F2069" s="1" t="s">
        <v>6717</v>
      </c>
      <c r="G2069" s="1" t="str">
        <f>IFERROR(VLOOKUP(A2069,H_C!$A$2:$G$2628,7,0),"Validar HC")</f>
        <v>Soler, Maria</v>
      </c>
      <c r="H2069" s="167">
        <v>2200286.0</v>
      </c>
      <c r="I2069" s="1">
        <v>42.0</v>
      </c>
    </row>
    <row r="2070" ht="15.75" customHeight="1">
      <c r="A2070" s="1">
        <v>5899287.0</v>
      </c>
      <c r="B2070" s="1" t="s">
        <v>2837</v>
      </c>
      <c r="C2070" s="1" t="s">
        <v>2838</v>
      </c>
      <c r="D2070" s="1" t="s">
        <v>224</v>
      </c>
      <c r="E2070" s="1" t="s">
        <v>232</v>
      </c>
      <c r="F2070" s="1" t="s">
        <v>6717</v>
      </c>
      <c r="G2070" s="1" t="str">
        <f>IFERROR(VLOOKUP(A2070,H_C!$A$2:$G$2628,7,0),"Validar HC")</f>
        <v>Soler, Maria</v>
      </c>
      <c r="H2070" s="167">
        <v>2200286.0</v>
      </c>
      <c r="I2070" s="1">
        <v>42.0</v>
      </c>
    </row>
    <row r="2071" ht="15.75" customHeight="1">
      <c r="A2071" s="1">
        <v>5899288.0</v>
      </c>
      <c r="B2071" s="1" t="s">
        <v>5255</v>
      </c>
      <c r="C2071" s="1" t="s">
        <v>5256</v>
      </c>
      <c r="D2071" s="1" t="s">
        <v>224</v>
      </c>
      <c r="E2071" s="1" t="s">
        <v>222</v>
      </c>
      <c r="F2071" s="1" t="s">
        <v>6717</v>
      </c>
      <c r="G2071" s="1" t="str">
        <f>IFERROR(VLOOKUP(A2071,H_C!$A$2:$G$2628,7,0),"Validar HC")</f>
        <v>Soler, Maria</v>
      </c>
      <c r="H2071" s="167">
        <v>2200286.0</v>
      </c>
      <c r="I2071" s="1">
        <v>42.0</v>
      </c>
    </row>
    <row r="2072" ht="15.75" customHeight="1">
      <c r="A2072" s="1">
        <v>5899379.0</v>
      </c>
      <c r="B2072" s="1" t="s">
        <v>4860</v>
      </c>
      <c r="C2072" s="1" t="s">
        <v>4861</v>
      </c>
      <c r="D2072" s="1" t="s">
        <v>224</v>
      </c>
      <c r="E2072" s="1" t="s">
        <v>695</v>
      </c>
      <c r="F2072" s="1" t="s">
        <v>6717</v>
      </c>
      <c r="G2072" s="1" t="str">
        <f>IFERROR(VLOOKUP(A2072,H_C!$A$2:$G$2628,7,0),"Validar HC")</f>
        <v>Ayala, Giselle</v>
      </c>
      <c r="H2072" s="167">
        <v>2200286.0</v>
      </c>
      <c r="I2072" s="1">
        <v>42.0</v>
      </c>
    </row>
    <row r="2073" ht="15.75" customHeight="1">
      <c r="A2073" s="1">
        <v>5899380.0</v>
      </c>
      <c r="B2073" s="1" t="s">
        <v>5257</v>
      </c>
      <c r="C2073" s="1" t="s">
        <v>5258</v>
      </c>
      <c r="D2073" s="1" t="s">
        <v>224</v>
      </c>
      <c r="E2073" s="1" t="s">
        <v>555</v>
      </c>
      <c r="F2073" s="1" t="s">
        <v>6717</v>
      </c>
      <c r="G2073" s="1" t="str">
        <f>IFERROR(VLOOKUP(A2073,H_C!$A$2:$G$2628,7,0),"Validar HC")</f>
        <v>Ayala, Giselle</v>
      </c>
      <c r="H2073" s="167">
        <v>2200286.0</v>
      </c>
      <c r="I2073" s="1">
        <v>42.0</v>
      </c>
    </row>
    <row r="2074" ht="15.75" customHeight="1">
      <c r="A2074" s="1">
        <v>5899415.0</v>
      </c>
      <c r="B2074" s="1" t="s">
        <v>4848</v>
      </c>
      <c r="C2074" s="1" t="s">
        <v>4849</v>
      </c>
      <c r="D2074" s="1" t="s">
        <v>224</v>
      </c>
      <c r="E2074" s="1" t="s">
        <v>695</v>
      </c>
      <c r="F2074" s="1" t="s">
        <v>6717</v>
      </c>
      <c r="G2074" s="1" t="str">
        <f>IFERROR(VLOOKUP(A2074,H_C!$A$2:$G$2628,7,0),"Validar HC")</f>
        <v>Ayala, Giselle</v>
      </c>
      <c r="H2074" s="167">
        <v>2200286.0</v>
      </c>
      <c r="I2074" s="1">
        <v>42.0</v>
      </c>
    </row>
    <row r="2075" ht="15.75" customHeight="1">
      <c r="A2075" s="1">
        <v>5653971.0</v>
      </c>
      <c r="B2075" s="1" t="s">
        <v>5259</v>
      </c>
      <c r="C2075" s="1" t="s">
        <v>5260</v>
      </c>
      <c r="D2075" s="1" t="s">
        <v>224</v>
      </c>
      <c r="E2075" s="1" t="s">
        <v>555</v>
      </c>
      <c r="F2075" s="1" t="s">
        <v>6717</v>
      </c>
      <c r="G2075" s="1" t="str">
        <f>IFERROR(VLOOKUP(A2075,H_C!$A$2:$G$2628,7,0),"Validar HC")</f>
        <v>Ayala, Giselle</v>
      </c>
      <c r="H2075" s="167">
        <v>2200286.0</v>
      </c>
      <c r="I2075" s="1">
        <v>42.0</v>
      </c>
    </row>
    <row r="2076" ht="15.75" customHeight="1">
      <c r="A2076" s="1">
        <v>3255941.0</v>
      </c>
      <c r="B2076" s="1" t="s">
        <v>5261</v>
      </c>
      <c r="C2076" s="1" t="s">
        <v>5262</v>
      </c>
      <c r="D2076" s="1" t="s">
        <v>224</v>
      </c>
      <c r="E2076" s="1" t="s">
        <v>813</v>
      </c>
      <c r="F2076" s="1" t="s">
        <v>6717</v>
      </c>
      <c r="G2076" s="1" t="str">
        <f>IFERROR(VLOOKUP(A2076,H_C!$A$2:$G$2628,7,0),"Validar HC")</f>
        <v>Garatejo, Natalia</v>
      </c>
      <c r="H2076" s="167">
        <v>2200286.0</v>
      </c>
      <c r="I2076" s="1">
        <v>42.0</v>
      </c>
    </row>
    <row r="2077" ht="15.75" customHeight="1">
      <c r="A2077" s="1">
        <v>5899410.0</v>
      </c>
      <c r="B2077" s="1" t="s">
        <v>2482</v>
      </c>
      <c r="C2077" s="1" t="s">
        <v>2483</v>
      </c>
      <c r="D2077" s="1" t="s">
        <v>224</v>
      </c>
      <c r="E2077" s="1" t="s">
        <v>986</v>
      </c>
      <c r="F2077" s="1" t="s">
        <v>6717</v>
      </c>
      <c r="G2077" s="1" t="str">
        <f>IFERROR(VLOOKUP(A2077,H_C!$A$2:$G$2628,7,0),"Validar HC")</f>
        <v>Garatejo, Natalia</v>
      </c>
      <c r="H2077" s="167">
        <v>2200286.0</v>
      </c>
      <c r="I2077" s="1">
        <v>42.0</v>
      </c>
    </row>
    <row r="2078" ht="15.75" customHeight="1">
      <c r="A2078" s="1">
        <v>5900821.0</v>
      </c>
      <c r="B2078" s="1" t="s">
        <v>5082</v>
      </c>
      <c r="C2078" s="1" t="s">
        <v>5083</v>
      </c>
      <c r="D2078" s="1" t="s">
        <v>224</v>
      </c>
      <c r="E2078" s="1" t="s">
        <v>232</v>
      </c>
      <c r="F2078" s="1" t="s">
        <v>6717</v>
      </c>
      <c r="G2078" s="1" t="str">
        <f>IFERROR(VLOOKUP(A2078,H_C!$A$2:$G$2628,7,0),"Validar HC")</f>
        <v>Soler, Maria</v>
      </c>
      <c r="H2078" s="167">
        <v>2200286.0</v>
      </c>
      <c r="I2078" s="1">
        <v>42.0</v>
      </c>
    </row>
    <row r="2079" ht="15.75" customHeight="1">
      <c r="A2079" s="1">
        <v>5901032.0</v>
      </c>
      <c r="B2079" s="1" t="s">
        <v>2841</v>
      </c>
      <c r="C2079" s="1" t="s">
        <v>2842</v>
      </c>
      <c r="D2079" s="1" t="s">
        <v>224</v>
      </c>
      <c r="E2079" s="1" t="s">
        <v>232</v>
      </c>
      <c r="F2079" s="1" t="s">
        <v>6717</v>
      </c>
      <c r="G2079" s="1" t="str">
        <f>IFERROR(VLOOKUP(A2079,H_C!$A$2:$G$2628,7,0),"Validar HC")</f>
        <v>Soler, Maria</v>
      </c>
      <c r="H2079" s="167">
        <v>2200286.0</v>
      </c>
      <c r="I2079" s="1">
        <v>42.0</v>
      </c>
    </row>
    <row r="2080" ht="15.75" customHeight="1">
      <c r="A2080" s="1">
        <v>5899498.0</v>
      </c>
      <c r="B2080" s="1" t="s">
        <v>5080</v>
      </c>
      <c r="C2080" s="1" t="s">
        <v>5081</v>
      </c>
      <c r="D2080" s="1" t="s">
        <v>224</v>
      </c>
      <c r="E2080" s="1" t="s">
        <v>232</v>
      </c>
      <c r="F2080" s="1" t="s">
        <v>6717</v>
      </c>
      <c r="G2080" s="1" t="str">
        <f>IFERROR(VLOOKUP(A2080,H_C!$A$2:$G$2628,7,0),"Validar HC")</f>
        <v>Soler, Maria</v>
      </c>
      <c r="H2080" s="167">
        <v>2200286.0</v>
      </c>
      <c r="I2080" s="1">
        <v>42.0</v>
      </c>
    </row>
    <row r="2081" ht="15.75" customHeight="1">
      <c r="A2081" s="1">
        <v>4904088.0</v>
      </c>
      <c r="B2081" s="1" t="s">
        <v>5171</v>
      </c>
      <c r="C2081" s="1" t="s">
        <v>5172</v>
      </c>
      <c r="D2081" s="1" t="s">
        <v>224</v>
      </c>
      <c r="E2081" s="1" t="s">
        <v>841</v>
      </c>
      <c r="F2081" s="1" t="s">
        <v>6717</v>
      </c>
      <c r="G2081" s="1" t="str">
        <f>IFERROR(VLOOKUP(A2081,H_C!$A$2:$G$2628,7,0),"Validar HC")</f>
        <v>Soler, Maria</v>
      </c>
      <c r="H2081" s="167">
        <v>2200286.0</v>
      </c>
      <c r="I2081" s="1">
        <v>42.0</v>
      </c>
    </row>
    <row r="2082" ht="15.75" customHeight="1">
      <c r="A2082" s="1">
        <v>5900562.0</v>
      </c>
      <c r="B2082" s="1" t="s">
        <v>5265</v>
      </c>
      <c r="C2082" s="1" t="s">
        <v>5266</v>
      </c>
      <c r="D2082" s="1" t="s">
        <v>224</v>
      </c>
      <c r="E2082" s="1" t="s">
        <v>555</v>
      </c>
      <c r="F2082" s="1" t="s">
        <v>6717</v>
      </c>
      <c r="G2082" s="1" t="str">
        <f>IFERROR(VLOOKUP(A2082,H_C!$A$2:$G$2628,7,0),"Validar HC")</f>
        <v>Ayala, Giselle</v>
      </c>
      <c r="H2082" s="167">
        <v>2200286.0</v>
      </c>
      <c r="I2082" s="1">
        <v>42.0</v>
      </c>
    </row>
    <row r="2083" ht="15.75" customHeight="1">
      <c r="A2083" s="1">
        <v>5899718.0</v>
      </c>
      <c r="B2083" s="1" t="s">
        <v>4844</v>
      </c>
      <c r="C2083" s="1" t="s">
        <v>4845</v>
      </c>
      <c r="D2083" s="1" t="s">
        <v>224</v>
      </c>
      <c r="E2083" s="1" t="s">
        <v>695</v>
      </c>
      <c r="F2083" s="1" t="s">
        <v>6717</v>
      </c>
      <c r="G2083" s="1" t="str">
        <f>IFERROR(VLOOKUP(A2083,H_C!$A$2:$G$2628,7,0),"Validar HC")</f>
        <v>Ayala, Giselle</v>
      </c>
      <c r="H2083" s="167">
        <v>2200286.0</v>
      </c>
      <c r="I2083" s="1">
        <v>42.0</v>
      </c>
    </row>
    <row r="2084" ht="15.75" customHeight="1">
      <c r="A2084" s="1">
        <v>5899719.0</v>
      </c>
      <c r="B2084" s="1" t="s">
        <v>3772</v>
      </c>
      <c r="C2084" s="1" t="s">
        <v>3773</v>
      </c>
      <c r="D2084" s="1" t="s">
        <v>224</v>
      </c>
      <c r="E2084" s="1" t="s">
        <v>555</v>
      </c>
      <c r="F2084" s="1" t="s">
        <v>6717</v>
      </c>
      <c r="G2084" s="1" t="str">
        <f>IFERROR(VLOOKUP(A2084,H_C!$A$2:$G$2628,7,0),"Validar HC")</f>
        <v>Ayala, Giselle</v>
      </c>
      <c r="H2084" s="167">
        <v>2200286.0</v>
      </c>
      <c r="I2084" s="1">
        <v>42.0</v>
      </c>
    </row>
    <row r="2085" ht="15.75" customHeight="1">
      <c r="A2085" s="1">
        <v>5899595.0</v>
      </c>
      <c r="B2085" s="1" t="s">
        <v>395</v>
      </c>
      <c r="C2085" s="1" t="s">
        <v>396</v>
      </c>
      <c r="D2085" s="1" t="s">
        <v>224</v>
      </c>
      <c r="E2085" s="1" t="s">
        <v>329</v>
      </c>
      <c r="F2085" s="1" t="s">
        <v>6717</v>
      </c>
      <c r="G2085" s="1" t="str">
        <f>IFERROR(VLOOKUP(A2085,H_C!$A$2:$G$2628,7,0),"Validar HC")</f>
        <v>Garatejo, Natalia</v>
      </c>
      <c r="H2085" s="167">
        <v>2200286.0</v>
      </c>
      <c r="I2085" s="1">
        <v>42.0</v>
      </c>
    </row>
    <row r="2086" ht="15.75" customHeight="1">
      <c r="A2086" s="1">
        <v>5899601.0</v>
      </c>
      <c r="B2086" s="1" t="s">
        <v>5267</v>
      </c>
      <c r="C2086" s="1" t="s">
        <v>5268</v>
      </c>
      <c r="D2086" s="1" t="s">
        <v>224</v>
      </c>
      <c r="E2086" s="1" t="s">
        <v>329</v>
      </c>
      <c r="F2086" s="1" t="s">
        <v>6717</v>
      </c>
      <c r="G2086" s="1" t="str">
        <f>IFERROR(VLOOKUP(A2086,H_C!$A$2:$G$2628,7,0),"Validar HC")</f>
        <v>Garatejo, Natalia</v>
      </c>
      <c r="H2086" s="167">
        <v>2200286.0</v>
      </c>
      <c r="I2086" s="1">
        <v>42.0</v>
      </c>
    </row>
    <row r="2087" ht="15.75" customHeight="1">
      <c r="A2087" s="1">
        <v>5899591.0</v>
      </c>
      <c r="B2087" s="1" t="s">
        <v>5269</v>
      </c>
      <c r="C2087" s="1" t="s">
        <v>5270</v>
      </c>
      <c r="D2087" s="1" t="s">
        <v>224</v>
      </c>
      <c r="E2087" s="1" t="s">
        <v>329</v>
      </c>
      <c r="F2087" s="1" t="s">
        <v>6717</v>
      </c>
      <c r="G2087" s="1" t="str">
        <f>IFERROR(VLOOKUP(A2087,H_C!$A$2:$G$2628,7,0),"Validar HC")</f>
        <v>Garatejo, Natalia</v>
      </c>
      <c r="H2087" s="167">
        <v>2200286.0</v>
      </c>
      <c r="I2087" s="1">
        <v>42.0</v>
      </c>
    </row>
    <row r="2088" ht="15.75" customHeight="1">
      <c r="A2088" s="1">
        <v>5899646.0</v>
      </c>
      <c r="B2088" s="1" t="s">
        <v>4994</v>
      </c>
      <c r="C2088" s="1" t="s">
        <v>4995</v>
      </c>
      <c r="D2088" s="1" t="s">
        <v>224</v>
      </c>
      <c r="E2088" s="1" t="s">
        <v>800</v>
      </c>
      <c r="F2088" s="1" t="s">
        <v>6717</v>
      </c>
      <c r="G2088" s="1" t="str">
        <f>IFERROR(VLOOKUP(A2088,H_C!$A$2:$G$2628,7,0),"Validar HC")</f>
        <v>Garatejo, Natalia</v>
      </c>
      <c r="H2088" s="167">
        <v>2200286.0</v>
      </c>
      <c r="I2088" s="1">
        <v>42.0</v>
      </c>
    </row>
    <row r="2089" ht="15.75" customHeight="1">
      <c r="A2089" s="1">
        <v>5205174.0</v>
      </c>
      <c r="B2089" s="1" t="s">
        <v>5271</v>
      </c>
      <c r="C2089" s="1" t="s">
        <v>5272</v>
      </c>
      <c r="D2089" s="1" t="s">
        <v>224</v>
      </c>
      <c r="E2089" s="1" t="s">
        <v>329</v>
      </c>
      <c r="F2089" s="1" t="s">
        <v>6717</v>
      </c>
      <c r="G2089" s="1" t="str">
        <f>IFERROR(VLOOKUP(A2089,H_C!$A$2:$G$2628,7,0),"Validar HC")</f>
        <v>Garatejo, Natalia</v>
      </c>
      <c r="H2089" s="167">
        <v>2200286.0</v>
      </c>
      <c r="I2089" s="1">
        <v>42.0</v>
      </c>
    </row>
    <row r="2090" ht="15.75" customHeight="1">
      <c r="A2090" s="1">
        <v>5899598.0</v>
      </c>
      <c r="B2090" s="1" t="s">
        <v>6798</v>
      </c>
      <c r="C2090" s="1" t="s">
        <v>6799</v>
      </c>
      <c r="D2090" s="1" t="s">
        <v>224</v>
      </c>
      <c r="E2090" s="1" t="s">
        <v>329</v>
      </c>
      <c r="F2090" s="1" t="s">
        <v>6717</v>
      </c>
      <c r="G2090" s="1" t="str">
        <f>IFERROR(VLOOKUP(A2090,H_C!$A$2:$G$2628,7,0),"Validar HC")</f>
        <v>Validar HC</v>
      </c>
      <c r="H2090" s="167">
        <v>2200286.0</v>
      </c>
      <c r="I2090" s="1">
        <v>42.0</v>
      </c>
    </row>
    <row r="2091" ht="15.75" customHeight="1">
      <c r="A2091" s="1">
        <v>5878422.0</v>
      </c>
      <c r="B2091" s="1" t="s">
        <v>5006</v>
      </c>
      <c r="C2091" s="1" t="s">
        <v>5007</v>
      </c>
      <c r="D2091" s="1" t="s">
        <v>224</v>
      </c>
      <c r="E2091" s="1" t="s">
        <v>800</v>
      </c>
      <c r="F2091" s="1" t="s">
        <v>6717</v>
      </c>
      <c r="G2091" s="1" t="str">
        <f>IFERROR(VLOOKUP(A2091,H_C!$A$2:$G$2628,7,0),"Validar HC")</f>
        <v>Garatejo, Natalia</v>
      </c>
      <c r="H2091" s="167">
        <v>2200286.0</v>
      </c>
      <c r="I2091" s="1">
        <v>42.0</v>
      </c>
    </row>
    <row r="2092" ht="15.75" customHeight="1">
      <c r="A2092" s="1">
        <v>5899600.0</v>
      </c>
      <c r="B2092" s="1" t="s">
        <v>5275</v>
      </c>
      <c r="C2092" s="1" t="s">
        <v>5276</v>
      </c>
      <c r="D2092" s="1" t="s">
        <v>224</v>
      </c>
      <c r="E2092" s="1" t="s">
        <v>329</v>
      </c>
      <c r="F2092" s="1" t="s">
        <v>6717</v>
      </c>
      <c r="G2092" s="1" t="str">
        <f>IFERROR(VLOOKUP(A2092,H_C!$A$2:$G$2628,7,0),"Validar HC")</f>
        <v>Garatejo, Natalia</v>
      </c>
      <c r="H2092" s="167">
        <v>2200286.0</v>
      </c>
      <c r="I2092" s="1">
        <v>42.0</v>
      </c>
    </row>
    <row r="2093" ht="15.75" customHeight="1">
      <c r="A2093" s="1">
        <v>5901136.0</v>
      </c>
      <c r="B2093" s="1" t="s">
        <v>4498</v>
      </c>
      <c r="C2093" s="1" t="s">
        <v>4499</v>
      </c>
      <c r="D2093" s="1" t="s">
        <v>224</v>
      </c>
      <c r="E2093" s="1" t="s">
        <v>120</v>
      </c>
      <c r="F2093" s="1" t="s">
        <v>6717</v>
      </c>
      <c r="G2093" s="1" t="str">
        <f>IFERROR(VLOOKUP(A2093,H_C!$A$2:$G$2628,7,0),"Validar HC")</f>
        <v>Ospina, Michel</v>
      </c>
      <c r="H2093" s="167">
        <v>2200286.0</v>
      </c>
      <c r="I2093" s="1">
        <v>42.0</v>
      </c>
    </row>
    <row r="2094" ht="15.75" customHeight="1">
      <c r="A2094" s="1">
        <v>5902689.0</v>
      </c>
      <c r="B2094" s="1" t="s">
        <v>4490</v>
      </c>
      <c r="C2094" s="1" t="s">
        <v>4491</v>
      </c>
      <c r="D2094" s="1" t="s">
        <v>224</v>
      </c>
      <c r="E2094" s="1" t="s">
        <v>6747</v>
      </c>
      <c r="F2094" s="1" t="s">
        <v>6717</v>
      </c>
      <c r="G2094" s="1" t="str">
        <f>IFERROR(VLOOKUP(A2094,H_C!$A$2:$G$2628,7,0),"Validar HC")</f>
        <v>Ospina, Michel</v>
      </c>
      <c r="H2094" s="167">
        <v>2200286.0</v>
      </c>
      <c r="I2094" s="1">
        <v>42.0</v>
      </c>
    </row>
    <row r="2095" ht="15.75" customHeight="1">
      <c r="A2095" s="1">
        <v>5903014.0</v>
      </c>
      <c r="B2095" s="1" t="s">
        <v>4516</v>
      </c>
      <c r="C2095" s="1" t="s">
        <v>4517</v>
      </c>
      <c r="D2095" s="1" t="s">
        <v>224</v>
      </c>
      <c r="E2095" s="1" t="s">
        <v>6747</v>
      </c>
      <c r="F2095" s="1" t="s">
        <v>6717</v>
      </c>
      <c r="G2095" s="1" t="str">
        <f>IFERROR(VLOOKUP(A2095,H_C!$A$2:$G$2628,7,0),"Validar HC")</f>
        <v>Ospina, Michel</v>
      </c>
      <c r="H2095" s="167">
        <v>2200286.0</v>
      </c>
      <c r="I2095" s="1">
        <v>42.0</v>
      </c>
    </row>
    <row r="2096" ht="15.75" customHeight="1">
      <c r="A2096" s="1">
        <v>5902645.0</v>
      </c>
      <c r="B2096" s="1" t="s">
        <v>4510</v>
      </c>
      <c r="C2096" s="1" t="s">
        <v>4511</v>
      </c>
      <c r="D2096" s="1" t="s">
        <v>224</v>
      </c>
      <c r="E2096" s="1" t="s">
        <v>6747</v>
      </c>
      <c r="F2096" s="1" t="s">
        <v>6717</v>
      </c>
      <c r="G2096" s="1" t="str">
        <f>IFERROR(VLOOKUP(A2096,H_C!$A$2:$G$2628,7,0),"Validar HC")</f>
        <v>Ospina, Michel</v>
      </c>
      <c r="H2096" s="167">
        <v>2200286.0</v>
      </c>
      <c r="I2096" s="1">
        <v>42.0</v>
      </c>
    </row>
    <row r="2097" ht="15.75" customHeight="1">
      <c r="A2097" s="1">
        <v>5905745.0</v>
      </c>
      <c r="B2097" s="1" t="s">
        <v>4708</v>
      </c>
      <c r="C2097" s="1" t="s">
        <v>4709</v>
      </c>
      <c r="D2097" s="1" t="s">
        <v>224</v>
      </c>
      <c r="E2097" s="1" t="s">
        <v>526</v>
      </c>
      <c r="F2097" s="1" t="s">
        <v>6717</v>
      </c>
      <c r="G2097" s="1" t="str">
        <f>IFERROR(VLOOKUP(A2097,H_C!$A$2:$G$2628,7,0),"Validar HC")</f>
        <v>Martinez, Wendy</v>
      </c>
      <c r="H2097" s="167">
        <v>2200286.0</v>
      </c>
      <c r="I2097" s="1">
        <v>42.0</v>
      </c>
    </row>
    <row r="2098" ht="15.75" customHeight="1">
      <c r="A2098" s="1">
        <v>5906006.0</v>
      </c>
      <c r="B2098" s="1" t="s">
        <v>535</v>
      </c>
      <c r="C2098" s="1" t="s">
        <v>536</v>
      </c>
      <c r="D2098" s="1" t="s">
        <v>224</v>
      </c>
      <c r="E2098" s="1" t="s">
        <v>526</v>
      </c>
      <c r="F2098" s="1" t="s">
        <v>6717</v>
      </c>
      <c r="G2098" s="1" t="str">
        <f>IFERROR(VLOOKUP(A2098,H_C!$A$2:$G$2628,7,0),"Validar HC")</f>
        <v>Martinez, Wendy</v>
      </c>
      <c r="H2098" s="167">
        <v>2200286.0</v>
      </c>
      <c r="I2098" s="1">
        <v>42.0</v>
      </c>
    </row>
    <row r="2099" ht="15.75" customHeight="1">
      <c r="A2099" s="1">
        <v>5905764.0</v>
      </c>
      <c r="B2099" s="1" t="s">
        <v>4574</v>
      </c>
      <c r="C2099" s="1" t="s">
        <v>4575</v>
      </c>
      <c r="D2099" s="1" t="s">
        <v>224</v>
      </c>
      <c r="E2099" s="1" t="s">
        <v>526</v>
      </c>
      <c r="F2099" s="1" t="s">
        <v>6717</v>
      </c>
      <c r="G2099" s="1" t="str">
        <f>IFERROR(VLOOKUP(A2099,H_C!$A$2:$G$2628,7,0),"Validar HC")</f>
        <v>Martinez, Wendy</v>
      </c>
      <c r="H2099" s="167">
        <v>2200286.0</v>
      </c>
      <c r="I2099" s="1">
        <v>42.0</v>
      </c>
    </row>
    <row r="2100" ht="15.75" customHeight="1">
      <c r="A2100" s="1">
        <v>5905754.0</v>
      </c>
      <c r="B2100" s="1" t="s">
        <v>4596</v>
      </c>
      <c r="C2100" s="1" t="s">
        <v>4597</v>
      </c>
      <c r="D2100" s="1" t="s">
        <v>224</v>
      </c>
      <c r="E2100" s="1" t="s">
        <v>526</v>
      </c>
      <c r="F2100" s="1" t="s">
        <v>6717</v>
      </c>
      <c r="G2100" s="1" t="str">
        <f>IFERROR(VLOOKUP(A2100,H_C!$A$2:$G$2628,7,0),"Validar HC")</f>
        <v>Martinez, Wendy</v>
      </c>
      <c r="H2100" s="167">
        <v>2200286.0</v>
      </c>
      <c r="I2100" s="1">
        <v>42.0</v>
      </c>
    </row>
    <row r="2101" ht="15.75" customHeight="1">
      <c r="A2101" s="1">
        <v>5905769.0</v>
      </c>
      <c r="B2101" s="1" t="s">
        <v>4728</v>
      </c>
      <c r="C2101" s="1" t="s">
        <v>4729</v>
      </c>
      <c r="D2101" s="1" t="s">
        <v>224</v>
      </c>
      <c r="E2101" s="1" t="s">
        <v>526</v>
      </c>
      <c r="F2101" s="1" t="s">
        <v>6717</v>
      </c>
      <c r="G2101" s="1" t="str">
        <f>IFERROR(VLOOKUP(A2101,H_C!$A$2:$G$2628,7,0),"Validar HC")</f>
        <v>Martinez, Wendy</v>
      </c>
      <c r="H2101" s="167">
        <v>2200286.0</v>
      </c>
      <c r="I2101" s="1">
        <v>42.0</v>
      </c>
    </row>
    <row r="2102" ht="15.75" customHeight="1">
      <c r="A2102" s="1">
        <v>5905744.0</v>
      </c>
      <c r="B2102" s="1" t="s">
        <v>4582</v>
      </c>
      <c r="C2102" s="1" t="s">
        <v>4583</v>
      </c>
      <c r="D2102" s="1" t="s">
        <v>224</v>
      </c>
      <c r="E2102" s="1" t="s">
        <v>526</v>
      </c>
      <c r="F2102" s="1" t="s">
        <v>6717</v>
      </c>
      <c r="G2102" s="1" t="str">
        <f>IFERROR(VLOOKUP(A2102,H_C!$A$2:$G$2628,7,0),"Validar HC")</f>
        <v>Martinez, Wendy</v>
      </c>
      <c r="H2102" s="167">
        <v>2200286.0</v>
      </c>
      <c r="I2102" s="1">
        <v>42.0</v>
      </c>
    </row>
    <row r="2103" ht="15.75" customHeight="1">
      <c r="A2103" s="1">
        <v>5905766.0</v>
      </c>
      <c r="B2103" s="1" t="s">
        <v>4734</v>
      </c>
      <c r="C2103" s="1" t="s">
        <v>4735</v>
      </c>
      <c r="D2103" s="1" t="s">
        <v>224</v>
      </c>
      <c r="E2103" s="1" t="s">
        <v>526</v>
      </c>
      <c r="F2103" s="1" t="s">
        <v>6717</v>
      </c>
      <c r="G2103" s="1" t="str">
        <f>IFERROR(VLOOKUP(A2103,H_C!$A$2:$G$2628,7,0),"Validar HC")</f>
        <v>Martinez, Wendy</v>
      </c>
      <c r="H2103" s="167">
        <v>2200286.0</v>
      </c>
      <c r="I2103" s="1">
        <v>42.0</v>
      </c>
    </row>
    <row r="2104" ht="15.75" customHeight="1">
      <c r="A2104" s="1">
        <v>5905768.0</v>
      </c>
      <c r="B2104" s="1" t="s">
        <v>4586</v>
      </c>
      <c r="C2104" s="1" t="s">
        <v>4587</v>
      </c>
      <c r="D2104" s="1" t="s">
        <v>224</v>
      </c>
      <c r="E2104" s="1" t="s">
        <v>526</v>
      </c>
      <c r="F2104" s="1" t="s">
        <v>6717</v>
      </c>
      <c r="G2104" s="1" t="str">
        <f>IFERROR(VLOOKUP(A2104,H_C!$A$2:$G$2628,7,0),"Validar HC")</f>
        <v>Martinez, Wendy</v>
      </c>
      <c r="H2104" s="167">
        <v>2200286.0</v>
      </c>
      <c r="I2104" s="1">
        <v>42.0</v>
      </c>
    </row>
    <row r="2105" ht="15.75" customHeight="1">
      <c r="A2105" s="1">
        <v>5905774.0</v>
      </c>
      <c r="B2105" s="1" t="s">
        <v>4592</v>
      </c>
      <c r="C2105" s="1" t="s">
        <v>4593</v>
      </c>
      <c r="D2105" s="1" t="s">
        <v>224</v>
      </c>
      <c r="E2105" s="1" t="s">
        <v>526</v>
      </c>
      <c r="F2105" s="1" t="s">
        <v>6717</v>
      </c>
      <c r="G2105" s="1" t="str">
        <f>IFERROR(VLOOKUP(A2105,H_C!$A$2:$G$2628,7,0),"Validar HC")</f>
        <v>Martinez, Wendy</v>
      </c>
      <c r="H2105" s="167">
        <v>2200286.0</v>
      </c>
      <c r="I2105" s="1">
        <v>42.0</v>
      </c>
    </row>
    <row r="2106" ht="15.75" customHeight="1">
      <c r="A2106" s="1">
        <v>5905751.0</v>
      </c>
      <c r="B2106" s="1" t="s">
        <v>4738</v>
      </c>
      <c r="C2106" s="1" t="s">
        <v>4739</v>
      </c>
      <c r="D2106" s="1" t="s">
        <v>224</v>
      </c>
      <c r="E2106" s="1" t="s">
        <v>526</v>
      </c>
      <c r="F2106" s="1" t="s">
        <v>6717</v>
      </c>
      <c r="G2106" s="1" t="str">
        <f>IFERROR(VLOOKUP(A2106,H_C!$A$2:$G$2628,7,0),"Validar HC")</f>
        <v>Martinez, Wendy</v>
      </c>
      <c r="H2106" s="167">
        <v>2200286.0</v>
      </c>
      <c r="I2106" s="1">
        <v>42.0</v>
      </c>
    </row>
    <row r="2107" ht="15.75" customHeight="1">
      <c r="A2107" s="1">
        <v>5906095.0</v>
      </c>
      <c r="B2107" s="1" t="s">
        <v>4600</v>
      </c>
      <c r="C2107" s="1" t="s">
        <v>4601</v>
      </c>
      <c r="D2107" s="1" t="s">
        <v>224</v>
      </c>
      <c r="E2107" s="1" t="s">
        <v>526</v>
      </c>
      <c r="F2107" s="1" t="s">
        <v>6717</v>
      </c>
      <c r="G2107" s="1" t="str">
        <f>IFERROR(VLOOKUP(A2107,H_C!$A$2:$G$2628,7,0),"Validar HC")</f>
        <v>Martinez, Wendy</v>
      </c>
      <c r="H2107" s="167">
        <v>2200286.0</v>
      </c>
      <c r="I2107" s="1">
        <v>42.0</v>
      </c>
    </row>
    <row r="2108" ht="15.75" customHeight="1">
      <c r="A2108" s="1">
        <v>5906073.0</v>
      </c>
      <c r="B2108" s="1" t="s">
        <v>616</v>
      </c>
      <c r="C2108" s="1" t="s">
        <v>617</v>
      </c>
      <c r="D2108" s="1" t="s">
        <v>224</v>
      </c>
      <c r="E2108" s="1" t="s">
        <v>526</v>
      </c>
      <c r="F2108" s="1" t="s">
        <v>6717</v>
      </c>
      <c r="G2108" s="1" t="str">
        <f>IFERROR(VLOOKUP(A2108,H_C!$A$2:$G$2628,7,0),"Validar HC")</f>
        <v>Martinez, Wendy</v>
      </c>
      <c r="H2108" s="167">
        <v>2200286.0</v>
      </c>
      <c r="I2108" s="1">
        <v>42.0</v>
      </c>
    </row>
    <row r="2109" ht="15.75" customHeight="1">
      <c r="A2109" s="1">
        <v>5906075.0</v>
      </c>
      <c r="B2109" s="1" t="s">
        <v>622</v>
      </c>
      <c r="C2109" s="1" t="s">
        <v>623</v>
      </c>
      <c r="D2109" s="1" t="s">
        <v>224</v>
      </c>
      <c r="E2109" s="1" t="s">
        <v>526</v>
      </c>
      <c r="F2109" s="1" t="s">
        <v>6717</v>
      </c>
      <c r="G2109" s="1" t="str">
        <f>IFERROR(VLOOKUP(A2109,H_C!$A$2:$G$2628,7,0),"Validar HC")</f>
        <v>Martinez, Wendy</v>
      </c>
      <c r="H2109" s="167">
        <v>2200286.0</v>
      </c>
      <c r="I2109" s="1">
        <v>42.0</v>
      </c>
    </row>
    <row r="2110" ht="15.75" customHeight="1">
      <c r="A2110" s="1">
        <v>5906066.0</v>
      </c>
      <c r="B2110" s="1" t="s">
        <v>3574</v>
      </c>
      <c r="C2110" s="1" t="s">
        <v>3575</v>
      </c>
      <c r="D2110" s="1" t="s">
        <v>224</v>
      </c>
      <c r="E2110" s="1" t="s">
        <v>118</v>
      </c>
      <c r="F2110" s="1" t="s">
        <v>6717</v>
      </c>
      <c r="G2110" s="1" t="str">
        <f>IFERROR(VLOOKUP(A2110,H_C!$A$2:$G$2628,7,0),"Validar HC")</f>
        <v>Ospina, Michel</v>
      </c>
      <c r="H2110" s="167">
        <v>2200286.0</v>
      </c>
      <c r="I2110" s="1">
        <v>42.0</v>
      </c>
    </row>
    <row r="2111" ht="15.75" customHeight="1">
      <c r="A2111" s="1">
        <v>5908887.0</v>
      </c>
      <c r="B2111" s="1" t="s">
        <v>4530</v>
      </c>
      <c r="C2111" s="1" t="s">
        <v>4531</v>
      </c>
      <c r="D2111" s="1" t="s">
        <v>224</v>
      </c>
      <c r="E2111" s="1" t="s">
        <v>6747</v>
      </c>
      <c r="F2111" s="1" t="s">
        <v>6717</v>
      </c>
      <c r="G2111" s="1" t="str">
        <f>IFERROR(VLOOKUP(A2111,H_C!$A$2:$G$2628,7,0),"Validar HC")</f>
        <v>Ospina, Michel</v>
      </c>
      <c r="H2111" s="167">
        <v>2200286.0</v>
      </c>
      <c r="I2111" s="1">
        <v>42.0</v>
      </c>
    </row>
    <row r="2112" ht="15.75" customHeight="1">
      <c r="A2112" s="1">
        <v>3711729.0</v>
      </c>
      <c r="B2112" s="1" t="s">
        <v>5279</v>
      </c>
      <c r="C2112" s="1" t="s">
        <v>5280</v>
      </c>
      <c r="D2112" s="1" t="s">
        <v>224</v>
      </c>
      <c r="E2112" s="1" t="s">
        <v>530</v>
      </c>
      <c r="F2112" s="1" t="s">
        <v>6717</v>
      </c>
      <c r="G2112" s="1" t="str">
        <f>IFERROR(VLOOKUP(A2112,H_C!$A$2:$G$2628,7,0),"Validar HC")</f>
        <v>Garcia, Helmer</v>
      </c>
      <c r="H2112" s="167">
        <v>2200286.0</v>
      </c>
      <c r="I2112" s="1">
        <v>42.0</v>
      </c>
    </row>
    <row r="2113" ht="15.75" customHeight="1">
      <c r="A2113" s="1">
        <v>5908267.0</v>
      </c>
      <c r="B2113" s="1" t="s">
        <v>3829</v>
      </c>
      <c r="C2113" s="1" t="s">
        <v>3830</v>
      </c>
      <c r="D2113" s="1" t="s">
        <v>224</v>
      </c>
      <c r="E2113" s="1" t="s">
        <v>738</v>
      </c>
      <c r="F2113" s="1" t="s">
        <v>6717</v>
      </c>
      <c r="G2113" s="1" t="str">
        <f>IFERROR(VLOOKUP(A2113,H_C!$A$2:$G$2628,7,0),"Validar HC")</f>
        <v>Garcia, Helmer</v>
      </c>
      <c r="H2113" s="167">
        <v>2200286.0</v>
      </c>
      <c r="I2113" s="1">
        <v>42.0</v>
      </c>
    </row>
    <row r="2114" ht="15.75" customHeight="1">
      <c r="A2114" s="1">
        <v>3582793.0</v>
      </c>
      <c r="B2114" s="1" t="s">
        <v>5283</v>
      </c>
      <c r="C2114" s="1" t="s">
        <v>5284</v>
      </c>
      <c r="D2114" s="1" t="s">
        <v>224</v>
      </c>
      <c r="E2114" s="1" t="s">
        <v>738</v>
      </c>
      <c r="F2114" s="1" t="s">
        <v>6717</v>
      </c>
      <c r="G2114" s="1" t="str">
        <f>IFERROR(VLOOKUP(A2114,H_C!$A$2:$G$2628,7,0),"Validar HC")</f>
        <v>Garcia, Helmer</v>
      </c>
      <c r="H2114" s="167">
        <v>2200286.0</v>
      </c>
      <c r="I2114" s="1">
        <v>42.0</v>
      </c>
    </row>
    <row r="2115" ht="15.75" customHeight="1">
      <c r="A2115" s="1">
        <v>5908265.0</v>
      </c>
      <c r="B2115" s="1" t="s">
        <v>5287</v>
      </c>
      <c r="C2115" s="1" t="s">
        <v>5288</v>
      </c>
      <c r="D2115" s="1" t="s">
        <v>224</v>
      </c>
      <c r="E2115" s="1" t="s">
        <v>738</v>
      </c>
      <c r="F2115" s="1" t="s">
        <v>6717</v>
      </c>
      <c r="G2115" s="1" t="str">
        <f>IFERROR(VLOOKUP(A2115,H_C!$A$2:$G$2628,7,0),"Validar HC")</f>
        <v>Garcia, Helmer</v>
      </c>
      <c r="H2115" s="167">
        <v>2200286.0</v>
      </c>
      <c r="I2115" s="1">
        <v>42.0</v>
      </c>
    </row>
    <row r="2116" ht="15.75" customHeight="1">
      <c r="A2116" s="1">
        <v>5908308.0</v>
      </c>
      <c r="B2116" s="1" t="s">
        <v>3318</v>
      </c>
      <c r="C2116" s="1" t="s">
        <v>3319</v>
      </c>
      <c r="D2116" s="1" t="s">
        <v>224</v>
      </c>
      <c r="E2116" s="1" t="s">
        <v>2372</v>
      </c>
      <c r="F2116" s="1" t="s">
        <v>6717</v>
      </c>
      <c r="G2116" s="1" t="str">
        <f>IFERROR(VLOOKUP(A2116,H_C!$A$2:$G$2628,7,0),"Validar HC")</f>
        <v>Garcia, Helmer</v>
      </c>
      <c r="H2116" s="167">
        <v>2200286.0</v>
      </c>
      <c r="I2116" s="1">
        <v>42.0</v>
      </c>
    </row>
    <row r="2117" ht="15.75" customHeight="1">
      <c r="A2117" s="1">
        <v>5908341.0</v>
      </c>
      <c r="B2117" s="1" t="s">
        <v>3260</v>
      </c>
      <c r="C2117" s="1" t="s">
        <v>3261</v>
      </c>
      <c r="D2117" s="1" t="s">
        <v>224</v>
      </c>
      <c r="E2117" s="1" t="s">
        <v>738</v>
      </c>
      <c r="F2117" s="1" t="s">
        <v>6717</v>
      </c>
      <c r="G2117" s="1" t="str">
        <f>IFERROR(VLOOKUP(A2117,H_C!$A$2:$G$2628,7,0),"Validar HC")</f>
        <v>Garcia, Helmer</v>
      </c>
      <c r="H2117" s="167">
        <v>2200286.0</v>
      </c>
      <c r="I2117" s="1">
        <v>42.0</v>
      </c>
    </row>
    <row r="2118" ht="15.75" customHeight="1">
      <c r="A2118" s="1">
        <v>5908381.0</v>
      </c>
      <c r="B2118" s="1" t="s">
        <v>5291</v>
      </c>
      <c r="C2118" s="1" t="s">
        <v>5292</v>
      </c>
      <c r="D2118" s="1" t="s">
        <v>224</v>
      </c>
      <c r="E2118" s="1" t="s">
        <v>738</v>
      </c>
      <c r="F2118" s="1" t="s">
        <v>6717</v>
      </c>
      <c r="G2118" s="1" t="str">
        <f>IFERROR(VLOOKUP(A2118,H_C!$A$2:$G$2628,7,0),"Validar HC")</f>
        <v>Garcia, Helmer</v>
      </c>
      <c r="H2118" s="167">
        <v>2200286.0</v>
      </c>
      <c r="I2118" s="1">
        <v>42.0</v>
      </c>
    </row>
    <row r="2119" ht="15.75" customHeight="1">
      <c r="A2119" s="1">
        <v>5534880.0</v>
      </c>
      <c r="B2119" s="1" t="s">
        <v>612</v>
      </c>
      <c r="C2119" s="1" t="s">
        <v>613</v>
      </c>
      <c r="D2119" s="1" t="s">
        <v>224</v>
      </c>
      <c r="E2119" s="1" t="s">
        <v>526</v>
      </c>
      <c r="F2119" s="1" t="s">
        <v>6717</v>
      </c>
      <c r="G2119" s="1" t="str">
        <f>IFERROR(VLOOKUP(A2119,H_C!$A$2:$G$2628,7,0),"Validar HC")</f>
        <v>Martinez, Wendy</v>
      </c>
      <c r="H2119" s="167">
        <v>2200286.0</v>
      </c>
      <c r="I2119" s="1">
        <v>42.0</v>
      </c>
    </row>
    <row r="2120" ht="15.75" customHeight="1">
      <c r="A2120" s="1">
        <v>5918196.0</v>
      </c>
      <c r="B2120" s="1" t="s">
        <v>3576</v>
      </c>
      <c r="C2120" s="1" t="s">
        <v>3577</v>
      </c>
      <c r="D2120" s="1" t="s">
        <v>224</v>
      </c>
      <c r="E2120" s="1" t="s">
        <v>118</v>
      </c>
      <c r="F2120" s="1" t="s">
        <v>6717</v>
      </c>
      <c r="G2120" s="1" t="str">
        <f>IFERROR(VLOOKUP(A2120,H_C!$A$2:$G$2628,7,0),"Validar HC")</f>
        <v>Ospina, Michel</v>
      </c>
      <c r="H2120" s="167">
        <v>2200286.0</v>
      </c>
      <c r="I2120" s="1">
        <v>42.0</v>
      </c>
    </row>
    <row r="2121" ht="15.75" customHeight="1">
      <c r="A2121" s="1">
        <v>5926033.0</v>
      </c>
      <c r="B2121" s="1" t="s">
        <v>3839</v>
      </c>
      <c r="C2121" s="1" t="s">
        <v>3840</v>
      </c>
      <c r="D2121" s="1" t="s">
        <v>224</v>
      </c>
      <c r="E2121" s="1" t="s">
        <v>232</v>
      </c>
      <c r="F2121" s="1" t="s">
        <v>6717</v>
      </c>
      <c r="G2121" s="1" t="str">
        <f>IFERROR(VLOOKUP(A2121,H_C!$A$2:$G$2628,7,0),"Validar HC")</f>
        <v>Soler, Maria</v>
      </c>
      <c r="H2121" s="167">
        <v>2200286.0</v>
      </c>
      <c r="I2121" s="1">
        <v>42.0</v>
      </c>
    </row>
    <row r="2122" ht="15.75" customHeight="1">
      <c r="A2122" s="1">
        <v>4417493.0</v>
      </c>
      <c r="B2122" s="1" t="s">
        <v>719</v>
      </c>
      <c r="C2122" s="1" t="s">
        <v>720</v>
      </c>
      <c r="D2122" s="1" t="s">
        <v>224</v>
      </c>
      <c r="E2122" s="1" t="s">
        <v>239</v>
      </c>
      <c r="F2122" s="1" t="s">
        <v>6717</v>
      </c>
      <c r="G2122" s="1" t="str">
        <f>IFERROR(VLOOKUP(A2122,H_C!$A$2:$G$2628,7,0),"Validar HC")</f>
        <v>Soler, Maria</v>
      </c>
      <c r="H2122" s="167">
        <v>2200286.0</v>
      </c>
      <c r="I2122" s="1">
        <v>42.0</v>
      </c>
    </row>
    <row r="2123" ht="15.75" customHeight="1">
      <c r="A2123" s="1">
        <v>5926023.0</v>
      </c>
      <c r="B2123" s="1" t="s">
        <v>4800</v>
      </c>
      <c r="C2123" s="1" t="s">
        <v>4801</v>
      </c>
      <c r="D2123" s="1" t="s">
        <v>224</v>
      </c>
      <c r="E2123" s="1" t="s">
        <v>232</v>
      </c>
      <c r="F2123" s="1" t="s">
        <v>6717</v>
      </c>
      <c r="G2123" s="1" t="str">
        <f>IFERROR(VLOOKUP(A2123,H_C!$A$2:$G$2628,7,0),"Validar HC")</f>
        <v>Soler, Maria</v>
      </c>
      <c r="H2123" s="167">
        <v>2200286.0</v>
      </c>
      <c r="I2123" s="1">
        <v>42.0</v>
      </c>
    </row>
    <row r="2124" ht="15.75" customHeight="1">
      <c r="A2124" s="1">
        <v>5927127.0</v>
      </c>
      <c r="B2124" s="1" t="s">
        <v>307</v>
      </c>
      <c r="C2124" s="1" t="s">
        <v>308</v>
      </c>
      <c r="D2124" s="1" t="s">
        <v>224</v>
      </c>
      <c r="E2124" s="1" t="s">
        <v>222</v>
      </c>
      <c r="F2124" s="1" t="s">
        <v>6717</v>
      </c>
      <c r="G2124" s="1" t="str">
        <f>IFERROR(VLOOKUP(A2124,H_C!$A$2:$G$2628,7,0),"Validar HC")</f>
        <v>Soler, Maria</v>
      </c>
      <c r="H2124" s="167">
        <v>2200286.0</v>
      </c>
      <c r="I2124" s="1">
        <v>42.0</v>
      </c>
    </row>
    <row r="2125" ht="15.75" customHeight="1">
      <c r="A2125" s="1">
        <v>5926111.0</v>
      </c>
      <c r="B2125" s="1" t="s">
        <v>314</v>
      </c>
      <c r="C2125" s="1" t="s">
        <v>315</v>
      </c>
      <c r="D2125" s="1" t="s">
        <v>224</v>
      </c>
      <c r="E2125" s="1" t="s">
        <v>222</v>
      </c>
      <c r="F2125" s="1" t="s">
        <v>6717</v>
      </c>
      <c r="G2125" s="1" t="str">
        <f>IFERROR(VLOOKUP(A2125,H_C!$A$2:$G$2628,7,0),"Validar HC")</f>
        <v>Soler, Maria</v>
      </c>
      <c r="H2125" s="167">
        <v>2200286.0</v>
      </c>
      <c r="I2125" s="1">
        <v>42.0</v>
      </c>
    </row>
    <row r="2126" ht="15.75" customHeight="1">
      <c r="A2126" s="1">
        <v>5926036.0</v>
      </c>
      <c r="B2126" s="1" t="s">
        <v>685</v>
      </c>
      <c r="C2126" s="1" t="s">
        <v>686</v>
      </c>
      <c r="D2126" s="1" t="s">
        <v>224</v>
      </c>
      <c r="E2126" s="1" t="s">
        <v>239</v>
      </c>
      <c r="F2126" s="1" t="s">
        <v>6717</v>
      </c>
      <c r="G2126" s="1" t="str">
        <f>IFERROR(VLOOKUP(A2126,H_C!$A$2:$G$2628,7,0),"Validar HC")</f>
        <v>Soler, Maria</v>
      </c>
      <c r="H2126" s="167">
        <v>2200286.0</v>
      </c>
      <c r="I2126" s="1">
        <v>42.0</v>
      </c>
    </row>
    <row r="2127" ht="15.75" customHeight="1">
      <c r="A2127" s="1">
        <v>5927684.0</v>
      </c>
      <c r="B2127" s="1" t="s">
        <v>5173</v>
      </c>
      <c r="C2127" s="1" t="s">
        <v>5174</v>
      </c>
      <c r="D2127" s="1" t="s">
        <v>224</v>
      </c>
      <c r="E2127" s="1" t="s">
        <v>841</v>
      </c>
      <c r="F2127" s="1" t="s">
        <v>6717</v>
      </c>
      <c r="G2127" s="1" t="str">
        <f>IFERROR(VLOOKUP(A2127,H_C!$A$2:$G$2628,7,0),"Validar HC")</f>
        <v>Soler, Maria</v>
      </c>
      <c r="H2127" s="167">
        <v>2200286.0</v>
      </c>
      <c r="I2127" s="1">
        <v>42.0</v>
      </c>
    </row>
    <row r="2128" ht="15.75" customHeight="1">
      <c r="A2128" s="1">
        <v>5926034.0</v>
      </c>
      <c r="B2128" s="1" t="s">
        <v>4624</v>
      </c>
      <c r="C2128" s="1" t="s">
        <v>4625</v>
      </c>
      <c r="D2128" s="1" t="s">
        <v>224</v>
      </c>
      <c r="E2128" s="1" t="s">
        <v>232</v>
      </c>
      <c r="F2128" s="1" t="s">
        <v>6717</v>
      </c>
      <c r="G2128" s="1" t="str">
        <f>IFERROR(VLOOKUP(A2128,H_C!$A$2:$G$2628,7,0),"Validar HC")</f>
        <v>Soler, Maria</v>
      </c>
      <c r="H2128" s="167">
        <v>2200286.0</v>
      </c>
      <c r="I2128" s="1">
        <v>42.0</v>
      </c>
    </row>
    <row r="2129" ht="15.75" customHeight="1">
      <c r="A2129" s="1">
        <v>5761383.0</v>
      </c>
      <c r="B2129" s="1" t="s">
        <v>4628</v>
      </c>
      <c r="C2129" s="1" t="s">
        <v>4629</v>
      </c>
      <c r="D2129" s="1" t="s">
        <v>224</v>
      </c>
      <c r="E2129" s="1" t="s">
        <v>232</v>
      </c>
      <c r="F2129" s="1" t="s">
        <v>6717</v>
      </c>
      <c r="G2129" s="1" t="str">
        <f>IFERROR(VLOOKUP(A2129,H_C!$A$2:$G$2628,7,0),"Validar HC")</f>
        <v>Soler, Maria</v>
      </c>
      <c r="H2129" s="167">
        <v>2200286.0</v>
      </c>
      <c r="I2129" s="1">
        <v>42.0</v>
      </c>
    </row>
    <row r="2130" ht="15.75" customHeight="1">
      <c r="A2130" s="1">
        <v>4926628.0</v>
      </c>
      <c r="B2130" s="1" t="s">
        <v>4630</v>
      </c>
      <c r="C2130" s="1" t="s">
        <v>4631</v>
      </c>
      <c r="D2130" s="1" t="s">
        <v>224</v>
      </c>
      <c r="E2130" s="1" t="s">
        <v>232</v>
      </c>
      <c r="F2130" s="1" t="s">
        <v>6717</v>
      </c>
      <c r="G2130" s="1" t="str">
        <f>IFERROR(VLOOKUP(A2130,H_C!$A$2:$G$2628,7,0),"Validar HC")</f>
        <v>Soler, Maria</v>
      </c>
      <c r="H2130" s="167">
        <v>2200286.0</v>
      </c>
      <c r="I2130" s="1">
        <v>42.0</v>
      </c>
    </row>
    <row r="2131" ht="15.75" customHeight="1">
      <c r="A2131" s="1">
        <v>5534598.0</v>
      </c>
      <c r="B2131" s="1" t="s">
        <v>4802</v>
      </c>
      <c r="C2131" s="1" t="s">
        <v>4803</v>
      </c>
      <c r="D2131" s="1" t="s">
        <v>224</v>
      </c>
      <c r="E2131" s="1" t="s">
        <v>232</v>
      </c>
      <c r="F2131" s="1" t="s">
        <v>6717</v>
      </c>
      <c r="G2131" s="1" t="str">
        <f>IFERROR(VLOOKUP(A2131,H_C!$A$2:$G$2628,7,0),"Validar HC")</f>
        <v>Soler, Maria</v>
      </c>
      <c r="H2131" s="167">
        <v>2200286.0</v>
      </c>
      <c r="I2131" s="1">
        <v>42.0</v>
      </c>
    </row>
    <row r="2132" ht="15.75" customHeight="1">
      <c r="A2132" s="1">
        <v>5926207.0</v>
      </c>
      <c r="B2132" s="1" t="s">
        <v>503</v>
      </c>
      <c r="C2132" s="1" t="s">
        <v>504</v>
      </c>
      <c r="D2132" s="1" t="s">
        <v>224</v>
      </c>
      <c r="E2132" s="1" t="s">
        <v>232</v>
      </c>
      <c r="F2132" s="1" t="s">
        <v>6717</v>
      </c>
      <c r="G2132" s="1" t="str">
        <f>IFERROR(VLOOKUP(A2132,H_C!$A$2:$G$2628,7,0),"Validar HC")</f>
        <v>Soler, Maria</v>
      </c>
      <c r="H2132" s="167">
        <v>2200286.0</v>
      </c>
      <c r="I2132" s="1">
        <v>42.0</v>
      </c>
    </row>
    <row r="2133" ht="15.75" customHeight="1">
      <c r="A2133" s="1">
        <v>5743772.0</v>
      </c>
      <c r="B2133" s="1" t="s">
        <v>512</v>
      </c>
      <c r="C2133" s="1" t="s">
        <v>513</v>
      </c>
      <c r="D2133" s="1" t="s">
        <v>224</v>
      </c>
      <c r="E2133" s="1" t="s">
        <v>232</v>
      </c>
      <c r="F2133" s="1" t="s">
        <v>6717</v>
      </c>
      <c r="G2133" s="1" t="str">
        <f>IFERROR(VLOOKUP(A2133,H_C!$A$2:$G$2628,7,0),"Validar HC")</f>
        <v>Soler, Maria</v>
      </c>
      <c r="H2133" s="167">
        <v>2200286.0</v>
      </c>
      <c r="I2133" s="1">
        <v>42.0</v>
      </c>
    </row>
    <row r="2134" ht="15.75" customHeight="1">
      <c r="A2134" s="1">
        <v>5926463.0</v>
      </c>
      <c r="B2134" s="1" t="s">
        <v>5177</v>
      </c>
      <c r="C2134" s="1" t="s">
        <v>5178</v>
      </c>
      <c r="D2134" s="1" t="s">
        <v>224</v>
      </c>
      <c r="E2134" s="1" t="s">
        <v>478</v>
      </c>
      <c r="F2134" s="1" t="s">
        <v>6717</v>
      </c>
      <c r="G2134" s="1" t="str">
        <f>IFERROR(VLOOKUP(A2134,H_C!$A$2:$G$2628,7,0),"Validar HC")</f>
        <v>Celi, Juan</v>
      </c>
      <c r="H2134" s="167">
        <v>2200286.0</v>
      </c>
      <c r="I2134" s="1">
        <v>42.0</v>
      </c>
    </row>
    <row r="2135" ht="15.75" customHeight="1">
      <c r="A2135" s="1">
        <v>5926458.0</v>
      </c>
      <c r="B2135" s="1" t="s">
        <v>2716</v>
      </c>
      <c r="C2135" s="1" t="s">
        <v>2717</v>
      </c>
      <c r="D2135" s="1" t="s">
        <v>224</v>
      </c>
      <c r="E2135" s="1" t="s">
        <v>478</v>
      </c>
      <c r="F2135" s="1" t="s">
        <v>6717</v>
      </c>
      <c r="G2135" s="1" t="str">
        <f>IFERROR(VLOOKUP(A2135,H_C!$A$2:$G$2628,7,0),"Validar HC")</f>
        <v>Celi, Juan</v>
      </c>
      <c r="H2135" s="167">
        <v>2200286.0</v>
      </c>
      <c r="I2135" s="1">
        <v>42.0</v>
      </c>
    </row>
    <row r="2136" ht="15.75" customHeight="1">
      <c r="A2136" s="1">
        <v>5926454.0</v>
      </c>
      <c r="B2136" s="1" t="s">
        <v>3069</v>
      </c>
      <c r="C2136" s="1" t="s">
        <v>3070</v>
      </c>
      <c r="D2136" s="1" t="s">
        <v>224</v>
      </c>
      <c r="E2136" s="1" t="s">
        <v>1363</v>
      </c>
      <c r="F2136" s="1" t="s">
        <v>6717</v>
      </c>
      <c r="G2136" s="1" t="str">
        <f>IFERROR(VLOOKUP(A2136,H_C!$A$2:$G$2628,7,0),"Validar HC")</f>
        <v>Osorio, Julian</v>
      </c>
      <c r="H2136" s="167">
        <v>2200286.0</v>
      </c>
      <c r="I2136" s="1">
        <v>42.0</v>
      </c>
    </row>
    <row r="2137" ht="15.75" customHeight="1">
      <c r="A2137" s="1">
        <v>5926460.0</v>
      </c>
      <c r="B2137" s="1" t="s">
        <v>4968</v>
      </c>
      <c r="C2137" s="1" t="s">
        <v>4969</v>
      </c>
      <c r="D2137" s="1" t="s">
        <v>224</v>
      </c>
      <c r="E2137" s="1" t="s">
        <v>1363</v>
      </c>
      <c r="F2137" s="1" t="s">
        <v>6717</v>
      </c>
      <c r="G2137" s="1" t="str">
        <f>IFERROR(VLOOKUP(A2137,H_C!$A$2:$G$2628,7,0),"Validar HC")</f>
        <v>Osorio, Julian</v>
      </c>
      <c r="H2137" s="167">
        <v>2200286.0</v>
      </c>
      <c r="I2137" s="1">
        <v>42.0</v>
      </c>
    </row>
    <row r="2138" ht="15.75" customHeight="1">
      <c r="A2138" s="1">
        <v>5228097.0</v>
      </c>
      <c r="B2138" s="1" t="s">
        <v>4472</v>
      </c>
      <c r="C2138" s="1" t="s">
        <v>4473</v>
      </c>
      <c r="D2138" s="1" t="s">
        <v>224</v>
      </c>
      <c r="E2138" s="1" t="s">
        <v>695</v>
      </c>
      <c r="F2138" s="1" t="s">
        <v>6717</v>
      </c>
      <c r="G2138" s="1" t="str">
        <f>IFERROR(VLOOKUP(A2138,H_C!$A$2:$G$2628,7,0),"Validar HC")</f>
        <v>Ayala, Giselle</v>
      </c>
      <c r="H2138" s="167">
        <v>2200286.0</v>
      </c>
      <c r="I2138" s="1">
        <v>42.0</v>
      </c>
    </row>
    <row r="2139" ht="15.75" customHeight="1">
      <c r="A2139" s="1">
        <v>5921275.0</v>
      </c>
      <c r="B2139" s="1" t="s">
        <v>5263</v>
      </c>
      <c r="C2139" s="1" t="s">
        <v>5264</v>
      </c>
      <c r="D2139" s="1" t="s">
        <v>224</v>
      </c>
      <c r="E2139" s="1" t="s">
        <v>416</v>
      </c>
      <c r="F2139" s="1" t="s">
        <v>6717</v>
      </c>
      <c r="G2139" s="1" t="str">
        <f>IFERROR(VLOOKUP(A2139,H_C!$A$2:$G$2628,7,0),"Validar HC")</f>
        <v>Soler, Maria</v>
      </c>
      <c r="H2139" s="167">
        <v>2200286.0</v>
      </c>
      <c r="I2139" s="1">
        <v>42.0</v>
      </c>
    </row>
    <row r="2140" ht="15.75" customHeight="1">
      <c r="A2140" s="1">
        <v>4876753.0</v>
      </c>
      <c r="B2140" s="1" t="s">
        <v>2440</v>
      </c>
      <c r="C2140" s="1" t="s">
        <v>2441</v>
      </c>
      <c r="D2140" s="1" t="s">
        <v>224</v>
      </c>
      <c r="E2140" s="1" t="s">
        <v>986</v>
      </c>
      <c r="F2140" s="1" t="s">
        <v>6717</v>
      </c>
      <c r="G2140" s="1" t="str">
        <f>IFERROR(VLOOKUP(A2140,H_C!$A$2:$G$2628,7,0),"Validar HC")</f>
        <v>Garatejo, Natalia</v>
      </c>
      <c r="H2140" s="167">
        <v>2200286.0</v>
      </c>
      <c r="I2140" s="1">
        <v>42.0</v>
      </c>
    </row>
    <row r="2141" ht="15.75" customHeight="1">
      <c r="A2141" s="1">
        <v>5869298.0</v>
      </c>
      <c r="B2141" s="1" t="s">
        <v>2294</v>
      </c>
      <c r="C2141" s="1" t="s">
        <v>2295</v>
      </c>
      <c r="D2141" s="1" t="s">
        <v>224</v>
      </c>
      <c r="E2141" s="1" t="s">
        <v>986</v>
      </c>
      <c r="F2141" s="1" t="s">
        <v>6717</v>
      </c>
      <c r="G2141" s="1" t="str">
        <f>IFERROR(VLOOKUP(A2141,H_C!$A$2:$G$2628,7,0),"Validar HC")</f>
        <v>Garatejo, Natalia</v>
      </c>
      <c r="H2141" s="167">
        <v>2200286.0</v>
      </c>
      <c r="I2141" s="1">
        <v>42.0</v>
      </c>
    </row>
    <row r="2142" ht="15.75" customHeight="1">
      <c r="A2142" s="1">
        <v>5927832.0</v>
      </c>
      <c r="B2142" s="1" t="s">
        <v>2438</v>
      </c>
      <c r="C2142" s="1" t="s">
        <v>2439</v>
      </c>
      <c r="D2142" s="1" t="s">
        <v>224</v>
      </c>
      <c r="E2142" s="1" t="s">
        <v>986</v>
      </c>
      <c r="F2142" s="1" t="s">
        <v>6717</v>
      </c>
      <c r="G2142" s="1" t="str">
        <f>IFERROR(VLOOKUP(A2142,H_C!$A$2:$G$2628,7,0),"Validar HC")</f>
        <v>Garatejo, Natalia</v>
      </c>
      <c r="H2142" s="167">
        <v>2200286.0</v>
      </c>
      <c r="I2142" s="1">
        <v>42.0</v>
      </c>
    </row>
    <row r="2143" ht="15.75" customHeight="1">
      <c r="A2143" s="1">
        <v>5927819.0</v>
      </c>
      <c r="B2143" s="1" t="s">
        <v>1982</v>
      </c>
      <c r="C2143" s="1" t="s">
        <v>1983</v>
      </c>
      <c r="D2143" s="1" t="s">
        <v>224</v>
      </c>
      <c r="E2143" s="1" t="s">
        <v>316</v>
      </c>
      <c r="F2143" s="1" t="s">
        <v>6717</v>
      </c>
      <c r="G2143" s="1" t="str">
        <f>IFERROR(VLOOKUP(A2143,H_C!$A$2:$G$2628,7,0),"Validar HC")</f>
        <v>Osorio, Julian</v>
      </c>
      <c r="H2143" s="167">
        <v>2200286.0</v>
      </c>
      <c r="I2143" s="1">
        <v>42.0</v>
      </c>
    </row>
    <row r="2144" ht="15.75" customHeight="1">
      <c r="A2144" s="1">
        <v>5100504.0</v>
      </c>
      <c r="B2144" s="1" t="s">
        <v>4950</v>
      </c>
      <c r="C2144" s="1" t="s">
        <v>4951</v>
      </c>
      <c r="D2144" s="1" t="s">
        <v>224</v>
      </c>
      <c r="E2144" s="1" t="s">
        <v>1363</v>
      </c>
      <c r="F2144" s="1" t="s">
        <v>6717</v>
      </c>
      <c r="G2144" s="1" t="str">
        <f>IFERROR(VLOOKUP(A2144,H_C!$A$2:$G$2628,7,0),"Validar HC")</f>
        <v>Osorio, Julian</v>
      </c>
      <c r="H2144" s="167">
        <v>2200286.0</v>
      </c>
      <c r="I2144" s="1">
        <v>42.0</v>
      </c>
    </row>
    <row r="2145" ht="15.75" customHeight="1">
      <c r="A2145" s="1">
        <v>5927830.0</v>
      </c>
      <c r="B2145" s="1" t="s">
        <v>5327</v>
      </c>
      <c r="C2145" s="1" t="s">
        <v>5328</v>
      </c>
      <c r="D2145" s="1" t="s">
        <v>224</v>
      </c>
      <c r="E2145" s="1" t="s">
        <v>2069</v>
      </c>
      <c r="F2145" s="1" t="s">
        <v>6717</v>
      </c>
      <c r="G2145" s="1" t="str">
        <f>IFERROR(VLOOKUP(A2145,H_C!$A$2:$G$2628,7,0),"Validar HC")</f>
        <v>Garatejo, Natalia</v>
      </c>
      <c r="H2145" s="167">
        <v>2200286.0</v>
      </c>
      <c r="I2145" s="1">
        <v>42.0</v>
      </c>
    </row>
    <row r="2146" ht="15.75" customHeight="1">
      <c r="A2146" s="1">
        <v>5927831.0</v>
      </c>
      <c r="B2146" s="1" t="s">
        <v>5331</v>
      </c>
      <c r="C2146" s="1" t="s">
        <v>5332</v>
      </c>
      <c r="D2146" s="1" t="s">
        <v>224</v>
      </c>
      <c r="E2146" s="1" t="s">
        <v>1932</v>
      </c>
      <c r="F2146" s="1" t="s">
        <v>6717</v>
      </c>
      <c r="G2146" s="1" t="str">
        <f>IFERROR(VLOOKUP(A2146,H_C!$A$2:$G$2628,7,0),"Validar HC")</f>
        <v>Garatejo, Natalia</v>
      </c>
      <c r="H2146" s="167">
        <v>2200286.0</v>
      </c>
      <c r="I2146" s="1">
        <v>42.0</v>
      </c>
    </row>
    <row r="2147" ht="15.75" customHeight="1">
      <c r="A2147" s="1">
        <v>5927833.0</v>
      </c>
      <c r="B2147" s="1" t="s">
        <v>5335</v>
      </c>
      <c r="C2147" s="1" t="s">
        <v>5336</v>
      </c>
      <c r="D2147" s="1" t="s">
        <v>224</v>
      </c>
      <c r="E2147" s="1" t="s">
        <v>1932</v>
      </c>
      <c r="F2147" s="1" t="s">
        <v>6717</v>
      </c>
      <c r="G2147" s="1" t="str">
        <f>IFERROR(VLOOKUP(A2147,H_C!$A$2:$G$2628,7,0),"Validar HC")</f>
        <v>Garatejo, Natalia</v>
      </c>
      <c r="H2147" s="167">
        <v>2200286.0</v>
      </c>
      <c r="I2147" s="1">
        <v>42.0</v>
      </c>
    </row>
    <row r="2148" ht="15.75" customHeight="1">
      <c r="A2148" s="1">
        <v>5929637.0</v>
      </c>
      <c r="B2148" s="1" t="s">
        <v>5339</v>
      </c>
      <c r="C2148" s="1" t="s">
        <v>5340</v>
      </c>
      <c r="D2148" s="1" t="s">
        <v>224</v>
      </c>
      <c r="E2148" s="1" t="s">
        <v>1932</v>
      </c>
      <c r="F2148" s="1" t="s">
        <v>6717</v>
      </c>
      <c r="G2148" s="1" t="str">
        <f>IFERROR(VLOOKUP(A2148,H_C!$A$2:$G$2628,7,0),"Validar HC")</f>
        <v>Garatejo, Natalia</v>
      </c>
      <c r="H2148" s="167">
        <v>2200286.0</v>
      </c>
      <c r="I2148" s="1">
        <v>42.0</v>
      </c>
    </row>
    <row r="2149" ht="15.75" customHeight="1">
      <c r="A2149" s="1">
        <v>5927829.0</v>
      </c>
      <c r="B2149" s="1" t="s">
        <v>5343</v>
      </c>
      <c r="C2149" s="1" t="s">
        <v>5344</v>
      </c>
      <c r="D2149" s="1" t="s">
        <v>224</v>
      </c>
      <c r="E2149" s="1" t="s">
        <v>2069</v>
      </c>
      <c r="F2149" s="1" t="s">
        <v>6717</v>
      </c>
      <c r="G2149" s="1" t="str">
        <f>IFERROR(VLOOKUP(A2149,H_C!$A$2:$G$2628,7,0),"Validar HC")</f>
        <v>Garatejo, Natalia</v>
      </c>
      <c r="H2149" s="167">
        <v>2200286.0</v>
      </c>
      <c r="I2149" s="1">
        <v>42.0</v>
      </c>
    </row>
    <row r="2150" ht="15.75" customHeight="1">
      <c r="A2150" s="1">
        <v>5155835.0</v>
      </c>
      <c r="B2150" s="1" t="s">
        <v>3821</v>
      </c>
      <c r="C2150" s="1" t="s">
        <v>3822</v>
      </c>
      <c r="D2150" s="1" t="s">
        <v>224</v>
      </c>
      <c r="E2150" s="1" t="s">
        <v>738</v>
      </c>
      <c r="F2150" s="1" t="s">
        <v>6717</v>
      </c>
      <c r="G2150" s="1" t="str">
        <f>IFERROR(VLOOKUP(A2150,H_C!$A$2:$G$2628,7,0),"Validar HC")</f>
        <v>Garcia, Helmer</v>
      </c>
      <c r="H2150" s="167">
        <v>2200286.0</v>
      </c>
      <c r="I2150" s="1">
        <v>42.0</v>
      </c>
    </row>
    <row r="2151" ht="15.75" customHeight="1">
      <c r="A2151" s="1">
        <v>5930328.0</v>
      </c>
      <c r="B2151" s="1" t="s">
        <v>1430</v>
      </c>
      <c r="C2151" s="1" t="s">
        <v>1431</v>
      </c>
      <c r="D2151" s="1" t="s">
        <v>224</v>
      </c>
      <c r="E2151" s="1" t="s">
        <v>738</v>
      </c>
      <c r="F2151" s="1" t="s">
        <v>6717</v>
      </c>
      <c r="G2151" s="1" t="str">
        <f>IFERROR(VLOOKUP(A2151,H_C!$A$2:$G$2628,7,0),"Validar HC")</f>
        <v>Garcia, Helmer</v>
      </c>
      <c r="H2151" s="167">
        <v>2200286.0</v>
      </c>
      <c r="I2151" s="1">
        <v>42.0</v>
      </c>
    </row>
    <row r="2152" ht="15.75" customHeight="1">
      <c r="A2152" s="1">
        <v>5930649.0</v>
      </c>
      <c r="B2152" s="1" t="s">
        <v>5345</v>
      </c>
      <c r="C2152" s="1" t="s">
        <v>5346</v>
      </c>
      <c r="D2152" s="1" t="s">
        <v>224</v>
      </c>
      <c r="E2152" s="1" t="s">
        <v>738</v>
      </c>
      <c r="F2152" s="1" t="s">
        <v>6717</v>
      </c>
      <c r="G2152" s="1" t="str">
        <f>IFERROR(VLOOKUP(A2152,H_C!$A$2:$G$2628,7,0),"Validar HC")</f>
        <v>Garcia, Helmer</v>
      </c>
      <c r="H2152" s="167">
        <v>2200286.0</v>
      </c>
      <c r="I2152" s="1">
        <v>42.0</v>
      </c>
    </row>
    <row r="2153" ht="15.75" customHeight="1">
      <c r="A2153" s="1">
        <v>5930646.0</v>
      </c>
      <c r="B2153" s="1" t="s">
        <v>5285</v>
      </c>
      <c r="C2153" s="1" t="s">
        <v>5286</v>
      </c>
      <c r="D2153" s="1" t="s">
        <v>224</v>
      </c>
      <c r="E2153" s="1" t="s">
        <v>738</v>
      </c>
      <c r="F2153" s="1" t="s">
        <v>6717</v>
      </c>
      <c r="G2153" s="1" t="str">
        <f>IFERROR(VLOOKUP(A2153,H_C!$A$2:$G$2628,7,0),"Validar HC")</f>
        <v>Garcia, Helmer</v>
      </c>
      <c r="H2153" s="167">
        <v>2200286.0</v>
      </c>
      <c r="I2153" s="1">
        <v>42.0</v>
      </c>
    </row>
    <row r="2154" ht="15.75" customHeight="1">
      <c r="A2154" s="1">
        <v>5061236.0</v>
      </c>
      <c r="B2154" s="1" t="s">
        <v>5347</v>
      </c>
      <c r="C2154" s="1" t="s">
        <v>5348</v>
      </c>
      <c r="D2154" s="1" t="s">
        <v>224</v>
      </c>
      <c r="E2154" s="1" t="s">
        <v>530</v>
      </c>
      <c r="F2154" s="1" t="s">
        <v>6717</v>
      </c>
      <c r="G2154" s="1" t="str">
        <f>IFERROR(VLOOKUP(A2154,H_C!$A$2:$G$2628,7,0),"Validar HC")</f>
        <v>Garcia, Helmer</v>
      </c>
      <c r="H2154" s="167">
        <v>2200286.0</v>
      </c>
      <c r="I2154" s="1">
        <v>42.0</v>
      </c>
    </row>
    <row r="2155" ht="15.75" customHeight="1">
      <c r="A2155" s="1">
        <v>5929876.0</v>
      </c>
      <c r="B2155" s="1" t="s">
        <v>5243</v>
      </c>
      <c r="C2155" s="1" t="s">
        <v>5244</v>
      </c>
      <c r="D2155" s="1" t="s">
        <v>224</v>
      </c>
      <c r="E2155" s="1" t="s">
        <v>361</v>
      </c>
      <c r="F2155" s="1" t="s">
        <v>6717</v>
      </c>
      <c r="G2155" s="1" t="str">
        <f>IFERROR(VLOOKUP(A2155,H_C!$A$2:$G$2628,7,0),"Validar HC")</f>
        <v>Gonzalez, Cristian</v>
      </c>
      <c r="H2155" s="167">
        <v>2200286.0</v>
      </c>
      <c r="I2155" s="1">
        <v>42.0</v>
      </c>
    </row>
    <row r="2156" ht="15.75" customHeight="1">
      <c r="A2156" s="1">
        <v>5930773.0</v>
      </c>
      <c r="B2156" s="1" t="s">
        <v>5349</v>
      </c>
      <c r="C2156" s="1" t="s">
        <v>5350</v>
      </c>
      <c r="D2156" s="1" t="s">
        <v>224</v>
      </c>
      <c r="E2156" s="1" t="s">
        <v>738</v>
      </c>
      <c r="F2156" s="1" t="s">
        <v>6717</v>
      </c>
      <c r="G2156" s="1" t="str">
        <f>IFERROR(VLOOKUP(A2156,H_C!$A$2:$G$2628,7,0),"Validar HC")</f>
        <v>Garcia, Helmer</v>
      </c>
      <c r="H2156" s="167">
        <v>2200286.0</v>
      </c>
      <c r="I2156" s="1">
        <v>42.0</v>
      </c>
    </row>
    <row r="2157" ht="15.75" customHeight="1">
      <c r="A2157" s="1">
        <v>5929662.0</v>
      </c>
      <c r="B2157" s="1" t="s">
        <v>5351</v>
      </c>
      <c r="C2157" s="1" t="s">
        <v>5352</v>
      </c>
      <c r="D2157" s="1" t="s">
        <v>224</v>
      </c>
      <c r="E2157" s="1" t="s">
        <v>847</v>
      </c>
      <c r="F2157" s="1" t="s">
        <v>6717</v>
      </c>
      <c r="G2157" s="1" t="str">
        <f>IFERROR(VLOOKUP(A2157,H_C!$A$2:$G$2628,7,0),"Validar HC")</f>
        <v>Garatejo, Natalia</v>
      </c>
      <c r="H2157" s="167">
        <v>2200286.0</v>
      </c>
      <c r="I2157" s="1">
        <v>42.0</v>
      </c>
    </row>
    <row r="2158" ht="15.75" customHeight="1">
      <c r="A2158" s="1">
        <v>5929864.0</v>
      </c>
      <c r="B2158" s="1" t="s">
        <v>389</v>
      </c>
      <c r="C2158" s="1" t="s">
        <v>390</v>
      </c>
      <c r="D2158" s="1" t="s">
        <v>224</v>
      </c>
      <c r="E2158" s="1" t="s">
        <v>329</v>
      </c>
      <c r="F2158" s="1" t="s">
        <v>6717</v>
      </c>
      <c r="G2158" s="1" t="str">
        <f>IFERROR(VLOOKUP(A2158,H_C!$A$2:$G$2628,7,0),"Validar HC")</f>
        <v>Garatejo, Natalia</v>
      </c>
      <c r="H2158" s="167">
        <v>2200286.0</v>
      </c>
      <c r="I2158" s="1">
        <v>42.0</v>
      </c>
    </row>
    <row r="2159" ht="15.75" customHeight="1">
      <c r="A2159" s="1">
        <v>5929852.0</v>
      </c>
      <c r="B2159" s="1" t="s">
        <v>5034</v>
      </c>
      <c r="C2159" s="1" t="s">
        <v>5035</v>
      </c>
      <c r="D2159" s="1" t="s">
        <v>224</v>
      </c>
      <c r="E2159" s="1" t="s">
        <v>323</v>
      </c>
      <c r="F2159" s="1" t="s">
        <v>6717</v>
      </c>
      <c r="G2159" s="1" t="str">
        <f>IFERROR(VLOOKUP(A2159,H_C!$A$2:$G$2628,7,0),"Validar HC")</f>
        <v>Martinez, Wendy</v>
      </c>
      <c r="H2159" s="167">
        <v>2200286.0</v>
      </c>
      <c r="I2159" s="1">
        <v>42.0</v>
      </c>
    </row>
    <row r="2160" ht="15.75" customHeight="1">
      <c r="A2160" s="1">
        <v>5929618.0</v>
      </c>
      <c r="B2160" s="1" t="s">
        <v>5070</v>
      </c>
      <c r="C2160" s="1" t="s">
        <v>5071</v>
      </c>
      <c r="D2160" s="1" t="s">
        <v>224</v>
      </c>
      <c r="E2160" s="1" t="s">
        <v>323</v>
      </c>
      <c r="F2160" s="1" t="s">
        <v>6717</v>
      </c>
      <c r="G2160" s="1" t="str">
        <f>IFERROR(VLOOKUP(A2160,H_C!$A$2:$G$2628,7,0),"Validar HC")</f>
        <v>Martinez, Wendy</v>
      </c>
      <c r="H2160" s="167">
        <v>2200286.0</v>
      </c>
      <c r="I2160" s="1">
        <v>42.0</v>
      </c>
    </row>
    <row r="2161" ht="15.75" customHeight="1">
      <c r="A2161" s="1">
        <v>5929866.0</v>
      </c>
      <c r="B2161" s="1" t="s">
        <v>4700</v>
      </c>
      <c r="C2161" s="1" t="s">
        <v>4701</v>
      </c>
      <c r="D2161" s="1" t="s">
        <v>224</v>
      </c>
      <c r="E2161" s="1" t="s">
        <v>323</v>
      </c>
      <c r="F2161" s="1" t="s">
        <v>6717</v>
      </c>
      <c r="G2161" s="1" t="str">
        <f>IFERROR(VLOOKUP(A2161,H_C!$A$2:$G$2628,7,0),"Validar HC")</f>
        <v>Martinez, Wendy</v>
      </c>
      <c r="H2161" s="167">
        <v>2200286.0</v>
      </c>
      <c r="I2161" s="1">
        <v>42.0</v>
      </c>
    </row>
    <row r="2162" ht="15.75" customHeight="1">
      <c r="A2162" s="1">
        <v>5929867.0</v>
      </c>
      <c r="B2162" s="1" t="s">
        <v>5050</v>
      </c>
      <c r="C2162" s="1" t="s">
        <v>5051</v>
      </c>
      <c r="D2162" s="1" t="s">
        <v>224</v>
      </c>
      <c r="E2162" s="1" t="s">
        <v>323</v>
      </c>
      <c r="F2162" s="1" t="s">
        <v>6717</v>
      </c>
      <c r="G2162" s="1" t="str">
        <f>IFERROR(VLOOKUP(A2162,H_C!$A$2:$G$2628,7,0),"Validar HC")</f>
        <v>Martinez, Wendy</v>
      </c>
      <c r="H2162" s="167">
        <v>2200286.0</v>
      </c>
      <c r="I2162" s="1">
        <v>42.0</v>
      </c>
    </row>
    <row r="2163" ht="15.75" customHeight="1">
      <c r="A2163" s="1">
        <v>5929630.0</v>
      </c>
      <c r="B2163" s="1" t="s">
        <v>3981</v>
      </c>
      <c r="C2163" s="1" t="s">
        <v>3982</v>
      </c>
      <c r="D2163" s="1" t="s">
        <v>224</v>
      </c>
      <c r="E2163" s="1" t="s">
        <v>323</v>
      </c>
      <c r="F2163" s="1" t="s">
        <v>6717</v>
      </c>
      <c r="G2163" s="1" t="str">
        <f>IFERROR(VLOOKUP(A2163,H_C!$A$2:$G$2628,7,0),"Validar HC")</f>
        <v>Martinez, Wendy</v>
      </c>
      <c r="H2163" s="167">
        <v>2200286.0</v>
      </c>
      <c r="I2163" s="1">
        <v>42.0</v>
      </c>
    </row>
    <row r="2164" ht="15.75" customHeight="1">
      <c r="A2164" s="1">
        <v>5929855.0</v>
      </c>
      <c r="B2164" s="1" t="s">
        <v>2113</v>
      </c>
      <c r="C2164" s="1" t="s">
        <v>2114</v>
      </c>
      <c r="D2164" s="1" t="s">
        <v>224</v>
      </c>
      <c r="E2164" s="1" t="s">
        <v>323</v>
      </c>
      <c r="F2164" s="1" t="s">
        <v>6717</v>
      </c>
      <c r="G2164" s="1" t="str">
        <f>IFERROR(VLOOKUP(A2164,H_C!$A$2:$G$2628,7,0),"Validar HC")</f>
        <v>Martinez, Wendy</v>
      </c>
      <c r="H2164" s="167">
        <v>2200286.0</v>
      </c>
      <c r="I2164" s="1">
        <v>42.0</v>
      </c>
    </row>
    <row r="2165" ht="15.75" customHeight="1">
      <c r="A2165" s="1">
        <v>4049190.0</v>
      </c>
      <c r="B2165" s="1" t="s">
        <v>1420</v>
      </c>
      <c r="C2165" s="1" t="s">
        <v>1421</v>
      </c>
      <c r="D2165" s="1" t="s">
        <v>224</v>
      </c>
      <c r="E2165" s="1" t="s">
        <v>738</v>
      </c>
      <c r="F2165" s="1" t="s">
        <v>6717</v>
      </c>
      <c r="G2165" s="1" t="str">
        <f>IFERROR(VLOOKUP(A2165,H_C!$A$2:$G$2628,7,0),"Validar HC")</f>
        <v>Garcia, Helmer</v>
      </c>
      <c r="H2165" s="167">
        <v>2200286.0</v>
      </c>
      <c r="I2165" s="1">
        <v>42.0</v>
      </c>
    </row>
    <row r="2166" ht="15.75" customHeight="1">
      <c r="A2166" s="1">
        <v>5022860.0</v>
      </c>
      <c r="B2166" s="1" t="s">
        <v>5293</v>
      </c>
      <c r="C2166" s="1" t="s">
        <v>5294</v>
      </c>
      <c r="D2166" s="1" t="s">
        <v>224</v>
      </c>
      <c r="E2166" s="1" t="s">
        <v>738</v>
      </c>
      <c r="F2166" s="1" t="s">
        <v>6717</v>
      </c>
      <c r="G2166" s="1" t="str">
        <f>IFERROR(VLOOKUP(A2166,H_C!$A$2:$G$2628,7,0),"Validar HC")</f>
        <v>Garcia, Helmer</v>
      </c>
      <c r="H2166" s="167">
        <v>2200286.0</v>
      </c>
      <c r="I2166" s="1">
        <v>42.0</v>
      </c>
    </row>
    <row r="2167" ht="15.75" customHeight="1">
      <c r="A2167" s="1">
        <v>5932952.0</v>
      </c>
      <c r="B2167" s="1" t="s">
        <v>3837</v>
      </c>
      <c r="C2167" s="1" t="s">
        <v>3838</v>
      </c>
      <c r="D2167" s="1" t="s">
        <v>224</v>
      </c>
      <c r="E2167" s="1" t="s">
        <v>738</v>
      </c>
      <c r="F2167" s="1" t="s">
        <v>6717</v>
      </c>
      <c r="G2167" s="1" t="str">
        <f>IFERROR(VLOOKUP(A2167,H_C!$A$2:$G$2628,7,0),"Validar HC")</f>
        <v>Garcia, Helmer</v>
      </c>
      <c r="H2167" s="167">
        <v>2200286.0</v>
      </c>
      <c r="I2167" s="1">
        <v>42.0</v>
      </c>
    </row>
    <row r="2168" ht="15.75" customHeight="1">
      <c r="A2168" s="1">
        <v>5936939.0</v>
      </c>
      <c r="B2168" s="1" t="s">
        <v>4290</v>
      </c>
      <c r="C2168" s="1" t="s">
        <v>4291</v>
      </c>
      <c r="D2168" s="1" t="s">
        <v>224</v>
      </c>
      <c r="E2168" s="1" t="s">
        <v>361</v>
      </c>
      <c r="F2168" s="1" t="s">
        <v>6717</v>
      </c>
      <c r="G2168" s="1" t="str">
        <f>IFERROR(VLOOKUP(A2168,H_C!$A$2:$G$2628,7,0),"Validar HC")</f>
        <v>Gonzalez, Cristian</v>
      </c>
      <c r="H2168" s="167">
        <v>2200286.0</v>
      </c>
      <c r="I2168" s="1">
        <v>42.0</v>
      </c>
    </row>
    <row r="2169" ht="15.75" customHeight="1">
      <c r="A2169" s="1">
        <v>5934682.0</v>
      </c>
      <c r="B2169" s="1" t="s">
        <v>2643</v>
      </c>
      <c r="C2169" s="1" t="s">
        <v>2644</v>
      </c>
      <c r="D2169" s="1" t="s">
        <v>224</v>
      </c>
      <c r="E2169" s="1" t="s">
        <v>412</v>
      </c>
      <c r="F2169" s="1" t="s">
        <v>6717</v>
      </c>
      <c r="G2169" s="1" t="str">
        <f>IFERROR(VLOOKUP(A2169,H_C!$A$2:$G$2628,7,0),"Validar HC")</f>
        <v>Ospina, Michel</v>
      </c>
      <c r="H2169" s="167">
        <v>2200286.0</v>
      </c>
      <c r="I2169" s="1">
        <v>42.0</v>
      </c>
    </row>
    <row r="2170" ht="15.75" customHeight="1">
      <c r="A2170" s="1">
        <v>5938269.0</v>
      </c>
      <c r="B2170" s="1" t="s">
        <v>2598</v>
      </c>
      <c r="C2170" s="1" t="s">
        <v>2599</v>
      </c>
      <c r="D2170" s="1" t="s">
        <v>224</v>
      </c>
      <c r="E2170" s="1" t="s">
        <v>412</v>
      </c>
      <c r="F2170" s="1" t="s">
        <v>6717</v>
      </c>
      <c r="G2170" s="1" t="str">
        <f>IFERROR(VLOOKUP(A2170,H_C!$A$2:$G$2628,7,0),"Validar HC")</f>
        <v>Ospina, Michel</v>
      </c>
      <c r="H2170" s="167">
        <v>2200286.0</v>
      </c>
      <c r="I2170" s="1">
        <v>42.0</v>
      </c>
    </row>
    <row r="2171" ht="15.75" customHeight="1">
      <c r="A2171" s="1">
        <v>5935101.0</v>
      </c>
      <c r="B2171" s="1" t="s">
        <v>2618</v>
      </c>
      <c r="C2171" s="1" t="s">
        <v>2619</v>
      </c>
      <c r="D2171" s="1" t="s">
        <v>224</v>
      </c>
      <c r="E2171" s="1" t="s">
        <v>412</v>
      </c>
      <c r="F2171" s="1" t="s">
        <v>6717</v>
      </c>
      <c r="G2171" s="1" t="str">
        <f>IFERROR(VLOOKUP(A2171,H_C!$A$2:$G$2628,7,0),"Validar HC")</f>
        <v>Ospina, Michel</v>
      </c>
      <c r="H2171" s="167">
        <v>2200286.0</v>
      </c>
      <c r="I2171" s="1">
        <v>42.0</v>
      </c>
    </row>
    <row r="2172" ht="15.75" customHeight="1">
      <c r="A2172" s="1">
        <v>5938312.0</v>
      </c>
      <c r="B2172" s="1" t="s">
        <v>3181</v>
      </c>
      <c r="C2172" s="1" t="s">
        <v>3182</v>
      </c>
      <c r="D2172" s="1" t="s">
        <v>224</v>
      </c>
      <c r="E2172" s="1" t="s">
        <v>412</v>
      </c>
      <c r="F2172" s="1" t="s">
        <v>6717</v>
      </c>
      <c r="G2172" s="1" t="str">
        <f>IFERROR(VLOOKUP(A2172,H_C!$A$2:$G$2628,7,0),"Validar HC")</f>
        <v>Ospina, Michel</v>
      </c>
      <c r="H2172" s="167">
        <v>2200286.0</v>
      </c>
      <c r="I2172" s="1">
        <v>42.0</v>
      </c>
    </row>
    <row r="2173" ht="15.75" customHeight="1">
      <c r="A2173" s="1">
        <v>5944673.0</v>
      </c>
      <c r="B2173" s="1" t="s">
        <v>2885</v>
      </c>
      <c r="C2173" s="1" t="s">
        <v>2886</v>
      </c>
      <c r="D2173" s="1" t="s">
        <v>224</v>
      </c>
      <c r="E2173" s="1" t="s">
        <v>567</v>
      </c>
      <c r="F2173" s="1" t="s">
        <v>6717</v>
      </c>
      <c r="G2173" s="1" t="str">
        <f>IFERROR(VLOOKUP(A2173,H_C!$A$2:$G$2628,7,0),"Validar HC")</f>
        <v>Martinez, Wendy</v>
      </c>
      <c r="H2173" s="167">
        <v>2200286.0</v>
      </c>
      <c r="I2173" s="1">
        <v>42.0</v>
      </c>
    </row>
    <row r="2174" ht="15.75" customHeight="1">
      <c r="A2174" s="1">
        <v>5944674.0</v>
      </c>
      <c r="B2174" s="1" t="s">
        <v>2580</v>
      </c>
      <c r="C2174" s="1" t="s">
        <v>2581</v>
      </c>
      <c r="D2174" s="1" t="s">
        <v>224</v>
      </c>
      <c r="E2174" s="1" t="s">
        <v>385</v>
      </c>
      <c r="F2174" s="1" t="s">
        <v>6717</v>
      </c>
      <c r="G2174" s="1" t="str">
        <f>IFERROR(VLOOKUP(A2174,H_C!$A$2:$G$2628,7,0),"Validar HC")</f>
        <v>Garatejo, Natalia</v>
      </c>
      <c r="H2174" s="167">
        <v>2200286.0</v>
      </c>
      <c r="I2174" s="1">
        <v>42.0</v>
      </c>
    </row>
    <row r="2175" ht="15.75" customHeight="1">
      <c r="A2175" s="1">
        <v>5943965.0</v>
      </c>
      <c r="B2175" s="1" t="s">
        <v>4528</v>
      </c>
      <c r="C2175" s="1" t="s">
        <v>4529</v>
      </c>
      <c r="D2175" s="1" t="s">
        <v>224</v>
      </c>
      <c r="E2175" s="1" t="s">
        <v>120</v>
      </c>
      <c r="F2175" s="1" t="s">
        <v>6717</v>
      </c>
      <c r="G2175" s="1" t="str">
        <f>IFERROR(VLOOKUP(A2175,H_C!$A$2:$G$2628,7,0),"Validar HC")</f>
        <v>Ospina, Michel</v>
      </c>
      <c r="H2175" s="167">
        <v>2200286.0</v>
      </c>
      <c r="I2175" s="1">
        <v>42.0</v>
      </c>
    </row>
    <row r="2176" ht="15.75" customHeight="1">
      <c r="A2176" s="1">
        <v>5922617.0</v>
      </c>
      <c r="B2176" s="1" t="s">
        <v>4656</v>
      </c>
      <c r="C2176" s="1" t="s">
        <v>4657</v>
      </c>
      <c r="D2176" s="1" t="s">
        <v>224</v>
      </c>
      <c r="E2176" s="1" t="s">
        <v>522</v>
      </c>
      <c r="F2176" s="1" t="s">
        <v>6717</v>
      </c>
      <c r="G2176" s="1" t="str">
        <f>IFERROR(VLOOKUP(A2176,H_C!$A$2:$G$2628,7,0),"Validar HC")</f>
        <v>Martinez, Wendy</v>
      </c>
      <c r="H2176" s="167">
        <v>2200286.0</v>
      </c>
      <c r="I2176" s="1">
        <v>42.0</v>
      </c>
    </row>
    <row r="2177" ht="15.75" customHeight="1">
      <c r="A2177" s="1">
        <v>5948231.0</v>
      </c>
      <c r="B2177" s="1" t="s">
        <v>2590</v>
      </c>
      <c r="C2177" s="1" t="s">
        <v>2591</v>
      </c>
      <c r="D2177" s="1" t="s">
        <v>224</v>
      </c>
      <c r="E2177" s="1" t="s">
        <v>385</v>
      </c>
      <c r="F2177" s="1" t="s">
        <v>6717</v>
      </c>
      <c r="G2177" s="1" t="str">
        <f>IFERROR(VLOOKUP(A2177,H_C!$A$2:$G$2628,7,0),"Validar HC")</f>
        <v>Garatejo, Natalia</v>
      </c>
      <c r="H2177" s="167">
        <v>2200286.0</v>
      </c>
      <c r="I2177" s="1">
        <v>42.0</v>
      </c>
    </row>
    <row r="2178" ht="15.75" customHeight="1">
      <c r="A2178" s="1">
        <v>3118502.0</v>
      </c>
      <c r="B2178" s="1" t="s">
        <v>1926</v>
      </c>
      <c r="C2178" s="1" t="s">
        <v>1927</v>
      </c>
      <c r="D2178" s="1" t="s">
        <v>224</v>
      </c>
      <c r="E2178" s="1" t="s">
        <v>385</v>
      </c>
      <c r="F2178" s="1" t="s">
        <v>6717</v>
      </c>
      <c r="G2178" s="1" t="str">
        <f>IFERROR(VLOOKUP(A2178,H_C!$A$2:$G$2628,7,0),"Validar HC")</f>
        <v>Garatejo, Natalia</v>
      </c>
      <c r="H2178" s="167">
        <v>2200286.0</v>
      </c>
      <c r="I2178" s="1">
        <v>42.0</v>
      </c>
    </row>
    <row r="2179" ht="15.75" customHeight="1">
      <c r="A2179" s="1">
        <v>5948234.0</v>
      </c>
      <c r="B2179" s="1" t="s">
        <v>1924</v>
      </c>
      <c r="C2179" s="1" t="s">
        <v>1925</v>
      </c>
      <c r="D2179" s="1" t="s">
        <v>224</v>
      </c>
      <c r="E2179" s="1" t="s">
        <v>385</v>
      </c>
      <c r="F2179" s="1" t="s">
        <v>6717</v>
      </c>
      <c r="G2179" s="1" t="str">
        <f>IFERROR(VLOOKUP(A2179,H_C!$A$2:$G$2628,7,0),"Validar HC")</f>
        <v>Garatejo, Natalia</v>
      </c>
      <c r="H2179" s="167">
        <v>2200286.0</v>
      </c>
      <c r="I2179" s="1">
        <v>42.0</v>
      </c>
    </row>
    <row r="2180" ht="15.75" customHeight="1">
      <c r="A2180" s="1">
        <v>5947499.0</v>
      </c>
      <c r="B2180" s="1" t="s">
        <v>1928</v>
      </c>
      <c r="C2180" s="1" t="s">
        <v>1929</v>
      </c>
      <c r="D2180" s="1" t="s">
        <v>224</v>
      </c>
      <c r="E2180" s="1" t="s">
        <v>385</v>
      </c>
      <c r="F2180" s="1" t="s">
        <v>6717</v>
      </c>
      <c r="G2180" s="1" t="str">
        <f>IFERROR(VLOOKUP(A2180,H_C!$A$2:$G$2628,7,0),"Validar HC")</f>
        <v>Garatejo, Natalia</v>
      </c>
      <c r="H2180" s="167">
        <v>2200286.0</v>
      </c>
      <c r="I2180" s="1">
        <v>42.0</v>
      </c>
    </row>
    <row r="2181" ht="15.75" customHeight="1">
      <c r="A2181" s="1">
        <v>4339753.0</v>
      </c>
      <c r="B2181" s="1" t="s">
        <v>2586</v>
      </c>
      <c r="C2181" s="1" t="s">
        <v>2587</v>
      </c>
      <c r="D2181" s="1" t="s">
        <v>224</v>
      </c>
      <c r="E2181" s="1" t="s">
        <v>385</v>
      </c>
      <c r="F2181" s="1" t="s">
        <v>6717</v>
      </c>
      <c r="G2181" s="1" t="str">
        <f>IFERROR(VLOOKUP(A2181,H_C!$A$2:$G$2628,7,0),"Validar HC")</f>
        <v>Garatejo, Natalia</v>
      </c>
      <c r="H2181" s="167">
        <v>2200286.0</v>
      </c>
      <c r="I2181" s="1">
        <v>42.0</v>
      </c>
    </row>
    <row r="2182" ht="15.75" customHeight="1">
      <c r="A2182" s="1">
        <v>5948094.0</v>
      </c>
      <c r="B2182" s="1" t="s">
        <v>2566</v>
      </c>
      <c r="C2182" s="1" t="s">
        <v>2567</v>
      </c>
      <c r="D2182" s="1" t="s">
        <v>224</v>
      </c>
      <c r="E2182" s="1" t="s">
        <v>385</v>
      </c>
      <c r="F2182" s="1" t="s">
        <v>6717</v>
      </c>
      <c r="G2182" s="1" t="str">
        <f>IFERROR(VLOOKUP(A2182,H_C!$A$2:$G$2628,7,0),"Validar HC")</f>
        <v>Garatejo, Natalia</v>
      </c>
      <c r="H2182" s="167">
        <v>2200286.0</v>
      </c>
      <c r="I2182" s="1">
        <v>42.0</v>
      </c>
    </row>
    <row r="2183" ht="15.75" customHeight="1">
      <c r="A2183" s="1">
        <v>5945494.0</v>
      </c>
      <c r="B2183" s="1" t="s">
        <v>3958</v>
      </c>
      <c r="C2183" s="1" t="s">
        <v>3959</v>
      </c>
      <c r="D2183" s="1" t="s">
        <v>224</v>
      </c>
      <c r="E2183" s="1" t="s">
        <v>118</v>
      </c>
      <c r="F2183" s="1" t="s">
        <v>6717</v>
      </c>
      <c r="G2183" s="1" t="str">
        <f>IFERROR(VLOOKUP(A2183,H_C!$A$2:$G$2628,7,0),"Validar HC")</f>
        <v>Ospina, Michel</v>
      </c>
      <c r="H2183" s="167">
        <v>2200286.0</v>
      </c>
      <c r="I2183" s="1">
        <v>42.0</v>
      </c>
    </row>
    <row r="2184" ht="15.75" customHeight="1">
      <c r="A2184" s="1">
        <v>5948333.0</v>
      </c>
      <c r="B2184" s="1" t="s">
        <v>5357</v>
      </c>
      <c r="C2184" s="1" t="s">
        <v>5358</v>
      </c>
      <c r="D2184" s="1" t="s">
        <v>224</v>
      </c>
      <c r="E2184" s="1" t="s">
        <v>738</v>
      </c>
      <c r="F2184" s="1" t="s">
        <v>6717</v>
      </c>
      <c r="G2184" s="1" t="str">
        <f>IFERROR(VLOOKUP(A2184,H_C!$A$2:$G$2628,7,0),"Validar HC")</f>
        <v>Garcia, Helmer</v>
      </c>
      <c r="H2184" s="167">
        <v>2200286.0</v>
      </c>
      <c r="I2184" s="1">
        <v>42.0</v>
      </c>
    </row>
    <row r="2185" ht="15.75" customHeight="1">
      <c r="A2185" s="1">
        <v>5945328.0</v>
      </c>
      <c r="B2185" s="1" t="s">
        <v>5289</v>
      </c>
      <c r="C2185" s="1" t="s">
        <v>5290</v>
      </c>
      <c r="D2185" s="1" t="s">
        <v>224</v>
      </c>
      <c r="E2185" s="1" t="s">
        <v>738</v>
      </c>
      <c r="F2185" s="1" t="s">
        <v>6717</v>
      </c>
      <c r="G2185" s="1" t="str">
        <f>IFERROR(VLOOKUP(A2185,H_C!$A$2:$G$2628,7,0),"Validar HC")</f>
        <v>Garcia, Helmer</v>
      </c>
      <c r="H2185" s="167">
        <v>2200286.0</v>
      </c>
      <c r="I2185" s="1">
        <v>42.0</v>
      </c>
    </row>
    <row r="2186" ht="15.75" customHeight="1">
      <c r="A2186" s="1">
        <v>5946212.0</v>
      </c>
      <c r="B2186" s="1" t="s">
        <v>3256</v>
      </c>
      <c r="C2186" s="1" t="s">
        <v>3257</v>
      </c>
      <c r="D2186" s="1" t="s">
        <v>224</v>
      </c>
      <c r="E2186" s="1" t="s">
        <v>738</v>
      </c>
      <c r="F2186" s="1" t="s">
        <v>6717</v>
      </c>
      <c r="G2186" s="1" t="str">
        <f>IFERROR(VLOOKUP(A2186,H_C!$A$2:$G$2628,7,0),"Validar HC")</f>
        <v>Garcia, Helmer</v>
      </c>
      <c r="H2186" s="167">
        <v>2200286.0</v>
      </c>
      <c r="I2186" s="1">
        <v>42.0</v>
      </c>
    </row>
    <row r="2187" ht="15.75" customHeight="1">
      <c r="A2187" s="1">
        <v>5948319.0</v>
      </c>
      <c r="B2187" s="1" t="s">
        <v>4670</v>
      </c>
      <c r="C2187" s="1" t="s">
        <v>4671</v>
      </c>
      <c r="D2187" s="1" t="s">
        <v>224</v>
      </c>
      <c r="E2187" s="1" t="s">
        <v>323</v>
      </c>
      <c r="F2187" s="1" t="s">
        <v>6717</v>
      </c>
      <c r="G2187" s="1" t="str">
        <f>IFERROR(VLOOKUP(A2187,H_C!$A$2:$G$2628,7,0),"Validar HC")</f>
        <v>Martinez, Wendy</v>
      </c>
      <c r="H2187" s="167">
        <v>2200286.0</v>
      </c>
      <c r="I2187" s="1">
        <v>42.0</v>
      </c>
    </row>
    <row r="2188" ht="15.75" customHeight="1">
      <c r="A2188" s="1">
        <v>5948317.0</v>
      </c>
      <c r="B2188" s="1" t="s">
        <v>4690</v>
      </c>
      <c r="C2188" s="1" t="s">
        <v>4691</v>
      </c>
      <c r="D2188" s="1" t="s">
        <v>224</v>
      </c>
      <c r="E2188" s="1" t="s">
        <v>323</v>
      </c>
      <c r="F2188" s="1" t="s">
        <v>6717</v>
      </c>
      <c r="G2188" s="1" t="str">
        <f>IFERROR(VLOOKUP(A2188,H_C!$A$2:$G$2628,7,0),"Validar HC")</f>
        <v>Martinez, Wendy</v>
      </c>
      <c r="H2188" s="167">
        <v>2200286.0</v>
      </c>
      <c r="I2188" s="1">
        <v>42.0</v>
      </c>
    </row>
    <row r="2189" ht="15.75" customHeight="1">
      <c r="A2189" s="1">
        <v>5948310.0</v>
      </c>
      <c r="B2189" s="1" t="s">
        <v>4742</v>
      </c>
      <c r="C2189" s="1" t="s">
        <v>4743</v>
      </c>
      <c r="D2189" s="1" t="s">
        <v>224</v>
      </c>
      <c r="E2189" s="1" t="s">
        <v>323</v>
      </c>
      <c r="F2189" s="1" t="s">
        <v>6717</v>
      </c>
      <c r="G2189" s="1" t="str">
        <f>IFERROR(VLOOKUP(A2189,H_C!$A$2:$G$2628,7,0),"Validar HC")</f>
        <v>Martinez, Wendy</v>
      </c>
      <c r="H2189" s="167">
        <v>2200286.0</v>
      </c>
      <c r="I2189" s="1">
        <v>42.0</v>
      </c>
    </row>
    <row r="2190" ht="15.75" customHeight="1">
      <c r="A2190" s="1">
        <v>5948314.0</v>
      </c>
      <c r="B2190" s="1" t="s">
        <v>5078</v>
      </c>
      <c r="C2190" s="1" t="s">
        <v>5079</v>
      </c>
      <c r="D2190" s="1" t="s">
        <v>224</v>
      </c>
      <c r="E2190" s="1" t="s">
        <v>323</v>
      </c>
      <c r="F2190" s="1" t="s">
        <v>6717</v>
      </c>
      <c r="G2190" s="1" t="str">
        <f>IFERROR(VLOOKUP(A2190,H_C!$A$2:$G$2628,7,0),"Validar HC")</f>
        <v>Martinez, Wendy</v>
      </c>
      <c r="H2190" s="167">
        <v>2200286.0</v>
      </c>
      <c r="I2190" s="1">
        <v>42.0</v>
      </c>
    </row>
    <row r="2191" ht="15.75" customHeight="1">
      <c r="A2191" s="1">
        <v>5948322.0</v>
      </c>
      <c r="B2191" s="1" t="s">
        <v>4778</v>
      </c>
      <c r="C2191" s="1" t="s">
        <v>4779</v>
      </c>
      <c r="D2191" s="1" t="s">
        <v>224</v>
      </c>
      <c r="E2191" s="1" t="s">
        <v>676</v>
      </c>
      <c r="F2191" s="1" t="s">
        <v>6717</v>
      </c>
      <c r="G2191" s="1" t="str">
        <f>IFERROR(VLOOKUP(A2191,H_C!$A$2:$G$2628,7,0),"Validar HC")</f>
        <v>Garatejo, Natalia</v>
      </c>
      <c r="H2191" s="167">
        <v>2200286.0</v>
      </c>
      <c r="I2191" s="1">
        <v>42.0</v>
      </c>
    </row>
    <row r="2192" ht="15.75" customHeight="1">
      <c r="A2192" s="1">
        <v>5958458.0</v>
      </c>
      <c r="B2192" s="1" t="s">
        <v>3598</v>
      </c>
      <c r="C2192" s="1" t="s">
        <v>3599</v>
      </c>
      <c r="D2192" s="1" t="s">
        <v>224</v>
      </c>
      <c r="E2192" s="1" t="s">
        <v>118</v>
      </c>
      <c r="F2192" s="1" t="s">
        <v>6717</v>
      </c>
      <c r="G2192" s="1" t="str">
        <f>IFERROR(VLOOKUP(A2192,H_C!$A$2:$G$2628,7,0),"Validar HC")</f>
        <v>Ospina, Michel</v>
      </c>
      <c r="H2192" s="167">
        <v>2200286.0</v>
      </c>
      <c r="I2192" s="1">
        <v>42.0</v>
      </c>
    </row>
    <row r="2193" ht="15.75" customHeight="1">
      <c r="A2193" s="1">
        <v>5957348.0</v>
      </c>
      <c r="B2193" s="1" t="s">
        <v>5359</v>
      </c>
      <c r="C2193" s="1" t="s">
        <v>5360</v>
      </c>
      <c r="D2193" s="1" t="s">
        <v>224</v>
      </c>
      <c r="E2193" s="1" t="s">
        <v>676</v>
      </c>
      <c r="F2193" s="1" t="s">
        <v>6717</v>
      </c>
      <c r="G2193" s="1" t="str">
        <f>IFERROR(VLOOKUP(A2193,H_C!$A$2:$G$2628,7,0),"Validar HC")</f>
        <v>Garatejo, Natalia</v>
      </c>
      <c r="H2193" s="167">
        <v>2200286.0</v>
      </c>
      <c r="I2193" s="1">
        <v>42.0</v>
      </c>
    </row>
    <row r="2194" ht="15.75" customHeight="1">
      <c r="A2194" s="1">
        <v>5957347.0</v>
      </c>
      <c r="B2194" s="1" t="s">
        <v>4011</v>
      </c>
      <c r="C2194" s="1" t="s">
        <v>4012</v>
      </c>
      <c r="D2194" s="1" t="s">
        <v>224</v>
      </c>
      <c r="E2194" s="1" t="s">
        <v>323</v>
      </c>
      <c r="F2194" s="1" t="s">
        <v>6717</v>
      </c>
      <c r="G2194" s="1" t="str">
        <f>IFERROR(VLOOKUP(A2194,H_C!$A$2:$G$2628,7,0),"Validar HC")</f>
        <v>Martinez, Wendy</v>
      </c>
      <c r="H2194" s="167">
        <v>2200286.0</v>
      </c>
      <c r="I2194" s="1">
        <v>42.0</v>
      </c>
    </row>
    <row r="2195" ht="15.75" customHeight="1">
      <c r="A2195" s="1">
        <v>5879695.0</v>
      </c>
      <c r="B2195" s="1" t="s">
        <v>3612</v>
      </c>
      <c r="C2195" s="1" t="s">
        <v>3613</v>
      </c>
      <c r="D2195" s="1" t="s">
        <v>224</v>
      </c>
      <c r="E2195" s="1" t="s">
        <v>118</v>
      </c>
      <c r="F2195" s="1" t="s">
        <v>6717</v>
      </c>
      <c r="G2195" s="1" t="str">
        <f>IFERROR(VLOOKUP(A2195,H_C!$A$2:$G$2628,7,0),"Validar HC")</f>
        <v>Ospina, Michel</v>
      </c>
      <c r="H2195" s="167">
        <v>2200286.0</v>
      </c>
      <c r="I2195" s="1">
        <v>42.0</v>
      </c>
    </row>
    <row r="2196" ht="15.75" customHeight="1">
      <c r="A2196" s="1">
        <v>5959234.0</v>
      </c>
      <c r="B2196" s="1" t="s">
        <v>4520</v>
      </c>
      <c r="C2196" s="1" t="s">
        <v>4521</v>
      </c>
      <c r="D2196" s="1" t="s">
        <v>224</v>
      </c>
      <c r="E2196" s="1" t="s">
        <v>120</v>
      </c>
      <c r="F2196" s="1" t="s">
        <v>6717</v>
      </c>
      <c r="G2196" s="1" t="str">
        <f>IFERROR(VLOOKUP(A2196,H_C!$A$2:$G$2628,7,0),"Validar HC")</f>
        <v>Ospina, Michel</v>
      </c>
      <c r="H2196" s="167">
        <v>2200286.0</v>
      </c>
      <c r="I2196" s="1">
        <v>42.0</v>
      </c>
    </row>
    <row r="2197" ht="15.75" customHeight="1">
      <c r="A2197" s="1">
        <v>5958473.0</v>
      </c>
      <c r="B2197" s="1" t="s">
        <v>5361</v>
      </c>
      <c r="C2197" s="1" t="s">
        <v>5362</v>
      </c>
      <c r="D2197" s="1" t="s">
        <v>224</v>
      </c>
      <c r="E2197" s="1" t="s">
        <v>1932</v>
      </c>
      <c r="F2197" s="1" t="s">
        <v>6717</v>
      </c>
      <c r="G2197" s="1" t="str">
        <f>IFERROR(VLOOKUP(A2197,H_C!$A$2:$G$2628,7,0),"Validar HC")</f>
        <v>Garatejo, Natalia</v>
      </c>
      <c r="H2197" s="167">
        <v>2200286.0</v>
      </c>
      <c r="I2197" s="1">
        <v>42.0</v>
      </c>
    </row>
    <row r="2198" ht="15.75" customHeight="1">
      <c r="A2198" s="1">
        <v>5960856.0</v>
      </c>
      <c r="B2198" s="1" t="s">
        <v>944</v>
      </c>
      <c r="C2198" s="1" t="s">
        <v>945</v>
      </c>
      <c r="D2198" s="1" t="s">
        <v>224</v>
      </c>
      <c r="E2198" s="1" t="s">
        <v>118</v>
      </c>
      <c r="F2198" s="1" t="s">
        <v>6717</v>
      </c>
      <c r="G2198" s="1" t="str">
        <f>IFERROR(VLOOKUP(A2198,H_C!$A$2:$G$2628,7,0),"Validar HC")</f>
        <v>Ospina, Michel</v>
      </c>
      <c r="H2198" s="167">
        <v>2200286.0</v>
      </c>
      <c r="I2198" s="1">
        <v>42.0</v>
      </c>
    </row>
    <row r="2199" ht="15.75" customHeight="1">
      <c r="A2199" s="1">
        <v>4706477.0</v>
      </c>
      <c r="B2199" s="1" t="s">
        <v>5363</v>
      </c>
      <c r="C2199" s="1" t="s">
        <v>5364</v>
      </c>
      <c r="D2199" s="1" t="s">
        <v>224</v>
      </c>
      <c r="E2199" s="1" t="s">
        <v>530</v>
      </c>
      <c r="F2199" s="1" t="s">
        <v>6717</v>
      </c>
      <c r="G2199" s="1" t="str">
        <f>IFERROR(VLOOKUP(A2199,H_C!$A$2:$G$2628,7,0),"Validar HC")</f>
        <v>Garcia, Helmer</v>
      </c>
      <c r="H2199" s="167">
        <v>2200286.0</v>
      </c>
      <c r="I2199" s="1">
        <v>42.0</v>
      </c>
    </row>
    <row r="2200" ht="15.75" customHeight="1">
      <c r="A2200" s="1">
        <v>5971425.0</v>
      </c>
      <c r="B2200" s="1" t="s">
        <v>1180</v>
      </c>
      <c r="C2200" s="1" t="s">
        <v>1181</v>
      </c>
      <c r="D2200" s="1" t="s">
        <v>224</v>
      </c>
      <c r="E2200" s="1" t="s">
        <v>263</v>
      </c>
      <c r="F2200" s="1" t="s">
        <v>6717</v>
      </c>
      <c r="G2200" s="1" t="str">
        <f>IFERROR(VLOOKUP(A2200,H_C!$A$2:$G$2628,7,0),"Validar HC")</f>
        <v>Garcia, Helmer</v>
      </c>
      <c r="H2200" s="167">
        <v>2200286.0</v>
      </c>
      <c r="I2200" s="1">
        <v>42.0</v>
      </c>
    </row>
    <row r="2201" ht="15.75" customHeight="1">
      <c r="A2201" s="1">
        <v>5971530.0</v>
      </c>
      <c r="B2201" s="1" t="s">
        <v>5367</v>
      </c>
      <c r="C2201" s="1" t="s">
        <v>5368</v>
      </c>
      <c r="D2201" s="1" t="s">
        <v>224</v>
      </c>
      <c r="E2201" s="1" t="s">
        <v>738</v>
      </c>
      <c r="F2201" s="1" t="s">
        <v>6717</v>
      </c>
      <c r="G2201" s="1" t="str">
        <f>IFERROR(VLOOKUP(A2201,H_C!$A$2:$G$2628,7,0),"Validar HC")</f>
        <v>Garcia, Helmer</v>
      </c>
      <c r="H2201" s="167">
        <v>2200286.0</v>
      </c>
      <c r="I2201" s="1">
        <v>42.0</v>
      </c>
    </row>
    <row r="2202" ht="15.75" customHeight="1">
      <c r="A2202" s="1">
        <v>5971431.0</v>
      </c>
      <c r="B2202" s="1" t="s">
        <v>4550</v>
      </c>
      <c r="C2202" s="1" t="s">
        <v>4551</v>
      </c>
      <c r="D2202" s="1" t="s">
        <v>224</v>
      </c>
      <c r="E2202" s="1" t="s">
        <v>121</v>
      </c>
      <c r="F2202" s="1" t="s">
        <v>6717</v>
      </c>
      <c r="G2202" s="1" t="str">
        <f>IFERROR(VLOOKUP(A2202,H_C!$A$2:$G$2628,7,0),"Validar HC")</f>
        <v>Ospina, Michel</v>
      </c>
      <c r="H2202" s="167">
        <v>2200286.0</v>
      </c>
      <c r="I2202" s="1">
        <v>42.0</v>
      </c>
    </row>
    <row r="2203" ht="15.75" customHeight="1">
      <c r="A2203" s="1">
        <v>5972234.0</v>
      </c>
      <c r="B2203" s="1" t="s">
        <v>4560</v>
      </c>
      <c r="C2203" s="1" t="s">
        <v>4561</v>
      </c>
      <c r="D2203" s="1" t="s">
        <v>224</v>
      </c>
      <c r="E2203" s="1" t="s">
        <v>425</v>
      </c>
      <c r="F2203" s="1" t="s">
        <v>6717</v>
      </c>
      <c r="G2203" s="1" t="str">
        <f>IFERROR(VLOOKUP(A2203,H_C!$A$2:$G$2628,7,0),"Validar HC")</f>
        <v>Ospina, Michel</v>
      </c>
      <c r="H2203" s="167">
        <v>2200286.0</v>
      </c>
      <c r="I2203" s="1">
        <v>42.0</v>
      </c>
    </row>
    <row r="2204" ht="15.75" customHeight="1">
      <c r="A2204" s="1">
        <v>5972504.0</v>
      </c>
      <c r="B2204" s="1" t="s">
        <v>1734</v>
      </c>
      <c r="C2204" s="1" t="s">
        <v>1735</v>
      </c>
      <c r="D2204" s="1" t="s">
        <v>224</v>
      </c>
      <c r="E2204" s="1" t="s">
        <v>416</v>
      </c>
      <c r="F2204" s="1" t="s">
        <v>6717</v>
      </c>
      <c r="G2204" s="1" t="str">
        <f>IFERROR(VLOOKUP(A2204,H_C!$A$2:$G$2628,7,0),"Validar HC")</f>
        <v>Soler, Maria</v>
      </c>
      <c r="H2204" s="167">
        <v>2200286.0</v>
      </c>
      <c r="I2204" s="1">
        <v>42.0</v>
      </c>
    </row>
    <row r="2205" ht="15.75" customHeight="1">
      <c r="A2205" s="1">
        <v>5972503.0</v>
      </c>
      <c r="B2205" s="1" t="s">
        <v>1703</v>
      </c>
      <c r="C2205" s="1" t="s">
        <v>1704</v>
      </c>
      <c r="D2205" s="1" t="s">
        <v>224</v>
      </c>
      <c r="E2205" s="1" t="s">
        <v>416</v>
      </c>
      <c r="F2205" s="1" t="s">
        <v>6717</v>
      </c>
      <c r="G2205" s="1" t="str">
        <f>IFERROR(VLOOKUP(A2205,H_C!$A$2:$G$2628,7,0),"Validar HC")</f>
        <v>Soler, Maria</v>
      </c>
      <c r="H2205" s="167">
        <v>2200286.0</v>
      </c>
      <c r="I2205" s="1">
        <v>42.0</v>
      </c>
    </row>
    <row r="2206" ht="15.75" customHeight="1">
      <c r="A2206" s="1">
        <v>4612571.0</v>
      </c>
      <c r="B2206" s="1" t="s">
        <v>1198</v>
      </c>
      <c r="C2206" s="1" t="s">
        <v>1199</v>
      </c>
      <c r="D2206" s="1" t="s">
        <v>224</v>
      </c>
      <c r="E2206" s="1" t="s">
        <v>263</v>
      </c>
      <c r="F2206" s="1" t="s">
        <v>6717</v>
      </c>
      <c r="G2206" s="1" t="str">
        <f>IFERROR(VLOOKUP(A2206,H_C!$A$2:$G$2628,7,0),"Validar HC")</f>
        <v>Garcia, Helmer</v>
      </c>
      <c r="H2206" s="167">
        <v>2200286.0</v>
      </c>
      <c r="I2206" s="1">
        <v>42.0</v>
      </c>
    </row>
    <row r="2207" ht="15.75" customHeight="1">
      <c r="A2207" s="1">
        <v>5972644.0</v>
      </c>
      <c r="B2207" s="1" t="s">
        <v>1444</v>
      </c>
      <c r="C2207" s="1" t="s">
        <v>1445</v>
      </c>
      <c r="D2207" s="1" t="s">
        <v>224</v>
      </c>
      <c r="E2207" s="1" t="s">
        <v>738</v>
      </c>
      <c r="F2207" s="1" t="s">
        <v>6717</v>
      </c>
      <c r="G2207" s="1" t="str">
        <f>IFERROR(VLOOKUP(A2207,H_C!$A$2:$G$2628,7,0),"Validar HC")</f>
        <v>Garcia, Helmer</v>
      </c>
      <c r="H2207" s="167">
        <v>2200286.0</v>
      </c>
      <c r="I2207" s="1">
        <v>42.0</v>
      </c>
    </row>
    <row r="2208" ht="15.75" customHeight="1">
      <c r="A2208" s="1">
        <v>5972741.0</v>
      </c>
      <c r="B2208" s="1" t="s">
        <v>5379</v>
      </c>
      <c r="C2208" s="1" t="s">
        <v>5380</v>
      </c>
      <c r="D2208" s="1" t="s">
        <v>224</v>
      </c>
      <c r="E2208" s="1" t="s">
        <v>738</v>
      </c>
      <c r="F2208" s="1" t="s">
        <v>6717</v>
      </c>
      <c r="G2208" s="1" t="str">
        <f>IFERROR(VLOOKUP(A2208,H_C!$A$2:$G$2628,7,0),"Validar HC")</f>
        <v>Garcia, Helmer</v>
      </c>
      <c r="H2208" s="167">
        <v>2200286.0</v>
      </c>
      <c r="I2208" s="1">
        <v>42.0</v>
      </c>
    </row>
    <row r="2209" ht="15.75" customHeight="1">
      <c r="A2209" s="1">
        <v>5975865.0</v>
      </c>
      <c r="B2209" s="1" t="s">
        <v>1165</v>
      </c>
      <c r="C2209" s="1" t="s">
        <v>1166</v>
      </c>
      <c r="D2209" s="1" t="s">
        <v>224</v>
      </c>
      <c r="E2209" s="1" t="s">
        <v>263</v>
      </c>
      <c r="F2209" s="1" t="s">
        <v>6717</v>
      </c>
      <c r="G2209" s="1" t="str">
        <f>IFERROR(VLOOKUP(A2209,H_C!$A$2:$G$2628,7,0),"Validar HC")</f>
        <v>Garcia, Helmer</v>
      </c>
      <c r="H2209" s="167">
        <v>2200286.0</v>
      </c>
      <c r="I2209" s="1">
        <v>42.0</v>
      </c>
    </row>
    <row r="2210" ht="15.75" customHeight="1">
      <c r="A2210" s="1">
        <v>5974376.0</v>
      </c>
      <c r="B2210" s="1" t="s">
        <v>5381</v>
      </c>
      <c r="C2210" s="1" t="s">
        <v>5382</v>
      </c>
      <c r="D2210" s="1" t="s">
        <v>224</v>
      </c>
      <c r="E2210" s="1" t="s">
        <v>425</v>
      </c>
      <c r="F2210" s="1" t="s">
        <v>6717</v>
      </c>
      <c r="G2210" s="1" t="str">
        <f>IFERROR(VLOOKUP(A2210,H_C!$A$2:$G$2628,7,0),"Validar HC")</f>
        <v>Ospina, Michel</v>
      </c>
      <c r="H2210" s="167">
        <v>2200286.0</v>
      </c>
      <c r="I2210" s="1">
        <v>42.0</v>
      </c>
    </row>
    <row r="2211" ht="15.75" customHeight="1">
      <c r="A2211" s="1">
        <v>5972788.0</v>
      </c>
      <c r="B2211" s="1" t="s">
        <v>2783</v>
      </c>
      <c r="C2211" s="1" t="s">
        <v>2784</v>
      </c>
      <c r="D2211" s="1" t="s">
        <v>224</v>
      </c>
      <c r="E2211" s="1" t="s">
        <v>425</v>
      </c>
      <c r="F2211" s="1" t="s">
        <v>6717</v>
      </c>
      <c r="G2211" s="1" t="str">
        <f>IFERROR(VLOOKUP(A2211,H_C!$A$2:$G$2628,7,0),"Validar HC")</f>
        <v>Ospina, Michel</v>
      </c>
      <c r="H2211" s="167">
        <v>2200286.0</v>
      </c>
      <c r="I2211" s="1">
        <v>42.0</v>
      </c>
    </row>
    <row r="2212" ht="15.75" customHeight="1">
      <c r="A2212" s="1">
        <v>5972611.0</v>
      </c>
      <c r="B2212" s="1" t="s">
        <v>3310</v>
      </c>
      <c r="C2212" s="1" t="s">
        <v>3311</v>
      </c>
      <c r="D2212" s="1" t="s">
        <v>224</v>
      </c>
      <c r="E2212" s="1" t="s">
        <v>425</v>
      </c>
      <c r="F2212" s="1" t="s">
        <v>6717</v>
      </c>
      <c r="G2212" s="1" t="str">
        <f>IFERROR(VLOOKUP(A2212,H_C!$A$2:$G$2628,7,0),"Validar HC")</f>
        <v>Ospina, Michel</v>
      </c>
      <c r="H2212" s="167">
        <v>2200286.0</v>
      </c>
      <c r="I2212" s="1">
        <v>42.0</v>
      </c>
    </row>
    <row r="2213" ht="15.75" customHeight="1">
      <c r="A2213" s="1">
        <v>5972779.0</v>
      </c>
      <c r="B2213" s="1" t="s">
        <v>5383</v>
      </c>
      <c r="C2213" s="1" t="s">
        <v>5384</v>
      </c>
      <c r="D2213" s="1" t="s">
        <v>224</v>
      </c>
      <c r="E2213" s="1" t="s">
        <v>425</v>
      </c>
      <c r="F2213" s="1" t="s">
        <v>6717</v>
      </c>
      <c r="G2213" s="1" t="str">
        <f>IFERROR(VLOOKUP(A2213,H_C!$A$2:$G$2628,7,0),"Validar HC")</f>
        <v>Ospina, Michel</v>
      </c>
      <c r="H2213" s="167">
        <v>2200286.0</v>
      </c>
      <c r="I2213" s="1">
        <v>42.0</v>
      </c>
    </row>
    <row r="2214" ht="15.75" customHeight="1">
      <c r="A2214" s="1">
        <v>5972755.0</v>
      </c>
      <c r="B2214" s="1" t="s">
        <v>4562</v>
      </c>
      <c r="C2214" s="1" t="s">
        <v>4563</v>
      </c>
      <c r="D2214" s="1" t="s">
        <v>224</v>
      </c>
      <c r="E2214" s="1" t="s">
        <v>121</v>
      </c>
      <c r="F2214" s="1" t="s">
        <v>6717</v>
      </c>
      <c r="G2214" s="1" t="str">
        <f>IFERROR(VLOOKUP(A2214,H_C!$A$2:$G$2628,7,0),"Validar HC")</f>
        <v>Ospina, Michel</v>
      </c>
      <c r="H2214" s="167">
        <v>2200286.0</v>
      </c>
      <c r="I2214" s="1">
        <v>42.0</v>
      </c>
    </row>
    <row r="2215" ht="15.75" customHeight="1">
      <c r="A2215" s="1">
        <v>5974138.0</v>
      </c>
      <c r="B2215" s="1" t="s">
        <v>4568</v>
      </c>
      <c r="C2215" s="1" t="s">
        <v>4569</v>
      </c>
      <c r="D2215" s="1" t="s">
        <v>224</v>
      </c>
      <c r="E2215" s="1" t="s">
        <v>121</v>
      </c>
      <c r="F2215" s="1" t="s">
        <v>6717</v>
      </c>
      <c r="G2215" s="1" t="str">
        <f>IFERROR(VLOOKUP(A2215,H_C!$A$2:$G$2628,7,0),"Validar HC")</f>
        <v>Ospina, Michel</v>
      </c>
      <c r="H2215" s="167">
        <v>2200286.0</v>
      </c>
      <c r="I2215" s="1">
        <v>42.0</v>
      </c>
    </row>
    <row r="2216" ht="15.75" customHeight="1">
      <c r="A2216" s="1">
        <v>5972598.0</v>
      </c>
      <c r="B2216" s="1" t="s">
        <v>5389</v>
      </c>
      <c r="C2216" s="1" t="s">
        <v>5390</v>
      </c>
      <c r="D2216" s="1" t="s">
        <v>224</v>
      </c>
      <c r="E2216" s="1" t="s">
        <v>425</v>
      </c>
      <c r="F2216" s="1" t="s">
        <v>6717</v>
      </c>
      <c r="G2216" s="1" t="str">
        <f>IFERROR(VLOOKUP(A2216,H_C!$A$2:$G$2628,7,0),"Validar HC")</f>
        <v>Ospina, Michel</v>
      </c>
      <c r="H2216" s="167">
        <v>2200286.0</v>
      </c>
      <c r="I2216" s="1">
        <v>42.0</v>
      </c>
    </row>
    <row r="2217" ht="15.75" customHeight="1">
      <c r="A2217" s="1">
        <v>5241997.0</v>
      </c>
      <c r="B2217" s="1" t="s">
        <v>5233</v>
      </c>
      <c r="C2217" s="1" t="s">
        <v>5234</v>
      </c>
      <c r="D2217" s="1" t="s">
        <v>224</v>
      </c>
      <c r="E2217" s="1" t="s">
        <v>361</v>
      </c>
      <c r="F2217" s="1" t="s">
        <v>6717</v>
      </c>
      <c r="G2217" s="1" t="str">
        <f>IFERROR(VLOOKUP(A2217,H_C!$A$2:$G$2628,7,0),"Validar HC")</f>
        <v>Gonzalez, Cristian</v>
      </c>
      <c r="H2217" s="167">
        <v>2200286.0</v>
      </c>
      <c r="I2217" s="1">
        <v>42.0</v>
      </c>
    </row>
    <row r="2218" ht="15.75" customHeight="1">
      <c r="A2218" s="1">
        <v>5975841.0</v>
      </c>
      <c r="B2218" s="1" t="s">
        <v>1693</v>
      </c>
      <c r="C2218" s="1" t="s">
        <v>1694</v>
      </c>
      <c r="D2218" s="1" t="s">
        <v>224</v>
      </c>
      <c r="E2218" s="1" t="s">
        <v>416</v>
      </c>
      <c r="F2218" s="1" t="s">
        <v>6717</v>
      </c>
      <c r="G2218" s="1" t="str">
        <f>IFERROR(VLOOKUP(A2218,H_C!$A$2:$G$2628,7,0),"Validar HC")</f>
        <v>Soler, Maria</v>
      </c>
      <c r="H2218" s="167">
        <v>2200286.0</v>
      </c>
      <c r="I2218" s="1">
        <v>42.0</v>
      </c>
    </row>
    <row r="2219" ht="15.75" customHeight="1">
      <c r="A2219" s="1">
        <v>5972747.0</v>
      </c>
      <c r="B2219" s="1" t="s">
        <v>1720</v>
      </c>
      <c r="C2219" s="1" t="s">
        <v>1721</v>
      </c>
      <c r="D2219" s="1" t="s">
        <v>224</v>
      </c>
      <c r="E2219" s="1" t="s">
        <v>416</v>
      </c>
      <c r="F2219" s="1" t="s">
        <v>6717</v>
      </c>
      <c r="G2219" s="1" t="str">
        <f>IFERROR(VLOOKUP(A2219,H_C!$A$2:$G$2628,7,0),"Validar HC")</f>
        <v>Soler, Maria</v>
      </c>
      <c r="H2219" s="167">
        <v>2200286.0</v>
      </c>
      <c r="I2219" s="1">
        <v>42.0</v>
      </c>
    </row>
    <row r="2220" ht="15.75" customHeight="1">
      <c r="A2220" s="1">
        <v>5976144.0</v>
      </c>
      <c r="B2220" s="1" t="s">
        <v>3344</v>
      </c>
      <c r="C2220" s="1" t="s">
        <v>3345</v>
      </c>
      <c r="D2220" s="1" t="s">
        <v>224</v>
      </c>
      <c r="E2220" s="1" t="s">
        <v>263</v>
      </c>
      <c r="F2220" s="1" t="s">
        <v>6717</v>
      </c>
      <c r="G2220" s="1" t="str">
        <f>IFERROR(VLOOKUP(A2220,H_C!$A$2:$G$2628,7,0),"Validar HC")</f>
        <v>Garcia, Helmer</v>
      </c>
      <c r="H2220" s="167">
        <v>2200286.0</v>
      </c>
      <c r="I2220" s="1">
        <v>42.0</v>
      </c>
    </row>
    <row r="2221" ht="15.75" customHeight="1">
      <c r="A2221" s="1">
        <v>5976148.0</v>
      </c>
      <c r="B2221" s="1" t="s">
        <v>3330</v>
      </c>
      <c r="C2221" s="1" t="s">
        <v>3331</v>
      </c>
      <c r="D2221" s="1" t="s">
        <v>224</v>
      </c>
      <c r="E2221" s="1" t="s">
        <v>263</v>
      </c>
      <c r="F2221" s="1" t="s">
        <v>6717</v>
      </c>
      <c r="G2221" s="1" t="str">
        <f>IFERROR(VLOOKUP(A2221,H_C!$A$2:$G$2628,7,0),"Validar HC")</f>
        <v>Garcia, Helmer</v>
      </c>
      <c r="H2221" s="167">
        <v>2200286.0</v>
      </c>
      <c r="I2221" s="1">
        <v>42.0</v>
      </c>
    </row>
    <row r="2222" ht="15.75" customHeight="1">
      <c r="A2222" s="1">
        <v>4979876.0</v>
      </c>
      <c r="B2222" s="1" t="s">
        <v>5393</v>
      </c>
      <c r="C2222" s="1" t="s">
        <v>5394</v>
      </c>
      <c r="D2222" s="1" t="s">
        <v>224</v>
      </c>
      <c r="E2222" s="1" t="s">
        <v>738</v>
      </c>
      <c r="F2222" s="1" t="s">
        <v>6717</v>
      </c>
      <c r="G2222" s="1" t="str">
        <f>IFERROR(VLOOKUP(A2222,H_C!$A$2:$G$2628,7,0),"Validar HC")</f>
        <v>Garcia, Helmer</v>
      </c>
      <c r="H2222" s="167">
        <v>2200286.0</v>
      </c>
      <c r="I2222" s="1">
        <v>42.0</v>
      </c>
    </row>
    <row r="2223" ht="15.75" customHeight="1">
      <c r="A2223" s="1">
        <v>5976419.0</v>
      </c>
      <c r="B2223" s="1" t="s">
        <v>2207</v>
      </c>
      <c r="C2223" s="1" t="s">
        <v>2208</v>
      </c>
      <c r="D2223" s="1" t="s">
        <v>224</v>
      </c>
      <c r="E2223" s="1" t="s">
        <v>813</v>
      </c>
      <c r="F2223" s="1" t="s">
        <v>6717</v>
      </c>
      <c r="G2223" s="1" t="str">
        <f>IFERROR(VLOOKUP(A2223,H_C!$A$2:$G$2628,7,0),"Validar HC")</f>
        <v>Garatejo, Natalia</v>
      </c>
      <c r="H2223" s="167">
        <v>2200286.0</v>
      </c>
      <c r="I2223" s="1">
        <v>42.0</v>
      </c>
    </row>
    <row r="2224" ht="15.75" customHeight="1">
      <c r="A2224" s="1">
        <v>5976425.0</v>
      </c>
      <c r="B2224" s="1" t="s">
        <v>399</v>
      </c>
      <c r="C2224" s="1" t="s">
        <v>400</v>
      </c>
      <c r="D2224" s="1" t="s">
        <v>224</v>
      </c>
      <c r="E2224" s="1" t="s">
        <v>329</v>
      </c>
      <c r="F2224" s="1" t="s">
        <v>6717</v>
      </c>
      <c r="G2224" s="1" t="str">
        <f>IFERROR(VLOOKUP(A2224,H_C!$A$2:$G$2628,7,0),"Validar HC")</f>
        <v>Garatejo, Natalia</v>
      </c>
      <c r="H2224" s="167">
        <v>2200286.0</v>
      </c>
      <c r="I2224" s="1">
        <v>42.0</v>
      </c>
    </row>
    <row r="2225" ht="15.75" customHeight="1">
      <c r="A2225" s="1">
        <v>5976422.0</v>
      </c>
      <c r="B2225" s="1" t="s">
        <v>5395</v>
      </c>
      <c r="C2225" s="1" t="s">
        <v>5396</v>
      </c>
      <c r="D2225" s="1" t="s">
        <v>224</v>
      </c>
      <c r="E2225" s="1" t="s">
        <v>329</v>
      </c>
      <c r="F2225" s="1" t="s">
        <v>6717</v>
      </c>
      <c r="G2225" s="1" t="str">
        <f>IFERROR(VLOOKUP(A2225,H_C!$A$2:$G$2628,7,0),"Validar HC")</f>
        <v>Garatejo, Natalia</v>
      </c>
      <c r="H2225" s="167">
        <v>2200286.0</v>
      </c>
      <c r="I2225" s="1">
        <v>42.0</v>
      </c>
    </row>
    <row r="2226" ht="15.75" customHeight="1">
      <c r="A2226" s="1">
        <v>5976421.0</v>
      </c>
      <c r="B2226" s="1" t="s">
        <v>3977</v>
      </c>
      <c r="C2226" s="1" t="s">
        <v>3978</v>
      </c>
      <c r="D2226" s="1" t="s">
        <v>224</v>
      </c>
      <c r="E2226" s="1" t="s">
        <v>323</v>
      </c>
      <c r="F2226" s="1" t="s">
        <v>6717</v>
      </c>
      <c r="G2226" s="1" t="str">
        <f>IFERROR(VLOOKUP(A2226,H_C!$A$2:$G$2628,7,0),"Validar HC")</f>
        <v>Martinez, Wendy</v>
      </c>
      <c r="H2226" s="167">
        <v>2200286.0</v>
      </c>
      <c r="I2226" s="1">
        <v>42.0</v>
      </c>
    </row>
    <row r="2227" ht="15.75" customHeight="1">
      <c r="A2227" s="1">
        <v>5976416.0</v>
      </c>
      <c r="B2227" s="1" t="s">
        <v>3083</v>
      </c>
      <c r="C2227" s="1" t="s">
        <v>3084</v>
      </c>
      <c r="D2227" s="1" t="s">
        <v>224</v>
      </c>
      <c r="E2227" s="1" t="s">
        <v>329</v>
      </c>
      <c r="F2227" s="1" t="s">
        <v>6717</v>
      </c>
      <c r="G2227" s="1" t="str">
        <f>IFERROR(VLOOKUP(A2227,H_C!$A$2:$G$2628,7,0),"Validar HC")</f>
        <v>Garatejo, Natalia</v>
      </c>
      <c r="H2227" s="167">
        <v>2200286.0</v>
      </c>
      <c r="I2227" s="1">
        <v>42.0</v>
      </c>
    </row>
    <row r="2228" ht="15.75" customHeight="1">
      <c r="A2228" s="1">
        <v>5976420.0</v>
      </c>
      <c r="B2228" s="1" t="s">
        <v>4688</v>
      </c>
      <c r="C2228" s="1" t="s">
        <v>4689</v>
      </c>
      <c r="D2228" s="1" t="s">
        <v>224</v>
      </c>
      <c r="E2228" s="1" t="s">
        <v>323</v>
      </c>
      <c r="F2228" s="1" t="s">
        <v>6717</v>
      </c>
      <c r="G2228" s="1" t="str">
        <f>IFERROR(VLOOKUP(A2228,H_C!$A$2:$G$2628,7,0),"Validar HC")</f>
        <v>Martinez, Wendy</v>
      </c>
      <c r="H2228" s="167">
        <v>2200286.0</v>
      </c>
      <c r="I2228" s="1">
        <v>42.0</v>
      </c>
    </row>
    <row r="2229" ht="15.75" customHeight="1">
      <c r="A2229" s="1">
        <v>5976423.0</v>
      </c>
      <c r="B2229" s="1" t="s">
        <v>4680</v>
      </c>
      <c r="C2229" s="1" t="s">
        <v>4681</v>
      </c>
      <c r="D2229" s="1" t="s">
        <v>224</v>
      </c>
      <c r="E2229" s="1" t="s">
        <v>323</v>
      </c>
      <c r="F2229" s="1" t="s">
        <v>6717</v>
      </c>
      <c r="G2229" s="1" t="str">
        <f>IFERROR(VLOOKUP(A2229,H_C!$A$2:$G$2628,7,0),"Validar HC")</f>
        <v>Martinez, Wendy</v>
      </c>
      <c r="H2229" s="167">
        <v>2200286.0</v>
      </c>
      <c r="I2229" s="1">
        <v>42.0</v>
      </c>
    </row>
    <row r="2230" ht="15.75" customHeight="1">
      <c r="A2230" s="1">
        <v>5976426.0</v>
      </c>
      <c r="B2230" s="1" t="s">
        <v>4752</v>
      </c>
      <c r="C2230" s="1" t="s">
        <v>4753</v>
      </c>
      <c r="D2230" s="1" t="s">
        <v>224</v>
      </c>
      <c r="E2230" s="1" t="s">
        <v>800</v>
      </c>
      <c r="F2230" s="1" t="s">
        <v>6717</v>
      </c>
      <c r="G2230" s="1" t="str">
        <f>IFERROR(VLOOKUP(A2230,H_C!$A$2:$G$2628,7,0),"Validar HC")</f>
        <v>Garatejo, Natalia</v>
      </c>
      <c r="H2230" s="167">
        <v>2200286.0</v>
      </c>
      <c r="I2230" s="1">
        <v>42.0</v>
      </c>
    </row>
    <row r="2231" ht="15.75" customHeight="1">
      <c r="A2231" s="1">
        <v>5783697.0</v>
      </c>
      <c r="B2231" s="1" t="s">
        <v>5397</v>
      </c>
      <c r="C2231" s="1" t="s">
        <v>5398</v>
      </c>
      <c r="D2231" s="1" t="s">
        <v>224</v>
      </c>
      <c r="E2231" s="1" t="s">
        <v>329</v>
      </c>
      <c r="F2231" s="1" t="s">
        <v>6717</v>
      </c>
      <c r="G2231" s="1" t="str">
        <f>IFERROR(VLOOKUP(A2231,H_C!$A$2:$G$2628,7,0),"Validar HC")</f>
        <v>Garatejo, Natalia</v>
      </c>
      <c r="H2231" s="167">
        <v>2200286.0</v>
      </c>
      <c r="I2231" s="1">
        <v>42.0</v>
      </c>
    </row>
    <row r="2232" ht="15.75" customHeight="1">
      <c r="A2232" s="1">
        <v>4810538.0</v>
      </c>
      <c r="B2232" s="1" t="s">
        <v>4194</v>
      </c>
      <c r="C2232" s="1" t="s">
        <v>4195</v>
      </c>
      <c r="D2232" s="1" t="s">
        <v>224</v>
      </c>
      <c r="E2232" s="1" t="s">
        <v>331</v>
      </c>
      <c r="F2232" s="1" t="s">
        <v>6717</v>
      </c>
      <c r="G2232" s="1" t="str">
        <f>IFERROR(VLOOKUP(A2232,H_C!$A$2:$G$2628,7,0),"Validar HC")</f>
        <v>Martinez, Wendy</v>
      </c>
      <c r="H2232" s="167">
        <v>2200286.0</v>
      </c>
      <c r="I2232" s="1">
        <v>42.0</v>
      </c>
    </row>
    <row r="2233" ht="15.75" customHeight="1">
      <c r="A2233" s="1">
        <v>5703284.0</v>
      </c>
      <c r="B2233" s="1" t="s">
        <v>5207</v>
      </c>
      <c r="C2233" s="1" t="s">
        <v>5208</v>
      </c>
      <c r="D2233" s="1" t="s">
        <v>224</v>
      </c>
      <c r="E2233" s="1" t="s">
        <v>331</v>
      </c>
      <c r="F2233" s="1" t="s">
        <v>6717</v>
      </c>
      <c r="G2233" s="1" t="str">
        <f>IFERROR(VLOOKUP(A2233,H_C!$A$2:$G$2628,7,0),"Validar HC")</f>
        <v>Celi, Juan</v>
      </c>
      <c r="H2233" s="167">
        <v>2200286.0</v>
      </c>
      <c r="I2233" s="1">
        <v>42.0</v>
      </c>
    </row>
    <row r="2234" ht="15.75" customHeight="1">
      <c r="A2234" s="1">
        <v>4043041.0</v>
      </c>
      <c r="B2234" s="1" t="s">
        <v>2956</v>
      </c>
      <c r="C2234" s="1" t="s">
        <v>2957</v>
      </c>
      <c r="D2234" s="1" t="s">
        <v>224</v>
      </c>
      <c r="E2234" s="1" t="s">
        <v>331</v>
      </c>
      <c r="F2234" s="1" t="s">
        <v>6717</v>
      </c>
      <c r="G2234" s="1" t="str">
        <f>IFERROR(VLOOKUP(A2234,H_C!$A$2:$G$2628,7,0),"Validar HC")</f>
        <v>Castillo, Carlos</v>
      </c>
      <c r="H2234" s="167">
        <v>2200286.0</v>
      </c>
      <c r="I2234" s="1">
        <v>42.0</v>
      </c>
    </row>
    <row r="2235" ht="15.75" customHeight="1">
      <c r="A2235" s="1">
        <v>4727236.0</v>
      </c>
      <c r="B2235" s="1" t="s">
        <v>2594</v>
      </c>
      <c r="C2235" s="1" t="s">
        <v>2595</v>
      </c>
      <c r="D2235" s="1" t="s">
        <v>224</v>
      </c>
      <c r="E2235" s="1" t="s">
        <v>331</v>
      </c>
      <c r="F2235" s="1" t="s">
        <v>6717</v>
      </c>
      <c r="G2235" s="1" t="str">
        <f>IFERROR(VLOOKUP(A2235,H_C!$A$2:$G$2628,7,0),"Validar HC")</f>
        <v>Castillo, Carlos</v>
      </c>
      <c r="H2235" s="167">
        <v>2200286.0</v>
      </c>
      <c r="I2235" s="1">
        <v>42.0</v>
      </c>
    </row>
    <row r="2236" ht="15.75" customHeight="1">
      <c r="A2236" s="1">
        <v>4721991.0</v>
      </c>
      <c r="B2236" s="1" t="s">
        <v>5183</v>
      </c>
      <c r="C2236" s="1" t="s">
        <v>5184</v>
      </c>
      <c r="D2236" s="1" t="s">
        <v>224</v>
      </c>
      <c r="E2236" s="1" t="s">
        <v>331</v>
      </c>
      <c r="F2236" s="1" t="s">
        <v>6717</v>
      </c>
      <c r="G2236" s="1" t="str">
        <f>IFERROR(VLOOKUP(A2236,H_C!$A$2:$G$2628,7,0),"Validar HC")</f>
        <v>Celi, Juan</v>
      </c>
      <c r="H2236" s="167">
        <v>2200286.0</v>
      </c>
      <c r="I2236" s="1">
        <v>42.0</v>
      </c>
    </row>
    <row r="2237" ht="15.75" customHeight="1">
      <c r="A2237" s="1">
        <v>5977609.0</v>
      </c>
      <c r="B2237" s="1" t="s">
        <v>5399</v>
      </c>
      <c r="C2237" s="1" t="s">
        <v>5400</v>
      </c>
      <c r="D2237" s="1" t="s">
        <v>224</v>
      </c>
      <c r="E2237" s="1" t="s">
        <v>847</v>
      </c>
      <c r="F2237" s="1" t="s">
        <v>6717</v>
      </c>
      <c r="G2237" s="1" t="str">
        <f>IFERROR(VLOOKUP(A2237,H_C!$A$2:$G$2628,7,0),"Validar HC")</f>
        <v>Garatejo, Natalia</v>
      </c>
      <c r="H2237" s="167">
        <v>2200286.0</v>
      </c>
      <c r="I2237" s="1">
        <v>42.0</v>
      </c>
    </row>
    <row r="2238" ht="15.75" customHeight="1">
      <c r="A2238" s="1">
        <v>5978456.0</v>
      </c>
      <c r="B2238" s="1" t="s">
        <v>5401</v>
      </c>
      <c r="C2238" s="1" t="s">
        <v>5402</v>
      </c>
      <c r="D2238" s="1" t="s">
        <v>224</v>
      </c>
      <c r="E2238" s="1" t="s">
        <v>329</v>
      </c>
      <c r="F2238" s="1" t="s">
        <v>6717</v>
      </c>
      <c r="G2238" s="1" t="str">
        <f>IFERROR(VLOOKUP(A2238,H_C!$A$2:$G$2628,7,0),"Validar HC")</f>
        <v>Garatejo, Natalia</v>
      </c>
      <c r="H2238" s="167">
        <v>2200286.0</v>
      </c>
      <c r="I2238" s="1">
        <v>42.0</v>
      </c>
    </row>
    <row r="2239" ht="15.75" customHeight="1">
      <c r="A2239" s="1">
        <v>5978457.0</v>
      </c>
      <c r="B2239" s="1" t="s">
        <v>2199</v>
      </c>
      <c r="C2239" s="1" t="s">
        <v>2200</v>
      </c>
      <c r="D2239" s="1" t="s">
        <v>224</v>
      </c>
      <c r="E2239" s="1" t="s">
        <v>813</v>
      </c>
      <c r="F2239" s="1" t="s">
        <v>6717</v>
      </c>
      <c r="G2239" s="1" t="str">
        <f>IFERROR(VLOOKUP(A2239,H_C!$A$2:$G$2628,7,0),"Validar HC")</f>
        <v>Garatejo, Natalia</v>
      </c>
      <c r="H2239" s="167">
        <v>2200286.0</v>
      </c>
      <c r="I2239" s="1">
        <v>42.0</v>
      </c>
    </row>
    <row r="2240" ht="15.75" customHeight="1">
      <c r="A2240" s="1">
        <v>5977551.0</v>
      </c>
      <c r="B2240" s="1" t="s">
        <v>940</v>
      </c>
      <c r="C2240" s="1" t="s">
        <v>941</v>
      </c>
      <c r="D2240" s="1" t="s">
        <v>224</v>
      </c>
      <c r="E2240" s="1" t="s">
        <v>118</v>
      </c>
      <c r="F2240" s="1" t="s">
        <v>6717</v>
      </c>
      <c r="G2240" s="1" t="str">
        <f>IFERROR(VLOOKUP(A2240,H_C!$A$2:$G$2628,7,0),"Validar HC")</f>
        <v>Ospina, Michel</v>
      </c>
      <c r="H2240" s="167">
        <v>2200286.0</v>
      </c>
      <c r="I2240" s="1">
        <v>42.0</v>
      </c>
    </row>
    <row r="2241" ht="15.75" customHeight="1">
      <c r="A2241" s="1">
        <v>5978458.0</v>
      </c>
      <c r="B2241" s="1" t="s">
        <v>3618</v>
      </c>
      <c r="C2241" s="1" t="s">
        <v>3619</v>
      </c>
      <c r="D2241" s="1" t="s">
        <v>224</v>
      </c>
      <c r="E2241" s="1" t="s">
        <v>118</v>
      </c>
      <c r="F2241" s="1" t="s">
        <v>6717</v>
      </c>
      <c r="G2241" s="1" t="str">
        <f>IFERROR(VLOOKUP(A2241,H_C!$A$2:$G$2628,7,0),"Validar HC")</f>
        <v>Ospina, Michel</v>
      </c>
      <c r="H2241" s="167">
        <v>2200286.0</v>
      </c>
      <c r="I2241" s="1">
        <v>42.0</v>
      </c>
    </row>
    <row r="2242" ht="15.75" customHeight="1">
      <c r="A2242" s="1">
        <v>5980043.0</v>
      </c>
      <c r="B2242" s="1" t="s">
        <v>3813</v>
      </c>
      <c r="C2242" s="1" t="s">
        <v>3814</v>
      </c>
      <c r="D2242" s="1" t="s">
        <v>224</v>
      </c>
      <c r="E2242" s="1" t="s">
        <v>738</v>
      </c>
      <c r="F2242" s="1" t="s">
        <v>6717</v>
      </c>
      <c r="G2242" s="1" t="str">
        <f>IFERROR(VLOOKUP(A2242,H_C!$A$2:$G$2628,7,0),"Validar HC")</f>
        <v>Garcia, Helmer</v>
      </c>
      <c r="H2242" s="167">
        <v>2200286.0</v>
      </c>
      <c r="I2242" s="1">
        <v>42.0</v>
      </c>
    </row>
    <row r="2243" ht="15.75" customHeight="1">
      <c r="A2243" s="1">
        <v>5980044.0</v>
      </c>
      <c r="B2243" s="1" t="s">
        <v>3354</v>
      </c>
      <c r="C2243" s="1" t="s">
        <v>3355</v>
      </c>
      <c r="D2243" s="1" t="s">
        <v>224</v>
      </c>
      <c r="E2243" s="1" t="s">
        <v>263</v>
      </c>
      <c r="F2243" s="1" t="s">
        <v>6717</v>
      </c>
      <c r="G2243" s="1" t="str">
        <f>IFERROR(VLOOKUP(A2243,H_C!$A$2:$G$2628,7,0),"Validar HC")</f>
        <v>Garcia, Helmer</v>
      </c>
      <c r="H2243" s="167">
        <v>2200286.0</v>
      </c>
      <c r="I2243" s="1">
        <v>42.0</v>
      </c>
    </row>
    <row r="2244" ht="15.75" customHeight="1">
      <c r="A2244" s="1">
        <v>5979727.0</v>
      </c>
      <c r="B2244" s="1" t="s">
        <v>3831</v>
      </c>
      <c r="C2244" s="1" t="s">
        <v>3832</v>
      </c>
      <c r="D2244" s="1" t="s">
        <v>224</v>
      </c>
      <c r="E2244" s="1" t="s">
        <v>738</v>
      </c>
      <c r="F2244" s="1" t="s">
        <v>6717</v>
      </c>
      <c r="G2244" s="1" t="str">
        <f>IFERROR(VLOOKUP(A2244,H_C!$A$2:$G$2628,7,0),"Validar HC")</f>
        <v>Garcia, Helmer</v>
      </c>
      <c r="H2244" s="167">
        <v>2200286.0</v>
      </c>
      <c r="I2244" s="1">
        <v>42.0</v>
      </c>
    </row>
    <row r="2245" ht="15.75" customHeight="1">
      <c r="A2245" s="1">
        <v>5980045.0</v>
      </c>
      <c r="B2245" s="1" t="s">
        <v>1194</v>
      </c>
      <c r="C2245" s="1" t="s">
        <v>1195</v>
      </c>
      <c r="D2245" s="1" t="s">
        <v>224</v>
      </c>
      <c r="E2245" s="1" t="s">
        <v>263</v>
      </c>
      <c r="F2245" s="1" t="s">
        <v>6717</v>
      </c>
      <c r="G2245" s="1" t="str">
        <f>IFERROR(VLOOKUP(A2245,H_C!$A$2:$G$2628,7,0),"Validar HC")</f>
        <v>Garcia, Helmer</v>
      </c>
      <c r="H2245" s="167">
        <v>2200286.0</v>
      </c>
      <c r="I2245" s="1">
        <v>42.0</v>
      </c>
    </row>
    <row r="2246" ht="15.75" customHeight="1">
      <c r="A2246" s="1">
        <v>2824589.0</v>
      </c>
      <c r="B2246" s="1" t="s">
        <v>1190</v>
      </c>
      <c r="C2246" s="1" t="s">
        <v>1191</v>
      </c>
      <c r="D2246" s="1" t="s">
        <v>224</v>
      </c>
      <c r="E2246" s="1" t="s">
        <v>263</v>
      </c>
      <c r="F2246" s="1" t="s">
        <v>6717</v>
      </c>
      <c r="G2246" s="1" t="str">
        <f>IFERROR(VLOOKUP(A2246,H_C!$A$2:$G$2628,7,0),"Validar HC")</f>
        <v>Garcia, Helmer</v>
      </c>
      <c r="H2246" s="167">
        <v>2200286.0</v>
      </c>
      <c r="I2246" s="1">
        <v>42.0</v>
      </c>
    </row>
    <row r="2247" ht="15.75" customHeight="1">
      <c r="A2247" s="1">
        <v>5982872.0</v>
      </c>
      <c r="B2247" s="1" t="s">
        <v>3336</v>
      </c>
      <c r="C2247" s="1" t="s">
        <v>3337</v>
      </c>
      <c r="D2247" s="1" t="s">
        <v>224</v>
      </c>
      <c r="E2247" s="1" t="s">
        <v>263</v>
      </c>
      <c r="F2247" s="1" t="s">
        <v>6717</v>
      </c>
      <c r="G2247" s="1" t="str">
        <f>IFERROR(VLOOKUP(A2247,H_C!$A$2:$G$2628,7,0),"Validar HC")</f>
        <v>Garcia, Helmer</v>
      </c>
      <c r="H2247" s="167">
        <v>2200286.0</v>
      </c>
      <c r="I2247" s="1">
        <v>42.0</v>
      </c>
    </row>
    <row r="2248" ht="15.75" customHeight="1">
      <c r="A2248" s="1">
        <v>5981942.0</v>
      </c>
      <c r="B2248" s="1" t="s">
        <v>3584</v>
      </c>
      <c r="C2248" s="1" t="s">
        <v>3585</v>
      </c>
      <c r="D2248" s="1" t="s">
        <v>224</v>
      </c>
      <c r="E2248" s="1" t="s">
        <v>118</v>
      </c>
      <c r="F2248" s="1" t="s">
        <v>6717</v>
      </c>
      <c r="G2248" s="1" t="str">
        <f>IFERROR(VLOOKUP(A2248,H_C!$A$2:$G$2628,7,0),"Validar HC")</f>
        <v>Ospina, Michel</v>
      </c>
      <c r="H2248" s="167">
        <v>2200286.0</v>
      </c>
      <c r="I2248" s="1">
        <v>42.0</v>
      </c>
    </row>
    <row r="2249" ht="15.75" customHeight="1">
      <c r="A2249" s="1">
        <v>5983339.0</v>
      </c>
      <c r="B2249" s="1" t="s">
        <v>3320</v>
      </c>
      <c r="C2249" s="1" t="s">
        <v>3321</v>
      </c>
      <c r="D2249" s="1" t="s">
        <v>224</v>
      </c>
      <c r="E2249" s="1" t="s">
        <v>263</v>
      </c>
      <c r="F2249" s="1" t="s">
        <v>6717</v>
      </c>
      <c r="G2249" s="1" t="str">
        <f>IFERROR(VLOOKUP(A2249,H_C!$A$2:$G$2628,7,0),"Validar HC")</f>
        <v>Garcia, Helmer</v>
      </c>
      <c r="H2249" s="167">
        <v>2200286.0</v>
      </c>
      <c r="I2249" s="1">
        <v>42.0</v>
      </c>
    </row>
    <row r="2250" ht="15.75" customHeight="1">
      <c r="A2250" s="1">
        <v>5983656.0</v>
      </c>
      <c r="B2250" s="1" t="s">
        <v>3580</v>
      </c>
      <c r="C2250" s="1" t="s">
        <v>3581</v>
      </c>
      <c r="D2250" s="1" t="s">
        <v>224</v>
      </c>
      <c r="E2250" s="1" t="s">
        <v>118</v>
      </c>
      <c r="F2250" s="1" t="s">
        <v>6717</v>
      </c>
      <c r="G2250" s="1" t="str">
        <f>IFERROR(VLOOKUP(A2250,H_C!$A$2:$G$2628,7,0),"Validar HC")</f>
        <v>Ospina, Michel</v>
      </c>
      <c r="H2250" s="167">
        <v>2200286.0</v>
      </c>
      <c r="I2250" s="1">
        <v>42.0</v>
      </c>
    </row>
    <row r="2251" ht="15.75" customHeight="1">
      <c r="A2251" s="1">
        <v>5986204.0</v>
      </c>
      <c r="B2251" s="1" t="s">
        <v>6800</v>
      </c>
      <c r="C2251" s="1" t="s">
        <v>6801</v>
      </c>
      <c r="D2251" s="1" t="s">
        <v>224</v>
      </c>
      <c r="E2251" s="1" t="s">
        <v>907</v>
      </c>
      <c r="F2251" s="1" t="s">
        <v>6717</v>
      </c>
      <c r="G2251" s="1" t="str">
        <f>IFERROR(VLOOKUP(A2251,H_C!$A$2:$G$2628,7,0),"Validar HC")</f>
        <v>Validar HC</v>
      </c>
      <c r="H2251" s="167">
        <v>2200286.0</v>
      </c>
      <c r="I2251" s="1">
        <v>42.0</v>
      </c>
    </row>
    <row r="2252" ht="15.75" customHeight="1">
      <c r="A2252" s="1">
        <v>5986776.0</v>
      </c>
      <c r="B2252" s="1" t="s">
        <v>3594</v>
      </c>
      <c r="C2252" s="1" t="s">
        <v>3595</v>
      </c>
      <c r="D2252" s="1" t="s">
        <v>224</v>
      </c>
      <c r="E2252" s="1" t="s">
        <v>118</v>
      </c>
      <c r="F2252" s="1" t="s">
        <v>6717</v>
      </c>
      <c r="G2252" s="1" t="str">
        <f>IFERROR(VLOOKUP(A2252,H_C!$A$2:$G$2628,7,0),"Validar HC")</f>
        <v>Ospina, Michel</v>
      </c>
      <c r="H2252" s="167">
        <v>2200286.0</v>
      </c>
      <c r="I2252" s="1">
        <v>42.0</v>
      </c>
    </row>
    <row r="2253" ht="15.75" customHeight="1">
      <c r="A2253" s="1">
        <v>5983630.0</v>
      </c>
      <c r="B2253" s="1" t="s">
        <v>1559</v>
      </c>
      <c r="C2253" s="1" t="s">
        <v>1560</v>
      </c>
      <c r="D2253" s="1" t="s">
        <v>224</v>
      </c>
      <c r="E2253" s="1" t="s">
        <v>478</v>
      </c>
      <c r="F2253" s="1" t="s">
        <v>6717</v>
      </c>
      <c r="G2253" s="1" t="str">
        <f>IFERROR(VLOOKUP(A2253,H_C!$A$2:$G$2628,7,0),"Validar HC")</f>
        <v>Celi, Juan</v>
      </c>
      <c r="H2253" s="167">
        <v>2200286.0</v>
      </c>
      <c r="I2253" s="1">
        <v>42.0</v>
      </c>
    </row>
    <row r="2254" ht="15.75" customHeight="1">
      <c r="A2254" s="1">
        <v>5983629.0</v>
      </c>
      <c r="B2254" s="1" t="s">
        <v>5108</v>
      </c>
      <c r="C2254" s="1" t="s">
        <v>5109</v>
      </c>
      <c r="D2254" s="1" t="s">
        <v>224</v>
      </c>
      <c r="E2254" s="1" t="s">
        <v>9</v>
      </c>
      <c r="F2254" s="1" t="s">
        <v>6717</v>
      </c>
      <c r="G2254" s="1" t="str">
        <f>IFERROR(VLOOKUP(A2254,H_C!$A$2:$G$2628,7,0),"Validar HC")</f>
        <v>Celi, Juan</v>
      </c>
      <c r="H2254" s="167">
        <v>2200286.0</v>
      </c>
      <c r="I2254" s="1">
        <v>42.0</v>
      </c>
    </row>
    <row r="2255" ht="15.75" customHeight="1">
      <c r="A2255" s="1">
        <v>5983627.0</v>
      </c>
      <c r="B2255" s="1" t="s">
        <v>5098</v>
      </c>
      <c r="C2255" s="1" t="s">
        <v>5099</v>
      </c>
      <c r="D2255" s="1" t="s">
        <v>224</v>
      </c>
      <c r="E2255" s="1" t="s">
        <v>478</v>
      </c>
      <c r="F2255" s="1" t="s">
        <v>6717</v>
      </c>
      <c r="G2255" s="1" t="str">
        <f>IFERROR(VLOOKUP(A2255,H_C!$A$2:$G$2628,7,0),"Validar HC")</f>
        <v>Celi, Juan</v>
      </c>
      <c r="H2255" s="167">
        <v>2200286.0</v>
      </c>
      <c r="I2255" s="1">
        <v>42.0</v>
      </c>
    </row>
    <row r="2256" ht="15.75" customHeight="1">
      <c r="A2256" s="1">
        <v>5985709.0</v>
      </c>
      <c r="B2256" s="1" t="s">
        <v>5209</v>
      </c>
      <c r="C2256" s="1" t="s">
        <v>5210</v>
      </c>
      <c r="D2256" s="1" t="s">
        <v>224</v>
      </c>
      <c r="E2256" s="1" t="s">
        <v>478</v>
      </c>
      <c r="F2256" s="1" t="s">
        <v>6717</v>
      </c>
      <c r="G2256" s="1" t="str">
        <f>IFERROR(VLOOKUP(A2256,H_C!$A$2:$G$2628,7,0),"Validar HC")</f>
        <v>Celi, Juan</v>
      </c>
      <c r="H2256" s="167">
        <v>2200286.0</v>
      </c>
      <c r="I2256" s="1">
        <v>42.0</v>
      </c>
    </row>
    <row r="2257" ht="15.75" customHeight="1">
      <c r="A2257" s="1">
        <v>4754579.0</v>
      </c>
      <c r="B2257" s="1" t="s">
        <v>1551</v>
      </c>
      <c r="C2257" s="1" t="s">
        <v>1552</v>
      </c>
      <c r="D2257" s="1" t="s">
        <v>224</v>
      </c>
      <c r="E2257" s="1" t="s">
        <v>478</v>
      </c>
      <c r="F2257" s="1" t="s">
        <v>6717</v>
      </c>
      <c r="G2257" s="1" t="str">
        <f>IFERROR(VLOOKUP(A2257,H_C!$A$2:$G$2628,7,0),"Validar HC")</f>
        <v>Celi, Juan</v>
      </c>
      <c r="H2257" s="167">
        <v>2200286.0</v>
      </c>
      <c r="I2257" s="1">
        <v>42.0</v>
      </c>
    </row>
    <row r="2258" ht="15.75" customHeight="1">
      <c r="A2258" s="1">
        <v>5983632.0</v>
      </c>
      <c r="B2258" s="1" t="s">
        <v>2724</v>
      </c>
      <c r="C2258" s="1" t="s">
        <v>2725</v>
      </c>
      <c r="D2258" s="1" t="s">
        <v>224</v>
      </c>
      <c r="E2258" s="1" t="s">
        <v>478</v>
      </c>
      <c r="F2258" s="1" t="s">
        <v>6717</v>
      </c>
      <c r="G2258" s="1" t="str">
        <f>IFERROR(VLOOKUP(A2258,H_C!$A$2:$G$2628,7,0),"Validar HC")</f>
        <v>Celi, Juan</v>
      </c>
      <c r="H2258" s="167">
        <v>2200286.0</v>
      </c>
      <c r="I2258" s="1">
        <v>42.0</v>
      </c>
    </row>
    <row r="2259" ht="15.75" customHeight="1">
      <c r="A2259" s="1">
        <v>5983635.0</v>
      </c>
      <c r="B2259" s="1" t="s">
        <v>3868</v>
      </c>
      <c r="C2259" s="1" t="s">
        <v>3869</v>
      </c>
      <c r="D2259" s="1" t="s">
        <v>224</v>
      </c>
      <c r="E2259" s="1" t="s">
        <v>478</v>
      </c>
      <c r="F2259" s="1" t="s">
        <v>6717</v>
      </c>
      <c r="G2259" s="1" t="str">
        <f>IFERROR(VLOOKUP(A2259,H_C!$A$2:$G$2628,7,0),"Validar HC")</f>
        <v>Celi, Juan</v>
      </c>
      <c r="H2259" s="167">
        <v>2200286.0</v>
      </c>
      <c r="I2259" s="1">
        <v>42.0</v>
      </c>
    </row>
    <row r="2260" ht="15.75" customHeight="1">
      <c r="A2260" s="1">
        <v>5077060.0</v>
      </c>
      <c r="B2260" s="1" t="s">
        <v>2710</v>
      </c>
      <c r="C2260" s="1" t="s">
        <v>2711</v>
      </c>
      <c r="D2260" s="1" t="s">
        <v>224</v>
      </c>
      <c r="E2260" s="1" t="s">
        <v>478</v>
      </c>
      <c r="F2260" s="1" t="s">
        <v>6717</v>
      </c>
      <c r="G2260" s="1" t="str">
        <f>IFERROR(VLOOKUP(A2260,H_C!$A$2:$G$2628,7,0),"Validar HC")</f>
        <v>Celi, Juan</v>
      </c>
      <c r="H2260" s="167">
        <v>2200286.0</v>
      </c>
      <c r="I2260" s="1">
        <v>42.0</v>
      </c>
    </row>
    <row r="2261" ht="15.75" customHeight="1">
      <c r="A2261" s="1">
        <v>5983626.0</v>
      </c>
      <c r="B2261" s="1" t="s">
        <v>1535</v>
      </c>
      <c r="C2261" s="1" t="s">
        <v>1536</v>
      </c>
      <c r="D2261" s="1" t="s">
        <v>224</v>
      </c>
      <c r="E2261" s="1" t="s">
        <v>478</v>
      </c>
      <c r="F2261" s="1" t="s">
        <v>6717</v>
      </c>
      <c r="G2261" s="1" t="str">
        <f>IFERROR(VLOOKUP(A2261,H_C!$A$2:$G$2628,7,0),"Validar HC")</f>
        <v>Celi, Juan</v>
      </c>
      <c r="H2261" s="167">
        <v>2200286.0</v>
      </c>
      <c r="I2261" s="1">
        <v>42.0</v>
      </c>
    </row>
    <row r="2262" ht="15.75" customHeight="1">
      <c r="A2262" s="1">
        <v>5964115.0</v>
      </c>
      <c r="B2262" s="1" t="s">
        <v>3985</v>
      </c>
      <c r="C2262" s="1" t="s">
        <v>3986</v>
      </c>
      <c r="D2262" s="1" t="s">
        <v>224</v>
      </c>
      <c r="E2262" s="1" t="s">
        <v>323</v>
      </c>
      <c r="F2262" s="1" t="s">
        <v>6717</v>
      </c>
      <c r="G2262" s="1" t="str">
        <f>IFERROR(VLOOKUP(A2262,H_C!$A$2:$G$2628,7,0),"Validar HC")</f>
        <v>Martinez, Wendy</v>
      </c>
      <c r="H2262" s="167">
        <v>2200286.0</v>
      </c>
      <c r="I2262" s="1">
        <v>42.0</v>
      </c>
    </row>
    <row r="2263" ht="15.75" customHeight="1">
      <c r="A2263" s="1">
        <v>5964122.0</v>
      </c>
      <c r="B2263" s="1" t="s">
        <v>2691</v>
      </c>
      <c r="C2263" s="1" t="s">
        <v>2692</v>
      </c>
      <c r="D2263" s="1" t="s">
        <v>224</v>
      </c>
      <c r="E2263" s="1" t="s">
        <v>478</v>
      </c>
      <c r="F2263" s="1" t="s">
        <v>6717</v>
      </c>
      <c r="G2263" s="1" t="str">
        <f>IFERROR(VLOOKUP(A2263,H_C!$A$2:$G$2628,7,0),"Validar HC")</f>
        <v>Celi, Juan</v>
      </c>
      <c r="H2263" s="167">
        <v>2200286.0</v>
      </c>
      <c r="I2263" s="1">
        <v>42.0</v>
      </c>
    </row>
    <row r="2264" ht="15.75" customHeight="1">
      <c r="A2264" s="1">
        <v>5974292.0</v>
      </c>
      <c r="B2264" s="1" t="s">
        <v>5203</v>
      </c>
      <c r="C2264" s="1" t="s">
        <v>5204</v>
      </c>
      <c r="D2264" s="1" t="s">
        <v>224</v>
      </c>
      <c r="E2264" s="1" t="s">
        <v>478</v>
      </c>
      <c r="F2264" s="1" t="s">
        <v>6717</v>
      </c>
      <c r="G2264" s="1" t="str">
        <f>IFERROR(VLOOKUP(A2264,H_C!$A$2:$G$2628,7,0),"Validar HC")</f>
        <v>Celi, Juan</v>
      </c>
      <c r="H2264" s="167">
        <v>2200286.0</v>
      </c>
      <c r="I2264" s="1">
        <v>42.0</v>
      </c>
    </row>
    <row r="2265" ht="15.75" customHeight="1">
      <c r="A2265" s="1">
        <v>5983369.0</v>
      </c>
      <c r="B2265" s="1" t="s">
        <v>2313</v>
      </c>
      <c r="C2265" s="1" t="s">
        <v>2314</v>
      </c>
      <c r="D2265" s="1" t="s">
        <v>224</v>
      </c>
      <c r="E2265" s="1" t="s">
        <v>986</v>
      </c>
      <c r="F2265" s="1" t="s">
        <v>6717</v>
      </c>
      <c r="G2265" s="1" t="str">
        <f>IFERROR(VLOOKUP(A2265,H_C!$A$2:$G$2628,7,0),"Validar HC")</f>
        <v>Garatejo, Natalia</v>
      </c>
      <c r="H2265" s="167">
        <v>2200286.0</v>
      </c>
      <c r="I2265" s="1">
        <v>42.0</v>
      </c>
    </row>
    <row r="2266" ht="15.75" customHeight="1">
      <c r="A2266" s="1">
        <v>5982871.0</v>
      </c>
      <c r="B2266" s="1" t="s">
        <v>2265</v>
      </c>
      <c r="C2266" s="1" t="s">
        <v>2266</v>
      </c>
      <c r="D2266" s="1" t="s">
        <v>224</v>
      </c>
      <c r="E2266" s="1" t="s">
        <v>986</v>
      </c>
      <c r="F2266" s="1" t="s">
        <v>6717</v>
      </c>
      <c r="G2266" s="1" t="str">
        <f>IFERROR(VLOOKUP(A2266,H_C!$A$2:$G$2628,7,0),"Validar HC")</f>
        <v>Garatejo, Natalia</v>
      </c>
      <c r="H2266" s="167">
        <v>2200286.0</v>
      </c>
      <c r="I2266" s="1">
        <v>42.0</v>
      </c>
    </row>
    <row r="2267" ht="15.75" customHeight="1">
      <c r="A2267" s="1">
        <v>5964111.0</v>
      </c>
      <c r="B2267" s="1" t="s">
        <v>5048</v>
      </c>
      <c r="C2267" s="1" t="s">
        <v>5049</v>
      </c>
      <c r="D2267" s="1" t="s">
        <v>224</v>
      </c>
      <c r="E2267" s="1" t="s">
        <v>323</v>
      </c>
      <c r="F2267" s="1" t="s">
        <v>6717</v>
      </c>
      <c r="G2267" s="1" t="str">
        <f>IFERROR(VLOOKUP(A2267,H_C!$A$2:$G$2628,7,0),"Validar HC")</f>
        <v>Martinez, Wendy</v>
      </c>
      <c r="H2267" s="167">
        <v>2200286.0</v>
      </c>
      <c r="I2267" s="1">
        <v>42.0</v>
      </c>
    </row>
    <row r="2268" ht="15.75" customHeight="1">
      <c r="A2268" s="1">
        <v>5982874.0</v>
      </c>
      <c r="B2268" s="1" t="s">
        <v>3900</v>
      </c>
      <c r="C2268" s="1" t="s">
        <v>3901</v>
      </c>
      <c r="D2268" s="1" t="s">
        <v>224</v>
      </c>
      <c r="E2268" s="1" t="s">
        <v>478</v>
      </c>
      <c r="F2268" s="1" t="s">
        <v>6717</v>
      </c>
      <c r="G2268" s="1" t="str">
        <f>IFERROR(VLOOKUP(A2268,H_C!$A$2:$G$2628,7,0),"Validar HC")</f>
        <v>Celi, Juan</v>
      </c>
      <c r="H2268" s="167">
        <v>2200286.0</v>
      </c>
      <c r="I2268" s="1">
        <v>42.0</v>
      </c>
    </row>
    <row r="2269" ht="15.75" customHeight="1">
      <c r="A2269" s="1">
        <v>5967620.0</v>
      </c>
      <c r="B2269" s="1" t="s">
        <v>5106</v>
      </c>
      <c r="C2269" s="1" t="s">
        <v>5107</v>
      </c>
      <c r="D2269" s="1" t="s">
        <v>224</v>
      </c>
      <c r="E2269" s="1" t="s">
        <v>478</v>
      </c>
      <c r="F2269" s="1" t="s">
        <v>6717</v>
      </c>
      <c r="G2269" s="1" t="str">
        <f>IFERROR(VLOOKUP(A2269,H_C!$A$2:$G$2628,7,0),"Validar HC")</f>
        <v>Celi, Juan</v>
      </c>
      <c r="H2269" s="167">
        <v>2200286.0</v>
      </c>
      <c r="I2269" s="1">
        <v>42.0</v>
      </c>
    </row>
    <row r="2270" ht="15.75" customHeight="1">
      <c r="A2270" s="1">
        <v>5983370.0</v>
      </c>
      <c r="B2270" s="1" t="s">
        <v>5114</v>
      </c>
      <c r="C2270" s="1" t="s">
        <v>5115</v>
      </c>
      <c r="D2270" s="1" t="s">
        <v>224</v>
      </c>
      <c r="E2270" s="1" t="s">
        <v>478</v>
      </c>
      <c r="F2270" s="1" t="s">
        <v>6717</v>
      </c>
      <c r="G2270" s="1" t="str">
        <f>IFERROR(VLOOKUP(A2270,H_C!$A$2:$G$2628,7,0),"Validar HC")</f>
        <v>Celi, Juan</v>
      </c>
      <c r="H2270" s="167">
        <v>2200286.0</v>
      </c>
      <c r="I2270" s="1">
        <v>42.0</v>
      </c>
    </row>
    <row r="2271" ht="15.75" customHeight="1">
      <c r="A2271" s="1">
        <v>5967632.0</v>
      </c>
      <c r="B2271" s="1" t="s">
        <v>2127</v>
      </c>
      <c r="C2271" s="1" t="s">
        <v>2128</v>
      </c>
      <c r="D2271" s="1" t="s">
        <v>224</v>
      </c>
      <c r="E2271" s="1" t="s">
        <v>323</v>
      </c>
      <c r="F2271" s="1" t="s">
        <v>6717</v>
      </c>
      <c r="G2271" s="1" t="str">
        <f>IFERROR(VLOOKUP(A2271,H_C!$A$2:$G$2628,7,0),"Validar HC")</f>
        <v>Martinez, Wendy</v>
      </c>
      <c r="H2271" s="167">
        <v>2200286.0</v>
      </c>
      <c r="I2271" s="1">
        <v>42.0</v>
      </c>
    </row>
    <row r="2272" ht="15.75" customHeight="1">
      <c r="A2272" s="1">
        <v>5982873.0</v>
      </c>
      <c r="B2272" s="1" t="s">
        <v>2464</v>
      </c>
      <c r="C2272" s="1" t="s">
        <v>2465</v>
      </c>
      <c r="D2272" s="1" t="s">
        <v>224</v>
      </c>
      <c r="E2272" s="1" t="s">
        <v>986</v>
      </c>
      <c r="F2272" s="1" t="s">
        <v>6717</v>
      </c>
      <c r="G2272" s="1" t="str">
        <f>IFERROR(VLOOKUP(A2272,H_C!$A$2:$G$2628,7,0),"Validar HC")</f>
        <v>Garatejo, Natalia</v>
      </c>
      <c r="H2272" s="167">
        <v>2200286.0</v>
      </c>
      <c r="I2272" s="1">
        <v>42.0</v>
      </c>
    </row>
    <row r="2273" ht="15.75" customHeight="1">
      <c r="A2273" s="1">
        <v>5982877.0</v>
      </c>
      <c r="B2273" s="1" t="s">
        <v>2720</v>
      </c>
      <c r="C2273" s="1" t="s">
        <v>2721</v>
      </c>
      <c r="D2273" s="1" t="s">
        <v>224</v>
      </c>
      <c r="E2273" s="1" t="s">
        <v>478</v>
      </c>
      <c r="F2273" s="1" t="s">
        <v>6717</v>
      </c>
      <c r="G2273" s="1" t="str">
        <f>IFERROR(VLOOKUP(A2273,H_C!$A$2:$G$2628,7,0),"Validar HC")</f>
        <v>Celi, Juan</v>
      </c>
      <c r="H2273" s="167">
        <v>2200286.0</v>
      </c>
      <c r="I2273" s="1">
        <v>42.0</v>
      </c>
    </row>
    <row r="2274" ht="15.75" customHeight="1">
      <c r="A2274" s="1">
        <v>5964081.0</v>
      </c>
      <c r="B2274" s="1" t="s">
        <v>4684</v>
      </c>
      <c r="C2274" s="1" t="s">
        <v>4685</v>
      </c>
      <c r="D2274" s="1" t="s">
        <v>224</v>
      </c>
      <c r="E2274" s="1" t="s">
        <v>323</v>
      </c>
      <c r="F2274" s="1" t="s">
        <v>6717</v>
      </c>
      <c r="G2274" s="1" t="str">
        <f>IFERROR(VLOOKUP(A2274,H_C!$A$2:$G$2628,7,0),"Validar HC")</f>
        <v>Martinez, Wendy</v>
      </c>
      <c r="H2274" s="167">
        <v>2200286.0</v>
      </c>
      <c r="I2274" s="1">
        <v>42.0</v>
      </c>
    </row>
    <row r="2275" ht="15.75" customHeight="1">
      <c r="A2275" s="1">
        <v>5987503.0</v>
      </c>
      <c r="B2275" s="1" t="s">
        <v>5237</v>
      </c>
      <c r="C2275" s="1" t="s">
        <v>5238</v>
      </c>
      <c r="D2275" s="1" t="s">
        <v>224</v>
      </c>
      <c r="E2275" s="1" t="s">
        <v>361</v>
      </c>
      <c r="F2275" s="1" t="s">
        <v>6717</v>
      </c>
      <c r="G2275" s="1" t="str">
        <f>IFERROR(VLOOKUP(A2275,H_C!$A$2:$G$2628,7,0),"Validar HC")</f>
        <v>Gonzalez, Cristian</v>
      </c>
      <c r="H2275" s="167">
        <v>2200286.0</v>
      </c>
      <c r="I2275" s="1">
        <v>42.0</v>
      </c>
    </row>
    <row r="2276" ht="15.75" customHeight="1">
      <c r="A2276" s="1">
        <v>5929705.0</v>
      </c>
      <c r="B2276" s="1" t="s">
        <v>948</v>
      </c>
      <c r="C2276" s="1" t="s">
        <v>949</v>
      </c>
      <c r="D2276" s="1" t="s">
        <v>224</v>
      </c>
      <c r="E2276" s="1" t="s">
        <v>118</v>
      </c>
      <c r="F2276" s="1" t="s">
        <v>6717</v>
      </c>
      <c r="G2276" s="1" t="str">
        <f>IFERROR(VLOOKUP(A2276,H_C!$A$2:$G$2628,7,0),"Validar HC")</f>
        <v>Ospina, Michel</v>
      </c>
      <c r="H2276" s="167">
        <v>2200286.0</v>
      </c>
      <c r="I2276" s="1">
        <v>42.0</v>
      </c>
    </row>
    <row r="2277" ht="15.75" customHeight="1">
      <c r="A2277" s="1">
        <v>5988603.0</v>
      </c>
      <c r="B2277" s="1" t="s">
        <v>1184</v>
      </c>
      <c r="C2277" s="1" t="s">
        <v>1185</v>
      </c>
      <c r="D2277" s="1" t="s">
        <v>224</v>
      </c>
      <c r="E2277" s="1" t="s">
        <v>263</v>
      </c>
      <c r="F2277" s="1" t="s">
        <v>6717</v>
      </c>
      <c r="G2277" s="1" t="str">
        <f>IFERROR(VLOOKUP(A2277,H_C!$A$2:$G$2628,7,0),"Validar HC")</f>
        <v>Garcia, Helmer</v>
      </c>
      <c r="H2277" s="167">
        <v>2200286.0</v>
      </c>
      <c r="I2277" s="1">
        <v>42.0</v>
      </c>
    </row>
    <row r="2278" ht="15.75" customHeight="1">
      <c r="A2278" s="1">
        <v>5987600.0</v>
      </c>
      <c r="B2278" s="1" t="s">
        <v>888</v>
      </c>
      <c r="C2278" s="1" t="s">
        <v>889</v>
      </c>
      <c r="D2278" s="1" t="s">
        <v>224</v>
      </c>
      <c r="E2278" s="1" t="s">
        <v>118</v>
      </c>
      <c r="F2278" s="1" t="s">
        <v>6717</v>
      </c>
      <c r="G2278" s="1" t="str">
        <f>IFERROR(VLOOKUP(A2278,H_C!$A$2:$G$2628,7,0),"Validar HC")</f>
        <v>Ospina, Michel</v>
      </c>
      <c r="H2278" s="167">
        <v>2200286.0</v>
      </c>
      <c r="I2278" s="1">
        <v>42.0</v>
      </c>
    </row>
    <row r="2279" ht="15.75" customHeight="1">
      <c r="A2279" s="1">
        <v>5988701.0</v>
      </c>
      <c r="B2279" s="1" t="s">
        <v>3600</v>
      </c>
      <c r="C2279" s="1" t="s">
        <v>3601</v>
      </c>
      <c r="D2279" s="1" t="s">
        <v>224</v>
      </c>
      <c r="E2279" s="1" t="s">
        <v>118</v>
      </c>
      <c r="F2279" s="1" t="s">
        <v>6717</v>
      </c>
      <c r="G2279" s="1" t="str">
        <f>IFERROR(VLOOKUP(A2279,H_C!$A$2:$G$2628,7,0),"Validar HC")</f>
        <v>Ospina, Michel</v>
      </c>
      <c r="H2279" s="167">
        <v>2200286.0</v>
      </c>
      <c r="I2279" s="1">
        <v>42.0</v>
      </c>
    </row>
    <row r="2280" ht="15.75" customHeight="1">
      <c r="A2280" s="1">
        <v>5989052.0</v>
      </c>
      <c r="B2280" s="1" t="s">
        <v>3604</v>
      </c>
      <c r="C2280" s="1" t="s">
        <v>3605</v>
      </c>
      <c r="D2280" s="1" t="s">
        <v>224</v>
      </c>
      <c r="E2280" s="1" t="s">
        <v>118</v>
      </c>
      <c r="F2280" s="1" t="s">
        <v>6717</v>
      </c>
      <c r="G2280" s="1" t="str">
        <f>IFERROR(VLOOKUP(A2280,H_C!$A$2:$G$2628,7,0),"Validar HC")</f>
        <v>Ospina, Michel</v>
      </c>
      <c r="H2280" s="167">
        <v>2200286.0</v>
      </c>
      <c r="I2280" s="1">
        <v>42.0</v>
      </c>
    </row>
    <row r="2281" ht="15.75" customHeight="1">
      <c r="A2281" s="1">
        <v>5990136.0</v>
      </c>
      <c r="B2281" s="1" t="s">
        <v>3145</v>
      </c>
      <c r="C2281" s="1" t="s">
        <v>3146</v>
      </c>
      <c r="D2281" s="1" t="s">
        <v>224</v>
      </c>
      <c r="E2281" s="1" t="s">
        <v>412</v>
      </c>
      <c r="F2281" s="1" t="s">
        <v>6717</v>
      </c>
      <c r="G2281" s="1" t="str">
        <f>IFERROR(VLOOKUP(A2281,H_C!$A$2:$G$2628,7,0),"Validar HC")</f>
        <v>Ospina, Michel</v>
      </c>
      <c r="H2281" s="167">
        <v>2200286.0</v>
      </c>
      <c r="I2281" s="1">
        <v>42.0</v>
      </c>
    </row>
    <row r="2282" ht="15.75" customHeight="1">
      <c r="A2282" s="1">
        <v>5990164.0</v>
      </c>
      <c r="B2282" s="1" t="s">
        <v>3169</v>
      </c>
      <c r="C2282" s="1" t="s">
        <v>3170</v>
      </c>
      <c r="D2282" s="1" t="s">
        <v>224</v>
      </c>
      <c r="E2282" s="1" t="s">
        <v>412</v>
      </c>
      <c r="F2282" s="1" t="s">
        <v>6717</v>
      </c>
      <c r="G2282" s="1" t="str">
        <f>IFERROR(VLOOKUP(A2282,H_C!$A$2:$G$2628,7,0),"Validar HC")</f>
        <v>Ospina, Michel</v>
      </c>
      <c r="H2282" s="167">
        <v>2200286.0</v>
      </c>
      <c r="I2282" s="1">
        <v>42.0</v>
      </c>
    </row>
    <row r="2283" ht="15.75" customHeight="1">
      <c r="A2283" s="1">
        <v>5990107.0</v>
      </c>
      <c r="B2283" s="1" t="s">
        <v>3197</v>
      </c>
      <c r="C2283" s="1" t="s">
        <v>3198</v>
      </c>
      <c r="D2283" s="1" t="s">
        <v>224</v>
      </c>
      <c r="E2283" s="1" t="s">
        <v>412</v>
      </c>
      <c r="F2283" s="1" t="s">
        <v>6717</v>
      </c>
      <c r="G2283" s="1" t="str">
        <f>IFERROR(VLOOKUP(A2283,H_C!$A$2:$G$2628,7,0),"Validar HC")</f>
        <v>Ospina, Michel</v>
      </c>
      <c r="H2283" s="167">
        <v>2200286.0</v>
      </c>
      <c r="I2283" s="1">
        <v>42.0</v>
      </c>
    </row>
    <row r="2284" ht="15.75" customHeight="1">
      <c r="A2284" s="1">
        <v>5990104.0</v>
      </c>
      <c r="B2284" s="1" t="s">
        <v>2647</v>
      </c>
      <c r="C2284" s="1" t="s">
        <v>2648</v>
      </c>
      <c r="D2284" s="1" t="s">
        <v>224</v>
      </c>
      <c r="E2284" s="1" t="s">
        <v>412</v>
      </c>
      <c r="F2284" s="1" t="s">
        <v>6717</v>
      </c>
      <c r="G2284" s="1" t="str">
        <f>IFERROR(VLOOKUP(A2284,H_C!$A$2:$G$2628,7,0),"Validar HC")</f>
        <v>Ospina, Michel</v>
      </c>
      <c r="H2284" s="167">
        <v>2200286.0</v>
      </c>
      <c r="I2284" s="1">
        <v>42.0</v>
      </c>
    </row>
    <row r="2285" ht="15.75" customHeight="1">
      <c r="A2285" s="1">
        <v>5990106.0</v>
      </c>
      <c r="B2285" s="1" t="s">
        <v>3185</v>
      </c>
      <c r="C2285" s="1" t="s">
        <v>3186</v>
      </c>
      <c r="D2285" s="1" t="s">
        <v>224</v>
      </c>
      <c r="E2285" s="1" t="s">
        <v>412</v>
      </c>
      <c r="F2285" s="1" t="s">
        <v>6717</v>
      </c>
      <c r="G2285" s="1" t="str">
        <f>IFERROR(VLOOKUP(A2285,H_C!$A$2:$G$2628,7,0),"Validar HC")</f>
        <v>Ospina, Michel</v>
      </c>
      <c r="H2285" s="167">
        <v>2200286.0</v>
      </c>
      <c r="I2285" s="1">
        <v>42.0</v>
      </c>
    </row>
    <row r="2286" ht="15.75" customHeight="1">
      <c r="A2286" s="1">
        <v>5990151.0</v>
      </c>
      <c r="B2286" s="1" t="s">
        <v>3189</v>
      </c>
      <c r="C2286" s="1" t="s">
        <v>3190</v>
      </c>
      <c r="D2286" s="1" t="s">
        <v>224</v>
      </c>
      <c r="E2286" s="1" t="s">
        <v>412</v>
      </c>
      <c r="F2286" s="1" t="s">
        <v>6717</v>
      </c>
      <c r="G2286" s="1" t="str">
        <f>IFERROR(VLOOKUP(A2286,H_C!$A$2:$G$2628,7,0),"Validar HC")</f>
        <v>Ospina, Michel</v>
      </c>
      <c r="H2286" s="167">
        <v>2200286.0</v>
      </c>
      <c r="I2286" s="1">
        <v>42.0</v>
      </c>
    </row>
    <row r="2287" ht="15.75" customHeight="1">
      <c r="A2287" s="1">
        <v>5990178.0</v>
      </c>
      <c r="B2287" s="1" t="s">
        <v>3203</v>
      </c>
      <c r="C2287" s="1" t="s">
        <v>3204</v>
      </c>
      <c r="D2287" s="1" t="s">
        <v>224</v>
      </c>
      <c r="E2287" s="1" t="s">
        <v>412</v>
      </c>
      <c r="F2287" s="1" t="s">
        <v>6717</v>
      </c>
      <c r="G2287" s="1" t="str">
        <f>IFERROR(VLOOKUP(A2287,H_C!$A$2:$G$2628,7,0),"Validar HC")</f>
        <v>Ospina, Michel</v>
      </c>
      <c r="H2287" s="167">
        <v>2200286.0</v>
      </c>
      <c r="I2287" s="1">
        <v>42.0</v>
      </c>
    </row>
    <row r="2288" ht="15.75" customHeight="1">
      <c r="A2288" s="1">
        <v>5907062.0</v>
      </c>
      <c r="B2288" s="1" t="s">
        <v>929</v>
      </c>
      <c r="C2288" s="1" t="s">
        <v>930</v>
      </c>
      <c r="D2288" s="1" t="s">
        <v>224</v>
      </c>
      <c r="E2288" s="1" t="s">
        <v>120</v>
      </c>
      <c r="F2288" s="1" t="s">
        <v>6717</v>
      </c>
      <c r="G2288" s="1" t="str">
        <f>IFERROR(VLOOKUP(A2288,H_C!$A$2:$G$2628,7,0),"Validar HC")</f>
        <v>Ospina, Michel</v>
      </c>
      <c r="H2288" s="167">
        <v>2200286.0</v>
      </c>
      <c r="I2288" s="1">
        <v>42.0</v>
      </c>
    </row>
    <row r="2289" ht="15.75" customHeight="1">
      <c r="A2289" s="1">
        <v>5987148.0</v>
      </c>
      <c r="B2289" s="1" t="s">
        <v>2669</v>
      </c>
      <c r="C2289" s="1" t="s">
        <v>2670</v>
      </c>
      <c r="D2289" s="1" t="s">
        <v>224</v>
      </c>
      <c r="E2289" s="1" t="s">
        <v>9</v>
      </c>
      <c r="F2289" s="1" t="s">
        <v>6717</v>
      </c>
      <c r="G2289" s="1" t="str">
        <f>IFERROR(VLOOKUP(A2289,H_C!$A$2:$G$2628,7,0),"Validar HC")</f>
        <v>Celi, Juan</v>
      </c>
      <c r="H2289" s="167">
        <v>2200286.0</v>
      </c>
      <c r="I2289" s="1">
        <v>42.0</v>
      </c>
    </row>
    <row r="2290" ht="15.75" customHeight="1">
      <c r="A2290" s="1">
        <v>5987330.0</v>
      </c>
      <c r="B2290" s="1" t="s">
        <v>787</v>
      </c>
      <c r="C2290" s="1" t="s">
        <v>788</v>
      </c>
      <c r="D2290" s="1" t="s">
        <v>224</v>
      </c>
      <c r="E2290" s="1" t="s">
        <v>289</v>
      </c>
      <c r="F2290" s="1" t="s">
        <v>6717</v>
      </c>
      <c r="G2290" s="1" t="str">
        <f>IFERROR(VLOOKUP(A2290,H_C!$A$2:$G$2628,7,0),"Validar HC")</f>
        <v>Celi, Juan</v>
      </c>
      <c r="H2290" s="167">
        <v>2200286.0</v>
      </c>
      <c r="I2290" s="1">
        <v>42.0</v>
      </c>
    </row>
    <row r="2291" ht="15.75" customHeight="1">
      <c r="A2291" s="1">
        <v>5987110.0</v>
      </c>
      <c r="B2291" s="1" t="s">
        <v>5417</v>
      </c>
      <c r="C2291" s="1" t="s">
        <v>5418</v>
      </c>
      <c r="D2291" s="1" t="s">
        <v>224</v>
      </c>
      <c r="E2291" s="1" t="s">
        <v>289</v>
      </c>
      <c r="F2291" s="1" t="s">
        <v>6717</v>
      </c>
      <c r="G2291" s="1" t="str">
        <f>IFERROR(VLOOKUP(A2291,H_C!$A$2:$G$2628,7,0),"Validar HC")</f>
        <v>Celi, Juan</v>
      </c>
      <c r="H2291" s="167">
        <v>2200286.0</v>
      </c>
      <c r="I2291" s="1">
        <v>42.0</v>
      </c>
    </row>
    <row r="2292" ht="15.75" customHeight="1">
      <c r="A2292" s="1">
        <v>5987546.0</v>
      </c>
      <c r="B2292" s="1" t="s">
        <v>5419</v>
      </c>
      <c r="C2292" s="1" t="s">
        <v>5420</v>
      </c>
      <c r="D2292" s="1" t="s">
        <v>224</v>
      </c>
      <c r="E2292" s="1" t="s">
        <v>289</v>
      </c>
      <c r="F2292" s="1" t="s">
        <v>6717</v>
      </c>
      <c r="G2292" s="1" t="str">
        <f>IFERROR(VLOOKUP(A2292,H_C!$A$2:$G$2628,7,0),"Validar HC")</f>
        <v>Celi, Juan</v>
      </c>
      <c r="H2292" s="167">
        <v>2200286.0</v>
      </c>
      <c r="I2292" s="1">
        <v>42.0</v>
      </c>
    </row>
    <row r="2293" ht="15.75" customHeight="1">
      <c r="A2293" s="1">
        <v>5987047.0</v>
      </c>
      <c r="B2293" s="1" t="s">
        <v>5197</v>
      </c>
      <c r="C2293" s="1" t="s">
        <v>5198</v>
      </c>
      <c r="D2293" s="1" t="s">
        <v>224</v>
      </c>
      <c r="E2293" s="1" t="s">
        <v>478</v>
      </c>
      <c r="F2293" s="1" t="s">
        <v>6717</v>
      </c>
      <c r="G2293" s="1" t="str">
        <f>IFERROR(VLOOKUP(A2293,H_C!$A$2:$G$2628,7,0),"Validar HC")</f>
        <v>Celi, Juan</v>
      </c>
      <c r="H2293" s="167">
        <v>2200286.0</v>
      </c>
      <c r="I2293" s="1">
        <v>42.0</v>
      </c>
    </row>
    <row r="2294" ht="15.75" customHeight="1">
      <c r="A2294" s="1">
        <v>5987119.0</v>
      </c>
      <c r="B2294" s="1" t="s">
        <v>5355</v>
      </c>
      <c r="C2294" s="1" t="s">
        <v>5356</v>
      </c>
      <c r="D2294" s="1" t="s">
        <v>224</v>
      </c>
      <c r="E2294" s="1" t="s">
        <v>457</v>
      </c>
      <c r="F2294" s="1" t="s">
        <v>6717</v>
      </c>
      <c r="G2294" s="1" t="str">
        <f>IFERROR(VLOOKUP(A2294,H_C!$A$2:$G$2628,7,0),"Validar HC")</f>
        <v>Celi, Juan</v>
      </c>
      <c r="H2294" s="167">
        <v>2200286.0</v>
      </c>
      <c r="I2294" s="1">
        <v>42.0</v>
      </c>
    </row>
    <row r="2295" ht="15.75" customHeight="1">
      <c r="A2295" s="1">
        <v>5987115.0</v>
      </c>
      <c r="B2295" s="1" t="s">
        <v>5353</v>
      </c>
      <c r="C2295" s="1" t="s">
        <v>5354</v>
      </c>
      <c r="D2295" s="1" t="s">
        <v>224</v>
      </c>
      <c r="E2295" s="1" t="s">
        <v>457</v>
      </c>
      <c r="F2295" s="1" t="s">
        <v>6717</v>
      </c>
      <c r="G2295" s="1" t="str">
        <f>IFERROR(VLOOKUP(A2295,H_C!$A$2:$G$2628,7,0),"Validar HC")</f>
        <v>Celi, Juan</v>
      </c>
      <c r="H2295" s="167">
        <v>2200286.0</v>
      </c>
      <c r="I2295" s="1">
        <v>42.0</v>
      </c>
    </row>
    <row r="2296" ht="15.75" customHeight="1">
      <c r="A2296" s="1">
        <v>5987050.0</v>
      </c>
      <c r="B2296" s="1" t="s">
        <v>3904</v>
      </c>
      <c r="C2296" s="1" t="s">
        <v>3905</v>
      </c>
      <c r="D2296" s="1" t="s">
        <v>224</v>
      </c>
      <c r="E2296" s="1" t="s">
        <v>478</v>
      </c>
      <c r="F2296" s="1" t="s">
        <v>6717</v>
      </c>
      <c r="G2296" s="1" t="str">
        <f>IFERROR(VLOOKUP(A2296,H_C!$A$2:$G$2628,7,0),"Validar HC")</f>
        <v>Celi, Juan</v>
      </c>
      <c r="H2296" s="167">
        <v>2200286.0</v>
      </c>
      <c r="I2296" s="1">
        <v>42.0</v>
      </c>
    </row>
    <row r="2297" ht="15.75" customHeight="1">
      <c r="A2297" s="1">
        <v>5987328.0</v>
      </c>
      <c r="B2297" s="1" t="s">
        <v>4806</v>
      </c>
      <c r="C2297" s="1" t="s">
        <v>4807</v>
      </c>
      <c r="D2297" s="1" t="s">
        <v>224</v>
      </c>
      <c r="E2297" s="1" t="s">
        <v>457</v>
      </c>
      <c r="F2297" s="1" t="s">
        <v>6717</v>
      </c>
      <c r="G2297" s="1" t="str">
        <f>IFERROR(VLOOKUP(A2297,H_C!$A$2:$G$2628,7,0),"Validar HC")</f>
        <v>Celi, Juan</v>
      </c>
      <c r="H2297" s="167">
        <v>2200286.0</v>
      </c>
      <c r="I2297" s="1">
        <v>42.0</v>
      </c>
    </row>
    <row r="2298" ht="15.75" customHeight="1">
      <c r="A2298" s="1">
        <v>5994603.0</v>
      </c>
      <c r="B2298" s="1" t="s">
        <v>5391</v>
      </c>
      <c r="C2298" s="1" t="s">
        <v>5392</v>
      </c>
      <c r="D2298" s="1" t="s">
        <v>224</v>
      </c>
      <c r="E2298" s="1" t="s">
        <v>425</v>
      </c>
      <c r="F2298" s="1" t="s">
        <v>6717</v>
      </c>
      <c r="G2298" s="1" t="str">
        <f>IFERROR(VLOOKUP(A2298,H_C!$A$2:$G$2628,7,0),"Validar HC")</f>
        <v>Ospina, Michel</v>
      </c>
      <c r="H2298" s="167">
        <v>2200286.0</v>
      </c>
      <c r="I2298" s="1">
        <v>42.0</v>
      </c>
    </row>
    <row r="2299" ht="15.75" customHeight="1">
      <c r="A2299" s="1">
        <v>4095167.0</v>
      </c>
      <c r="B2299" s="1" t="s">
        <v>4570</v>
      </c>
      <c r="C2299" s="1" t="s">
        <v>4571</v>
      </c>
      <c r="D2299" s="1" t="s">
        <v>224</v>
      </c>
      <c r="E2299" s="1" t="s">
        <v>121</v>
      </c>
      <c r="F2299" s="1" t="s">
        <v>6717</v>
      </c>
      <c r="G2299" s="1" t="str">
        <f>IFERROR(VLOOKUP(A2299,H_C!$A$2:$G$2628,7,0),"Validar HC")</f>
        <v>Ospina, Michel</v>
      </c>
      <c r="H2299" s="167">
        <v>2200286.0</v>
      </c>
      <c r="I2299" s="1">
        <v>42.0</v>
      </c>
    </row>
    <row r="2300" ht="15.75" customHeight="1">
      <c r="A2300" s="1">
        <v>5350458.0</v>
      </c>
      <c r="B2300" s="1" t="s">
        <v>4316</v>
      </c>
      <c r="C2300" s="1" t="s">
        <v>4317</v>
      </c>
      <c r="D2300" s="1" t="s">
        <v>224</v>
      </c>
      <c r="E2300" s="1" t="s">
        <v>361</v>
      </c>
      <c r="F2300" s="1" t="s">
        <v>6717</v>
      </c>
      <c r="G2300" s="1" t="str">
        <f>IFERROR(VLOOKUP(A2300,H_C!$A$2:$G$2628,7,0),"Validar HC")</f>
        <v>Gonzalez, Cristian</v>
      </c>
      <c r="H2300" s="167">
        <v>2200286.0</v>
      </c>
      <c r="I2300" s="1">
        <v>42.0</v>
      </c>
    </row>
    <row r="2301" ht="15.75" customHeight="1">
      <c r="A2301" s="1">
        <v>5698076.0</v>
      </c>
      <c r="B2301" s="1" t="s">
        <v>5024</v>
      </c>
      <c r="C2301" s="1" t="s">
        <v>5025</v>
      </c>
      <c r="D2301" s="1" t="s">
        <v>224</v>
      </c>
      <c r="E2301" s="1" t="s">
        <v>361</v>
      </c>
      <c r="F2301" s="1" t="s">
        <v>6717</v>
      </c>
      <c r="G2301" s="1" t="str">
        <f>IFERROR(VLOOKUP(A2301,H_C!$A$2:$G$2628,7,0),"Validar HC")</f>
        <v>Gonzalez, Cristian</v>
      </c>
      <c r="H2301" s="167">
        <v>2200286.0</v>
      </c>
      <c r="I2301" s="1">
        <v>42.0</v>
      </c>
    </row>
    <row r="2302" ht="15.75" customHeight="1">
      <c r="A2302" s="1">
        <v>5995192.0</v>
      </c>
      <c r="B2302" s="1" t="s">
        <v>4544</v>
      </c>
      <c r="C2302" s="1" t="s">
        <v>4545</v>
      </c>
      <c r="D2302" s="1" t="s">
        <v>224</v>
      </c>
      <c r="E2302" s="1" t="s">
        <v>121</v>
      </c>
      <c r="F2302" s="1" t="s">
        <v>6717</v>
      </c>
      <c r="G2302" s="1" t="str">
        <f>IFERROR(VLOOKUP(A2302,H_C!$A$2:$G$2628,7,0),"Validar HC")</f>
        <v>Ospina, Michel</v>
      </c>
      <c r="H2302" s="167">
        <v>2200286.0</v>
      </c>
      <c r="I2302" s="1">
        <v>42.0</v>
      </c>
    </row>
    <row r="2303" ht="15.75" customHeight="1">
      <c r="A2303" s="1">
        <v>5995193.0</v>
      </c>
      <c r="B2303" s="1" t="s">
        <v>2787</v>
      </c>
      <c r="C2303" s="1" t="s">
        <v>2788</v>
      </c>
      <c r="D2303" s="1" t="s">
        <v>224</v>
      </c>
      <c r="E2303" s="1" t="s">
        <v>121</v>
      </c>
      <c r="F2303" s="1" t="s">
        <v>6717</v>
      </c>
      <c r="G2303" s="1" t="str">
        <f>IFERROR(VLOOKUP(A2303,H_C!$A$2:$G$2628,7,0),"Validar HC")</f>
        <v>Ospina, Michel</v>
      </c>
      <c r="H2303" s="167">
        <v>2200286.0</v>
      </c>
      <c r="I2303" s="1">
        <v>42.0</v>
      </c>
    </row>
    <row r="2304" ht="15.75" customHeight="1">
      <c r="A2304" s="1">
        <v>5996820.0</v>
      </c>
      <c r="B2304" s="1" t="s">
        <v>2940</v>
      </c>
      <c r="C2304" s="1" t="s">
        <v>2941</v>
      </c>
      <c r="D2304" s="1" t="s">
        <v>224</v>
      </c>
      <c r="E2304" s="1" t="s">
        <v>1186</v>
      </c>
      <c r="F2304" s="1" t="s">
        <v>6717</v>
      </c>
      <c r="G2304" s="1" t="str">
        <f>IFERROR(VLOOKUP(A2304,H_C!$A$2:$G$2628,7,0),"Validar HC")</f>
        <v>Soler, Maria</v>
      </c>
      <c r="H2304" s="167">
        <v>2200286.0</v>
      </c>
      <c r="I2304" s="1">
        <v>42.0</v>
      </c>
    </row>
    <row r="2305" ht="15.75" customHeight="1">
      <c r="A2305" s="1">
        <v>5997773.0</v>
      </c>
      <c r="B2305" s="1" t="s">
        <v>5159</v>
      </c>
      <c r="C2305" s="1" t="s">
        <v>5160</v>
      </c>
      <c r="D2305" s="1" t="s">
        <v>224</v>
      </c>
      <c r="E2305" s="1" t="s">
        <v>841</v>
      </c>
      <c r="F2305" s="1" t="s">
        <v>6717</v>
      </c>
      <c r="G2305" s="1" t="str">
        <f>IFERROR(VLOOKUP(A2305,H_C!$A$2:$G$2628,7,0),"Validar HC")</f>
        <v>Soler, Maria</v>
      </c>
      <c r="H2305" s="167">
        <v>2200286.0</v>
      </c>
      <c r="I2305" s="1">
        <v>42.0</v>
      </c>
    </row>
    <row r="2306" ht="15.75" customHeight="1">
      <c r="A2306" s="1">
        <v>5997774.0</v>
      </c>
      <c r="B2306" s="1" t="s">
        <v>5157</v>
      </c>
      <c r="C2306" s="1" t="s">
        <v>5158</v>
      </c>
      <c r="D2306" s="1" t="s">
        <v>224</v>
      </c>
      <c r="E2306" s="1" t="s">
        <v>841</v>
      </c>
      <c r="F2306" s="1" t="s">
        <v>6717</v>
      </c>
      <c r="G2306" s="1" t="str">
        <f>IFERROR(VLOOKUP(A2306,H_C!$A$2:$G$2628,7,0),"Validar HC")</f>
        <v>Soler, Maria</v>
      </c>
      <c r="H2306" s="167">
        <v>2200286.0</v>
      </c>
      <c r="I2306" s="1">
        <v>42.0</v>
      </c>
    </row>
    <row r="2307" ht="15.75" customHeight="1">
      <c r="A2307" s="1">
        <v>4847778.0</v>
      </c>
      <c r="B2307" s="1" t="s">
        <v>2944</v>
      </c>
      <c r="C2307" s="1" t="s">
        <v>2945</v>
      </c>
      <c r="D2307" s="1" t="s">
        <v>224</v>
      </c>
      <c r="E2307" s="1" t="s">
        <v>1186</v>
      </c>
      <c r="F2307" s="1" t="s">
        <v>6717</v>
      </c>
      <c r="G2307" s="1" t="str">
        <f>IFERROR(VLOOKUP(A2307,H_C!$A$2:$G$2628,7,0),"Validar HC")</f>
        <v>Soler, Maria</v>
      </c>
      <c r="H2307" s="167">
        <v>2200286.0</v>
      </c>
      <c r="I2307" s="1">
        <v>42.0</v>
      </c>
    </row>
    <row r="2308" ht="15.75" customHeight="1">
      <c r="A2308" s="1">
        <v>5997776.0</v>
      </c>
      <c r="B2308" s="1" t="s">
        <v>2934</v>
      </c>
      <c r="C2308" s="1" t="s">
        <v>2935</v>
      </c>
      <c r="D2308" s="1" t="s">
        <v>224</v>
      </c>
      <c r="E2308" s="1" t="s">
        <v>1186</v>
      </c>
      <c r="F2308" s="1" t="s">
        <v>6717</v>
      </c>
      <c r="G2308" s="1" t="str">
        <f>IFERROR(VLOOKUP(A2308,H_C!$A$2:$G$2628,7,0),"Validar HC")</f>
        <v>Soler, Maria</v>
      </c>
      <c r="H2308" s="167">
        <v>2200286.0</v>
      </c>
      <c r="I2308" s="1">
        <v>42.0</v>
      </c>
    </row>
    <row r="2309" ht="15.75" customHeight="1">
      <c r="A2309" s="1">
        <v>5997771.0</v>
      </c>
      <c r="B2309" s="1" t="s">
        <v>6802</v>
      </c>
      <c r="C2309" s="1" t="s">
        <v>6803</v>
      </c>
      <c r="D2309" s="1" t="s">
        <v>224</v>
      </c>
      <c r="E2309" s="1" t="s">
        <v>1186</v>
      </c>
      <c r="F2309" s="1" t="s">
        <v>6717</v>
      </c>
      <c r="G2309" s="1" t="str">
        <f>IFERROR(VLOOKUP(A2309,H_C!$A$2:$G$2628,7,0),"Validar HC")</f>
        <v>Validar HC</v>
      </c>
      <c r="H2309" s="167">
        <v>2200286.0</v>
      </c>
      <c r="I2309" s="1">
        <v>42.0</v>
      </c>
    </row>
    <row r="2310" ht="15.75" customHeight="1">
      <c r="A2310" s="1">
        <v>5999374.0</v>
      </c>
      <c r="B2310" s="1" t="s">
        <v>5387</v>
      </c>
      <c r="C2310" s="1" t="s">
        <v>5388</v>
      </c>
      <c r="D2310" s="1" t="s">
        <v>224</v>
      </c>
      <c r="E2310" s="1" t="s">
        <v>425</v>
      </c>
      <c r="F2310" s="1" t="s">
        <v>6717</v>
      </c>
      <c r="G2310" s="1" t="str">
        <f>IFERROR(VLOOKUP(A2310,H_C!$A$2:$G$2628,7,0),"Validar HC")</f>
        <v>Ospina, Michel</v>
      </c>
      <c r="H2310" s="167">
        <v>2200286.0</v>
      </c>
      <c r="I2310" s="1">
        <v>42.0</v>
      </c>
    </row>
    <row r="2311" ht="15.75" customHeight="1">
      <c r="A2311" s="1">
        <v>5998544.0</v>
      </c>
      <c r="B2311" s="1" t="s">
        <v>2750</v>
      </c>
      <c r="C2311" s="1" t="s">
        <v>2751</v>
      </c>
      <c r="D2311" s="1" t="s">
        <v>224</v>
      </c>
      <c r="E2311" s="1" t="s">
        <v>121</v>
      </c>
      <c r="F2311" s="1" t="s">
        <v>6717</v>
      </c>
      <c r="G2311" s="1" t="str">
        <f>IFERROR(VLOOKUP(A2311,H_C!$A$2:$G$2628,7,0),"Validar HC")</f>
        <v>Ospina, Michel</v>
      </c>
      <c r="H2311" s="167">
        <v>2200286.0</v>
      </c>
      <c r="I2311" s="1">
        <v>42.0</v>
      </c>
    </row>
    <row r="2312" ht="15.75" customHeight="1">
      <c r="A2312" s="1">
        <v>6000225.0</v>
      </c>
      <c r="B2312" s="1" t="s">
        <v>5385</v>
      </c>
      <c r="C2312" s="1" t="s">
        <v>5386</v>
      </c>
      <c r="D2312" s="1" t="s">
        <v>224</v>
      </c>
      <c r="E2312" s="1" t="s">
        <v>425</v>
      </c>
      <c r="F2312" s="1" t="s">
        <v>6717</v>
      </c>
      <c r="G2312" s="1" t="str">
        <f>IFERROR(VLOOKUP(A2312,H_C!$A$2:$G$2628,7,0),"Validar HC")</f>
        <v>Ospina, Michel</v>
      </c>
      <c r="H2312" s="167">
        <v>2200286.0</v>
      </c>
      <c r="I2312" s="1">
        <v>42.0</v>
      </c>
    </row>
    <row r="2313" ht="15.75" customHeight="1">
      <c r="A2313" s="1">
        <v>6000218.0</v>
      </c>
      <c r="B2313" s="1" t="s">
        <v>2754</v>
      </c>
      <c r="C2313" s="1" t="s">
        <v>2755</v>
      </c>
      <c r="D2313" s="1" t="s">
        <v>224</v>
      </c>
      <c r="E2313" s="1" t="s">
        <v>121</v>
      </c>
      <c r="F2313" s="1" t="s">
        <v>6717</v>
      </c>
      <c r="G2313" s="1" t="str">
        <f>IFERROR(VLOOKUP(A2313,H_C!$A$2:$G$2628,7,0),"Validar HC")</f>
        <v>Ospina, Michel</v>
      </c>
      <c r="H2313" s="167">
        <v>2200286.0</v>
      </c>
      <c r="I2313" s="1">
        <v>42.0</v>
      </c>
    </row>
    <row r="2314" ht="15.75" customHeight="1">
      <c r="A2314" s="1">
        <v>4943075.0</v>
      </c>
      <c r="B2314" s="1" t="s">
        <v>1118</v>
      </c>
      <c r="C2314" s="1" t="s">
        <v>1119</v>
      </c>
      <c r="D2314" s="1" t="s">
        <v>224</v>
      </c>
      <c r="E2314" s="1" t="s">
        <v>724</v>
      </c>
      <c r="F2314" s="1" t="s">
        <v>6717</v>
      </c>
      <c r="G2314" s="1" t="str">
        <f>IFERROR(VLOOKUP(A2314,H_C!$A$2:$G$2628,7,0),"Validar HC")</f>
        <v>Garcia, Helmer</v>
      </c>
      <c r="H2314" s="167">
        <v>2200286.0</v>
      </c>
      <c r="I2314" s="1">
        <v>42.0</v>
      </c>
    </row>
    <row r="2315" ht="15.75" customHeight="1">
      <c r="A2315" s="1">
        <v>6000254.0</v>
      </c>
      <c r="B2315" s="1" t="s">
        <v>1114</v>
      </c>
      <c r="C2315" s="1" t="s">
        <v>1115</v>
      </c>
      <c r="D2315" s="1" t="s">
        <v>224</v>
      </c>
      <c r="E2315" s="1" t="s">
        <v>724</v>
      </c>
      <c r="F2315" s="1" t="s">
        <v>6717</v>
      </c>
      <c r="G2315" s="1" t="str">
        <f>IFERROR(VLOOKUP(A2315,H_C!$A$2:$G$2628,7,0),"Validar HC")</f>
        <v>Garcia, Helmer</v>
      </c>
      <c r="H2315" s="167">
        <v>2200286.0</v>
      </c>
      <c r="I2315" s="1">
        <v>42.0</v>
      </c>
    </row>
    <row r="2316" ht="15.75" customHeight="1">
      <c r="A2316" s="1">
        <v>4656971.0</v>
      </c>
      <c r="B2316" s="1" t="s">
        <v>1042</v>
      </c>
      <c r="C2316" s="1" t="s">
        <v>1043</v>
      </c>
      <c r="D2316" s="1" t="s">
        <v>224</v>
      </c>
      <c r="E2316" s="1" t="s">
        <v>724</v>
      </c>
      <c r="F2316" s="1" t="s">
        <v>6717</v>
      </c>
      <c r="G2316" s="1" t="str">
        <f>IFERROR(VLOOKUP(A2316,H_C!$A$2:$G$2628,7,0),"Validar HC")</f>
        <v>Garcia, Helmer</v>
      </c>
      <c r="H2316" s="167">
        <v>2200286.0</v>
      </c>
      <c r="I2316" s="1">
        <v>42.0</v>
      </c>
    </row>
    <row r="2317" ht="15.75" customHeight="1">
      <c r="A2317" s="1">
        <v>6000226.0</v>
      </c>
      <c r="B2317" s="1" t="s">
        <v>3785</v>
      </c>
      <c r="C2317" s="1" t="s">
        <v>3786</v>
      </c>
      <c r="D2317" s="1" t="s">
        <v>224</v>
      </c>
      <c r="E2317" s="1" t="s">
        <v>3784</v>
      </c>
      <c r="F2317" s="1" t="s">
        <v>6717</v>
      </c>
      <c r="G2317" s="1" t="str">
        <f>IFERROR(VLOOKUP(A2317,H_C!$A$2:$G$2628,7,0),"Validar HC")</f>
        <v>Soler, Maria</v>
      </c>
      <c r="H2317" s="167">
        <v>2200286.0</v>
      </c>
      <c r="I2317" s="1">
        <v>42.0</v>
      </c>
    </row>
    <row r="2318" ht="15.75" customHeight="1">
      <c r="A2318" s="1">
        <v>5999763.0</v>
      </c>
      <c r="B2318" s="1" t="s">
        <v>4238</v>
      </c>
      <c r="C2318" s="1" t="s">
        <v>4239</v>
      </c>
      <c r="D2318" s="1" t="s">
        <v>224</v>
      </c>
      <c r="E2318" s="1" t="s">
        <v>3784</v>
      </c>
      <c r="F2318" s="1" t="s">
        <v>6717</v>
      </c>
      <c r="G2318" s="1" t="str">
        <f>IFERROR(VLOOKUP(A2318,H_C!$A$2:$G$2628,7,0),"Validar HC")</f>
        <v>Soler, Maria</v>
      </c>
      <c r="H2318" s="167">
        <v>2200286.0</v>
      </c>
      <c r="I2318" s="1">
        <v>42.0</v>
      </c>
    </row>
    <row r="2319" ht="15.75" customHeight="1">
      <c r="A2319" s="1">
        <v>5999752.0</v>
      </c>
      <c r="B2319" s="1" t="s">
        <v>1129</v>
      </c>
      <c r="C2319" s="1" t="s">
        <v>1130</v>
      </c>
      <c r="D2319" s="1" t="s">
        <v>224</v>
      </c>
      <c r="E2319" s="1" t="s">
        <v>724</v>
      </c>
      <c r="F2319" s="1" t="s">
        <v>6717</v>
      </c>
      <c r="G2319" s="1" t="str">
        <f>IFERROR(VLOOKUP(A2319,H_C!$A$2:$G$2628,7,0),"Validar HC")</f>
        <v>Garcia, Helmer</v>
      </c>
      <c r="H2319" s="167">
        <v>2200286.0</v>
      </c>
      <c r="I2319" s="1">
        <v>42.0</v>
      </c>
    </row>
    <row r="2320" ht="15.75" customHeight="1">
      <c r="A2320" s="1">
        <v>6000204.0</v>
      </c>
      <c r="B2320" s="1" t="s">
        <v>1112</v>
      </c>
      <c r="C2320" s="1" t="s">
        <v>1113</v>
      </c>
      <c r="D2320" s="1" t="s">
        <v>224</v>
      </c>
      <c r="E2320" s="1" t="s">
        <v>724</v>
      </c>
      <c r="F2320" s="1" t="s">
        <v>6717</v>
      </c>
      <c r="G2320" s="1" t="str">
        <f>IFERROR(VLOOKUP(A2320,H_C!$A$2:$G$2628,7,0),"Validar HC")</f>
        <v>Garcia, Helmer</v>
      </c>
      <c r="H2320" s="167">
        <v>2200286.0</v>
      </c>
      <c r="I2320" s="1">
        <v>42.0</v>
      </c>
    </row>
    <row r="2321" ht="15.75" customHeight="1">
      <c r="A2321" s="1">
        <v>6000248.0</v>
      </c>
      <c r="B2321" s="1" t="s">
        <v>1099</v>
      </c>
      <c r="C2321" s="1" t="s">
        <v>1100</v>
      </c>
      <c r="D2321" s="1" t="s">
        <v>224</v>
      </c>
      <c r="E2321" s="1" t="s">
        <v>724</v>
      </c>
      <c r="F2321" s="1" t="s">
        <v>6717</v>
      </c>
      <c r="G2321" s="1" t="str">
        <f>IFERROR(VLOOKUP(A2321,H_C!$A$2:$G$2628,7,0),"Validar HC")</f>
        <v>Garcia, Helmer</v>
      </c>
      <c r="H2321" s="167">
        <v>2200286.0</v>
      </c>
      <c r="I2321" s="1">
        <v>42.0</v>
      </c>
    </row>
    <row r="2322" ht="15.75" customHeight="1">
      <c r="A2322" s="1">
        <v>5999803.0</v>
      </c>
      <c r="B2322" s="1" t="s">
        <v>4234</v>
      </c>
      <c r="C2322" s="1" t="s">
        <v>4235</v>
      </c>
      <c r="D2322" s="1" t="s">
        <v>224</v>
      </c>
      <c r="E2322" s="1" t="s">
        <v>491</v>
      </c>
      <c r="F2322" s="1" t="s">
        <v>6717</v>
      </c>
      <c r="G2322" s="1" t="str">
        <f>IFERROR(VLOOKUP(A2322,H_C!$A$2:$G$2628,7,0),"Validar HC")</f>
        <v>Soler, Maria</v>
      </c>
      <c r="H2322" s="167">
        <v>2200286.0</v>
      </c>
      <c r="I2322" s="1">
        <v>42.0</v>
      </c>
    </row>
    <row r="2323" ht="15.75" customHeight="1">
      <c r="A2323" s="1">
        <v>5998246.0</v>
      </c>
      <c r="B2323" s="1" t="s">
        <v>3386</v>
      </c>
      <c r="C2323" s="1" t="s">
        <v>3387</v>
      </c>
      <c r="D2323" s="1" t="s">
        <v>224</v>
      </c>
      <c r="E2323" s="1" t="s">
        <v>254</v>
      </c>
      <c r="F2323" s="1" t="s">
        <v>6717</v>
      </c>
      <c r="G2323" s="1" t="str">
        <f>IFERROR(VLOOKUP(A2323,H_C!$A$2:$G$2628,7,0),"Validar HC")</f>
        <v>Gonzalez, Cristian</v>
      </c>
      <c r="H2323" s="167">
        <v>2200286.0</v>
      </c>
      <c r="I2323" s="1">
        <v>42.0</v>
      </c>
    </row>
    <row r="2324" ht="15.75" customHeight="1">
      <c r="A2324" s="1">
        <v>4297251.0</v>
      </c>
      <c r="B2324" s="1" t="s">
        <v>4542</v>
      </c>
      <c r="C2324" s="1" t="s">
        <v>4543</v>
      </c>
      <c r="D2324" s="1" t="s">
        <v>224</v>
      </c>
      <c r="E2324" s="1" t="s">
        <v>121</v>
      </c>
      <c r="F2324" s="1" t="s">
        <v>6717</v>
      </c>
      <c r="G2324" s="1" t="str">
        <f>IFERROR(VLOOKUP(A2324,H_C!$A$2:$G$2628,7,0),"Validar HC")</f>
        <v>Ospina, Michel</v>
      </c>
      <c r="H2324" s="167">
        <v>2200286.0</v>
      </c>
      <c r="I2324" s="1">
        <v>42.0</v>
      </c>
    </row>
    <row r="2325" ht="15.75" customHeight="1">
      <c r="A2325" s="1">
        <v>6001251.0</v>
      </c>
      <c r="B2325" s="1" t="s">
        <v>2779</v>
      </c>
      <c r="C2325" s="1" t="s">
        <v>2780</v>
      </c>
      <c r="D2325" s="1" t="s">
        <v>224</v>
      </c>
      <c r="E2325" s="1" t="s">
        <v>121</v>
      </c>
      <c r="F2325" s="1" t="s">
        <v>6717</v>
      </c>
      <c r="G2325" s="1" t="str">
        <f>IFERROR(VLOOKUP(A2325,H_C!$A$2:$G$2628,7,0),"Validar HC")</f>
        <v>Ospina, Michel</v>
      </c>
      <c r="H2325" s="167">
        <v>2200286.0</v>
      </c>
      <c r="I2325" s="1">
        <v>42.0</v>
      </c>
    </row>
    <row r="2326" ht="15.75" customHeight="1">
      <c r="A2326" s="1">
        <v>5346322.0</v>
      </c>
      <c r="B2326" s="1" t="s">
        <v>5373</v>
      </c>
      <c r="C2326" s="1" t="s">
        <v>5374</v>
      </c>
      <c r="D2326" s="1" t="s">
        <v>224</v>
      </c>
      <c r="E2326" s="1" t="s">
        <v>853</v>
      </c>
      <c r="F2326" s="1" t="s">
        <v>6717</v>
      </c>
      <c r="G2326" s="1" t="str">
        <f>IFERROR(VLOOKUP(A2326,H_C!$A$2:$G$2628,7,0),"Validar HC")</f>
        <v>Garcia, Helmer</v>
      </c>
      <c r="H2326" s="167">
        <v>2200286.0</v>
      </c>
      <c r="I2326" s="1">
        <v>42.0</v>
      </c>
    </row>
    <row r="2327" ht="15.75" customHeight="1">
      <c r="A2327" s="1">
        <v>6003418.0</v>
      </c>
      <c r="B2327" s="1" t="s">
        <v>5377</v>
      </c>
      <c r="C2327" s="1" t="s">
        <v>5378</v>
      </c>
      <c r="D2327" s="1" t="s">
        <v>224</v>
      </c>
      <c r="E2327" s="1" t="s">
        <v>853</v>
      </c>
      <c r="F2327" s="1" t="s">
        <v>6717</v>
      </c>
      <c r="G2327" s="1" t="str">
        <f>IFERROR(VLOOKUP(A2327,H_C!$A$2:$G$2628,7,0),"Validar HC")</f>
        <v>Garcia, Helmer</v>
      </c>
      <c r="H2327" s="167">
        <v>2200286.0</v>
      </c>
      <c r="I2327" s="1">
        <v>42.0</v>
      </c>
    </row>
    <row r="2328" ht="15.75" customHeight="1">
      <c r="A2328" s="1">
        <v>6003415.0</v>
      </c>
      <c r="B2328" s="1" t="s">
        <v>6804</v>
      </c>
      <c r="C2328" s="1" t="s">
        <v>6805</v>
      </c>
      <c r="D2328" s="1" t="s">
        <v>224</v>
      </c>
      <c r="E2328" s="1" t="s">
        <v>738</v>
      </c>
      <c r="F2328" s="1" t="s">
        <v>6717</v>
      </c>
      <c r="G2328" s="1" t="str">
        <f>IFERROR(VLOOKUP(A2328,H_C!$A$2:$G$2628,7,0),"Validar HC")</f>
        <v>Validar HC</v>
      </c>
      <c r="H2328" s="167">
        <v>2200286.0</v>
      </c>
      <c r="I2328" s="1">
        <v>42.0</v>
      </c>
    </row>
    <row r="2329" ht="15.75" customHeight="1">
      <c r="A2329" s="1">
        <v>6003019.0</v>
      </c>
      <c r="B2329" s="1" t="s">
        <v>5365</v>
      </c>
      <c r="C2329" s="1" t="s">
        <v>5366</v>
      </c>
      <c r="D2329" s="1" t="s">
        <v>224</v>
      </c>
      <c r="E2329" s="1" t="s">
        <v>853</v>
      </c>
      <c r="F2329" s="1" t="s">
        <v>6717</v>
      </c>
      <c r="G2329" s="1" t="str">
        <f>IFERROR(VLOOKUP(A2329,H_C!$A$2:$G$2628,7,0),"Validar HC")</f>
        <v>Garcia, Helmer</v>
      </c>
      <c r="H2329" s="167">
        <v>2200286.0</v>
      </c>
      <c r="I2329" s="1">
        <v>42.0</v>
      </c>
    </row>
    <row r="2330" ht="15.75" customHeight="1">
      <c r="A2330" s="1">
        <v>6003419.0</v>
      </c>
      <c r="B2330" s="1" t="s">
        <v>5375</v>
      </c>
      <c r="C2330" s="1" t="s">
        <v>5376</v>
      </c>
      <c r="D2330" s="1" t="s">
        <v>224</v>
      </c>
      <c r="E2330" s="1" t="s">
        <v>853</v>
      </c>
      <c r="F2330" s="1" t="s">
        <v>6717</v>
      </c>
      <c r="G2330" s="1" t="str">
        <f>IFERROR(VLOOKUP(A2330,H_C!$A$2:$G$2628,7,0),"Validar HC")</f>
        <v>Garcia, Helmer</v>
      </c>
      <c r="H2330" s="167">
        <v>2200286.0</v>
      </c>
      <c r="I2330" s="1">
        <v>42.0</v>
      </c>
    </row>
    <row r="2331" ht="15.75" customHeight="1">
      <c r="A2331" s="1">
        <v>6003024.0</v>
      </c>
      <c r="B2331" s="1" t="s">
        <v>6806</v>
      </c>
      <c r="C2331" s="1" t="s">
        <v>6807</v>
      </c>
      <c r="D2331" s="1" t="s">
        <v>224</v>
      </c>
      <c r="E2331" s="1" t="s">
        <v>738</v>
      </c>
      <c r="F2331" s="1" t="s">
        <v>6717</v>
      </c>
      <c r="G2331" s="1" t="str">
        <f>IFERROR(VLOOKUP(A2331,H_C!$A$2:$G$2628,7,0),"Validar HC")</f>
        <v>Validar HC</v>
      </c>
      <c r="H2331" s="167">
        <v>2200286.0</v>
      </c>
      <c r="I2331" s="1">
        <v>42.0</v>
      </c>
    </row>
    <row r="2332" ht="15.75" customHeight="1">
      <c r="A2332" s="1">
        <v>6003026.0</v>
      </c>
      <c r="B2332" s="1" t="s">
        <v>5369</v>
      </c>
      <c r="C2332" s="1" t="s">
        <v>5370</v>
      </c>
      <c r="D2332" s="1" t="s">
        <v>224</v>
      </c>
      <c r="E2332" s="1" t="s">
        <v>853</v>
      </c>
      <c r="F2332" s="1" t="s">
        <v>6717</v>
      </c>
      <c r="G2332" s="1" t="str">
        <f>IFERROR(VLOOKUP(A2332,H_C!$A$2:$G$2628,7,0),"Validar HC")</f>
        <v>Garcia, Helmer</v>
      </c>
      <c r="H2332" s="167">
        <v>2200286.0</v>
      </c>
      <c r="I2332" s="1">
        <v>42.0</v>
      </c>
    </row>
    <row r="2333" ht="15.75" customHeight="1">
      <c r="A2333" s="1">
        <v>5978794.0</v>
      </c>
      <c r="B2333" s="1" t="s">
        <v>1440</v>
      </c>
      <c r="C2333" s="1" t="s">
        <v>1441</v>
      </c>
      <c r="D2333" s="1" t="s">
        <v>224</v>
      </c>
      <c r="E2333" s="1" t="s">
        <v>738</v>
      </c>
      <c r="F2333" s="1" t="s">
        <v>6717</v>
      </c>
      <c r="G2333" s="1" t="str">
        <f>IFERROR(VLOOKUP(A2333,H_C!$A$2:$G$2628,7,0),"Validar HC")</f>
        <v>Garcia, Helmer</v>
      </c>
      <c r="H2333" s="167">
        <v>2200286.0</v>
      </c>
      <c r="I2333" s="1">
        <v>42.0</v>
      </c>
    </row>
    <row r="2334" ht="15.75" customHeight="1">
      <c r="A2334" s="1">
        <v>5014120.0</v>
      </c>
      <c r="B2334" s="1" t="s">
        <v>5444</v>
      </c>
      <c r="C2334" s="1" t="s">
        <v>5445</v>
      </c>
      <c r="D2334" s="1" t="s">
        <v>224</v>
      </c>
      <c r="E2334" s="1" t="s">
        <v>738</v>
      </c>
      <c r="F2334" s="1" t="s">
        <v>6717</v>
      </c>
      <c r="G2334" s="1" t="str">
        <f>IFERROR(VLOOKUP(A2334,H_C!$A$2:$G$2628,7,0),"Validar HC")</f>
        <v>Garcia, Helmer</v>
      </c>
      <c r="H2334" s="167">
        <v>2200286.0</v>
      </c>
      <c r="I2334" s="1">
        <v>42.0</v>
      </c>
    </row>
    <row r="2335" ht="15.75" customHeight="1">
      <c r="A2335" s="1">
        <v>6004524.0</v>
      </c>
      <c r="B2335" s="1" t="s">
        <v>5371</v>
      </c>
      <c r="C2335" s="1" t="s">
        <v>5372</v>
      </c>
      <c r="D2335" s="1" t="s">
        <v>224</v>
      </c>
      <c r="E2335" s="1" t="s">
        <v>853</v>
      </c>
      <c r="F2335" s="1" t="s">
        <v>6717</v>
      </c>
      <c r="G2335" s="1" t="str">
        <f>IFERROR(VLOOKUP(A2335,H_C!$A$2:$G$2628,7,0),"Validar HC")</f>
        <v>Garcia, Helmer</v>
      </c>
      <c r="H2335" s="167">
        <v>2200286.0</v>
      </c>
      <c r="I2335" s="1">
        <v>42.0</v>
      </c>
    </row>
    <row r="2336" ht="15.75" customHeight="1">
      <c r="A2336" s="1">
        <v>6006188.0</v>
      </c>
      <c r="B2336" s="1" t="s">
        <v>5281</v>
      </c>
      <c r="C2336" s="1" t="s">
        <v>5282</v>
      </c>
      <c r="D2336" s="1" t="s">
        <v>224</v>
      </c>
      <c r="E2336" s="1" t="s">
        <v>738</v>
      </c>
      <c r="F2336" s="1" t="s">
        <v>6717</v>
      </c>
      <c r="G2336" s="1" t="str">
        <f>IFERROR(VLOOKUP(A2336,H_C!$A$2:$G$2628,7,0),"Validar HC")</f>
        <v>Garcia, Helmer</v>
      </c>
      <c r="H2336" s="167">
        <v>2200286.0</v>
      </c>
      <c r="I2336" s="1">
        <v>42.0</v>
      </c>
    </row>
    <row r="2337" ht="15.75" customHeight="1">
      <c r="A2337" s="1">
        <v>5493605.0</v>
      </c>
      <c r="B2337" s="1" t="s">
        <v>3023</v>
      </c>
      <c r="C2337" s="1" t="s">
        <v>3024</v>
      </c>
      <c r="D2337" s="1" t="s">
        <v>224</v>
      </c>
      <c r="E2337" s="1" t="s">
        <v>116</v>
      </c>
      <c r="F2337" s="1" t="s">
        <v>6717</v>
      </c>
      <c r="G2337" s="1" t="str">
        <f>IFERROR(VLOOKUP(A2337,H_C!$A$2:$G$2628,7,0),"Validar HC")</f>
        <v>Ospina, Michel</v>
      </c>
      <c r="H2337" s="167">
        <v>2200286.0</v>
      </c>
      <c r="I2337" s="1">
        <v>42.0</v>
      </c>
    </row>
    <row r="2338" ht="15.75" customHeight="1">
      <c r="A2338" s="1">
        <v>5674621.0</v>
      </c>
      <c r="B2338" s="1" t="s">
        <v>4952</v>
      </c>
      <c r="C2338" s="1" t="s">
        <v>4953</v>
      </c>
      <c r="D2338" s="1" t="s">
        <v>224</v>
      </c>
      <c r="E2338" s="1" t="s">
        <v>316</v>
      </c>
      <c r="F2338" s="1" t="s">
        <v>6717</v>
      </c>
      <c r="G2338" s="1" t="str">
        <f>IFERROR(VLOOKUP(A2338,H_C!$A$2:$G$2628,7,0),"Validar HC")</f>
        <v>Osorio, Julian</v>
      </c>
      <c r="H2338" s="167">
        <v>2200286.0</v>
      </c>
      <c r="I2338" s="1">
        <v>42.0</v>
      </c>
    </row>
    <row r="2339" ht="15.75" customHeight="1">
      <c r="A2339" s="1"/>
      <c r="B2339" s="1"/>
      <c r="C2339" s="1"/>
      <c r="D2339" s="1"/>
      <c r="E2339" s="1"/>
      <c r="F2339" s="1"/>
      <c r="G2339" s="1"/>
      <c r="H2339" s="162"/>
      <c r="I2339" s="1"/>
    </row>
    <row r="2340" ht="15.75" customHeight="1">
      <c r="A2340" s="1">
        <v>5346851.0</v>
      </c>
      <c r="B2340" s="1" t="s">
        <v>2990</v>
      </c>
      <c r="C2340" s="1" t="s">
        <v>2991</v>
      </c>
      <c r="D2340" s="1" t="s">
        <v>224</v>
      </c>
      <c r="E2340" s="1" t="s">
        <v>116</v>
      </c>
      <c r="F2340" s="1" t="s">
        <v>6717</v>
      </c>
      <c r="G2340" s="1" t="str">
        <f>IFERROR(VLOOKUP(A2340,H_C!$A$2:$G$2628,7,0),"Validar HC")</f>
        <v>Ospina, Michel</v>
      </c>
      <c r="H2340" s="167">
        <v>2200286.0</v>
      </c>
      <c r="I2340" s="1">
        <v>42.0</v>
      </c>
    </row>
    <row r="2341" ht="15.75" customHeight="1">
      <c r="A2341" s="1">
        <v>6010773.0</v>
      </c>
      <c r="B2341" s="1" t="s">
        <v>5448</v>
      </c>
      <c r="C2341" s="1" t="s">
        <v>5449</v>
      </c>
      <c r="D2341" s="1" t="s">
        <v>224</v>
      </c>
      <c r="E2341" s="1" t="s">
        <v>738</v>
      </c>
      <c r="F2341" s="1" t="s">
        <v>6717</v>
      </c>
      <c r="G2341" s="1" t="str">
        <f>IFERROR(VLOOKUP(A2341,H_C!$A$2:$G$2628,7,0),"Validar HC")</f>
        <v>Garcia, Helmer</v>
      </c>
      <c r="H2341" s="167">
        <v>2200286.0</v>
      </c>
      <c r="I2341" s="1">
        <v>42.0</v>
      </c>
    </row>
    <row r="2342" ht="15.75" customHeight="1">
      <c r="A2342" s="1">
        <v>6008897.0</v>
      </c>
      <c r="B2342" s="1" t="s">
        <v>3384</v>
      </c>
      <c r="C2342" s="1" t="s">
        <v>3385</v>
      </c>
      <c r="D2342" s="1" t="s">
        <v>224</v>
      </c>
      <c r="E2342" s="1" t="s">
        <v>254</v>
      </c>
      <c r="F2342" s="1" t="s">
        <v>6717</v>
      </c>
      <c r="G2342" s="1" t="str">
        <f>IFERROR(VLOOKUP(A2342,H_C!$A$2:$G$2628,7,0),"Validar HC")</f>
        <v>Gonzalez, Cristian</v>
      </c>
      <c r="H2342" s="167">
        <v>2200286.0</v>
      </c>
      <c r="I2342" s="1">
        <v>42.0</v>
      </c>
    </row>
    <row r="2343" ht="15.75" customHeight="1">
      <c r="A2343" s="1">
        <v>4907179.0</v>
      </c>
      <c r="B2343" s="1" t="s">
        <v>4318</v>
      </c>
      <c r="C2343" s="1" t="s">
        <v>4319</v>
      </c>
      <c r="D2343" s="1" t="s">
        <v>224</v>
      </c>
      <c r="E2343" s="1" t="s">
        <v>361</v>
      </c>
      <c r="F2343" s="1" t="s">
        <v>6717</v>
      </c>
      <c r="G2343" s="1" t="str">
        <f>IFERROR(VLOOKUP(A2343,H_C!$A$2:$G$2628,7,0),"Validar HC")</f>
        <v>Gonzalez, Cristian</v>
      </c>
      <c r="H2343" s="167">
        <v>2200286.0</v>
      </c>
      <c r="I2343" s="1">
        <v>42.0</v>
      </c>
    </row>
    <row r="2344" ht="15.75" customHeight="1">
      <c r="A2344" s="1">
        <v>6011447.0</v>
      </c>
      <c r="B2344" s="1" t="s">
        <v>5245</v>
      </c>
      <c r="C2344" s="1" t="s">
        <v>5246</v>
      </c>
      <c r="D2344" s="1" t="s">
        <v>224</v>
      </c>
      <c r="E2344" s="1" t="s">
        <v>361</v>
      </c>
      <c r="F2344" s="1" t="s">
        <v>6717</v>
      </c>
      <c r="G2344" s="1" t="str">
        <f>IFERROR(VLOOKUP(A2344,H_C!$A$2:$G$2628,7,0),"Validar HC")</f>
        <v>Gonzalez, Cristian</v>
      </c>
      <c r="H2344" s="167">
        <v>2200286.0</v>
      </c>
      <c r="I2344" s="1">
        <v>42.0</v>
      </c>
    </row>
    <row r="2345" ht="15.75" customHeight="1">
      <c r="A2345" s="1">
        <v>5846156.0</v>
      </c>
      <c r="B2345" s="1" t="s">
        <v>5026</v>
      </c>
      <c r="C2345" s="1" t="s">
        <v>5027</v>
      </c>
      <c r="D2345" s="1" t="s">
        <v>224</v>
      </c>
      <c r="E2345" s="1" t="s">
        <v>361</v>
      </c>
      <c r="F2345" s="1" t="s">
        <v>6717</v>
      </c>
      <c r="G2345" s="1" t="str">
        <f>IFERROR(VLOOKUP(A2345,H_C!$A$2:$G$2628,7,0),"Validar HC")</f>
        <v>Gonzalez, Cristian</v>
      </c>
      <c r="H2345" s="167">
        <v>2200286.0</v>
      </c>
      <c r="I2345" s="1">
        <v>42.0</v>
      </c>
    </row>
    <row r="2346" ht="15.75" customHeight="1">
      <c r="A2346" s="1">
        <v>5778673.0</v>
      </c>
      <c r="B2346" s="1" t="s">
        <v>4980</v>
      </c>
      <c r="C2346" s="1" t="s">
        <v>4981</v>
      </c>
      <c r="D2346" s="1" t="s">
        <v>224</v>
      </c>
      <c r="E2346" s="1" t="s">
        <v>316</v>
      </c>
      <c r="F2346" s="1" t="s">
        <v>6717</v>
      </c>
      <c r="G2346" s="1" t="str">
        <f>IFERROR(VLOOKUP(A2346,H_C!$A$2:$G$2628,7,0),"Validar HC")</f>
        <v>Osorio, Julian</v>
      </c>
      <c r="H2346" s="167">
        <v>2200286.0</v>
      </c>
      <c r="I2346" s="1">
        <v>42.0</v>
      </c>
    </row>
    <row r="2347" ht="15.75" customHeight="1">
      <c r="A2347" s="1">
        <v>5618619.0</v>
      </c>
      <c r="B2347" s="1" t="s">
        <v>5442</v>
      </c>
      <c r="C2347" s="1" t="s">
        <v>5443</v>
      </c>
      <c r="D2347" s="1">
        <v>127.0</v>
      </c>
      <c r="E2347" s="1" t="s">
        <v>316</v>
      </c>
      <c r="F2347" s="1" t="s">
        <v>6717</v>
      </c>
      <c r="G2347" s="1" t="str">
        <f>IFERROR(VLOOKUP(A2347,H_C!$A$2:$G$2628,7,0),"Validar HC")</f>
        <v>Osorio, Julian</v>
      </c>
      <c r="H2347" s="167">
        <v>2200286.0</v>
      </c>
      <c r="I2347" s="1">
        <v>42.0</v>
      </c>
    </row>
    <row r="2348" ht="15.75" customHeight="1">
      <c r="A2348" s="1">
        <v>5709731.0</v>
      </c>
      <c r="B2348" s="1" t="s">
        <v>5413</v>
      </c>
      <c r="C2348" s="1" t="s">
        <v>5414</v>
      </c>
      <c r="D2348" s="1" t="s">
        <v>224</v>
      </c>
      <c r="E2348" s="1" t="s">
        <v>316</v>
      </c>
      <c r="F2348" s="1" t="s">
        <v>6717</v>
      </c>
      <c r="G2348" s="1" t="str">
        <f>IFERROR(VLOOKUP(A2348,H_C!$A$2:$G$2628,7,0),"Validar HC")</f>
        <v>Osorio, Julian</v>
      </c>
      <c r="H2348" s="167">
        <v>2200286.0</v>
      </c>
      <c r="I2348" s="1">
        <v>42.0</v>
      </c>
    </row>
    <row r="2349" ht="15.75" customHeight="1">
      <c r="A2349" s="1">
        <v>5879174.0</v>
      </c>
      <c r="B2349" s="1" t="s">
        <v>1992</v>
      </c>
      <c r="C2349" s="1" t="s">
        <v>1993</v>
      </c>
      <c r="D2349" s="1" t="s">
        <v>224</v>
      </c>
      <c r="E2349" s="1" t="s">
        <v>316</v>
      </c>
      <c r="F2349" s="1" t="s">
        <v>6717</v>
      </c>
      <c r="G2349" s="1" t="str">
        <f>IFERROR(VLOOKUP(A2349,H_C!$A$2:$G$2628,7,0),"Validar HC")</f>
        <v>Osorio, Julian</v>
      </c>
      <c r="H2349" s="167">
        <v>2200286.0</v>
      </c>
      <c r="I2349" s="1">
        <v>42.0</v>
      </c>
    </row>
    <row r="2350" ht="15.75" customHeight="1">
      <c r="A2350" s="1">
        <v>5618617.0</v>
      </c>
      <c r="B2350" s="1" t="s">
        <v>4976</v>
      </c>
      <c r="C2350" s="1" t="s">
        <v>4977</v>
      </c>
      <c r="D2350" s="1" t="s">
        <v>224</v>
      </c>
      <c r="E2350" s="1" t="s">
        <v>316</v>
      </c>
      <c r="F2350" s="1" t="s">
        <v>6717</v>
      </c>
      <c r="G2350" s="1" t="str">
        <f>IFERROR(VLOOKUP(A2350,H_C!$A$2:$G$2628,7,0),"Validar HC")</f>
        <v>Osorio, Julian</v>
      </c>
      <c r="H2350" s="167">
        <v>2200286.0</v>
      </c>
      <c r="I2350" s="1">
        <v>42.0</v>
      </c>
    </row>
    <row r="2351" ht="15.75" customHeight="1">
      <c r="A2351" s="1">
        <v>6019104.0</v>
      </c>
      <c r="B2351" s="1" t="s">
        <v>4454</v>
      </c>
      <c r="C2351" s="1" t="s">
        <v>4455</v>
      </c>
      <c r="D2351" s="1" t="s">
        <v>224</v>
      </c>
      <c r="E2351" s="1" t="s">
        <v>695</v>
      </c>
      <c r="F2351" s="1" t="s">
        <v>6717</v>
      </c>
      <c r="G2351" s="1" t="str">
        <f>IFERROR(VLOOKUP(A2351,H_C!$A$2:$G$2628,7,0),"Validar HC")</f>
        <v>Ayala, Giselle</v>
      </c>
      <c r="H2351" s="167">
        <v>2200286.0</v>
      </c>
      <c r="I2351" s="1">
        <v>42.0</v>
      </c>
    </row>
    <row r="2352" ht="15.75" customHeight="1">
      <c r="A2352" s="1">
        <v>6019101.0</v>
      </c>
      <c r="B2352" s="1" t="s">
        <v>5409</v>
      </c>
      <c r="C2352" s="1" t="s">
        <v>5410</v>
      </c>
      <c r="D2352" s="1" t="s">
        <v>224</v>
      </c>
      <c r="E2352" s="1" t="s">
        <v>316</v>
      </c>
      <c r="F2352" s="1" t="s">
        <v>6717</v>
      </c>
      <c r="G2352" s="1" t="str">
        <f>IFERROR(VLOOKUP(A2352,H_C!$A$2:$G$2628,7,0),"Validar HC")</f>
        <v>Osorio, Julian</v>
      </c>
      <c r="H2352" s="167">
        <v>2200286.0</v>
      </c>
      <c r="I2352" s="1">
        <v>42.0</v>
      </c>
    </row>
    <row r="2353" ht="15.75" customHeight="1">
      <c r="A2353" s="1">
        <v>6019133.0</v>
      </c>
      <c r="B2353" s="1" t="s">
        <v>4958</v>
      </c>
      <c r="C2353" s="1" t="s">
        <v>4959</v>
      </c>
      <c r="D2353" s="1" t="s">
        <v>224</v>
      </c>
      <c r="E2353" s="1" t="s">
        <v>316</v>
      </c>
      <c r="F2353" s="1" t="s">
        <v>6717</v>
      </c>
      <c r="G2353" s="1" t="str">
        <f>IFERROR(VLOOKUP(A2353,H_C!$A$2:$G$2628,7,0),"Validar HC")</f>
        <v>Osorio, Julian</v>
      </c>
      <c r="H2353" s="167">
        <v>2200286.0</v>
      </c>
      <c r="I2353" s="1">
        <v>42.0</v>
      </c>
    </row>
    <row r="2354" ht="15.75" customHeight="1">
      <c r="A2354" s="1">
        <v>6019136.0</v>
      </c>
      <c r="B2354" s="1" t="s">
        <v>4460</v>
      </c>
      <c r="C2354" s="1" t="s">
        <v>4461</v>
      </c>
      <c r="D2354" s="1" t="s">
        <v>224</v>
      </c>
      <c r="E2354" s="1" t="s">
        <v>695</v>
      </c>
      <c r="F2354" s="1" t="s">
        <v>6717</v>
      </c>
      <c r="G2354" s="1" t="str">
        <f>IFERROR(VLOOKUP(A2354,H_C!$A$2:$G$2628,7,0),"Validar HC")</f>
        <v>Ayala, Giselle</v>
      </c>
      <c r="H2354" s="167">
        <v>2200286.0</v>
      </c>
      <c r="I2354" s="1">
        <v>42.0</v>
      </c>
    </row>
    <row r="2355" ht="15.75" customHeight="1">
      <c r="A2355" s="1">
        <v>6019139.0</v>
      </c>
      <c r="B2355" s="1" t="s">
        <v>5411</v>
      </c>
      <c r="C2355" s="1" t="s">
        <v>5412</v>
      </c>
      <c r="D2355" s="1" t="s">
        <v>224</v>
      </c>
      <c r="E2355" s="1" t="s">
        <v>316</v>
      </c>
      <c r="F2355" s="1" t="s">
        <v>6717</v>
      </c>
      <c r="G2355" s="1" t="str">
        <f>IFERROR(VLOOKUP(A2355,H_C!$A$2:$G$2628,7,0),"Validar HC")</f>
        <v>Osorio, Julian</v>
      </c>
      <c r="H2355" s="167">
        <v>2200286.0</v>
      </c>
      <c r="I2355" s="1">
        <v>42.0</v>
      </c>
    </row>
    <row r="2356" ht="15.75" customHeight="1">
      <c r="A2356" s="1">
        <v>6019103.0</v>
      </c>
      <c r="B2356" s="1" t="s">
        <v>2247</v>
      </c>
      <c r="C2356" s="1" t="s">
        <v>2248</v>
      </c>
      <c r="D2356" s="1" t="s">
        <v>224</v>
      </c>
      <c r="E2356" s="1" t="s">
        <v>813</v>
      </c>
      <c r="F2356" s="1" t="s">
        <v>6717</v>
      </c>
      <c r="G2356" s="1" t="str">
        <f>IFERROR(VLOOKUP(A2356,H_C!$A$2:$G$2628,7,0),"Validar HC")</f>
        <v>Garatejo, Natalia</v>
      </c>
      <c r="H2356" s="167">
        <v>2200286.0</v>
      </c>
      <c r="I2356" s="1">
        <v>42.0</v>
      </c>
    </row>
    <row r="2357" ht="15.75" customHeight="1">
      <c r="A2357" s="1">
        <v>6019197.0</v>
      </c>
      <c r="B2357" s="1" t="s">
        <v>4448</v>
      </c>
      <c r="C2357" s="1" t="s">
        <v>4449</v>
      </c>
      <c r="D2357" s="1" t="s">
        <v>224</v>
      </c>
      <c r="E2357" s="1" t="s">
        <v>695</v>
      </c>
      <c r="F2357" s="1" t="s">
        <v>6717</v>
      </c>
      <c r="G2357" s="1" t="str">
        <f>IFERROR(VLOOKUP(A2357,H_C!$A$2:$G$2628,7,0),"Validar HC")</f>
        <v>Ayala, Giselle</v>
      </c>
      <c r="H2357" s="167">
        <v>2200286.0</v>
      </c>
      <c r="I2357" s="1">
        <v>42.0</v>
      </c>
    </row>
    <row r="2358" ht="15.75" customHeight="1">
      <c r="A2358" s="1">
        <v>6019134.0</v>
      </c>
      <c r="B2358" s="1" t="s">
        <v>5421</v>
      </c>
      <c r="C2358" s="1" t="s">
        <v>5422</v>
      </c>
      <c r="D2358" s="1" t="s">
        <v>224</v>
      </c>
      <c r="E2358" s="1" t="s">
        <v>316</v>
      </c>
      <c r="F2358" s="1" t="s">
        <v>6717</v>
      </c>
      <c r="G2358" s="1" t="str">
        <f>IFERROR(VLOOKUP(A2358,H_C!$A$2:$G$2628,7,0),"Validar HC")</f>
        <v>Osorio, Julian</v>
      </c>
      <c r="H2358" s="167">
        <v>2200286.0</v>
      </c>
      <c r="I2358" s="1">
        <v>42.0</v>
      </c>
    </row>
    <row r="2359" ht="15.75" customHeight="1">
      <c r="A2359" s="1">
        <v>6019102.0</v>
      </c>
      <c r="B2359" s="1" t="s">
        <v>4382</v>
      </c>
      <c r="C2359" s="1" t="s">
        <v>4383</v>
      </c>
      <c r="D2359" s="1" t="s">
        <v>224</v>
      </c>
      <c r="E2359" s="1" t="s">
        <v>2285</v>
      </c>
      <c r="F2359" s="1" t="s">
        <v>6717</v>
      </c>
      <c r="G2359" s="1" t="str">
        <f>IFERROR(VLOOKUP(A2359,H_C!$A$2:$G$2628,7,0),"Validar HC")</f>
        <v>Ayala, Giselle</v>
      </c>
      <c r="H2359" s="167">
        <v>2200286.0</v>
      </c>
      <c r="I2359" s="1">
        <v>42.0</v>
      </c>
    </row>
    <row r="2360" ht="15.75" customHeight="1">
      <c r="A2360" s="1">
        <v>6019192.0</v>
      </c>
      <c r="B2360" s="1" t="s">
        <v>5407</v>
      </c>
      <c r="C2360" s="1" t="s">
        <v>5408</v>
      </c>
      <c r="D2360" s="1" t="s">
        <v>224</v>
      </c>
      <c r="E2360" s="1" t="s">
        <v>316</v>
      </c>
      <c r="F2360" s="1" t="s">
        <v>6717</v>
      </c>
      <c r="G2360" s="1" t="str">
        <f>IFERROR(VLOOKUP(A2360,H_C!$A$2:$G$2628,7,0),"Validar HC")</f>
        <v>Osorio, Julian</v>
      </c>
      <c r="H2360" s="167">
        <v>2200286.0</v>
      </c>
      <c r="I2360" s="1">
        <v>42.0</v>
      </c>
    </row>
    <row r="2361" ht="15.75" customHeight="1">
      <c r="A2361" s="1">
        <v>6019194.0</v>
      </c>
      <c r="B2361" s="1" t="s">
        <v>5415</v>
      </c>
      <c r="C2361" s="1" t="s">
        <v>5416</v>
      </c>
      <c r="D2361" s="1" t="s">
        <v>224</v>
      </c>
      <c r="E2361" s="1" t="s">
        <v>316</v>
      </c>
      <c r="F2361" s="1" t="s">
        <v>6717</v>
      </c>
      <c r="G2361" s="1" t="str">
        <f>IFERROR(VLOOKUP(A2361,H_C!$A$2:$G$2628,7,0),"Validar HC")</f>
        <v>Osorio, Julian</v>
      </c>
      <c r="H2361" s="167">
        <v>2200286.0</v>
      </c>
      <c r="I2361" s="1">
        <v>42.0</v>
      </c>
    </row>
    <row r="2362" ht="15.75" customHeight="1">
      <c r="A2362" s="1">
        <v>6019200.0</v>
      </c>
      <c r="B2362" s="1" t="s">
        <v>1988</v>
      </c>
      <c r="C2362" s="1" t="s">
        <v>1989</v>
      </c>
      <c r="D2362" s="1" t="s">
        <v>224</v>
      </c>
      <c r="E2362" s="1" t="s">
        <v>316</v>
      </c>
      <c r="F2362" s="1" t="s">
        <v>6717</v>
      </c>
      <c r="G2362" s="1" t="str">
        <f>IFERROR(VLOOKUP(A2362,H_C!$A$2:$G$2628,7,0),"Validar HC")</f>
        <v>Osorio, Julian</v>
      </c>
      <c r="H2362" s="167">
        <v>2200286.0</v>
      </c>
      <c r="I2362" s="1">
        <v>42.0</v>
      </c>
    </row>
    <row r="2363" ht="15.75" customHeight="1">
      <c r="A2363" s="1">
        <v>5506626.0</v>
      </c>
      <c r="B2363" s="1" t="s">
        <v>5090</v>
      </c>
      <c r="C2363" s="1" t="s">
        <v>5091</v>
      </c>
      <c r="D2363" s="1" t="s">
        <v>224</v>
      </c>
      <c r="E2363" s="1" t="s">
        <v>316</v>
      </c>
      <c r="F2363" s="1" t="s">
        <v>6717</v>
      </c>
      <c r="G2363" s="1" t="str">
        <f>IFERROR(VLOOKUP(A2363,H_C!$A$2:$G$2628,7,0),"Validar HC")</f>
        <v>Osorio, Julian</v>
      </c>
      <c r="H2363" s="167">
        <v>2200286.0</v>
      </c>
      <c r="I2363" s="1">
        <v>42.0</v>
      </c>
    </row>
    <row r="2364" ht="15.75" customHeight="1">
      <c r="A2364" s="1">
        <v>4699518.0</v>
      </c>
      <c r="B2364" s="1" t="s">
        <v>4422</v>
      </c>
      <c r="C2364" s="1" t="s">
        <v>4423</v>
      </c>
      <c r="D2364" s="1" t="s">
        <v>224</v>
      </c>
      <c r="E2364" s="1" t="s">
        <v>246</v>
      </c>
      <c r="F2364" s="1" t="s">
        <v>6717</v>
      </c>
      <c r="G2364" s="1" t="str">
        <f>IFERROR(VLOOKUP(A2364,H_C!$A$2:$G$2628,7,0),"Validar HC")</f>
        <v>Garcia, Helmer</v>
      </c>
      <c r="H2364" s="167">
        <v>2200286.0</v>
      </c>
      <c r="I2364" s="1">
        <v>42.0</v>
      </c>
    </row>
    <row r="2365" ht="15.75" customHeight="1">
      <c r="A2365" s="1">
        <v>6027943.0</v>
      </c>
      <c r="B2365" s="1" t="s">
        <v>4294</v>
      </c>
      <c r="C2365" s="1" t="s">
        <v>4295</v>
      </c>
      <c r="D2365" s="1" t="s">
        <v>224</v>
      </c>
      <c r="E2365" s="1" t="s">
        <v>361</v>
      </c>
      <c r="F2365" s="1" t="s">
        <v>6717</v>
      </c>
      <c r="G2365" s="1" t="str">
        <f>IFERROR(VLOOKUP(A2365,H_C!$A$2:$G$2628,7,0),"Validar HC")</f>
        <v>Gonzalez, Cristian</v>
      </c>
      <c r="H2365" s="167">
        <v>2200286.0</v>
      </c>
      <c r="I2365" s="1">
        <v>42.0</v>
      </c>
    </row>
    <row r="2366" ht="15.75" customHeight="1">
      <c r="A2366" s="1">
        <v>6027233.0</v>
      </c>
      <c r="B2366" s="1" t="s">
        <v>5487</v>
      </c>
      <c r="C2366" s="1" t="s">
        <v>5488</v>
      </c>
      <c r="D2366" s="1" t="s">
        <v>224</v>
      </c>
      <c r="E2366" s="1" t="s">
        <v>853</v>
      </c>
      <c r="F2366" s="1" t="s">
        <v>6717</v>
      </c>
      <c r="G2366" s="1" t="str">
        <f>IFERROR(VLOOKUP(A2366,H_C!$A$2:$G$2628,7,0),"Validar HC")</f>
        <v>Garcia, Helmer</v>
      </c>
      <c r="H2366" s="167">
        <v>2200286.0</v>
      </c>
      <c r="I2366" s="1">
        <v>42.0</v>
      </c>
    </row>
    <row r="2367" ht="15.75" customHeight="1">
      <c r="A2367" s="1">
        <v>6026257.0</v>
      </c>
      <c r="B2367" s="1" t="s">
        <v>5489</v>
      </c>
      <c r="C2367" s="1" t="s">
        <v>5490</v>
      </c>
      <c r="D2367" s="1" t="s">
        <v>224</v>
      </c>
      <c r="E2367" s="1" t="s">
        <v>853</v>
      </c>
      <c r="F2367" s="1" t="s">
        <v>6717</v>
      </c>
      <c r="G2367" s="1" t="str">
        <f>IFERROR(VLOOKUP(A2367,H_C!$A$2:$G$2628,7,0),"Validar HC")</f>
        <v>Garcia, Helmer</v>
      </c>
      <c r="H2367" s="167">
        <v>2200286.0</v>
      </c>
      <c r="I2367" s="1">
        <v>42.0</v>
      </c>
    </row>
    <row r="2368" ht="15.75" customHeight="1">
      <c r="A2368" s="1">
        <v>6028152.0</v>
      </c>
      <c r="B2368" s="1" t="s">
        <v>870</v>
      </c>
      <c r="C2368" s="1" t="s">
        <v>871</v>
      </c>
      <c r="D2368" s="1" t="s">
        <v>224</v>
      </c>
      <c r="E2368" s="1" t="s">
        <v>246</v>
      </c>
      <c r="F2368" s="1" t="s">
        <v>6717</v>
      </c>
      <c r="G2368" s="1" t="str">
        <f>IFERROR(VLOOKUP(A2368,H_C!$A$2:$G$2628,7,0),"Validar HC")</f>
        <v>Garcia, Helmer</v>
      </c>
      <c r="H2368" s="167">
        <v>2200286.0</v>
      </c>
      <c r="I2368" s="1">
        <v>42.0</v>
      </c>
    </row>
    <row r="2369" ht="15.75" customHeight="1">
      <c r="A2369" s="1">
        <v>6028154.0</v>
      </c>
      <c r="B2369" s="1" t="s">
        <v>2321</v>
      </c>
      <c r="C2369" s="1" t="s">
        <v>2322</v>
      </c>
      <c r="D2369" s="1" t="s">
        <v>224</v>
      </c>
      <c r="E2369" s="1" t="s">
        <v>986</v>
      </c>
      <c r="F2369" s="1" t="s">
        <v>6717</v>
      </c>
      <c r="G2369" s="1" t="str">
        <f>IFERROR(VLOOKUP(A2369,H_C!$A$2:$G$2628,7,0),"Validar HC")</f>
        <v>Garatejo, Natalia</v>
      </c>
      <c r="H2369" s="167">
        <v>2200286.0</v>
      </c>
      <c r="I2369" s="1">
        <v>42.0</v>
      </c>
    </row>
    <row r="2370" ht="15.75" customHeight="1">
      <c r="A2370" s="1">
        <v>6028145.0</v>
      </c>
      <c r="B2370" s="1" t="s">
        <v>5446</v>
      </c>
      <c r="C2370" s="1" t="s">
        <v>5447</v>
      </c>
      <c r="D2370" s="1" t="s">
        <v>224</v>
      </c>
      <c r="E2370" s="1" t="s">
        <v>1363</v>
      </c>
      <c r="F2370" s="1" t="s">
        <v>6717</v>
      </c>
      <c r="G2370" s="1" t="str">
        <f>IFERROR(VLOOKUP(A2370,H_C!$A$2:$G$2628,7,0),"Validar HC")</f>
        <v>Osorio, Julian</v>
      </c>
      <c r="H2370" s="167">
        <v>2200286.0</v>
      </c>
      <c r="I2370" s="1">
        <v>42.0</v>
      </c>
    </row>
    <row r="2371" ht="15.75" customHeight="1">
      <c r="A2371" s="1">
        <v>6028147.0</v>
      </c>
      <c r="B2371" s="1" t="s">
        <v>4442</v>
      </c>
      <c r="C2371" s="1" t="s">
        <v>4443</v>
      </c>
      <c r="D2371" s="1" t="s">
        <v>224</v>
      </c>
      <c r="E2371" s="1" t="s">
        <v>246</v>
      </c>
      <c r="F2371" s="1" t="s">
        <v>6717</v>
      </c>
      <c r="G2371" s="1" t="str">
        <f>IFERROR(VLOOKUP(A2371,H_C!$A$2:$G$2628,7,0),"Validar HC")</f>
        <v>Garcia, Helmer</v>
      </c>
      <c r="H2371" s="167">
        <v>2200286.0</v>
      </c>
      <c r="I2371" s="1">
        <v>42.0</v>
      </c>
    </row>
    <row r="2372" ht="15.75" customHeight="1">
      <c r="A2372" s="1">
        <v>6028146.0</v>
      </c>
      <c r="B2372" s="1" t="s">
        <v>1984</v>
      </c>
      <c r="C2372" s="1" t="s">
        <v>1985</v>
      </c>
      <c r="D2372" s="1" t="s">
        <v>224</v>
      </c>
      <c r="E2372" s="1" t="s">
        <v>1363</v>
      </c>
      <c r="F2372" s="1" t="s">
        <v>6717</v>
      </c>
      <c r="G2372" s="1" t="str">
        <f>IFERROR(VLOOKUP(A2372,H_C!$A$2:$G$2628,7,0),"Validar HC")</f>
        <v>Osorio, Julian</v>
      </c>
      <c r="H2372" s="167">
        <v>2200286.0</v>
      </c>
      <c r="I2372" s="1">
        <v>42.0</v>
      </c>
    </row>
    <row r="2373" ht="15.75" customHeight="1">
      <c r="A2373" s="1">
        <v>6028153.0</v>
      </c>
      <c r="B2373" s="1" t="s">
        <v>2183</v>
      </c>
      <c r="C2373" s="1" t="s">
        <v>2184</v>
      </c>
      <c r="D2373" s="1" t="s">
        <v>224</v>
      </c>
      <c r="E2373" s="1" t="s">
        <v>246</v>
      </c>
      <c r="F2373" s="1" t="s">
        <v>6717</v>
      </c>
      <c r="G2373" s="1" t="str">
        <f>IFERROR(VLOOKUP(A2373,H_C!$A$2:$G$2628,7,0),"Validar HC")</f>
        <v>Garcia, Helmer</v>
      </c>
      <c r="H2373" s="167">
        <v>2200286.0</v>
      </c>
      <c r="I2373" s="1">
        <v>42.0</v>
      </c>
    </row>
    <row r="2374" ht="15.75" customHeight="1">
      <c r="A2374" s="1">
        <v>6028240.0</v>
      </c>
      <c r="B2374" s="1" t="s">
        <v>5231</v>
      </c>
      <c r="C2374" s="1" t="s">
        <v>5232</v>
      </c>
      <c r="D2374" s="1" t="s">
        <v>224</v>
      </c>
      <c r="E2374" s="1" t="s">
        <v>361</v>
      </c>
      <c r="F2374" s="1" t="s">
        <v>6717</v>
      </c>
      <c r="G2374" s="1" t="str">
        <f>IFERROR(VLOOKUP(A2374,H_C!$A$2:$G$2628,7,0),"Validar HC")</f>
        <v>Gonzalez, Cristian</v>
      </c>
      <c r="H2374" s="167">
        <v>2200286.0</v>
      </c>
      <c r="I2374" s="1">
        <v>42.0</v>
      </c>
    </row>
    <row r="2375" ht="15.75" customHeight="1">
      <c r="A2375" s="1">
        <v>3626203.0</v>
      </c>
      <c r="B2375" s="1" t="s">
        <v>5229</v>
      </c>
      <c r="C2375" s="1" t="s">
        <v>5230</v>
      </c>
      <c r="D2375" s="1" t="s">
        <v>224</v>
      </c>
      <c r="E2375" s="1" t="s">
        <v>361</v>
      </c>
      <c r="F2375" s="1" t="s">
        <v>6717</v>
      </c>
      <c r="G2375" s="1" t="str">
        <f>IFERROR(VLOOKUP(A2375,H_C!$A$2:$G$2628,7,0),"Validar HC")</f>
        <v>Gonzalez, Cristian</v>
      </c>
      <c r="H2375" s="167">
        <v>2200286.0</v>
      </c>
      <c r="I2375" s="1">
        <v>42.0</v>
      </c>
    </row>
    <row r="2376" ht="15.75" customHeight="1">
      <c r="A2376" s="1">
        <v>6028310.0</v>
      </c>
      <c r="B2376" s="1" t="s">
        <v>5491</v>
      </c>
      <c r="C2376" s="1" t="s">
        <v>5492</v>
      </c>
      <c r="D2376" s="1" t="s">
        <v>224</v>
      </c>
      <c r="E2376" s="1" t="s">
        <v>853</v>
      </c>
      <c r="F2376" s="1" t="s">
        <v>6717</v>
      </c>
      <c r="G2376" s="1" t="str">
        <f>IFERROR(VLOOKUP(A2376,H_C!$A$2:$G$2628,7,0),"Validar HC")</f>
        <v>Garcia, Helmer</v>
      </c>
      <c r="H2376" s="167">
        <v>2200286.0</v>
      </c>
      <c r="I2376" s="1">
        <v>42.0</v>
      </c>
    </row>
    <row r="2377" ht="15.75" customHeight="1">
      <c r="A2377" s="1">
        <v>6028259.0</v>
      </c>
      <c r="B2377" s="1" t="s">
        <v>5493</v>
      </c>
      <c r="C2377" s="1" t="s">
        <v>5494</v>
      </c>
      <c r="D2377" s="1" t="s">
        <v>224</v>
      </c>
      <c r="E2377" s="1" t="s">
        <v>853</v>
      </c>
      <c r="F2377" s="1" t="s">
        <v>6717</v>
      </c>
      <c r="G2377" s="1" t="str">
        <f>IFERROR(VLOOKUP(A2377,H_C!$A$2:$G$2628,7,0),"Validar HC")</f>
        <v>Garcia, Helmer</v>
      </c>
      <c r="H2377" s="167">
        <v>2200286.0</v>
      </c>
      <c r="I2377" s="1">
        <v>42.0</v>
      </c>
    </row>
    <row r="2378" ht="15.75" customHeight="1">
      <c r="A2378" s="1">
        <v>6028239.0</v>
      </c>
      <c r="B2378" s="1" t="s">
        <v>5495</v>
      </c>
      <c r="C2378" s="1" t="s">
        <v>5496</v>
      </c>
      <c r="D2378" s="1" t="s">
        <v>224</v>
      </c>
      <c r="E2378" s="1" t="s">
        <v>853</v>
      </c>
      <c r="F2378" s="1" t="s">
        <v>6717</v>
      </c>
      <c r="G2378" s="1" t="str">
        <f>IFERROR(VLOOKUP(A2378,H_C!$A$2:$G$2628,7,0),"Validar HC")</f>
        <v>Garcia, Helmer</v>
      </c>
      <c r="H2378" s="167">
        <v>2200286.0</v>
      </c>
      <c r="I2378" s="1">
        <v>42.0</v>
      </c>
    </row>
    <row r="2379" ht="15.75" customHeight="1">
      <c r="A2379" s="1">
        <v>6028290.0</v>
      </c>
      <c r="B2379" s="1" t="s">
        <v>5497</v>
      </c>
      <c r="C2379" s="1" t="s">
        <v>5498</v>
      </c>
      <c r="D2379" s="1" t="s">
        <v>224</v>
      </c>
      <c r="E2379" s="1" t="s">
        <v>853</v>
      </c>
      <c r="F2379" s="1" t="s">
        <v>6717</v>
      </c>
      <c r="G2379" s="1" t="str">
        <f>IFERROR(VLOOKUP(A2379,H_C!$A$2:$G$2628,7,0),"Validar HC")</f>
        <v>Garcia, Helmer</v>
      </c>
      <c r="H2379" s="167">
        <v>2200286.0</v>
      </c>
      <c r="I2379" s="1">
        <v>42.0</v>
      </c>
    </row>
    <row r="2380" ht="15.75" customHeight="1">
      <c r="A2380" s="1">
        <v>4981955.0</v>
      </c>
      <c r="B2380" s="1" t="s">
        <v>861</v>
      </c>
      <c r="C2380" s="1" t="s">
        <v>862</v>
      </c>
      <c r="D2380" s="1" t="s">
        <v>224</v>
      </c>
      <c r="E2380" s="1" t="s">
        <v>246</v>
      </c>
      <c r="F2380" s="1" t="s">
        <v>6717</v>
      </c>
      <c r="G2380" s="1" t="str">
        <f>IFERROR(VLOOKUP(A2380,H_C!$A$2:$G$2628,7,0),"Validar HC")</f>
        <v>Garcia, Helmer</v>
      </c>
      <c r="H2380" s="167">
        <v>2200286.0</v>
      </c>
      <c r="I2380" s="1">
        <v>42.0</v>
      </c>
    </row>
    <row r="2381" ht="15.75" customHeight="1">
      <c r="A2381" s="1">
        <v>3354573.0</v>
      </c>
      <c r="B2381" s="1" t="s">
        <v>2243</v>
      </c>
      <c r="C2381" s="1" t="s">
        <v>2244</v>
      </c>
      <c r="D2381" s="1" t="s">
        <v>224</v>
      </c>
      <c r="E2381" s="1" t="s">
        <v>813</v>
      </c>
      <c r="F2381" s="1" t="s">
        <v>6717</v>
      </c>
      <c r="G2381" s="1" t="str">
        <f>IFERROR(VLOOKUP(A2381,H_C!$A$2:$G$2628,7,0),"Validar HC")</f>
        <v>Garatejo, Natalia</v>
      </c>
      <c r="H2381" s="167">
        <v>2200286.0</v>
      </c>
      <c r="I2381" s="1">
        <v>42.0</v>
      </c>
    </row>
    <row r="2382" ht="15.75" customHeight="1">
      <c r="A2382" s="1">
        <v>5103811.0</v>
      </c>
      <c r="B2382" s="1" t="s">
        <v>4664</v>
      </c>
      <c r="C2382" s="1" t="s">
        <v>4665</v>
      </c>
      <c r="D2382" s="1" t="s">
        <v>224</v>
      </c>
      <c r="E2382" s="1" t="s">
        <v>323</v>
      </c>
      <c r="F2382" s="1" t="s">
        <v>6717</v>
      </c>
      <c r="G2382" s="1" t="str">
        <f>IFERROR(VLOOKUP(A2382,H_C!$A$2:$G$2628,7,0),"Validar HC")</f>
        <v>Martinez, Wendy</v>
      </c>
      <c r="H2382" s="167">
        <v>2200286.0</v>
      </c>
      <c r="I2382" s="1">
        <v>42.0</v>
      </c>
    </row>
    <row r="2383" ht="15.75" customHeight="1">
      <c r="A2383" s="1">
        <v>4974065.0</v>
      </c>
      <c r="B2383" s="1" t="s">
        <v>6808</v>
      </c>
      <c r="C2383" s="1" t="s">
        <v>6809</v>
      </c>
      <c r="D2383" s="1" t="s">
        <v>224</v>
      </c>
      <c r="E2383" s="1" t="s">
        <v>1363</v>
      </c>
      <c r="F2383" s="1" t="s">
        <v>6717</v>
      </c>
      <c r="G2383" s="1" t="str">
        <f>IFERROR(VLOOKUP(A2383,H_C!$A$2:$G$2628,7,0),"Validar HC")</f>
        <v>Validar HC</v>
      </c>
      <c r="H2383" s="167">
        <v>2200286.0</v>
      </c>
      <c r="I2383" s="1">
        <v>42.0</v>
      </c>
    </row>
    <row r="2384" ht="15.75" customHeight="1">
      <c r="A2384" s="1">
        <v>4868169.0</v>
      </c>
      <c r="B2384" s="1" t="s">
        <v>6810</v>
      </c>
      <c r="C2384" s="1" t="s">
        <v>6811</v>
      </c>
      <c r="D2384" s="1" t="s">
        <v>224</v>
      </c>
      <c r="E2384" s="1" t="s">
        <v>986</v>
      </c>
      <c r="F2384" s="1" t="s">
        <v>6717</v>
      </c>
      <c r="G2384" s="1" t="str">
        <f>IFERROR(VLOOKUP(A2384,H_C!$A$2:$G$2628,7,0),"Validar HC")</f>
        <v>Validar HC</v>
      </c>
      <c r="H2384" s="167">
        <v>2200286.0</v>
      </c>
      <c r="I2384" s="1">
        <v>42.0</v>
      </c>
    </row>
    <row r="2385" ht="15.75" customHeight="1">
      <c r="A2385" s="1">
        <v>5938320.0</v>
      </c>
      <c r="B2385" s="1" t="s">
        <v>2187</v>
      </c>
      <c r="C2385" s="1" t="s">
        <v>2188</v>
      </c>
      <c r="D2385" s="1" t="s">
        <v>224</v>
      </c>
      <c r="E2385" s="1" t="s">
        <v>246</v>
      </c>
      <c r="F2385" s="1" t="s">
        <v>6717</v>
      </c>
      <c r="G2385" s="1" t="str">
        <f>IFERROR(VLOOKUP(A2385,H_C!$A$2:$G$2628,7,0),"Validar HC")</f>
        <v>Garcia, Helmer</v>
      </c>
      <c r="H2385" s="167">
        <v>2200286.0</v>
      </c>
      <c r="I2385" s="1">
        <v>42.0</v>
      </c>
    </row>
    <row r="2386" ht="15.75" customHeight="1">
      <c r="A2386" s="1">
        <v>5689033.0</v>
      </c>
      <c r="B2386" s="1" t="s">
        <v>5499</v>
      </c>
      <c r="C2386" s="1" t="s">
        <v>5500</v>
      </c>
      <c r="D2386" s="1" t="s">
        <v>224</v>
      </c>
      <c r="E2386" s="1" t="s">
        <v>813</v>
      </c>
      <c r="F2386" s="1" t="s">
        <v>6717</v>
      </c>
      <c r="G2386" s="1" t="str">
        <f>IFERROR(VLOOKUP(A2386,H_C!$A$2:$G$2628,7,0),"Validar HC")</f>
        <v>Garatejo, Natalia</v>
      </c>
      <c r="H2386" s="167">
        <v>2200286.0</v>
      </c>
      <c r="I2386" s="1">
        <v>42.0</v>
      </c>
    </row>
    <row r="2387" ht="15.75" customHeight="1">
      <c r="A2387" s="1">
        <v>5942475.0</v>
      </c>
      <c r="B2387" s="1" t="s">
        <v>1966</v>
      </c>
      <c r="C2387" s="1" t="s">
        <v>1967</v>
      </c>
      <c r="D2387" s="1" t="s">
        <v>224</v>
      </c>
      <c r="E2387" s="1" t="s">
        <v>1363</v>
      </c>
      <c r="F2387" s="1" t="s">
        <v>6717</v>
      </c>
      <c r="G2387" s="1" t="str">
        <f>IFERROR(VLOOKUP(A2387,H_C!$A$2:$G$2628,7,0),"Validar HC")</f>
        <v>Osorio, Julian</v>
      </c>
      <c r="H2387" s="167">
        <v>2200286.0</v>
      </c>
      <c r="I2387" s="1">
        <v>42.0</v>
      </c>
    </row>
    <row r="2388" ht="15.75" customHeight="1">
      <c r="A2388" s="1">
        <v>5691723.0</v>
      </c>
      <c r="B2388" s="1" t="s">
        <v>4964</v>
      </c>
      <c r="C2388" s="1" t="s">
        <v>4965</v>
      </c>
      <c r="D2388" s="1" t="s">
        <v>224</v>
      </c>
      <c r="E2388" s="1" t="s">
        <v>1363</v>
      </c>
      <c r="F2388" s="1" t="s">
        <v>6717</v>
      </c>
      <c r="G2388" s="1" t="str">
        <f>IFERROR(VLOOKUP(A2388,H_C!$A$2:$G$2628,7,0),"Validar HC")</f>
        <v>Osorio, Julian</v>
      </c>
      <c r="H2388" s="167">
        <v>2200286.0</v>
      </c>
      <c r="I2388" s="1">
        <v>42.0</v>
      </c>
    </row>
    <row r="2389" ht="15.75" customHeight="1">
      <c r="A2389" s="1">
        <v>5941365.0</v>
      </c>
      <c r="B2389" s="1" t="s">
        <v>2239</v>
      </c>
      <c r="C2389" s="1" t="s">
        <v>2240</v>
      </c>
      <c r="D2389" s="1" t="s">
        <v>224</v>
      </c>
      <c r="E2389" s="1" t="s">
        <v>813</v>
      </c>
      <c r="F2389" s="1" t="s">
        <v>6717</v>
      </c>
      <c r="G2389" s="1" t="str">
        <f>IFERROR(VLOOKUP(A2389,H_C!$A$2:$G$2628,7,0),"Validar HC")</f>
        <v>Garatejo, Natalia</v>
      </c>
      <c r="H2389" s="167">
        <v>2200286.0</v>
      </c>
      <c r="I2389" s="1">
        <v>42.0</v>
      </c>
    </row>
    <row r="2390" ht="15.75" customHeight="1">
      <c r="A2390" s="1">
        <v>5029227.0</v>
      </c>
      <c r="B2390" s="1" t="s">
        <v>5501</v>
      </c>
      <c r="C2390" s="1" t="s">
        <v>5502</v>
      </c>
      <c r="D2390" s="1" t="s">
        <v>224</v>
      </c>
      <c r="E2390" s="1" t="s">
        <v>853</v>
      </c>
      <c r="F2390" s="1" t="s">
        <v>6717</v>
      </c>
      <c r="G2390" s="1" t="str">
        <f>IFERROR(VLOOKUP(A2390,H_C!$A$2:$G$2628,7,0),"Validar HC")</f>
        <v>Garcia, Helmer</v>
      </c>
      <c r="H2390" s="167">
        <v>2200286.0</v>
      </c>
      <c r="I2390" s="1">
        <v>42.0</v>
      </c>
    </row>
    <row r="2391" ht="15.75" customHeight="1">
      <c r="A2391" s="1">
        <v>5306696.0</v>
      </c>
      <c r="B2391" s="1" t="s">
        <v>2231</v>
      </c>
      <c r="C2391" s="1" t="s">
        <v>2232</v>
      </c>
      <c r="D2391" s="1" t="s">
        <v>224</v>
      </c>
      <c r="E2391" s="1" t="s">
        <v>813</v>
      </c>
      <c r="F2391" s="1" t="s">
        <v>6717</v>
      </c>
      <c r="G2391" s="1" t="str">
        <f>IFERROR(VLOOKUP(A2391,H_C!$A$2:$G$2628,7,0),"Validar HC")</f>
        <v>Garatejo, Natalia</v>
      </c>
      <c r="H2391" s="167">
        <v>2200286.0</v>
      </c>
      <c r="I2391" s="1">
        <v>42.0</v>
      </c>
    </row>
    <row r="2392" ht="15.75" customHeight="1">
      <c r="A2392" s="1">
        <v>4504436.0</v>
      </c>
      <c r="B2392" s="1" t="s">
        <v>5503</v>
      </c>
      <c r="C2392" s="1" t="s">
        <v>5504</v>
      </c>
      <c r="D2392" s="1" t="s">
        <v>224</v>
      </c>
      <c r="E2392" s="1" t="s">
        <v>676</v>
      </c>
      <c r="F2392" s="1" t="s">
        <v>6717</v>
      </c>
      <c r="G2392" s="1" t="str">
        <f>IFERROR(VLOOKUP(A2392,H_C!$A$2:$G$2628,7,0),"Validar HC")</f>
        <v>Garatejo, Natalia</v>
      </c>
      <c r="H2392" s="167">
        <v>2200286.0</v>
      </c>
      <c r="I2392" s="1">
        <v>42.0</v>
      </c>
    </row>
    <row r="2393" ht="15.75" customHeight="1">
      <c r="A2393" s="1">
        <v>5838766.0</v>
      </c>
      <c r="B2393" s="1" t="s">
        <v>3983</v>
      </c>
      <c r="C2393" s="1" t="s">
        <v>3984</v>
      </c>
      <c r="D2393" s="1" t="s">
        <v>224</v>
      </c>
      <c r="E2393" s="1" t="s">
        <v>323</v>
      </c>
      <c r="F2393" s="1" t="s">
        <v>6717</v>
      </c>
      <c r="G2393" s="1" t="str">
        <f>IFERROR(VLOOKUP(A2393,H_C!$A$2:$G$2628,7,0),"Validar HC")</f>
        <v>Martinez, Wendy</v>
      </c>
      <c r="H2393" s="167">
        <v>2200286.0</v>
      </c>
      <c r="I2393" s="1">
        <v>42.0</v>
      </c>
    </row>
    <row r="2394" ht="15.75" customHeight="1">
      <c r="A2394" s="1">
        <v>5942476.0</v>
      </c>
      <c r="B2394" s="1" t="s">
        <v>5062</v>
      </c>
      <c r="C2394" s="1" t="s">
        <v>5063</v>
      </c>
      <c r="D2394" s="1" t="s">
        <v>224</v>
      </c>
      <c r="E2394" s="1" t="s">
        <v>323</v>
      </c>
      <c r="F2394" s="1" t="s">
        <v>6717</v>
      </c>
      <c r="G2394" s="1" t="str">
        <f>IFERROR(VLOOKUP(A2394,H_C!$A$2:$G$2628,7,0),"Validar HC")</f>
        <v>Martinez, Wendy</v>
      </c>
      <c r="H2394" s="167">
        <v>2200286.0</v>
      </c>
      <c r="I2394" s="1">
        <v>42.0</v>
      </c>
    </row>
    <row r="2395" ht="15.75" customHeight="1">
      <c r="A2395" s="1">
        <v>4792419.0</v>
      </c>
      <c r="B2395" s="1" t="s">
        <v>4686</v>
      </c>
      <c r="C2395" s="1" t="s">
        <v>4687</v>
      </c>
      <c r="D2395" s="1" t="s">
        <v>224</v>
      </c>
      <c r="E2395" s="1" t="s">
        <v>323</v>
      </c>
      <c r="F2395" s="1" t="s">
        <v>6717</v>
      </c>
      <c r="G2395" s="1" t="str">
        <f>IFERROR(VLOOKUP(A2395,H_C!$A$2:$G$2628,7,0),"Validar HC")</f>
        <v>Martinez, Wendy</v>
      </c>
      <c r="H2395" s="167">
        <v>2200286.0</v>
      </c>
      <c r="I2395" s="1">
        <v>42.0</v>
      </c>
    </row>
    <row r="2396" ht="15.75" customHeight="1">
      <c r="A2396" s="1">
        <v>5321184.0</v>
      </c>
      <c r="B2396" s="1" t="s">
        <v>4770</v>
      </c>
      <c r="C2396" s="1" t="s">
        <v>4771</v>
      </c>
      <c r="D2396" s="1" t="s">
        <v>224</v>
      </c>
      <c r="E2396" s="1" t="s">
        <v>676</v>
      </c>
      <c r="F2396" s="1" t="s">
        <v>6717</v>
      </c>
      <c r="G2396" s="1" t="str">
        <f>IFERROR(VLOOKUP(A2396,H_C!$A$2:$G$2628,7,0),"Validar HC")</f>
        <v>Garatejo, Natalia</v>
      </c>
      <c r="H2396" s="167">
        <v>2200286.0</v>
      </c>
      <c r="I2396" s="1">
        <v>42.0</v>
      </c>
    </row>
    <row r="2397" ht="15.75" customHeight="1">
      <c r="A2397" s="1">
        <v>6030537.0</v>
      </c>
      <c r="B2397" s="1" t="s">
        <v>3989</v>
      </c>
      <c r="C2397" s="1" t="s">
        <v>3990</v>
      </c>
      <c r="D2397" s="1" t="s">
        <v>224</v>
      </c>
      <c r="E2397" s="1" t="s">
        <v>323</v>
      </c>
      <c r="F2397" s="1" t="s">
        <v>6717</v>
      </c>
      <c r="G2397" s="1" t="str">
        <f>IFERROR(VLOOKUP(A2397,H_C!$A$2:$G$2628,7,0),"Validar HC")</f>
        <v>Martinez, Wendy</v>
      </c>
      <c r="H2397" s="167">
        <v>2200286.0</v>
      </c>
      <c r="I2397" s="1">
        <v>42.0</v>
      </c>
    </row>
    <row r="2398" ht="15.75" customHeight="1">
      <c r="A2398" s="1">
        <v>5724369.0</v>
      </c>
      <c r="B2398" s="1" t="s">
        <v>5505</v>
      </c>
      <c r="C2398" s="1" t="s">
        <v>5506</v>
      </c>
      <c r="D2398" s="1" t="s">
        <v>224</v>
      </c>
      <c r="E2398" s="1" t="s">
        <v>676</v>
      </c>
      <c r="F2398" s="1" t="s">
        <v>6717</v>
      </c>
      <c r="G2398" s="1" t="str">
        <f>IFERROR(VLOOKUP(A2398,H_C!$A$2:$G$2628,7,0),"Validar HC")</f>
        <v>Garatejo, Natalia</v>
      </c>
      <c r="H2398" s="167">
        <v>2200286.0</v>
      </c>
      <c r="I2398" s="1">
        <v>42.0</v>
      </c>
    </row>
    <row r="2399" ht="15.75" customHeight="1">
      <c r="A2399" s="1">
        <v>5931582.0</v>
      </c>
      <c r="B2399" s="1" t="s">
        <v>5054</v>
      </c>
      <c r="C2399" s="1" t="s">
        <v>5055</v>
      </c>
      <c r="D2399" s="1" t="s">
        <v>224</v>
      </c>
      <c r="E2399" s="1" t="s">
        <v>323</v>
      </c>
      <c r="F2399" s="1" t="s">
        <v>6717</v>
      </c>
      <c r="G2399" s="1" t="str">
        <f>IFERROR(VLOOKUP(A2399,H_C!$A$2:$G$2628,7,0),"Validar HC")</f>
        <v>Martinez, Wendy</v>
      </c>
      <c r="H2399" s="167">
        <v>2200286.0</v>
      </c>
      <c r="I2399" s="1">
        <v>42.0</v>
      </c>
    </row>
    <row r="2400" ht="15.75" customHeight="1">
      <c r="A2400" s="1">
        <v>2102227.0</v>
      </c>
      <c r="B2400" s="1" t="s">
        <v>4668</v>
      </c>
      <c r="C2400" s="1" t="s">
        <v>4669</v>
      </c>
      <c r="D2400" s="1" t="s">
        <v>224</v>
      </c>
      <c r="E2400" s="1" t="s">
        <v>323</v>
      </c>
      <c r="F2400" s="1" t="s">
        <v>6717</v>
      </c>
      <c r="G2400" s="1" t="str">
        <f>IFERROR(VLOOKUP(A2400,H_C!$A$2:$G$2628,7,0),"Validar HC")</f>
        <v>Martinez, Wendy</v>
      </c>
      <c r="H2400" s="167">
        <v>2200286.0</v>
      </c>
      <c r="I2400" s="1">
        <v>42.0</v>
      </c>
    </row>
    <row r="2401" ht="15.75" customHeight="1">
      <c r="A2401" s="1">
        <v>6028106.0</v>
      </c>
      <c r="B2401" s="1" t="s">
        <v>3960</v>
      </c>
      <c r="C2401" s="1" t="s">
        <v>3961</v>
      </c>
      <c r="D2401" s="1" t="s">
        <v>224</v>
      </c>
      <c r="E2401" s="1" t="s">
        <v>323</v>
      </c>
      <c r="F2401" s="1" t="s">
        <v>6717</v>
      </c>
      <c r="G2401" s="1" t="str">
        <f>IFERROR(VLOOKUP(A2401,H_C!$A$2:$G$2628,7,0),"Validar HC")</f>
        <v>Martinez, Wendy</v>
      </c>
      <c r="H2401" s="167">
        <v>2200286.0</v>
      </c>
      <c r="I2401" s="1">
        <v>42.0</v>
      </c>
    </row>
    <row r="2402" ht="15.75" customHeight="1">
      <c r="A2402" s="1">
        <v>5942526.0</v>
      </c>
      <c r="B2402" s="1" t="s">
        <v>2484</v>
      </c>
      <c r="C2402" s="1" t="s">
        <v>2485</v>
      </c>
      <c r="D2402" s="1" t="s">
        <v>224</v>
      </c>
      <c r="E2402" s="1" t="s">
        <v>986</v>
      </c>
      <c r="F2402" s="1" t="s">
        <v>6717</v>
      </c>
      <c r="G2402" s="1" t="str">
        <f>IFERROR(VLOOKUP(A2402,H_C!$A$2:$G$2628,7,0),"Validar HC")</f>
        <v>Garatejo, Natalia</v>
      </c>
      <c r="H2402" s="167">
        <v>2200286.0</v>
      </c>
      <c r="I2402" s="1">
        <v>42.0</v>
      </c>
    </row>
    <row r="2403" ht="15.75" customHeight="1">
      <c r="A2403" s="1">
        <v>6028110.0</v>
      </c>
      <c r="B2403" s="1" t="s">
        <v>5076</v>
      </c>
      <c r="C2403" s="1" t="s">
        <v>5077</v>
      </c>
      <c r="D2403" s="1" t="s">
        <v>224</v>
      </c>
      <c r="E2403" s="1" t="s">
        <v>323</v>
      </c>
      <c r="F2403" s="1" t="s">
        <v>6717</v>
      </c>
      <c r="G2403" s="1" t="str">
        <f>IFERROR(VLOOKUP(A2403,H_C!$A$2:$G$2628,7,0),"Validar HC")</f>
        <v>Martinez, Wendy</v>
      </c>
      <c r="H2403" s="167">
        <v>2200286.0</v>
      </c>
      <c r="I2403" s="1">
        <v>42.0</v>
      </c>
    </row>
    <row r="2404" ht="15.75" customHeight="1">
      <c r="A2404" s="1">
        <v>6033367.0</v>
      </c>
      <c r="B2404" s="1" t="s">
        <v>5509</v>
      </c>
      <c r="C2404" s="1" t="s">
        <v>5510</v>
      </c>
      <c r="D2404" s="1" t="s">
        <v>224</v>
      </c>
      <c r="E2404" s="1" t="s">
        <v>329</v>
      </c>
      <c r="F2404" s="1" t="s">
        <v>6717</v>
      </c>
      <c r="G2404" s="1" t="str">
        <f>IFERROR(VLOOKUP(A2404,H_C!$A$2:$G$2628,7,0),"Validar HC")</f>
        <v>Garatejo, Natalia</v>
      </c>
      <c r="H2404" s="167">
        <v>2200286.0</v>
      </c>
      <c r="I2404" s="1">
        <v>42.0</v>
      </c>
    </row>
    <row r="2405" ht="15.75" customHeight="1">
      <c r="A2405" s="1">
        <v>6032263.0</v>
      </c>
      <c r="B2405" s="1" t="s">
        <v>4013</v>
      </c>
      <c r="C2405" s="1" t="s">
        <v>4014</v>
      </c>
      <c r="D2405" s="1" t="s">
        <v>224</v>
      </c>
      <c r="E2405" s="1" t="s">
        <v>323</v>
      </c>
      <c r="F2405" s="1" t="s">
        <v>6717</v>
      </c>
      <c r="G2405" s="1" t="str">
        <f>IFERROR(VLOOKUP(A2405,H_C!$A$2:$G$2628,7,0),"Validar HC")</f>
        <v>Martinez, Wendy</v>
      </c>
      <c r="H2405" s="167">
        <v>2200286.0</v>
      </c>
      <c r="I2405" s="1">
        <v>42.0</v>
      </c>
    </row>
    <row r="2406" ht="15.75" customHeight="1">
      <c r="A2406" s="1">
        <v>6031148.0</v>
      </c>
      <c r="B2406" s="1" t="s">
        <v>3742</v>
      </c>
      <c r="C2406" s="1" t="s">
        <v>3743</v>
      </c>
      <c r="D2406" s="1" t="s">
        <v>224</v>
      </c>
      <c r="E2406" s="1" t="s">
        <v>555</v>
      </c>
      <c r="F2406" s="1" t="s">
        <v>6717</v>
      </c>
      <c r="G2406" s="1" t="str">
        <f>IFERROR(VLOOKUP(A2406,H_C!$A$2:$G$2628,7,0),"Validar HC")</f>
        <v>Ayala, Giselle</v>
      </c>
      <c r="H2406" s="167">
        <v>2200286.0</v>
      </c>
      <c r="I2406" s="1">
        <v>42.0</v>
      </c>
    </row>
    <row r="2407" ht="15.75" customHeight="1">
      <c r="A2407" s="1">
        <v>6031150.0</v>
      </c>
      <c r="B2407" s="1" t="s">
        <v>3768</v>
      </c>
      <c r="C2407" s="1" t="s">
        <v>3769</v>
      </c>
      <c r="D2407" s="1" t="s">
        <v>224</v>
      </c>
      <c r="E2407" s="1" t="s">
        <v>555</v>
      </c>
      <c r="F2407" s="1" t="s">
        <v>6717</v>
      </c>
      <c r="G2407" s="1" t="str">
        <f>IFERROR(VLOOKUP(A2407,H_C!$A$2:$G$2628,7,0),"Validar HC")</f>
        <v>Ayala, Giselle</v>
      </c>
      <c r="H2407" s="167">
        <v>2200286.0</v>
      </c>
      <c r="I2407" s="1">
        <v>42.0</v>
      </c>
    </row>
    <row r="2408" ht="15.75" customHeight="1">
      <c r="A2408" s="1">
        <v>4511239.0</v>
      </c>
      <c r="B2408" s="1" t="s">
        <v>2290</v>
      </c>
      <c r="C2408" s="1" t="s">
        <v>2291</v>
      </c>
      <c r="D2408" s="1" t="s">
        <v>224</v>
      </c>
      <c r="E2408" s="1" t="s">
        <v>986</v>
      </c>
      <c r="F2408" s="1" t="s">
        <v>6717</v>
      </c>
      <c r="G2408" s="1" t="str">
        <f>IFERROR(VLOOKUP(A2408,H_C!$A$2:$G$2628,7,0),"Validar HC")</f>
        <v>Garatejo, Natalia</v>
      </c>
      <c r="H2408" s="167">
        <v>2200286.0</v>
      </c>
      <c r="I2408" s="1">
        <v>42.0</v>
      </c>
    </row>
    <row r="2409" ht="15.75" customHeight="1">
      <c r="A2409" s="1">
        <v>6033209.0</v>
      </c>
      <c r="B2409" s="1" t="s">
        <v>3964</v>
      </c>
      <c r="C2409" s="1" t="s">
        <v>3965</v>
      </c>
      <c r="D2409" s="1" t="s">
        <v>224</v>
      </c>
      <c r="E2409" s="1" t="s">
        <v>323</v>
      </c>
      <c r="F2409" s="1" t="s">
        <v>6717</v>
      </c>
      <c r="G2409" s="1" t="str">
        <f>IFERROR(VLOOKUP(A2409,H_C!$A$2:$G$2628,7,0),"Validar HC")</f>
        <v>Martinez, Wendy</v>
      </c>
      <c r="H2409" s="167">
        <v>2200286.0</v>
      </c>
      <c r="I2409" s="1">
        <v>42.0</v>
      </c>
    </row>
    <row r="2410" ht="15.75" customHeight="1">
      <c r="A2410" s="1">
        <v>6030973.0</v>
      </c>
      <c r="B2410" s="1" t="s">
        <v>5403</v>
      </c>
      <c r="C2410" s="1" t="s">
        <v>5404</v>
      </c>
      <c r="D2410" s="1" t="s">
        <v>224</v>
      </c>
      <c r="E2410" s="1" t="s">
        <v>555</v>
      </c>
      <c r="F2410" s="1" t="s">
        <v>6717</v>
      </c>
      <c r="G2410" s="1" t="str">
        <f>IFERROR(VLOOKUP(A2410,H_C!$A$2:$G$2628,7,0),"Validar HC")</f>
        <v>Ayala, Giselle</v>
      </c>
      <c r="H2410" s="167">
        <v>2200286.0</v>
      </c>
      <c r="I2410" s="1">
        <v>42.0</v>
      </c>
    </row>
    <row r="2411" ht="15.75" customHeight="1">
      <c r="A2411" s="1">
        <v>6033574.0</v>
      </c>
      <c r="B2411" s="1" t="s">
        <v>5405</v>
      </c>
      <c r="C2411" s="1" t="s">
        <v>5406</v>
      </c>
      <c r="D2411" s="1" t="s">
        <v>224</v>
      </c>
      <c r="E2411" s="1" t="s">
        <v>555</v>
      </c>
      <c r="F2411" s="1" t="s">
        <v>6717</v>
      </c>
      <c r="G2411" s="1" t="str">
        <f>IFERROR(VLOOKUP(A2411,H_C!$A$2:$G$2628,7,0),"Validar HC")</f>
        <v>Ayala, Giselle</v>
      </c>
      <c r="H2411" s="167">
        <v>2200286.0</v>
      </c>
      <c r="I2411" s="1">
        <v>42.0</v>
      </c>
    </row>
    <row r="2412" ht="15.75" customHeight="1">
      <c r="A2412" s="1">
        <v>6028287.0</v>
      </c>
      <c r="B2412" s="1" t="s">
        <v>3109</v>
      </c>
      <c r="C2412" s="1" t="s">
        <v>3110</v>
      </c>
      <c r="D2412" s="1" t="s">
        <v>224</v>
      </c>
      <c r="E2412" s="1" t="s">
        <v>329</v>
      </c>
      <c r="F2412" s="1" t="s">
        <v>6717</v>
      </c>
      <c r="G2412" s="1" t="str">
        <f>IFERROR(VLOOKUP(A2412,H_C!$A$2:$G$2628,7,0),"Validar HC")</f>
        <v>Garatejo, Natalia</v>
      </c>
      <c r="H2412" s="167">
        <v>2200286.0</v>
      </c>
      <c r="I2412" s="1">
        <v>42.0</v>
      </c>
    </row>
    <row r="2413" ht="15.75" customHeight="1">
      <c r="A2413" s="1">
        <v>6029788.0</v>
      </c>
      <c r="B2413" s="1" t="s">
        <v>4130</v>
      </c>
      <c r="C2413" s="1" t="s">
        <v>4131</v>
      </c>
      <c r="D2413" s="1" t="s">
        <v>224</v>
      </c>
      <c r="E2413" s="1" t="s">
        <v>537</v>
      </c>
      <c r="F2413" s="1" t="s">
        <v>6717</v>
      </c>
      <c r="G2413" s="1" t="str">
        <f>IFERROR(VLOOKUP(A2413,H_C!$A$2:$G$2628,7,0),"Validar HC")</f>
        <v>Ayala, Giselle</v>
      </c>
      <c r="H2413" s="167">
        <v>2200286.0</v>
      </c>
      <c r="I2413" s="1">
        <v>42.0</v>
      </c>
    </row>
    <row r="2414" ht="15.75" customHeight="1">
      <c r="A2414" s="1">
        <v>3255965.0</v>
      </c>
      <c r="B2414" s="1" t="s">
        <v>3111</v>
      </c>
      <c r="C2414" s="1" t="s">
        <v>3112</v>
      </c>
      <c r="D2414" s="1" t="s">
        <v>224</v>
      </c>
      <c r="E2414" s="1" t="s">
        <v>329</v>
      </c>
      <c r="F2414" s="1" t="s">
        <v>6717</v>
      </c>
      <c r="G2414" s="1" t="str">
        <f>IFERROR(VLOOKUP(A2414,H_C!$A$2:$G$2628,7,0),"Validar HC")</f>
        <v>Garatejo, Natalia</v>
      </c>
      <c r="H2414" s="167">
        <v>2200286.0</v>
      </c>
      <c r="I2414" s="1">
        <v>42.0</v>
      </c>
    </row>
    <row r="2415" ht="15.75" customHeight="1">
      <c r="A2415" s="1">
        <v>6031073.0</v>
      </c>
      <c r="B2415" s="1" t="s">
        <v>3780</v>
      </c>
      <c r="C2415" s="1" t="s">
        <v>3781</v>
      </c>
      <c r="D2415" s="1" t="s">
        <v>224</v>
      </c>
      <c r="E2415" s="1" t="s">
        <v>555</v>
      </c>
      <c r="F2415" s="1" t="s">
        <v>6717</v>
      </c>
      <c r="G2415" s="1" t="str">
        <f>IFERROR(VLOOKUP(A2415,H_C!$A$2:$G$2628,7,0),"Validar HC")</f>
        <v>Ayala, Giselle</v>
      </c>
      <c r="H2415" s="167">
        <v>2200286.0</v>
      </c>
      <c r="I2415" s="1">
        <v>42.0</v>
      </c>
    </row>
    <row r="2416" ht="15.75" customHeight="1">
      <c r="A2416" s="1">
        <v>6033447.0</v>
      </c>
      <c r="B2416" s="1" t="s">
        <v>4400</v>
      </c>
      <c r="C2416" s="1" t="s">
        <v>4401</v>
      </c>
      <c r="D2416" s="1" t="s">
        <v>224</v>
      </c>
      <c r="E2416" s="1" t="s">
        <v>537</v>
      </c>
      <c r="F2416" s="1" t="s">
        <v>6717</v>
      </c>
      <c r="G2416" s="1" t="str">
        <f>IFERROR(VLOOKUP(A2416,H_C!$A$2:$G$2628,7,0),"Validar HC")</f>
        <v>Ayala, Giselle</v>
      </c>
      <c r="H2416" s="167">
        <v>2200286.0</v>
      </c>
      <c r="I2416" s="1">
        <v>42.0</v>
      </c>
    </row>
    <row r="2417" ht="15.75" customHeight="1">
      <c r="A2417" s="1">
        <v>6032369.0</v>
      </c>
      <c r="B2417" s="1" t="s">
        <v>3969</v>
      </c>
      <c r="C2417" s="1" t="s">
        <v>3970</v>
      </c>
      <c r="D2417" s="1" t="s">
        <v>224</v>
      </c>
      <c r="E2417" s="1" t="s">
        <v>323</v>
      </c>
      <c r="F2417" s="1" t="s">
        <v>6717</v>
      </c>
      <c r="G2417" s="1" t="str">
        <f>IFERROR(VLOOKUP(A2417,H_C!$A$2:$G$2628,7,0),"Validar HC")</f>
        <v>Martinez, Wendy</v>
      </c>
      <c r="H2417" s="167">
        <v>2200286.0</v>
      </c>
      <c r="I2417" s="1">
        <v>42.0</v>
      </c>
    </row>
    <row r="2418" ht="15.75" customHeight="1">
      <c r="A2418" s="1">
        <v>6034637.0</v>
      </c>
      <c r="B2418" s="1" t="s">
        <v>5515</v>
      </c>
      <c r="C2418" s="1" t="s">
        <v>5516</v>
      </c>
      <c r="D2418" s="1" t="s">
        <v>224</v>
      </c>
      <c r="E2418" s="1" t="s">
        <v>853</v>
      </c>
      <c r="F2418" s="1" t="s">
        <v>6717</v>
      </c>
      <c r="G2418" s="1" t="str">
        <f>IFERROR(VLOOKUP(A2418,H_C!$A$2:$G$2628,7,0),"Validar HC")</f>
        <v>Garcia, Helmer</v>
      </c>
      <c r="H2418" s="167">
        <v>2200286.0</v>
      </c>
      <c r="I2418" s="1">
        <v>42.0</v>
      </c>
    </row>
    <row r="2419" ht="15.75" customHeight="1">
      <c r="A2419" s="1">
        <v>6033815.0</v>
      </c>
      <c r="B2419" s="1" t="s">
        <v>5527</v>
      </c>
      <c r="C2419" s="1" t="s">
        <v>5528</v>
      </c>
      <c r="D2419" s="1" t="s">
        <v>224</v>
      </c>
      <c r="E2419" s="1" t="s">
        <v>853</v>
      </c>
      <c r="F2419" s="1" t="s">
        <v>6717</v>
      </c>
      <c r="G2419" s="1" t="str">
        <f>IFERROR(VLOOKUP(A2419,H_C!$A$2:$G$2628,7,0),"Validar HC")</f>
        <v>Garcia, Helmer</v>
      </c>
      <c r="H2419" s="167">
        <v>2200286.0</v>
      </c>
      <c r="I2419" s="1">
        <v>42.0</v>
      </c>
    </row>
    <row r="2420" ht="15.75" customHeight="1">
      <c r="A2420" s="1">
        <v>5307520.0</v>
      </c>
      <c r="B2420" s="1" t="s">
        <v>3835</v>
      </c>
      <c r="C2420" s="1" t="s">
        <v>3836</v>
      </c>
      <c r="D2420" s="1" t="s">
        <v>224</v>
      </c>
      <c r="E2420" s="1" t="s">
        <v>738</v>
      </c>
      <c r="F2420" s="1" t="s">
        <v>6717</v>
      </c>
      <c r="G2420" s="1" t="str">
        <f>IFERROR(VLOOKUP(A2420,H_C!$A$2:$G$2628,7,0),"Validar HC")</f>
        <v>Garcia, Helmer</v>
      </c>
      <c r="H2420" s="167">
        <v>2200286.0</v>
      </c>
      <c r="I2420" s="1">
        <v>42.0</v>
      </c>
    </row>
    <row r="2421" ht="15.75" customHeight="1">
      <c r="A2421" s="1">
        <v>6036427.0</v>
      </c>
      <c r="B2421" s="1" t="s">
        <v>5517</v>
      </c>
      <c r="C2421" s="1" t="s">
        <v>5518</v>
      </c>
      <c r="D2421" s="1" t="s">
        <v>224</v>
      </c>
      <c r="E2421" s="1" t="s">
        <v>853</v>
      </c>
      <c r="F2421" s="1" t="s">
        <v>6717</v>
      </c>
      <c r="G2421" s="1" t="str">
        <f>IFERROR(VLOOKUP(A2421,H_C!$A$2:$G$2628,7,0),"Validar HC")</f>
        <v>Garcia, Helmer</v>
      </c>
      <c r="H2421" s="167">
        <v>2200286.0</v>
      </c>
      <c r="I2421" s="1">
        <v>42.0</v>
      </c>
    </row>
    <row r="2422" ht="15.75" customHeight="1">
      <c r="A2422" s="1">
        <v>6035030.0</v>
      </c>
      <c r="B2422" s="1" t="s">
        <v>5531</v>
      </c>
      <c r="C2422" s="1" t="s">
        <v>5532</v>
      </c>
      <c r="D2422" s="1" t="s">
        <v>224</v>
      </c>
      <c r="E2422" s="1" t="s">
        <v>676</v>
      </c>
      <c r="F2422" s="1" t="s">
        <v>6717</v>
      </c>
      <c r="G2422" s="1" t="str">
        <f>IFERROR(VLOOKUP(A2422,H_C!$A$2:$G$2628,7,0),"Validar HC")</f>
        <v>Garatejo, Natalia</v>
      </c>
      <c r="H2422" s="167">
        <v>2200286.0</v>
      </c>
      <c r="I2422" s="1">
        <v>42.0</v>
      </c>
    </row>
    <row r="2423" ht="15.75" customHeight="1">
      <c r="A2423" s="1">
        <v>6038861.0</v>
      </c>
      <c r="B2423" s="1" t="s">
        <v>5247</v>
      </c>
      <c r="C2423" s="1" t="s">
        <v>5248</v>
      </c>
      <c r="D2423" s="1" t="s">
        <v>224</v>
      </c>
      <c r="E2423" s="1" t="s">
        <v>4119</v>
      </c>
      <c r="F2423" s="1" t="s">
        <v>6717</v>
      </c>
      <c r="G2423" s="1" t="str">
        <f>IFERROR(VLOOKUP(A2423,H_C!$A$2:$G$2628,7,0),"Validar HC")</f>
        <v>Gonzalez, Cristian</v>
      </c>
      <c r="H2423" s="167">
        <v>2200286.0</v>
      </c>
      <c r="I2423" s="1">
        <v>42.0</v>
      </c>
    </row>
    <row r="2424" ht="15.75" customHeight="1">
      <c r="A2424" s="1">
        <v>6038855.0</v>
      </c>
      <c r="B2424" s="1" t="s">
        <v>5020</v>
      </c>
      <c r="C2424" s="1" t="s">
        <v>5021</v>
      </c>
      <c r="D2424" s="1" t="s">
        <v>224</v>
      </c>
      <c r="E2424" s="1" t="s">
        <v>4119</v>
      </c>
      <c r="F2424" s="1" t="s">
        <v>6717</v>
      </c>
      <c r="G2424" s="1" t="str">
        <f>IFERROR(VLOOKUP(A2424,H_C!$A$2:$G$2628,7,0),"Validar HC")</f>
        <v>Gonzalez, Cristian</v>
      </c>
      <c r="H2424" s="167">
        <v>2200286.0</v>
      </c>
      <c r="I2424" s="1">
        <v>42.0</v>
      </c>
    </row>
    <row r="2425" ht="15.75" customHeight="1">
      <c r="A2425" s="1">
        <v>6038883.0</v>
      </c>
      <c r="B2425" s="1" t="s">
        <v>5030</v>
      </c>
      <c r="C2425" s="1" t="s">
        <v>5031</v>
      </c>
      <c r="D2425" s="1" t="s">
        <v>224</v>
      </c>
      <c r="E2425" s="1" t="s">
        <v>4119</v>
      </c>
      <c r="F2425" s="1" t="s">
        <v>6717</v>
      </c>
      <c r="G2425" s="1" t="str">
        <f>IFERROR(VLOOKUP(A2425,H_C!$A$2:$G$2628,7,0),"Validar HC")</f>
        <v>Gonzalez, Cristian</v>
      </c>
      <c r="H2425" s="167">
        <v>2200286.0</v>
      </c>
      <c r="I2425" s="1">
        <v>42.0</v>
      </c>
    </row>
    <row r="2426" ht="15.75" customHeight="1">
      <c r="A2426" s="1">
        <v>6048720.0</v>
      </c>
      <c r="B2426" s="1" t="s">
        <v>3678</v>
      </c>
      <c r="C2426" s="1" t="s">
        <v>3679</v>
      </c>
      <c r="D2426" s="1" t="s">
        <v>224</v>
      </c>
      <c r="E2426" s="1" t="s">
        <v>738</v>
      </c>
      <c r="F2426" s="1" t="s">
        <v>6717</v>
      </c>
      <c r="G2426" s="1" t="str">
        <f>IFERROR(VLOOKUP(A2426,H_C!$A$2:$G$2628,7,0),"Validar HC")</f>
        <v>Sanchez, Adrian</v>
      </c>
      <c r="H2426" s="167">
        <v>2200286.0</v>
      </c>
      <c r="I2426" s="1">
        <v>42.0</v>
      </c>
    </row>
    <row r="2427" ht="15.75" customHeight="1">
      <c r="A2427" s="1">
        <v>5083880.0</v>
      </c>
      <c r="B2427" s="1" t="s">
        <v>5533</v>
      </c>
      <c r="C2427" s="1" t="s">
        <v>5534</v>
      </c>
      <c r="D2427" s="1" t="s">
        <v>224</v>
      </c>
      <c r="E2427" s="1" t="s">
        <v>738</v>
      </c>
      <c r="F2427" s="1" t="s">
        <v>6717</v>
      </c>
      <c r="G2427" s="1" t="str">
        <f>IFERROR(VLOOKUP(A2427,H_C!$A$2:$G$2628,7,0),"Validar HC")</f>
        <v>Garcia, Helmer</v>
      </c>
      <c r="H2427" s="167">
        <v>2200286.0</v>
      </c>
      <c r="I2427" s="1">
        <v>42.0</v>
      </c>
    </row>
    <row r="2428" ht="15.75" customHeight="1">
      <c r="A2428" s="1">
        <v>6048757.0</v>
      </c>
      <c r="B2428" s="1" t="s">
        <v>3662</v>
      </c>
      <c r="C2428" s="1" t="s">
        <v>3663</v>
      </c>
      <c r="D2428" s="1" t="s">
        <v>224</v>
      </c>
      <c r="E2428" s="1" t="s">
        <v>738</v>
      </c>
      <c r="F2428" s="1" t="s">
        <v>6717</v>
      </c>
      <c r="G2428" s="1" t="str">
        <f>IFERROR(VLOOKUP(A2428,H_C!$A$2:$G$2628,7,0),"Validar HC")</f>
        <v>Sanchez, Adrian</v>
      </c>
      <c r="H2428" s="167">
        <v>2200286.0</v>
      </c>
      <c r="I2428" s="1">
        <v>42.0</v>
      </c>
    </row>
    <row r="2429" ht="15.75" customHeight="1">
      <c r="A2429" s="1">
        <v>6048722.0</v>
      </c>
      <c r="B2429" s="1" t="s">
        <v>3639</v>
      </c>
      <c r="C2429" s="1" t="s">
        <v>3642</v>
      </c>
      <c r="D2429" s="1" t="s">
        <v>224</v>
      </c>
      <c r="E2429" s="1" t="s">
        <v>738</v>
      </c>
      <c r="F2429" s="1" t="s">
        <v>6717</v>
      </c>
      <c r="G2429" s="1" t="str">
        <f>IFERROR(VLOOKUP(A2429,H_C!$A$2:$G$2628,7,0),"Validar HC")</f>
        <v>Sanchez, Adrian</v>
      </c>
      <c r="H2429" s="167">
        <v>2200286.0</v>
      </c>
      <c r="I2429" s="1">
        <v>42.0</v>
      </c>
    </row>
    <row r="2430" ht="15.75" customHeight="1">
      <c r="A2430" s="1">
        <v>6050337.0</v>
      </c>
      <c r="B2430" s="1" t="s">
        <v>5535</v>
      </c>
      <c r="C2430" s="1" t="s">
        <v>5536</v>
      </c>
      <c r="D2430" s="1" t="s">
        <v>224</v>
      </c>
      <c r="E2430" s="1" t="s">
        <v>738</v>
      </c>
      <c r="F2430" s="1" t="s">
        <v>6717</v>
      </c>
      <c r="G2430" s="1" t="str">
        <f>IFERROR(VLOOKUP(A2430,H_C!$A$2:$G$2628,7,0),"Validar HC")</f>
        <v>Garcia, Helmer</v>
      </c>
      <c r="H2430" s="167">
        <v>2200286.0</v>
      </c>
      <c r="I2430" s="1">
        <v>42.0</v>
      </c>
    </row>
    <row r="2431" ht="15.75" customHeight="1">
      <c r="A2431" s="1">
        <v>6041167.0</v>
      </c>
      <c r="B2431" s="1" t="s">
        <v>1875</v>
      </c>
      <c r="C2431" s="1" t="s">
        <v>1876</v>
      </c>
      <c r="D2431" s="1" t="s">
        <v>224</v>
      </c>
      <c r="E2431" s="1" t="s">
        <v>853</v>
      </c>
      <c r="F2431" s="1" t="s">
        <v>6717</v>
      </c>
      <c r="G2431" s="1" t="str">
        <f>IFERROR(VLOOKUP(A2431,H_C!$A$2:$G$2628,7,0),"Validar HC")</f>
        <v>Garcia, Helmer</v>
      </c>
      <c r="H2431" s="167">
        <v>2200286.0</v>
      </c>
      <c r="I2431" s="1">
        <v>42.0</v>
      </c>
    </row>
    <row r="2432" ht="15.75" customHeight="1">
      <c r="A2432" s="1">
        <v>6050341.0</v>
      </c>
      <c r="B2432" s="1" t="s">
        <v>3666</v>
      </c>
      <c r="C2432" s="1" t="s">
        <v>3667</v>
      </c>
      <c r="D2432" s="1" t="s">
        <v>224</v>
      </c>
      <c r="E2432" s="1" t="s">
        <v>738</v>
      </c>
      <c r="F2432" s="1" t="s">
        <v>6717</v>
      </c>
      <c r="G2432" s="1" t="str">
        <f>IFERROR(VLOOKUP(A2432,H_C!$A$2:$G$2628,7,0),"Validar HC")</f>
        <v>Sanchez, Adrian</v>
      </c>
      <c r="H2432" s="167">
        <v>2200286.0</v>
      </c>
      <c r="I2432" s="1">
        <v>42.0</v>
      </c>
    </row>
    <row r="2433" ht="15.75" customHeight="1">
      <c r="A2433" s="1">
        <v>5255393.0</v>
      </c>
      <c r="B2433" s="1" t="s">
        <v>3694</v>
      </c>
      <c r="C2433" s="1" t="s">
        <v>3695</v>
      </c>
      <c r="D2433" s="1" t="s">
        <v>224</v>
      </c>
      <c r="E2433" s="1" t="s">
        <v>738</v>
      </c>
      <c r="F2433" s="1" t="s">
        <v>6717</v>
      </c>
      <c r="G2433" s="1" t="str">
        <f>IFERROR(VLOOKUP(A2433,H_C!$A$2:$G$2628,7,0),"Validar HC")</f>
        <v>Sanchez, Adrian</v>
      </c>
      <c r="H2433" s="167">
        <v>2200286.0</v>
      </c>
      <c r="I2433" s="1">
        <v>42.0</v>
      </c>
    </row>
    <row r="2434" ht="15.75" customHeight="1">
      <c r="A2434" s="1">
        <v>6050408.0</v>
      </c>
      <c r="B2434" s="1" t="s">
        <v>3629</v>
      </c>
      <c r="C2434" s="1" t="s">
        <v>3630</v>
      </c>
      <c r="D2434" s="1" t="s">
        <v>224</v>
      </c>
      <c r="E2434" s="1" t="s">
        <v>526</v>
      </c>
      <c r="F2434" s="1" t="s">
        <v>6717</v>
      </c>
      <c r="G2434" s="1" t="str">
        <f>IFERROR(VLOOKUP(A2434,H_C!$A$2:$G$2628,7,0),"Validar HC")</f>
        <v>Sanchez, Adrian</v>
      </c>
      <c r="H2434" s="167">
        <v>2200286.0</v>
      </c>
      <c r="I2434" s="1">
        <v>42.0</v>
      </c>
    </row>
    <row r="2435" ht="15.75" customHeight="1">
      <c r="A2435" s="1">
        <v>6050407.0</v>
      </c>
      <c r="B2435" s="1" t="s">
        <v>4043</v>
      </c>
      <c r="C2435" s="1" t="s">
        <v>4044</v>
      </c>
      <c r="D2435" s="1" t="s">
        <v>224</v>
      </c>
      <c r="E2435" s="1" t="s">
        <v>1177</v>
      </c>
      <c r="F2435" s="1" t="s">
        <v>6717</v>
      </c>
      <c r="G2435" s="1" t="str">
        <f>IFERROR(VLOOKUP(A2435,H_C!$A$2:$G$2628,7,0),"Validar HC")</f>
        <v>Martinez, Wendy</v>
      </c>
      <c r="H2435" s="167">
        <v>2200286.0</v>
      </c>
      <c r="I2435" s="1">
        <v>42.0</v>
      </c>
    </row>
    <row r="2436" ht="15.75" customHeight="1">
      <c r="A2436" s="1">
        <v>5188802.0</v>
      </c>
      <c r="B2436" s="1" t="s">
        <v>3620</v>
      </c>
      <c r="C2436" s="1" t="s">
        <v>3622</v>
      </c>
      <c r="D2436" s="1" t="s">
        <v>224</v>
      </c>
      <c r="E2436" s="1" t="s">
        <v>526</v>
      </c>
      <c r="F2436" s="1" t="s">
        <v>6717</v>
      </c>
      <c r="G2436" s="1" t="str">
        <f>IFERROR(VLOOKUP(A2436,H_C!$A$2:$G$2628,7,0),"Validar HC")</f>
        <v>Sanchez, Adrian</v>
      </c>
      <c r="H2436" s="167">
        <v>2200286.0</v>
      </c>
      <c r="I2436" s="1">
        <v>42.0</v>
      </c>
    </row>
    <row r="2437" ht="15.75" customHeight="1">
      <c r="A2437" s="1">
        <v>6050412.0</v>
      </c>
      <c r="B2437" s="1" t="s">
        <v>3476</v>
      </c>
      <c r="C2437" s="1" t="s">
        <v>3477</v>
      </c>
      <c r="D2437" s="1" t="s">
        <v>224</v>
      </c>
      <c r="E2437" s="1" t="s">
        <v>522</v>
      </c>
      <c r="F2437" s="1" t="s">
        <v>6717</v>
      </c>
      <c r="G2437" s="1" t="str">
        <f>IFERROR(VLOOKUP(A2437,H_C!$A$2:$G$2628,7,0),"Validar HC")</f>
        <v>Sanchez, Adrian</v>
      </c>
      <c r="H2437" s="167">
        <v>2200286.0</v>
      </c>
      <c r="I2437" s="1">
        <v>42.0</v>
      </c>
    </row>
    <row r="2438" ht="15.75" customHeight="1">
      <c r="A2438" s="1">
        <v>6050404.0</v>
      </c>
      <c r="B2438" s="1" t="s">
        <v>3625</v>
      </c>
      <c r="C2438" s="1" t="s">
        <v>3626</v>
      </c>
      <c r="D2438" s="1" t="s">
        <v>224</v>
      </c>
      <c r="E2438" s="1" t="s">
        <v>526</v>
      </c>
      <c r="F2438" s="1" t="s">
        <v>6717</v>
      </c>
      <c r="G2438" s="1" t="str">
        <f>IFERROR(VLOOKUP(A2438,H_C!$A$2:$G$2628,7,0),"Validar HC")</f>
        <v>Sanchez, Adrian</v>
      </c>
      <c r="H2438" s="167">
        <v>2200286.0</v>
      </c>
      <c r="I2438" s="1">
        <v>42.0</v>
      </c>
    </row>
    <row r="2439" ht="15.75" customHeight="1">
      <c r="A2439" s="1">
        <v>3705710.0</v>
      </c>
      <c r="B2439" s="1" t="s">
        <v>3464</v>
      </c>
      <c r="C2439" s="1" t="s">
        <v>3465</v>
      </c>
      <c r="D2439" s="1" t="s">
        <v>224</v>
      </c>
      <c r="E2439" s="1" t="s">
        <v>522</v>
      </c>
      <c r="F2439" s="1" t="s">
        <v>6717</v>
      </c>
      <c r="G2439" s="1" t="str">
        <f>IFERROR(VLOOKUP(A2439,H_C!$A$2:$G$2628,7,0),"Validar HC")</f>
        <v>Sanchez, Adrian</v>
      </c>
      <c r="H2439" s="167">
        <v>2200286.0</v>
      </c>
      <c r="I2439" s="1">
        <v>42.0</v>
      </c>
    </row>
    <row r="2440" ht="15.75" customHeight="1">
      <c r="A2440" s="1">
        <v>6050414.0</v>
      </c>
      <c r="B2440" s="1" t="s">
        <v>4045</v>
      </c>
      <c r="C2440" s="1" t="s">
        <v>4046</v>
      </c>
      <c r="D2440" s="1" t="s">
        <v>224</v>
      </c>
      <c r="E2440" s="1" t="s">
        <v>1177</v>
      </c>
      <c r="F2440" s="1" t="s">
        <v>6717</v>
      </c>
      <c r="G2440" s="1" t="str">
        <f>IFERROR(VLOOKUP(A2440,H_C!$A$2:$G$2628,7,0),"Validar HC")</f>
        <v>Martinez, Wendy</v>
      </c>
      <c r="H2440" s="167">
        <v>2200286.0</v>
      </c>
      <c r="I2440" s="1">
        <v>42.0</v>
      </c>
    </row>
    <row r="2441" ht="15.75" customHeight="1">
      <c r="A2441" s="1">
        <v>5846260.0</v>
      </c>
      <c r="B2441" s="1" t="s">
        <v>3488</v>
      </c>
      <c r="C2441" s="1" t="s">
        <v>3489</v>
      </c>
      <c r="D2441" s="1" t="s">
        <v>224</v>
      </c>
      <c r="E2441" s="1" t="s">
        <v>522</v>
      </c>
      <c r="F2441" s="1" t="s">
        <v>6717</v>
      </c>
      <c r="G2441" s="1" t="str">
        <f>IFERROR(VLOOKUP(A2441,H_C!$A$2:$G$2628,7,0),"Validar HC")</f>
        <v>Sanchez, Adrian</v>
      </c>
      <c r="H2441" s="167">
        <v>2200286.0</v>
      </c>
      <c r="I2441" s="1">
        <v>42.0</v>
      </c>
    </row>
    <row r="2442" ht="15.75" customHeight="1">
      <c r="A2442" s="1">
        <v>6052474.0</v>
      </c>
      <c r="B2442" s="1" t="s">
        <v>4047</v>
      </c>
      <c r="C2442" s="1" t="s">
        <v>4048</v>
      </c>
      <c r="D2442" s="1" t="s">
        <v>224</v>
      </c>
      <c r="E2442" s="1" t="s">
        <v>1177</v>
      </c>
      <c r="F2442" s="1" t="s">
        <v>6717</v>
      </c>
      <c r="G2442" s="1" t="str">
        <f>IFERROR(VLOOKUP(A2442,H_C!$A$2:$G$2628,7,0),"Validar HC")</f>
        <v>Martinez, Wendy</v>
      </c>
      <c r="H2442" s="167">
        <v>2200286.0</v>
      </c>
      <c r="I2442" s="1">
        <v>42.0</v>
      </c>
    </row>
    <row r="2443" ht="15.75" customHeight="1">
      <c r="A2443" s="1">
        <v>5672756.0</v>
      </c>
      <c r="B2443" s="1" t="s">
        <v>5521</v>
      </c>
      <c r="C2443" s="1" t="s">
        <v>5522</v>
      </c>
      <c r="D2443" s="1" t="s">
        <v>224</v>
      </c>
      <c r="E2443" s="1" t="s">
        <v>853</v>
      </c>
      <c r="F2443" s="1" t="s">
        <v>6717</v>
      </c>
      <c r="G2443" s="1" t="str">
        <f>IFERROR(VLOOKUP(A2443,H_C!$A$2:$G$2628,7,0),"Validar HC")</f>
        <v>Garcia, Helmer</v>
      </c>
      <c r="H2443" s="167">
        <v>2200286.0</v>
      </c>
      <c r="I2443" s="1">
        <v>42.0</v>
      </c>
    </row>
    <row r="2444" ht="15.75" customHeight="1">
      <c r="A2444" s="1">
        <v>6054381.0</v>
      </c>
      <c r="B2444" s="1" t="s">
        <v>5519</v>
      </c>
      <c r="C2444" s="1" t="s">
        <v>5520</v>
      </c>
      <c r="D2444" s="1" t="s">
        <v>224</v>
      </c>
      <c r="E2444" s="1" t="s">
        <v>853</v>
      </c>
      <c r="F2444" s="1" t="s">
        <v>6717</v>
      </c>
      <c r="G2444" s="1" t="str">
        <f>IFERROR(VLOOKUP(A2444,H_C!$A$2:$G$2628,7,0),"Validar HC")</f>
        <v>Garcia, Helmer</v>
      </c>
      <c r="H2444" s="167">
        <v>2200286.0</v>
      </c>
      <c r="I2444" s="1">
        <v>42.0</v>
      </c>
    </row>
    <row r="2445" ht="15.75" customHeight="1">
      <c r="A2445" s="1">
        <v>6054116.0</v>
      </c>
      <c r="B2445" s="1" t="s">
        <v>5507</v>
      </c>
      <c r="C2445" s="1" t="s">
        <v>5508</v>
      </c>
      <c r="D2445" s="1" t="s">
        <v>224</v>
      </c>
      <c r="E2445" s="1" t="s">
        <v>853</v>
      </c>
      <c r="F2445" s="1" t="s">
        <v>6717</v>
      </c>
      <c r="G2445" s="1" t="str">
        <f>IFERROR(VLOOKUP(A2445,H_C!$A$2:$G$2628,7,0),"Validar HC")</f>
        <v>Garcia, Helmer</v>
      </c>
      <c r="H2445" s="167">
        <v>2200286.0</v>
      </c>
      <c r="I2445" s="1">
        <v>42.0</v>
      </c>
    </row>
    <row r="2446" ht="15.75" customHeight="1">
      <c r="A2446" s="1">
        <v>6054478.0</v>
      </c>
      <c r="B2446" s="1" t="s">
        <v>5513</v>
      </c>
      <c r="C2446" s="1" t="s">
        <v>5514</v>
      </c>
      <c r="D2446" s="1" t="s">
        <v>224</v>
      </c>
      <c r="E2446" s="1" t="s">
        <v>853</v>
      </c>
      <c r="F2446" s="1" t="s">
        <v>6717</v>
      </c>
      <c r="G2446" s="1" t="str">
        <f>IFERROR(VLOOKUP(A2446,H_C!$A$2:$G$2628,7,0),"Validar HC")</f>
        <v>Garcia, Helmer</v>
      </c>
      <c r="H2446" s="167">
        <v>2200286.0</v>
      </c>
      <c r="I2446" s="1">
        <v>42.0</v>
      </c>
    </row>
    <row r="2447" ht="15.75" customHeight="1">
      <c r="A2447" s="1">
        <v>4356429.0</v>
      </c>
      <c r="B2447" s="1" t="s">
        <v>5529</v>
      </c>
      <c r="C2447" s="1" t="s">
        <v>5530</v>
      </c>
      <c r="D2447" s="1" t="s">
        <v>224</v>
      </c>
      <c r="E2447" s="1" t="s">
        <v>853</v>
      </c>
      <c r="F2447" s="1" t="s">
        <v>6717</v>
      </c>
      <c r="G2447" s="1" t="str">
        <f>IFERROR(VLOOKUP(A2447,H_C!$A$2:$G$2628,7,0),"Validar HC")</f>
        <v>Garcia, Helmer</v>
      </c>
      <c r="H2447" s="167">
        <v>2200286.0</v>
      </c>
      <c r="I2447" s="1">
        <v>42.0</v>
      </c>
    </row>
    <row r="2448" ht="15.75" customHeight="1">
      <c r="A2448" s="1">
        <v>6054350.0</v>
      </c>
      <c r="B2448" s="1" t="s">
        <v>3472</v>
      </c>
      <c r="C2448" s="1" t="s">
        <v>3473</v>
      </c>
      <c r="D2448" s="1" t="s">
        <v>224</v>
      </c>
      <c r="E2448" s="1" t="s">
        <v>522</v>
      </c>
      <c r="F2448" s="1" t="s">
        <v>6717</v>
      </c>
      <c r="G2448" s="1" t="str">
        <f>IFERROR(VLOOKUP(A2448,H_C!$A$2:$G$2628,7,0),"Validar HC")</f>
        <v>Sanchez, Adrian</v>
      </c>
      <c r="H2448" s="167">
        <v>2200286.0</v>
      </c>
      <c r="I2448" s="1">
        <v>42.0</v>
      </c>
    </row>
    <row r="2449" ht="15.75" customHeight="1">
      <c r="A2449" s="1">
        <v>6054426.0</v>
      </c>
      <c r="B2449" s="1" t="s">
        <v>3635</v>
      </c>
      <c r="C2449" s="1" t="s">
        <v>3636</v>
      </c>
      <c r="D2449" s="1" t="s">
        <v>224</v>
      </c>
      <c r="E2449" s="1" t="s">
        <v>526</v>
      </c>
      <c r="F2449" s="1" t="s">
        <v>6717</v>
      </c>
      <c r="G2449" s="1" t="str">
        <f>IFERROR(VLOOKUP(A2449,H_C!$A$2:$G$2628,7,0),"Validar HC")</f>
        <v>Sanchez, Adrian</v>
      </c>
      <c r="H2449" s="167">
        <v>2200286.0</v>
      </c>
      <c r="I2449" s="1">
        <v>42.0</v>
      </c>
    </row>
    <row r="2450" ht="15.75" customHeight="1">
      <c r="A2450" s="1">
        <v>6054295.0</v>
      </c>
      <c r="B2450" s="1" t="s">
        <v>4027</v>
      </c>
      <c r="C2450" s="1" t="s">
        <v>4028</v>
      </c>
      <c r="D2450" s="1" t="s">
        <v>224</v>
      </c>
      <c r="E2450" s="1" t="s">
        <v>1177</v>
      </c>
      <c r="F2450" s="1" t="s">
        <v>6717</v>
      </c>
      <c r="G2450" s="1" t="str">
        <f>IFERROR(VLOOKUP(A2450,H_C!$A$2:$G$2628,7,0),"Validar HC")</f>
        <v>Martinez, Wendy</v>
      </c>
      <c r="H2450" s="167">
        <v>2200286.0</v>
      </c>
      <c r="I2450" s="1">
        <v>42.0</v>
      </c>
    </row>
    <row r="2451" ht="15.75" customHeight="1">
      <c r="A2451" s="1">
        <v>2380860.0</v>
      </c>
      <c r="B2451" s="1" t="s">
        <v>3494</v>
      </c>
      <c r="C2451" s="1" t="s">
        <v>3495</v>
      </c>
      <c r="D2451" s="1" t="s">
        <v>224</v>
      </c>
      <c r="E2451" s="1" t="s">
        <v>522</v>
      </c>
      <c r="F2451" s="1" t="s">
        <v>6717</v>
      </c>
      <c r="G2451" s="1" t="str">
        <f>IFERROR(VLOOKUP(A2451,H_C!$A$2:$G$2628,7,0),"Validar HC")</f>
        <v>Sanchez, Adrian</v>
      </c>
      <c r="H2451" s="167">
        <v>2200286.0</v>
      </c>
      <c r="I2451" s="1">
        <v>42.0</v>
      </c>
    </row>
    <row r="2452" ht="15.75" customHeight="1">
      <c r="A2452" s="1">
        <v>6054413.0</v>
      </c>
      <c r="B2452" s="1" t="s">
        <v>3633</v>
      </c>
      <c r="C2452" s="1" t="s">
        <v>3634</v>
      </c>
      <c r="D2452" s="1" t="s">
        <v>224</v>
      </c>
      <c r="E2452" s="1" t="s">
        <v>526</v>
      </c>
      <c r="F2452" s="1" t="s">
        <v>6717</v>
      </c>
      <c r="G2452" s="1" t="str">
        <f>IFERROR(VLOOKUP(A2452,H_C!$A$2:$G$2628,7,0),"Validar HC")</f>
        <v>Sanchez, Adrian</v>
      </c>
      <c r="H2452" s="167">
        <v>2200286.0</v>
      </c>
      <c r="I2452" s="1">
        <v>42.0</v>
      </c>
    </row>
    <row r="2453" ht="15.75" customHeight="1">
      <c r="A2453" s="1">
        <v>6055893.0</v>
      </c>
      <c r="B2453" s="1" t="s">
        <v>3468</v>
      </c>
      <c r="C2453" s="1" t="s">
        <v>3469</v>
      </c>
      <c r="D2453" s="1" t="s">
        <v>224</v>
      </c>
      <c r="E2453" s="1" t="s">
        <v>522</v>
      </c>
      <c r="F2453" s="1" t="s">
        <v>6717</v>
      </c>
      <c r="G2453" s="1" t="str">
        <f>IFERROR(VLOOKUP(A2453,H_C!$A$2:$G$2628,7,0),"Validar HC")</f>
        <v>Sanchez, Adrian</v>
      </c>
      <c r="H2453" s="167">
        <v>2200286.0</v>
      </c>
      <c r="I2453" s="1">
        <v>42.0</v>
      </c>
    </row>
    <row r="2454" ht="15.75" customHeight="1">
      <c r="A2454" s="1">
        <v>6054448.0</v>
      </c>
      <c r="B2454" s="1" t="s">
        <v>4037</v>
      </c>
      <c r="C2454" s="1" t="s">
        <v>4038</v>
      </c>
      <c r="D2454" s="1" t="s">
        <v>224</v>
      </c>
      <c r="E2454" s="1" t="s">
        <v>1177</v>
      </c>
      <c r="F2454" s="1" t="s">
        <v>6717</v>
      </c>
      <c r="G2454" s="1" t="str">
        <f>IFERROR(VLOOKUP(A2454,H_C!$A$2:$G$2628,7,0),"Validar HC")</f>
        <v>Martinez, Wendy</v>
      </c>
      <c r="H2454" s="167">
        <v>2200286.0</v>
      </c>
      <c r="I2454" s="1">
        <v>42.0</v>
      </c>
    </row>
    <row r="2455" ht="15.75" customHeight="1">
      <c r="A2455" s="1">
        <v>6054244.0</v>
      </c>
      <c r="B2455" s="1" t="s">
        <v>5428</v>
      </c>
      <c r="C2455" s="1" t="s">
        <v>5429</v>
      </c>
      <c r="D2455" s="1" t="s">
        <v>224</v>
      </c>
      <c r="E2455" s="1" t="s">
        <v>416</v>
      </c>
      <c r="F2455" s="1" t="s">
        <v>6717</v>
      </c>
      <c r="G2455" s="1" t="str">
        <f>IFERROR(VLOOKUP(A2455,H_C!$A$2:$G$2628,7,0),"Validar HC")</f>
        <v>Luna, Maria</v>
      </c>
      <c r="H2455" s="167">
        <v>2200286.0</v>
      </c>
      <c r="I2455" s="1">
        <v>42.0</v>
      </c>
    </row>
    <row r="2456" ht="15.75" customHeight="1">
      <c r="A2456" s="1">
        <v>6054318.0</v>
      </c>
      <c r="B2456" s="1" t="s">
        <v>5432</v>
      </c>
      <c r="C2456" s="1" t="s">
        <v>5433</v>
      </c>
      <c r="D2456" s="1" t="s">
        <v>224</v>
      </c>
      <c r="E2456" s="1" t="s">
        <v>416</v>
      </c>
      <c r="F2456" s="1" t="s">
        <v>6717</v>
      </c>
      <c r="G2456" s="1" t="str">
        <f>IFERROR(VLOOKUP(A2456,H_C!$A$2:$G$2628,7,0),"Validar HC")</f>
        <v>Luna, Maria</v>
      </c>
      <c r="H2456" s="167">
        <v>2200286.0</v>
      </c>
      <c r="I2456" s="1">
        <v>42.0</v>
      </c>
    </row>
    <row r="2457" ht="15.75" customHeight="1">
      <c r="A2457" s="1">
        <v>6057938.0</v>
      </c>
      <c r="B2457" s="1" t="s">
        <v>1883</v>
      </c>
      <c r="C2457" s="1" t="s">
        <v>1884</v>
      </c>
      <c r="D2457" s="1" t="s">
        <v>224</v>
      </c>
      <c r="E2457" s="1" t="s">
        <v>853</v>
      </c>
      <c r="F2457" s="1" t="s">
        <v>6717</v>
      </c>
      <c r="G2457" s="1" t="str">
        <f>IFERROR(VLOOKUP(A2457,H_C!$A$2:$G$2628,7,0),"Validar HC")</f>
        <v>Garcia, Helmer</v>
      </c>
      <c r="H2457" s="167">
        <v>2200286.0</v>
      </c>
      <c r="I2457" s="1">
        <v>42.0</v>
      </c>
    </row>
    <row r="2458" ht="15.75" customHeight="1">
      <c r="A2458" s="1">
        <v>6057937.0</v>
      </c>
      <c r="B2458" s="1" t="s">
        <v>1856</v>
      </c>
      <c r="C2458" s="1" t="s">
        <v>1857</v>
      </c>
      <c r="D2458" s="1" t="s">
        <v>224</v>
      </c>
      <c r="E2458" s="1" t="s">
        <v>853</v>
      </c>
      <c r="F2458" s="1" t="s">
        <v>6717</v>
      </c>
      <c r="G2458" s="1" t="str">
        <f>IFERROR(VLOOKUP(A2458,H_C!$A$2:$G$2628,7,0),"Validar HC")</f>
        <v>Garcia, Helmer</v>
      </c>
      <c r="H2458" s="167">
        <v>2200286.0</v>
      </c>
      <c r="I2458" s="1">
        <v>42.0</v>
      </c>
    </row>
    <row r="2459" ht="15.75" customHeight="1">
      <c r="A2459" s="1">
        <v>6057891.0</v>
      </c>
      <c r="B2459" s="1" t="s">
        <v>5434</v>
      </c>
      <c r="C2459" s="1" t="s">
        <v>5435</v>
      </c>
      <c r="D2459" s="1" t="s">
        <v>224</v>
      </c>
      <c r="E2459" s="1" t="s">
        <v>416</v>
      </c>
      <c r="F2459" s="1" t="s">
        <v>6717</v>
      </c>
      <c r="G2459" s="1" t="str">
        <f>IFERROR(VLOOKUP(A2459,H_C!$A$2:$G$2628,7,0),"Validar HC")</f>
        <v>Luna, Maria</v>
      </c>
      <c r="H2459" s="167">
        <v>2200286.0</v>
      </c>
      <c r="I2459" s="1">
        <v>42.0</v>
      </c>
    </row>
    <row r="2460" ht="15.75" customHeight="1">
      <c r="A2460" s="1">
        <v>6057959.0</v>
      </c>
      <c r="B2460" s="1" t="s">
        <v>5426</v>
      </c>
      <c r="C2460" s="1" t="s">
        <v>5427</v>
      </c>
      <c r="D2460" s="1" t="s">
        <v>224</v>
      </c>
      <c r="E2460" s="1" t="s">
        <v>416</v>
      </c>
      <c r="F2460" s="1" t="s">
        <v>6717</v>
      </c>
      <c r="G2460" s="1" t="str">
        <f>IFERROR(VLOOKUP(A2460,H_C!$A$2:$G$2628,7,0),"Validar HC")</f>
        <v>Luna, Maria</v>
      </c>
      <c r="H2460" s="167">
        <v>2200286.0</v>
      </c>
      <c r="I2460" s="1">
        <v>42.0</v>
      </c>
    </row>
    <row r="2461" ht="15.75" customHeight="1">
      <c r="A2461" s="1">
        <v>5572184.0</v>
      </c>
      <c r="B2461" s="1" t="s">
        <v>5423</v>
      </c>
      <c r="C2461" s="1" t="s">
        <v>5425</v>
      </c>
      <c r="D2461" s="1" t="s">
        <v>224</v>
      </c>
      <c r="E2461" s="1" t="s">
        <v>416</v>
      </c>
      <c r="F2461" s="1" t="s">
        <v>6717</v>
      </c>
      <c r="G2461" s="1" t="str">
        <f>IFERROR(VLOOKUP(A2461,H_C!$A$2:$G$2628,7,0),"Validar HC")</f>
        <v>Luna, Maria</v>
      </c>
      <c r="H2461" s="167">
        <v>2200286.0</v>
      </c>
      <c r="I2461" s="1">
        <v>42.0</v>
      </c>
    </row>
    <row r="2462" ht="15.75" customHeight="1">
      <c r="A2462" s="1">
        <v>6059382.0</v>
      </c>
      <c r="B2462" s="1" t="s">
        <v>5430</v>
      </c>
      <c r="C2462" s="1" t="s">
        <v>5431</v>
      </c>
      <c r="D2462" s="1" t="s">
        <v>224</v>
      </c>
      <c r="E2462" s="1" t="s">
        <v>416</v>
      </c>
      <c r="F2462" s="1" t="s">
        <v>6717</v>
      </c>
      <c r="G2462" s="1" t="str">
        <f>IFERROR(VLOOKUP(A2462,H_C!$A$2:$G$2628,7,0),"Validar HC")</f>
        <v>Luna, Maria</v>
      </c>
      <c r="H2462" s="167">
        <v>2200286.0</v>
      </c>
      <c r="I2462" s="1">
        <v>42.0</v>
      </c>
    </row>
    <row r="2463" ht="15.75" customHeight="1">
      <c r="A2463" s="1">
        <v>6059431.0</v>
      </c>
      <c r="B2463" s="1" t="s">
        <v>5436</v>
      </c>
      <c r="C2463" s="1" t="s">
        <v>5437</v>
      </c>
      <c r="D2463" s="1" t="s">
        <v>224</v>
      </c>
      <c r="E2463" s="1" t="s">
        <v>416</v>
      </c>
      <c r="F2463" s="1" t="s">
        <v>6717</v>
      </c>
      <c r="G2463" s="1" t="str">
        <f>IFERROR(VLOOKUP(A2463,H_C!$A$2:$G$2628,7,0),"Validar HC")</f>
        <v>Luna, Maria</v>
      </c>
      <c r="H2463" s="167">
        <v>2200286.0</v>
      </c>
      <c r="I2463" s="1">
        <v>42.0</v>
      </c>
    </row>
    <row r="2464" ht="15.75" customHeight="1">
      <c r="A2464" s="1">
        <v>6059687.0</v>
      </c>
      <c r="B2464" s="1" t="s">
        <v>6812</v>
      </c>
      <c r="C2464" s="1" t="s">
        <v>6813</v>
      </c>
      <c r="D2464" s="1" t="s">
        <v>224</v>
      </c>
      <c r="E2464" s="1" t="s">
        <v>416</v>
      </c>
      <c r="F2464" s="1" t="s">
        <v>6717</v>
      </c>
      <c r="G2464" s="1" t="str">
        <f>IFERROR(VLOOKUP(A2464,H_C!$A$2:$G$2628,7,0),"Validar HC")</f>
        <v>Validar HC</v>
      </c>
      <c r="H2464" s="167">
        <v>2200286.0</v>
      </c>
      <c r="I2464" s="1">
        <v>42.0</v>
      </c>
    </row>
    <row r="2465" ht="15.75" customHeight="1">
      <c r="A2465" s="1">
        <v>6059721.0</v>
      </c>
      <c r="B2465" s="1" t="s">
        <v>5440</v>
      </c>
      <c r="C2465" s="1" t="s">
        <v>5441</v>
      </c>
      <c r="D2465" s="1" t="s">
        <v>224</v>
      </c>
      <c r="E2465" s="1" t="s">
        <v>416</v>
      </c>
      <c r="F2465" s="1" t="s">
        <v>6717</v>
      </c>
      <c r="G2465" s="1" t="str">
        <f>IFERROR(VLOOKUP(A2465,H_C!$A$2:$G$2628,7,0),"Validar HC")</f>
        <v>Luna, Maria</v>
      </c>
      <c r="H2465" s="167">
        <v>2200286.0</v>
      </c>
      <c r="I2465" s="1">
        <v>42.0</v>
      </c>
    </row>
    <row r="2466" ht="15.75" customHeight="1">
      <c r="A2466" s="1">
        <v>6061235.0</v>
      </c>
      <c r="B2466" s="1" t="s">
        <v>5438</v>
      </c>
      <c r="C2466" s="1" t="s">
        <v>5439</v>
      </c>
      <c r="D2466" s="1" t="s">
        <v>224</v>
      </c>
      <c r="E2466" s="1" t="s">
        <v>416</v>
      </c>
      <c r="F2466" s="1" t="s">
        <v>6717</v>
      </c>
      <c r="G2466" s="1" t="str">
        <f>IFERROR(VLOOKUP(A2466,H_C!$A$2:$G$2628,7,0),"Validar HC")</f>
        <v>Luna, Maria</v>
      </c>
      <c r="H2466" s="167">
        <v>2200286.0</v>
      </c>
      <c r="I2466" s="1">
        <v>42.0</v>
      </c>
    </row>
    <row r="2467" ht="15.75" customHeight="1">
      <c r="A2467" s="1">
        <v>4097616.0</v>
      </c>
      <c r="B2467" s="1" t="s">
        <v>3193</v>
      </c>
      <c r="C2467" s="1" t="s">
        <v>3194</v>
      </c>
      <c r="D2467" s="1" t="s">
        <v>224</v>
      </c>
      <c r="E2467" s="1" t="s">
        <v>412</v>
      </c>
      <c r="F2467" s="1" t="s">
        <v>6717</v>
      </c>
      <c r="G2467" s="1" t="str">
        <f>IFERROR(VLOOKUP(A2467,H_C!$A$2:$G$2628,7,0),"Validar HC")</f>
        <v>Ospina, Michel</v>
      </c>
      <c r="H2467" s="167">
        <v>2200286.0</v>
      </c>
      <c r="I2467" s="1">
        <v>42.0</v>
      </c>
    </row>
    <row r="2468" ht="15.75" customHeight="1">
      <c r="A2468" s="1">
        <v>6064952.0</v>
      </c>
      <c r="B2468" s="1" t="s">
        <v>5329</v>
      </c>
      <c r="C2468" s="1" t="s">
        <v>5330</v>
      </c>
      <c r="D2468" s="1" t="s">
        <v>224</v>
      </c>
      <c r="E2468" s="1" t="s">
        <v>724</v>
      </c>
      <c r="F2468" s="1" t="s">
        <v>6717</v>
      </c>
      <c r="G2468" s="1" t="str">
        <f>IFERROR(VLOOKUP(A2468,H_C!$A$2:$G$2628,7,0),"Validar HC")</f>
        <v>Vasquez, Kley</v>
      </c>
      <c r="H2468" s="167">
        <v>2200286.0</v>
      </c>
      <c r="I2468" s="1">
        <v>42.0</v>
      </c>
    </row>
    <row r="2469" ht="15.75" customHeight="1">
      <c r="A2469" s="1">
        <v>6064966.0</v>
      </c>
      <c r="B2469" s="1" t="s">
        <v>5316</v>
      </c>
      <c r="C2469" s="1" t="s">
        <v>5320</v>
      </c>
      <c r="D2469" s="1" t="s">
        <v>224</v>
      </c>
      <c r="E2469" s="1" t="s">
        <v>724</v>
      </c>
      <c r="F2469" s="1" t="s">
        <v>6717</v>
      </c>
      <c r="G2469" s="1" t="str">
        <f>IFERROR(VLOOKUP(A2469,H_C!$A$2:$G$2628,7,0),"Validar HC")</f>
        <v>Vasquez, Kley</v>
      </c>
      <c r="H2469" s="167">
        <v>2200286.0</v>
      </c>
      <c r="I2469" s="1">
        <v>42.0</v>
      </c>
    </row>
    <row r="2470" ht="15.75" customHeight="1">
      <c r="A2470" s="1">
        <v>4773722.0</v>
      </c>
      <c r="B2470" s="1" t="s">
        <v>5341</v>
      </c>
      <c r="C2470" s="1" t="s">
        <v>5342</v>
      </c>
      <c r="D2470" s="1" t="s">
        <v>224</v>
      </c>
      <c r="E2470" s="1" t="s">
        <v>724</v>
      </c>
      <c r="F2470" s="1" t="s">
        <v>6717</v>
      </c>
      <c r="G2470" s="1" t="str">
        <f>IFERROR(VLOOKUP(A2470,H_C!$A$2:$G$2628,7,0),"Validar HC")</f>
        <v>Vasquez, Kley</v>
      </c>
      <c r="H2470" s="167">
        <v>2200286.0</v>
      </c>
      <c r="I2470" s="1">
        <v>42.0</v>
      </c>
    </row>
    <row r="2471" ht="15.75" customHeight="1">
      <c r="A2471" s="1">
        <v>6064979.0</v>
      </c>
      <c r="B2471" s="1" t="s">
        <v>5337</v>
      </c>
      <c r="C2471" s="1" t="s">
        <v>5338</v>
      </c>
      <c r="D2471" s="1" t="s">
        <v>224</v>
      </c>
      <c r="E2471" s="1" t="s">
        <v>724</v>
      </c>
      <c r="F2471" s="1" t="s">
        <v>6717</v>
      </c>
      <c r="G2471" s="1" t="str">
        <f>IFERROR(VLOOKUP(A2471,H_C!$A$2:$G$2628,7,0),"Validar HC")</f>
        <v>Vasquez, Kley</v>
      </c>
      <c r="H2471" s="167">
        <v>2200286.0</v>
      </c>
      <c r="I2471" s="1">
        <v>42.0</v>
      </c>
    </row>
    <row r="2472" ht="15.75" customHeight="1">
      <c r="A2472" s="1">
        <v>6064977.0</v>
      </c>
      <c r="B2472" s="1" t="s">
        <v>5325</v>
      </c>
      <c r="C2472" s="1" t="s">
        <v>5326</v>
      </c>
      <c r="D2472" s="1" t="s">
        <v>224</v>
      </c>
      <c r="E2472" s="1" t="s">
        <v>724</v>
      </c>
      <c r="F2472" s="1" t="s">
        <v>6717</v>
      </c>
      <c r="G2472" s="1" t="str">
        <f>IFERROR(VLOOKUP(A2472,H_C!$A$2:$G$2628,7,0),"Validar HC")</f>
        <v>Vasquez, Kley</v>
      </c>
      <c r="H2472" s="167">
        <v>2200286.0</v>
      </c>
      <c r="I2472" s="1">
        <v>42.0</v>
      </c>
    </row>
    <row r="2473" ht="15.75" customHeight="1">
      <c r="A2473" s="1">
        <v>6064987.0</v>
      </c>
      <c r="B2473" s="1" t="s">
        <v>5333</v>
      </c>
      <c r="C2473" s="1" t="s">
        <v>5334</v>
      </c>
      <c r="D2473" s="1" t="s">
        <v>224</v>
      </c>
      <c r="E2473" s="1" t="s">
        <v>724</v>
      </c>
      <c r="F2473" s="1" t="s">
        <v>6717</v>
      </c>
      <c r="G2473" s="1" t="str">
        <f>IFERROR(VLOOKUP(A2473,H_C!$A$2:$G$2628,7,0),"Validar HC")</f>
        <v>Vasquez, Kley</v>
      </c>
      <c r="H2473" s="167">
        <v>2200286.0</v>
      </c>
      <c r="I2473" s="1">
        <v>42.0</v>
      </c>
    </row>
    <row r="2474" ht="15.75" customHeight="1">
      <c r="A2474" s="1">
        <v>6035083.0</v>
      </c>
      <c r="B2474" s="1" t="s">
        <v>5323</v>
      </c>
      <c r="C2474" s="1" t="s">
        <v>5324</v>
      </c>
      <c r="D2474" s="1" t="s">
        <v>224</v>
      </c>
      <c r="E2474" s="1" t="s">
        <v>724</v>
      </c>
      <c r="F2474" s="1" t="s">
        <v>6717</v>
      </c>
      <c r="G2474" s="1" t="str">
        <f>IFERROR(VLOOKUP(A2474,H_C!$A$2:$G$2628,7,0),"Validar HC")</f>
        <v>Vasquez, Kley</v>
      </c>
      <c r="H2474" s="167">
        <v>2200286.0</v>
      </c>
      <c r="I2474" s="1">
        <v>42.0</v>
      </c>
    </row>
    <row r="2475" ht="15.75" customHeight="1">
      <c r="A2475" s="1">
        <v>5948160.0</v>
      </c>
      <c r="B2475" s="1" t="s">
        <v>5321</v>
      </c>
      <c r="C2475" s="1" t="s">
        <v>5322</v>
      </c>
      <c r="D2475" s="1" t="s">
        <v>224</v>
      </c>
      <c r="E2475" s="1" t="s">
        <v>724</v>
      </c>
      <c r="F2475" s="1" t="s">
        <v>6717</v>
      </c>
      <c r="G2475" s="1" t="str">
        <f>IFERROR(VLOOKUP(A2475,H_C!$A$2:$G$2628,7,0),"Validar HC")</f>
        <v>Vasquez, Kley</v>
      </c>
      <c r="H2475" s="167">
        <v>2200286.0</v>
      </c>
      <c r="I2475" s="1">
        <v>42.0</v>
      </c>
    </row>
    <row r="2476" ht="15.75" customHeight="1">
      <c r="A2476" s="1">
        <v>5334857.0</v>
      </c>
      <c r="B2476" s="1" t="s">
        <v>4346</v>
      </c>
      <c r="C2476" s="1" t="s">
        <v>4347</v>
      </c>
      <c r="D2476" s="1" t="s">
        <v>224</v>
      </c>
      <c r="E2476" s="1" t="s">
        <v>416</v>
      </c>
      <c r="F2476" s="1" t="s">
        <v>6717</v>
      </c>
      <c r="G2476" s="1" t="str">
        <f>IFERROR(VLOOKUP(A2476,H_C!$A$2:$G$2628,7,0),"Validar HC")</f>
        <v>Ospina, Michel</v>
      </c>
      <c r="H2476" s="167">
        <v>2200286.0</v>
      </c>
      <c r="I2476" s="1">
        <v>42.0</v>
      </c>
    </row>
    <row r="2477" ht="15.75" customHeight="1">
      <c r="A2477" s="1">
        <v>5491973.0</v>
      </c>
      <c r="B2477" s="1" t="s">
        <v>6814</v>
      </c>
      <c r="C2477" s="1" t="s">
        <v>6815</v>
      </c>
      <c r="D2477" s="1" t="s">
        <v>224</v>
      </c>
      <c r="E2477" s="1" t="s">
        <v>416</v>
      </c>
      <c r="F2477" s="1" t="s">
        <v>6717</v>
      </c>
      <c r="G2477" s="1" t="str">
        <f>IFERROR(VLOOKUP(A2477,H_C!$A$2:$G$2628,7,0),"Validar HC")</f>
        <v>Validar HC</v>
      </c>
      <c r="H2477" s="167">
        <v>2200286.0</v>
      </c>
      <c r="I2477" s="1">
        <v>42.0</v>
      </c>
    </row>
    <row r="2478" ht="15.75" customHeight="1">
      <c r="A2478" s="1">
        <v>6075228.0</v>
      </c>
      <c r="B2478" s="1" t="s">
        <v>4340</v>
      </c>
      <c r="C2478" s="1" t="s">
        <v>4341</v>
      </c>
      <c r="D2478" s="1" t="s">
        <v>224</v>
      </c>
      <c r="E2478" s="1" t="s">
        <v>416</v>
      </c>
      <c r="F2478" s="1" t="s">
        <v>6717</v>
      </c>
      <c r="G2478" s="1" t="str">
        <f>IFERROR(VLOOKUP(A2478,H_C!$A$2:$G$2628,7,0),"Validar HC")</f>
        <v>Ospina, Michel</v>
      </c>
      <c r="H2478" s="167">
        <v>2200286.0</v>
      </c>
      <c r="I2478" s="1">
        <v>42.0</v>
      </c>
    </row>
    <row r="2479" ht="15.75" customHeight="1">
      <c r="A2479" s="1">
        <v>6075226.0</v>
      </c>
      <c r="B2479" s="1" t="s">
        <v>4358</v>
      </c>
      <c r="C2479" s="1" t="s">
        <v>4359</v>
      </c>
      <c r="D2479" s="1" t="s">
        <v>224</v>
      </c>
      <c r="E2479" s="1" t="s">
        <v>416</v>
      </c>
      <c r="F2479" s="1" t="s">
        <v>6717</v>
      </c>
      <c r="G2479" s="1" t="str">
        <f>IFERROR(VLOOKUP(A2479,H_C!$A$2:$G$2628,7,0),"Validar HC")</f>
        <v>Ospina, Michel</v>
      </c>
      <c r="H2479" s="167">
        <v>2200286.0</v>
      </c>
      <c r="I2479" s="1">
        <v>42.0</v>
      </c>
    </row>
    <row r="2480" ht="15.75" customHeight="1">
      <c r="A2480" s="1">
        <v>6075229.0</v>
      </c>
      <c r="B2480" s="1" t="s">
        <v>4350</v>
      </c>
      <c r="C2480" s="1" t="s">
        <v>4351</v>
      </c>
      <c r="D2480" s="1" t="s">
        <v>224</v>
      </c>
      <c r="E2480" s="1" t="s">
        <v>416</v>
      </c>
      <c r="F2480" s="1" t="s">
        <v>6717</v>
      </c>
      <c r="G2480" s="1" t="str">
        <f>IFERROR(VLOOKUP(A2480,H_C!$A$2:$G$2628,7,0),"Validar HC")</f>
        <v>Ospina, Michel</v>
      </c>
      <c r="H2480" s="167">
        <v>2200286.0</v>
      </c>
      <c r="I2480" s="1">
        <v>42.0</v>
      </c>
    </row>
    <row r="2481" ht="15.75" customHeight="1">
      <c r="A2481" s="1">
        <v>5979702.0</v>
      </c>
      <c r="B2481" s="1" t="s">
        <v>5142</v>
      </c>
      <c r="C2481" s="1" t="s">
        <v>5143</v>
      </c>
      <c r="D2481" s="1" t="s">
        <v>224</v>
      </c>
      <c r="E2481" s="1" t="s">
        <v>738</v>
      </c>
      <c r="F2481" s="1" t="s">
        <v>6717</v>
      </c>
      <c r="G2481" s="1" t="str">
        <f>IFERROR(VLOOKUP(A2481,H_C!$A$2:$G$2628,7,0),"Validar HC")</f>
        <v>Sanchez, Adrian</v>
      </c>
      <c r="H2481" s="167">
        <v>2200286.0</v>
      </c>
      <c r="I2481" s="1">
        <v>42.0</v>
      </c>
    </row>
    <row r="2482" ht="15.75" customHeight="1">
      <c r="A2482" s="1">
        <v>6074380.0</v>
      </c>
      <c r="B2482" s="1" t="s">
        <v>5140</v>
      </c>
      <c r="C2482" s="1" t="s">
        <v>5141</v>
      </c>
      <c r="D2482" s="1" t="s">
        <v>224</v>
      </c>
      <c r="E2482" s="1" t="s">
        <v>738</v>
      </c>
      <c r="F2482" s="1" t="s">
        <v>6717</v>
      </c>
      <c r="G2482" s="1" t="str">
        <f>IFERROR(VLOOKUP(A2482,H_C!$A$2:$G$2628,7,0),"Validar HC")</f>
        <v>Sanchez, Adrian</v>
      </c>
      <c r="H2482" s="167">
        <v>2200286.0</v>
      </c>
      <c r="I2482" s="1">
        <v>42.0</v>
      </c>
    </row>
    <row r="2483" ht="15.75" customHeight="1">
      <c r="A2483" s="1">
        <v>5614519.0</v>
      </c>
      <c r="B2483" s="1" t="s">
        <v>5132</v>
      </c>
      <c r="C2483" s="1" t="s">
        <v>5133</v>
      </c>
      <c r="D2483" s="1" t="s">
        <v>224</v>
      </c>
      <c r="E2483" s="1" t="s">
        <v>738</v>
      </c>
      <c r="F2483" s="1" t="s">
        <v>6717</v>
      </c>
      <c r="G2483" s="1" t="str">
        <f>IFERROR(VLOOKUP(A2483,H_C!$A$2:$G$2628,7,0),"Validar HC")</f>
        <v>Sanchez, Adrian</v>
      </c>
      <c r="H2483" s="167">
        <v>2200286.0</v>
      </c>
      <c r="I2483" s="1">
        <v>42.0</v>
      </c>
    </row>
    <row r="2484" ht="15.75" customHeight="1">
      <c r="A2484" s="1">
        <v>5884818.0</v>
      </c>
      <c r="B2484" s="1" t="s">
        <v>5136</v>
      </c>
      <c r="C2484" s="1" t="s">
        <v>5137</v>
      </c>
      <c r="D2484" s="1" t="s">
        <v>224</v>
      </c>
      <c r="E2484" s="1" t="s">
        <v>738</v>
      </c>
      <c r="F2484" s="1" t="s">
        <v>6717</v>
      </c>
      <c r="G2484" s="1" t="str">
        <f>IFERROR(VLOOKUP(A2484,H_C!$A$2:$G$2628,7,0),"Validar HC")</f>
        <v>Sanchez, Adrian</v>
      </c>
      <c r="H2484" s="167">
        <v>2200286.0</v>
      </c>
      <c r="I2484" s="1">
        <v>42.0</v>
      </c>
    </row>
    <row r="2485" ht="15.75" customHeight="1">
      <c r="A2485" s="1">
        <v>6076029.0</v>
      </c>
      <c r="B2485" s="1" t="s">
        <v>4342</v>
      </c>
      <c r="C2485" s="1" t="s">
        <v>4343</v>
      </c>
      <c r="D2485" s="1" t="s">
        <v>224</v>
      </c>
      <c r="E2485" s="1" t="s">
        <v>416</v>
      </c>
      <c r="F2485" s="1" t="s">
        <v>6717</v>
      </c>
      <c r="G2485" s="1" t="str">
        <f>IFERROR(VLOOKUP(A2485,H_C!$A$2:$G$2628,7,0),"Validar HC")</f>
        <v>Ospina, Michel</v>
      </c>
      <c r="H2485" s="167">
        <v>2200286.0</v>
      </c>
      <c r="I2485" s="1">
        <v>42.0</v>
      </c>
    </row>
    <row r="2486" ht="15.75" customHeight="1">
      <c r="A2486" s="1">
        <v>6075956.0</v>
      </c>
      <c r="B2486" s="1" t="s">
        <v>4326</v>
      </c>
      <c r="C2486" s="1" t="s">
        <v>4327</v>
      </c>
      <c r="D2486" s="1" t="s">
        <v>224</v>
      </c>
      <c r="E2486" s="1" t="s">
        <v>416</v>
      </c>
      <c r="F2486" s="1" t="s">
        <v>6717</v>
      </c>
      <c r="G2486" s="1" t="str">
        <f>IFERROR(VLOOKUP(A2486,H_C!$A$2:$G$2628,7,0),"Validar HC")</f>
        <v>Ospina, Michel</v>
      </c>
      <c r="H2486" s="167">
        <v>2200286.0</v>
      </c>
      <c r="I2486" s="1">
        <v>42.0</v>
      </c>
    </row>
    <row r="2487" ht="15.75" customHeight="1">
      <c r="A2487" s="1">
        <v>6074379.0</v>
      </c>
      <c r="B2487" s="1" t="s">
        <v>5146</v>
      </c>
      <c r="C2487" s="1" t="s">
        <v>5147</v>
      </c>
      <c r="D2487" s="1" t="s">
        <v>224</v>
      </c>
      <c r="E2487" s="1" t="s">
        <v>738</v>
      </c>
      <c r="F2487" s="1" t="s">
        <v>6717</v>
      </c>
      <c r="G2487" s="1" t="str">
        <f>IFERROR(VLOOKUP(A2487,H_C!$A$2:$G$2628,7,0),"Validar HC")</f>
        <v>Sanchez, Adrian</v>
      </c>
      <c r="H2487" s="167">
        <v>2200286.0</v>
      </c>
      <c r="I2487" s="1">
        <v>42.0</v>
      </c>
    </row>
    <row r="2488" ht="15.75" customHeight="1">
      <c r="A2488" s="1">
        <v>6075765.0</v>
      </c>
      <c r="B2488" s="1" t="s">
        <v>5148</v>
      </c>
      <c r="C2488" s="1" t="s">
        <v>5149</v>
      </c>
      <c r="D2488" s="1" t="s">
        <v>224</v>
      </c>
      <c r="E2488" s="1" t="s">
        <v>738</v>
      </c>
      <c r="F2488" s="1" t="s">
        <v>6717</v>
      </c>
      <c r="G2488" s="1" t="str">
        <f>IFERROR(VLOOKUP(A2488,H_C!$A$2:$G$2628,7,0),"Validar HC")</f>
        <v>Sanchez, Adrian</v>
      </c>
      <c r="H2488" s="167">
        <v>2200286.0</v>
      </c>
      <c r="I2488" s="1">
        <v>42.0</v>
      </c>
    </row>
    <row r="2489" ht="15.75" customHeight="1">
      <c r="A2489" s="1">
        <v>6076132.0</v>
      </c>
      <c r="B2489" s="1" t="s">
        <v>5144</v>
      </c>
      <c r="C2489" s="1" t="s">
        <v>5145</v>
      </c>
      <c r="D2489" s="1" t="s">
        <v>224</v>
      </c>
      <c r="E2489" s="1" t="s">
        <v>738</v>
      </c>
      <c r="F2489" s="1" t="s">
        <v>6717</v>
      </c>
      <c r="G2489" s="1" t="str">
        <f>IFERROR(VLOOKUP(A2489,H_C!$A$2:$G$2628,7,0),"Validar HC")</f>
        <v>Sanchez, Adrian</v>
      </c>
      <c r="H2489" s="167">
        <v>2200286.0</v>
      </c>
      <c r="I2489" s="1">
        <v>42.0</v>
      </c>
    </row>
    <row r="2490" ht="15.75" customHeight="1">
      <c r="A2490" s="1">
        <v>6075225.0</v>
      </c>
      <c r="B2490" s="1" t="s">
        <v>4564</v>
      </c>
      <c r="C2490" s="1" t="s">
        <v>4565</v>
      </c>
      <c r="D2490" s="1" t="s">
        <v>224</v>
      </c>
      <c r="E2490" s="1" t="s">
        <v>121</v>
      </c>
      <c r="F2490" s="1" t="s">
        <v>6717</v>
      </c>
      <c r="G2490" s="1" t="str">
        <f>IFERROR(VLOOKUP(A2490,H_C!$A$2:$G$2628,7,0),"Validar HC")</f>
        <v>Ospina, Michel</v>
      </c>
      <c r="H2490" s="167">
        <v>2200286.0</v>
      </c>
      <c r="I2490" s="1">
        <v>42.0</v>
      </c>
    </row>
    <row r="2491" ht="15.75" customHeight="1">
      <c r="A2491" s="1">
        <v>6075686.0</v>
      </c>
      <c r="B2491" s="1" t="s">
        <v>4540</v>
      </c>
      <c r="C2491" s="1" t="s">
        <v>4541</v>
      </c>
      <c r="D2491" s="1" t="s">
        <v>224</v>
      </c>
      <c r="E2491" s="1" t="s">
        <v>121</v>
      </c>
      <c r="F2491" s="1" t="s">
        <v>6717</v>
      </c>
      <c r="G2491" s="1" t="str">
        <f>IFERROR(VLOOKUP(A2491,H_C!$A$2:$G$2628,7,0),"Validar HC")</f>
        <v>Ospina, Michel</v>
      </c>
      <c r="H2491" s="167">
        <v>2200286.0</v>
      </c>
      <c r="I2491" s="1">
        <v>42.0</v>
      </c>
    </row>
    <row r="2492" ht="15.75" customHeight="1">
      <c r="A2492" s="1">
        <v>6074509.0</v>
      </c>
      <c r="B2492" s="1" t="s">
        <v>4534</v>
      </c>
      <c r="C2492" s="1" t="s">
        <v>4535</v>
      </c>
      <c r="D2492" s="1" t="s">
        <v>224</v>
      </c>
      <c r="E2492" s="1" t="s">
        <v>121</v>
      </c>
      <c r="F2492" s="1" t="s">
        <v>6717</v>
      </c>
      <c r="G2492" s="1" t="str">
        <f>IFERROR(VLOOKUP(A2492,H_C!$A$2:$G$2628,7,0),"Validar HC")</f>
        <v>Ospina, Michel</v>
      </c>
      <c r="H2492" s="167">
        <v>2200286.0</v>
      </c>
      <c r="I2492" s="1">
        <v>42.0</v>
      </c>
    </row>
    <row r="2493" ht="15.75" customHeight="1">
      <c r="A2493" s="1">
        <v>6075227.0</v>
      </c>
      <c r="B2493" s="1" t="s">
        <v>4536</v>
      </c>
      <c r="C2493" s="1" t="s">
        <v>4537</v>
      </c>
      <c r="D2493" s="1" t="s">
        <v>224</v>
      </c>
      <c r="E2493" s="1" t="s">
        <v>121</v>
      </c>
      <c r="F2493" s="1" t="s">
        <v>6717</v>
      </c>
      <c r="G2493" s="1" t="str">
        <f>IFERROR(VLOOKUP(A2493,H_C!$A$2:$G$2628,7,0),"Validar HC")</f>
        <v>Ospina, Michel</v>
      </c>
      <c r="H2493" s="167">
        <v>2200286.0</v>
      </c>
      <c r="I2493" s="1">
        <v>42.0</v>
      </c>
    </row>
    <row r="2494" ht="15.75" customHeight="1">
      <c r="A2494" s="1">
        <v>6075224.0</v>
      </c>
      <c r="B2494" s="1" t="s">
        <v>6816</v>
      </c>
      <c r="C2494" s="1" t="s">
        <v>6817</v>
      </c>
      <c r="D2494" s="1" t="s">
        <v>224</v>
      </c>
      <c r="E2494" s="1" t="s">
        <v>121</v>
      </c>
      <c r="F2494" s="1" t="s">
        <v>6717</v>
      </c>
      <c r="G2494" s="1" t="str">
        <f>IFERROR(VLOOKUP(A2494,H_C!$A$2:$G$2628,7,0),"Validar HC")</f>
        <v>Validar HC</v>
      </c>
      <c r="H2494" s="167">
        <v>2200286.0</v>
      </c>
      <c r="I2494" s="1">
        <v>42.0</v>
      </c>
    </row>
    <row r="2495" ht="15.75" customHeight="1">
      <c r="A2495" s="1">
        <v>6075955.0</v>
      </c>
      <c r="B2495" s="1" t="s">
        <v>6818</v>
      </c>
      <c r="C2495" s="1" t="s">
        <v>6819</v>
      </c>
      <c r="D2495" s="1" t="s">
        <v>224</v>
      </c>
      <c r="E2495" s="1" t="s">
        <v>121</v>
      </c>
      <c r="F2495" s="1" t="s">
        <v>6717</v>
      </c>
      <c r="G2495" s="1" t="str">
        <f>IFERROR(VLOOKUP(A2495,H_C!$A$2:$G$2628,7,0),"Validar HC")</f>
        <v>Validar HC</v>
      </c>
      <c r="H2495" s="167">
        <v>2200286.0</v>
      </c>
      <c r="I2495" s="1">
        <v>42.0</v>
      </c>
    </row>
    <row r="2496" ht="15.75" customHeight="1">
      <c r="A2496" s="1">
        <v>6074375.0</v>
      </c>
      <c r="B2496" s="1" t="s">
        <v>4572</v>
      </c>
      <c r="C2496" s="1" t="s">
        <v>4573</v>
      </c>
      <c r="D2496" s="1" t="s">
        <v>224</v>
      </c>
      <c r="E2496" s="1" t="s">
        <v>121</v>
      </c>
      <c r="F2496" s="1" t="s">
        <v>6717</v>
      </c>
      <c r="G2496" s="1" t="str">
        <f>IFERROR(VLOOKUP(A2496,H_C!$A$2:$G$2628,7,0),"Validar HC")</f>
        <v>Ospina, Michel</v>
      </c>
      <c r="H2496" s="167">
        <v>2200286.0</v>
      </c>
      <c r="I2496" s="1">
        <v>42.0</v>
      </c>
    </row>
    <row r="2497" ht="15.75" customHeight="1">
      <c r="A2497" s="1">
        <v>6076157.0</v>
      </c>
      <c r="B2497" s="1" t="s">
        <v>4386</v>
      </c>
      <c r="C2497" s="1" t="s">
        <v>4387</v>
      </c>
      <c r="D2497" s="1" t="s">
        <v>224</v>
      </c>
      <c r="E2497" s="1" t="s">
        <v>537</v>
      </c>
      <c r="F2497" s="1" t="s">
        <v>6717</v>
      </c>
      <c r="G2497" s="1" t="str">
        <f>IFERROR(VLOOKUP(A2497,H_C!$A$2:$G$2628,7,0),"Validar HC")</f>
        <v>Ayala, Giselle</v>
      </c>
      <c r="H2497" s="167">
        <v>2200286.0</v>
      </c>
      <c r="I2497" s="1">
        <v>42.0</v>
      </c>
    </row>
    <row r="2498" ht="15.75" customHeight="1">
      <c r="A2498" s="1">
        <v>6076174.0</v>
      </c>
      <c r="B2498" s="1" t="s">
        <v>5537</v>
      </c>
      <c r="C2498" s="1" t="s">
        <v>5539</v>
      </c>
      <c r="D2498" s="1" t="s">
        <v>224</v>
      </c>
      <c r="E2498" s="1" t="s">
        <v>323</v>
      </c>
      <c r="F2498" s="1" t="s">
        <v>6717</v>
      </c>
      <c r="G2498" s="1" t="str">
        <f>IFERROR(VLOOKUP(A2498,H_C!$A$2:$G$2628,7,0),"Validar HC")</f>
        <v>Sanchez, Adrian</v>
      </c>
      <c r="H2498" s="167">
        <v>2200286.0</v>
      </c>
      <c r="I2498" s="1">
        <v>42.0</v>
      </c>
    </row>
    <row r="2499" ht="15.75" customHeight="1">
      <c r="A2499" s="1">
        <v>6076185.0</v>
      </c>
      <c r="B2499" s="1" t="s">
        <v>5540</v>
      </c>
      <c r="C2499" s="1" t="s">
        <v>5541</v>
      </c>
      <c r="D2499" s="1" t="s">
        <v>224</v>
      </c>
      <c r="E2499" s="1" t="s">
        <v>323</v>
      </c>
      <c r="F2499" s="1" t="s">
        <v>6717</v>
      </c>
      <c r="G2499" s="1" t="str">
        <f>IFERROR(VLOOKUP(A2499,H_C!$A$2:$G$2628,7,0),"Validar HC")</f>
        <v>Sanchez, Adrian</v>
      </c>
      <c r="H2499" s="167">
        <v>2200286.0</v>
      </c>
      <c r="I2499" s="1">
        <v>42.0</v>
      </c>
    </row>
    <row r="2500" ht="15.75" customHeight="1">
      <c r="A2500" s="1">
        <v>6076208.0</v>
      </c>
      <c r="B2500" s="1" t="s">
        <v>2434</v>
      </c>
      <c r="C2500" s="1" t="s">
        <v>2435</v>
      </c>
      <c r="D2500" s="1" t="s">
        <v>224</v>
      </c>
      <c r="E2500" s="1" t="s">
        <v>986</v>
      </c>
      <c r="F2500" s="1" t="s">
        <v>6717</v>
      </c>
      <c r="G2500" s="1" t="str">
        <f>IFERROR(VLOOKUP(A2500,H_C!$A$2:$G$2628,7,0),"Validar HC")</f>
        <v>Garatejo, Natalia</v>
      </c>
      <c r="H2500" s="167">
        <v>2200286.0</v>
      </c>
      <c r="I2500" s="1">
        <v>42.0</v>
      </c>
    </row>
    <row r="2501" ht="15.75" customHeight="1">
      <c r="A2501" s="1">
        <v>6076209.0</v>
      </c>
      <c r="B2501" s="1" t="s">
        <v>4418</v>
      </c>
      <c r="C2501" s="1" t="s">
        <v>4419</v>
      </c>
      <c r="D2501" s="1" t="s">
        <v>224</v>
      </c>
      <c r="E2501" s="1" t="s">
        <v>3225</v>
      </c>
      <c r="F2501" s="1" t="s">
        <v>6717</v>
      </c>
      <c r="G2501" s="1" t="str">
        <f>IFERROR(VLOOKUP(A2501,H_C!$A$2:$G$2628,7,0),"Validar HC")</f>
        <v>Ayala, Giselle</v>
      </c>
      <c r="H2501" s="167">
        <v>2200286.0</v>
      </c>
      <c r="I2501" s="1">
        <v>42.0</v>
      </c>
    </row>
    <row r="2502" ht="15.75" customHeight="1">
      <c r="A2502" s="1">
        <v>6076154.0</v>
      </c>
      <c r="B2502" s="1" t="s">
        <v>4372</v>
      </c>
      <c r="C2502" s="1" t="s">
        <v>4373</v>
      </c>
      <c r="D2502" s="1" t="s">
        <v>224</v>
      </c>
      <c r="E2502" s="1" t="s">
        <v>537</v>
      </c>
      <c r="F2502" s="1" t="s">
        <v>6717</v>
      </c>
      <c r="G2502" s="1" t="str">
        <f>IFERROR(VLOOKUP(A2502,H_C!$A$2:$G$2628,7,0),"Validar HC")</f>
        <v>Ayala, Giselle</v>
      </c>
      <c r="H2502" s="167">
        <v>2200286.0</v>
      </c>
      <c r="I2502" s="1">
        <v>42.0</v>
      </c>
    </row>
    <row r="2503" ht="15.75" customHeight="1">
      <c r="A2503" s="1">
        <v>6076166.0</v>
      </c>
      <c r="B2503" s="1" t="s">
        <v>4134</v>
      </c>
      <c r="C2503" s="1" t="s">
        <v>4135</v>
      </c>
      <c r="D2503" s="1" t="s">
        <v>224</v>
      </c>
      <c r="E2503" s="1" t="s">
        <v>3225</v>
      </c>
      <c r="F2503" s="1" t="s">
        <v>6717</v>
      </c>
      <c r="G2503" s="1" t="str">
        <f>IFERROR(VLOOKUP(A2503,H_C!$A$2:$G$2628,7,0),"Validar HC")</f>
        <v>Ayala, Giselle</v>
      </c>
      <c r="H2503" s="167">
        <v>2200286.0</v>
      </c>
      <c r="I2503" s="1">
        <v>42.0</v>
      </c>
    </row>
    <row r="2504" ht="15.75" customHeight="1">
      <c r="A2504" s="1">
        <v>6076155.0</v>
      </c>
      <c r="B2504" s="1" t="s">
        <v>4394</v>
      </c>
      <c r="C2504" s="1" t="s">
        <v>4395</v>
      </c>
      <c r="D2504" s="1" t="s">
        <v>224</v>
      </c>
      <c r="E2504" s="1" t="s">
        <v>537</v>
      </c>
      <c r="F2504" s="1" t="s">
        <v>6717</v>
      </c>
      <c r="G2504" s="1" t="str">
        <f>IFERROR(VLOOKUP(A2504,H_C!$A$2:$G$2628,7,0),"Validar HC")</f>
        <v>Ayala, Giselle</v>
      </c>
      <c r="H2504" s="167">
        <v>2200286.0</v>
      </c>
      <c r="I2504" s="1">
        <v>42.0</v>
      </c>
    </row>
    <row r="2505" ht="15.75" customHeight="1">
      <c r="A2505" s="1">
        <v>6076198.0</v>
      </c>
      <c r="B2505" s="1" t="s">
        <v>2311</v>
      </c>
      <c r="C2505" s="1" t="s">
        <v>2312</v>
      </c>
      <c r="D2505" s="1" t="s">
        <v>224</v>
      </c>
      <c r="E2505" s="1" t="s">
        <v>986</v>
      </c>
      <c r="F2505" s="1" t="s">
        <v>6717</v>
      </c>
      <c r="G2505" s="1" t="str">
        <f>IFERROR(VLOOKUP(A2505,H_C!$A$2:$G$2628,7,0),"Validar HC")</f>
        <v>Garatejo, Natalia</v>
      </c>
      <c r="H2505" s="167">
        <v>2200286.0</v>
      </c>
      <c r="I2505" s="1">
        <v>42.0</v>
      </c>
    </row>
    <row r="2506" ht="15.75" customHeight="1">
      <c r="A2506" s="1">
        <v>6076204.0</v>
      </c>
      <c r="B2506" s="1" t="s">
        <v>4096</v>
      </c>
      <c r="C2506" s="1" t="s">
        <v>4097</v>
      </c>
      <c r="D2506" s="1" t="s">
        <v>224</v>
      </c>
      <c r="E2506" s="1" t="s">
        <v>537</v>
      </c>
      <c r="F2506" s="1" t="s">
        <v>6717</v>
      </c>
      <c r="G2506" s="1" t="str">
        <f>IFERROR(VLOOKUP(A2506,H_C!$A$2:$G$2628,7,0),"Validar HC")</f>
        <v>Ayala, Giselle</v>
      </c>
      <c r="H2506" s="167">
        <v>2200286.0</v>
      </c>
      <c r="I2506" s="1">
        <v>42.0</v>
      </c>
    </row>
    <row r="2507" ht="15.75" customHeight="1">
      <c r="A2507" s="1">
        <v>6076180.0</v>
      </c>
      <c r="B2507" s="1" t="s">
        <v>5542</v>
      </c>
      <c r="C2507" s="1" t="s">
        <v>5543</v>
      </c>
      <c r="D2507" s="1" t="s">
        <v>224</v>
      </c>
      <c r="E2507" s="1" t="s">
        <v>323</v>
      </c>
      <c r="F2507" s="1" t="s">
        <v>6717</v>
      </c>
      <c r="G2507" s="1" t="str">
        <f>IFERROR(VLOOKUP(A2507,H_C!$A$2:$G$2628,7,0),"Validar HC")</f>
        <v>Sanchez, Adrian</v>
      </c>
      <c r="H2507" s="167">
        <v>2200286.0</v>
      </c>
      <c r="I2507" s="1">
        <v>42.0</v>
      </c>
    </row>
    <row r="2508" ht="15.75" customHeight="1">
      <c r="A2508" s="1">
        <v>6076205.0</v>
      </c>
      <c r="B2508" s="1" t="s">
        <v>5544</v>
      </c>
      <c r="C2508" s="1" t="s">
        <v>5545</v>
      </c>
      <c r="D2508" s="1" t="s">
        <v>224</v>
      </c>
      <c r="E2508" s="1" t="s">
        <v>323</v>
      </c>
      <c r="F2508" s="1" t="s">
        <v>6717</v>
      </c>
      <c r="G2508" s="1" t="str">
        <f>IFERROR(VLOOKUP(A2508,H_C!$A$2:$G$2628,7,0),"Validar HC")</f>
        <v>Sanchez, Adrian</v>
      </c>
      <c r="H2508" s="167">
        <v>2200286.0</v>
      </c>
      <c r="I2508" s="1">
        <v>42.0</v>
      </c>
    </row>
    <row r="2509" ht="15.75" customHeight="1">
      <c r="A2509" s="1">
        <v>6076193.0</v>
      </c>
      <c r="B2509" s="1" t="s">
        <v>6820</v>
      </c>
      <c r="C2509" s="1" t="s">
        <v>6821</v>
      </c>
      <c r="D2509" s="1" t="s">
        <v>224</v>
      </c>
      <c r="E2509" s="1" t="s">
        <v>986</v>
      </c>
      <c r="F2509" s="1" t="s">
        <v>6717</v>
      </c>
      <c r="G2509" s="1" t="str">
        <f>IFERROR(VLOOKUP(A2509,H_C!$A$2:$G$2628,7,0),"Validar HC")</f>
        <v>Validar HC</v>
      </c>
      <c r="H2509" s="167">
        <v>2200286.0</v>
      </c>
      <c r="I2509" s="1">
        <v>42.0</v>
      </c>
    </row>
    <row r="2510" ht="15.75" customHeight="1">
      <c r="A2510" s="1">
        <v>6076158.0</v>
      </c>
      <c r="B2510" s="1" t="s">
        <v>4402</v>
      </c>
      <c r="C2510" s="1" t="s">
        <v>4403</v>
      </c>
      <c r="D2510" s="1" t="s">
        <v>224</v>
      </c>
      <c r="E2510" s="1" t="s">
        <v>3225</v>
      </c>
      <c r="F2510" s="1" t="s">
        <v>6717</v>
      </c>
      <c r="G2510" s="1" t="str">
        <f>IFERROR(VLOOKUP(A2510,H_C!$A$2:$G$2628,7,0),"Validar HC")</f>
        <v>Ayala, Giselle</v>
      </c>
      <c r="H2510" s="167">
        <v>2200286.0</v>
      </c>
      <c r="I2510" s="1">
        <v>42.0</v>
      </c>
    </row>
    <row r="2511" ht="15.75" customHeight="1">
      <c r="A2511" s="1">
        <v>6076176.0</v>
      </c>
      <c r="B2511" s="1" t="s">
        <v>5546</v>
      </c>
      <c r="C2511" s="1" t="s">
        <v>5547</v>
      </c>
      <c r="D2511" s="1" t="s">
        <v>224</v>
      </c>
      <c r="E2511" s="1" t="s">
        <v>323</v>
      </c>
      <c r="F2511" s="1" t="s">
        <v>6717</v>
      </c>
      <c r="G2511" s="1" t="str">
        <f>IFERROR(VLOOKUP(A2511,H_C!$A$2:$G$2628,7,0),"Validar HC")</f>
        <v>Sanchez, Adrian</v>
      </c>
      <c r="H2511" s="167">
        <v>2200286.0</v>
      </c>
      <c r="I2511" s="1">
        <v>42.0</v>
      </c>
    </row>
    <row r="2512" ht="15.75" customHeight="1">
      <c r="A2512" s="1">
        <v>6076156.0</v>
      </c>
      <c r="B2512" s="1" t="s">
        <v>5548</v>
      </c>
      <c r="C2512" s="1" t="s">
        <v>5549</v>
      </c>
      <c r="D2512" s="1" t="s">
        <v>224</v>
      </c>
      <c r="E2512" s="1" t="s">
        <v>323</v>
      </c>
      <c r="F2512" s="1" t="s">
        <v>6717</v>
      </c>
      <c r="G2512" s="1" t="str">
        <f>IFERROR(VLOOKUP(A2512,H_C!$A$2:$G$2628,7,0),"Validar HC")</f>
        <v>Sanchez, Adrian</v>
      </c>
      <c r="H2512" s="167">
        <v>2200286.0</v>
      </c>
      <c r="I2512" s="1">
        <v>42.0</v>
      </c>
    </row>
    <row r="2513" ht="15.75" customHeight="1">
      <c r="A2513" s="1">
        <v>6076286.0</v>
      </c>
      <c r="B2513" s="1" t="s">
        <v>4356</v>
      </c>
      <c r="C2513" s="1" t="s">
        <v>4357</v>
      </c>
      <c r="D2513" s="1" t="s">
        <v>224</v>
      </c>
      <c r="E2513" s="1" t="s">
        <v>416</v>
      </c>
      <c r="F2513" s="1" t="s">
        <v>6717</v>
      </c>
      <c r="G2513" s="1" t="str">
        <f>IFERROR(VLOOKUP(A2513,H_C!$A$2:$G$2628,7,0),"Validar HC")</f>
        <v>Ospina, Michel</v>
      </c>
      <c r="H2513" s="167">
        <v>2200286.0</v>
      </c>
      <c r="I2513" s="1">
        <v>42.0</v>
      </c>
    </row>
    <row r="2514" ht="15.75" customHeight="1">
      <c r="A2514" s="1">
        <v>6076253.0</v>
      </c>
      <c r="B2514" s="1" t="s">
        <v>5138</v>
      </c>
      <c r="C2514" s="1" t="s">
        <v>5139</v>
      </c>
      <c r="D2514" s="1" t="s">
        <v>224</v>
      </c>
      <c r="E2514" s="1" t="s">
        <v>738</v>
      </c>
      <c r="F2514" s="1" t="s">
        <v>6717</v>
      </c>
      <c r="G2514" s="1" t="str">
        <f>IFERROR(VLOOKUP(A2514,H_C!$A$2:$G$2628,7,0),"Validar HC")</f>
        <v>Sanchez, Adrian</v>
      </c>
      <c r="H2514" s="167">
        <v>2200286.0</v>
      </c>
      <c r="I2514" s="1">
        <v>42.0</v>
      </c>
    </row>
    <row r="2515" ht="15.75" customHeight="1">
      <c r="A2515" s="1">
        <v>6075957.0</v>
      </c>
      <c r="B2515" s="1" t="s">
        <v>5134</v>
      </c>
      <c r="C2515" s="1" t="s">
        <v>5135</v>
      </c>
      <c r="D2515" s="1" t="s">
        <v>224</v>
      </c>
      <c r="E2515" s="1" t="s">
        <v>738</v>
      </c>
      <c r="F2515" s="1" t="s">
        <v>6717</v>
      </c>
      <c r="G2515" s="1" t="str">
        <f>IFERROR(VLOOKUP(A2515,H_C!$A$2:$G$2628,7,0),"Validar HC")</f>
        <v>Sanchez, Adrian</v>
      </c>
      <c r="H2515" s="167">
        <v>2200286.0</v>
      </c>
      <c r="I2515" s="1">
        <v>42.0</v>
      </c>
    </row>
    <row r="2516" ht="15.75" customHeight="1">
      <c r="A2516" s="1">
        <v>4609757.0</v>
      </c>
      <c r="B2516" s="1" t="s">
        <v>4368</v>
      </c>
      <c r="C2516" s="1" t="s">
        <v>4369</v>
      </c>
      <c r="D2516" s="1" t="s">
        <v>224</v>
      </c>
      <c r="E2516" s="1" t="s">
        <v>537</v>
      </c>
      <c r="F2516" s="1" t="s">
        <v>6717</v>
      </c>
      <c r="G2516" s="1" t="str">
        <f>IFERROR(VLOOKUP(A2516,H_C!$A$2:$G$2628,7,0),"Validar HC")</f>
        <v>Ayala, Giselle</v>
      </c>
      <c r="H2516" s="167">
        <v>2200286.0</v>
      </c>
      <c r="I2516" s="1">
        <v>42.0</v>
      </c>
    </row>
    <row r="2517" ht="15.75" customHeight="1">
      <c r="A2517" s="1">
        <v>4943052.0</v>
      </c>
      <c r="B2517" s="1" t="s">
        <v>4088</v>
      </c>
      <c r="C2517" s="1" t="s">
        <v>4089</v>
      </c>
      <c r="D2517" s="1" t="s">
        <v>224</v>
      </c>
      <c r="E2517" s="1" t="s">
        <v>537</v>
      </c>
      <c r="F2517" s="1" t="s">
        <v>6717</v>
      </c>
      <c r="G2517" s="1" t="str">
        <f>IFERROR(VLOOKUP(A2517,H_C!$A$2:$G$2628,7,0),"Validar HC")</f>
        <v>Ayala, Giselle</v>
      </c>
      <c r="H2517" s="167">
        <v>2200286.0</v>
      </c>
      <c r="I2517" s="1">
        <v>42.0</v>
      </c>
    </row>
    <row r="2518" ht="15.75" customHeight="1">
      <c r="A2518" s="1">
        <v>6076224.0</v>
      </c>
      <c r="B2518" s="1" t="s">
        <v>5483</v>
      </c>
      <c r="C2518" s="1" t="s">
        <v>5484</v>
      </c>
      <c r="D2518" s="1" t="s">
        <v>224</v>
      </c>
      <c r="E2518" s="1" t="s">
        <v>478</v>
      </c>
      <c r="F2518" s="1" t="s">
        <v>6717</v>
      </c>
      <c r="G2518" s="1" t="str">
        <f>IFERROR(VLOOKUP(A2518,H_C!$A$2:$G$2628,7,0),"Validar HC")</f>
        <v>Sanchez, Adrian</v>
      </c>
      <c r="H2518" s="167">
        <v>2200286.0</v>
      </c>
      <c r="I2518" s="1">
        <v>42.0</v>
      </c>
    </row>
    <row r="2519" ht="15.75" customHeight="1">
      <c r="A2519" s="1">
        <v>4437080.0</v>
      </c>
      <c r="B2519" s="1" t="s">
        <v>5471</v>
      </c>
      <c r="C2519" s="1" t="s">
        <v>5472</v>
      </c>
      <c r="D2519" s="1" t="s">
        <v>224</v>
      </c>
      <c r="E2519" s="1" t="s">
        <v>478</v>
      </c>
      <c r="F2519" s="1" t="s">
        <v>6717</v>
      </c>
      <c r="G2519" s="1" t="str">
        <f>IFERROR(VLOOKUP(A2519,H_C!$A$2:$G$2628,7,0),"Validar HC")</f>
        <v>Sanchez, Adrian</v>
      </c>
      <c r="H2519" s="167">
        <v>2200286.0</v>
      </c>
      <c r="I2519" s="1">
        <v>42.0</v>
      </c>
    </row>
    <row r="2520" ht="15.75" customHeight="1">
      <c r="A2520" s="1">
        <v>6076235.0</v>
      </c>
      <c r="B2520" s="1" t="s">
        <v>5461</v>
      </c>
      <c r="C2520" s="1" t="s">
        <v>5462</v>
      </c>
      <c r="D2520" s="1" t="s">
        <v>224</v>
      </c>
      <c r="E2520" s="1" t="s">
        <v>478</v>
      </c>
      <c r="F2520" s="1" t="s">
        <v>6717</v>
      </c>
      <c r="G2520" s="1" t="str">
        <f>IFERROR(VLOOKUP(A2520,H_C!$A$2:$G$2628,7,0),"Validar HC")</f>
        <v>Sanchez, Adrian</v>
      </c>
      <c r="H2520" s="167">
        <v>2200286.0</v>
      </c>
      <c r="I2520" s="1">
        <v>42.0</v>
      </c>
    </row>
    <row r="2521" ht="15.75" customHeight="1">
      <c r="A2521" s="1">
        <v>6076222.0</v>
      </c>
      <c r="B2521" s="1" t="s">
        <v>5457</v>
      </c>
      <c r="C2521" s="1" t="s">
        <v>5458</v>
      </c>
      <c r="D2521" s="1" t="s">
        <v>224</v>
      </c>
      <c r="E2521" s="1" t="s">
        <v>478</v>
      </c>
      <c r="F2521" s="1" t="s">
        <v>6717</v>
      </c>
      <c r="G2521" s="1" t="str">
        <f>IFERROR(VLOOKUP(A2521,H_C!$A$2:$G$2628,7,0),"Validar HC")</f>
        <v>Sanchez, Adrian</v>
      </c>
      <c r="H2521" s="167">
        <v>2200286.0</v>
      </c>
      <c r="I2521" s="1">
        <v>42.0</v>
      </c>
    </row>
    <row r="2522" ht="15.75" customHeight="1">
      <c r="A2522" s="1">
        <v>6076301.0</v>
      </c>
      <c r="B2522" s="1" t="s">
        <v>5465</v>
      </c>
      <c r="C2522" s="1" t="s">
        <v>5466</v>
      </c>
      <c r="D2522" s="1" t="s">
        <v>224</v>
      </c>
      <c r="E2522" s="1" t="s">
        <v>478</v>
      </c>
      <c r="F2522" s="1" t="s">
        <v>6717</v>
      </c>
      <c r="G2522" s="1" t="str">
        <f>IFERROR(VLOOKUP(A2522,H_C!$A$2:$G$2628,7,0),"Validar HC")</f>
        <v>Sanchez, Adrian</v>
      </c>
      <c r="H2522" s="167">
        <v>2200286.0</v>
      </c>
      <c r="I2522" s="1">
        <v>42.0</v>
      </c>
    </row>
    <row r="2523" ht="15.75" customHeight="1">
      <c r="A2523" s="1">
        <v>6076226.0</v>
      </c>
      <c r="B2523" s="1" t="s">
        <v>5479</v>
      </c>
      <c r="C2523" s="1" t="s">
        <v>5480</v>
      </c>
      <c r="D2523" s="1" t="s">
        <v>224</v>
      </c>
      <c r="E2523" s="1" t="s">
        <v>478</v>
      </c>
      <c r="F2523" s="1" t="s">
        <v>6717</v>
      </c>
      <c r="G2523" s="1" t="str">
        <f>IFERROR(VLOOKUP(A2523,H_C!$A$2:$G$2628,7,0),"Validar HC")</f>
        <v>Sanchez, Adrian</v>
      </c>
      <c r="H2523" s="167">
        <v>2200286.0</v>
      </c>
      <c r="I2523" s="1">
        <v>42.0</v>
      </c>
    </row>
    <row r="2524" ht="15.75" customHeight="1">
      <c r="A2524" s="1">
        <v>6076303.0</v>
      </c>
      <c r="B2524" s="1" t="s">
        <v>5485</v>
      </c>
      <c r="C2524" s="1" t="s">
        <v>5486</v>
      </c>
      <c r="D2524" s="1" t="s">
        <v>224</v>
      </c>
      <c r="E2524" s="1" t="s">
        <v>478</v>
      </c>
      <c r="F2524" s="1" t="s">
        <v>6717</v>
      </c>
      <c r="G2524" s="1" t="str">
        <f>IFERROR(VLOOKUP(A2524,H_C!$A$2:$G$2628,7,0),"Validar HC")</f>
        <v>Sanchez, Adrian</v>
      </c>
      <c r="H2524" s="167">
        <v>2200286.0</v>
      </c>
      <c r="I2524" s="1">
        <v>42.0</v>
      </c>
    </row>
    <row r="2525" ht="15.75" customHeight="1">
      <c r="A2525" s="1">
        <v>6076243.0</v>
      </c>
      <c r="B2525" s="1" t="s">
        <v>5477</v>
      </c>
      <c r="C2525" s="1" t="s">
        <v>5478</v>
      </c>
      <c r="D2525" s="1" t="s">
        <v>224</v>
      </c>
      <c r="E2525" s="1" t="s">
        <v>478</v>
      </c>
      <c r="F2525" s="1" t="s">
        <v>6717</v>
      </c>
      <c r="G2525" s="1" t="str">
        <f>IFERROR(VLOOKUP(A2525,H_C!$A$2:$G$2628,7,0),"Validar HC")</f>
        <v>Sanchez, Adrian</v>
      </c>
      <c r="H2525" s="167">
        <v>2200286.0</v>
      </c>
      <c r="I2525" s="1">
        <v>42.0</v>
      </c>
    </row>
    <row r="2526" ht="15.75" customHeight="1">
      <c r="A2526" s="1">
        <v>6076302.0</v>
      </c>
      <c r="B2526" s="1" t="s">
        <v>5125</v>
      </c>
      <c r="C2526" s="1" t="s">
        <v>5126</v>
      </c>
      <c r="D2526" s="1" t="s">
        <v>224</v>
      </c>
      <c r="E2526" s="1" t="s">
        <v>1363</v>
      </c>
      <c r="F2526" s="1" t="s">
        <v>6717</v>
      </c>
      <c r="G2526" s="1" t="str">
        <f>IFERROR(VLOOKUP(A2526,H_C!$A$2:$G$2628,7,0),"Validar HC")</f>
        <v>Sanchez, Adrian</v>
      </c>
      <c r="H2526" s="167">
        <v>2200286.0</v>
      </c>
      <c r="I2526" s="1">
        <v>42.0</v>
      </c>
    </row>
    <row r="2527" ht="15.75" customHeight="1">
      <c r="A2527" s="1">
        <v>6077525.0</v>
      </c>
      <c r="B2527" s="1" t="s">
        <v>5450</v>
      </c>
      <c r="C2527" s="1" t="s">
        <v>5452</v>
      </c>
      <c r="D2527" s="1" t="s">
        <v>224</v>
      </c>
      <c r="E2527" s="1" t="s">
        <v>478</v>
      </c>
      <c r="F2527" s="1" t="s">
        <v>6717</v>
      </c>
      <c r="G2527" s="1" t="str">
        <f>IFERROR(VLOOKUP(A2527,H_C!$A$2:$G$2628,7,0),"Validar HC")</f>
        <v>Sanchez, Adrian</v>
      </c>
      <c r="H2527" s="167">
        <v>2200286.0</v>
      </c>
      <c r="I2527" s="1">
        <v>42.0</v>
      </c>
    </row>
    <row r="2528" ht="15.75" customHeight="1">
      <c r="A2528" s="1">
        <v>6076304.0</v>
      </c>
      <c r="B2528" s="1" t="s">
        <v>5453</v>
      </c>
      <c r="C2528" s="1" t="s">
        <v>5454</v>
      </c>
      <c r="D2528" s="1" t="s">
        <v>224</v>
      </c>
      <c r="E2528" s="1" t="s">
        <v>478</v>
      </c>
      <c r="F2528" s="1" t="s">
        <v>6717</v>
      </c>
      <c r="G2528" s="1" t="str">
        <f>IFERROR(VLOOKUP(A2528,H_C!$A$2:$G$2628,7,0),"Validar HC")</f>
        <v>Sanchez, Adrian</v>
      </c>
      <c r="H2528" s="167">
        <v>2200286.0</v>
      </c>
      <c r="I2528" s="1">
        <v>42.0</v>
      </c>
    </row>
    <row r="2529" ht="15.75" customHeight="1">
      <c r="A2529" s="1">
        <v>5520782.0</v>
      </c>
      <c r="B2529" s="1" t="s">
        <v>5475</v>
      </c>
      <c r="C2529" s="1" t="s">
        <v>5476</v>
      </c>
      <c r="D2529" s="1" t="s">
        <v>224</v>
      </c>
      <c r="E2529" s="1" t="s">
        <v>478</v>
      </c>
      <c r="F2529" s="1" t="s">
        <v>6717</v>
      </c>
      <c r="G2529" s="1" t="str">
        <f>IFERROR(VLOOKUP(A2529,H_C!$A$2:$G$2628,7,0),"Validar HC")</f>
        <v>Sanchez, Adrian</v>
      </c>
      <c r="H2529" s="167">
        <v>2200286.0</v>
      </c>
      <c r="I2529" s="1">
        <v>42.0</v>
      </c>
    </row>
    <row r="2530" ht="15.75" customHeight="1">
      <c r="A2530" s="1">
        <v>6076221.0</v>
      </c>
      <c r="B2530" s="1" t="s">
        <v>5481</v>
      </c>
      <c r="C2530" s="1" t="s">
        <v>5482</v>
      </c>
      <c r="D2530" s="1" t="s">
        <v>224</v>
      </c>
      <c r="E2530" s="1" t="s">
        <v>478</v>
      </c>
      <c r="F2530" s="1" t="s">
        <v>6717</v>
      </c>
      <c r="G2530" s="1" t="str">
        <f>IFERROR(VLOOKUP(A2530,H_C!$A$2:$G$2628,7,0),"Validar HC")</f>
        <v>Sanchez, Adrian</v>
      </c>
      <c r="H2530" s="167">
        <v>2200286.0</v>
      </c>
      <c r="I2530" s="1">
        <v>42.0</v>
      </c>
    </row>
    <row r="2531" ht="15.75" customHeight="1">
      <c r="A2531" s="1">
        <v>6076239.0</v>
      </c>
      <c r="B2531" s="1" t="s">
        <v>5550</v>
      </c>
      <c r="C2531" s="1" t="s">
        <v>5552</v>
      </c>
      <c r="D2531" s="1" t="s">
        <v>224</v>
      </c>
      <c r="E2531" s="1" t="s">
        <v>289</v>
      </c>
      <c r="F2531" s="1" t="s">
        <v>6717</v>
      </c>
      <c r="G2531" s="1" t="str">
        <f>IFERROR(VLOOKUP(A2531,H_C!$A$2:$G$2628,7,0),"Validar HC")</f>
        <v>Sanchez, Adrian</v>
      </c>
      <c r="H2531" s="167">
        <v>2200286.0</v>
      </c>
      <c r="I2531" s="1">
        <v>42.0</v>
      </c>
    </row>
    <row r="2532" ht="15.75" customHeight="1">
      <c r="A2532" s="1">
        <v>5948315.0</v>
      </c>
      <c r="B2532" s="1" t="s">
        <v>5553</v>
      </c>
      <c r="C2532" s="1" t="s">
        <v>5554</v>
      </c>
      <c r="D2532" s="1" t="s">
        <v>224</v>
      </c>
      <c r="E2532" s="1" t="s">
        <v>289</v>
      </c>
      <c r="F2532" s="1" t="s">
        <v>6717</v>
      </c>
      <c r="G2532" s="1" t="str">
        <f>IFERROR(VLOOKUP(A2532,H_C!$A$2:$G$2628,7,0),"Validar HC")</f>
        <v>Sanchez, Adrian</v>
      </c>
      <c r="H2532" s="167">
        <v>2200286.0</v>
      </c>
      <c r="I2532" s="1">
        <v>42.0</v>
      </c>
    </row>
    <row r="2533" ht="15.75" customHeight="1">
      <c r="A2533" s="1">
        <v>6076233.0</v>
      </c>
      <c r="B2533" s="1" t="s">
        <v>5555</v>
      </c>
      <c r="C2533" s="1" t="s">
        <v>5556</v>
      </c>
      <c r="D2533" s="1" t="s">
        <v>224</v>
      </c>
      <c r="E2533" s="1" t="s">
        <v>289</v>
      </c>
      <c r="F2533" s="1" t="s">
        <v>6717</v>
      </c>
      <c r="G2533" s="1" t="str">
        <f>IFERROR(VLOOKUP(A2533,H_C!$A$2:$G$2628,7,0),"Validar HC")</f>
        <v>Sanchez, Adrian</v>
      </c>
      <c r="H2533" s="167">
        <v>2200286.0</v>
      </c>
      <c r="I2533" s="1">
        <v>42.0</v>
      </c>
    </row>
    <row r="2534" ht="15.75" customHeight="1">
      <c r="A2534" s="1">
        <v>6076240.0</v>
      </c>
      <c r="B2534" s="1" t="s">
        <v>5557</v>
      </c>
      <c r="C2534" s="1" t="s">
        <v>5558</v>
      </c>
      <c r="D2534" s="1" t="s">
        <v>224</v>
      </c>
      <c r="E2534" s="1" t="s">
        <v>289</v>
      </c>
      <c r="F2534" s="1" t="s">
        <v>6717</v>
      </c>
      <c r="G2534" s="1" t="str">
        <f>IFERROR(VLOOKUP(A2534,H_C!$A$2:$G$2628,7,0),"Validar HC")</f>
        <v>Sanchez, Adrian</v>
      </c>
      <c r="H2534" s="167">
        <v>2200286.0</v>
      </c>
      <c r="I2534" s="1">
        <v>42.0</v>
      </c>
    </row>
    <row r="2535" ht="15.75" customHeight="1">
      <c r="A2535" s="1">
        <v>6076238.0</v>
      </c>
      <c r="B2535" s="1" t="s">
        <v>5559</v>
      </c>
      <c r="C2535" s="1" t="s">
        <v>5560</v>
      </c>
      <c r="D2535" s="1" t="s">
        <v>224</v>
      </c>
      <c r="E2535" s="1" t="s">
        <v>289</v>
      </c>
      <c r="F2535" s="1" t="s">
        <v>6717</v>
      </c>
      <c r="G2535" s="1" t="str">
        <f>IFERROR(VLOOKUP(A2535,H_C!$A$2:$G$2628,7,0),"Validar HC")</f>
        <v>Sanchez, Adrian</v>
      </c>
      <c r="H2535" s="167">
        <v>2200286.0</v>
      </c>
      <c r="I2535" s="1">
        <v>42.0</v>
      </c>
    </row>
    <row r="2536" ht="15.75" customHeight="1">
      <c r="A2536" s="1">
        <v>6077304.0</v>
      </c>
      <c r="B2536" s="1" t="s">
        <v>4074</v>
      </c>
      <c r="C2536" s="1" t="s">
        <v>4075</v>
      </c>
      <c r="D2536" s="1" t="s">
        <v>224</v>
      </c>
      <c r="E2536" s="1" t="s">
        <v>1348</v>
      </c>
      <c r="F2536" s="1" t="s">
        <v>6717</v>
      </c>
      <c r="G2536" s="1" t="str">
        <f>IFERROR(VLOOKUP(A2536,H_C!$A$2:$G$2628,7,0),"Validar HC")</f>
        <v>Sanchez, Adrian</v>
      </c>
      <c r="H2536" s="167">
        <v>2200286.0</v>
      </c>
      <c r="I2536" s="1">
        <v>42.0</v>
      </c>
    </row>
    <row r="2537" ht="15.75" customHeight="1">
      <c r="A2537" s="1">
        <v>6077301.0</v>
      </c>
      <c r="B2537" s="1" t="s">
        <v>4078</v>
      </c>
      <c r="C2537" s="1" t="s">
        <v>4079</v>
      </c>
      <c r="D2537" s="1" t="s">
        <v>224</v>
      </c>
      <c r="E2537" s="1" t="s">
        <v>1348</v>
      </c>
      <c r="F2537" s="1" t="s">
        <v>6717</v>
      </c>
      <c r="G2537" s="1" t="str">
        <f>IFERROR(VLOOKUP(A2537,H_C!$A$2:$G$2628,7,0),"Validar HC")</f>
        <v>Sanchez, Adrian</v>
      </c>
      <c r="H2537" s="167">
        <v>2200286.0</v>
      </c>
      <c r="I2537" s="1">
        <v>42.0</v>
      </c>
    </row>
    <row r="2538" ht="15.75" customHeight="1">
      <c r="A2538" s="1">
        <v>6079002.0</v>
      </c>
      <c r="B2538" s="1" t="s">
        <v>5273</v>
      </c>
      <c r="C2538" s="1" t="s">
        <v>5274</v>
      </c>
      <c r="D2538" s="1" t="s">
        <v>224</v>
      </c>
      <c r="E2538" s="1" t="s">
        <v>835</v>
      </c>
      <c r="F2538" s="1" t="s">
        <v>6717</v>
      </c>
      <c r="G2538" s="1" t="str">
        <f>IFERROR(VLOOKUP(A2538,H_C!$A$2:$G$2628,7,0),"Validar HC")</f>
        <v>Martinez, Wendy</v>
      </c>
      <c r="H2538" s="167">
        <v>2200286.0</v>
      </c>
      <c r="I2538" s="1">
        <v>42.0</v>
      </c>
    </row>
    <row r="2539" ht="15.75" customHeight="1">
      <c r="A2539" s="1">
        <v>6078996.0</v>
      </c>
      <c r="B2539" s="1" t="s">
        <v>2456</v>
      </c>
      <c r="C2539" s="1" t="s">
        <v>2457</v>
      </c>
      <c r="D2539" s="1" t="s">
        <v>224</v>
      </c>
      <c r="E2539" s="1" t="s">
        <v>986</v>
      </c>
      <c r="F2539" s="1" t="s">
        <v>6717</v>
      </c>
      <c r="G2539" s="1" t="str">
        <f>IFERROR(VLOOKUP(A2539,H_C!$A$2:$G$2628,7,0),"Validar HC")</f>
        <v>Garatejo, Natalia</v>
      </c>
      <c r="H2539" s="167">
        <v>2200286.0</v>
      </c>
      <c r="I2539" s="1">
        <v>42.0</v>
      </c>
    </row>
    <row r="2540" ht="15.75" customHeight="1">
      <c r="A2540" s="1">
        <v>6078990.0</v>
      </c>
      <c r="B2540" s="1" t="s">
        <v>1802</v>
      </c>
      <c r="C2540" s="1" t="s">
        <v>1803</v>
      </c>
      <c r="D2540" s="1" t="s">
        <v>224</v>
      </c>
      <c r="E2540" s="1" t="s">
        <v>835</v>
      </c>
      <c r="F2540" s="1" t="s">
        <v>6717</v>
      </c>
      <c r="G2540" s="1" t="str">
        <f>IFERROR(VLOOKUP(A2540,H_C!$A$2:$G$2628,7,0),"Validar HC")</f>
        <v>Martinez, Wendy</v>
      </c>
      <c r="H2540" s="167">
        <v>2200286.0</v>
      </c>
      <c r="I2540" s="1">
        <v>42.0</v>
      </c>
    </row>
    <row r="2541" ht="15.75" customHeight="1">
      <c r="A2541" s="1">
        <v>5352972.0</v>
      </c>
      <c r="B2541" s="1" t="s">
        <v>2442</v>
      </c>
      <c r="C2541" s="1" t="s">
        <v>2443</v>
      </c>
      <c r="D2541" s="1" t="s">
        <v>224</v>
      </c>
      <c r="E2541" s="1" t="s">
        <v>986</v>
      </c>
      <c r="F2541" s="1" t="s">
        <v>6717</v>
      </c>
      <c r="G2541" s="1" t="str">
        <f>IFERROR(VLOOKUP(A2541,H_C!$A$2:$G$2628,7,0),"Validar HC")</f>
        <v>Garatejo, Natalia</v>
      </c>
      <c r="H2541" s="167">
        <v>2200286.0</v>
      </c>
      <c r="I2541" s="1">
        <v>42.0</v>
      </c>
    </row>
    <row r="2542" ht="15.75" customHeight="1">
      <c r="A2542" s="1">
        <v>6078994.0</v>
      </c>
      <c r="B2542" s="1" t="s">
        <v>5277</v>
      </c>
      <c r="C2542" s="1" t="s">
        <v>5278</v>
      </c>
      <c r="D2542" s="1" t="s">
        <v>224</v>
      </c>
      <c r="E2542" s="1" t="s">
        <v>835</v>
      </c>
      <c r="F2542" s="1" t="s">
        <v>6717</v>
      </c>
      <c r="G2542" s="1" t="str">
        <f>IFERROR(VLOOKUP(A2542,H_C!$A$2:$G$2628,7,0),"Validar HC")</f>
        <v>Martinez, Wendy</v>
      </c>
      <c r="H2542" s="167">
        <v>2200286.0</v>
      </c>
      <c r="I2542" s="1">
        <v>42.0</v>
      </c>
    </row>
    <row r="2543" ht="15.75" customHeight="1">
      <c r="A2543" s="1">
        <v>6078701.0</v>
      </c>
      <c r="B2543" s="1" t="s">
        <v>5302</v>
      </c>
      <c r="C2543" s="1" t="s">
        <v>5303</v>
      </c>
      <c r="D2543" s="1" t="s">
        <v>224</v>
      </c>
      <c r="E2543" s="1" t="s">
        <v>1791</v>
      </c>
      <c r="F2543" s="1" t="s">
        <v>6717</v>
      </c>
      <c r="G2543" s="1" t="str">
        <f>IFERROR(VLOOKUP(A2543,H_C!$A$2:$G$2628,7,0),"Validar HC")</f>
        <v>Sanchez, Adrian</v>
      </c>
      <c r="H2543" s="167">
        <v>2200286.0</v>
      </c>
      <c r="I2543" s="1">
        <v>42.0</v>
      </c>
    </row>
    <row r="2544" ht="15.75" customHeight="1">
      <c r="A2544" s="1">
        <v>6078695.0</v>
      </c>
      <c r="B2544" s="1" t="s">
        <v>5314</v>
      </c>
      <c r="C2544" s="1" t="s">
        <v>5315</v>
      </c>
      <c r="D2544" s="1" t="s">
        <v>224</v>
      </c>
      <c r="E2544" s="1" t="s">
        <v>1791</v>
      </c>
      <c r="F2544" s="1" t="s">
        <v>6717</v>
      </c>
      <c r="G2544" s="1" t="str">
        <f>IFERROR(VLOOKUP(A2544,H_C!$A$2:$G$2628,7,0),"Validar HC")</f>
        <v>Sanchez, Adrian</v>
      </c>
      <c r="H2544" s="167">
        <v>2200286.0</v>
      </c>
      <c r="I2544" s="1">
        <v>42.0</v>
      </c>
    </row>
    <row r="2545" ht="15.75" customHeight="1">
      <c r="A2545" s="1">
        <v>6078698.0</v>
      </c>
      <c r="B2545" s="1" t="s">
        <v>5304</v>
      </c>
      <c r="C2545" s="1" t="s">
        <v>5305</v>
      </c>
      <c r="D2545" s="1" t="s">
        <v>224</v>
      </c>
      <c r="E2545" s="1" t="s">
        <v>1791</v>
      </c>
      <c r="F2545" s="1" t="s">
        <v>6717</v>
      </c>
      <c r="G2545" s="1" t="str">
        <f>IFERROR(VLOOKUP(A2545,H_C!$A$2:$G$2628,7,0),"Validar HC")</f>
        <v>Sanchez, Adrian</v>
      </c>
      <c r="H2545" s="167">
        <v>2200286.0</v>
      </c>
      <c r="I2545" s="1">
        <v>42.0</v>
      </c>
    </row>
    <row r="2546" ht="15.75" customHeight="1">
      <c r="A2546" s="1">
        <v>6078696.0</v>
      </c>
      <c r="B2546" s="1" t="s">
        <v>5308</v>
      </c>
      <c r="C2546" s="1" t="s">
        <v>5309</v>
      </c>
      <c r="D2546" s="1" t="s">
        <v>224</v>
      </c>
      <c r="E2546" s="1" t="s">
        <v>1791</v>
      </c>
      <c r="F2546" s="1" t="s">
        <v>6717</v>
      </c>
      <c r="G2546" s="1" t="str">
        <f>IFERROR(VLOOKUP(A2546,H_C!$A$2:$G$2628,7,0),"Validar HC")</f>
        <v>Sanchez, Adrian</v>
      </c>
      <c r="H2546" s="167">
        <v>2200286.0</v>
      </c>
      <c r="I2546" s="1">
        <v>42.0</v>
      </c>
    </row>
    <row r="2547" ht="15.75" customHeight="1">
      <c r="A2547" s="1">
        <v>6079111.0</v>
      </c>
      <c r="B2547" s="1" t="s">
        <v>5306</v>
      </c>
      <c r="C2547" s="1" t="s">
        <v>5307</v>
      </c>
      <c r="D2547" s="1" t="s">
        <v>224</v>
      </c>
      <c r="E2547" s="1" t="s">
        <v>1791</v>
      </c>
      <c r="F2547" s="1" t="s">
        <v>6717</v>
      </c>
      <c r="G2547" s="1" t="str">
        <f>IFERROR(VLOOKUP(A2547,H_C!$A$2:$G$2628,7,0),"Validar HC")</f>
        <v>Sanchez, Adrian</v>
      </c>
      <c r="H2547" s="167">
        <v>2200286.0</v>
      </c>
      <c r="I2547" s="1">
        <v>42.0</v>
      </c>
    </row>
    <row r="2548" ht="15.75" customHeight="1">
      <c r="A2548" s="1">
        <v>6078960.0</v>
      </c>
      <c r="B2548" s="1" t="s">
        <v>5300</v>
      </c>
      <c r="C2548" s="1" t="s">
        <v>5301</v>
      </c>
      <c r="D2548" s="1" t="s">
        <v>224</v>
      </c>
      <c r="E2548" s="1" t="s">
        <v>1791</v>
      </c>
      <c r="F2548" s="1" t="s">
        <v>6717</v>
      </c>
      <c r="G2548" s="1" t="str">
        <f>IFERROR(VLOOKUP(A2548,H_C!$A$2:$G$2628,7,0),"Validar HC")</f>
        <v>Sanchez, Adrian</v>
      </c>
      <c r="H2548" s="167">
        <v>2200286.0</v>
      </c>
      <c r="I2548" s="1">
        <v>42.0</v>
      </c>
    </row>
    <row r="2549" ht="15.75" customHeight="1">
      <c r="A2549" s="1">
        <v>6079106.0</v>
      </c>
      <c r="B2549" s="1" t="s">
        <v>5310</v>
      </c>
      <c r="C2549" s="1" t="s">
        <v>5311</v>
      </c>
      <c r="D2549" s="1" t="s">
        <v>224</v>
      </c>
      <c r="E2549" s="1" t="s">
        <v>1791</v>
      </c>
      <c r="F2549" s="1" t="s">
        <v>6717</v>
      </c>
      <c r="G2549" s="1" t="str">
        <f>IFERROR(VLOOKUP(A2549,H_C!$A$2:$G$2628,7,0),"Validar HC")</f>
        <v>Sanchez, Adrian</v>
      </c>
      <c r="H2549" s="167">
        <v>2200286.0</v>
      </c>
      <c r="I2549" s="1">
        <v>42.0</v>
      </c>
    </row>
    <row r="2550" ht="15.75" customHeight="1">
      <c r="A2550" s="1">
        <v>6078981.0</v>
      </c>
      <c r="B2550" s="1" t="s">
        <v>5312</v>
      </c>
      <c r="C2550" s="1" t="s">
        <v>5313</v>
      </c>
      <c r="D2550" s="1" t="s">
        <v>224</v>
      </c>
      <c r="E2550" s="1" t="s">
        <v>1791</v>
      </c>
      <c r="F2550" s="1" t="s">
        <v>6717</v>
      </c>
      <c r="G2550" s="1" t="str">
        <f>IFERROR(VLOOKUP(A2550,H_C!$A$2:$G$2628,7,0),"Validar HC")</f>
        <v>Sanchez, Adrian</v>
      </c>
      <c r="H2550" s="167">
        <v>2200286.0</v>
      </c>
      <c r="I2550" s="1">
        <v>42.0</v>
      </c>
    </row>
    <row r="2551" ht="15.75" customHeight="1">
      <c r="A2551" s="1">
        <v>6078694.0</v>
      </c>
      <c r="B2551" s="1" t="s">
        <v>5298</v>
      </c>
      <c r="C2551" s="1" t="s">
        <v>5299</v>
      </c>
      <c r="D2551" s="1" t="s">
        <v>224</v>
      </c>
      <c r="E2551" s="1" t="s">
        <v>1791</v>
      </c>
      <c r="F2551" s="1" t="s">
        <v>6717</v>
      </c>
      <c r="G2551" s="1" t="str">
        <f>IFERROR(VLOOKUP(A2551,H_C!$A$2:$G$2628,7,0),"Validar HC")</f>
        <v>Sanchez, Adrian</v>
      </c>
      <c r="H2551" s="167">
        <v>2200286.0</v>
      </c>
      <c r="I2551" s="1">
        <v>42.0</v>
      </c>
    </row>
    <row r="2552" ht="15.75" customHeight="1">
      <c r="A2552" s="1">
        <v>6079006.0</v>
      </c>
      <c r="B2552" s="1" t="s">
        <v>5295</v>
      </c>
      <c r="C2552" s="1" t="s">
        <v>5297</v>
      </c>
      <c r="D2552" s="1" t="s">
        <v>224</v>
      </c>
      <c r="E2552" s="1" t="s">
        <v>1791</v>
      </c>
      <c r="F2552" s="1" t="s">
        <v>6717</v>
      </c>
      <c r="G2552" s="1" t="str">
        <f>IFERROR(VLOOKUP(A2552,H_C!$A$2:$G$2628,7,0),"Validar HC")</f>
        <v>Sanchez, Adrian</v>
      </c>
      <c r="H2552" s="167">
        <v>2200286.0</v>
      </c>
      <c r="I2552" s="1">
        <v>42.0</v>
      </c>
    </row>
    <row r="2553" ht="15.75" customHeight="1">
      <c r="A2553" s="1">
        <v>6082860.0</v>
      </c>
      <c r="B2553" s="1" t="s">
        <v>4334</v>
      </c>
      <c r="C2553" s="1" t="s">
        <v>4335</v>
      </c>
      <c r="D2553" s="1" t="s">
        <v>224</v>
      </c>
      <c r="E2553" s="1" t="s">
        <v>416</v>
      </c>
      <c r="F2553" s="1" t="s">
        <v>6717</v>
      </c>
      <c r="G2553" s="1" t="str">
        <f>IFERROR(VLOOKUP(A2553,H_C!$A$2:$G$2628,7,0),"Validar HC")</f>
        <v>Ospina, Michel</v>
      </c>
      <c r="H2553" s="167">
        <v>2200286.0</v>
      </c>
      <c r="I2553" s="1">
        <v>42.0</v>
      </c>
    </row>
    <row r="2554" ht="15.75" customHeight="1">
      <c r="A2554" s="1">
        <v>6082685.0</v>
      </c>
      <c r="B2554" s="1" t="s">
        <v>3326</v>
      </c>
      <c r="C2554" s="1" t="s">
        <v>3327</v>
      </c>
      <c r="D2554" s="1" t="s">
        <v>224</v>
      </c>
      <c r="E2554" s="1" t="s">
        <v>2372</v>
      </c>
      <c r="F2554" s="1" t="s">
        <v>6717</v>
      </c>
      <c r="G2554" s="1" t="str">
        <f>IFERROR(VLOOKUP(A2554,H_C!$A$2:$G$2628,7,0),"Validar HC")</f>
        <v>Garcia, Helmer</v>
      </c>
      <c r="H2554" s="167">
        <v>2200286.0</v>
      </c>
      <c r="I2554" s="1">
        <v>42.0</v>
      </c>
    </row>
    <row r="2555" ht="15.75" customHeight="1">
      <c r="A2555" s="1">
        <v>6082746.0</v>
      </c>
      <c r="B2555" s="1" t="s">
        <v>3334</v>
      </c>
      <c r="C2555" s="1" t="s">
        <v>3335</v>
      </c>
      <c r="D2555" s="1" t="s">
        <v>224</v>
      </c>
      <c r="E2555" s="1" t="s">
        <v>2372</v>
      </c>
      <c r="F2555" s="1" t="s">
        <v>6717</v>
      </c>
      <c r="G2555" s="1" t="str">
        <f>IFERROR(VLOOKUP(A2555,H_C!$A$2:$G$2628,7,0),"Validar HC")</f>
        <v>Garcia, Helmer</v>
      </c>
      <c r="H2555" s="167">
        <v>2200286.0</v>
      </c>
      <c r="I2555" s="1">
        <v>42.0</v>
      </c>
    </row>
    <row r="2556" ht="15.75" customHeight="1">
      <c r="A2556" s="1">
        <v>4749283.0</v>
      </c>
      <c r="B2556" s="1" t="s">
        <v>5561</v>
      </c>
      <c r="C2556" s="1" t="s">
        <v>5562</v>
      </c>
      <c r="D2556" s="1" t="s">
        <v>224</v>
      </c>
      <c r="E2556" s="1" t="s">
        <v>323</v>
      </c>
      <c r="F2556" s="1" t="s">
        <v>6717</v>
      </c>
      <c r="G2556" s="1" t="str">
        <f>IFERROR(VLOOKUP(A2556,H_C!$A$2:$G$2628,7,0),"Validar HC")</f>
        <v>Sanchez, Adrian</v>
      </c>
      <c r="H2556" s="167">
        <v>2200286.0</v>
      </c>
      <c r="I2556" s="1">
        <v>42.0</v>
      </c>
    </row>
    <row r="2557" ht="15.75" customHeight="1">
      <c r="A2557" s="1">
        <v>6082838.0</v>
      </c>
      <c r="B2557" s="1" t="s">
        <v>2315</v>
      </c>
      <c r="C2557" s="1" t="s">
        <v>2316</v>
      </c>
      <c r="D2557" s="1" t="s">
        <v>224</v>
      </c>
      <c r="E2557" s="1" t="s">
        <v>986</v>
      </c>
      <c r="F2557" s="1" t="s">
        <v>6717</v>
      </c>
      <c r="G2557" s="1" t="str">
        <f>IFERROR(VLOOKUP(A2557,H_C!$A$2:$G$2628,7,0),"Validar HC")</f>
        <v>Garatejo, Natalia</v>
      </c>
      <c r="H2557" s="167">
        <v>2200286.0</v>
      </c>
      <c r="I2557" s="1">
        <v>42.0</v>
      </c>
    </row>
    <row r="2558" ht="15.75" customHeight="1">
      <c r="A2558" s="1">
        <v>6079039.0</v>
      </c>
      <c r="B2558" s="1" t="s">
        <v>4069</v>
      </c>
      <c r="C2558" s="1" t="s">
        <v>4071</v>
      </c>
      <c r="D2558" s="1" t="s">
        <v>224</v>
      </c>
      <c r="E2558" s="1" t="s">
        <v>1348</v>
      </c>
      <c r="F2558" s="1" t="s">
        <v>6717</v>
      </c>
      <c r="G2558" s="1" t="str">
        <f>IFERROR(VLOOKUP(A2558,H_C!$A$2:$G$2628,7,0),"Validar HC")</f>
        <v>Sanchez, Adrian</v>
      </c>
      <c r="H2558" s="167">
        <v>2200286.0</v>
      </c>
      <c r="I2558" s="1">
        <v>42.0</v>
      </c>
    </row>
    <row r="2559" ht="15.75" customHeight="1">
      <c r="A2559" s="1">
        <v>6079047.0</v>
      </c>
      <c r="B2559" s="1" t="s">
        <v>5121</v>
      </c>
      <c r="C2559" s="1" t="s">
        <v>5122</v>
      </c>
      <c r="D2559" s="1" t="s">
        <v>224</v>
      </c>
      <c r="E2559" s="1" t="s">
        <v>1363</v>
      </c>
      <c r="F2559" s="1" t="s">
        <v>6717</v>
      </c>
      <c r="G2559" s="1" t="str">
        <f>IFERROR(VLOOKUP(A2559,H_C!$A$2:$G$2628,7,0),"Validar HC")</f>
        <v>Sanchez, Adrian</v>
      </c>
      <c r="H2559" s="167">
        <v>2200286.0</v>
      </c>
      <c r="I2559" s="1">
        <v>42.0</v>
      </c>
    </row>
    <row r="2560" ht="15.75" customHeight="1">
      <c r="A2560" s="1">
        <v>6079036.0</v>
      </c>
      <c r="B2560" s="1" t="s">
        <v>5118</v>
      </c>
      <c r="C2560" s="1" t="s">
        <v>5120</v>
      </c>
      <c r="D2560" s="1" t="s">
        <v>224</v>
      </c>
      <c r="E2560" s="1" t="s">
        <v>1363</v>
      </c>
      <c r="F2560" s="1" t="s">
        <v>6717</v>
      </c>
      <c r="G2560" s="1" t="str">
        <f>IFERROR(VLOOKUP(A2560,H_C!$A$2:$G$2628,7,0),"Validar HC")</f>
        <v>Sanchez, Adrian</v>
      </c>
      <c r="H2560" s="167">
        <v>2200286.0</v>
      </c>
      <c r="I2560" s="1">
        <v>42.0</v>
      </c>
    </row>
    <row r="2561" ht="15.75" customHeight="1">
      <c r="A2561" s="1">
        <v>6079049.0</v>
      </c>
      <c r="B2561" s="1" t="s">
        <v>5563</v>
      </c>
      <c r="C2561" s="1" t="s">
        <v>5564</v>
      </c>
      <c r="D2561" s="1" t="s">
        <v>224</v>
      </c>
      <c r="E2561" s="1" t="s">
        <v>289</v>
      </c>
      <c r="F2561" s="1" t="s">
        <v>6717</v>
      </c>
      <c r="G2561" s="1" t="str">
        <f>IFERROR(VLOOKUP(A2561,H_C!$A$2:$G$2628,7,0),"Validar HC")</f>
        <v>Sanchez, Adrian</v>
      </c>
      <c r="H2561" s="167">
        <v>2200286.0</v>
      </c>
      <c r="I2561" s="1">
        <v>42.0</v>
      </c>
    </row>
    <row r="2562" ht="15.75" customHeight="1">
      <c r="A2562" s="1">
        <v>6079032.0</v>
      </c>
      <c r="B2562" s="1" t="s">
        <v>5463</v>
      </c>
      <c r="C2562" s="1" t="s">
        <v>5464</v>
      </c>
      <c r="D2562" s="1" t="s">
        <v>224</v>
      </c>
      <c r="E2562" s="1" t="s">
        <v>478</v>
      </c>
      <c r="F2562" s="1" t="s">
        <v>6717</v>
      </c>
      <c r="G2562" s="1" t="str">
        <f>IFERROR(VLOOKUP(A2562,H_C!$A$2:$G$2628,7,0),"Validar HC")</f>
        <v>Sanchez, Adrian</v>
      </c>
      <c r="H2562" s="167">
        <v>2200286.0</v>
      </c>
      <c r="I2562" s="1">
        <v>42.0</v>
      </c>
    </row>
    <row r="2563" ht="15.75" customHeight="1">
      <c r="A2563" s="1">
        <v>6079035.0</v>
      </c>
      <c r="B2563" s="1" t="s">
        <v>5469</v>
      </c>
      <c r="C2563" s="1" t="s">
        <v>5470</v>
      </c>
      <c r="D2563" s="1" t="s">
        <v>224</v>
      </c>
      <c r="E2563" s="1" t="s">
        <v>478</v>
      </c>
      <c r="F2563" s="1" t="s">
        <v>6717</v>
      </c>
      <c r="G2563" s="1" t="str">
        <f>IFERROR(VLOOKUP(A2563,H_C!$A$2:$G$2628,7,0),"Validar HC")</f>
        <v>Sanchez, Adrian</v>
      </c>
      <c r="H2563" s="167">
        <v>2200286.0</v>
      </c>
      <c r="I2563" s="1">
        <v>42.0</v>
      </c>
    </row>
    <row r="2564" ht="15.75" customHeight="1">
      <c r="A2564" s="1">
        <v>6079046.0</v>
      </c>
      <c r="B2564" s="1" t="s">
        <v>6822</v>
      </c>
      <c r="C2564" s="1" t="s">
        <v>6823</v>
      </c>
      <c r="D2564" s="1" t="s">
        <v>224</v>
      </c>
      <c r="E2564" s="1" t="s">
        <v>1363</v>
      </c>
      <c r="F2564" s="1" t="s">
        <v>6717</v>
      </c>
      <c r="G2564" s="1" t="str">
        <f>IFERROR(VLOOKUP(A2564,H_C!$A$2:$G$2628,7,0),"Validar HC")</f>
        <v>Validar HC</v>
      </c>
      <c r="H2564" s="167">
        <v>2200286.0</v>
      </c>
      <c r="I2564" s="1">
        <v>42.0</v>
      </c>
    </row>
    <row r="2565" ht="15.75" customHeight="1">
      <c r="A2565" s="1">
        <v>6079040.0</v>
      </c>
      <c r="B2565" s="1" t="s">
        <v>5467</v>
      </c>
      <c r="C2565" s="1" t="s">
        <v>5468</v>
      </c>
      <c r="D2565" s="1" t="s">
        <v>224</v>
      </c>
      <c r="E2565" s="1" t="s">
        <v>478</v>
      </c>
      <c r="F2565" s="1" t="s">
        <v>6717</v>
      </c>
      <c r="G2565" s="1" t="str">
        <f>IFERROR(VLOOKUP(A2565,H_C!$A$2:$G$2628,7,0),"Validar HC")</f>
        <v>Sanchez, Adrian</v>
      </c>
      <c r="H2565" s="167">
        <v>2200286.0</v>
      </c>
      <c r="I2565" s="1">
        <v>42.0</v>
      </c>
    </row>
    <row r="2566" ht="15.75" customHeight="1">
      <c r="A2566" s="1">
        <v>6079043.0</v>
      </c>
      <c r="B2566" s="1" t="s">
        <v>5565</v>
      </c>
      <c r="C2566" s="1" t="s">
        <v>5566</v>
      </c>
      <c r="D2566" s="1" t="s">
        <v>224</v>
      </c>
      <c r="E2566" s="1" t="s">
        <v>289</v>
      </c>
      <c r="F2566" s="1" t="s">
        <v>6717</v>
      </c>
      <c r="G2566" s="1" t="str">
        <f>IFERROR(VLOOKUP(A2566,H_C!$A$2:$G$2628,7,0),"Validar HC")</f>
        <v>Sanchez, Adrian</v>
      </c>
      <c r="H2566" s="167">
        <v>2200286.0</v>
      </c>
      <c r="I2566" s="1">
        <v>42.0</v>
      </c>
    </row>
    <row r="2567" ht="15.75" customHeight="1">
      <c r="A2567" s="1">
        <v>6079042.0</v>
      </c>
      <c r="B2567" s="1" t="s">
        <v>5455</v>
      </c>
      <c r="C2567" s="1" t="s">
        <v>5456</v>
      </c>
      <c r="D2567" s="1" t="s">
        <v>224</v>
      </c>
      <c r="E2567" s="1" t="s">
        <v>478</v>
      </c>
      <c r="F2567" s="1" t="s">
        <v>6717</v>
      </c>
      <c r="G2567" s="1" t="str">
        <f>IFERROR(VLOOKUP(A2567,H_C!$A$2:$G$2628,7,0),"Validar HC")</f>
        <v>Sanchez, Adrian</v>
      </c>
      <c r="H2567" s="167">
        <v>2200286.0</v>
      </c>
      <c r="I2567" s="1">
        <v>42.0</v>
      </c>
    </row>
    <row r="2568" ht="15.75" customHeight="1">
      <c r="A2568" s="1">
        <v>6079048.0</v>
      </c>
      <c r="B2568" s="1" t="s">
        <v>4082</v>
      </c>
      <c r="C2568" s="1" t="s">
        <v>4083</v>
      </c>
      <c r="D2568" s="1" t="s">
        <v>224</v>
      </c>
      <c r="E2568" s="1" t="s">
        <v>1348</v>
      </c>
      <c r="F2568" s="1" t="s">
        <v>6717</v>
      </c>
      <c r="G2568" s="1" t="str">
        <f>IFERROR(VLOOKUP(A2568,H_C!$A$2:$G$2628,7,0),"Validar HC")</f>
        <v>Sanchez, Adrian</v>
      </c>
      <c r="H2568" s="167">
        <v>2200286.0</v>
      </c>
      <c r="I2568" s="1">
        <v>42.0</v>
      </c>
    </row>
    <row r="2569" ht="15.75" customHeight="1">
      <c r="A2569" s="1">
        <v>5161690.0</v>
      </c>
      <c r="B2569" s="1" t="s">
        <v>2277</v>
      </c>
      <c r="C2569" s="1" t="s">
        <v>2278</v>
      </c>
      <c r="D2569" s="1" t="s">
        <v>224</v>
      </c>
      <c r="E2569" s="1" t="s">
        <v>986</v>
      </c>
      <c r="F2569" s="1" t="s">
        <v>6717</v>
      </c>
      <c r="G2569" s="1" t="str">
        <f>IFERROR(VLOOKUP(A2569,H_C!$A$2:$G$2628,7,0),"Validar HC")</f>
        <v>Garatejo, Natalia</v>
      </c>
      <c r="H2569" s="167">
        <v>2200286.0</v>
      </c>
      <c r="I2569" s="1">
        <v>42.0</v>
      </c>
    </row>
    <row r="2570" ht="15.75" customHeight="1">
      <c r="A2570" s="1">
        <v>6077501.0</v>
      </c>
      <c r="B2570" s="1" t="s">
        <v>5129</v>
      </c>
      <c r="C2570" s="1" t="s">
        <v>5131</v>
      </c>
      <c r="D2570" s="1" t="s">
        <v>224</v>
      </c>
      <c r="E2570" s="1" t="s">
        <v>738</v>
      </c>
      <c r="F2570" s="1" t="s">
        <v>6717</v>
      </c>
      <c r="G2570" s="1" t="str">
        <f>IFERROR(VLOOKUP(A2570,H_C!$A$2:$G$2628,7,0),"Validar HC")</f>
        <v>Sanchez, Adrian</v>
      </c>
      <c r="H2570" s="167">
        <v>2200286.0</v>
      </c>
      <c r="I2570" s="1">
        <v>42.0</v>
      </c>
    </row>
    <row r="2571" ht="15.75" customHeight="1">
      <c r="A2571" s="1">
        <v>6083790.0</v>
      </c>
      <c r="B2571" s="1" t="s">
        <v>5511</v>
      </c>
      <c r="C2571" s="1" t="s">
        <v>5512</v>
      </c>
      <c r="D2571" s="1" t="s">
        <v>224</v>
      </c>
      <c r="E2571" s="1" t="s">
        <v>853</v>
      </c>
      <c r="F2571" s="1" t="s">
        <v>6717</v>
      </c>
      <c r="G2571" s="1" t="str">
        <f>IFERROR(VLOOKUP(A2571,H_C!$A$2:$G$2628,7,0),"Validar HC")</f>
        <v>Garcia, Helmer</v>
      </c>
      <c r="H2571" s="167">
        <v>2200286.0</v>
      </c>
      <c r="I2571" s="1">
        <v>42.0</v>
      </c>
    </row>
    <row r="2572" ht="15.75" customHeight="1">
      <c r="A2572" s="1">
        <v>6083099.0</v>
      </c>
      <c r="B2572" s="1" t="s">
        <v>5523</v>
      </c>
      <c r="C2572" s="1" t="s">
        <v>5524</v>
      </c>
      <c r="D2572" s="1" t="s">
        <v>224</v>
      </c>
      <c r="E2572" s="1" t="s">
        <v>853</v>
      </c>
      <c r="F2572" s="1" t="s">
        <v>6717</v>
      </c>
      <c r="G2572" s="1" t="str">
        <f>IFERROR(VLOOKUP(A2572,H_C!$A$2:$G$2628,7,0),"Validar HC")</f>
        <v>Garcia, Helmer</v>
      </c>
      <c r="H2572" s="167">
        <v>2200286.0</v>
      </c>
      <c r="I2572" s="1">
        <v>42.0</v>
      </c>
    </row>
    <row r="2573" ht="15.75" customHeight="1">
      <c r="A2573" s="1">
        <v>6084463.0</v>
      </c>
      <c r="B2573" s="1" t="s">
        <v>5459</v>
      </c>
      <c r="C2573" s="1" t="s">
        <v>5460</v>
      </c>
      <c r="D2573" s="1" t="s">
        <v>224</v>
      </c>
      <c r="E2573" s="1" t="s">
        <v>478</v>
      </c>
      <c r="F2573" s="1" t="s">
        <v>6717</v>
      </c>
      <c r="G2573" s="1" t="str">
        <f>IFERROR(VLOOKUP(A2573,H_C!$A$2:$G$2628,7,0),"Validar HC")</f>
        <v>Sanchez, Adrian</v>
      </c>
      <c r="H2573" s="167">
        <v>2200286.0</v>
      </c>
      <c r="I2573" s="1">
        <v>42.0</v>
      </c>
    </row>
    <row r="2574" ht="15.75" customHeight="1">
      <c r="A2574" s="1">
        <v>6083015.0</v>
      </c>
      <c r="B2574" s="1" t="s">
        <v>5473</v>
      </c>
      <c r="C2574" s="1" t="s">
        <v>5474</v>
      </c>
      <c r="D2574" s="1" t="s">
        <v>224</v>
      </c>
      <c r="E2574" s="1" t="s">
        <v>478</v>
      </c>
      <c r="F2574" s="1" t="s">
        <v>6717</v>
      </c>
      <c r="G2574" s="1" t="str">
        <f>IFERROR(VLOOKUP(A2574,H_C!$A$2:$G$2628,7,0),"Validar HC")</f>
        <v>Sanchez, Adrian</v>
      </c>
      <c r="H2574" s="167">
        <v>2200286.0</v>
      </c>
      <c r="I2574" s="1">
        <v>42.0</v>
      </c>
    </row>
    <row r="2575" ht="15.75" customHeight="1">
      <c r="A2575" s="1">
        <v>5814421.0</v>
      </c>
      <c r="B2575" s="1" t="s">
        <v>4328</v>
      </c>
      <c r="C2575" s="1" t="s">
        <v>4329</v>
      </c>
      <c r="D2575" s="1" t="s">
        <v>224</v>
      </c>
      <c r="E2575" s="1" t="s">
        <v>416</v>
      </c>
      <c r="F2575" s="1" t="s">
        <v>6717</v>
      </c>
      <c r="G2575" s="1" t="str">
        <f>IFERROR(VLOOKUP(A2575,H_C!$A$2:$G$2628,7,0),"Validar HC")</f>
        <v>Ospina, Michel</v>
      </c>
      <c r="H2575" s="167">
        <v>2200286.0</v>
      </c>
      <c r="I2575" s="1">
        <v>42.0</v>
      </c>
    </row>
    <row r="2576" ht="15.75" customHeight="1">
      <c r="A2576" s="1">
        <v>6085468.0</v>
      </c>
      <c r="B2576" s="1" t="s">
        <v>4348</v>
      </c>
      <c r="C2576" s="1" t="s">
        <v>4349</v>
      </c>
      <c r="D2576" s="1" t="s">
        <v>224</v>
      </c>
      <c r="E2576" s="1" t="s">
        <v>416</v>
      </c>
      <c r="F2576" s="1" t="s">
        <v>6717</v>
      </c>
      <c r="G2576" s="1" t="str">
        <f>IFERROR(VLOOKUP(A2576,H_C!$A$2:$G$2628,7,0),"Validar HC")</f>
        <v>Ospina, Michel</v>
      </c>
      <c r="H2576" s="167">
        <v>2200286.0</v>
      </c>
      <c r="I2576" s="1">
        <v>42.0</v>
      </c>
    </row>
    <row r="2577" ht="15.75" customHeight="1">
      <c r="A2577" s="1">
        <v>6085496.0</v>
      </c>
      <c r="B2577" s="1" t="s">
        <v>4324</v>
      </c>
      <c r="C2577" s="1" t="s">
        <v>4325</v>
      </c>
      <c r="D2577" s="1" t="s">
        <v>224</v>
      </c>
      <c r="E2577" s="1" t="s">
        <v>416</v>
      </c>
      <c r="F2577" s="1" t="s">
        <v>6717</v>
      </c>
      <c r="G2577" s="1" t="str">
        <f>IFERROR(VLOOKUP(A2577,H_C!$A$2:$G$2628,7,0),"Validar HC")</f>
        <v>Ospina, Michel</v>
      </c>
      <c r="H2577" s="167">
        <v>2200286.0</v>
      </c>
      <c r="I2577" s="1">
        <v>42.0</v>
      </c>
    </row>
    <row r="2578" ht="15.75" customHeight="1">
      <c r="A2578" s="1">
        <v>6085457.0</v>
      </c>
      <c r="B2578" s="1" t="s">
        <v>4322</v>
      </c>
      <c r="C2578" s="1" t="s">
        <v>4323</v>
      </c>
      <c r="D2578" s="1" t="s">
        <v>224</v>
      </c>
      <c r="E2578" s="1" t="s">
        <v>416</v>
      </c>
      <c r="F2578" s="1" t="s">
        <v>6717</v>
      </c>
      <c r="G2578" s="1" t="str">
        <f>IFERROR(VLOOKUP(A2578,H_C!$A$2:$G$2628,7,0),"Validar HC")</f>
        <v>Ospina, Michel</v>
      </c>
      <c r="H2578" s="167">
        <v>2200286.0</v>
      </c>
      <c r="I2578" s="1">
        <v>42.0</v>
      </c>
    </row>
    <row r="2579" ht="15.75" customHeight="1">
      <c r="A2579" s="1">
        <v>6085470.0</v>
      </c>
      <c r="B2579" s="1" t="s">
        <v>5525</v>
      </c>
      <c r="C2579" s="1" t="s">
        <v>5526</v>
      </c>
      <c r="D2579" s="1" t="s">
        <v>224</v>
      </c>
      <c r="E2579" s="1" t="s">
        <v>853</v>
      </c>
      <c r="F2579" s="1" t="s">
        <v>6717</v>
      </c>
      <c r="G2579" s="1" t="str">
        <f>IFERROR(VLOOKUP(A2579,H_C!$A$2:$G$2628,7,0),"Validar HC")</f>
        <v>Garcia, Helmer</v>
      </c>
      <c r="H2579" s="167">
        <v>2200286.0</v>
      </c>
      <c r="I2579" s="1">
        <v>42.0</v>
      </c>
    </row>
    <row r="2580" ht="15.75" customHeight="1">
      <c r="A2580" s="1">
        <v>6085939.0</v>
      </c>
      <c r="B2580" s="1" t="s">
        <v>4332</v>
      </c>
      <c r="C2580" s="1" t="s">
        <v>4333</v>
      </c>
      <c r="D2580" s="1" t="s">
        <v>224</v>
      </c>
      <c r="E2580" s="1" t="s">
        <v>416</v>
      </c>
      <c r="F2580" s="1" t="s">
        <v>6717</v>
      </c>
      <c r="G2580" s="1" t="str">
        <f>IFERROR(VLOOKUP(A2580,H_C!$A$2:$G$2628,7,0),"Validar HC")</f>
        <v>Ospina, Michel</v>
      </c>
      <c r="H2580" s="167">
        <v>2200286.0</v>
      </c>
      <c r="I2580" s="1">
        <v>42.0</v>
      </c>
    </row>
    <row r="2581" ht="15.75" customHeight="1">
      <c r="A2581" s="1">
        <v>6085952.0</v>
      </c>
      <c r="B2581" s="1" t="s">
        <v>4352</v>
      </c>
      <c r="C2581" s="1" t="s">
        <v>4353</v>
      </c>
      <c r="D2581" s="1" t="s">
        <v>224</v>
      </c>
      <c r="E2581" s="1" t="s">
        <v>416</v>
      </c>
      <c r="F2581" s="1" t="s">
        <v>6717</v>
      </c>
      <c r="G2581" s="1" t="str">
        <f>IFERROR(VLOOKUP(A2581,H_C!$A$2:$G$2628,7,0),"Validar HC")</f>
        <v>Ospina, Michel</v>
      </c>
      <c r="H2581" s="167">
        <v>2200286.0</v>
      </c>
      <c r="I2581" s="1">
        <v>42.0</v>
      </c>
    </row>
    <row r="2582" ht="15.75" customHeight="1">
      <c r="A2582" s="1">
        <v>6091732.0</v>
      </c>
      <c r="B2582" s="1" t="s">
        <v>3672</v>
      </c>
      <c r="C2582" s="1" t="s">
        <v>3673</v>
      </c>
      <c r="D2582" s="1" t="s">
        <v>224</v>
      </c>
      <c r="E2582" s="1" t="s">
        <v>738</v>
      </c>
      <c r="F2582" s="1" t="s">
        <v>6717</v>
      </c>
      <c r="G2582" s="1" t="str">
        <f>IFERROR(VLOOKUP(A2582,H_C!$A$2:$G$2628,7,0),"Validar HC")</f>
        <v>Sanchez, Adrian</v>
      </c>
      <c r="H2582" s="167">
        <v>2200286.0</v>
      </c>
      <c r="I2582" s="1">
        <v>42.0</v>
      </c>
    </row>
    <row r="2583" ht="15.75" customHeight="1">
      <c r="A2583" s="1">
        <v>6092836.0</v>
      </c>
      <c r="B2583" s="1" t="s">
        <v>3658</v>
      </c>
      <c r="C2583" s="1" t="s">
        <v>3659</v>
      </c>
      <c r="D2583" s="1" t="s">
        <v>224</v>
      </c>
      <c r="E2583" s="1" t="s">
        <v>738</v>
      </c>
      <c r="F2583" s="1" t="s">
        <v>6717</v>
      </c>
      <c r="G2583" s="1" t="str">
        <f>IFERROR(VLOOKUP(A2583,H_C!$A$2:$G$2628,7,0),"Validar HC")</f>
        <v>Sanchez, Adrian</v>
      </c>
      <c r="H2583" s="167">
        <v>2200286.0</v>
      </c>
      <c r="I2583" s="1">
        <v>42.0</v>
      </c>
    </row>
    <row r="2584" ht="15.75" customHeight="1">
      <c r="A2584" s="1">
        <v>6091736.0</v>
      </c>
      <c r="B2584" s="1" t="s">
        <v>3676</v>
      </c>
      <c r="C2584" s="1" t="s">
        <v>3677</v>
      </c>
      <c r="D2584" s="1" t="s">
        <v>224</v>
      </c>
      <c r="E2584" s="1" t="s">
        <v>738</v>
      </c>
      <c r="F2584" s="1" t="s">
        <v>6717</v>
      </c>
      <c r="G2584" s="1" t="str">
        <f>IFERROR(VLOOKUP(A2584,H_C!$A$2:$G$2628,7,0),"Validar HC")</f>
        <v>Sanchez, Adrian</v>
      </c>
      <c r="H2584" s="167">
        <v>2200286.0</v>
      </c>
      <c r="I2584" s="1">
        <v>42.0</v>
      </c>
    </row>
    <row r="2585" ht="15.75" customHeight="1">
      <c r="A2585" s="1">
        <v>6092312.0</v>
      </c>
      <c r="B2585" s="1" t="s">
        <v>3686</v>
      </c>
      <c r="C2585" s="1" t="s">
        <v>3687</v>
      </c>
      <c r="D2585" s="1" t="s">
        <v>224</v>
      </c>
      <c r="E2585" s="1" t="s">
        <v>738</v>
      </c>
      <c r="F2585" s="1" t="s">
        <v>6717</v>
      </c>
      <c r="G2585" s="1" t="str">
        <f>IFERROR(VLOOKUP(A2585,H_C!$A$2:$G$2628,7,0),"Validar HC")</f>
        <v>Sanchez, Adrian</v>
      </c>
      <c r="H2585" s="167">
        <v>2200286.0</v>
      </c>
      <c r="I2585" s="1">
        <v>42.0</v>
      </c>
    </row>
    <row r="2586" ht="15.75" customHeight="1">
      <c r="A2586" s="1">
        <v>6092828.0</v>
      </c>
      <c r="B2586" s="1" t="s">
        <v>3668</v>
      </c>
      <c r="C2586" s="1" t="s">
        <v>3669</v>
      </c>
      <c r="D2586" s="1" t="s">
        <v>224</v>
      </c>
      <c r="E2586" s="1" t="s">
        <v>738</v>
      </c>
      <c r="F2586" s="1" t="s">
        <v>6717</v>
      </c>
      <c r="G2586" s="1" t="str">
        <f>IFERROR(VLOOKUP(A2586,H_C!$A$2:$G$2628,7,0),"Validar HC")</f>
        <v>Sanchez, Adrian</v>
      </c>
      <c r="H2586" s="167">
        <v>2200286.0</v>
      </c>
      <c r="I2586" s="1">
        <v>42.0</v>
      </c>
    </row>
    <row r="2587" ht="15.75" customHeight="1">
      <c r="A2587" s="1">
        <v>6091733.0</v>
      </c>
      <c r="B2587" s="1" t="s">
        <v>5150</v>
      </c>
      <c r="C2587" s="1" t="s">
        <v>3646</v>
      </c>
      <c r="D2587" s="1" t="s">
        <v>224</v>
      </c>
      <c r="E2587" s="1" t="s">
        <v>738</v>
      </c>
      <c r="F2587" s="1" t="s">
        <v>6717</v>
      </c>
      <c r="G2587" s="1" t="str">
        <f>IFERROR(VLOOKUP(A2587,H_C!$A$2:$G$2628,7,0),"Validar HC")</f>
        <v>Sanchez, Adrian</v>
      </c>
      <c r="H2587" s="167">
        <v>2200286.0</v>
      </c>
      <c r="I2587" s="1">
        <v>42.0</v>
      </c>
    </row>
    <row r="2588" ht="15.75" customHeight="1">
      <c r="A2588" s="1">
        <v>6091731.0</v>
      </c>
      <c r="B2588" s="1" t="s">
        <v>3682</v>
      </c>
      <c r="C2588" s="1" t="s">
        <v>3683</v>
      </c>
      <c r="D2588" s="1" t="s">
        <v>224</v>
      </c>
      <c r="E2588" s="1" t="s">
        <v>738</v>
      </c>
      <c r="F2588" s="1" t="s">
        <v>6717</v>
      </c>
      <c r="G2588" s="1" t="str">
        <f>IFERROR(VLOOKUP(A2588,H_C!$A$2:$G$2628,7,0),"Validar HC")</f>
        <v>Sanchez, Adrian</v>
      </c>
      <c r="H2588" s="167">
        <v>2200286.0</v>
      </c>
      <c r="I2588" s="1">
        <v>42.0</v>
      </c>
    </row>
    <row r="2589" ht="15.75" customHeight="1">
      <c r="A2589" s="1">
        <v>6092901.0</v>
      </c>
      <c r="B2589" s="1" t="s">
        <v>3674</v>
      </c>
      <c r="C2589" s="1" t="s">
        <v>3675</v>
      </c>
      <c r="D2589" s="1" t="s">
        <v>224</v>
      </c>
      <c r="E2589" s="1" t="s">
        <v>738</v>
      </c>
      <c r="F2589" s="1" t="s">
        <v>6717</v>
      </c>
      <c r="G2589" s="1" t="str">
        <f>IFERROR(VLOOKUP(A2589,H_C!$A$2:$G$2628,7,0),"Validar HC")</f>
        <v>Sanchez, Adrian</v>
      </c>
      <c r="H2589" s="167">
        <v>2200286.0</v>
      </c>
      <c r="I2589" s="1">
        <v>42.0</v>
      </c>
    </row>
    <row r="2590" ht="15.75" customHeight="1">
      <c r="A2590" s="1">
        <v>6093034.0</v>
      </c>
      <c r="B2590" s="1" t="s">
        <v>3647</v>
      </c>
      <c r="C2590" s="1" t="s">
        <v>3648</v>
      </c>
      <c r="D2590" s="1" t="s">
        <v>224</v>
      </c>
      <c r="E2590" s="1" t="s">
        <v>738</v>
      </c>
      <c r="F2590" s="1" t="s">
        <v>6717</v>
      </c>
      <c r="G2590" s="1" t="str">
        <f>IFERROR(VLOOKUP(A2590,H_C!$A$2:$G$2628,7,0),"Validar HC")</f>
        <v>Sanchez, Adrian</v>
      </c>
      <c r="H2590" s="167">
        <v>2200286.0</v>
      </c>
      <c r="I2590" s="1">
        <v>42.0</v>
      </c>
    </row>
    <row r="2591" ht="15.75" customHeight="1">
      <c r="A2591" s="1">
        <v>6093024.0</v>
      </c>
      <c r="B2591" s="1" t="s">
        <v>3670</v>
      </c>
      <c r="C2591" s="1" t="s">
        <v>3671</v>
      </c>
      <c r="D2591" s="1" t="s">
        <v>224</v>
      </c>
      <c r="E2591" s="1" t="s">
        <v>738</v>
      </c>
      <c r="F2591" s="1" t="s">
        <v>6717</v>
      </c>
      <c r="G2591" s="1" t="str">
        <f>IFERROR(VLOOKUP(A2591,H_C!$A$2:$G$2628,7,0),"Validar HC")</f>
        <v>Sanchez, Adrian</v>
      </c>
      <c r="H2591" s="167">
        <v>2200286.0</v>
      </c>
      <c r="I2591" s="1">
        <v>42.0</v>
      </c>
    </row>
    <row r="2592" ht="15.75" customHeight="1">
      <c r="A2592" s="1">
        <v>6092925.0</v>
      </c>
      <c r="B2592" s="1" t="s">
        <v>3688</v>
      </c>
      <c r="C2592" s="1" t="s">
        <v>3689</v>
      </c>
      <c r="D2592" s="1" t="s">
        <v>224</v>
      </c>
      <c r="E2592" s="1" t="s">
        <v>738</v>
      </c>
      <c r="F2592" s="1" t="s">
        <v>6717</v>
      </c>
      <c r="G2592" s="1" t="str">
        <f>IFERROR(VLOOKUP(A2592,H_C!$A$2:$G$2628,7,0),"Validar HC")</f>
        <v>Sanchez, Adrian</v>
      </c>
      <c r="H2592" s="167">
        <v>2200286.0</v>
      </c>
      <c r="I2592" s="1">
        <v>42.0</v>
      </c>
    </row>
    <row r="2593" ht="15.75" customHeight="1">
      <c r="A2593" s="1">
        <v>6095662.0</v>
      </c>
      <c r="B2593" s="1" t="s">
        <v>3696</v>
      </c>
      <c r="C2593" s="1" t="s">
        <v>3697</v>
      </c>
      <c r="D2593" s="1" t="s">
        <v>224</v>
      </c>
      <c r="E2593" s="1" t="s">
        <v>738</v>
      </c>
      <c r="F2593" s="1" t="s">
        <v>6717</v>
      </c>
      <c r="G2593" s="1" t="str">
        <f>IFERROR(VLOOKUP(A2593,H_C!$A$2:$G$2628,7,0),"Validar HC")</f>
        <v>Sanchez, Adrian</v>
      </c>
      <c r="H2593" s="167">
        <v>2200286.0</v>
      </c>
      <c r="I2593" s="1">
        <v>42.0</v>
      </c>
    </row>
    <row r="2594" ht="15.75" customHeight="1">
      <c r="A2594" s="1">
        <v>4570738.0</v>
      </c>
      <c r="B2594" s="1" t="s">
        <v>6824</v>
      </c>
      <c r="C2594" s="1" t="s">
        <v>6825</v>
      </c>
      <c r="D2594" s="1" t="s">
        <v>224</v>
      </c>
      <c r="E2594" s="1" t="s">
        <v>738</v>
      </c>
      <c r="F2594" s="1" t="s">
        <v>6717</v>
      </c>
      <c r="G2594" s="1" t="str">
        <f>IFERROR(VLOOKUP(A2594,H_C!$A$2:$G$2628,7,0),"Validar HC")</f>
        <v>Validar HC</v>
      </c>
      <c r="H2594" s="167">
        <v>2200286.0</v>
      </c>
      <c r="I2594" s="1">
        <v>42.0</v>
      </c>
    </row>
    <row r="2595" ht="15.75" customHeight="1">
      <c r="A2595" s="1">
        <v>6095726.0</v>
      </c>
      <c r="B2595" s="1" t="s">
        <v>3643</v>
      </c>
      <c r="C2595" s="1" t="s">
        <v>3644</v>
      </c>
      <c r="D2595" s="1" t="s">
        <v>224</v>
      </c>
      <c r="E2595" s="1" t="s">
        <v>738</v>
      </c>
      <c r="F2595" s="1" t="s">
        <v>6717</v>
      </c>
      <c r="G2595" s="1" t="str">
        <f>IFERROR(VLOOKUP(A2595,H_C!$A$2:$G$2628,7,0),"Validar HC")</f>
        <v>Sanchez, Adrian</v>
      </c>
      <c r="H2595" s="167">
        <v>2200286.0</v>
      </c>
      <c r="I2595" s="1">
        <v>42.0</v>
      </c>
    </row>
    <row r="2596" ht="15.75" customHeight="1">
      <c r="A2596" s="1">
        <v>6098558.0</v>
      </c>
      <c r="B2596" s="1" t="s">
        <v>3690</v>
      </c>
      <c r="C2596" s="1" t="s">
        <v>3691</v>
      </c>
      <c r="D2596" s="1" t="s">
        <v>224</v>
      </c>
      <c r="E2596" s="1" t="s">
        <v>738</v>
      </c>
      <c r="F2596" s="1" t="s">
        <v>6717</v>
      </c>
      <c r="G2596" s="1" t="str">
        <f>IFERROR(VLOOKUP(A2596,H_C!$A$2:$G$2628,7,0),"Validar HC")</f>
        <v>Sanchez, Adrian</v>
      </c>
      <c r="H2596" s="167">
        <v>2200286.0</v>
      </c>
      <c r="I2596" s="1">
        <v>42.0</v>
      </c>
    </row>
    <row r="2597" ht="15.75" customHeight="1">
      <c r="A2597" s="1">
        <v>6096256.0</v>
      </c>
      <c r="B2597" s="1" t="s">
        <v>3651</v>
      </c>
      <c r="C2597" s="1" t="s">
        <v>3652</v>
      </c>
      <c r="D2597" s="1" t="s">
        <v>224</v>
      </c>
      <c r="E2597" s="1" t="s">
        <v>738</v>
      </c>
      <c r="F2597" s="1" t="s">
        <v>6717</v>
      </c>
      <c r="G2597" s="1" t="str">
        <f>IFERROR(VLOOKUP(A2597,H_C!$A$2:$G$2628,7,0),"Validar HC")</f>
        <v>Sanchez, Adrian</v>
      </c>
      <c r="H2597" s="167">
        <v>2200286.0</v>
      </c>
      <c r="I2597" s="1">
        <v>42.0</v>
      </c>
    </row>
    <row r="2598" ht="15.75" customHeight="1">
      <c r="A2598" s="1">
        <v>6101176.0</v>
      </c>
      <c r="B2598" s="1" t="s">
        <v>5567</v>
      </c>
      <c r="C2598" s="1" t="s">
        <v>3646</v>
      </c>
      <c r="D2598" s="1" t="s">
        <v>224</v>
      </c>
      <c r="E2598" s="1" t="s">
        <v>416</v>
      </c>
      <c r="F2598" s="1" t="s">
        <v>6717</v>
      </c>
      <c r="G2598" s="1" t="str">
        <f>IFERROR(VLOOKUP(A2598,H_C!$A$2:$G$2628,7,0),"Validar HC")</f>
        <v>Diaz, Jimmy</v>
      </c>
      <c r="H2598" s="167">
        <v>2200286.0</v>
      </c>
      <c r="I2598" s="1">
        <v>42.0</v>
      </c>
    </row>
    <row r="2599" ht="15.75" customHeight="1">
      <c r="A2599" s="1">
        <v>6101518.0</v>
      </c>
      <c r="B2599" s="1" t="s">
        <v>3645</v>
      </c>
      <c r="C2599" s="1" t="s">
        <v>3646</v>
      </c>
      <c r="D2599" s="1" t="s">
        <v>224</v>
      </c>
      <c r="E2599" s="1" t="s">
        <v>416</v>
      </c>
      <c r="F2599" s="1" t="s">
        <v>6717</v>
      </c>
      <c r="G2599" s="1" t="str">
        <f>IFERROR(VLOOKUP(A2599,H_C!$A$2:$G$2628,7,0),"Validar HC")</f>
        <v>Sanchez, Adrian</v>
      </c>
      <c r="H2599" s="167">
        <v>2200286.0</v>
      </c>
      <c r="I2599" s="1">
        <v>42.0</v>
      </c>
    </row>
    <row r="2600" ht="15.75" customHeight="1">
      <c r="A2600" s="1">
        <v>6104435.0</v>
      </c>
      <c r="B2600" s="1" t="s">
        <v>3655</v>
      </c>
      <c r="C2600" s="1" t="s">
        <v>3646</v>
      </c>
      <c r="D2600" s="1" t="s">
        <v>224</v>
      </c>
      <c r="E2600" s="1" t="s">
        <v>416</v>
      </c>
      <c r="F2600" s="1" t="s">
        <v>6717</v>
      </c>
      <c r="G2600" s="1" t="str">
        <f>IFERROR(VLOOKUP(A2600,H_C!$A$2:$G$2628,7,0),"Validar HC")</f>
        <v>Sanchez, Adrian</v>
      </c>
      <c r="H2600" s="167">
        <v>2200286.0</v>
      </c>
      <c r="I2600" s="1">
        <v>42.0</v>
      </c>
    </row>
    <row r="2601" ht="15.75" customHeight="1">
      <c r="A2601" s="1">
        <v>6105319.0</v>
      </c>
      <c r="B2601" s="1" t="s">
        <v>3498</v>
      </c>
      <c r="C2601" s="1" t="s">
        <v>3646</v>
      </c>
      <c r="D2601" s="1" t="s">
        <v>224</v>
      </c>
      <c r="E2601" s="1" t="s">
        <v>485</v>
      </c>
      <c r="F2601" s="1" t="s">
        <v>6717</v>
      </c>
      <c r="G2601" s="1" t="str">
        <f>IFERROR(VLOOKUP(A2601,H_C!$A$2:$G$2628,7,0),"Validar HC")</f>
        <v>Sanchez, Adrian</v>
      </c>
      <c r="H2601" s="167">
        <v>2200286.0</v>
      </c>
      <c r="I2601" s="1">
        <v>42.0</v>
      </c>
    </row>
    <row r="2602" ht="15.75" customHeight="1">
      <c r="A2602" s="1">
        <v>5327026.0</v>
      </c>
      <c r="B2602" s="1" t="s">
        <v>3453</v>
      </c>
      <c r="C2602" s="1" t="s">
        <v>3646</v>
      </c>
      <c r="D2602" s="1" t="s">
        <v>224</v>
      </c>
      <c r="E2602" s="1" t="s">
        <v>323</v>
      </c>
      <c r="F2602" s="1" t="s">
        <v>6717</v>
      </c>
      <c r="G2602" s="1" t="str">
        <f>IFERROR(VLOOKUP(A2602,H_C!$A$2:$G$2628,7,0),"Validar HC")</f>
        <v>Sanchez, Adrian</v>
      </c>
      <c r="H2602" s="167">
        <v>2200286.0</v>
      </c>
      <c r="I2602" s="1">
        <v>42.0</v>
      </c>
    </row>
    <row r="2603" ht="15.75" customHeight="1">
      <c r="A2603" s="1">
        <v>6105330.0</v>
      </c>
      <c r="B2603" s="1" t="s">
        <v>3490</v>
      </c>
      <c r="C2603" s="1" t="s">
        <v>3646</v>
      </c>
      <c r="D2603" s="1" t="s">
        <v>224</v>
      </c>
      <c r="E2603" s="1" t="s">
        <v>485</v>
      </c>
      <c r="F2603" s="1" t="s">
        <v>6717</v>
      </c>
      <c r="G2603" s="1" t="str">
        <f>IFERROR(VLOOKUP(A2603,H_C!$A$2:$G$2628,7,0),"Validar HC")</f>
        <v>Sanchez, Adrian</v>
      </c>
      <c r="H2603" s="167">
        <v>2200286.0</v>
      </c>
      <c r="I2603" s="1">
        <v>42.0</v>
      </c>
    </row>
    <row r="2604" ht="15.75" customHeight="1">
      <c r="A2604" s="1">
        <v>6105372.0</v>
      </c>
      <c r="B2604" s="1" t="s">
        <v>3466</v>
      </c>
      <c r="C2604" s="1" t="s">
        <v>3646</v>
      </c>
      <c r="D2604" s="1" t="s">
        <v>224</v>
      </c>
      <c r="E2604" s="1" t="s">
        <v>323</v>
      </c>
      <c r="F2604" s="1" t="s">
        <v>6717</v>
      </c>
      <c r="G2604" s="1" t="str">
        <f>IFERROR(VLOOKUP(A2604,H_C!$A$2:$G$2628,7,0),"Validar HC")</f>
        <v>Sanchez, Adrian</v>
      </c>
      <c r="H2604" s="167">
        <v>2200286.0</v>
      </c>
      <c r="I2604" s="1">
        <v>42.0</v>
      </c>
    </row>
    <row r="2605" ht="15.75" customHeight="1">
      <c r="A2605" s="1">
        <v>6105445.0</v>
      </c>
      <c r="B2605" s="1" t="s">
        <v>3484</v>
      </c>
      <c r="C2605" s="1" t="s">
        <v>3646</v>
      </c>
      <c r="D2605" s="1" t="s">
        <v>224</v>
      </c>
      <c r="E2605" s="1" t="s">
        <v>485</v>
      </c>
      <c r="F2605" s="1" t="s">
        <v>6717</v>
      </c>
      <c r="G2605" s="1" t="str">
        <f>IFERROR(VLOOKUP(A2605,H_C!$A$2:$G$2628,7,0),"Validar HC")</f>
        <v>Sanchez, Adrian</v>
      </c>
      <c r="H2605" s="167">
        <v>2200286.0</v>
      </c>
      <c r="I2605" s="1">
        <v>42.0</v>
      </c>
    </row>
    <row r="2606" ht="15.75" customHeight="1">
      <c r="A2606" s="1">
        <v>6105354.0</v>
      </c>
      <c r="B2606" s="1" t="s">
        <v>3460</v>
      </c>
      <c r="C2606" s="1" t="s">
        <v>3646</v>
      </c>
      <c r="D2606" s="1" t="s">
        <v>224</v>
      </c>
      <c r="E2606" s="1" t="s">
        <v>323</v>
      </c>
      <c r="F2606" s="1" t="s">
        <v>6717</v>
      </c>
      <c r="G2606" s="1" t="str">
        <f>IFERROR(VLOOKUP(A2606,H_C!$A$2:$G$2628,7,0),"Validar HC")</f>
        <v>Sanchez, Adrian</v>
      </c>
      <c r="H2606" s="167">
        <v>2200286.0</v>
      </c>
      <c r="I2606" s="1">
        <v>42.0</v>
      </c>
    </row>
    <row r="2607" ht="15.75" customHeight="1">
      <c r="A2607" s="1">
        <v>4891948.0</v>
      </c>
      <c r="B2607" s="1" t="s">
        <v>3458</v>
      </c>
      <c r="C2607" s="1" t="s">
        <v>3646</v>
      </c>
      <c r="D2607" s="1" t="s">
        <v>224</v>
      </c>
      <c r="E2607" s="1" t="s">
        <v>323</v>
      </c>
      <c r="F2607" s="1" t="s">
        <v>6717</v>
      </c>
      <c r="G2607" s="1" t="str">
        <f>IFERROR(VLOOKUP(A2607,H_C!$A$2:$G$2628,7,0),"Validar HC")</f>
        <v>Sanchez, Adrian</v>
      </c>
      <c r="H2607" s="167">
        <v>2200286.0</v>
      </c>
      <c r="I2607" s="1">
        <v>42.0</v>
      </c>
    </row>
    <row r="2608" ht="15.75" customHeight="1">
      <c r="A2608" s="1">
        <v>6105426.0</v>
      </c>
      <c r="B2608" s="1" t="s">
        <v>3480</v>
      </c>
      <c r="C2608" s="1" t="s">
        <v>3646</v>
      </c>
      <c r="D2608" s="1" t="s">
        <v>224</v>
      </c>
      <c r="E2608" s="1" t="s">
        <v>323</v>
      </c>
      <c r="F2608" s="1" t="s">
        <v>6717</v>
      </c>
      <c r="G2608" s="1" t="str">
        <f>IFERROR(VLOOKUP(A2608,H_C!$A$2:$G$2628,7,0),"Validar HC")</f>
        <v>Sanchez, Adrian</v>
      </c>
      <c r="H2608" s="167">
        <v>2200286.0</v>
      </c>
      <c r="I2608" s="1">
        <v>42.0</v>
      </c>
    </row>
    <row r="2609" ht="15.75" customHeight="1">
      <c r="A2609" s="1">
        <v>4984021.0</v>
      </c>
      <c r="B2609" s="1" t="s">
        <v>3478</v>
      </c>
      <c r="C2609" s="1" t="s">
        <v>3646</v>
      </c>
      <c r="D2609" s="1" t="s">
        <v>224</v>
      </c>
      <c r="E2609" s="1" t="s">
        <v>485</v>
      </c>
      <c r="F2609" s="1" t="s">
        <v>6717</v>
      </c>
      <c r="G2609" s="1" t="str">
        <f>IFERROR(VLOOKUP(A2609,H_C!$A$2:$G$2628,7,0),"Validar HC")</f>
        <v>Sanchez, Adrian</v>
      </c>
      <c r="H2609" s="167">
        <v>2200286.0</v>
      </c>
      <c r="I2609" s="1">
        <v>42.0</v>
      </c>
    </row>
    <row r="2610" ht="15.75" customHeight="1">
      <c r="A2610" s="1">
        <v>623312.0</v>
      </c>
      <c r="B2610" s="1" t="s">
        <v>6128</v>
      </c>
      <c r="C2610" s="1" t="s">
        <v>6129</v>
      </c>
      <c r="D2610" s="1" t="s">
        <v>5809</v>
      </c>
      <c r="F2610" s="1" t="s">
        <v>6717</v>
      </c>
      <c r="G2610" s="1" t="str">
        <f>IFERROR(VLOOKUP(A2610,H_C!$A$2:$G$2628,7,0),"Validar HC")</f>
        <v>Validar HC</v>
      </c>
      <c r="H2610" s="167">
        <v>2200286.0</v>
      </c>
      <c r="I2610" s="1">
        <v>42.0</v>
      </c>
    </row>
    <row r="2611" ht="15.75" customHeight="1">
      <c r="A2611" s="1">
        <v>664043.0</v>
      </c>
      <c r="B2611" s="1" t="s">
        <v>6125</v>
      </c>
      <c r="C2611" s="1" t="s">
        <v>6126</v>
      </c>
      <c r="D2611" s="1" t="s">
        <v>5809</v>
      </c>
      <c r="F2611" s="1" t="s">
        <v>6717</v>
      </c>
      <c r="G2611" s="1" t="str">
        <f>IFERROR(VLOOKUP(A2611,H_C!$A$2:$G$2628,7,0),"Validar HC")</f>
        <v>Validar HC</v>
      </c>
      <c r="H2611" s="167">
        <v>2200286.0</v>
      </c>
      <c r="I2611" s="1">
        <v>42.0</v>
      </c>
    </row>
    <row r="2612" ht="15.75" customHeight="1">
      <c r="A2612" s="1">
        <v>690890.0</v>
      </c>
      <c r="B2612" s="1" t="s">
        <v>5956</v>
      </c>
      <c r="C2612" s="1" t="s">
        <v>5957</v>
      </c>
      <c r="D2612" s="1" t="s">
        <v>6706</v>
      </c>
      <c r="F2612" s="1" t="s">
        <v>6717</v>
      </c>
      <c r="G2612" s="1" t="str">
        <f>IFERROR(VLOOKUP(A2612,H_C!$A$2:$G$2628,7,0),"Validar HC")</f>
        <v>Validar HC</v>
      </c>
      <c r="H2612" s="167">
        <v>2200286.0</v>
      </c>
      <c r="I2612" s="1">
        <v>42.0</v>
      </c>
    </row>
    <row r="2613" ht="15.75" customHeight="1">
      <c r="A2613" s="1">
        <v>828713.0</v>
      </c>
      <c r="B2613" s="1" t="s">
        <v>6546</v>
      </c>
      <c r="C2613" s="1" t="s">
        <v>6549</v>
      </c>
      <c r="D2613" s="1" t="s">
        <v>6548</v>
      </c>
      <c r="F2613" s="1" t="s">
        <v>6717</v>
      </c>
      <c r="G2613" s="1" t="str">
        <f>IFERROR(VLOOKUP(A2613,H_C!$A$2:$G$2628,7,0),"Validar HC")</f>
        <v>Validar HC</v>
      </c>
      <c r="H2613" s="167">
        <v>2200286.0</v>
      </c>
      <c r="I2613" s="1">
        <v>42.0</v>
      </c>
    </row>
    <row r="2614" ht="15.75" customHeight="1">
      <c r="A2614" s="1">
        <v>828715.0</v>
      </c>
      <c r="B2614" s="1" t="s">
        <v>5823</v>
      </c>
      <c r="C2614" s="1" t="s">
        <v>5824</v>
      </c>
      <c r="D2614" s="1" t="s">
        <v>5797</v>
      </c>
      <c r="F2614" s="1" t="s">
        <v>6717</v>
      </c>
      <c r="G2614" s="1" t="str">
        <f>IFERROR(VLOOKUP(A2614,H_C!$A$2:$G$2628,7,0),"Validar HC")</f>
        <v>Validar HC</v>
      </c>
      <c r="H2614" s="167">
        <v>2200286.0</v>
      </c>
      <c r="I2614" s="1">
        <v>42.0</v>
      </c>
    </row>
    <row r="2615" ht="15.75" customHeight="1">
      <c r="A2615" s="1">
        <v>851996.0</v>
      </c>
      <c r="B2615" s="1" t="s">
        <v>6687</v>
      </c>
      <c r="C2615" s="1" t="s">
        <v>6688</v>
      </c>
      <c r="D2615" s="1" t="s">
        <v>5856</v>
      </c>
      <c r="F2615" s="1" t="s">
        <v>6717</v>
      </c>
      <c r="G2615" s="1" t="str">
        <f>IFERROR(VLOOKUP(A2615,H_C!$A$2:$G$2628,7,0),"Validar HC")</f>
        <v>Validar HC</v>
      </c>
      <c r="H2615" s="167">
        <v>2200286.0</v>
      </c>
      <c r="I2615" s="1">
        <v>42.0</v>
      </c>
    </row>
    <row r="2616" ht="15.75" customHeight="1">
      <c r="A2616" s="1">
        <v>898569.0</v>
      </c>
      <c r="B2616" s="1" t="s">
        <v>6131</v>
      </c>
      <c r="C2616" s="1" t="s">
        <v>6132</v>
      </c>
      <c r="D2616" s="1" t="s">
        <v>6708</v>
      </c>
      <c r="F2616" s="1" t="s">
        <v>6717</v>
      </c>
      <c r="G2616" s="1" t="str">
        <f>IFERROR(VLOOKUP(A2616,H_C!$A$2:$G$2628,7,0),"Validar HC")</f>
        <v>Validar HC</v>
      </c>
      <c r="H2616" s="167">
        <v>2200286.0</v>
      </c>
      <c r="I2616" s="1">
        <v>42.0</v>
      </c>
    </row>
    <row r="2617" ht="15.75" customHeight="1">
      <c r="A2617" s="1">
        <v>930645.0</v>
      </c>
      <c r="B2617" s="1" t="s">
        <v>6309</v>
      </c>
      <c r="C2617" s="1" t="s">
        <v>3646</v>
      </c>
      <c r="D2617" s="1" t="s">
        <v>5802</v>
      </c>
      <c r="F2617" s="1" t="s">
        <v>6717</v>
      </c>
      <c r="G2617" s="1" t="str">
        <f>IFERROR(VLOOKUP(A2617,H_C!$A$2:$G$2628,7,0),"Validar HC")</f>
        <v>Validar HC</v>
      </c>
      <c r="H2617" s="167">
        <v>2200286.0</v>
      </c>
      <c r="I2617" s="1">
        <v>42.0</v>
      </c>
    </row>
    <row r="2618" ht="15.75" customHeight="1">
      <c r="A2618" s="1">
        <v>985835.0</v>
      </c>
      <c r="B2618" s="1" t="s">
        <v>347</v>
      </c>
      <c r="C2618" s="1" t="s">
        <v>5923</v>
      </c>
      <c r="D2618" s="1" t="s">
        <v>6706</v>
      </c>
      <c r="F2618" s="1" t="s">
        <v>6717</v>
      </c>
      <c r="G2618" s="1" t="str">
        <f>IFERROR(VLOOKUP(A2618,H_C!$A$2:$G$2628,7,0),"Validar HC")</f>
        <v>Validar HC</v>
      </c>
      <c r="H2618" s="167">
        <v>2200286.0</v>
      </c>
      <c r="I2618" s="1">
        <v>42.0</v>
      </c>
    </row>
    <row r="2619" ht="15.75" customHeight="1">
      <c r="A2619" s="1">
        <v>1164982.0</v>
      </c>
      <c r="B2619" s="1" t="s">
        <v>284</v>
      </c>
      <c r="C2619" s="1" t="s">
        <v>6056</v>
      </c>
      <c r="D2619" s="1" t="s">
        <v>217</v>
      </c>
      <c r="E2619" s="1" t="s">
        <v>412</v>
      </c>
      <c r="F2619" s="1" t="s">
        <v>6717</v>
      </c>
      <c r="G2619" s="1" t="str">
        <f>IFERROR(VLOOKUP(A2619,H_C!$A$2:$G$2628,7,0),"Validar HC")</f>
        <v>Validar HC</v>
      </c>
      <c r="H2619" s="167">
        <v>2200286.0</v>
      </c>
      <c r="I2619" s="1">
        <v>42.0</v>
      </c>
    </row>
    <row r="2620" ht="15.75" customHeight="1">
      <c r="F2620" s="1" t="s">
        <v>6717</v>
      </c>
      <c r="G2620" s="1" t="str">
        <f>IFERROR(VLOOKUP(A2620,H_C!$A$2:$G$2628,7,0),"Validar HC")</f>
        <v>Validar HC</v>
      </c>
      <c r="H2620" s="167">
        <v>2200286.0</v>
      </c>
      <c r="I2620" s="1">
        <v>42.0</v>
      </c>
    </row>
    <row r="2621" ht="15.75" customHeight="1">
      <c r="A2621" s="1">
        <v>1274914.0</v>
      </c>
      <c r="B2621" s="1" t="s">
        <v>349</v>
      </c>
      <c r="C2621" s="1" t="s">
        <v>6369</v>
      </c>
      <c r="D2621" s="1" t="s">
        <v>6709</v>
      </c>
      <c r="F2621" s="1" t="s">
        <v>6717</v>
      </c>
      <c r="G2621" s="1" t="str">
        <f>IFERROR(VLOOKUP(A2621,H_C!$A$2:$G$2628,7,0),"Validar HC")</f>
        <v>Validar HC</v>
      </c>
      <c r="H2621" s="165">
        <v>1423500.0</v>
      </c>
      <c r="I2621" s="1">
        <v>42.0</v>
      </c>
    </row>
    <row r="2622" ht="15.75" customHeight="1">
      <c r="A2622" s="1">
        <v>1285623.0</v>
      </c>
      <c r="B2622" s="1" t="s">
        <v>5959</v>
      </c>
      <c r="C2622" s="1" t="s">
        <v>5960</v>
      </c>
      <c r="D2622" s="1" t="s">
        <v>5928</v>
      </c>
      <c r="F2622" s="1" t="s">
        <v>6717</v>
      </c>
      <c r="G2622" s="1" t="str">
        <f>IFERROR(VLOOKUP(A2622,H_C!$A$2:$G$2628,7,0),"Validar HC")</f>
        <v>Validar HC</v>
      </c>
      <c r="H2622" s="165">
        <v>1423500.0</v>
      </c>
      <c r="I2622" s="1">
        <v>42.0</v>
      </c>
    </row>
    <row r="2623" ht="15.75" customHeight="1">
      <c r="A2623" s="1">
        <v>1326705.0</v>
      </c>
      <c r="B2623" s="1" t="s">
        <v>6653</v>
      </c>
      <c r="C2623" s="1" t="s">
        <v>3646</v>
      </c>
      <c r="D2623" s="1" t="s">
        <v>5802</v>
      </c>
      <c r="F2623" s="1" t="s">
        <v>6717</v>
      </c>
      <c r="G2623" s="1" t="str">
        <f>IFERROR(VLOOKUP(A2623,H_C!$A$2:$G$2628,7,0),"Validar HC")</f>
        <v>Validar HC</v>
      </c>
      <c r="H2623" s="165">
        <v>1423500.0</v>
      </c>
      <c r="I2623" s="1">
        <v>42.0</v>
      </c>
    </row>
    <row r="2624" ht="15.75" customHeight="1">
      <c r="A2624" s="1">
        <v>1339636.0</v>
      </c>
      <c r="B2624" s="1" t="s">
        <v>5826</v>
      </c>
      <c r="C2624" s="1" t="s">
        <v>5827</v>
      </c>
      <c r="D2624" s="1" t="s">
        <v>217</v>
      </c>
      <c r="F2624" s="1" t="s">
        <v>6717</v>
      </c>
      <c r="G2624" s="1" t="str">
        <f>IFERROR(VLOOKUP(A2624,H_C!$A$2:$G$2628,7,0),"Validar HC")</f>
        <v>Validar HC</v>
      </c>
      <c r="H2624" s="165">
        <v>1423500.0</v>
      </c>
      <c r="I2624" s="1">
        <v>42.0</v>
      </c>
    </row>
    <row r="2625" ht="15.75" customHeight="1">
      <c r="A2625" s="1">
        <v>1377048.0</v>
      </c>
      <c r="B2625" s="1" t="s">
        <v>494</v>
      </c>
      <c r="C2625" s="1" t="s">
        <v>6012</v>
      </c>
      <c r="D2625" s="1" t="s">
        <v>217</v>
      </c>
      <c r="E2625" s="1" t="s">
        <v>113</v>
      </c>
      <c r="F2625" s="1" t="s">
        <v>6717</v>
      </c>
      <c r="G2625" s="1" t="str">
        <f>IFERROR(VLOOKUP(A2625,H_C!$A$2:$G$2628,7,0),"Validar HC")</f>
        <v>Validar HC</v>
      </c>
      <c r="H2625" s="165">
        <v>1423500.0</v>
      </c>
      <c r="I2625" s="1">
        <v>42.0</v>
      </c>
    </row>
    <row r="2626" ht="15.75" customHeight="1">
      <c r="A2626" s="1">
        <v>1434780.0</v>
      </c>
      <c r="B2626" s="1" t="s">
        <v>5836</v>
      </c>
      <c r="C2626" s="1" t="s">
        <v>6147</v>
      </c>
      <c r="D2626" s="1" t="s">
        <v>5868</v>
      </c>
      <c r="F2626" s="1" t="s">
        <v>6717</v>
      </c>
      <c r="G2626" s="1" t="str">
        <f>IFERROR(VLOOKUP(A2626,H_C!$A$2:$G$2628,7,0),"Validar HC")</f>
        <v>Validar HC</v>
      </c>
      <c r="H2626" s="165">
        <v>1423500.0</v>
      </c>
      <c r="I2626" s="1">
        <v>42.0</v>
      </c>
    </row>
    <row r="2627" ht="15.75" customHeight="1">
      <c r="A2627" s="1">
        <v>1584677.0</v>
      </c>
      <c r="B2627" s="1" t="s">
        <v>327</v>
      </c>
      <c r="C2627" s="1" t="s">
        <v>5790</v>
      </c>
      <c r="D2627" s="1" t="s">
        <v>218</v>
      </c>
      <c r="F2627" s="1" t="s">
        <v>6717</v>
      </c>
      <c r="G2627" s="1" t="str">
        <f>IFERROR(VLOOKUP(A2627,H_C!$A$2:$G$2628,7,0),"Validar HC")</f>
        <v>Validar HC</v>
      </c>
      <c r="H2627" s="165">
        <v>1423500.0</v>
      </c>
      <c r="I2627" s="1">
        <v>42.0</v>
      </c>
    </row>
    <row r="2628" ht="15.75" customHeight="1">
      <c r="A2628" s="1">
        <v>1693237.0</v>
      </c>
      <c r="B2628" s="1" t="s">
        <v>5953</v>
      </c>
      <c r="C2628" s="1" t="s">
        <v>5954</v>
      </c>
      <c r="D2628" s="1" t="s">
        <v>6710</v>
      </c>
      <c r="F2628" s="1" t="s">
        <v>6717</v>
      </c>
      <c r="G2628" s="1" t="str">
        <f>IFERROR(VLOOKUP(A2628,H_C!$A$2:$G$2628,7,0),"Validar HC")</f>
        <v>Validar HC</v>
      </c>
      <c r="H2628" s="165">
        <v>1423500.0</v>
      </c>
      <c r="I2628" s="1">
        <v>42.0</v>
      </c>
    </row>
    <row r="2629" ht="15.75" customHeight="1">
      <c r="A2629" s="1">
        <v>1702877.0</v>
      </c>
      <c r="B2629" s="1" t="s">
        <v>5792</v>
      </c>
      <c r="C2629" s="1" t="s">
        <v>5794</v>
      </c>
      <c r="D2629" s="1" t="s">
        <v>5793</v>
      </c>
      <c r="F2629" s="1" t="s">
        <v>6717</v>
      </c>
      <c r="G2629" s="1" t="str">
        <f>IFERROR(VLOOKUP(A2629,H_C!$A$2:$G$2628,7,0),"Validar HC")</f>
        <v>Validar HC</v>
      </c>
      <c r="H2629" s="165">
        <v>1423500.0</v>
      </c>
      <c r="I2629" s="1">
        <v>42.0</v>
      </c>
    </row>
    <row r="2630" ht="15.75" customHeight="1">
      <c r="A2630" s="1">
        <v>1724275.0</v>
      </c>
      <c r="B2630" s="1" t="s">
        <v>6248</v>
      </c>
      <c r="C2630" s="1" t="s">
        <v>3646</v>
      </c>
      <c r="D2630" s="1" t="s">
        <v>6255</v>
      </c>
      <c r="F2630" s="1" t="s">
        <v>6717</v>
      </c>
      <c r="G2630" s="1" t="str">
        <f>IFERROR(VLOOKUP(A2630,H_C!$A$2:$G$2628,7,0),"Validar HC")</f>
        <v>Validar HC</v>
      </c>
      <c r="H2630" s="165">
        <v>1423500.0</v>
      </c>
      <c r="I2630" s="1">
        <v>42.0</v>
      </c>
    </row>
    <row r="2631" ht="15.75" customHeight="1">
      <c r="A2631" s="1">
        <v>1734240.0</v>
      </c>
      <c r="B2631" s="1" t="s">
        <v>5424</v>
      </c>
      <c r="C2631" s="1" t="s">
        <v>6629</v>
      </c>
      <c r="D2631" s="1" t="s">
        <v>6047</v>
      </c>
      <c r="F2631" s="1" t="s">
        <v>6717</v>
      </c>
      <c r="G2631" s="1" t="str">
        <f>IFERROR(VLOOKUP(A2631,H_C!$A$2:$G$2628,7,0),"Validar HC")</f>
        <v>Validar HC</v>
      </c>
      <c r="H2631" s="165">
        <v>1423500.0</v>
      </c>
      <c r="I2631" s="1">
        <v>42.0</v>
      </c>
    </row>
    <row r="2632" ht="15.75" customHeight="1">
      <c r="A2632" s="1">
        <v>1783545.0</v>
      </c>
      <c r="B2632" s="1" t="s">
        <v>6690</v>
      </c>
      <c r="C2632" s="1" t="s">
        <v>6692</v>
      </c>
      <c r="D2632" s="1" t="s">
        <v>5928</v>
      </c>
      <c r="F2632" s="1" t="s">
        <v>6717</v>
      </c>
      <c r="G2632" s="1" t="str">
        <f>IFERROR(VLOOKUP(A2632,H_C!$A$2:$G$2628,7,0),"Validar HC")</f>
        <v>Validar HC</v>
      </c>
      <c r="H2632" s="165">
        <v>1423500.0</v>
      </c>
      <c r="I2632" s="1">
        <v>42.0</v>
      </c>
    </row>
    <row r="2633" ht="15.75" customHeight="1">
      <c r="A2633" s="1">
        <v>1808990.0</v>
      </c>
      <c r="B2633" s="1" t="s">
        <v>227</v>
      </c>
      <c r="C2633" s="1" t="s">
        <v>6201</v>
      </c>
      <c r="D2633" s="1" t="s">
        <v>218</v>
      </c>
      <c r="F2633" s="1" t="s">
        <v>6717</v>
      </c>
      <c r="G2633" s="1" t="str">
        <f>IFERROR(VLOOKUP(A2633,H_C!$A$2:$G$2628,7,0),"Validar HC")</f>
        <v>Validar HC</v>
      </c>
      <c r="H2633" s="165">
        <v>1423500.0</v>
      </c>
      <c r="I2633" s="1">
        <v>42.0</v>
      </c>
    </row>
    <row r="2634" ht="15.75" customHeight="1">
      <c r="A2634" s="1">
        <v>1809093.0</v>
      </c>
      <c r="B2634" s="1" t="s">
        <v>5800</v>
      </c>
      <c r="C2634" s="1" t="s">
        <v>3646</v>
      </c>
      <c r="D2634" s="1" t="s">
        <v>5802</v>
      </c>
      <c r="F2634" s="1" t="s">
        <v>6717</v>
      </c>
      <c r="G2634" s="1" t="str">
        <f>IFERROR(VLOOKUP(A2634,H_C!$A$2:$G$2628,7,0),"Validar HC")</f>
        <v>Validar HC</v>
      </c>
      <c r="H2634" s="165">
        <v>1423500.0</v>
      </c>
      <c r="I2634" s="1">
        <v>42.0</v>
      </c>
    </row>
    <row r="2635" ht="15.75" customHeight="1">
      <c r="A2635" s="1">
        <v>1915964.0</v>
      </c>
      <c r="B2635" s="1" t="s">
        <v>6188</v>
      </c>
      <c r="C2635" s="1" t="s">
        <v>6826</v>
      </c>
      <c r="D2635" s="1" t="s">
        <v>5878</v>
      </c>
      <c r="F2635" s="1" t="s">
        <v>6717</v>
      </c>
      <c r="G2635" s="1" t="str">
        <f>IFERROR(VLOOKUP(A2635,H_C!$A$2:$G$2628,7,0),"Validar HC")</f>
        <v>Validar HC</v>
      </c>
      <c r="H2635" s="165">
        <v>1423500.0</v>
      </c>
      <c r="I2635" s="1">
        <v>42.0</v>
      </c>
    </row>
    <row r="2636" ht="15.75" customHeight="1">
      <c r="A2636" s="1">
        <v>1940863.0</v>
      </c>
      <c r="B2636" s="1" t="s">
        <v>5859</v>
      </c>
      <c r="C2636" s="1" t="s">
        <v>5860</v>
      </c>
      <c r="D2636" s="1" t="s">
        <v>6712</v>
      </c>
      <c r="F2636" s="1" t="s">
        <v>6717</v>
      </c>
      <c r="G2636" s="1" t="str">
        <f>IFERROR(VLOOKUP(A2636,H_C!$A$2:$G$2628,7,0),"Validar HC")</f>
        <v>Validar HC</v>
      </c>
      <c r="H2636" s="165">
        <v>1423500.0</v>
      </c>
      <c r="I2636" s="1">
        <v>42.0</v>
      </c>
    </row>
    <row r="2637" ht="15.75" customHeight="1">
      <c r="A2637" s="1">
        <v>1959108.0</v>
      </c>
      <c r="B2637" s="1" t="s">
        <v>250</v>
      </c>
      <c r="C2637" s="1" t="s">
        <v>6458</v>
      </c>
      <c r="D2637" s="1" t="s">
        <v>218</v>
      </c>
      <c r="F2637" s="1" t="s">
        <v>6717</v>
      </c>
      <c r="G2637" s="1" t="str">
        <f>IFERROR(VLOOKUP(A2637,H_C!$A$2:$G$2628,7,0),"Validar HC")</f>
        <v>Validar HC</v>
      </c>
      <c r="H2637" s="165">
        <v>1423500.0</v>
      </c>
      <c r="I2637" s="1">
        <v>42.0</v>
      </c>
    </row>
    <row r="2638" ht="15.75" customHeight="1">
      <c r="A2638" s="1">
        <v>1969411.0</v>
      </c>
      <c r="B2638" s="1" t="s">
        <v>5862</v>
      </c>
      <c r="C2638" s="1" t="s">
        <v>5863</v>
      </c>
      <c r="D2638" s="1" t="s">
        <v>5856</v>
      </c>
      <c r="F2638" s="1" t="s">
        <v>6717</v>
      </c>
      <c r="G2638" s="1" t="str">
        <f>IFERROR(VLOOKUP(A2638,H_C!$A$2:$G$2628,7,0),"Validar HC")</f>
        <v>Validar HC</v>
      </c>
      <c r="H2638" s="165">
        <v>1423500.0</v>
      </c>
      <c r="I2638" s="1">
        <v>42.0</v>
      </c>
    </row>
    <row r="2639" ht="15.75" customHeight="1">
      <c r="A2639" s="1">
        <v>1983937.0</v>
      </c>
      <c r="B2639" s="1" t="s">
        <v>5816</v>
      </c>
      <c r="C2639" s="1" t="s">
        <v>5869</v>
      </c>
      <c r="D2639" s="1" t="s">
        <v>5868</v>
      </c>
      <c r="F2639" s="1" t="s">
        <v>6717</v>
      </c>
      <c r="G2639" s="1" t="str">
        <f>IFERROR(VLOOKUP(A2639,H_C!$A$2:$G$2628,7,0),"Validar HC")</f>
        <v>Validar HC</v>
      </c>
      <c r="H2639" s="165">
        <v>1423500.0</v>
      </c>
      <c r="I2639" s="1">
        <v>42.0</v>
      </c>
    </row>
    <row r="2640" ht="15.75" customHeight="1">
      <c r="A2640" s="1">
        <v>1983939.0</v>
      </c>
      <c r="B2640" s="1" t="s">
        <v>5865</v>
      </c>
      <c r="C2640" s="1" t="s">
        <v>5866</v>
      </c>
      <c r="D2640" s="1" t="s">
        <v>5809</v>
      </c>
      <c r="F2640" s="1" t="s">
        <v>6717</v>
      </c>
      <c r="G2640" s="1" t="str">
        <f>IFERROR(VLOOKUP(A2640,H_C!$A$2:$G$2628,7,0),"Validar HC")</f>
        <v>Validar HC</v>
      </c>
      <c r="H2640" s="165">
        <v>1423500.0</v>
      </c>
      <c r="I2640" s="1">
        <v>42.0</v>
      </c>
    </row>
    <row r="2641" ht="15.75" customHeight="1">
      <c r="A2641" s="1">
        <v>1986586.0</v>
      </c>
      <c r="B2641" s="1" t="s">
        <v>5976</v>
      </c>
      <c r="C2641" s="1" t="s">
        <v>5979</v>
      </c>
      <c r="D2641" s="1" t="s">
        <v>5978</v>
      </c>
      <c r="F2641" s="1" t="s">
        <v>6717</v>
      </c>
      <c r="G2641" s="1" t="str">
        <f>IFERROR(VLOOKUP(A2641,H_C!$A$2:$G$2628,7,0),"Validar HC")</f>
        <v>Validar HC</v>
      </c>
      <c r="H2641" s="165">
        <v>1423500.0</v>
      </c>
      <c r="I2641" s="1">
        <v>42.0</v>
      </c>
    </row>
    <row r="2642" ht="15.75" customHeight="1">
      <c r="A2642" s="1">
        <v>2014048.0</v>
      </c>
      <c r="B2642" s="1" t="s">
        <v>6046</v>
      </c>
      <c r="C2642" s="1" t="s">
        <v>3646</v>
      </c>
      <c r="D2642" s="1" t="s">
        <v>6097</v>
      </c>
      <c r="F2642" s="1" t="s">
        <v>6717</v>
      </c>
      <c r="G2642" s="1" t="str">
        <f>IFERROR(VLOOKUP(A2642,H_C!$A$2:$G$2628,7,0),"Validar HC")</f>
        <v>Validar HC</v>
      </c>
      <c r="H2642" s="165">
        <v>1423500.0</v>
      </c>
      <c r="I2642" s="1">
        <v>42.0</v>
      </c>
    </row>
    <row r="2643" ht="15.75" customHeight="1">
      <c r="A2643" s="1">
        <v>2030733.0</v>
      </c>
      <c r="B2643" s="1" t="s">
        <v>5807</v>
      </c>
      <c r="C2643" s="1" t="s">
        <v>5810</v>
      </c>
      <c r="D2643" s="1" t="s">
        <v>6712</v>
      </c>
      <c r="F2643" s="1" t="s">
        <v>6717</v>
      </c>
      <c r="G2643" s="1" t="str">
        <f>IFERROR(VLOOKUP(A2643,H_C!$A$2:$G$2628,7,0),"Validar HC")</f>
        <v>Validar HC</v>
      </c>
      <c r="H2643" s="165">
        <v>1423500.0</v>
      </c>
      <c r="I2643" s="1">
        <v>42.0</v>
      </c>
    </row>
    <row r="2644" ht="15.75" customHeight="1">
      <c r="A2644" s="1">
        <v>2046669.0</v>
      </c>
      <c r="B2644" s="1" t="s">
        <v>5831</v>
      </c>
      <c r="C2644" s="1" t="s">
        <v>5833</v>
      </c>
      <c r="D2644" s="1" t="s">
        <v>5809</v>
      </c>
      <c r="F2644" s="1" t="s">
        <v>6717</v>
      </c>
      <c r="G2644" s="1" t="str">
        <f>IFERROR(VLOOKUP(A2644,H_C!$A$2:$G$2628,7,0),"Validar HC")</f>
        <v>Validar HC</v>
      </c>
      <c r="H2644" s="165">
        <v>1423500.0</v>
      </c>
      <c r="I2644" s="1">
        <v>42.0</v>
      </c>
    </row>
    <row r="2645" ht="15.75" customHeight="1">
      <c r="A2645" s="1">
        <v>2052966.0</v>
      </c>
      <c r="B2645" s="1" t="s">
        <v>5839</v>
      </c>
      <c r="C2645" s="1" t="s">
        <v>5840</v>
      </c>
      <c r="D2645" s="1" t="s">
        <v>5809</v>
      </c>
      <c r="F2645" s="1" t="s">
        <v>6717</v>
      </c>
      <c r="G2645" s="1" t="str">
        <f>IFERROR(VLOOKUP(A2645,H_C!$A$2:$G$2628,7,0),"Validar HC")</f>
        <v>Validar HC</v>
      </c>
      <c r="H2645" s="165">
        <v>1423500.0</v>
      </c>
      <c r="I2645" s="1">
        <v>42.0</v>
      </c>
    </row>
    <row r="2646" ht="15.75" customHeight="1">
      <c r="A2646" s="1">
        <v>2080431.0</v>
      </c>
      <c r="B2646" s="1" t="s">
        <v>5845</v>
      </c>
      <c r="C2646" s="1" t="s">
        <v>3646</v>
      </c>
      <c r="D2646" s="1" t="s">
        <v>5847</v>
      </c>
      <c r="F2646" s="1" t="s">
        <v>6717</v>
      </c>
      <c r="G2646" s="1" t="str">
        <f>IFERROR(VLOOKUP(A2646,H_C!$A$2:$G$2628,7,0),"Validar HC")</f>
        <v>Validar HC</v>
      </c>
      <c r="H2646" s="165">
        <v>1423500.0</v>
      </c>
      <c r="I2646" s="1">
        <v>42.0</v>
      </c>
    </row>
    <row r="2647" ht="15.75" customHeight="1">
      <c r="A2647" s="1"/>
      <c r="B2647" s="1"/>
      <c r="C2647" s="1"/>
      <c r="D2647" s="1"/>
      <c r="E2647" s="1"/>
      <c r="F2647" s="1"/>
      <c r="G2647" s="1"/>
      <c r="H2647" s="162"/>
      <c r="I2647" s="1"/>
    </row>
    <row r="2648" ht="15.75" customHeight="1">
      <c r="A2648" s="1">
        <v>2099203.0</v>
      </c>
      <c r="B2648" s="1" t="s">
        <v>6149</v>
      </c>
      <c r="C2648" s="1" t="s">
        <v>6150</v>
      </c>
      <c r="D2648" s="1" t="s">
        <v>5809</v>
      </c>
      <c r="F2648" s="1" t="s">
        <v>6717</v>
      </c>
      <c r="G2648" s="1" t="str">
        <f>IFERROR(VLOOKUP(A2648,H_C!$A$2:$G$2628,7,0),"Validar HC")</f>
        <v>Validar HC</v>
      </c>
      <c r="H2648" s="165">
        <v>1423500.0</v>
      </c>
      <c r="I2648" s="1">
        <v>42.0</v>
      </c>
    </row>
    <row r="2649" ht="15.75" customHeight="1">
      <c r="A2649" s="1">
        <v>2116711.0</v>
      </c>
      <c r="B2649" s="1" t="s">
        <v>5871</v>
      </c>
      <c r="C2649" s="1" t="s">
        <v>5874</v>
      </c>
      <c r="D2649" s="1" t="s">
        <v>6714</v>
      </c>
      <c r="F2649" s="1" t="s">
        <v>6717</v>
      </c>
      <c r="G2649" s="1" t="str">
        <f>IFERROR(VLOOKUP(A2649,H_C!$A$2:$G$2628,7,0),"Validar HC")</f>
        <v>Validar HC</v>
      </c>
      <c r="H2649" s="165">
        <v>1423500.0</v>
      </c>
      <c r="I2649" s="1">
        <v>42.0</v>
      </c>
    </row>
    <row r="2650" ht="15.75" customHeight="1">
      <c r="A2650" s="1">
        <v>2127970.0</v>
      </c>
      <c r="B2650" s="1" t="s">
        <v>348</v>
      </c>
      <c r="C2650" s="1" t="s">
        <v>5921</v>
      </c>
      <c r="D2650" s="1" t="s">
        <v>6710</v>
      </c>
      <c r="F2650" s="1" t="s">
        <v>6717</v>
      </c>
      <c r="G2650" s="1" t="str">
        <f>IFERROR(VLOOKUP(A2650,H_C!$A$2:$G$2628,7,0),"Validar HC")</f>
        <v>Validar HC</v>
      </c>
      <c r="H2650" s="165">
        <v>1423500.0</v>
      </c>
      <c r="I2650" s="1">
        <v>42.0</v>
      </c>
    </row>
    <row r="2651" ht="15.75" customHeight="1">
      <c r="A2651" s="1">
        <v>2132340.0</v>
      </c>
      <c r="B2651" s="1" t="s">
        <v>326</v>
      </c>
      <c r="C2651" s="1" t="s">
        <v>6827</v>
      </c>
      <c r="D2651" s="1" t="s">
        <v>217</v>
      </c>
      <c r="F2651" s="1" t="s">
        <v>6717</v>
      </c>
      <c r="G2651" s="1" t="str">
        <f>IFERROR(VLOOKUP(A2651,H_C!$A$2:$G$2628,7,0),"Validar HC")</f>
        <v>Validar HC</v>
      </c>
      <c r="H2651" s="165">
        <v>1423500.0</v>
      </c>
      <c r="I2651" s="1">
        <v>42.0</v>
      </c>
    </row>
    <row r="2652" ht="15.75" customHeight="1">
      <c r="A2652" s="1">
        <v>2132347.0</v>
      </c>
      <c r="B2652" s="1" t="s">
        <v>5815</v>
      </c>
      <c r="C2652" s="1" t="s">
        <v>5817</v>
      </c>
      <c r="D2652" s="1" t="s">
        <v>6715</v>
      </c>
      <c r="F2652" s="1" t="s">
        <v>6717</v>
      </c>
      <c r="G2652" s="1" t="str">
        <f>IFERROR(VLOOKUP(A2652,H_C!$A$2:$G$2628,7,0),"Validar HC")</f>
        <v>Validar HC</v>
      </c>
      <c r="H2652" s="165">
        <v>1423500.0</v>
      </c>
      <c r="I2652" s="1">
        <v>42.0</v>
      </c>
    </row>
    <row r="2653" ht="15.75" customHeight="1">
      <c r="A2653" s="1">
        <v>2174473.0</v>
      </c>
      <c r="B2653" s="1" t="s">
        <v>6828</v>
      </c>
      <c r="C2653" s="1" t="s">
        <v>6829</v>
      </c>
      <c r="D2653" s="1" t="s">
        <v>5856</v>
      </c>
      <c r="F2653" s="1" t="s">
        <v>6717</v>
      </c>
      <c r="G2653" s="1" t="str">
        <f>IFERROR(VLOOKUP(A2653,H_C!$A$2:$G$2628,7,0),"Validar HC")</f>
        <v>Validar HC</v>
      </c>
      <c r="H2653" s="165">
        <v>1423500.0</v>
      </c>
      <c r="I2653" s="1">
        <v>42.0</v>
      </c>
    </row>
    <row r="2654" ht="15.75" customHeight="1">
      <c r="A2654" s="1">
        <v>2174883.0</v>
      </c>
      <c r="B2654" s="1" t="s">
        <v>5880</v>
      </c>
      <c r="C2654" s="1" t="s">
        <v>5883</v>
      </c>
      <c r="D2654" s="1" t="s">
        <v>6706</v>
      </c>
      <c r="F2654" s="1" t="s">
        <v>6717</v>
      </c>
      <c r="G2654" s="1" t="str">
        <f>IFERROR(VLOOKUP(A2654,H_C!$A$2:$G$2628,7,0),"Validar HC")</f>
        <v>Validar HC</v>
      </c>
      <c r="H2654" s="165">
        <v>1423500.0</v>
      </c>
      <c r="I2654" s="1">
        <v>42.0</v>
      </c>
    </row>
    <row r="2655" ht="15.75" customHeight="1">
      <c r="A2655" s="1">
        <v>2199205.0</v>
      </c>
      <c r="B2655" s="1" t="s">
        <v>5842</v>
      </c>
      <c r="C2655" s="1" t="s">
        <v>5843</v>
      </c>
      <c r="D2655" s="1" t="s">
        <v>5809</v>
      </c>
      <c r="F2655" s="1" t="s">
        <v>6717</v>
      </c>
      <c r="G2655" s="1" t="str">
        <f>IFERROR(VLOOKUP(A2655,H_C!$A$2:$G$2628,7,0),"Validar HC")</f>
        <v>Validar HC</v>
      </c>
      <c r="H2655" s="165">
        <v>1423500.0</v>
      </c>
      <c r="I2655" s="1">
        <v>42.0</v>
      </c>
    </row>
    <row r="2656" ht="15.75" customHeight="1">
      <c r="A2656" s="1">
        <v>2199229.0</v>
      </c>
      <c r="B2656" s="1" t="s">
        <v>5885</v>
      </c>
      <c r="C2656" s="1" t="s">
        <v>5886</v>
      </c>
      <c r="D2656" s="1" t="s">
        <v>6715</v>
      </c>
      <c r="F2656" s="1" t="s">
        <v>6717</v>
      </c>
      <c r="G2656" s="1" t="str">
        <f>IFERROR(VLOOKUP(A2656,H_C!$A$2:$G$2628,7,0),"Validar HC")</f>
        <v>Validar HC</v>
      </c>
      <c r="H2656" s="165">
        <v>1423500.0</v>
      </c>
      <c r="I2656" s="1">
        <v>42.0</v>
      </c>
      <c r="K2656" s="168">
        <f t="array" ref="K2656:K2662">UNIQUE(H4:H3083)</f>
        <v>1623501</v>
      </c>
    </row>
    <row r="2657" ht="15.75" customHeight="1">
      <c r="A2657" s="1">
        <v>2199230.0</v>
      </c>
      <c r="B2657" s="1" t="s">
        <v>5888</v>
      </c>
      <c r="C2657" s="1" t="s">
        <v>5890</v>
      </c>
      <c r="D2657" s="1" t="s">
        <v>6710</v>
      </c>
      <c r="F2657" s="1" t="s">
        <v>6717</v>
      </c>
      <c r="G2657" s="1" t="str">
        <f>IFERROR(VLOOKUP(A2657,H_C!$A$2:$G$2628,7,0),"Validar HC")</f>
        <v>Validar HC</v>
      </c>
      <c r="H2657" s="165">
        <v>1423500.0</v>
      </c>
      <c r="I2657" s="1">
        <v>42.0</v>
      </c>
      <c r="K2657" s="169">
        <v>1600000.0</v>
      </c>
    </row>
    <row r="2658" ht="15.75" customHeight="1">
      <c r="A2658" s="1">
        <v>2199231.0</v>
      </c>
      <c r="B2658" s="1" t="s">
        <v>679</v>
      </c>
      <c r="C2658" s="1" t="s">
        <v>5851</v>
      </c>
      <c r="D2658" s="1" t="s">
        <v>217</v>
      </c>
      <c r="F2658" s="1" t="s">
        <v>6717</v>
      </c>
      <c r="G2658" s="1" t="str">
        <f>IFERROR(VLOOKUP(A2658,H_C!$A$2:$G$2628,7,0),"Validar HC")</f>
        <v>Validar HC</v>
      </c>
      <c r="H2658" s="165">
        <v>1423500.0</v>
      </c>
      <c r="I2658" s="1">
        <v>42.0</v>
      </c>
      <c r="K2658" s="169">
        <v>1200000.0</v>
      </c>
    </row>
    <row r="2659" ht="15.75" customHeight="1">
      <c r="A2659" s="1">
        <v>2209132.0</v>
      </c>
      <c r="B2659" s="1" t="s">
        <v>5892</v>
      </c>
      <c r="C2659" s="1" t="s">
        <v>5894</v>
      </c>
      <c r="D2659" s="1" t="s">
        <v>5809</v>
      </c>
      <c r="F2659" s="1" t="s">
        <v>6717</v>
      </c>
      <c r="G2659" s="1" t="str">
        <f>IFERROR(VLOOKUP(A2659,H_C!$A$2:$G$2628,7,0),"Validar HC")</f>
        <v>Validar HC</v>
      </c>
      <c r="H2659" s="165">
        <v>1423500.0</v>
      </c>
      <c r="I2659" s="1">
        <v>42.0</v>
      </c>
      <c r="K2659" s="169">
        <v>1300000.0</v>
      </c>
    </row>
    <row r="2660" ht="15.75" customHeight="1">
      <c r="A2660" s="1">
        <v>2209469.0</v>
      </c>
      <c r="B2660" s="1" t="s">
        <v>6152</v>
      </c>
      <c r="C2660" s="1" t="s">
        <v>6153</v>
      </c>
      <c r="D2660" s="1" t="s">
        <v>6716</v>
      </c>
      <c r="F2660" s="1" t="s">
        <v>6717</v>
      </c>
      <c r="G2660" s="1" t="str">
        <f>IFERROR(VLOOKUP(A2660,H_C!$A$2:$G$2628,7,0),"Validar HC")</f>
        <v>Validar HC</v>
      </c>
      <c r="H2660" s="165">
        <v>1423500.0</v>
      </c>
      <c r="I2660" s="1">
        <v>42.0</v>
      </c>
      <c r="K2660" s="169"/>
    </row>
    <row r="2661" ht="15.75" customHeight="1">
      <c r="A2661" s="1">
        <v>2217375.0</v>
      </c>
      <c r="B2661" s="1" t="s">
        <v>5899</v>
      </c>
      <c r="C2661" s="1" t="s">
        <v>5900</v>
      </c>
      <c r="D2661" s="1" t="s">
        <v>5809</v>
      </c>
      <c r="F2661" s="1" t="s">
        <v>6717</v>
      </c>
      <c r="G2661" s="1" t="str">
        <f>IFERROR(VLOOKUP(A2661,H_C!$A$2:$G$2628,7,0),"Validar HC")</f>
        <v>Validar HC</v>
      </c>
      <c r="H2661" s="165">
        <v>1423500.0</v>
      </c>
      <c r="I2661" s="1">
        <v>42.0</v>
      </c>
      <c r="K2661" s="169">
        <v>2200286.0</v>
      </c>
    </row>
    <row r="2662" ht="15.75" customHeight="1">
      <c r="A2662" s="1">
        <v>2218919.0</v>
      </c>
      <c r="B2662" s="1" t="s">
        <v>5896</v>
      </c>
      <c r="C2662" s="1" t="s">
        <v>5897</v>
      </c>
      <c r="D2662" s="1" t="s">
        <v>5809</v>
      </c>
      <c r="F2662" s="1" t="s">
        <v>6717</v>
      </c>
      <c r="G2662" s="1" t="str">
        <f>IFERROR(VLOOKUP(A2662,H_C!$A$2:$G$2628,7,0),"Validar HC")</f>
        <v>Validar HC</v>
      </c>
      <c r="H2662" s="165">
        <v>1423500.0</v>
      </c>
      <c r="I2662" s="1">
        <v>42.0</v>
      </c>
      <c r="K2662" s="169">
        <v>1423500.0</v>
      </c>
    </row>
    <row r="2663" ht="15.75" customHeight="1">
      <c r="A2663" s="1">
        <v>2259300.0</v>
      </c>
      <c r="B2663" s="1" t="s">
        <v>5893</v>
      </c>
      <c r="C2663" s="1" t="s">
        <v>5904</v>
      </c>
      <c r="D2663" s="1" t="s">
        <v>5868</v>
      </c>
      <c r="F2663" s="1" t="s">
        <v>6717</v>
      </c>
      <c r="G2663" s="1" t="str">
        <f>IFERROR(VLOOKUP(A2663,H_C!$A$2:$G$2628,7,0),"Validar HC")</f>
        <v>Validar HC</v>
      </c>
      <c r="H2663" s="165">
        <v>1423500.0</v>
      </c>
      <c r="I2663" s="1">
        <v>42.0</v>
      </c>
    </row>
    <row r="2664" ht="15.75" customHeight="1">
      <c r="A2664" s="1">
        <v>2262565.0</v>
      </c>
      <c r="B2664" s="1" t="s">
        <v>5881</v>
      </c>
      <c r="C2664" s="1" t="s">
        <v>5902</v>
      </c>
      <c r="D2664" s="1" t="s">
        <v>6710</v>
      </c>
      <c r="F2664" s="1" t="s">
        <v>6717</v>
      </c>
      <c r="G2664" s="1" t="str">
        <f>IFERROR(VLOOKUP(A2664,H_C!$A$2:$G$2628,7,0),"Validar HC")</f>
        <v>Validar HC</v>
      </c>
      <c r="H2664" s="165">
        <v>1423500.0</v>
      </c>
      <c r="I2664" s="1">
        <v>42.0</v>
      </c>
    </row>
    <row r="2665" ht="15.75" customHeight="1">
      <c r="A2665" s="1">
        <v>2268906.0</v>
      </c>
      <c r="B2665" s="1" t="s">
        <v>698</v>
      </c>
      <c r="C2665" s="1" t="s">
        <v>6180</v>
      </c>
      <c r="D2665" s="1" t="s">
        <v>217</v>
      </c>
      <c r="F2665" s="1" t="s">
        <v>6717</v>
      </c>
      <c r="G2665" s="1" t="str">
        <f>IFERROR(VLOOKUP(A2665,H_C!$A$2:$G$2628,7,0),"Validar HC")</f>
        <v>Validar HC</v>
      </c>
      <c r="H2665" s="165">
        <v>1423500.0</v>
      </c>
      <c r="I2665" s="1">
        <v>42.0</v>
      </c>
    </row>
    <row r="2666" ht="15.75" customHeight="1">
      <c r="A2666" s="1">
        <v>2271030.0</v>
      </c>
      <c r="B2666" s="1" t="s">
        <v>5906</v>
      </c>
      <c r="C2666" s="1" t="s">
        <v>5907</v>
      </c>
      <c r="D2666" s="1" t="s">
        <v>5809</v>
      </c>
      <c r="F2666" s="1" t="s">
        <v>6717</v>
      </c>
      <c r="G2666" s="1" t="str">
        <f>IFERROR(VLOOKUP(A2666,H_C!$A$2:$G$2628,7,0),"Validar HC")</f>
        <v>Validar HC</v>
      </c>
      <c r="H2666" s="165">
        <v>1423500.0</v>
      </c>
      <c r="I2666" s="1">
        <v>42.0</v>
      </c>
    </row>
    <row r="2667" ht="15.75" customHeight="1">
      <c r="A2667" s="1">
        <v>2275701.0</v>
      </c>
      <c r="B2667" s="1" t="s">
        <v>6397</v>
      </c>
      <c r="C2667" s="1" t="s">
        <v>3646</v>
      </c>
      <c r="D2667" s="1" t="s">
        <v>6427</v>
      </c>
      <c r="F2667" s="1" t="s">
        <v>6717</v>
      </c>
      <c r="G2667" s="1" t="str">
        <f>IFERROR(VLOOKUP(A2667,H_C!$A$2:$G$2628,7,0),"Validar HC")</f>
        <v>Validar HC</v>
      </c>
      <c r="H2667" s="165">
        <v>1423500.0</v>
      </c>
      <c r="I2667" s="1">
        <v>42.0</v>
      </c>
    </row>
    <row r="2668" ht="15.75" customHeight="1">
      <c r="A2668" s="1">
        <v>2275824.0</v>
      </c>
      <c r="B2668" s="1" t="s">
        <v>5909</v>
      </c>
      <c r="C2668" s="1" t="s">
        <v>5910</v>
      </c>
      <c r="D2668" s="1" t="s">
        <v>6706</v>
      </c>
      <c r="F2668" s="1" t="s">
        <v>6717</v>
      </c>
      <c r="G2668" s="1" t="str">
        <f>IFERROR(VLOOKUP(A2668,H_C!$A$2:$G$2628,7,0),"Validar HC")</f>
        <v>Validar HC</v>
      </c>
      <c r="H2668" s="165">
        <v>1423500.0</v>
      </c>
      <c r="I2668" s="1">
        <v>42.0</v>
      </c>
    </row>
    <row r="2669" ht="15.75" customHeight="1">
      <c r="A2669" s="1">
        <v>2276074.0</v>
      </c>
      <c r="B2669" s="1" t="s">
        <v>6830</v>
      </c>
      <c r="C2669" s="1" t="s">
        <v>6831</v>
      </c>
      <c r="D2669" s="1" t="s">
        <v>6712</v>
      </c>
      <c r="F2669" s="1" t="s">
        <v>6717</v>
      </c>
      <c r="G2669" s="1" t="str">
        <f>IFERROR(VLOOKUP(A2669,H_C!$A$2:$G$2628,7,0),"Validar HC")</f>
        <v>Validar HC</v>
      </c>
      <c r="H2669" s="165">
        <v>1423500.0</v>
      </c>
      <c r="I2669" s="1">
        <v>42.0</v>
      </c>
    </row>
    <row r="2670" ht="15.75" customHeight="1">
      <c r="A2670" s="1">
        <v>2292975.0</v>
      </c>
      <c r="B2670" s="1" t="s">
        <v>5916</v>
      </c>
      <c r="C2670" s="1" t="s">
        <v>5917</v>
      </c>
      <c r="D2670" s="1" t="s">
        <v>5809</v>
      </c>
      <c r="F2670" s="1" t="s">
        <v>6717</v>
      </c>
      <c r="G2670" s="1" t="str">
        <f>IFERROR(VLOOKUP(A2670,H_C!$A$2:$G$2628,7,0),"Validar HC")</f>
        <v>Validar HC</v>
      </c>
      <c r="H2670" s="165">
        <v>1423500.0</v>
      </c>
      <c r="I2670" s="1">
        <v>42.0</v>
      </c>
    </row>
    <row r="2671" ht="15.75" customHeight="1">
      <c r="A2671" s="1">
        <v>2294802.0</v>
      </c>
      <c r="B2671" s="1" t="s">
        <v>6832</v>
      </c>
      <c r="C2671" s="1" t="s">
        <v>6833</v>
      </c>
      <c r="D2671" s="1" t="s">
        <v>5809</v>
      </c>
      <c r="F2671" s="1" t="s">
        <v>6717</v>
      </c>
      <c r="G2671" s="1" t="str">
        <f>IFERROR(VLOOKUP(A2671,H_C!$A$2:$G$2628,7,0),"Validar HC")</f>
        <v>Validar HC</v>
      </c>
      <c r="H2671" s="165">
        <v>1423500.0</v>
      </c>
      <c r="I2671" s="1">
        <v>42.0</v>
      </c>
    </row>
    <row r="2672" ht="15.75" customHeight="1">
      <c r="A2672" s="1">
        <v>2305428.0</v>
      </c>
      <c r="B2672" s="1" t="s">
        <v>6198</v>
      </c>
      <c r="C2672" s="1" t="s">
        <v>6199</v>
      </c>
      <c r="D2672" s="1" t="s">
        <v>6706</v>
      </c>
      <c r="F2672" s="1" t="s">
        <v>6717</v>
      </c>
      <c r="G2672" s="1" t="str">
        <f>IFERROR(VLOOKUP(A2672,H_C!$A$2:$G$2628,7,0),"Validar HC")</f>
        <v>Validar HC</v>
      </c>
      <c r="H2672" s="165">
        <v>1423500.0</v>
      </c>
      <c r="I2672" s="1">
        <v>42.0</v>
      </c>
    </row>
    <row r="2673" ht="15.75" customHeight="1">
      <c r="A2673" s="1"/>
      <c r="B2673" s="1"/>
      <c r="C2673" s="1"/>
      <c r="D2673" s="1"/>
      <c r="E2673" s="25"/>
      <c r="F2673" s="1"/>
      <c r="G2673" s="1"/>
      <c r="H2673" s="162"/>
      <c r="I2673" s="1"/>
    </row>
    <row r="2674" ht="15.75" customHeight="1">
      <c r="A2674" s="1">
        <v>2310317.0</v>
      </c>
      <c r="B2674" s="1" t="s">
        <v>5912</v>
      </c>
      <c r="C2674" s="1" t="s">
        <v>5914</v>
      </c>
      <c r="D2674" s="1" t="s">
        <v>6719</v>
      </c>
      <c r="F2674" s="1" t="s">
        <v>6717</v>
      </c>
      <c r="G2674" s="1" t="str">
        <f>IFERROR(VLOOKUP(A2674,H_C!$A$2:$G$2628,7,0),"Validar HC")</f>
        <v>Validar HC</v>
      </c>
      <c r="H2674" s="165">
        <v>1423500.0</v>
      </c>
      <c r="I2674" s="1">
        <v>42.0</v>
      </c>
    </row>
    <row r="2675" ht="15.75" customHeight="1">
      <c r="A2675" s="1">
        <v>2312976.0</v>
      </c>
      <c r="B2675" s="1" t="s">
        <v>6834</v>
      </c>
      <c r="C2675" s="1" t="s">
        <v>6835</v>
      </c>
      <c r="D2675" s="1" t="s">
        <v>6715</v>
      </c>
      <c r="F2675" s="1" t="s">
        <v>6717</v>
      </c>
      <c r="G2675" s="1" t="str">
        <f>IFERROR(VLOOKUP(A2675,H_C!$A$2:$G$2628,7,0),"Validar HC")</f>
        <v>Validar HC</v>
      </c>
      <c r="H2675" s="165">
        <v>1423500.0</v>
      </c>
      <c r="I2675" s="1">
        <v>42.0</v>
      </c>
    </row>
    <row r="2676" ht="15.75" customHeight="1">
      <c r="A2676" s="1">
        <v>2346422.0</v>
      </c>
      <c r="B2676" s="1" t="s">
        <v>242</v>
      </c>
      <c r="C2676" s="1" t="s">
        <v>6836</v>
      </c>
      <c r="D2676" s="1" t="s">
        <v>217</v>
      </c>
      <c r="E2676" s="1" t="s">
        <v>841</v>
      </c>
      <c r="F2676" s="1" t="s">
        <v>6717</v>
      </c>
      <c r="G2676" s="1" t="str">
        <f>IFERROR(VLOOKUP(A2676,H_C!$A$2:$G$2628,7,0),"Validar HC")</f>
        <v>Validar HC</v>
      </c>
      <c r="H2676" s="165">
        <v>1423500.0</v>
      </c>
      <c r="I2676" s="1">
        <v>42.0</v>
      </c>
    </row>
    <row r="2677" ht="15.75" customHeight="1">
      <c r="A2677" s="1">
        <v>2359405.0</v>
      </c>
      <c r="B2677" s="1" t="s">
        <v>541</v>
      </c>
      <c r="C2677" s="1" t="s">
        <v>5919</v>
      </c>
      <c r="D2677" s="1" t="s">
        <v>218</v>
      </c>
      <c r="F2677" s="1" t="s">
        <v>6717</v>
      </c>
      <c r="G2677" s="1" t="str">
        <f>IFERROR(VLOOKUP(A2677,H_C!$A$2:$G$2628,7,0),"Validar HC")</f>
        <v>Validar HC</v>
      </c>
      <c r="H2677" s="165">
        <v>1423500.0</v>
      </c>
      <c r="I2677" s="1">
        <v>42.0</v>
      </c>
    </row>
    <row r="2678" ht="15.75" customHeight="1">
      <c r="A2678" s="1">
        <v>2365143.0</v>
      </c>
      <c r="B2678" s="1" t="s">
        <v>6837</v>
      </c>
      <c r="C2678" s="1" t="s">
        <v>6838</v>
      </c>
      <c r="D2678" s="1" t="s">
        <v>6714</v>
      </c>
      <c r="F2678" s="1" t="s">
        <v>6717</v>
      </c>
      <c r="G2678" s="1" t="str">
        <f>IFERROR(VLOOKUP(A2678,H_C!$A$2:$G$2628,7,0),"Validar HC")</f>
        <v>Validar HC</v>
      </c>
      <c r="H2678" s="165">
        <v>1423500.0</v>
      </c>
      <c r="I2678" s="1">
        <v>42.0</v>
      </c>
    </row>
    <row r="2679" ht="15.75" customHeight="1">
      <c r="A2679" s="1">
        <v>2366744.0</v>
      </c>
      <c r="B2679" s="1" t="s">
        <v>6275</v>
      </c>
      <c r="C2679" s="1" t="s">
        <v>6276</v>
      </c>
      <c r="D2679" s="1" t="s">
        <v>6721</v>
      </c>
      <c r="F2679" s="1" t="s">
        <v>6717</v>
      </c>
      <c r="G2679" s="1" t="str">
        <f>IFERROR(VLOOKUP(A2679,H_C!$A$2:$G$2628,7,0),"Validar HC")</f>
        <v>Validar HC</v>
      </c>
      <c r="H2679" s="165">
        <v>1423500.0</v>
      </c>
      <c r="I2679" s="1">
        <v>42.0</v>
      </c>
    </row>
    <row r="2680" ht="15.75" customHeight="1">
      <c r="A2680" s="1">
        <v>2372744.0</v>
      </c>
      <c r="B2680" s="1" t="s">
        <v>6177</v>
      </c>
      <c r="C2680" s="1" t="s">
        <v>6178</v>
      </c>
      <c r="D2680" s="1" t="s">
        <v>6706</v>
      </c>
      <c r="F2680" s="1" t="s">
        <v>6717</v>
      </c>
      <c r="G2680" s="1" t="str">
        <f>IFERROR(VLOOKUP(A2680,H_C!$A$2:$G$2628,7,0),"Validar HC")</f>
        <v>Validar HC</v>
      </c>
      <c r="H2680" s="165">
        <v>1423500.0</v>
      </c>
      <c r="I2680" s="1">
        <v>42.0</v>
      </c>
    </row>
    <row r="2681" ht="15.75" customHeight="1">
      <c r="A2681" s="1">
        <v>2382159.0</v>
      </c>
      <c r="B2681" s="1" t="s">
        <v>293</v>
      </c>
      <c r="C2681" s="1" t="s">
        <v>5962</v>
      </c>
      <c r="D2681" s="1" t="s">
        <v>217</v>
      </c>
      <c r="F2681" s="1" t="s">
        <v>6717</v>
      </c>
      <c r="G2681" s="1" t="str">
        <f>IFERROR(VLOOKUP(A2681,H_C!$A$2:$G$2628,7,0),"Validar HC")</f>
        <v>Validar HC</v>
      </c>
      <c r="H2681" s="165">
        <v>1423500.0</v>
      </c>
      <c r="I2681" s="1">
        <v>42.0</v>
      </c>
    </row>
    <row r="2682" ht="15.75" customHeight="1">
      <c r="A2682" s="1">
        <v>2401276.0</v>
      </c>
      <c r="B2682" s="1" t="s">
        <v>6195</v>
      </c>
      <c r="C2682" s="1" t="s">
        <v>6196</v>
      </c>
      <c r="D2682" s="1" t="s">
        <v>6710</v>
      </c>
      <c r="F2682" s="1" t="s">
        <v>6717</v>
      </c>
      <c r="G2682" s="1" t="str">
        <f>IFERROR(VLOOKUP(A2682,H_C!$A$2:$G$2628,7,0),"Validar HC")</f>
        <v>Validar HC</v>
      </c>
      <c r="H2682" s="165">
        <v>1423500.0</v>
      </c>
      <c r="I2682" s="1">
        <v>42.0</v>
      </c>
    </row>
    <row r="2683" ht="15.75" customHeight="1">
      <c r="A2683" s="1">
        <v>2413230.0</v>
      </c>
      <c r="B2683" s="1" t="s">
        <v>6401</v>
      </c>
      <c r="C2683" s="1" t="s">
        <v>6402</v>
      </c>
      <c r="D2683" s="1" t="s">
        <v>6706</v>
      </c>
      <c r="F2683" s="1" t="s">
        <v>6717</v>
      </c>
      <c r="G2683" s="1" t="str">
        <f>IFERROR(VLOOKUP(A2683,H_C!$A$2:$G$2628,7,0),"Validar HC")</f>
        <v>Validar HC</v>
      </c>
      <c r="H2683" s="165">
        <v>1423500.0</v>
      </c>
      <c r="I2683" s="1">
        <v>42.0</v>
      </c>
    </row>
    <row r="2684" ht="15.75" customHeight="1">
      <c r="A2684" s="1">
        <v>2438499.0</v>
      </c>
      <c r="B2684" s="1" t="s">
        <v>319</v>
      </c>
      <c r="C2684" s="1" t="s">
        <v>6193</v>
      </c>
      <c r="D2684" s="1" t="s">
        <v>5797</v>
      </c>
      <c r="F2684" s="1" t="s">
        <v>6717</v>
      </c>
      <c r="G2684" s="1" t="str">
        <f>IFERROR(VLOOKUP(A2684,H_C!$A$2:$G$2628,7,0),"Validar HC")</f>
        <v>Validar HC</v>
      </c>
      <c r="H2684" s="165">
        <v>1423500.0</v>
      </c>
      <c r="I2684" s="1">
        <v>42.0</v>
      </c>
    </row>
    <row r="2685" ht="15.75" customHeight="1">
      <c r="A2685" s="1">
        <v>2452286.0</v>
      </c>
      <c r="B2685" s="1" t="s">
        <v>421</v>
      </c>
      <c r="C2685" s="1" t="s">
        <v>6839</v>
      </c>
      <c r="D2685" s="1" t="s">
        <v>217</v>
      </c>
      <c r="F2685" s="1" t="s">
        <v>6717</v>
      </c>
      <c r="G2685" s="1" t="str">
        <f>IFERROR(VLOOKUP(A2685,H_C!$A$2:$G$2628,7,0),"Validar HC")</f>
        <v>Validar HC</v>
      </c>
      <c r="H2685" s="165">
        <v>1423500.0</v>
      </c>
      <c r="I2685" s="1">
        <v>42.0</v>
      </c>
    </row>
    <row r="2686" ht="15.75" customHeight="1">
      <c r="A2686" s="1">
        <v>2463460.0</v>
      </c>
      <c r="B2686" s="1" t="s">
        <v>5925</v>
      </c>
      <c r="C2686" s="1" t="s">
        <v>5926</v>
      </c>
      <c r="D2686" s="1" t="s">
        <v>5809</v>
      </c>
      <c r="F2686" s="1" t="s">
        <v>6717</v>
      </c>
      <c r="G2686" s="1" t="str">
        <f>IFERROR(VLOOKUP(A2686,H_C!$A$2:$G$2628,7,0),"Validar HC")</f>
        <v>Validar HC</v>
      </c>
      <c r="H2686" s="165">
        <v>1423500.0</v>
      </c>
      <c r="I2686" s="1">
        <v>42.0</v>
      </c>
    </row>
    <row r="2687" ht="15.75" customHeight="1">
      <c r="A2687" s="1">
        <v>2470519.0</v>
      </c>
      <c r="B2687" s="1" t="s">
        <v>5934</v>
      </c>
      <c r="C2687" s="1" t="s">
        <v>5935</v>
      </c>
      <c r="D2687" s="1" t="s">
        <v>6714</v>
      </c>
      <c r="F2687" s="1" t="s">
        <v>6717</v>
      </c>
      <c r="G2687" s="1" t="str">
        <f>IFERROR(VLOOKUP(A2687,H_C!$A$2:$G$2628,7,0),"Validar HC")</f>
        <v>Validar HC</v>
      </c>
      <c r="H2687" s="165">
        <v>1423500.0</v>
      </c>
      <c r="I2687" s="1">
        <v>42.0</v>
      </c>
    </row>
    <row r="2688" ht="15.75" customHeight="1">
      <c r="A2688" s="1">
        <v>2474040.0</v>
      </c>
      <c r="B2688" s="1" t="s">
        <v>5931</v>
      </c>
      <c r="C2688" s="1" t="s">
        <v>5932</v>
      </c>
      <c r="D2688" s="1" t="s">
        <v>5809</v>
      </c>
      <c r="F2688" s="1" t="s">
        <v>6717</v>
      </c>
      <c r="G2688" s="1" t="str">
        <f>IFERROR(VLOOKUP(A2688,H_C!$A$2:$G$2628,7,0),"Validar HC")</f>
        <v>Validar HC</v>
      </c>
      <c r="H2688" s="165">
        <v>1423500.0</v>
      </c>
      <c r="I2688" s="1">
        <v>42.0</v>
      </c>
    </row>
    <row r="2689" ht="15.75" customHeight="1">
      <c r="A2689" s="1">
        <v>2475018.0</v>
      </c>
      <c r="B2689" s="1" t="s">
        <v>1525</v>
      </c>
      <c r="C2689" s="1" t="s">
        <v>5929</v>
      </c>
      <c r="D2689" s="1" t="s">
        <v>5928</v>
      </c>
      <c r="F2689" s="1" t="s">
        <v>6717</v>
      </c>
      <c r="G2689" s="1" t="str">
        <f>IFERROR(VLOOKUP(A2689,H_C!$A$2:$G$2628,7,0),"Validar HC")</f>
        <v>Validar HC</v>
      </c>
      <c r="H2689" s="165">
        <v>1423500.0</v>
      </c>
      <c r="I2689" s="1">
        <v>42.0</v>
      </c>
    </row>
    <row r="2690" ht="15.75" customHeight="1">
      <c r="A2690" s="1">
        <v>2493672.0</v>
      </c>
      <c r="B2690" s="1" t="s">
        <v>540</v>
      </c>
      <c r="C2690" s="1" t="s">
        <v>5940</v>
      </c>
      <c r="D2690" s="1" t="s">
        <v>217</v>
      </c>
      <c r="F2690" s="1" t="s">
        <v>6717</v>
      </c>
      <c r="G2690" s="1" t="str">
        <f>IFERROR(VLOOKUP(A2690,H_C!$A$2:$G$2628,7,0),"Validar HC")</f>
        <v>Validar HC</v>
      </c>
      <c r="H2690" s="165">
        <v>1423500.0</v>
      </c>
      <c r="I2690" s="1">
        <v>42.0</v>
      </c>
    </row>
    <row r="2691" ht="15.75" customHeight="1">
      <c r="A2691" s="1">
        <v>2495366.0</v>
      </c>
      <c r="B2691" s="1" t="s">
        <v>5937</v>
      </c>
      <c r="C2691" s="1" t="s">
        <v>5938</v>
      </c>
      <c r="D2691" s="1" t="s">
        <v>6715</v>
      </c>
      <c r="F2691" s="1" t="s">
        <v>6717</v>
      </c>
      <c r="G2691" s="1" t="str">
        <f>IFERROR(VLOOKUP(A2691,H_C!$A$2:$G$2628,7,0),"Validar HC")</f>
        <v>Validar HC</v>
      </c>
      <c r="H2691" s="165">
        <v>1423500.0</v>
      </c>
      <c r="I2691" s="1">
        <v>42.0</v>
      </c>
    </row>
    <row r="2692" ht="15.75" customHeight="1">
      <c r="A2692" s="1">
        <v>2502250.0</v>
      </c>
      <c r="B2692" s="1" t="s">
        <v>5945</v>
      </c>
      <c r="C2692" s="1" t="s">
        <v>5946</v>
      </c>
      <c r="D2692" s="1" t="s">
        <v>6710</v>
      </c>
      <c r="F2692" s="1" t="s">
        <v>6717</v>
      </c>
      <c r="G2692" s="1" t="str">
        <f>IFERROR(VLOOKUP(A2692,H_C!$A$2:$G$2628,7,0),"Validar HC")</f>
        <v>Validar HC</v>
      </c>
      <c r="H2692" s="165">
        <v>1423500.0</v>
      </c>
      <c r="I2692" s="1">
        <v>42.0</v>
      </c>
    </row>
    <row r="2693" ht="15.75" customHeight="1">
      <c r="A2693" s="1">
        <v>2502361.0</v>
      </c>
      <c r="B2693" s="1" t="s">
        <v>3456</v>
      </c>
      <c r="C2693" s="1" t="s">
        <v>5943</v>
      </c>
      <c r="D2693" s="1" t="s">
        <v>5942</v>
      </c>
      <c r="F2693" s="1" t="s">
        <v>6717</v>
      </c>
      <c r="G2693" s="1" t="str">
        <f>IFERROR(VLOOKUP(A2693,H_C!$A$2:$G$2628,7,0),"Validar HC")</f>
        <v>Validar HC</v>
      </c>
      <c r="H2693" s="165">
        <v>1423500.0</v>
      </c>
      <c r="I2693" s="1">
        <v>42.0</v>
      </c>
    </row>
    <row r="2694" ht="15.75" customHeight="1">
      <c r="A2694" s="1">
        <v>2508542.0</v>
      </c>
      <c r="B2694" s="1" t="s">
        <v>6021</v>
      </c>
      <c r="C2694" s="1" t="s">
        <v>6022</v>
      </c>
      <c r="D2694" s="1" t="s">
        <v>6714</v>
      </c>
      <c r="F2694" s="1" t="s">
        <v>6717</v>
      </c>
      <c r="G2694" s="1" t="str">
        <f>IFERROR(VLOOKUP(A2694,H_C!$A$2:$G$2628,7,0),"Validar HC")</f>
        <v>Validar HC</v>
      </c>
      <c r="H2694" s="165">
        <v>1423500.0</v>
      </c>
      <c r="I2694" s="1">
        <v>42.0</v>
      </c>
    </row>
    <row r="2695" ht="15.75" customHeight="1">
      <c r="A2695" s="1">
        <v>2545331.0</v>
      </c>
      <c r="B2695" s="1" t="s">
        <v>6144</v>
      </c>
      <c r="C2695" s="1" t="s">
        <v>6145</v>
      </c>
      <c r="D2695" s="1" t="s">
        <v>6714</v>
      </c>
      <c r="F2695" s="1" t="s">
        <v>6717</v>
      </c>
      <c r="G2695" s="1" t="str">
        <f>IFERROR(VLOOKUP(A2695,H_C!$A$2:$G$2628,7,0),"Validar HC")</f>
        <v>Validar HC</v>
      </c>
      <c r="H2695" s="165">
        <v>1423500.0</v>
      </c>
      <c r="I2695" s="1">
        <v>42.0</v>
      </c>
    </row>
    <row r="2696" ht="15.75" customHeight="1">
      <c r="A2696" s="1">
        <v>2579210.0</v>
      </c>
      <c r="B2696" s="1" t="s">
        <v>5948</v>
      </c>
      <c r="C2696" s="1" t="s">
        <v>5949</v>
      </c>
      <c r="D2696" s="1" t="s">
        <v>5809</v>
      </c>
      <c r="F2696" s="1" t="s">
        <v>6717</v>
      </c>
      <c r="G2696" s="1" t="str">
        <f>IFERROR(VLOOKUP(A2696,H_C!$A$2:$G$2628,7,0),"Validar HC")</f>
        <v>Validar HC</v>
      </c>
      <c r="H2696" s="165">
        <v>1423500.0</v>
      </c>
      <c r="I2696" s="1">
        <v>42.0</v>
      </c>
    </row>
    <row r="2697" ht="15.75" customHeight="1">
      <c r="A2697" s="1">
        <v>2582553.0</v>
      </c>
      <c r="B2697" s="1" t="s">
        <v>6155</v>
      </c>
      <c r="C2697" s="1" t="s">
        <v>6156</v>
      </c>
      <c r="D2697" s="1" t="s">
        <v>5809</v>
      </c>
      <c r="F2697" s="1" t="s">
        <v>6717</v>
      </c>
      <c r="G2697" s="1" t="str">
        <f>IFERROR(VLOOKUP(A2697,H_C!$A$2:$G$2628,7,0),"Validar HC")</f>
        <v>Validar HC</v>
      </c>
      <c r="H2697" s="165">
        <v>1423500.0</v>
      </c>
      <c r="I2697" s="1">
        <v>42.0</v>
      </c>
    </row>
    <row r="2698" ht="15.75" customHeight="1">
      <c r="A2698" s="1">
        <v>2618473.0</v>
      </c>
      <c r="B2698" s="1" t="s">
        <v>6112</v>
      </c>
      <c r="C2698" s="1" t="s">
        <v>6113</v>
      </c>
      <c r="D2698" s="1" t="s">
        <v>5809</v>
      </c>
      <c r="F2698" s="1" t="s">
        <v>6717</v>
      </c>
      <c r="G2698" s="1" t="str">
        <f>IFERROR(VLOOKUP(A2698,H_C!$A$2:$G$2628,7,0),"Validar HC")</f>
        <v>Validar HC</v>
      </c>
      <c r="H2698" s="165">
        <v>1423500.0</v>
      </c>
      <c r="I2698" s="1">
        <v>42.0</v>
      </c>
    </row>
    <row r="2699" ht="15.75" customHeight="1">
      <c r="A2699" s="1">
        <v>2618504.0</v>
      </c>
      <c r="B2699" s="1" t="s">
        <v>3641</v>
      </c>
      <c r="C2699" s="1" t="s">
        <v>5857</v>
      </c>
      <c r="D2699" s="1" t="s">
        <v>6005</v>
      </c>
      <c r="F2699" s="1" t="s">
        <v>6717</v>
      </c>
      <c r="G2699" s="1" t="str">
        <f>IFERROR(VLOOKUP(A2699,H_C!$A$2:$G$2628,7,0),"Validar HC")</f>
        <v>Validar HC</v>
      </c>
      <c r="H2699" s="165">
        <v>1423500.0</v>
      </c>
      <c r="I2699" s="1">
        <v>42.0</v>
      </c>
    </row>
    <row r="2700" ht="15.75" customHeight="1">
      <c r="A2700" s="1">
        <v>2635339.0</v>
      </c>
      <c r="B2700" s="1" t="s">
        <v>6840</v>
      </c>
      <c r="C2700" s="1" t="s">
        <v>6841</v>
      </c>
      <c r="D2700" s="1" t="s">
        <v>5856</v>
      </c>
      <c r="F2700" s="1" t="s">
        <v>6717</v>
      </c>
      <c r="G2700" s="1" t="str">
        <f>IFERROR(VLOOKUP(A2700,H_C!$A$2:$G$2628,7,0),"Validar HC")</f>
        <v>Validar HC</v>
      </c>
      <c r="H2700" s="165">
        <v>1423500.0</v>
      </c>
      <c r="I2700" s="1">
        <v>42.0</v>
      </c>
    </row>
    <row r="2701" ht="15.75" customHeight="1">
      <c r="A2701" s="1">
        <v>2640943.0</v>
      </c>
      <c r="B2701" s="1" t="s">
        <v>6595</v>
      </c>
      <c r="C2701" s="1" t="s">
        <v>6597</v>
      </c>
      <c r="D2701" s="1" t="s">
        <v>6563</v>
      </c>
      <c r="F2701" s="1" t="s">
        <v>6717</v>
      </c>
      <c r="G2701" s="1" t="str">
        <f>IFERROR(VLOOKUP(A2701,H_C!$A$2:$G$2628,7,0),"Validar HC")</f>
        <v>Validar HC</v>
      </c>
      <c r="H2701" s="165">
        <v>1423500.0</v>
      </c>
      <c r="I2701" s="1">
        <v>42.0</v>
      </c>
    </row>
    <row r="2702" ht="15.75" customHeight="1">
      <c r="A2702" s="1">
        <v>2774916.0</v>
      </c>
      <c r="B2702" s="1" t="s">
        <v>6171</v>
      </c>
      <c r="C2702" s="1" t="s">
        <v>6172</v>
      </c>
      <c r="D2702" s="1" t="s">
        <v>6498</v>
      </c>
      <c r="E2702" s="25" t="s">
        <v>10</v>
      </c>
      <c r="F2702" s="1" t="s">
        <v>6717</v>
      </c>
      <c r="G2702" s="1" t="str">
        <f>IFERROR(VLOOKUP(A2702,H_C!$A$2:$G$2628,7,0),"Validar HC")</f>
        <v>Validar HC</v>
      </c>
      <c r="H2702" s="165">
        <v>1423500.0</v>
      </c>
      <c r="I2702" s="1">
        <v>42.0</v>
      </c>
    </row>
    <row r="2703" ht="15.75" customHeight="1">
      <c r="A2703" s="1">
        <v>2786618.0</v>
      </c>
      <c r="B2703" s="1" t="s">
        <v>258</v>
      </c>
      <c r="C2703" s="1" t="s">
        <v>5951</v>
      </c>
      <c r="D2703" s="1" t="s">
        <v>218</v>
      </c>
      <c r="F2703" s="1" t="s">
        <v>6717</v>
      </c>
      <c r="G2703" s="1" t="str">
        <f>IFERROR(VLOOKUP(A2703,H_C!$A$2:$G$2628,7,0),"Validar HC")</f>
        <v>Validar HC</v>
      </c>
      <c r="H2703" s="165">
        <v>1423500.0</v>
      </c>
      <c r="I2703" s="1">
        <v>42.0</v>
      </c>
    </row>
    <row r="2704" ht="15.75" customHeight="1">
      <c r="A2704" s="1">
        <v>2887825.0</v>
      </c>
      <c r="B2704" s="1" t="s">
        <v>1523</v>
      </c>
      <c r="C2704" s="1" t="s">
        <v>6348</v>
      </c>
      <c r="D2704" s="1" t="s">
        <v>6706</v>
      </c>
      <c r="F2704" s="1" t="s">
        <v>6717</v>
      </c>
      <c r="G2704" s="1" t="str">
        <f>IFERROR(VLOOKUP(A2704,H_C!$A$2:$G$2628,7,0),"Validar HC")</f>
        <v>Validar HC</v>
      </c>
      <c r="H2704" s="165">
        <v>1423500.0</v>
      </c>
      <c r="I2704" s="1">
        <v>42.0</v>
      </c>
    </row>
    <row r="2705" ht="15.75" customHeight="1">
      <c r="A2705" s="1">
        <v>2910663.0</v>
      </c>
      <c r="B2705" s="1" t="s">
        <v>5973</v>
      </c>
      <c r="C2705" s="1" t="s">
        <v>5974</v>
      </c>
      <c r="D2705" s="1" t="s">
        <v>217</v>
      </c>
      <c r="F2705" s="1" t="s">
        <v>6717</v>
      </c>
      <c r="G2705" s="1" t="str">
        <f>IFERROR(VLOOKUP(A2705,H_C!$A$2:$G$2628,7,0),"Validar HC")</f>
        <v>Validar HC</v>
      </c>
      <c r="H2705" s="165">
        <v>1423500.0</v>
      </c>
      <c r="I2705" s="1">
        <v>42.0</v>
      </c>
    </row>
    <row r="2706" ht="15.75" customHeight="1">
      <c r="A2706" s="1">
        <v>2912068.0</v>
      </c>
      <c r="B2706" s="1" t="s">
        <v>5970</v>
      </c>
      <c r="C2706" s="1" t="s">
        <v>5971</v>
      </c>
      <c r="D2706" s="1" t="s">
        <v>6710</v>
      </c>
      <c r="F2706" s="1" t="s">
        <v>6717</v>
      </c>
      <c r="G2706" s="1" t="str">
        <f>IFERROR(VLOOKUP(A2706,H_C!$A$2:$G$2628,7,0),"Validar HC")</f>
        <v>Validar HC</v>
      </c>
      <c r="H2706" s="165">
        <v>1423500.0</v>
      </c>
      <c r="I2706" s="1">
        <v>42.0</v>
      </c>
    </row>
    <row r="2707" ht="15.75" customHeight="1">
      <c r="A2707" s="1">
        <v>2970046.0</v>
      </c>
      <c r="B2707" s="1" t="s">
        <v>1302</v>
      </c>
      <c r="C2707" s="1" t="s">
        <v>3646</v>
      </c>
      <c r="D2707" s="1" t="s">
        <v>6655</v>
      </c>
      <c r="F2707" s="1" t="s">
        <v>6717</v>
      </c>
      <c r="G2707" s="1" t="str">
        <f>IFERROR(VLOOKUP(A2707,H_C!$A$2:$G$2628,7,0),"Validar HC")</f>
        <v>Validar HC</v>
      </c>
      <c r="H2707" s="165">
        <v>1423500.0</v>
      </c>
      <c r="I2707" s="1">
        <v>42.0</v>
      </c>
    </row>
    <row r="2708" ht="15.75" customHeight="1">
      <c r="A2708" s="1">
        <v>2994032.0</v>
      </c>
      <c r="B2708" s="1" t="s">
        <v>5981</v>
      </c>
      <c r="C2708" s="1" t="s">
        <v>5983</v>
      </c>
      <c r="D2708" s="1" t="s">
        <v>5809</v>
      </c>
      <c r="F2708" s="1" t="s">
        <v>6717</v>
      </c>
      <c r="G2708" s="1" t="str">
        <f>IFERROR(VLOOKUP(A2708,H_C!$A$2:$G$2628,7,0),"Validar HC")</f>
        <v>Validar HC</v>
      </c>
      <c r="H2708" s="165">
        <v>1423500.0</v>
      </c>
      <c r="I2708" s="1">
        <v>42.0</v>
      </c>
    </row>
    <row r="2709" ht="15.75" customHeight="1">
      <c r="A2709" s="1">
        <v>3010816.0</v>
      </c>
      <c r="B2709" s="1" t="s">
        <v>5985</v>
      </c>
      <c r="C2709" s="1" t="s">
        <v>5986</v>
      </c>
      <c r="D2709" s="1" t="s">
        <v>6708</v>
      </c>
      <c r="F2709" s="1" t="s">
        <v>6717</v>
      </c>
      <c r="G2709" s="1" t="str">
        <f>IFERROR(VLOOKUP(A2709,H_C!$A$2:$G$2628,7,0),"Validar HC")</f>
        <v>Validar HC</v>
      </c>
      <c r="H2709" s="165">
        <v>1423500.0</v>
      </c>
      <c r="I2709" s="1">
        <v>42.0</v>
      </c>
    </row>
    <row r="2710" ht="15.75" customHeight="1">
      <c r="A2710" s="1">
        <v>3017461.0</v>
      </c>
      <c r="B2710" s="1" t="s">
        <v>5988</v>
      </c>
      <c r="C2710" s="1" t="s">
        <v>5989</v>
      </c>
      <c r="D2710" s="1" t="s">
        <v>6710</v>
      </c>
      <c r="F2710" s="1" t="s">
        <v>6717</v>
      </c>
      <c r="G2710" s="1" t="str">
        <f>IFERROR(VLOOKUP(A2710,H_C!$A$2:$G$2628,7,0),"Validar HC")</f>
        <v>Validar HC</v>
      </c>
      <c r="H2710" s="165">
        <v>1423500.0</v>
      </c>
      <c r="I2710" s="1">
        <v>42.0</v>
      </c>
    </row>
    <row r="2711" ht="15.75" customHeight="1">
      <c r="A2711" s="1">
        <v>3022448.0</v>
      </c>
      <c r="B2711" s="1" t="s">
        <v>5319</v>
      </c>
      <c r="C2711" s="1" t="s">
        <v>6286</v>
      </c>
      <c r="D2711" s="1" t="s">
        <v>5942</v>
      </c>
      <c r="F2711" s="1" t="s">
        <v>6717</v>
      </c>
      <c r="G2711" s="1" t="str">
        <f>IFERROR(VLOOKUP(A2711,H_C!$A$2:$G$2628,7,0),"Validar HC")</f>
        <v>Validar HC</v>
      </c>
      <c r="H2711" s="165">
        <v>1423500.0</v>
      </c>
      <c r="I2711" s="1">
        <v>42.0</v>
      </c>
    </row>
    <row r="2712" ht="15.75" customHeight="1">
      <c r="A2712" s="1">
        <v>3028088.0</v>
      </c>
      <c r="B2712" s="1" t="s">
        <v>6078</v>
      </c>
      <c r="C2712" s="1" t="s">
        <v>3646</v>
      </c>
      <c r="D2712" s="1" t="s">
        <v>6079</v>
      </c>
      <c r="F2712" s="1" t="s">
        <v>6717</v>
      </c>
      <c r="G2712" s="1" t="str">
        <f>IFERROR(VLOOKUP(A2712,H_C!$A$2:$G$2628,7,0),"Validar HC")</f>
        <v>Validar HC</v>
      </c>
      <c r="H2712" s="165">
        <v>1423500.0</v>
      </c>
      <c r="I2712" s="1">
        <v>42.0</v>
      </c>
    </row>
    <row r="2713" ht="15.75" customHeight="1">
      <c r="A2713" s="1">
        <v>3034883.0</v>
      </c>
      <c r="B2713" s="1" t="s">
        <v>481</v>
      </c>
      <c r="C2713" s="1" t="s">
        <v>5991</v>
      </c>
      <c r="D2713" s="1" t="s">
        <v>217</v>
      </c>
      <c r="F2713" s="1" t="s">
        <v>6717</v>
      </c>
      <c r="G2713" s="1" t="str">
        <f>IFERROR(VLOOKUP(A2713,H_C!$A$2:$G$2628,7,0),"Validar HC")</f>
        <v>Validar HC</v>
      </c>
      <c r="H2713" s="165">
        <v>1423500.0</v>
      </c>
      <c r="I2713" s="1">
        <v>42.0</v>
      </c>
    </row>
    <row r="2714" ht="15.75" customHeight="1">
      <c r="A2714" s="1">
        <v>3066268.0</v>
      </c>
      <c r="B2714" s="1" t="s">
        <v>5119</v>
      </c>
      <c r="C2714" s="1" t="s">
        <v>5993</v>
      </c>
      <c r="D2714" s="1" t="s">
        <v>5856</v>
      </c>
      <c r="F2714" s="1" t="s">
        <v>6717</v>
      </c>
      <c r="G2714" s="1" t="str">
        <f>IFERROR(VLOOKUP(A2714,H_C!$A$2:$G$2628,7,0),"Validar HC")</f>
        <v>Validar HC</v>
      </c>
      <c r="H2714" s="165">
        <v>1423500.0</v>
      </c>
      <c r="I2714" s="1">
        <v>42.0</v>
      </c>
    </row>
    <row r="2715" ht="15.75" customHeight="1">
      <c r="A2715" s="1">
        <v>3067837.0</v>
      </c>
      <c r="B2715" s="1" t="s">
        <v>5998</v>
      </c>
      <c r="C2715" s="1" t="s">
        <v>5999</v>
      </c>
      <c r="D2715" s="1" t="s">
        <v>5809</v>
      </c>
      <c r="F2715" s="1" t="s">
        <v>6717</v>
      </c>
      <c r="G2715" s="1" t="str">
        <f>IFERROR(VLOOKUP(A2715,H_C!$A$2:$G$2628,7,0),"Validar HC")</f>
        <v>Validar HC</v>
      </c>
      <c r="H2715" s="165">
        <v>1423500.0</v>
      </c>
      <c r="I2715" s="1">
        <v>42.0</v>
      </c>
    </row>
    <row r="2716" ht="15.75" customHeight="1">
      <c r="A2716" s="1">
        <v>3070801.0</v>
      </c>
      <c r="B2716" s="1" t="s">
        <v>5995</v>
      </c>
      <c r="C2716" s="1" t="s">
        <v>5996</v>
      </c>
      <c r="D2716" s="1" t="s">
        <v>6721</v>
      </c>
      <c r="F2716" s="1" t="s">
        <v>6717</v>
      </c>
      <c r="G2716" s="1" t="str">
        <f>IFERROR(VLOOKUP(A2716,H_C!$A$2:$G$2628,7,0),"Validar HC")</f>
        <v>Validar HC</v>
      </c>
      <c r="H2716" s="165">
        <v>1423500.0</v>
      </c>
      <c r="I2716" s="1">
        <v>42.0</v>
      </c>
    </row>
    <row r="2717" ht="15.75" customHeight="1">
      <c r="A2717" s="1">
        <v>3070824.0</v>
      </c>
      <c r="B2717" s="1" t="s">
        <v>6229</v>
      </c>
      <c r="C2717" s="1" t="s">
        <v>6230</v>
      </c>
      <c r="D2717" s="1" t="s">
        <v>5809</v>
      </c>
      <c r="F2717" s="1" t="s">
        <v>6717</v>
      </c>
      <c r="G2717" s="1" t="str">
        <f>IFERROR(VLOOKUP(A2717,H_C!$A$2:$G$2628,7,0),"Validar HC")</f>
        <v>Validar HC</v>
      </c>
      <c r="H2717" s="165">
        <v>1423500.0</v>
      </c>
      <c r="I2717" s="1">
        <v>42.0</v>
      </c>
    </row>
    <row r="2718" ht="15.75" customHeight="1">
      <c r="A2718" s="1">
        <v>3083611.0</v>
      </c>
      <c r="B2718" s="1" t="s">
        <v>6842</v>
      </c>
      <c r="C2718" s="1" t="s">
        <v>6843</v>
      </c>
      <c r="D2718" s="1" t="s">
        <v>6712</v>
      </c>
      <c r="F2718" s="1" t="s">
        <v>6717</v>
      </c>
      <c r="G2718" s="1" t="str">
        <f>IFERROR(VLOOKUP(A2718,H_C!$A$2:$G$2628,7,0),"Validar HC")</f>
        <v>Validar HC</v>
      </c>
      <c r="H2718" s="165">
        <v>1423500.0</v>
      </c>
      <c r="I2718" s="1">
        <v>42.0</v>
      </c>
    </row>
    <row r="2719" ht="15.75" customHeight="1">
      <c r="A2719" s="1">
        <v>3103736.0</v>
      </c>
      <c r="B2719" s="1" t="s">
        <v>6844</v>
      </c>
      <c r="C2719" s="1" t="s">
        <v>6845</v>
      </c>
      <c r="D2719" s="1" t="s">
        <v>6712</v>
      </c>
      <c r="F2719" s="1" t="s">
        <v>6717</v>
      </c>
      <c r="G2719" s="1" t="str">
        <f>IFERROR(VLOOKUP(A2719,H_C!$A$2:$G$2628,7,0),"Validar HC")</f>
        <v>Validar HC</v>
      </c>
      <c r="H2719" s="165">
        <v>1423500.0</v>
      </c>
      <c r="I2719" s="1">
        <v>42.0</v>
      </c>
    </row>
    <row r="2720" ht="15.75" customHeight="1">
      <c r="A2720" s="1">
        <v>3104035.0</v>
      </c>
      <c r="B2720" s="1" t="s">
        <v>6001</v>
      </c>
      <c r="C2720" s="1" t="s">
        <v>6002</v>
      </c>
      <c r="D2720" s="1" t="s">
        <v>6706</v>
      </c>
      <c r="F2720" s="1" t="s">
        <v>6717</v>
      </c>
      <c r="G2720" s="1" t="str">
        <f>IFERROR(VLOOKUP(A2720,H_C!$A$2:$G$2628,7,0),"Validar HC")</f>
        <v>Validar HC</v>
      </c>
      <c r="H2720" s="165">
        <v>1423500.0</v>
      </c>
      <c r="I2720" s="1">
        <v>42.0</v>
      </c>
    </row>
    <row r="2721" ht="15.75" customHeight="1">
      <c r="A2721" s="1">
        <v>3114905.0</v>
      </c>
      <c r="B2721" s="1" t="s">
        <v>6443</v>
      </c>
      <c r="C2721" s="1" t="s">
        <v>6445</v>
      </c>
      <c r="D2721" s="1" t="s">
        <v>6444</v>
      </c>
      <c r="F2721" s="1" t="s">
        <v>6717</v>
      </c>
      <c r="G2721" s="1" t="str">
        <f>IFERROR(VLOOKUP(A2721,H_C!$A$2:$G$2628,7,0),"Validar HC")</f>
        <v>Validar HC</v>
      </c>
      <c r="H2721" s="165">
        <v>1423500.0</v>
      </c>
      <c r="I2721" s="1">
        <v>42.0</v>
      </c>
    </row>
    <row r="2722" ht="15.75" customHeight="1">
      <c r="A2722" s="1">
        <v>3116274.0</v>
      </c>
      <c r="B2722" s="1" t="s">
        <v>6205</v>
      </c>
      <c r="C2722" s="1" t="s">
        <v>6206</v>
      </c>
      <c r="D2722" s="1" t="s">
        <v>5809</v>
      </c>
      <c r="F2722" s="1" t="s">
        <v>6717</v>
      </c>
      <c r="G2722" s="1" t="str">
        <f>IFERROR(VLOOKUP(A2722,H_C!$A$2:$G$2628,7,0),"Validar HC")</f>
        <v>Validar HC</v>
      </c>
      <c r="H2722" s="165">
        <v>1423500.0</v>
      </c>
      <c r="I2722" s="1">
        <v>42.0</v>
      </c>
    </row>
    <row r="2723" ht="15.75" customHeight="1">
      <c r="A2723" s="1">
        <v>3125885.0</v>
      </c>
      <c r="B2723" s="1" t="s">
        <v>6141</v>
      </c>
      <c r="C2723" s="1" t="s">
        <v>6142</v>
      </c>
      <c r="D2723" s="1" t="s">
        <v>5809</v>
      </c>
      <c r="F2723" s="1" t="s">
        <v>6717</v>
      </c>
      <c r="G2723" s="1" t="str">
        <f>IFERROR(VLOOKUP(A2723,H_C!$A$2:$G$2628,7,0),"Validar HC")</f>
        <v>Validar HC</v>
      </c>
      <c r="H2723" s="165">
        <v>1423500.0</v>
      </c>
      <c r="I2723" s="1">
        <v>42.0</v>
      </c>
    </row>
    <row r="2724" ht="15.75" customHeight="1">
      <c r="A2724" s="1">
        <v>3125898.0</v>
      </c>
      <c r="B2724" s="1" t="s">
        <v>6008</v>
      </c>
      <c r="C2724" s="1" t="s">
        <v>6010</v>
      </c>
      <c r="D2724" s="1" t="s">
        <v>6706</v>
      </c>
      <c r="F2724" s="1" t="s">
        <v>6717</v>
      </c>
      <c r="G2724" s="1" t="str">
        <f>IFERROR(VLOOKUP(A2724,H_C!$A$2:$G$2628,7,0),"Validar HC")</f>
        <v>Validar HC</v>
      </c>
      <c r="H2724" s="165">
        <v>1423500.0</v>
      </c>
      <c r="I2724" s="1">
        <v>42.0</v>
      </c>
    </row>
    <row r="2725" ht="15.75" customHeight="1">
      <c r="A2725" s="1">
        <v>3144673.0</v>
      </c>
      <c r="B2725" s="1" t="s">
        <v>5982</v>
      </c>
      <c r="C2725" s="1" t="s">
        <v>6024</v>
      </c>
      <c r="D2725" s="1" t="s">
        <v>5868</v>
      </c>
      <c r="F2725" s="1" t="s">
        <v>6717</v>
      </c>
      <c r="G2725" s="1" t="str">
        <f>IFERROR(VLOOKUP(A2725,H_C!$A$2:$G$2628,7,0),"Validar HC")</f>
        <v>Validar HC</v>
      </c>
      <c r="H2725" s="165">
        <v>1423500.0</v>
      </c>
      <c r="I2725" s="1">
        <v>42.0</v>
      </c>
    </row>
    <row r="2726" ht="15.75" customHeight="1">
      <c r="A2726" s="1">
        <v>3144744.0</v>
      </c>
      <c r="B2726" s="1" t="s">
        <v>6014</v>
      </c>
      <c r="C2726" s="1" t="s">
        <v>6015</v>
      </c>
      <c r="D2726" s="1" t="s">
        <v>6721</v>
      </c>
      <c r="F2726" s="1" t="s">
        <v>6717</v>
      </c>
      <c r="G2726" s="1" t="str">
        <f>IFERROR(VLOOKUP(A2726,H_C!$A$2:$G$2628,7,0),"Validar HC")</f>
        <v>Validar HC</v>
      </c>
      <c r="H2726" s="165">
        <v>1423500.0</v>
      </c>
      <c r="I2726" s="1">
        <v>42.0</v>
      </c>
    </row>
    <row r="2727" ht="15.75" customHeight="1">
      <c r="A2727" s="1">
        <v>3150071.0</v>
      </c>
      <c r="B2727" s="1" t="s">
        <v>6017</v>
      </c>
      <c r="C2727" s="1" t="s">
        <v>6019</v>
      </c>
      <c r="D2727" s="1" t="s">
        <v>6714</v>
      </c>
      <c r="F2727" s="1" t="s">
        <v>6717</v>
      </c>
      <c r="G2727" s="1" t="str">
        <f>IFERROR(VLOOKUP(A2727,H_C!$A$2:$G$2628,7,0),"Validar HC")</f>
        <v>Validar HC</v>
      </c>
      <c r="H2727" s="165">
        <v>1423500.0</v>
      </c>
      <c r="I2727" s="1">
        <v>42.0</v>
      </c>
    </row>
    <row r="2728" ht="15.75" customHeight="1">
      <c r="A2728" s="1">
        <v>3153282.0</v>
      </c>
      <c r="B2728" s="1" t="s">
        <v>6846</v>
      </c>
      <c r="C2728" s="1" t="s">
        <v>6847</v>
      </c>
      <c r="D2728" s="1" t="s">
        <v>5809</v>
      </c>
      <c r="F2728" s="1" t="s">
        <v>6717</v>
      </c>
      <c r="G2728" s="1" t="str">
        <f>IFERROR(VLOOKUP(A2728,H_C!$A$2:$G$2628,7,0),"Validar HC")</f>
        <v>Validar HC</v>
      </c>
      <c r="H2728" s="165">
        <v>1423500.0</v>
      </c>
      <c r="I2728" s="1">
        <v>42.0</v>
      </c>
    </row>
    <row r="2729" ht="15.75" customHeight="1">
      <c r="A2729" s="1">
        <v>3160279.0</v>
      </c>
      <c r="B2729" s="1" t="s">
        <v>6311</v>
      </c>
      <c r="C2729" s="1" t="s">
        <v>6312</v>
      </c>
      <c r="D2729" s="1" t="s">
        <v>6710</v>
      </c>
      <c r="F2729" s="1" t="s">
        <v>6717</v>
      </c>
      <c r="G2729" s="1" t="str">
        <f>IFERROR(VLOOKUP(A2729,H_C!$A$2:$G$2628,7,0),"Validar HC")</f>
        <v>Validar HC</v>
      </c>
      <c r="H2729" s="165">
        <v>1423500.0</v>
      </c>
      <c r="I2729" s="1">
        <v>42.0</v>
      </c>
    </row>
    <row r="2730" ht="15.75" customHeight="1">
      <c r="A2730" s="1">
        <v>3160301.0</v>
      </c>
      <c r="B2730" s="1" t="s">
        <v>6848</v>
      </c>
      <c r="C2730" s="1" t="s">
        <v>6849</v>
      </c>
      <c r="D2730" s="1" t="s">
        <v>6712</v>
      </c>
      <c r="F2730" s="1" t="s">
        <v>6717</v>
      </c>
      <c r="G2730" s="1" t="str">
        <f>IFERROR(VLOOKUP(A2730,H_C!$A$2:$G$2628,7,0),"Validar HC")</f>
        <v>Validar HC</v>
      </c>
      <c r="H2730" s="165">
        <v>1423500.0</v>
      </c>
      <c r="I2730" s="1">
        <v>42.0</v>
      </c>
    </row>
    <row r="2731" ht="15.75" customHeight="1">
      <c r="A2731" s="1">
        <v>5800402.0</v>
      </c>
      <c r="B2731" s="1" t="s">
        <v>6697</v>
      </c>
      <c r="C2731" s="1" t="s">
        <v>6698</v>
      </c>
      <c r="D2731" s="1" t="s">
        <v>5820</v>
      </c>
      <c r="F2731" s="1" t="s">
        <v>6717</v>
      </c>
      <c r="G2731" s="1" t="str">
        <f>IFERROR(VLOOKUP(A2731,H_C!$A$2:$G$2628,7,0),"Validar HC")</f>
        <v>Validar HC</v>
      </c>
      <c r="H2731" s="165">
        <v>1423500.0</v>
      </c>
      <c r="I2731" s="1">
        <v>42.0</v>
      </c>
    </row>
    <row r="2732" ht="15.75" customHeight="1">
      <c r="A2732" s="61">
        <v>1270458.0</v>
      </c>
      <c r="B2732" s="42" t="s">
        <v>3</v>
      </c>
      <c r="C2732" s="50" t="s">
        <v>79</v>
      </c>
      <c r="D2732" s="1" t="s">
        <v>5829</v>
      </c>
      <c r="E2732" s="1" t="s">
        <v>5829</v>
      </c>
      <c r="F2732" s="49" t="s">
        <v>6717</v>
      </c>
      <c r="G2732" s="49" t="str">
        <f>IFERROR(VLOOKUP(A2732,H_C!$A$2:$G$2628,7,0),"Validar HC")</f>
        <v>Validar HC</v>
      </c>
      <c r="H2732" s="165">
        <v>1423500.0</v>
      </c>
      <c r="I2732" s="1">
        <v>42.0</v>
      </c>
      <c r="J2732" s="49"/>
      <c r="K2732" s="49"/>
      <c r="L2732" s="49"/>
      <c r="M2732" s="49"/>
      <c r="N2732" s="49"/>
      <c r="O2732" s="49"/>
      <c r="P2732" s="49"/>
      <c r="Q2732" s="49"/>
      <c r="R2732" s="49"/>
      <c r="S2732" s="49"/>
      <c r="T2732" s="49"/>
      <c r="U2732" s="49"/>
      <c r="V2732" s="49"/>
      <c r="W2732" s="49"/>
      <c r="X2732" s="49"/>
      <c r="Y2732" s="49"/>
      <c r="Z2732" s="49"/>
      <c r="AA2732" s="49"/>
      <c r="AB2732" s="49"/>
      <c r="AC2732" s="49"/>
      <c r="AD2732" s="49"/>
    </row>
    <row r="2733" ht="15.75" customHeight="1">
      <c r="A2733" s="1">
        <v>3163647.0</v>
      </c>
      <c r="B2733" s="1" t="s">
        <v>6404</v>
      </c>
      <c r="C2733" s="1" t="s">
        <v>6405</v>
      </c>
      <c r="D2733" s="76" t="s">
        <v>6725</v>
      </c>
      <c r="F2733" s="1" t="s">
        <v>6717</v>
      </c>
      <c r="G2733" s="1" t="str">
        <f>IFERROR(VLOOKUP(A2733,H_C!$A$2:$G$2628,7,0),"Validar HC")</f>
        <v>Validar HC</v>
      </c>
      <c r="H2733" s="165">
        <v>1423500.0</v>
      </c>
      <c r="I2733" s="49">
        <v>42.0</v>
      </c>
    </row>
    <row r="2734" ht="15.75" customHeight="1">
      <c r="A2734" s="1">
        <v>3165511.0</v>
      </c>
      <c r="B2734" s="1" t="s">
        <v>470</v>
      </c>
      <c r="C2734" s="1" t="s">
        <v>6029</v>
      </c>
      <c r="D2734" s="1" t="s">
        <v>217</v>
      </c>
      <c r="F2734" s="1" t="s">
        <v>6717</v>
      </c>
      <c r="G2734" s="1" t="str">
        <f>IFERROR(VLOOKUP(A2734,H_C!$A$2:$G$2628,7,0),"Validar HC")</f>
        <v>Validar HC</v>
      </c>
      <c r="H2734" s="165">
        <v>1423500.0</v>
      </c>
      <c r="I2734" s="49">
        <v>42.0</v>
      </c>
    </row>
    <row r="2735" ht="15.75" customHeight="1">
      <c r="A2735" s="1">
        <v>3173473.0</v>
      </c>
      <c r="B2735" s="1" t="s">
        <v>6036</v>
      </c>
      <c r="C2735" s="1" t="s">
        <v>6037</v>
      </c>
      <c r="D2735" s="1" t="s">
        <v>6706</v>
      </c>
      <c r="F2735" s="1" t="s">
        <v>6717</v>
      </c>
      <c r="G2735" s="1" t="str">
        <f>IFERROR(VLOOKUP(A2735,H_C!$A$2:$G$2628,7,0),"Validar HC")</f>
        <v>Validar HC</v>
      </c>
      <c r="H2735" s="165">
        <v>1423500.0</v>
      </c>
      <c r="I2735" s="49">
        <v>42.0</v>
      </c>
    </row>
    <row r="2736" ht="15.75" customHeight="1">
      <c r="A2736" s="1">
        <v>3191795.0</v>
      </c>
      <c r="B2736" s="1" t="s">
        <v>5877</v>
      </c>
      <c r="C2736" s="1" t="s">
        <v>3646</v>
      </c>
      <c r="D2736" s="1" t="s">
        <v>6067</v>
      </c>
      <c r="F2736" s="1" t="s">
        <v>6717</v>
      </c>
      <c r="G2736" s="1" t="str">
        <f>IFERROR(VLOOKUP(A2736,H_C!$A$2:$G$2628,7,0),"Validar HC")</f>
        <v>Validar HC</v>
      </c>
      <c r="H2736" s="165">
        <v>1423500.0</v>
      </c>
      <c r="I2736" s="49">
        <v>42.0</v>
      </c>
    </row>
    <row r="2737" ht="15.75" customHeight="1">
      <c r="A2737" s="1">
        <v>3197267.0</v>
      </c>
      <c r="B2737" s="1" t="s">
        <v>5808</v>
      </c>
      <c r="C2737" s="1" t="s">
        <v>6039</v>
      </c>
      <c r="D2737" s="1" t="s">
        <v>5820</v>
      </c>
      <c r="F2737" s="1" t="s">
        <v>6717</v>
      </c>
      <c r="G2737" s="1" t="str">
        <f>IFERROR(VLOOKUP(A2737,H_C!$A$2:$G$2628,7,0),"Validar HC")</f>
        <v>Validar HC</v>
      </c>
      <c r="H2737" s="165">
        <v>1423500.0</v>
      </c>
      <c r="I2737" s="49">
        <v>42.0</v>
      </c>
    </row>
    <row r="2738" ht="15.75" customHeight="1">
      <c r="A2738" s="1">
        <v>3208634.0</v>
      </c>
      <c r="B2738" s="1" t="s">
        <v>300</v>
      </c>
      <c r="C2738" s="1" t="s">
        <v>6041</v>
      </c>
      <c r="D2738" s="1" t="s">
        <v>217</v>
      </c>
      <c r="F2738" s="1" t="s">
        <v>6717</v>
      </c>
      <c r="G2738" s="1" t="str">
        <f>IFERROR(VLOOKUP(A2738,H_C!$A$2:$G$2628,7,0),"Validar HC")</f>
        <v>Validar HC</v>
      </c>
      <c r="H2738" s="165">
        <v>1423500.0</v>
      </c>
      <c r="I2738" s="49">
        <v>42.0</v>
      </c>
    </row>
    <row r="2739" ht="15.75" customHeight="1">
      <c r="A2739" s="1">
        <v>3227174.0</v>
      </c>
      <c r="B2739" s="1" t="s">
        <v>6103</v>
      </c>
      <c r="C2739" s="1" t="s">
        <v>3646</v>
      </c>
      <c r="D2739" s="1" t="s">
        <v>6726</v>
      </c>
      <c r="F2739" s="1" t="s">
        <v>6717</v>
      </c>
      <c r="G2739" s="1" t="str">
        <f>IFERROR(VLOOKUP(A2739,H_C!$A$2:$G$2628,7,0),"Validar HC")</f>
        <v>Validar HC</v>
      </c>
      <c r="H2739" s="165">
        <v>1423500.0</v>
      </c>
      <c r="I2739" s="49">
        <v>42.0</v>
      </c>
    </row>
    <row r="2740" ht="15.75" customHeight="1">
      <c r="A2740" s="1">
        <v>3227177.0</v>
      </c>
      <c r="B2740" s="1" t="s">
        <v>6105</v>
      </c>
      <c r="C2740" s="1" t="s">
        <v>3646</v>
      </c>
      <c r="D2740" s="1" t="s">
        <v>6726</v>
      </c>
      <c r="F2740" s="1" t="s">
        <v>6717</v>
      </c>
      <c r="G2740" s="1" t="str">
        <f>IFERROR(VLOOKUP(A2740,H_C!$A$2:$G$2628,7,0),"Validar HC")</f>
        <v>Validar HC</v>
      </c>
      <c r="H2740" s="165">
        <v>1423500.0</v>
      </c>
      <c r="I2740" s="49">
        <v>42.0</v>
      </c>
    </row>
    <row r="2741" ht="15.75" customHeight="1">
      <c r="A2741" s="1">
        <v>3229966.0</v>
      </c>
      <c r="B2741" s="1" t="s">
        <v>6045</v>
      </c>
      <c r="C2741" s="1" t="s">
        <v>3646</v>
      </c>
      <c r="D2741" s="1" t="s">
        <v>6047</v>
      </c>
      <c r="F2741" s="1" t="s">
        <v>6717</v>
      </c>
      <c r="G2741" s="1" t="str">
        <f>IFERROR(VLOOKUP(A2741,H_C!$A$2:$G$2628,7,0),"Validar HC")</f>
        <v>Validar HC</v>
      </c>
      <c r="H2741" s="165">
        <v>1423500.0</v>
      </c>
      <c r="I2741" s="49">
        <v>42.0</v>
      </c>
    </row>
    <row r="2742" ht="15.75" customHeight="1">
      <c r="A2742" s="1">
        <v>3247321.0</v>
      </c>
      <c r="B2742" s="1" t="s">
        <v>6018</v>
      </c>
      <c r="C2742" s="1" t="s">
        <v>6043</v>
      </c>
      <c r="D2742" s="1" t="s">
        <v>6706</v>
      </c>
      <c r="F2742" s="1" t="s">
        <v>6717</v>
      </c>
      <c r="G2742" s="1" t="str">
        <f>IFERROR(VLOOKUP(A2742,H_C!$A$2:$G$2628,7,0),"Validar HC")</f>
        <v>Validar HC</v>
      </c>
      <c r="H2742" s="165">
        <v>1423500.0</v>
      </c>
      <c r="I2742" s="49">
        <v>42.0</v>
      </c>
    </row>
    <row r="2743" ht="15.75" customHeight="1">
      <c r="A2743" s="1">
        <v>3252736.0</v>
      </c>
      <c r="B2743" s="1" t="s">
        <v>6050</v>
      </c>
      <c r="C2743" s="1" t="s">
        <v>6051</v>
      </c>
      <c r="D2743" s="1" t="s">
        <v>6716</v>
      </c>
      <c r="F2743" s="1" t="s">
        <v>6717</v>
      </c>
      <c r="G2743" s="1" t="str">
        <f>IFERROR(VLOOKUP(A2743,H_C!$A$2:$G$2628,7,0),"Validar HC")</f>
        <v>Validar HC</v>
      </c>
      <c r="H2743" s="165">
        <v>1423500.0</v>
      </c>
      <c r="I2743" s="49">
        <v>42.0</v>
      </c>
    </row>
    <row r="2744" ht="15.75" customHeight="1">
      <c r="A2744" s="1">
        <v>3293592.0</v>
      </c>
      <c r="B2744" s="1" t="s">
        <v>6850</v>
      </c>
      <c r="C2744" s="1" t="s">
        <v>6851</v>
      </c>
      <c r="D2744" s="1" t="s">
        <v>5809</v>
      </c>
      <c r="F2744" s="1" t="s">
        <v>6717</v>
      </c>
      <c r="G2744" s="1" t="str">
        <f>IFERROR(VLOOKUP(A2744,H_C!$A$2:$G$2628,7,0),"Validar HC")</f>
        <v>Validar HC</v>
      </c>
      <c r="H2744" s="165">
        <v>1423500.0</v>
      </c>
      <c r="I2744" s="49">
        <v>42.0</v>
      </c>
    </row>
    <row r="2745" ht="15.75" customHeight="1">
      <c r="A2745" s="1">
        <v>3300476.0</v>
      </c>
      <c r="B2745" s="1" t="s">
        <v>6214</v>
      </c>
      <c r="C2745" s="1" t="s">
        <v>6215</v>
      </c>
      <c r="D2745" s="1" t="s">
        <v>5868</v>
      </c>
      <c r="F2745" s="1" t="s">
        <v>6717</v>
      </c>
      <c r="G2745" s="1" t="str">
        <f>IFERROR(VLOOKUP(A2745,H_C!$A$2:$G$2628,7,0),"Validar HC")</f>
        <v>Validar HC</v>
      </c>
      <c r="H2745" s="165">
        <v>1423500.0</v>
      </c>
      <c r="I2745" s="49">
        <v>42.0</v>
      </c>
    </row>
    <row r="2746" ht="15.75" customHeight="1">
      <c r="A2746" s="1">
        <v>3300894.0</v>
      </c>
      <c r="B2746" s="1" t="s">
        <v>226</v>
      </c>
      <c r="C2746" s="1" t="s">
        <v>6852</v>
      </c>
      <c r="D2746" s="1" t="s">
        <v>217</v>
      </c>
      <c r="F2746" s="1" t="s">
        <v>6717</v>
      </c>
      <c r="G2746" s="1" t="str">
        <f>IFERROR(VLOOKUP(A2746,H_C!$A$2:$G$2628,7,0),"Validar HC")</f>
        <v>Validar HC</v>
      </c>
      <c r="H2746" s="165">
        <v>1423500.0</v>
      </c>
      <c r="I2746" s="49">
        <v>42.0</v>
      </c>
    </row>
    <row r="2747" ht="15.75" customHeight="1">
      <c r="A2747" s="1">
        <v>3305765.0</v>
      </c>
      <c r="B2747" s="1" t="s">
        <v>6672</v>
      </c>
      <c r="C2747" s="1" t="s">
        <v>3646</v>
      </c>
      <c r="D2747" s="1" t="s">
        <v>6673</v>
      </c>
      <c r="F2747" s="1" t="s">
        <v>6717</v>
      </c>
      <c r="G2747" s="1" t="str">
        <f>IFERROR(VLOOKUP(A2747,H_C!$A$2:$G$2628,7,0),"Validar HC")</f>
        <v>Validar HC</v>
      </c>
      <c r="H2747" s="165">
        <v>1423500.0</v>
      </c>
      <c r="I2747" s="49">
        <v>42.0</v>
      </c>
    </row>
    <row r="2748" ht="15.75" customHeight="1">
      <c r="A2748" s="1">
        <v>3308722.0</v>
      </c>
      <c r="B2748" s="1" t="s">
        <v>6407</v>
      </c>
      <c r="C2748" s="1" t="s">
        <v>6408</v>
      </c>
      <c r="D2748" s="1" t="s">
        <v>6721</v>
      </c>
      <c r="F2748" s="1" t="s">
        <v>6717</v>
      </c>
      <c r="G2748" s="1" t="str">
        <f>IFERROR(VLOOKUP(A2748,H_C!$A$2:$G$2628,7,0),"Validar HC")</f>
        <v>Validar HC</v>
      </c>
      <c r="H2748" s="165">
        <v>1423500.0</v>
      </c>
      <c r="I2748" s="49">
        <v>42.0</v>
      </c>
    </row>
    <row r="2749" ht="15.75" customHeight="1">
      <c r="A2749" s="1">
        <v>3323485.0</v>
      </c>
      <c r="B2749" s="1" t="s">
        <v>6353</v>
      </c>
      <c r="C2749" s="1" t="s">
        <v>6354</v>
      </c>
      <c r="D2749" s="1" t="s">
        <v>6706</v>
      </c>
      <c r="F2749" s="1" t="s">
        <v>6717</v>
      </c>
      <c r="G2749" s="1" t="str">
        <f>IFERROR(VLOOKUP(A2749,H_C!$A$2:$G$2628,7,0),"Validar HC")</f>
        <v>Validar HC</v>
      </c>
      <c r="H2749" s="165">
        <v>1423500.0</v>
      </c>
      <c r="I2749" s="49">
        <v>42.0</v>
      </c>
    </row>
    <row r="2750" ht="15.75" customHeight="1">
      <c r="A2750" s="1">
        <v>3354355.0</v>
      </c>
      <c r="B2750" s="1" t="s">
        <v>301</v>
      </c>
      <c r="C2750" s="1" t="s">
        <v>6064</v>
      </c>
      <c r="D2750" s="1" t="s">
        <v>218</v>
      </c>
      <c r="F2750" s="1" t="s">
        <v>6717</v>
      </c>
      <c r="G2750" s="1" t="str">
        <f>IFERROR(VLOOKUP(A2750,H_C!$A$2:$G$2628,7,0),"Validar HC")</f>
        <v>Validar HC</v>
      </c>
      <c r="H2750" s="165">
        <v>1423500.0</v>
      </c>
      <c r="I2750" s="49">
        <v>42.0</v>
      </c>
    </row>
    <row r="2751" ht="15.75" customHeight="1">
      <c r="A2751" s="1">
        <v>3392765.0</v>
      </c>
      <c r="B2751" s="1" t="s">
        <v>6497</v>
      </c>
      <c r="C2751" s="1" t="s">
        <v>3646</v>
      </c>
      <c r="D2751" s="1" t="s">
        <v>6504</v>
      </c>
      <c r="E2751" s="25" t="s">
        <v>254</v>
      </c>
      <c r="F2751" s="1" t="s">
        <v>6717</v>
      </c>
      <c r="G2751" s="1" t="str">
        <f>IFERROR(VLOOKUP(A2751,H_C!$A$2:$G$2628,7,0),"Validar HC")</f>
        <v>Validar HC</v>
      </c>
      <c r="H2751" s="165">
        <v>1423500.0</v>
      </c>
      <c r="I2751" s="49">
        <v>42.0</v>
      </c>
    </row>
    <row r="2752" ht="15.75" customHeight="1">
      <c r="A2752" s="1">
        <v>3419703.0</v>
      </c>
      <c r="B2752" s="1" t="s">
        <v>5318</v>
      </c>
      <c r="C2752" s="1" t="s">
        <v>6453</v>
      </c>
      <c r="D2752" s="1" t="s">
        <v>5868</v>
      </c>
      <c r="F2752" s="1" t="s">
        <v>6717</v>
      </c>
      <c r="G2752" s="1" t="str">
        <f>IFERROR(VLOOKUP(A2752,H_C!$A$2:$G$2628,7,0),"Validar HC")</f>
        <v>Validar HC</v>
      </c>
      <c r="H2752" s="165">
        <v>1423500.0</v>
      </c>
      <c r="I2752" s="49">
        <v>42.0</v>
      </c>
    </row>
    <row r="2753" ht="15.75" customHeight="1">
      <c r="A2753" s="1">
        <v>3450144.0</v>
      </c>
      <c r="B2753" s="1" t="s">
        <v>6619</v>
      </c>
      <c r="C2753" s="1" t="s">
        <v>6620</v>
      </c>
      <c r="D2753" s="1" t="s">
        <v>6548</v>
      </c>
      <c r="F2753" s="1" t="s">
        <v>6717</v>
      </c>
      <c r="G2753" s="1" t="str">
        <f>IFERROR(VLOOKUP(A2753,H_C!$A$2:$G$2628,7,0),"Validar HC")</f>
        <v>Validar HC</v>
      </c>
      <c r="H2753" s="165">
        <v>1423500.0</v>
      </c>
      <c r="I2753" s="49">
        <v>42.0</v>
      </c>
    </row>
    <row r="2754" ht="15.75" customHeight="1">
      <c r="A2754" s="1">
        <v>3450397.0</v>
      </c>
      <c r="B2754" s="1" t="s">
        <v>644</v>
      </c>
      <c r="C2754" s="1" t="s">
        <v>6134</v>
      </c>
      <c r="D2754" s="1" t="s">
        <v>217</v>
      </c>
      <c r="E2754" s="1" t="s">
        <v>118</v>
      </c>
      <c r="F2754" s="1" t="s">
        <v>6717</v>
      </c>
      <c r="G2754" s="1" t="str">
        <f>IFERROR(VLOOKUP(A2754,H_C!$A$2:$G$2628,7,0),"Validar HC")</f>
        <v>Validar HC</v>
      </c>
      <c r="H2754" s="165">
        <v>1423500.0</v>
      </c>
      <c r="I2754" s="49">
        <v>42.0</v>
      </c>
    </row>
    <row r="2755" ht="15.75" customHeight="1">
      <c r="A2755" s="1">
        <v>3478540.0</v>
      </c>
      <c r="B2755" s="1" t="s">
        <v>6122</v>
      </c>
      <c r="C2755" s="1" t="s">
        <v>6123</v>
      </c>
      <c r="D2755" s="1" t="s">
        <v>6714</v>
      </c>
      <c r="F2755" s="1" t="s">
        <v>6717</v>
      </c>
      <c r="G2755" s="1" t="str">
        <f>IFERROR(VLOOKUP(A2755,H_C!$A$2:$G$2628,7,0),"Validar HC")</f>
        <v>Validar HC</v>
      </c>
      <c r="H2755" s="165">
        <v>1423500.0</v>
      </c>
      <c r="I2755" s="49">
        <v>42.0</v>
      </c>
    </row>
    <row r="2756" ht="15.75" customHeight="1">
      <c r="A2756" s="1">
        <v>3501547.0</v>
      </c>
      <c r="B2756" s="1" t="s">
        <v>6075</v>
      </c>
      <c r="C2756" s="1" t="s">
        <v>6076</v>
      </c>
      <c r="D2756" s="1" t="s">
        <v>5868</v>
      </c>
      <c r="F2756" s="1" t="s">
        <v>6717</v>
      </c>
      <c r="G2756" s="1" t="str">
        <f>IFERROR(VLOOKUP(A2756,H_C!$A$2:$G$2628,7,0),"Validar HC")</f>
        <v>Validar HC</v>
      </c>
      <c r="H2756" s="165">
        <v>1423500.0</v>
      </c>
      <c r="I2756" s="49">
        <v>42.0</v>
      </c>
    </row>
    <row r="2757" ht="15.75" customHeight="1">
      <c r="A2757" s="1">
        <v>3516804.0</v>
      </c>
      <c r="B2757" s="1" t="s">
        <v>6628</v>
      </c>
      <c r="C2757" s="1" t="s">
        <v>3646</v>
      </c>
      <c r="D2757" s="1" t="s">
        <v>6249</v>
      </c>
      <c r="F2757" s="1" t="s">
        <v>6717</v>
      </c>
      <c r="G2757" s="1" t="str">
        <f>IFERROR(VLOOKUP(A2757,H_C!$A$2:$G$2628,7,0),"Validar HC")</f>
        <v>Validar HC</v>
      </c>
      <c r="H2757" s="165">
        <v>1423500.0</v>
      </c>
      <c r="I2757" s="49">
        <v>42.0</v>
      </c>
    </row>
    <row r="2758" ht="15.75" customHeight="1">
      <c r="A2758" s="1">
        <v>3523764.0</v>
      </c>
      <c r="B2758" s="1" t="s">
        <v>6081</v>
      </c>
      <c r="C2758" s="1" t="s">
        <v>6082</v>
      </c>
      <c r="D2758" s="1" t="s">
        <v>5829</v>
      </c>
      <c r="E2758" s="25" t="s">
        <v>412</v>
      </c>
      <c r="F2758" s="1" t="s">
        <v>6717</v>
      </c>
      <c r="G2758" s="1" t="str">
        <f>IFERROR(VLOOKUP(A2758,H_C!$A$2:$G$2628,7,0),"Validar HC")</f>
        <v>Validar HC</v>
      </c>
      <c r="H2758" s="165">
        <v>1423500.0</v>
      </c>
      <c r="I2758" s="49">
        <v>42.0</v>
      </c>
    </row>
    <row r="2759" ht="15.75" customHeight="1">
      <c r="A2759" s="1">
        <v>3534310.0</v>
      </c>
      <c r="B2759" s="1" t="s">
        <v>6084</v>
      </c>
      <c r="C2759" s="1" t="s">
        <v>6085</v>
      </c>
      <c r="D2759" s="1" t="s">
        <v>5809</v>
      </c>
      <c r="F2759" s="1" t="s">
        <v>6717</v>
      </c>
      <c r="G2759" s="1" t="str">
        <f>IFERROR(VLOOKUP(A2759,H_C!$A$2:$G$2628,7,0),"Validar HC")</f>
        <v>Validar HC</v>
      </c>
      <c r="H2759" s="165">
        <v>1423500.0</v>
      </c>
      <c r="I2759" s="49">
        <v>42.0</v>
      </c>
    </row>
    <row r="2760" ht="15.75" customHeight="1">
      <c r="A2760" s="1">
        <v>3549195.0</v>
      </c>
      <c r="B2760" s="1" t="s">
        <v>6853</v>
      </c>
      <c r="C2760" s="1" t="s">
        <v>6854</v>
      </c>
      <c r="D2760" s="1" t="s">
        <v>6714</v>
      </c>
      <c r="F2760" s="1" t="s">
        <v>6717</v>
      </c>
      <c r="G2760" s="1" t="str">
        <f>IFERROR(VLOOKUP(A2760,H_C!$A$2:$G$2628,7,0),"Validar HC")</f>
        <v>Validar HC</v>
      </c>
      <c r="H2760" s="165">
        <v>1423500.0</v>
      </c>
      <c r="I2760" s="49">
        <v>42.0</v>
      </c>
    </row>
    <row r="2761" ht="15.75" customHeight="1">
      <c r="A2761" s="1">
        <v>3564431.0</v>
      </c>
      <c r="B2761" s="1" t="s">
        <v>6090</v>
      </c>
      <c r="C2761" s="1" t="s">
        <v>6092</v>
      </c>
      <c r="D2761" s="1" t="s">
        <v>5856</v>
      </c>
      <c r="F2761" s="1" t="s">
        <v>6717</v>
      </c>
      <c r="G2761" s="1" t="str">
        <f>IFERROR(VLOOKUP(A2761,H_C!$A$2:$G$2628,7,0),"Validar HC")</f>
        <v>Validar HC</v>
      </c>
      <c r="H2761" s="165">
        <v>1423500.0</v>
      </c>
      <c r="I2761" s="49">
        <v>42.0</v>
      </c>
    </row>
    <row r="2762" ht="15.75" customHeight="1">
      <c r="A2762" s="1">
        <v>3574646.0</v>
      </c>
      <c r="B2762" s="1" t="s">
        <v>6094</v>
      </c>
      <c r="C2762" s="1" t="s">
        <v>6095</v>
      </c>
      <c r="D2762" s="1" t="s">
        <v>5809</v>
      </c>
      <c r="F2762" s="1" t="s">
        <v>6717</v>
      </c>
      <c r="G2762" s="1" t="str">
        <f>IFERROR(VLOOKUP(A2762,H_C!$A$2:$G$2628,7,0),"Validar HC")</f>
        <v>Validar HC</v>
      </c>
      <c r="H2762" s="165">
        <v>1423500.0</v>
      </c>
      <c r="I2762" s="49">
        <v>42.0</v>
      </c>
    </row>
    <row r="2763" ht="15.75" customHeight="1">
      <c r="A2763" s="1">
        <v>3585219.0</v>
      </c>
      <c r="B2763" s="1" t="s">
        <v>6190</v>
      </c>
      <c r="C2763" s="1" t="s">
        <v>6191</v>
      </c>
      <c r="D2763" s="1" t="s">
        <v>5829</v>
      </c>
      <c r="E2763" s="25" t="s">
        <v>506</v>
      </c>
      <c r="F2763" s="1" t="s">
        <v>6717</v>
      </c>
      <c r="G2763" s="1" t="str">
        <f>IFERROR(VLOOKUP(A2763,H_C!$A$2:$G$2628,7,0),"Validar HC")</f>
        <v>Validar HC</v>
      </c>
      <c r="H2763" s="165">
        <v>1423500.0</v>
      </c>
      <c r="I2763" s="49">
        <v>42.0</v>
      </c>
    </row>
    <row r="2764" ht="15.75" customHeight="1">
      <c r="A2764" s="1">
        <v>3630457.0</v>
      </c>
      <c r="B2764" s="1" t="s">
        <v>257</v>
      </c>
      <c r="C2764" s="1" t="s">
        <v>6110</v>
      </c>
      <c r="D2764" s="1" t="s">
        <v>217</v>
      </c>
      <c r="E2764" s="1" t="s">
        <v>10</v>
      </c>
      <c r="F2764" s="1" t="s">
        <v>6717</v>
      </c>
      <c r="G2764" s="1" t="str">
        <f>IFERROR(VLOOKUP(A2764,H_C!$A$2:$G$2628,7,0),"Validar HC")</f>
        <v>Validar HC</v>
      </c>
      <c r="H2764" s="165">
        <v>1423500.0</v>
      </c>
      <c r="I2764" s="49">
        <v>42.0</v>
      </c>
    </row>
    <row r="2765" ht="15.75" customHeight="1">
      <c r="A2765" s="1">
        <v>3659179.0</v>
      </c>
      <c r="B2765" s="1" t="s">
        <v>5451</v>
      </c>
      <c r="C2765" s="1" t="s">
        <v>6115</v>
      </c>
      <c r="D2765" s="1" t="s">
        <v>5856</v>
      </c>
      <c r="F2765" s="1" t="s">
        <v>6717</v>
      </c>
      <c r="G2765" s="1" t="str">
        <f>IFERROR(VLOOKUP(A2765,H_C!$A$2:$G$2628,7,0),"Validar HC")</f>
        <v>Validar HC</v>
      </c>
      <c r="H2765" s="165">
        <v>1423500.0</v>
      </c>
      <c r="I2765" s="49">
        <v>42.0</v>
      </c>
    </row>
    <row r="2766" ht="15.75" customHeight="1">
      <c r="A2766" s="1">
        <v>3666559.0</v>
      </c>
      <c r="B2766" s="1" t="s">
        <v>6241</v>
      </c>
      <c r="C2766" s="1" t="s">
        <v>6242</v>
      </c>
      <c r="D2766" s="1" t="s">
        <v>6706</v>
      </c>
      <c r="F2766" s="1" t="s">
        <v>6717</v>
      </c>
      <c r="G2766" s="1" t="str">
        <f>IFERROR(VLOOKUP(A2766,H_C!$A$2:$G$2628,7,0),"Validar HC")</f>
        <v>Validar HC</v>
      </c>
      <c r="H2766" s="165">
        <v>1423500.0</v>
      </c>
      <c r="I2766" s="49">
        <v>42.0</v>
      </c>
    </row>
    <row r="2767" ht="15.75" customHeight="1">
      <c r="A2767" s="1">
        <v>3682960.0</v>
      </c>
      <c r="B2767" s="1" t="s">
        <v>6855</v>
      </c>
      <c r="C2767" s="1" t="s">
        <v>6856</v>
      </c>
      <c r="D2767" s="1" t="s">
        <v>6712</v>
      </c>
      <c r="F2767" s="1" t="s">
        <v>6717</v>
      </c>
      <c r="G2767" s="1" t="str">
        <f>IFERROR(VLOOKUP(A2767,H_C!$A$2:$G$2628,7,0),"Validar HC")</f>
        <v>Validar HC</v>
      </c>
      <c r="H2767" s="165">
        <v>1423500.0</v>
      </c>
      <c r="I2767" s="49">
        <v>42.0</v>
      </c>
    </row>
    <row r="2768" ht="15.75" customHeight="1">
      <c r="A2768" s="1">
        <v>3688790.0</v>
      </c>
      <c r="B2768" s="1" t="s">
        <v>6857</v>
      </c>
      <c r="C2768" s="1" t="s">
        <v>6858</v>
      </c>
      <c r="D2768" s="1" t="s">
        <v>5809</v>
      </c>
      <c r="F2768" s="1" t="s">
        <v>6717</v>
      </c>
      <c r="G2768" s="1" t="str">
        <f>IFERROR(VLOOKUP(A2768,H_C!$A$2:$G$2628,7,0),"Validar HC")</f>
        <v>Validar HC</v>
      </c>
      <c r="H2768" s="165">
        <v>1423500.0</v>
      </c>
      <c r="I2768" s="49">
        <v>42.0</v>
      </c>
    </row>
    <row r="2769" ht="15.75" customHeight="1">
      <c r="A2769" s="1">
        <v>3740226.0</v>
      </c>
      <c r="B2769" s="1" t="s">
        <v>6437</v>
      </c>
      <c r="C2769" s="1" t="s">
        <v>6438</v>
      </c>
      <c r="D2769" s="1" t="s">
        <v>5809</v>
      </c>
      <c r="F2769" s="1" t="s">
        <v>6717</v>
      </c>
      <c r="G2769" s="1" t="str">
        <f>IFERROR(VLOOKUP(A2769,H_C!$A$2:$G$2628,7,0),"Validar HC")</f>
        <v>Validar HC</v>
      </c>
      <c r="H2769" s="165">
        <v>1423500.0</v>
      </c>
      <c r="I2769" s="49">
        <v>42.0</v>
      </c>
    </row>
    <row r="2770" ht="15.75" customHeight="1">
      <c r="A2770" s="1">
        <v>3747757.0</v>
      </c>
      <c r="B2770" s="1" t="s">
        <v>6681</v>
      </c>
      <c r="C2770" s="1" t="s">
        <v>3646</v>
      </c>
      <c r="D2770" s="1" t="s">
        <v>6719</v>
      </c>
      <c r="F2770" s="1" t="s">
        <v>6717</v>
      </c>
      <c r="G2770" s="1" t="str">
        <f>IFERROR(VLOOKUP(A2770,H_C!$A$2:$G$2628,7,0),"Validar HC")</f>
        <v>Validar HC</v>
      </c>
      <c r="H2770" s="165">
        <v>1423500.0</v>
      </c>
      <c r="I2770" s="49">
        <v>42.0</v>
      </c>
    </row>
    <row r="2771" ht="15.75" customHeight="1">
      <c r="A2771" s="1">
        <v>3749341.0</v>
      </c>
      <c r="B2771" s="1" t="s">
        <v>6859</v>
      </c>
      <c r="C2771" s="1" t="s">
        <v>6860</v>
      </c>
      <c r="D2771" s="1" t="s">
        <v>217</v>
      </c>
      <c r="F2771" s="1" t="s">
        <v>6717</v>
      </c>
      <c r="G2771" s="1" t="str">
        <f>IFERROR(VLOOKUP(A2771,H_C!$A$2:$G$2628,7,0),"Validar HC")</f>
        <v>Validar HC</v>
      </c>
      <c r="H2771" s="165">
        <v>1423500.0</v>
      </c>
      <c r="I2771" s="49">
        <v>42.0</v>
      </c>
    </row>
    <row r="2772" ht="15.75" customHeight="1">
      <c r="A2772" s="1">
        <v>3756632.0</v>
      </c>
      <c r="B2772" s="1" t="s">
        <v>1524</v>
      </c>
      <c r="C2772" s="1" t="s">
        <v>6373</v>
      </c>
      <c r="D2772" s="1" t="s">
        <v>6710</v>
      </c>
      <c r="F2772" s="1" t="s">
        <v>6717</v>
      </c>
      <c r="G2772" s="1" t="str">
        <f>IFERROR(VLOOKUP(A2772,H_C!$A$2:$G$2628,7,0),"Validar HC")</f>
        <v>Validar HC</v>
      </c>
      <c r="H2772" s="165">
        <v>1423500.0</v>
      </c>
      <c r="I2772" s="49">
        <v>42.0</v>
      </c>
    </row>
    <row r="2773" ht="15.75" customHeight="1">
      <c r="A2773" s="1">
        <v>3773135.0</v>
      </c>
      <c r="B2773" s="1" t="s">
        <v>5317</v>
      </c>
      <c r="C2773" s="1" t="s">
        <v>6203</v>
      </c>
      <c r="D2773" s="1" t="s">
        <v>5856</v>
      </c>
      <c r="F2773" s="1" t="s">
        <v>6717</v>
      </c>
      <c r="G2773" s="1" t="str">
        <f>IFERROR(VLOOKUP(A2773,H_C!$A$2:$G$2628,7,0),"Validar HC")</f>
        <v>Validar HC</v>
      </c>
      <c r="H2773" s="165">
        <v>1423500.0</v>
      </c>
      <c r="I2773" s="49">
        <v>42.0</v>
      </c>
    </row>
    <row r="2774" ht="15.75" customHeight="1">
      <c r="A2774" s="1">
        <v>3781033.0</v>
      </c>
      <c r="B2774" s="1" t="s">
        <v>292</v>
      </c>
      <c r="C2774" s="1" t="s">
        <v>6861</v>
      </c>
      <c r="D2774" s="1" t="s">
        <v>217</v>
      </c>
      <c r="F2774" s="1" t="s">
        <v>6717</v>
      </c>
      <c r="G2774" s="1" t="str">
        <f>IFERROR(VLOOKUP(A2774,H_C!$A$2:$G$2628,7,0),"Validar HC")</f>
        <v>Validar HC</v>
      </c>
      <c r="H2774" s="165">
        <v>1423500.0</v>
      </c>
      <c r="I2774" s="49">
        <v>42.0</v>
      </c>
    </row>
    <row r="2775" ht="15.75" customHeight="1">
      <c r="A2775" s="1">
        <v>3792508.0</v>
      </c>
      <c r="B2775" s="1" t="s">
        <v>2082</v>
      </c>
      <c r="C2775" s="1" t="s">
        <v>6862</v>
      </c>
      <c r="D2775" s="1" t="s">
        <v>217</v>
      </c>
      <c r="F2775" s="1" t="s">
        <v>6717</v>
      </c>
      <c r="G2775" s="1" t="str">
        <f>IFERROR(VLOOKUP(A2775,H_C!$A$2:$G$2628,7,0),"Validar HC")</f>
        <v>Validar HC</v>
      </c>
      <c r="H2775" s="165">
        <v>1423500.0</v>
      </c>
      <c r="I2775" s="49">
        <v>42.0</v>
      </c>
    </row>
    <row r="2776" ht="15.75" customHeight="1">
      <c r="A2776" s="1">
        <v>3821518.0</v>
      </c>
      <c r="B2776" s="1" t="s">
        <v>6139</v>
      </c>
      <c r="C2776" s="1" t="s">
        <v>3646</v>
      </c>
      <c r="D2776" s="1" t="s">
        <v>5793</v>
      </c>
      <c r="F2776" s="1" t="s">
        <v>6717</v>
      </c>
      <c r="G2776" s="1" t="str">
        <f>IFERROR(VLOOKUP(A2776,H_C!$A$2:$G$2628,7,0),"Validar HC")</f>
        <v>Validar HC</v>
      </c>
      <c r="H2776" s="165">
        <v>1423500.0</v>
      </c>
      <c r="I2776" s="49">
        <v>42.0</v>
      </c>
    </row>
    <row r="2777" ht="15.75" customHeight="1">
      <c r="A2777" s="1">
        <v>3838379.0</v>
      </c>
      <c r="B2777" s="1" t="s">
        <v>6863</v>
      </c>
      <c r="C2777" s="1" t="s">
        <v>6864</v>
      </c>
      <c r="D2777" s="1" t="s">
        <v>5809</v>
      </c>
      <c r="F2777" s="1" t="s">
        <v>6717</v>
      </c>
      <c r="G2777" s="1" t="str">
        <f>IFERROR(VLOOKUP(A2777,H_C!$A$2:$G$2628,7,0),"Validar HC")</f>
        <v>Validar HC</v>
      </c>
      <c r="H2777" s="165">
        <v>1423500.0</v>
      </c>
      <c r="I2777" s="49">
        <v>42.0</v>
      </c>
    </row>
    <row r="2778" ht="15.75" customHeight="1">
      <c r="A2778" s="1">
        <v>3844827.0</v>
      </c>
      <c r="B2778" s="1" t="s">
        <v>6865</v>
      </c>
      <c r="C2778" s="1" t="s">
        <v>6866</v>
      </c>
      <c r="D2778" s="1" t="s">
        <v>6712</v>
      </c>
      <c r="F2778" s="1" t="s">
        <v>6717</v>
      </c>
      <c r="G2778" s="1" t="str">
        <f>IFERROR(VLOOKUP(A2778,H_C!$A$2:$G$2628,7,0),"Validar HC")</f>
        <v>Validar HC</v>
      </c>
      <c r="H2778" s="165">
        <v>1423500.0</v>
      </c>
      <c r="I2778" s="49">
        <v>42.0</v>
      </c>
    </row>
    <row r="2779" ht="15.75" customHeight="1">
      <c r="A2779" s="1">
        <v>3845088.0</v>
      </c>
      <c r="B2779" s="1" t="s">
        <v>6534</v>
      </c>
      <c r="C2779" s="1" t="s">
        <v>6535</v>
      </c>
      <c r="D2779" s="1" t="s">
        <v>5829</v>
      </c>
      <c r="E2779" s="25" t="s">
        <v>118</v>
      </c>
      <c r="F2779" s="1" t="s">
        <v>6717</v>
      </c>
      <c r="G2779" s="1" t="str">
        <f>IFERROR(VLOOKUP(A2779,H_C!$A$2:$G$2628,7,0),"Validar HC")</f>
        <v>Validar HC</v>
      </c>
      <c r="H2779" s="165">
        <v>1423500.0</v>
      </c>
      <c r="I2779" s="49">
        <v>42.0</v>
      </c>
    </row>
    <row r="2780" ht="15.75" customHeight="1">
      <c r="A2780" s="1">
        <v>3862123.0</v>
      </c>
      <c r="B2780" s="1" t="s">
        <v>6455</v>
      </c>
      <c r="C2780" s="1" t="s">
        <v>6456</v>
      </c>
      <c r="D2780" s="1" t="s">
        <v>5856</v>
      </c>
      <c r="F2780" s="1" t="s">
        <v>6717</v>
      </c>
      <c r="G2780" s="1" t="str">
        <f>IFERROR(VLOOKUP(A2780,H_C!$A$2:$G$2628,7,0),"Validar HC")</f>
        <v>Validar HC</v>
      </c>
      <c r="H2780" s="165">
        <v>1423500.0</v>
      </c>
      <c r="I2780" s="49">
        <v>42.0</v>
      </c>
    </row>
    <row r="2781" ht="15.75" customHeight="1">
      <c r="A2781" s="1">
        <v>3866159.0</v>
      </c>
      <c r="B2781" s="1" t="s">
        <v>6223</v>
      </c>
      <c r="C2781" s="1" t="s">
        <v>6224</v>
      </c>
      <c r="D2781" s="1" t="s">
        <v>5809</v>
      </c>
      <c r="F2781" s="1" t="s">
        <v>6717</v>
      </c>
      <c r="G2781" s="1" t="str">
        <f>IFERROR(VLOOKUP(A2781,H_C!$A$2:$G$2628,7,0),"Validar HC")</f>
        <v>Validar HC</v>
      </c>
      <c r="H2781" s="165">
        <v>1423500.0</v>
      </c>
      <c r="I2781" s="49">
        <v>42.0</v>
      </c>
    </row>
    <row r="2782" ht="15.75" customHeight="1">
      <c r="A2782" s="1">
        <v>3866242.0</v>
      </c>
      <c r="B2782" s="1" t="s">
        <v>6220</v>
      </c>
      <c r="C2782" s="1" t="s">
        <v>6221</v>
      </c>
      <c r="D2782" s="1" t="s">
        <v>5809</v>
      </c>
      <c r="F2782" s="1" t="s">
        <v>6717</v>
      </c>
      <c r="G2782" s="1" t="str">
        <f>IFERROR(VLOOKUP(A2782,H_C!$A$2:$G$2628,7,0),"Validar HC")</f>
        <v>Validar HC</v>
      </c>
      <c r="H2782" s="165">
        <v>1423500.0</v>
      </c>
      <c r="I2782" s="49">
        <v>42.0</v>
      </c>
    </row>
    <row r="2783" ht="15.75" customHeight="1">
      <c r="A2783" s="1">
        <v>3868613.0</v>
      </c>
      <c r="B2783" s="1" t="s">
        <v>5872</v>
      </c>
      <c r="C2783" s="1" t="s">
        <v>6520</v>
      </c>
      <c r="D2783" s="1" t="s">
        <v>6706</v>
      </c>
      <c r="F2783" s="1" t="s">
        <v>6717</v>
      </c>
      <c r="G2783" s="1" t="str">
        <f>IFERROR(VLOOKUP(A2783,H_C!$A$2:$G$2628,7,0),"Validar HC")</f>
        <v>Validar HC</v>
      </c>
      <c r="H2783" s="165">
        <v>1423500.0</v>
      </c>
      <c r="I2783" s="49">
        <v>42.0</v>
      </c>
    </row>
    <row r="2784" ht="15.75" customHeight="1">
      <c r="A2784" s="1">
        <v>3882363.0</v>
      </c>
      <c r="B2784" s="1" t="s">
        <v>6237</v>
      </c>
      <c r="C2784" s="1" t="s">
        <v>3646</v>
      </c>
      <c r="D2784" s="1" t="s">
        <v>5878</v>
      </c>
      <c r="F2784" s="1" t="s">
        <v>6717</v>
      </c>
      <c r="G2784" s="1" t="str">
        <f>IFERROR(VLOOKUP(A2784,H_C!$A$2:$G$2628,7,0),"Validar HC")</f>
        <v>Validar HC</v>
      </c>
      <c r="H2784" s="165">
        <v>1423500.0</v>
      </c>
      <c r="I2784" s="49">
        <v>42.0</v>
      </c>
    </row>
    <row r="2785" ht="15.75" customHeight="1">
      <c r="A2785" s="1">
        <v>3923529.0</v>
      </c>
      <c r="B2785" s="1" t="s">
        <v>6867</v>
      </c>
      <c r="C2785" s="1" t="s">
        <v>6868</v>
      </c>
      <c r="D2785" s="1" t="s">
        <v>6714</v>
      </c>
      <c r="F2785" s="1" t="s">
        <v>6717</v>
      </c>
      <c r="G2785" s="1" t="str">
        <f>IFERROR(VLOOKUP(A2785,H_C!$A$2:$G$2628,7,0),"Validar HC")</f>
        <v>Validar HC</v>
      </c>
      <c r="H2785" s="165">
        <v>1423500.0</v>
      </c>
      <c r="I2785" s="49">
        <v>42.0</v>
      </c>
    </row>
    <row r="2786" ht="15.75" customHeight="1">
      <c r="A2786" s="1">
        <v>3960410.0</v>
      </c>
      <c r="B2786" s="1" t="s">
        <v>6161</v>
      </c>
      <c r="C2786" s="1" t="s">
        <v>6162</v>
      </c>
      <c r="D2786" s="1" t="s">
        <v>5809</v>
      </c>
      <c r="F2786" s="1" t="s">
        <v>6717</v>
      </c>
      <c r="G2786" s="1" t="str">
        <f>IFERROR(VLOOKUP(A2786,H_C!$A$2:$G$2628,7,0),"Validar HC")</f>
        <v>Validar HC</v>
      </c>
      <c r="H2786" s="165">
        <v>1423500.0</v>
      </c>
      <c r="I2786" s="49">
        <v>42.0</v>
      </c>
    </row>
    <row r="2787" ht="15.75" customHeight="1">
      <c r="A2787" s="1">
        <v>3992400.0</v>
      </c>
      <c r="B2787" s="1" t="s">
        <v>377</v>
      </c>
      <c r="C2787" s="1" t="s">
        <v>6167</v>
      </c>
      <c r="D2787" s="1" t="s">
        <v>217</v>
      </c>
      <c r="F2787" s="1" t="s">
        <v>6717</v>
      </c>
      <c r="G2787" s="1" t="str">
        <f>IFERROR(VLOOKUP(A2787,H_C!$A$2:$G$2628,7,0),"Validar HC")</f>
        <v>Validar HC</v>
      </c>
      <c r="H2787" s="165">
        <v>1423500.0</v>
      </c>
      <c r="I2787" s="49">
        <v>42.0</v>
      </c>
    </row>
    <row r="2788" ht="15.75" customHeight="1">
      <c r="A2788" s="1">
        <v>4066795.0</v>
      </c>
      <c r="B2788" s="1" t="s">
        <v>6557</v>
      </c>
      <c r="C2788" s="1" t="s">
        <v>6559</v>
      </c>
      <c r="D2788" s="1" t="s">
        <v>6727</v>
      </c>
      <c r="F2788" s="1" t="s">
        <v>6717</v>
      </c>
      <c r="G2788" s="1" t="str">
        <f>IFERROR(VLOOKUP(A2788,H_C!$A$2:$G$2628,7,0),"Validar HC")</f>
        <v>Validar HC</v>
      </c>
      <c r="H2788" s="165">
        <v>1423500.0</v>
      </c>
      <c r="I2788" s="49">
        <v>42.0</v>
      </c>
    </row>
    <row r="2789" ht="15.75" customHeight="1">
      <c r="A2789" s="1">
        <v>4085847.0</v>
      </c>
      <c r="B2789" s="1" t="s">
        <v>6226</v>
      </c>
      <c r="C2789" s="1" t="s">
        <v>6227</v>
      </c>
      <c r="D2789" s="1" t="s">
        <v>5809</v>
      </c>
      <c r="F2789" s="1" t="s">
        <v>6717</v>
      </c>
      <c r="G2789" s="1" t="str">
        <f>IFERROR(VLOOKUP(A2789,H_C!$A$2:$G$2628,7,0),"Validar HC")</f>
        <v>Validar HC</v>
      </c>
      <c r="H2789" s="165">
        <v>1423500.0</v>
      </c>
      <c r="I2789" s="49">
        <v>42.0</v>
      </c>
    </row>
    <row r="2790" ht="15.75" customHeight="1">
      <c r="A2790" s="1">
        <v>4087193.0</v>
      </c>
      <c r="B2790" s="1" t="s">
        <v>6591</v>
      </c>
      <c r="C2790" s="1" t="s">
        <v>6593</v>
      </c>
      <c r="D2790" s="1" t="s">
        <v>6727</v>
      </c>
      <c r="F2790" s="1" t="s">
        <v>6717</v>
      </c>
      <c r="G2790" s="1" t="str">
        <f>IFERROR(VLOOKUP(A2790,H_C!$A$2:$G$2628,7,0),"Validar HC")</f>
        <v>Validar HC</v>
      </c>
      <c r="H2790" s="165">
        <v>1423500.0</v>
      </c>
      <c r="I2790" s="49">
        <v>42.0</v>
      </c>
    </row>
    <row r="2791" ht="15.75" customHeight="1">
      <c r="A2791" s="1">
        <v>4092301.0</v>
      </c>
      <c r="B2791" s="1" t="s">
        <v>6678</v>
      </c>
      <c r="C2791" s="1" t="s">
        <v>3646</v>
      </c>
      <c r="D2791" s="1" t="s">
        <v>6673</v>
      </c>
      <c r="F2791" s="1" t="s">
        <v>6717</v>
      </c>
      <c r="G2791" s="1" t="str">
        <f>IFERROR(VLOOKUP(A2791,H_C!$A$2:$G$2628,7,0),"Validar HC")</f>
        <v>Validar HC</v>
      </c>
      <c r="H2791" s="165">
        <v>1423500.0</v>
      </c>
      <c r="I2791" s="49">
        <v>42.0</v>
      </c>
    </row>
    <row r="2792" ht="15.75" customHeight="1">
      <c r="A2792" s="1">
        <v>4121654.0</v>
      </c>
      <c r="B2792" s="1" t="s">
        <v>6637</v>
      </c>
      <c r="C2792" s="1" t="s">
        <v>6640</v>
      </c>
      <c r="D2792" s="1" t="s">
        <v>6639</v>
      </c>
      <c r="F2792" s="1" t="s">
        <v>6717</v>
      </c>
      <c r="G2792" s="1" t="str">
        <f>IFERROR(VLOOKUP(A2792,H_C!$A$2:$G$2628,7,0),"Validar HC")</f>
        <v>Validar HC</v>
      </c>
      <c r="H2792" s="165">
        <v>1423500.0</v>
      </c>
      <c r="I2792" s="49">
        <v>42.0</v>
      </c>
    </row>
    <row r="2793" ht="15.75" customHeight="1">
      <c r="A2793" s="1">
        <v>4142819.0</v>
      </c>
      <c r="B2793" s="1" t="s">
        <v>6234</v>
      </c>
      <c r="C2793" s="1" t="s">
        <v>6235</v>
      </c>
      <c r="D2793" s="1" t="s">
        <v>5809</v>
      </c>
      <c r="F2793" s="1" t="s">
        <v>6717</v>
      </c>
      <c r="G2793" s="1" t="str">
        <f>IFERROR(VLOOKUP(A2793,H_C!$A$2:$G$2628,7,0),"Validar HC")</f>
        <v>Validar HC</v>
      </c>
      <c r="H2793" s="165">
        <v>1423500.0</v>
      </c>
      <c r="I2793" s="49">
        <v>42.0</v>
      </c>
    </row>
    <row r="2794" ht="15.75" customHeight="1">
      <c r="A2794" s="1">
        <v>4142847.0</v>
      </c>
      <c r="B2794" s="1" t="s">
        <v>1301</v>
      </c>
      <c r="C2794" s="1" t="s">
        <v>6232</v>
      </c>
      <c r="D2794" s="1" t="s">
        <v>6714</v>
      </c>
      <c r="F2794" s="1" t="s">
        <v>6717</v>
      </c>
      <c r="G2794" s="1" t="str">
        <f>IFERROR(VLOOKUP(A2794,H_C!$A$2:$G$2628,7,0),"Validar HC")</f>
        <v>Validar HC</v>
      </c>
      <c r="H2794" s="165">
        <v>1423500.0</v>
      </c>
      <c r="I2794" s="49">
        <v>42.0</v>
      </c>
    </row>
    <row r="2795" ht="15.75" customHeight="1">
      <c r="A2795" s="1">
        <v>4161267.0</v>
      </c>
      <c r="B2795" s="1" t="s">
        <v>6247</v>
      </c>
      <c r="C2795" s="1" t="s">
        <v>3646</v>
      </c>
      <c r="D2795" s="1" t="s">
        <v>6249</v>
      </c>
      <c r="F2795" s="1" t="s">
        <v>6717</v>
      </c>
      <c r="G2795" s="1" t="str">
        <f>IFERROR(VLOOKUP(A2795,H_C!$A$2:$G$2628,7,0),"Validar HC")</f>
        <v>Validar HC</v>
      </c>
      <c r="H2795" s="165">
        <v>1423500.0</v>
      </c>
      <c r="I2795" s="49">
        <v>42.0</v>
      </c>
    </row>
    <row r="2796" ht="15.75" customHeight="1">
      <c r="A2796" s="1">
        <v>4180373.0</v>
      </c>
      <c r="B2796" s="1" t="s">
        <v>6651</v>
      </c>
      <c r="C2796" s="1" t="s">
        <v>3646</v>
      </c>
      <c r="D2796" s="1" t="s">
        <v>6108</v>
      </c>
      <c r="F2796" s="1" t="s">
        <v>6717</v>
      </c>
      <c r="G2796" s="1" t="str">
        <f>IFERROR(VLOOKUP(A2796,H_C!$A$2:$G$2628,7,0),"Validar HC")</f>
        <v>Validar HC</v>
      </c>
      <c r="H2796" s="165">
        <v>1423500.0</v>
      </c>
      <c r="I2796" s="49">
        <v>42.0</v>
      </c>
    </row>
    <row r="2797" ht="15.75" customHeight="1">
      <c r="A2797" s="1">
        <v>4182162.0</v>
      </c>
      <c r="B2797" s="1" t="s">
        <v>4102</v>
      </c>
      <c r="C2797" s="1" t="s">
        <v>6676</v>
      </c>
      <c r="D2797" s="1" t="s">
        <v>5942</v>
      </c>
      <c r="F2797" s="1" t="s">
        <v>6717</v>
      </c>
      <c r="G2797" s="1" t="str">
        <f>IFERROR(VLOOKUP(A2797,H_C!$A$2:$G$2628,7,0),"Validar HC")</f>
        <v>Validar HC</v>
      </c>
      <c r="H2797" s="165">
        <v>1423500.0</v>
      </c>
      <c r="I2797" s="49">
        <v>42.0</v>
      </c>
    </row>
    <row r="2798" ht="15.75" customHeight="1">
      <c r="A2798" s="1">
        <v>4187212.0</v>
      </c>
      <c r="B2798" s="1" t="s">
        <v>6009</v>
      </c>
      <c r="C2798" s="1" t="s">
        <v>6273</v>
      </c>
      <c r="D2798" s="1" t="s">
        <v>6710</v>
      </c>
      <c r="F2798" s="1" t="s">
        <v>6717</v>
      </c>
      <c r="G2798" s="1" t="str">
        <f>IFERROR(VLOOKUP(A2798,H_C!$A$2:$G$2628,7,0),"Validar HC")</f>
        <v>Validar HC</v>
      </c>
      <c r="H2798" s="165">
        <v>1423500.0</v>
      </c>
      <c r="I2798" s="49">
        <v>42.0</v>
      </c>
    </row>
    <row r="2799" ht="15.75" customHeight="1">
      <c r="A2799" s="1">
        <v>4191794.0</v>
      </c>
      <c r="B2799" s="1" t="s">
        <v>6251</v>
      </c>
      <c r="C2799" s="1" t="s">
        <v>6252</v>
      </c>
      <c r="D2799" s="1" t="s">
        <v>5809</v>
      </c>
      <c r="F2799" s="1" t="s">
        <v>6717</v>
      </c>
      <c r="G2799" s="1" t="str">
        <f>IFERROR(VLOOKUP(A2799,H_C!$A$2:$G$2628,7,0),"Validar HC")</f>
        <v>Validar HC</v>
      </c>
      <c r="H2799" s="165">
        <v>1423500.0</v>
      </c>
      <c r="I2799" s="49">
        <v>42.0</v>
      </c>
    </row>
    <row r="2800" ht="15.75" customHeight="1">
      <c r="A2800" s="1">
        <v>4210284.0</v>
      </c>
      <c r="B2800" s="1" t="s">
        <v>6257</v>
      </c>
      <c r="C2800" s="1" t="s">
        <v>6258</v>
      </c>
      <c r="D2800" s="1" t="s">
        <v>6721</v>
      </c>
      <c r="F2800" s="1" t="s">
        <v>6717</v>
      </c>
      <c r="G2800" s="1" t="str">
        <f>IFERROR(VLOOKUP(A2800,H_C!$A$2:$G$2628,7,0),"Validar HC")</f>
        <v>Validar HC</v>
      </c>
      <c r="H2800" s="165">
        <v>1423500.0</v>
      </c>
      <c r="I2800" s="49">
        <v>42.0</v>
      </c>
    </row>
    <row r="2801" ht="15.75" customHeight="1">
      <c r="A2801" s="1">
        <v>4232693.0</v>
      </c>
      <c r="B2801" s="1" t="s">
        <v>6266</v>
      </c>
      <c r="C2801" s="1" t="s">
        <v>3646</v>
      </c>
      <c r="D2801" s="1" t="s">
        <v>6249</v>
      </c>
      <c r="F2801" s="1" t="s">
        <v>6717</v>
      </c>
      <c r="G2801" s="1" t="str">
        <f>IFERROR(VLOOKUP(A2801,H_C!$A$2:$G$2628,7,0),"Validar HC")</f>
        <v>Validar HC</v>
      </c>
      <c r="H2801" s="165">
        <v>1423500.0</v>
      </c>
      <c r="I2801" s="49">
        <v>42.0</v>
      </c>
    </row>
    <row r="2802" ht="15.75" customHeight="1">
      <c r="A2802" s="1">
        <v>4262712.0</v>
      </c>
      <c r="B2802" s="1" t="s">
        <v>6603</v>
      </c>
      <c r="C2802" s="1" t="s">
        <v>6606</v>
      </c>
      <c r="D2802" s="1" t="s">
        <v>6605</v>
      </c>
      <c r="F2802" s="1" t="s">
        <v>6717</v>
      </c>
      <c r="G2802" s="1" t="str">
        <f>IFERROR(VLOOKUP(A2802,H_C!$A$2:$G$2628,7,0),"Validar HC")</f>
        <v>Validar HC</v>
      </c>
      <c r="H2802" s="165">
        <v>1423500.0</v>
      </c>
      <c r="I2802" s="49">
        <v>42.0</v>
      </c>
    </row>
    <row r="2803" ht="15.75" customHeight="1">
      <c r="A2803" s="1">
        <v>4290998.0</v>
      </c>
      <c r="B2803" s="1" t="s">
        <v>6345</v>
      </c>
      <c r="C2803" s="1" t="s">
        <v>6346</v>
      </c>
      <c r="D2803" s="1" t="s">
        <v>5856</v>
      </c>
      <c r="F2803" s="1" t="s">
        <v>6717</v>
      </c>
      <c r="G2803" s="1" t="str">
        <f>IFERROR(VLOOKUP(A2803,H_C!$A$2:$G$2628,7,0),"Validar HC")</f>
        <v>Validar HC</v>
      </c>
      <c r="H2803" s="165">
        <v>1423500.0</v>
      </c>
      <c r="I2803" s="49">
        <v>42.0</v>
      </c>
    </row>
    <row r="2804" ht="15.75" customHeight="1">
      <c r="A2804" s="1">
        <v>4313180.0</v>
      </c>
      <c r="B2804" s="1" t="s">
        <v>6649</v>
      </c>
      <c r="C2804" s="1" t="s">
        <v>3646</v>
      </c>
      <c r="D2804" s="1" t="s">
        <v>6650</v>
      </c>
      <c r="F2804" s="1" t="s">
        <v>6717</v>
      </c>
      <c r="G2804" s="1" t="str">
        <f>IFERROR(VLOOKUP(A2804,H_C!$A$2:$G$2628,7,0),"Validar HC")</f>
        <v>Validar HC</v>
      </c>
      <c r="H2804" s="165">
        <v>1423500.0</v>
      </c>
      <c r="I2804" s="49">
        <v>42.0</v>
      </c>
    </row>
    <row r="2805" ht="15.75" customHeight="1">
      <c r="A2805" s="1">
        <v>4347639.0</v>
      </c>
      <c r="B2805" s="1" t="s">
        <v>6278</v>
      </c>
      <c r="C2805" s="1" t="s">
        <v>6279</v>
      </c>
      <c r="D2805" s="1" t="s">
        <v>5856</v>
      </c>
      <c r="F2805" s="1" t="s">
        <v>6717</v>
      </c>
      <c r="G2805" s="1" t="str">
        <f>IFERROR(VLOOKUP(A2805,H_C!$A$2:$G$2628,7,0),"Validar HC")</f>
        <v>Validar HC</v>
      </c>
      <c r="H2805" s="165">
        <v>1423500.0</v>
      </c>
      <c r="I2805" s="49">
        <v>42.0</v>
      </c>
    </row>
    <row r="2806" ht="15.75" customHeight="1">
      <c r="A2806" s="1">
        <v>4352995.0</v>
      </c>
      <c r="B2806" s="1" t="s">
        <v>6281</v>
      </c>
      <c r="C2806" s="1" t="s">
        <v>6282</v>
      </c>
      <c r="D2806" s="1" t="s">
        <v>5856</v>
      </c>
      <c r="F2806" s="1" t="s">
        <v>6717</v>
      </c>
      <c r="G2806" s="1" t="str">
        <f>IFERROR(VLOOKUP(A2806,H_C!$A$2:$G$2628,7,0),"Validar HC")</f>
        <v>Validar HC</v>
      </c>
      <c r="H2806" s="165">
        <v>1423500.0</v>
      </c>
      <c r="I2806" s="49">
        <v>42.0</v>
      </c>
    </row>
    <row r="2807" ht="15.75" customHeight="1">
      <c r="A2807" s="1">
        <v>4357197.0</v>
      </c>
      <c r="B2807" s="1" t="s">
        <v>5593</v>
      </c>
      <c r="C2807" s="1" t="s">
        <v>6284</v>
      </c>
      <c r="D2807" s="1" t="s">
        <v>5856</v>
      </c>
      <c r="F2807" s="1" t="s">
        <v>6717</v>
      </c>
      <c r="G2807" s="1" t="str">
        <f>IFERROR(VLOOKUP(A2807,H_C!$A$2:$G$2628,7,0),"Validar HC")</f>
        <v>Validar HC</v>
      </c>
      <c r="H2807" s="165">
        <v>1423500.0</v>
      </c>
      <c r="I2807" s="49">
        <v>42.0</v>
      </c>
    </row>
    <row r="2808" ht="15.75" customHeight="1">
      <c r="A2808" s="1">
        <v>4358128.0</v>
      </c>
      <c r="B2808" s="1" t="s">
        <v>6613</v>
      </c>
      <c r="C2808" s="1" t="s">
        <v>6615</v>
      </c>
      <c r="D2808" s="1" t="s">
        <v>6727</v>
      </c>
      <c r="F2808" s="1" t="s">
        <v>6717</v>
      </c>
      <c r="G2808" s="1" t="str">
        <f>IFERROR(VLOOKUP(A2808,H_C!$A$2:$G$2628,7,0),"Validar HC")</f>
        <v>Validar HC</v>
      </c>
      <c r="H2808" s="165">
        <v>1423500.0</v>
      </c>
      <c r="I2808" s="49">
        <v>42.0</v>
      </c>
    </row>
    <row r="2809" ht="15.75" customHeight="1">
      <c r="A2809" s="1">
        <v>4388033.0</v>
      </c>
      <c r="B2809" s="1" t="s">
        <v>6288</v>
      </c>
      <c r="C2809" s="1" t="s">
        <v>6289</v>
      </c>
      <c r="D2809" s="1" t="s">
        <v>5856</v>
      </c>
      <c r="F2809" s="1" t="s">
        <v>6717</v>
      </c>
      <c r="G2809" s="1" t="str">
        <f>IFERROR(VLOOKUP(A2809,H_C!$A$2:$G$2628,7,0),"Validar HC")</f>
        <v>Validar HC</v>
      </c>
      <c r="H2809" s="165">
        <v>1423500.0</v>
      </c>
      <c r="I2809" s="49">
        <v>42.0</v>
      </c>
    </row>
    <row r="2810" ht="15.75" customHeight="1">
      <c r="A2810" s="1">
        <v>4404244.0</v>
      </c>
      <c r="B2810" s="1" t="s">
        <v>6291</v>
      </c>
      <c r="C2810" s="1" t="s">
        <v>6293</v>
      </c>
      <c r="D2810" s="1" t="s">
        <v>6727</v>
      </c>
      <c r="F2810" s="1" t="s">
        <v>6717</v>
      </c>
      <c r="G2810" s="1" t="str">
        <f>IFERROR(VLOOKUP(A2810,H_C!$A$2:$G$2628,7,0),"Validar HC")</f>
        <v>Validar HC</v>
      </c>
      <c r="H2810" s="165">
        <v>1423500.0</v>
      </c>
      <c r="I2810" s="49">
        <v>42.0</v>
      </c>
    </row>
    <row r="2811" ht="15.75" customHeight="1">
      <c r="A2811" s="1">
        <v>4427464.0</v>
      </c>
      <c r="B2811" s="1" t="s">
        <v>558</v>
      </c>
      <c r="C2811" s="1" t="s">
        <v>6869</v>
      </c>
      <c r="D2811" s="1" t="s">
        <v>217</v>
      </c>
      <c r="F2811" s="1" t="s">
        <v>6717</v>
      </c>
      <c r="G2811" s="1" t="str">
        <f>IFERROR(VLOOKUP(A2811,H_C!$A$2:$G$2628,7,0),"Validar HC")</f>
        <v>Validar HC</v>
      </c>
      <c r="H2811" s="165">
        <v>1423500.0</v>
      </c>
      <c r="I2811" s="49">
        <v>42.0</v>
      </c>
    </row>
    <row r="2812" ht="15.75" customHeight="1">
      <c r="A2812" s="1">
        <v>4453312.0</v>
      </c>
      <c r="B2812" s="1" t="s">
        <v>5603</v>
      </c>
      <c r="C2812" s="1" t="s">
        <v>6298</v>
      </c>
      <c r="D2812" s="1" t="s">
        <v>5856</v>
      </c>
      <c r="F2812" s="1" t="s">
        <v>6717</v>
      </c>
      <c r="G2812" s="1" t="str">
        <f>IFERROR(VLOOKUP(A2812,H_C!$A$2:$G$2628,7,0),"Validar HC")</f>
        <v>Validar HC</v>
      </c>
      <c r="H2812" s="165">
        <v>1423500.0</v>
      </c>
      <c r="I2812" s="49">
        <v>42.0</v>
      </c>
    </row>
    <row r="2813" ht="15.75" customHeight="1">
      <c r="A2813" s="1">
        <v>4460191.0</v>
      </c>
      <c r="B2813" s="1" t="s">
        <v>6295</v>
      </c>
      <c r="C2813" s="1" t="s">
        <v>6296</v>
      </c>
      <c r="D2813" s="1" t="s">
        <v>6706</v>
      </c>
      <c r="F2813" s="1" t="s">
        <v>6717</v>
      </c>
      <c r="G2813" s="1" t="str">
        <f>IFERROR(VLOOKUP(A2813,H_C!$A$2:$G$2628,7,0),"Validar HC")</f>
        <v>Validar HC</v>
      </c>
      <c r="H2813" s="165">
        <v>1423500.0</v>
      </c>
      <c r="I2813" s="49">
        <v>42.0</v>
      </c>
    </row>
    <row r="2814" ht="15.75" customHeight="1">
      <c r="A2814" s="1">
        <v>4473815.0</v>
      </c>
      <c r="B2814" s="1" t="s">
        <v>6870</v>
      </c>
      <c r="C2814" s="1" t="s">
        <v>6871</v>
      </c>
      <c r="D2814" s="1" t="s">
        <v>5809</v>
      </c>
      <c r="F2814" s="1" t="s">
        <v>6717</v>
      </c>
      <c r="G2814" s="1" t="str">
        <f>IFERROR(VLOOKUP(A2814,H_C!$A$2:$G$2628,7,0),"Validar HC")</f>
        <v>Validar HC</v>
      </c>
      <c r="H2814" s="165">
        <v>1423500.0</v>
      </c>
      <c r="I2814" s="49">
        <v>42.0</v>
      </c>
    </row>
    <row r="2815" ht="15.75" customHeight="1">
      <c r="A2815" s="1">
        <v>4486065.0</v>
      </c>
      <c r="B2815" s="1" t="s">
        <v>6872</v>
      </c>
      <c r="C2815" s="1" t="s">
        <v>6873</v>
      </c>
      <c r="D2815" s="1" t="s">
        <v>5809</v>
      </c>
      <c r="F2815" s="1" t="s">
        <v>6717</v>
      </c>
      <c r="G2815" s="1" t="str">
        <f>IFERROR(VLOOKUP(A2815,H_C!$A$2:$G$2628,7,0),"Validar HC")</f>
        <v>Validar HC</v>
      </c>
      <c r="H2815" s="165">
        <v>1423500.0</v>
      </c>
      <c r="I2815" s="49">
        <v>42.0</v>
      </c>
    </row>
    <row r="2816" ht="15.75" customHeight="1">
      <c r="A2816" s="1">
        <v>4502088.0</v>
      </c>
      <c r="B2816" s="1" t="s">
        <v>6300</v>
      </c>
      <c r="C2816" s="1" t="s">
        <v>6301</v>
      </c>
      <c r="D2816" s="1" t="s">
        <v>5868</v>
      </c>
      <c r="F2816" s="1" t="s">
        <v>6717</v>
      </c>
      <c r="G2816" s="1" t="str">
        <f>IFERROR(VLOOKUP(A2816,H_C!$A$2:$G$2628,7,0),"Validar HC")</f>
        <v>Validar HC</v>
      </c>
      <c r="H2816" s="165">
        <v>1423500.0</v>
      </c>
      <c r="I2816" s="49">
        <v>42.0</v>
      </c>
    </row>
    <row r="2817" ht="15.75" customHeight="1">
      <c r="A2817" s="1">
        <v>4514203.0</v>
      </c>
      <c r="B2817" s="1" t="s">
        <v>6306</v>
      </c>
      <c r="C2817" s="1" t="s">
        <v>6307</v>
      </c>
      <c r="D2817" s="1" t="s">
        <v>5809</v>
      </c>
      <c r="F2817" s="1" t="s">
        <v>6717</v>
      </c>
      <c r="G2817" s="1" t="str">
        <f>IFERROR(VLOOKUP(A2817,H_C!$A$2:$G$2628,7,0),"Validar HC")</f>
        <v>Validar HC</v>
      </c>
      <c r="H2817" s="165">
        <v>1423500.0</v>
      </c>
      <c r="I2817" s="49">
        <v>42.0</v>
      </c>
    </row>
    <row r="2818" ht="15.75" customHeight="1">
      <c r="A2818" s="1">
        <v>4582485.0</v>
      </c>
      <c r="B2818" s="1" t="s">
        <v>6522</v>
      </c>
      <c r="C2818" s="1" t="s">
        <v>6523</v>
      </c>
      <c r="D2818" s="1" t="s">
        <v>6714</v>
      </c>
      <c r="F2818" s="1" t="s">
        <v>6717</v>
      </c>
      <c r="G2818" s="1" t="str">
        <f>IFERROR(VLOOKUP(A2818,H_C!$A$2:$G$2628,7,0),"Validar HC")</f>
        <v>Validar HC</v>
      </c>
      <c r="H2818" s="165">
        <v>1423500.0</v>
      </c>
      <c r="I2818" s="49">
        <v>42.0</v>
      </c>
    </row>
    <row r="2819" ht="15.75" customHeight="1">
      <c r="A2819" s="1">
        <v>4632029.0</v>
      </c>
      <c r="B2819" s="1" t="s">
        <v>6325</v>
      </c>
      <c r="C2819" s="1" t="s">
        <v>6326</v>
      </c>
      <c r="D2819" s="1" t="s">
        <v>6706</v>
      </c>
      <c r="F2819" s="1" t="s">
        <v>6717</v>
      </c>
      <c r="G2819" s="1" t="str">
        <f>IFERROR(VLOOKUP(A2819,H_C!$A$2:$G$2628,7,0),"Validar HC")</f>
        <v>Validar HC</v>
      </c>
      <c r="H2819" s="165">
        <v>1423500.0</v>
      </c>
      <c r="I2819" s="49">
        <v>42.0</v>
      </c>
    </row>
    <row r="2820" ht="15.75" customHeight="1">
      <c r="A2820" s="1">
        <v>4632047.0</v>
      </c>
      <c r="B2820" s="1" t="s">
        <v>6328</v>
      </c>
      <c r="C2820" s="1" t="s">
        <v>6329</v>
      </c>
      <c r="D2820" s="1" t="s">
        <v>6714</v>
      </c>
      <c r="F2820" s="1" t="s">
        <v>6717</v>
      </c>
      <c r="G2820" s="1" t="str">
        <f>IFERROR(VLOOKUP(A2820,H_C!$A$2:$G$2628,7,0),"Validar HC")</f>
        <v>Validar HC</v>
      </c>
      <c r="H2820" s="165">
        <v>1423500.0</v>
      </c>
      <c r="I2820" s="49">
        <v>42.0</v>
      </c>
    </row>
    <row r="2821" ht="15.75" customHeight="1">
      <c r="A2821" s="1">
        <v>4635649.0</v>
      </c>
      <c r="B2821" s="1" t="s">
        <v>6663</v>
      </c>
      <c r="C2821" s="1" t="s">
        <v>6664</v>
      </c>
      <c r="D2821" s="1" t="s">
        <v>6714</v>
      </c>
      <c r="F2821" s="1" t="s">
        <v>6717</v>
      </c>
      <c r="G2821" s="1" t="str">
        <f>IFERROR(VLOOKUP(A2821,H_C!$A$2:$G$2628,7,0),"Validar HC")</f>
        <v>Validar HC</v>
      </c>
      <c r="H2821" s="165">
        <v>1423500.0</v>
      </c>
      <c r="I2821" s="49">
        <v>42.0</v>
      </c>
    </row>
    <row r="2822" ht="15.75" customHeight="1">
      <c r="A2822" s="1">
        <v>4643316.0</v>
      </c>
      <c r="B2822" s="1" t="s">
        <v>5681</v>
      </c>
      <c r="C2822" s="1" t="s">
        <v>6499</v>
      </c>
      <c r="D2822" s="1" t="s">
        <v>218</v>
      </c>
      <c r="E2822" s="25" t="s">
        <v>120</v>
      </c>
      <c r="F2822" s="1" t="s">
        <v>6717</v>
      </c>
      <c r="G2822" s="1" t="str">
        <f>IFERROR(VLOOKUP(A2822,H_C!$A$2:$G$2628,7,0),"Validar HC")</f>
        <v>Validar HC</v>
      </c>
      <c r="H2822" s="165">
        <v>1423500.0</v>
      </c>
      <c r="I2822" s="49">
        <v>42.0</v>
      </c>
    </row>
    <row r="2823" ht="15.75" customHeight="1">
      <c r="A2823" s="1">
        <v>4646376.0</v>
      </c>
      <c r="B2823" s="1" t="s">
        <v>312</v>
      </c>
      <c r="C2823" s="1" t="s">
        <v>6323</v>
      </c>
      <c r="D2823" s="1" t="s">
        <v>217</v>
      </c>
      <c r="F2823" s="1" t="s">
        <v>6717</v>
      </c>
      <c r="G2823" s="1" t="str">
        <f>IFERROR(VLOOKUP(A2823,H_C!$A$2:$G$2628,7,0),"Validar HC")</f>
        <v>Validar HC</v>
      </c>
      <c r="H2823" s="165">
        <v>1423500.0</v>
      </c>
      <c r="I2823" s="49">
        <v>42.0</v>
      </c>
    </row>
    <row r="2824" ht="15.75" customHeight="1">
      <c r="A2824" s="1">
        <v>4647051.0</v>
      </c>
      <c r="B2824" s="1" t="s">
        <v>3454</v>
      </c>
      <c r="C2824" s="1" t="s">
        <v>6337</v>
      </c>
      <c r="D2824" s="1" t="s">
        <v>5856</v>
      </c>
      <c r="F2824" s="1" t="s">
        <v>6717</v>
      </c>
      <c r="G2824" s="1" t="str">
        <f>IFERROR(VLOOKUP(A2824,H_C!$A$2:$G$2628,7,0),"Validar HC")</f>
        <v>Validar HC</v>
      </c>
      <c r="H2824" s="165">
        <v>1423500.0</v>
      </c>
      <c r="I2824" s="49">
        <v>42.0</v>
      </c>
    </row>
    <row r="2825" ht="15.75" customHeight="1">
      <c r="A2825" s="1">
        <v>4647299.0</v>
      </c>
      <c r="B2825" s="1" t="s">
        <v>6874</v>
      </c>
      <c r="C2825" s="1" t="s">
        <v>6875</v>
      </c>
      <c r="D2825" s="1" t="s">
        <v>5809</v>
      </c>
      <c r="F2825" s="1" t="s">
        <v>6717</v>
      </c>
      <c r="G2825" s="1" t="str">
        <f>IFERROR(VLOOKUP(A2825,H_C!$A$2:$G$2628,7,0),"Validar HC")</f>
        <v>Validar HC</v>
      </c>
      <c r="H2825" s="165">
        <v>1423500.0</v>
      </c>
      <c r="I2825" s="49">
        <v>42.0</v>
      </c>
    </row>
    <row r="2826" ht="15.75" customHeight="1">
      <c r="A2826" s="1">
        <v>4647315.0</v>
      </c>
      <c r="B2826" s="1" t="s">
        <v>6334</v>
      </c>
      <c r="C2826" s="1" t="s">
        <v>6335</v>
      </c>
      <c r="D2826" s="1" t="s">
        <v>5809</v>
      </c>
      <c r="F2826" s="1" t="s">
        <v>6717</v>
      </c>
      <c r="G2826" s="1" t="str">
        <f>IFERROR(VLOOKUP(A2826,H_C!$A$2:$G$2628,7,0),"Validar HC")</f>
        <v>Validar HC</v>
      </c>
      <c r="H2826" s="165">
        <v>1423500.0</v>
      </c>
      <c r="I2826" s="49">
        <v>42.0</v>
      </c>
    </row>
    <row r="2827" ht="15.75" customHeight="1">
      <c r="A2827" s="1">
        <v>4647385.0</v>
      </c>
      <c r="B2827" s="1" t="s">
        <v>6331</v>
      </c>
      <c r="C2827" s="1" t="s">
        <v>6332</v>
      </c>
      <c r="D2827" s="1" t="s">
        <v>5809</v>
      </c>
      <c r="F2827" s="1" t="s">
        <v>6717</v>
      </c>
      <c r="G2827" s="1" t="str">
        <f>IFERROR(VLOOKUP(A2827,H_C!$A$2:$G$2628,7,0),"Validar HC")</f>
        <v>Validar HC</v>
      </c>
      <c r="H2827" s="165">
        <v>1423500.0</v>
      </c>
      <c r="I2827" s="49">
        <v>42.0</v>
      </c>
    </row>
    <row r="2828" ht="15.75" customHeight="1">
      <c r="A2828" s="1">
        <v>4682396.0</v>
      </c>
      <c r="B2828" s="1" t="s">
        <v>6342</v>
      </c>
      <c r="C2828" s="1" t="s">
        <v>6343</v>
      </c>
      <c r="D2828" s="1" t="s">
        <v>5809</v>
      </c>
      <c r="F2828" s="1" t="s">
        <v>6717</v>
      </c>
      <c r="G2828" s="1" t="str">
        <f>IFERROR(VLOOKUP(A2828,H_C!$A$2:$G$2628,7,0),"Validar HC")</f>
        <v>Validar HC</v>
      </c>
      <c r="H2828" s="165">
        <v>1423500.0</v>
      </c>
      <c r="I2828" s="49">
        <v>42.0</v>
      </c>
    </row>
    <row r="2829" ht="15.75" customHeight="1">
      <c r="A2829" s="1">
        <v>4682530.0</v>
      </c>
      <c r="B2829" s="1" t="s">
        <v>6339</v>
      </c>
      <c r="C2829" s="1" t="s">
        <v>6340</v>
      </c>
      <c r="D2829" s="1" t="s">
        <v>5809</v>
      </c>
      <c r="F2829" s="1" t="s">
        <v>6717</v>
      </c>
      <c r="G2829" s="1" t="str">
        <f>IFERROR(VLOOKUP(A2829,H_C!$A$2:$G$2628,7,0),"Validar HC")</f>
        <v>Validar HC</v>
      </c>
      <c r="H2829" s="165">
        <v>1423500.0</v>
      </c>
      <c r="I2829" s="49">
        <v>42.0</v>
      </c>
    </row>
    <row r="2830" ht="15.75" customHeight="1">
      <c r="A2830" s="1">
        <v>4699528.0</v>
      </c>
      <c r="B2830" s="1" t="s">
        <v>6876</v>
      </c>
      <c r="C2830" s="1" t="s">
        <v>6877</v>
      </c>
      <c r="D2830" s="1" t="s">
        <v>6712</v>
      </c>
      <c r="F2830" s="1" t="s">
        <v>6717</v>
      </c>
      <c r="G2830" s="1" t="str">
        <f>IFERROR(VLOOKUP(A2830,H_C!$A$2:$G$2628,7,0),"Validar HC")</f>
        <v>Validar HC</v>
      </c>
      <c r="H2830" s="165">
        <v>1423500.0</v>
      </c>
      <c r="I2830" s="49">
        <v>42.0</v>
      </c>
    </row>
    <row r="2831" ht="15.75" customHeight="1">
      <c r="A2831" s="1">
        <v>4699545.0</v>
      </c>
      <c r="B2831" s="1" t="s">
        <v>533</v>
      </c>
      <c r="C2831" s="1" t="s">
        <v>6878</v>
      </c>
      <c r="D2831" s="1" t="s">
        <v>217</v>
      </c>
      <c r="F2831" s="1" t="s">
        <v>6717</v>
      </c>
      <c r="G2831" s="1" t="str">
        <f>IFERROR(VLOOKUP(A2831,H_C!$A$2:$G$2628,7,0),"Validar HC")</f>
        <v>Validar HC</v>
      </c>
      <c r="H2831" s="165">
        <v>1423500.0</v>
      </c>
      <c r="I2831" s="49">
        <v>42.0</v>
      </c>
    </row>
    <row r="2832" ht="15.75" customHeight="1">
      <c r="A2832" s="1">
        <v>4714890.0</v>
      </c>
      <c r="B2832" s="1" t="s">
        <v>6117</v>
      </c>
      <c r="C2832" s="1" t="s">
        <v>6118</v>
      </c>
      <c r="D2832" s="1" t="s">
        <v>5809</v>
      </c>
      <c r="F2832" s="1" t="s">
        <v>6717</v>
      </c>
      <c r="G2832" s="1" t="str">
        <f>IFERROR(VLOOKUP(A2832,H_C!$A$2:$G$2628,7,0),"Validar HC")</f>
        <v>Validar HC</v>
      </c>
      <c r="H2832" s="165">
        <v>1423500.0</v>
      </c>
      <c r="I2832" s="49">
        <v>42.0</v>
      </c>
    </row>
    <row r="2833" ht="15.75" customHeight="1">
      <c r="A2833" s="1">
        <v>4720648.0</v>
      </c>
      <c r="B2833" s="1" t="s">
        <v>6642</v>
      </c>
      <c r="C2833" s="1" t="s">
        <v>6644</v>
      </c>
      <c r="D2833" s="1" t="s">
        <v>6639</v>
      </c>
      <c r="F2833" s="1" t="s">
        <v>6717</v>
      </c>
      <c r="G2833" s="1" t="str">
        <f>IFERROR(VLOOKUP(A2833,H_C!$A$2:$G$2628,7,0),"Validar HC")</f>
        <v>Validar HC</v>
      </c>
      <c r="H2833" s="165">
        <v>1423500.0</v>
      </c>
      <c r="I2833" s="49">
        <v>42.0</v>
      </c>
    </row>
    <row r="2834" ht="15.75" customHeight="1">
      <c r="A2834" s="1">
        <v>4757420.0</v>
      </c>
      <c r="B2834" s="1" t="s">
        <v>6350</v>
      </c>
      <c r="C2834" s="1" t="s">
        <v>6351</v>
      </c>
      <c r="D2834" s="1" t="s">
        <v>6714</v>
      </c>
      <c r="F2834" s="1" t="s">
        <v>6717</v>
      </c>
      <c r="G2834" s="1" t="str">
        <f>IFERROR(VLOOKUP(A2834,H_C!$A$2:$G$2628,7,0),"Validar HC")</f>
        <v>Validar HC</v>
      </c>
      <c r="H2834" s="165">
        <v>1423500.0</v>
      </c>
      <c r="I2834" s="49">
        <v>42.0</v>
      </c>
    </row>
    <row r="2835" ht="15.75" customHeight="1">
      <c r="A2835" s="1">
        <v>4795667.0</v>
      </c>
      <c r="B2835" s="1" t="s">
        <v>6566</v>
      </c>
      <c r="C2835" s="1" t="s">
        <v>6568</v>
      </c>
      <c r="D2835" s="1" t="s">
        <v>6548</v>
      </c>
      <c r="F2835" s="1" t="s">
        <v>6717</v>
      </c>
      <c r="G2835" s="1" t="str">
        <f>IFERROR(VLOOKUP(A2835,H_C!$A$2:$G$2628,7,0),"Validar HC")</f>
        <v>Validar HC</v>
      </c>
      <c r="H2835" s="165">
        <v>1423500.0</v>
      </c>
      <c r="I2835" s="49">
        <v>42.0</v>
      </c>
    </row>
    <row r="2836" ht="15.75" customHeight="1">
      <c r="A2836" s="1">
        <v>4800738.0</v>
      </c>
      <c r="B2836" s="1" t="s">
        <v>6362</v>
      </c>
      <c r="C2836" s="1" t="s">
        <v>6363</v>
      </c>
      <c r="D2836" s="1" t="s">
        <v>5809</v>
      </c>
      <c r="F2836" s="1" t="s">
        <v>6717</v>
      </c>
      <c r="G2836" s="1" t="str">
        <f>IFERROR(VLOOKUP(A2836,H_C!$A$2:$G$2628,7,0),"Validar HC")</f>
        <v>Validar HC</v>
      </c>
      <c r="H2836" s="165">
        <v>1423500.0</v>
      </c>
      <c r="I2836" s="49">
        <v>42.0</v>
      </c>
    </row>
    <row r="2837" ht="15.75" customHeight="1">
      <c r="A2837" s="1">
        <v>4801060.0</v>
      </c>
      <c r="B2837" s="1" t="s">
        <v>6365</v>
      </c>
      <c r="C2837" s="1" t="s">
        <v>6366</v>
      </c>
      <c r="D2837" s="1" t="s">
        <v>5809</v>
      </c>
      <c r="F2837" s="1" t="s">
        <v>6717</v>
      </c>
      <c r="G2837" s="1" t="str">
        <f>IFERROR(VLOOKUP(A2837,H_C!$A$2:$G$2628,7,0),"Validar HC")</f>
        <v>Validar HC</v>
      </c>
      <c r="H2837" s="165">
        <v>1423500.0</v>
      </c>
      <c r="I2837" s="49">
        <v>42.0</v>
      </c>
    </row>
    <row r="2838" ht="15.75" customHeight="1">
      <c r="A2838" s="1">
        <v>4810531.0</v>
      </c>
      <c r="B2838" s="1" t="s">
        <v>5568</v>
      </c>
      <c r="C2838" s="1" t="s">
        <v>6371</v>
      </c>
      <c r="D2838" s="1" t="s">
        <v>5856</v>
      </c>
      <c r="F2838" s="1" t="s">
        <v>6717</v>
      </c>
      <c r="G2838" s="1" t="str">
        <f>IFERROR(VLOOKUP(A2838,H_C!$A$2:$G$2628,7,0),"Validar HC")</f>
        <v>Validar HC</v>
      </c>
      <c r="H2838" s="165">
        <v>1423500.0</v>
      </c>
      <c r="I2838" s="49">
        <v>42.0</v>
      </c>
    </row>
    <row r="2839" ht="15.75" customHeight="1">
      <c r="A2839" s="1">
        <v>4845130.0</v>
      </c>
      <c r="B2839" s="1" t="s">
        <v>6378</v>
      </c>
      <c r="C2839" s="1" t="s">
        <v>6379</v>
      </c>
      <c r="D2839" s="1" t="s">
        <v>5809</v>
      </c>
      <c r="F2839" s="1" t="s">
        <v>6717</v>
      </c>
      <c r="G2839" s="1" t="str">
        <f>IFERROR(VLOOKUP(A2839,H_C!$A$2:$G$2628,7,0),"Validar HC")</f>
        <v>Validar HC</v>
      </c>
      <c r="H2839" s="165">
        <v>1423500.0</v>
      </c>
      <c r="I2839" s="49">
        <v>42.0</v>
      </c>
    </row>
    <row r="2840" ht="15.75" customHeight="1">
      <c r="A2840" s="1">
        <v>4872163.0</v>
      </c>
      <c r="B2840" s="1" t="s">
        <v>6879</v>
      </c>
      <c r="C2840" s="1" t="s">
        <v>6880</v>
      </c>
      <c r="D2840" s="1" t="s">
        <v>5829</v>
      </c>
      <c r="E2840" s="25" t="s">
        <v>841</v>
      </c>
      <c r="F2840" s="1" t="s">
        <v>6717</v>
      </c>
      <c r="G2840" s="1" t="str">
        <f>IFERROR(VLOOKUP(A2840,H_C!$A$2:$G$2628,7,0),"Validar HC")</f>
        <v>Validar HC</v>
      </c>
      <c r="H2840" s="165">
        <v>1423500.0</v>
      </c>
      <c r="I2840" s="49">
        <v>42.0</v>
      </c>
    </row>
    <row r="2841" ht="15.75" customHeight="1">
      <c r="A2841" s="1">
        <v>4881181.0</v>
      </c>
      <c r="B2841" s="1" t="s">
        <v>6491</v>
      </c>
      <c r="C2841" s="1" t="s">
        <v>6492</v>
      </c>
      <c r="D2841" s="1" t="s">
        <v>5829</v>
      </c>
      <c r="E2841" s="25" t="s">
        <v>113</v>
      </c>
      <c r="F2841" s="1" t="s">
        <v>6717</v>
      </c>
      <c r="G2841" s="1" t="str">
        <f>IFERROR(VLOOKUP(A2841,H_C!$A$2:$G$2628,7,0),"Validar HC")</f>
        <v>Validar HC</v>
      </c>
      <c r="H2841" s="165">
        <v>1423500.0</v>
      </c>
      <c r="I2841" s="49">
        <v>42.0</v>
      </c>
    </row>
    <row r="2842" ht="15.75" customHeight="1">
      <c r="A2842" s="1">
        <v>4881744.0</v>
      </c>
      <c r="B2842" s="1" t="s">
        <v>6881</v>
      </c>
      <c r="C2842" s="1" t="s">
        <v>1767</v>
      </c>
      <c r="D2842" s="1" t="s">
        <v>5809</v>
      </c>
      <c r="F2842" s="1" t="s">
        <v>6717</v>
      </c>
      <c r="G2842" s="1" t="str">
        <f>IFERROR(VLOOKUP(A2842,H_C!$A$2:$G$2628,7,0),"Validar HC")</f>
        <v>Martinez, Wendy</v>
      </c>
      <c r="H2842" s="165">
        <v>1423500.0</v>
      </c>
      <c r="I2842" s="49">
        <v>42.0</v>
      </c>
    </row>
    <row r="2843" ht="15.75" customHeight="1">
      <c r="A2843" s="1">
        <v>4898382.0</v>
      </c>
      <c r="B2843" s="1" t="s">
        <v>6882</v>
      </c>
      <c r="C2843" s="1" t="s">
        <v>6883</v>
      </c>
      <c r="D2843" s="1" t="s">
        <v>5809</v>
      </c>
      <c r="F2843" s="1" t="s">
        <v>6717</v>
      </c>
      <c r="G2843" s="1" t="str">
        <f>IFERROR(VLOOKUP(A2843,H_C!$A$2:$G$2628,7,0),"Validar HC")</f>
        <v>Validar HC</v>
      </c>
      <c r="H2843" s="165">
        <v>1423500.0</v>
      </c>
      <c r="I2843" s="49">
        <v>42.0</v>
      </c>
    </row>
    <row r="2844" ht="15.75" customHeight="1">
      <c r="A2844" s="1">
        <v>4898458.0</v>
      </c>
      <c r="B2844" s="1" t="s">
        <v>6884</v>
      </c>
      <c r="C2844" s="1" t="s">
        <v>6885</v>
      </c>
      <c r="D2844" s="1" t="s">
        <v>5809</v>
      </c>
      <c r="F2844" s="1" t="s">
        <v>6717</v>
      </c>
      <c r="G2844" s="1" t="str">
        <f>IFERROR(VLOOKUP(A2844,H_C!$A$2:$G$2628,7,0),"Validar HC")</f>
        <v>Validar HC</v>
      </c>
      <c r="H2844" s="165">
        <v>1423500.0</v>
      </c>
      <c r="I2844" s="49">
        <v>42.0</v>
      </c>
    </row>
    <row r="2845" ht="15.75" customHeight="1">
      <c r="A2845" s="1">
        <v>4901356.0</v>
      </c>
      <c r="B2845" s="1" t="s">
        <v>6474</v>
      </c>
      <c r="C2845" s="1" t="s">
        <v>6475</v>
      </c>
      <c r="D2845" s="1" t="s">
        <v>5809</v>
      </c>
      <c r="F2845" s="1" t="s">
        <v>6717</v>
      </c>
      <c r="G2845" s="1" t="str">
        <f>IFERROR(VLOOKUP(A2845,H_C!$A$2:$G$2628,7,0),"Validar HC")</f>
        <v>Validar HC</v>
      </c>
      <c r="H2845" s="165">
        <v>1423500.0</v>
      </c>
      <c r="I2845" s="49">
        <v>42.0</v>
      </c>
    </row>
    <row r="2846" ht="15.75" customHeight="1">
      <c r="A2846" s="1">
        <v>4928485.0</v>
      </c>
      <c r="B2846" s="1" t="s">
        <v>2083</v>
      </c>
      <c r="C2846" s="1" t="s">
        <v>6399</v>
      </c>
      <c r="D2846" s="1" t="s">
        <v>6398</v>
      </c>
      <c r="F2846" s="1" t="s">
        <v>6717</v>
      </c>
      <c r="G2846" s="1" t="str">
        <f>IFERROR(VLOOKUP(A2846,H_C!$A$2:$G$2628,7,0),"Validar HC")</f>
        <v>Validar HC</v>
      </c>
      <c r="H2846" s="165">
        <v>1423500.0</v>
      </c>
      <c r="I2846" s="49">
        <v>42.0</v>
      </c>
    </row>
    <row r="2847" ht="15.75" customHeight="1">
      <c r="A2847" s="1">
        <v>4931484.0</v>
      </c>
      <c r="B2847" s="1" t="s">
        <v>6886</v>
      </c>
      <c r="C2847" s="1" t="s">
        <v>6887</v>
      </c>
      <c r="D2847" s="1" t="s">
        <v>5809</v>
      </c>
      <c r="F2847" s="1" t="s">
        <v>6717</v>
      </c>
      <c r="G2847" s="1" t="str">
        <f>IFERROR(VLOOKUP(A2847,H_C!$A$2:$G$2628,7,0),"Validar HC")</f>
        <v>Validar HC</v>
      </c>
      <c r="H2847" s="165">
        <v>1423500.0</v>
      </c>
      <c r="I2847" s="49">
        <v>42.0</v>
      </c>
    </row>
    <row r="2848" ht="15.75" customHeight="1">
      <c r="A2848" s="1">
        <v>4950855.0</v>
      </c>
      <c r="B2848" s="1" t="s">
        <v>6410</v>
      </c>
      <c r="C2848" s="1" t="s">
        <v>6411</v>
      </c>
      <c r="D2848" s="1" t="s">
        <v>5809</v>
      </c>
      <c r="F2848" s="1" t="s">
        <v>6717</v>
      </c>
      <c r="G2848" s="1" t="str">
        <f>IFERROR(VLOOKUP(A2848,H_C!$A$2:$G$2628,7,0),"Validar HC")</f>
        <v>Validar HC</v>
      </c>
      <c r="H2848" s="165">
        <v>1423500.0</v>
      </c>
      <c r="I2848" s="49">
        <v>42.0</v>
      </c>
    </row>
    <row r="2849" ht="15.75" customHeight="1">
      <c r="A2849" s="1">
        <v>4971906.0</v>
      </c>
      <c r="B2849" s="1" t="s">
        <v>6888</v>
      </c>
      <c r="C2849" s="1" t="s">
        <v>6889</v>
      </c>
      <c r="D2849" s="1" t="s">
        <v>6712</v>
      </c>
      <c r="F2849" s="1" t="s">
        <v>6717</v>
      </c>
      <c r="G2849" s="1" t="str">
        <f>IFERROR(VLOOKUP(A2849,H_C!$A$2:$G$2628,7,0),"Validar HC")</f>
        <v>Validar HC</v>
      </c>
      <c r="H2849" s="165">
        <v>1423500.0</v>
      </c>
      <c r="I2849" s="49">
        <v>42.0</v>
      </c>
    </row>
    <row r="2850" ht="15.75" customHeight="1">
      <c r="A2850" s="1">
        <v>4979323.0</v>
      </c>
      <c r="B2850" s="1" t="s">
        <v>5130</v>
      </c>
      <c r="C2850" s="1" t="s">
        <v>6890</v>
      </c>
      <c r="D2850" s="1" t="s">
        <v>5856</v>
      </c>
      <c r="F2850" s="1" t="s">
        <v>6717</v>
      </c>
      <c r="G2850" s="1" t="str">
        <f>IFERROR(VLOOKUP(A2850,H_C!$A$2:$G$2628,7,0),"Validar HC")</f>
        <v>Validar HC</v>
      </c>
      <c r="H2850" s="165">
        <v>1423500.0</v>
      </c>
      <c r="I2850" s="49">
        <v>42.0</v>
      </c>
    </row>
    <row r="2851" ht="15.75" customHeight="1">
      <c r="A2851" s="1">
        <v>4996647.0</v>
      </c>
      <c r="B2851" s="1" t="s">
        <v>6551</v>
      </c>
      <c r="C2851" s="1" t="s">
        <v>6552</v>
      </c>
      <c r="D2851" s="1" t="s">
        <v>6727</v>
      </c>
      <c r="F2851" s="1" t="s">
        <v>6717</v>
      </c>
      <c r="G2851" s="1" t="str">
        <f>IFERROR(VLOOKUP(A2851,H_C!$A$2:$G$2628,7,0),"Validar HC")</f>
        <v>Validar HC</v>
      </c>
      <c r="H2851" s="165">
        <v>1423500.0</v>
      </c>
      <c r="I2851" s="49">
        <v>42.0</v>
      </c>
    </row>
    <row r="2852" ht="15.75" customHeight="1">
      <c r="A2852" s="1">
        <v>4998044.0</v>
      </c>
      <c r="B2852" s="1" t="s">
        <v>4101</v>
      </c>
      <c r="C2852" s="1" t="s">
        <v>6422</v>
      </c>
      <c r="D2852" s="1" t="s">
        <v>6005</v>
      </c>
      <c r="F2852" s="1" t="s">
        <v>6717</v>
      </c>
      <c r="G2852" s="1" t="str">
        <f>IFERROR(VLOOKUP(A2852,H_C!$A$2:$G$2628,7,0),"Validar HC")</f>
        <v>Validar HC</v>
      </c>
      <c r="H2852" s="165">
        <v>1423500.0</v>
      </c>
      <c r="I2852" s="49">
        <v>42.0</v>
      </c>
    </row>
    <row r="2853" ht="15.75" customHeight="1">
      <c r="A2853" s="1">
        <v>5008025.0</v>
      </c>
      <c r="B2853" s="1" t="s">
        <v>6891</v>
      </c>
      <c r="C2853" s="1" t="s">
        <v>6892</v>
      </c>
      <c r="D2853" s="1" t="s">
        <v>217</v>
      </c>
      <c r="F2853" s="1" t="s">
        <v>6717</v>
      </c>
      <c r="G2853" s="1" t="str">
        <f>IFERROR(VLOOKUP(A2853,H_C!$A$2:$G$2628,7,0),"Validar HC")</f>
        <v>Validar HC</v>
      </c>
      <c r="H2853" s="165">
        <v>1423500.0</v>
      </c>
      <c r="I2853" s="49">
        <v>42.0</v>
      </c>
    </row>
    <row r="2854" ht="15.75" customHeight="1">
      <c r="A2854" s="1">
        <v>5013389.0</v>
      </c>
      <c r="B2854" s="1" t="s">
        <v>6432</v>
      </c>
      <c r="C2854" s="1" t="s">
        <v>6433</v>
      </c>
      <c r="D2854" s="1" t="s">
        <v>6715</v>
      </c>
      <c r="F2854" s="1" t="s">
        <v>6717</v>
      </c>
      <c r="G2854" s="1" t="str">
        <f>IFERROR(VLOOKUP(A2854,H_C!$A$2:$G$2628,7,0),"Validar HC")</f>
        <v>Validar HC</v>
      </c>
      <c r="H2854" s="165">
        <v>1423500.0</v>
      </c>
      <c r="I2854" s="49">
        <v>42.0</v>
      </c>
    </row>
    <row r="2855" ht="15.75" customHeight="1">
      <c r="A2855" s="1">
        <v>5013874.0</v>
      </c>
      <c r="B2855" s="1" t="s">
        <v>3455</v>
      </c>
      <c r="C2855" s="1" t="s">
        <v>6435</v>
      </c>
      <c r="D2855" s="1" t="s">
        <v>6005</v>
      </c>
      <c r="F2855" s="1" t="s">
        <v>6717</v>
      </c>
      <c r="G2855" s="1" t="str">
        <f>IFERROR(VLOOKUP(A2855,H_C!$A$2:$G$2628,7,0),"Validar HC")</f>
        <v>Validar HC</v>
      </c>
      <c r="H2855" s="165">
        <v>1423500.0</v>
      </c>
      <c r="I2855" s="49">
        <v>42.0</v>
      </c>
    </row>
    <row r="2856" ht="15.75" customHeight="1">
      <c r="A2856" s="1">
        <v>5033221.0</v>
      </c>
      <c r="B2856" s="1" t="s">
        <v>6440</v>
      </c>
      <c r="C2856" s="1" t="s">
        <v>6441</v>
      </c>
      <c r="D2856" s="1" t="s">
        <v>5829</v>
      </c>
      <c r="E2856" s="25" t="s">
        <v>416</v>
      </c>
      <c r="F2856" s="1" t="s">
        <v>6717</v>
      </c>
      <c r="G2856" s="1" t="str">
        <f>IFERROR(VLOOKUP(A2856,H_C!$A$2:$G$2628,7,0),"Validar HC")</f>
        <v>Validar HC</v>
      </c>
      <c r="H2856" s="165">
        <v>1423500.0</v>
      </c>
      <c r="I2856" s="49">
        <v>42.0</v>
      </c>
    </row>
    <row r="2857" ht="15.75" customHeight="1">
      <c r="A2857" s="1">
        <v>5039953.0</v>
      </c>
      <c r="B2857" s="1" t="s">
        <v>6447</v>
      </c>
      <c r="C2857" s="1" t="s">
        <v>6448</v>
      </c>
      <c r="D2857" s="1" t="s">
        <v>6714</v>
      </c>
      <c r="F2857" s="1" t="s">
        <v>6717</v>
      </c>
      <c r="G2857" s="1" t="str">
        <f>IFERROR(VLOOKUP(A2857,H_C!$A$2:$G$2628,7,0),"Validar HC")</f>
        <v>Validar HC</v>
      </c>
      <c r="H2857" s="165">
        <v>1423500.0</v>
      </c>
      <c r="I2857" s="49">
        <v>42.0</v>
      </c>
    </row>
    <row r="2858" ht="15.75" customHeight="1">
      <c r="A2858" s="1">
        <v>5041320.0</v>
      </c>
      <c r="B2858" s="1" t="s">
        <v>6450</v>
      </c>
      <c r="C2858" s="1" t="s">
        <v>6451</v>
      </c>
      <c r="D2858" s="1" t="s">
        <v>6714</v>
      </c>
      <c r="F2858" s="1" t="s">
        <v>6717</v>
      </c>
      <c r="G2858" s="1" t="str">
        <f>IFERROR(VLOOKUP(A2858,H_C!$A$2:$G$2628,7,0),"Validar HC")</f>
        <v>Validar HC</v>
      </c>
      <c r="H2858" s="165">
        <v>1423500.0</v>
      </c>
      <c r="I2858" s="49">
        <v>42.0</v>
      </c>
    </row>
    <row r="2859" ht="15.75" customHeight="1">
      <c r="A2859" s="1">
        <v>5065470.0</v>
      </c>
      <c r="B2859" s="1" t="s">
        <v>6460</v>
      </c>
      <c r="C2859" s="1" t="s">
        <v>6461</v>
      </c>
      <c r="D2859" s="1" t="s">
        <v>6714</v>
      </c>
      <c r="F2859" s="1" t="s">
        <v>6717</v>
      </c>
      <c r="G2859" s="1" t="str">
        <f>IFERROR(VLOOKUP(A2859,H_C!$A$2:$G$2628,7,0),"Validar HC")</f>
        <v>Validar HC</v>
      </c>
      <c r="H2859" s="165">
        <v>1423500.0</v>
      </c>
      <c r="I2859" s="49">
        <v>42.0</v>
      </c>
    </row>
    <row r="2860" ht="15.75" customHeight="1">
      <c r="A2860" s="1">
        <v>5069428.0</v>
      </c>
      <c r="B2860" s="1" t="s">
        <v>6469</v>
      </c>
      <c r="C2860" s="1" t="s">
        <v>6470</v>
      </c>
      <c r="D2860" s="1" t="s">
        <v>5809</v>
      </c>
      <c r="F2860" s="1" t="s">
        <v>6717</v>
      </c>
      <c r="G2860" s="1" t="str">
        <f>IFERROR(VLOOKUP(A2860,H_C!$A$2:$G$2628,7,0),"Validar HC")</f>
        <v>Validar HC</v>
      </c>
      <c r="H2860" s="165">
        <v>1423500.0</v>
      </c>
      <c r="I2860" s="49">
        <v>42.0</v>
      </c>
    </row>
    <row r="2861" ht="15.75" customHeight="1">
      <c r="A2861" s="1">
        <v>5070246.0</v>
      </c>
      <c r="B2861" s="1" t="s">
        <v>3621</v>
      </c>
      <c r="C2861" s="1" t="s">
        <v>6893</v>
      </c>
      <c r="D2861" s="1" t="s">
        <v>5856</v>
      </c>
      <c r="F2861" s="1" t="s">
        <v>6717</v>
      </c>
      <c r="G2861" s="1" t="str">
        <f>IFERROR(VLOOKUP(A2861,H_C!$A$2:$G$2628,7,0),"Validar HC")</f>
        <v>Validar HC</v>
      </c>
      <c r="H2861" s="165">
        <v>1423500.0</v>
      </c>
      <c r="I2861" s="49">
        <v>42.0</v>
      </c>
    </row>
    <row r="2862" ht="15.75" customHeight="1">
      <c r="A2862" s="1">
        <v>5085018.0</v>
      </c>
      <c r="B2862" s="1" t="s">
        <v>6599</v>
      </c>
      <c r="C2862" s="1" t="s">
        <v>6601</v>
      </c>
      <c r="D2862" s="1" t="s">
        <v>6727</v>
      </c>
      <c r="F2862" s="1" t="s">
        <v>6717</v>
      </c>
      <c r="G2862" s="1" t="str">
        <f>IFERROR(VLOOKUP(A2862,H_C!$A$2:$G$2628,7,0),"Validar HC")</f>
        <v>Validar HC</v>
      </c>
      <c r="H2862" s="165">
        <v>1423500.0</v>
      </c>
      <c r="I2862" s="49">
        <v>42.0</v>
      </c>
    </row>
    <row r="2863" ht="15.75" customHeight="1">
      <c r="A2863" s="1">
        <v>5091736.0</v>
      </c>
      <c r="B2863" s="1" t="s">
        <v>6482</v>
      </c>
      <c r="C2863" s="1" t="s">
        <v>6483</v>
      </c>
      <c r="D2863" s="1" t="s">
        <v>6715</v>
      </c>
      <c r="F2863" s="1" t="s">
        <v>6717</v>
      </c>
      <c r="G2863" s="1" t="str">
        <f>IFERROR(VLOOKUP(A2863,H_C!$A$2:$G$2628,7,0),"Validar HC")</f>
        <v>Validar HC</v>
      </c>
      <c r="H2863" s="165">
        <v>1423500.0</v>
      </c>
      <c r="I2863" s="49">
        <v>42.0</v>
      </c>
    </row>
    <row r="2864" ht="15.75" customHeight="1">
      <c r="A2864" s="1">
        <v>5091772.0</v>
      </c>
      <c r="B2864" s="1" t="s">
        <v>5551</v>
      </c>
      <c r="C2864" s="1" t="s">
        <v>6480</v>
      </c>
      <c r="D2864" s="1" t="s">
        <v>5856</v>
      </c>
      <c r="F2864" s="1" t="s">
        <v>6717</v>
      </c>
      <c r="G2864" s="1" t="str">
        <f>IFERROR(VLOOKUP(A2864,H_C!$A$2:$G$2628,7,0),"Validar HC")</f>
        <v>Validar HC</v>
      </c>
      <c r="H2864" s="165">
        <v>1423500.0</v>
      </c>
      <c r="I2864" s="49">
        <v>42.0</v>
      </c>
    </row>
    <row r="2865" ht="15.75" customHeight="1">
      <c r="A2865" s="1">
        <v>5091863.0</v>
      </c>
      <c r="B2865" s="1" t="s">
        <v>6894</v>
      </c>
      <c r="C2865" s="1" t="s">
        <v>6895</v>
      </c>
      <c r="D2865" s="1" t="s">
        <v>5809</v>
      </c>
      <c r="F2865" s="1" t="s">
        <v>6717</v>
      </c>
      <c r="G2865" s="1" t="str">
        <f>IFERROR(VLOOKUP(A2865,H_C!$A$2:$G$2628,7,0),"Validar HC")</f>
        <v>Validar HC</v>
      </c>
      <c r="H2865" s="165">
        <v>1423500.0</v>
      </c>
      <c r="I2865" s="49">
        <v>42.0</v>
      </c>
    </row>
    <row r="2866" ht="15.75" customHeight="1">
      <c r="A2866" s="1">
        <v>5092752.0</v>
      </c>
      <c r="B2866" s="1" t="s">
        <v>6896</v>
      </c>
      <c r="C2866" s="1" t="s">
        <v>6897</v>
      </c>
      <c r="D2866" s="1" t="s">
        <v>5809</v>
      </c>
      <c r="F2866" s="1" t="s">
        <v>6717</v>
      </c>
      <c r="G2866" s="1" t="str">
        <f>IFERROR(VLOOKUP(A2866,H_C!$A$2:$G$2628,7,0),"Validar HC")</f>
        <v>Validar HC</v>
      </c>
      <c r="H2866" s="165">
        <v>1423500.0</v>
      </c>
      <c r="I2866" s="49">
        <v>42.0</v>
      </c>
    </row>
    <row r="2867" ht="15.75" customHeight="1">
      <c r="A2867" s="1">
        <v>5092764.0</v>
      </c>
      <c r="B2867" s="1" t="s">
        <v>6485</v>
      </c>
      <c r="C2867" s="1" t="s">
        <v>6486</v>
      </c>
      <c r="D2867" s="1" t="s">
        <v>5809</v>
      </c>
      <c r="F2867" s="1" t="s">
        <v>6717</v>
      </c>
      <c r="G2867" s="1" t="str">
        <f>IFERROR(VLOOKUP(A2867,H_C!$A$2:$G$2628,7,0),"Validar HC")</f>
        <v>Validar HC</v>
      </c>
      <c r="H2867" s="165">
        <v>1423500.0</v>
      </c>
      <c r="I2867" s="49">
        <v>42.0</v>
      </c>
    </row>
    <row r="2868" ht="15.75" customHeight="1">
      <c r="A2868" s="1">
        <v>5096258.0</v>
      </c>
      <c r="B2868" s="1" t="s">
        <v>6685</v>
      </c>
      <c r="C2868" s="1" t="s">
        <v>3646</v>
      </c>
      <c r="D2868" s="1" t="s">
        <v>6650</v>
      </c>
      <c r="F2868" s="1" t="s">
        <v>6717</v>
      </c>
      <c r="G2868" s="1" t="str">
        <f>IFERROR(VLOOKUP(A2868,H_C!$A$2:$G$2628,7,0),"Validar HC")</f>
        <v>Validar HC</v>
      </c>
      <c r="H2868" s="165">
        <v>1423500.0</v>
      </c>
      <c r="I2868" s="49">
        <v>42.0</v>
      </c>
    </row>
    <row r="2869" ht="15.75" customHeight="1">
      <c r="A2869" s="1">
        <v>5107815.0</v>
      </c>
      <c r="B2869" s="1" t="s">
        <v>6506</v>
      </c>
      <c r="C2869" s="1" t="s">
        <v>6507</v>
      </c>
      <c r="D2869" s="1" t="s">
        <v>5809</v>
      </c>
      <c r="F2869" s="1" t="s">
        <v>6717</v>
      </c>
      <c r="G2869" s="1" t="str">
        <f>IFERROR(VLOOKUP(A2869,H_C!$A$2:$G$2628,7,0),"Validar HC")</f>
        <v>Validar HC</v>
      </c>
      <c r="H2869" s="165">
        <v>1423500.0</v>
      </c>
      <c r="I2869" s="49">
        <v>42.0</v>
      </c>
    </row>
    <row r="2870" ht="15.75" customHeight="1">
      <c r="A2870" s="1">
        <v>5107825.0</v>
      </c>
      <c r="B2870" s="1" t="s">
        <v>5626</v>
      </c>
      <c r="C2870" s="1" t="s">
        <v>6509</v>
      </c>
      <c r="D2870" s="1" t="s">
        <v>5856</v>
      </c>
      <c r="F2870" s="1" t="s">
        <v>6717</v>
      </c>
      <c r="G2870" s="1" t="str">
        <f>IFERROR(VLOOKUP(A2870,H_C!$A$2:$G$2628,7,0),"Validar HC")</f>
        <v>Validar HC</v>
      </c>
      <c r="H2870" s="165">
        <v>1423500.0</v>
      </c>
      <c r="I2870" s="49">
        <v>42.0</v>
      </c>
    </row>
    <row r="2871" ht="15.75" customHeight="1">
      <c r="A2871" s="1">
        <v>5108891.0</v>
      </c>
      <c r="B2871" s="1" t="s">
        <v>6898</v>
      </c>
      <c r="C2871" s="1" t="s">
        <v>6899</v>
      </c>
      <c r="D2871" s="1" t="s">
        <v>6714</v>
      </c>
      <c r="F2871" s="1" t="s">
        <v>6717</v>
      </c>
      <c r="G2871" s="1" t="str">
        <f>IFERROR(VLOOKUP(A2871,H_C!$A$2:$G$2628,7,0),"Validar HC")</f>
        <v>Validar HC</v>
      </c>
      <c r="H2871" s="165">
        <v>1423500.0</v>
      </c>
      <c r="I2871" s="49">
        <v>42.0</v>
      </c>
    </row>
    <row r="2872" ht="15.75" customHeight="1">
      <c r="A2872" s="1">
        <v>5118616.0</v>
      </c>
      <c r="B2872" s="1" t="s">
        <v>6900</v>
      </c>
      <c r="C2872" s="1" t="s">
        <v>6901</v>
      </c>
      <c r="D2872" s="1" t="s">
        <v>6714</v>
      </c>
      <c r="F2872" s="1" t="s">
        <v>6717</v>
      </c>
      <c r="G2872" s="1" t="str">
        <f>IFERROR(VLOOKUP(A2872,H_C!$A$2:$G$2628,7,0),"Validar HC")</f>
        <v>Validar HC</v>
      </c>
      <c r="H2872" s="165">
        <v>1423500.0</v>
      </c>
      <c r="I2872" s="49">
        <v>42.0</v>
      </c>
    </row>
    <row r="2873" ht="15.75" customHeight="1">
      <c r="A2873" s="1">
        <v>5121634.0</v>
      </c>
      <c r="B2873" s="1" t="s">
        <v>5538</v>
      </c>
      <c r="C2873" s="1" t="s">
        <v>6902</v>
      </c>
      <c r="D2873" s="1" t="s">
        <v>5856</v>
      </c>
      <c r="F2873" s="1" t="s">
        <v>6717</v>
      </c>
      <c r="G2873" s="1" t="str">
        <f>IFERROR(VLOOKUP(A2873,H_C!$A$2:$G$2628,7,0),"Validar HC")</f>
        <v>Validar HC</v>
      </c>
      <c r="H2873" s="165">
        <v>1423500.0</v>
      </c>
      <c r="I2873" s="49">
        <v>42.0</v>
      </c>
    </row>
    <row r="2874" ht="15.75" customHeight="1">
      <c r="A2874" s="1">
        <v>5122058.0</v>
      </c>
      <c r="B2874" s="1" t="s">
        <v>6511</v>
      </c>
      <c r="C2874" s="1" t="s">
        <v>6512</v>
      </c>
      <c r="D2874" s="1" t="s">
        <v>5809</v>
      </c>
      <c r="F2874" s="1" t="s">
        <v>6717</v>
      </c>
      <c r="G2874" s="1" t="str">
        <f>IFERROR(VLOOKUP(A2874,H_C!$A$2:$G$2628,7,0),"Validar HC")</f>
        <v>Validar HC</v>
      </c>
      <c r="H2874" s="165">
        <v>1423500.0</v>
      </c>
      <c r="I2874" s="49">
        <v>42.0</v>
      </c>
    </row>
    <row r="2875" ht="15.75" customHeight="1">
      <c r="A2875" s="1">
        <v>5124356.0</v>
      </c>
      <c r="B2875" s="1" t="s">
        <v>6514</v>
      </c>
      <c r="C2875" s="1" t="s">
        <v>6515</v>
      </c>
      <c r="D2875" s="1" t="s">
        <v>5809</v>
      </c>
      <c r="F2875" s="1" t="s">
        <v>6717</v>
      </c>
      <c r="G2875" s="1" t="str">
        <f>IFERROR(VLOOKUP(A2875,H_C!$A$2:$G$2628,7,0),"Validar HC")</f>
        <v>Validar HC</v>
      </c>
      <c r="H2875" s="165">
        <v>1423500.0</v>
      </c>
      <c r="I2875" s="49">
        <v>42.0</v>
      </c>
    </row>
    <row r="2876" ht="15.75" customHeight="1">
      <c r="A2876" s="1">
        <v>5133104.0</v>
      </c>
      <c r="B2876" s="1" t="s">
        <v>6537</v>
      </c>
      <c r="C2876" s="1" t="s">
        <v>6538</v>
      </c>
      <c r="D2876" s="1" t="s">
        <v>5809</v>
      </c>
      <c r="F2876" s="1" t="s">
        <v>6717</v>
      </c>
      <c r="G2876" s="1" t="str">
        <f>IFERROR(VLOOKUP(A2876,H_C!$A$2:$G$2628,7,0),"Validar HC")</f>
        <v>Validar HC</v>
      </c>
      <c r="H2876" s="165">
        <v>1423500.0</v>
      </c>
      <c r="I2876" s="49">
        <v>42.0</v>
      </c>
    </row>
    <row r="2877" ht="15.75" customHeight="1">
      <c r="A2877" s="1">
        <v>5133314.0</v>
      </c>
      <c r="B2877" s="1" t="s">
        <v>6903</v>
      </c>
      <c r="C2877" s="1" t="s">
        <v>6904</v>
      </c>
      <c r="D2877" s="1" t="s">
        <v>5809</v>
      </c>
      <c r="F2877" s="1" t="s">
        <v>6717</v>
      </c>
      <c r="G2877" s="1" t="str">
        <f>IFERROR(VLOOKUP(A2877,H_C!$A$2:$G$2628,7,0),"Validar HC")</f>
        <v>Validar HC</v>
      </c>
      <c r="H2877" s="165">
        <v>1423500.0</v>
      </c>
      <c r="I2877" s="49">
        <v>42.0</v>
      </c>
    </row>
    <row r="2878" ht="15.75" customHeight="1">
      <c r="A2878" s="1">
        <v>5133402.0</v>
      </c>
      <c r="B2878" s="1" t="s">
        <v>6905</v>
      </c>
      <c r="C2878" s="1" t="s">
        <v>6906</v>
      </c>
      <c r="D2878" s="1" t="s">
        <v>6712</v>
      </c>
      <c r="F2878" s="1" t="s">
        <v>6717</v>
      </c>
      <c r="G2878" s="1" t="str">
        <f>IFERROR(VLOOKUP(A2878,H_C!$A$2:$G$2628,7,0),"Validar HC")</f>
        <v>Validar HC</v>
      </c>
      <c r="H2878" s="165">
        <v>1423500.0</v>
      </c>
      <c r="I2878" s="49">
        <v>42.0</v>
      </c>
    </row>
    <row r="2879" ht="15.75" customHeight="1">
      <c r="A2879" s="1">
        <v>5135755.0</v>
      </c>
      <c r="B2879" s="1" t="s">
        <v>4070</v>
      </c>
      <c r="C2879" s="1" t="s">
        <v>6907</v>
      </c>
      <c r="D2879" s="1" t="s">
        <v>5856</v>
      </c>
      <c r="F2879" s="1" t="s">
        <v>6717</v>
      </c>
      <c r="G2879" s="1" t="str">
        <f>IFERROR(VLOOKUP(A2879,H_C!$A$2:$G$2628,7,0),"Validar HC")</f>
        <v>Validar HC</v>
      </c>
      <c r="H2879" s="165">
        <v>1423500.0</v>
      </c>
      <c r="I2879" s="49">
        <v>42.0</v>
      </c>
    </row>
    <row r="2880" ht="15.75" customHeight="1">
      <c r="A2880" s="1">
        <v>5136005.0</v>
      </c>
      <c r="B2880" s="1" t="s">
        <v>6517</v>
      </c>
      <c r="C2880" s="1" t="s">
        <v>6518</v>
      </c>
      <c r="D2880" s="1" t="s">
        <v>5809</v>
      </c>
      <c r="F2880" s="1" t="s">
        <v>6717</v>
      </c>
      <c r="G2880" s="1" t="str">
        <f>IFERROR(VLOOKUP(A2880,H_C!$A$2:$G$2628,7,0),"Validar HC")</f>
        <v>Validar HC</v>
      </c>
      <c r="H2880" s="165">
        <v>1423500.0</v>
      </c>
      <c r="I2880" s="49">
        <v>42.0</v>
      </c>
    </row>
    <row r="2881" ht="15.75" customHeight="1">
      <c r="A2881" s="1">
        <v>5145956.0</v>
      </c>
      <c r="B2881" s="1" t="s">
        <v>6525</v>
      </c>
      <c r="C2881" s="1" t="s">
        <v>6526</v>
      </c>
      <c r="D2881" s="1" t="s">
        <v>5809</v>
      </c>
      <c r="F2881" s="1" t="s">
        <v>6717</v>
      </c>
      <c r="G2881" s="1" t="str">
        <f>IFERROR(VLOOKUP(A2881,H_C!$A$2:$G$2628,7,0),"Validar HC")</f>
        <v>Validar HC</v>
      </c>
      <c r="H2881" s="165">
        <v>1423500.0</v>
      </c>
      <c r="I2881" s="49">
        <v>42.0</v>
      </c>
    </row>
    <row r="2882" ht="15.75" customHeight="1">
      <c r="A2882" s="1">
        <v>5149561.0</v>
      </c>
      <c r="B2882" s="1" t="s">
        <v>6908</v>
      </c>
      <c r="C2882" s="1" t="s">
        <v>6909</v>
      </c>
      <c r="D2882" s="1" t="s">
        <v>5809</v>
      </c>
      <c r="F2882" s="1" t="s">
        <v>6717</v>
      </c>
      <c r="G2882" s="1" t="str">
        <f>IFERROR(VLOOKUP(A2882,H_C!$A$2:$G$2628,7,0),"Validar HC")</f>
        <v>Validar HC</v>
      </c>
      <c r="H2882" s="165">
        <v>1423500.0</v>
      </c>
      <c r="I2882" s="49">
        <v>42.0</v>
      </c>
    </row>
    <row r="2883" ht="15.75" customHeight="1">
      <c r="A2883" s="1">
        <v>5155759.0</v>
      </c>
      <c r="B2883" s="1" t="s">
        <v>6540</v>
      </c>
      <c r="C2883" s="1" t="s">
        <v>6541</v>
      </c>
      <c r="D2883" s="1" t="s">
        <v>6727</v>
      </c>
      <c r="F2883" s="1" t="s">
        <v>6717</v>
      </c>
      <c r="G2883" s="1" t="str">
        <f>IFERROR(VLOOKUP(A2883,H_C!$A$2:$G$2628,7,0),"Validar HC")</f>
        <v>Validar HC</v>
      </c>
      <c r="H2883" s="165">
        <v>1423500.0</v>
      </c>
      <c r="I2883" s="49">
        <v>42.0</v>
      </c>
    </row>
    <row r="2884" ht="15.75" customHeight="1">
      <c r="A2884" s="1">
        <v>5164800.0</v>
      </c>
      <c r="B2884" s="1" t="s">
        <v>6910</v>
      </c>
      <c r="C2884" s="1" t="s">
        <v>6911</v>
      </c>
      <c r="D2884" s="1" t="s">
        <v>5809</v>
      </c>
      <c r="F2884" s="1" t="s">
        <v>6717</v>
      </c>
      <c r="G2884" s="1" t="str">
        <f>IFERROR(VLOOKUP(A2884,H_C!$A$2:$G$2628,7,0),"Validar HC")</f>
        <v>Validar HC</v>
      </c>
      <c r="H2884" s="165">
        <v>1423500.0</v>
      </c>
      <c r="I2884" s="49">
        <v>42.0</v>
      </c>
    </row>
    <row r="2885" ht="15.75" customHeight="1">
      <c r="A2885" s="1">
        <v>5168448.0</v>
      </c>
      <c r="B2885" s="1" t="s">
        <v>6912</v>
      </c>
      <c r="C2885" s="1" t="s">
        <v>6913</v>
      </c>
      <c r="D2885" s="1" t="s">
        <v>5809</v>
      </c>
      <c r="F2885" s="1" t="s">
        <v>6717</v>
      </c>
      <c r="G2885" s="1" t="str">
        <f>IFERROR(VLOOKUP(A2885,H_C!$A$2:$G$2628,7,0),"Validar HC")</f>
        <v>Validar HC</v>
      </c>
      <c r="H2885" s="165">
        <v>1423500.0</v>
      </c>
      <c r="I2885" s="49">
        <v>42.0</v>
      </c>
    </row>
    <row r="2886" ht="15.75" customHeight="1">
      <c r="A2886" s="1">
        <v>5235586.0</v>
      </c>
      <c r="B2886" s="1" t="s">
        <v>6660</v>
      </c>
      <c r="C2886" s="1" t="s">
        <v>3646</v>
      </c>
      <c r="D2886" s="1" t="s">
        <v>6726</v>
      </c>
      <c r="F2886" s="1" t="s">
        <v>6717</v>
      </c>
      <c r="G2886" s="1" t="str">
        <f>IFERROR(VLOOKUP(A2886,H_C!$A$2:$G$2628,7,0),"Validar HC")</f>
        <v>Validar HC</v>
      </c>
      <c r="H2886" s="165">
        <v>1423500.0</v>
      </c>
      <c r="I2886" s="49">
        <v>42.0</v>
      </c>
    </row>
    <row r="2887" ht="15.75" customHeight="1">
      <c r="A2887" s="1">
        <v>5263590.0</v>
      </c>
      <c r="B2887" s="1" t="s">
        <v>3640</v>
      </c>
      <c r="C2887" s="1" t="s">
        <v>6914</v>
      </c>
      <c r="D2887" s="1" t="s">
        <v>5856</v>
      </c>
      <c r="F2887" s="1" t="s">
        <v>6717</v>
      </c>
      <c r="G2887" s="1" t="str">
        <f>IFERROR(VLOOKUP(A2887,H_C!$A$2:$G$2628,7,0),"Validar HC")</f>
        <v>Validar HC</v>
      </c>
      <c r="H2887" s="165">
        <v>1423500.0</v>
      </c>
      <c r="I2887" s="49">
        <v>42.0</v>
      </c>
    </row>
    <row r="2888" ht="15.75" customHeight="1">
      <c r="A2888" s="1">
        <v>5284010.0</v>
      </c>
      <c r="B2888" s="1" t="s">
        <v>6579</v>
      </c>
      <c r="C2888" s="1" t="s">
        <v>6580</v>
      </c>
      <c r="D2888" s="1" t="s">
        <v>5829</v>
      </c>
      <c r="E2888" s="25" t="s">
        <v>549</v>
      </c>
      <c r="F2888" s="1" t="s">
        <v>6717</v>
      </c>
      <c r="G2888" s="1" t="str">
        <f>IFERROR(VLOOKUP(A2888,H_C!$A$2:$G$2628,7,0),"Validar HC")</f>
        <v>Validar HC</v>
      </c>
      <c r="H2888" s="165">
        <v>1423500.0</v>
      </c>
      <c r="I2888" s="49">
        <v>42.0</v>
      </c>
    </row>
    <row r="2889" ht="15.75" customHeight="1">
      <c r="A2889" s="1">
        <v>5284202.0</v>
      </c>
      <c r="B2889" s="1" t="s">
        <v>6573</v>
      </c>
      <c r="C2889" s="1" t="s">
        <v>6574</v>
      </c>
      <c r="D2889" s="1" t="s">
        <v>6706</v>
      </c>
      <c r="F2889" s="1" t="s">
        <v>6717</v>
      </c>
      <c r="G2889" s="1" t="str">
        <f>IFERROR(VLOOKUP(A2889,H_C!$A$2:$G$2628,7,0),"Validar HC")</f>
        <v>Validar HC</v>
      </c>
      <c r="H2889" s="165">
        <v>1423500.0</v>
      </c>
      <c r="I2889" s="49">
        <v>42.0</v>
      </c>
    </row>
    <row r="2890" ht="15.75" customHeight="1">
      <c r="A2890" s="1">
        <v>5284844.0</v>
      </c>
      <c r="B2890" s="1" t="s">
        <v>6915</v>
      </c>
      <c r="C2890" s="1" t="s">
        <v>6916</v>
      </c>
      <c r="D2890" s="1" t="s">
        <v>5809</v>
      </c>
      <c r="F2890" s="1" t="s">
        <v>6717</v>
      </c>
      <c r="G2890" s="1" t="str">
        <f>IFERROR(VLOOKUP(A2890,H_C!$A$2:$G$2628,7,0),"Validar HC")</f>
        <v>Validar HC</v>
      </c>
      <c r="H2890" s="165">
        <v>1423500.0</v>
      </c>
      <c r="I2890" s="49">
        <v>42.0</v>
      </c>
    </row>
    <row r="2891" ht="15.75" customHeight="1">
      <c r="A2891" s="1">
        <v>5284853.0</v>
      </c>
      <c r="B2891" s="1" t="s">
        <v>6917</v>
      </c>
      <c r="C2891" s="1" t="s">
        <v>6918</v>
      </c>
      <c r="D2891" s="1" t="s">
        <v>6712</v>
      </c>
      <c r="F2891" s="1" t="s">
        <v>6717</v>
      </c>
      <c r="G2891" s="1" t="str">
        <f>IFERROR(VLOOKUP(A2891,H_C!$A$2:$G$2628,7,0),"Validar HC")</f>
        <v>Validar HC</v>
      </c>
      <c r="H2891" s="165">
        <v>1423500.0</v>
      </c>
      <c r="I2891" s="49">
        <v>42.0</v>
      </c>
    </row>
    <row r="2892" ht="15.75" customHeight="1">
      <c r="A2892" s="1">
        <v>5285286.0</v>
      </c>
      <c r="B2892" s="1" t="s">
        <v>6919</v>
      </c>
      <c r="C2892" s="1" t="s">
        <v>6920</v>
      </c>
      <c r="D2892" s="1" t="s">
        <v>5809</v>
      </c>
      <c r="F2892" s="1" t="s">
        <v>6717</v>
      </c>
      <c r="G2892" s="1" t="str">
        <f>IFERROR(VLOOKUP(A2892,H_C!$A$2:$G$2628,7,0),"Validar HC")</f>
        <v>Validar HC</v>
      </c>
      <c r="H2892" s="165">
        <v>1423500.0</v>
      </c>
      <c r="I2892" s="49">
        <v>42.0</v>
      </c>
    </row>
    <row r="2893" ht="15.75" customHeight="1">
      <c r="A2893" s="1">
        <v>5292234.0</v>
      </c>
      <c r="B2893" s="1" t="s">
        <v>6582</v>
      </c>
      <c r="C2893" s="1" t="s">
        <v>6583</v>
      </c>
      <c r="D2893" s="1" t="s">
        <v>6714</v>
      </c>
      <c r="F2893" s="1" t="s">
        <v>6717</v>
      </c>
      <c r="G2893" s="1" t="str">
        <f>IFERROR(VLOOKUP(A2893,H_C!$A$2:$G$2628,7,0),"Validar HC")</f>
        <v>Validar HC</v>
      </c>
      <c r="H2893" s="165">
        <v>1423500.0</v>
      </c>
      <c r="I2893" s="49">
        <v>42.0</v>
      </c>
    </row>
    <row r="2894" ht="15.75" customHeight="1">
      <c r="A2894" s="1">
        <v>5292364.0</v>
      </c>
      <c r="B2894" s="1" t="s">
        <v>6585</v>
      </c>
      <c r="C2894" s="1" t="s">
        <v>6586</v>
      </c>
      <c r="D2894" s="1" t="s">
        <v>6715</v>
      </c>
      <c r="F2894" s="1" t="s">
        <v>6717</v>
      </c>
      <c r="G2894" s="1" t="str">
        <f>IFERROR(VLOOKUP(A2894,H_C!$A$2:$G$2628,7,0),"Validar HC")</f>
        <v>Validar HC</v>
      </c>
      <c r="H2894" s="165">
        <v>1423500.0</v>
      </c>
      <c r="I2894" s="49">
        <v>42.0</v>
      </c>
    </row>
    <row r="2895" ht="15.75" customHeight="1">
      <c r="A2895" s="1">
        <v>5316854.0</v>
      </c>
      <c r="B2895" s="1" t="s">
        <v>6921</v>
      </c>
      <c r="C2895" s="1" t="s">
        <v>6922</v>
      </c>
      <c r="D2895" s="1" t="s">
        <v>5856</v>
      </c>
      <c r="F2895" s="1" t="s">
        <v>6717</v>
      </c>
      <c r="G2895" s="1" t="str">
        <f>IFERROR(VLOOKUP(A2895,H_C!$A$2:$G$2628,7,0),"Validar HC")</f>
        <v>Validar HC</v>
      </c>
      <c r="H2895" s="165">
        <v>1423500.0</v>
      </c>
      <c r="I2895" s="49">
        <v>42.0</v>
      </c>
    </row>
    <row r="2896" ht="15.75" customHeight="1">
      <c r="A2896" s="1">
        <v>5332409.0</v>
      </c>
      <c r="B2896" s="1" t="s">
        <v>6923</v>
      </c>
      <c r="C2896" s="1" t="s">
        <v>6924</v>
      </c>
      <c r="D2896" s="1" t="s">
        <v>5809</v>
      </c>
      <c r="F2896" s="1" t="s">
        <v>6717</v>
      </c>
      <c r="G2896" s="1" t="str">
        <f>IFERROR(VLOOKUP(A2896,H_C!$A$2:$G$2628,7,0),"Validar HC")</f>
        <v>Validar HC</v>
      </c>
      <c r="H2896" s="165">
        <v>1423500.0</v>
      </c>
      <c r="I2896" s="49">
        <v>42.0</v>
      </c>
    </row>
    <row r="2897" ht="15.75" customHeight="1">
      <c r="A2897" s="1">
        <v>5332994.0</v>
      </c>
      <c r="B2897" s="1" t="s">
        <v>6925</v>
      </c>
      <c r="C2897" s="1" t="s">
        <v>6926</v>
      </c>
      <c r="D2897" s="1" t="s">
        <v>5856</v>
      </c>
      <c r="F2897" s="1" t="s">
        <v>6717</v>
      </c>
      <c r="G2897" s="1" t="str">
        <f>IFERROR(VLOOKUP(A2897,H_C!$A$2:$G$2628,7,0),"Validar HC")</f>
        <v>Validar HC</v>
      </c>
      <c r="H2897" s="165">
        <v>1423500.0</v>
      </c>
      <c r="I2897" s="49">
        <v>42.0</v>
      </c>
    </row>
    <row r="2898" ht="15.75" customHeight="1">
      <c r="A2898" s="1">
        <v>5333591.0</v>
      </c>
      <c r="B2898" s="1" t="s">
        <v>6927</v>
      </c>
      <c r="C2898" s="1" t="s">
        <v>6928</v>
      </c>
      <c r="D2898" s="1" t="s">
        <v>6714</v>
      </c>
      <c r="F2898" s="1" t="s">
        <v>6717</v>
      </c>
      <c r="G2898" s="1" t="str">
        <f>IFERROR(VLOOKUP(A2898,H_C!$A$2:$G$2628,7,0),"Validar HC")</f>
        <v>Validar HC</v>
      </c>
      <c r="H2898" s="165">
        <v>1423500.0</v>
      </c>
      <c r="I2898" s="49">
        <v>42.0</v>
      </c>
    </row>
    <row r="2899" ht="15.75" customHeight="1">
      <c r="A2899" s="1">
        <v>5342002.0</v>
      </c>
      <c r="B2899" s="1" t="s">
        <v>6929</v>
      </c>
      <c r="C2899" s="1" t="s">
        <v>6930</v>
      </c>
      <c r="D2899" s="1" t="s">
        <v>6714</v>
      </c>
      <c r="F2899" s="1" t="s">
        <v>6717</v>
      </c>
      <c r="G2899" s="1" t="str">
        <f>IFERROR(VLOOKUP(A2899,H_C!$A$2:$G$2628,7,0),"Validar HC")</f>
        <v>Validar HC</v>
      </c>
      <c r="H2899" s="165">
        <v>1423500.0</v>
      </c>
      <c r="I2899" s="49">
        <v>42.0</v>
      </c>
    </row>
    <row r="2900" ht="15.75" customHeight="1">
      <c r="A2900" s="1">
        <v>5349997.0</v>
      </c>
      <c r="B2900" s="1" t="s">
        <v>6931</v>
      </c>
      <c r="C2900" s="1" t="s">
        <v>6932</v>
      </c>
      <c r="D2900" s="1" t="s">
        <v>5856</v>
      </c>
      <c r="F2900" s="1" t="s">
        <v>6717</v>
      </c>
      <c r="G2900" s="1" t="str">
        <f>IFERROR(VLOOKUP(A2900,H_C!$A$2:$G$2628,7,0),"Validar HC")</f>
        <v>Validar HC</v>
      </c>
      <c r="H2900" s="165">
        <v>1423500.0</v>
      </c>
      <c r="I2900" s="49">
        <v>42.0</v>
      </c>
    </row>
    <row r="2901" ht="15.75" customHeight="1">
      <c r="A2901" s="1">
        <v>5358519.0</v>
      </c>
      <c r="B2901" s="1" t="s">
        <v>6622</v>
      </c>
      <c r="C2901" s="1" t="s">
        <v>6623</v>
      </c>
      <c r="D2901" s="1" t="s">
        <v>5809</v>
      </c>
      <c r="F2901" s="1" t="s">
        <v>6717</v>
      </c>
      <c r="G2901" s="1" t="str">
        <f>IFERROR(VLOOKUP(A2901,H_C!$A$2:$G$2628,7,0),"Validar HC")</f>
        <v>Validar HC</v>
      </c>
      <c r="H2901" s="165">
        <v>1423500.0</v>
      </c>
      <c r="I2901" s="49">
        <v>42.0</v>
      </c>
    </row>
    <row r="2902" ht="15.75" customHeight="1">
      <c r="A2902" s="1">
        <v>5363143.0</v>
      </c>
      <c r="B2902" s="1" t="s">
        <v>6625</v>
      </c>
      <c r="C2902" s="1" t="s">
        <v>6626</v>
      </c>
      <c r="D2902" s="1" t="s">
        <v>5809</v>
      </c>
      <c r="F2902" s="1" t="s">
        <v>6717</v>
      </c>
      <c r="G2902" s="1" t="str">
        <f>IFERROR(VLOOKUP(A2902,H_C!$A$2:$G$2628,7,0),"Validar HC")</f>
        <v>Validar HC</v>
      </c>
      <c r="H2902" s="165">
        <v>1423500.0</v>
      </c>
      <c r="I2902" s="49">
        <v>42.0</v>
      </c>
    </row>
    <row r="2903" ht="15.75" customHeight="1">
      <c r="A2903" s="1">
        <v>5380477.0</v>
      </c>
      <c r="B2903" s="1" t="s">
        <v>6933</v>
      </c>
      <c r="C2903" s="1" t="s">
        <v>963</v>
      </c>
      <c r="D2903" s="1" t="s">
        <v>6714</v>
      </c>
      <c r="F2903" s="1" t="s">
        <v>6717</v>
      </c>
      <c r="G2903" s="1" t="str">
        <f>IFERROR(VLOOKUP(A2903,H_C!$A$2:$G$2628,7,0),"Validar HC")</f>
        <v>Ospina, Michel</v>
      </c>
      <c r="H2903" s="165">
        <v>1423500.0</v>
      </c>
      <c r="I2903" s="49">
        <v>42.0</v>
      </c>
    </row>
    <row r="2904" ht="15.75" customHeight="1">
      <c r="A2904" s="1">
        <v>5383499.0</v>
      </c>
      <c r="B2904" s="1" t="s">
        <v>6631</v>
      </c>
      <c r="C2904" s="1" t="s">
        <v>6632</v>
      </c>
      <c r="D2904" s="1" t="s">
        <v>5809</v>
      </c>
      <c r="F2904" s="1" t="s">
        <v>6717</v>
      </c>
      <c r="G2904" s="1" t="str">
        <f>IFERROR(VLOOKUP(A2904,H_C!$A$2:$G$2628,7,0),"Validar HC")</f>
        <v>Validar HC</v>
      </c>
      <c r="H2904" s="165">
        <v>1423500.0</v>
      </c>
      <c r="I2904" s="49">
        <v>42.0</v>
      </c>
    </row>
    <row r="2905" ht="15.75" customHeight="1">
      <c r="A2905" s="1">
        <v>5391976.0</v>
      </c>
      <c r="B2905" s="1" t="s">
        <v>6934</v>
      </c>
      <c r="C2905" s="1" t="s">
        <v>6935</v>
      </c>
      <c r="D2905" s="1" t="s">
        <v>5809</v>
      </c>
      <c r="F2905" s="1" t="s">
        <v>6717</v>
      </c>
      <c r="G2905" s="1" t="str">
        <f>IFERROR(VLOOKUP(A2905,H_C!$A$2:$G$2628,7,0),"Validar HC")</f>
        <v>Validar HC</v>
      </c>
      <c r="H2905" s="165">
        <v>1423500.0</v>
      </c>
      <c r="I2905" s="49">
        <v>42.0</v>
      </c>
    </row>
    <row r="2906" ht="15.75" customHeight="1">
      <c r="A2906" s="1">
        <v>5393348.0</v>
      </c>
      <c r="B2906" s="1" t="s">
        <v>6936</v>
      </c>
      <c r="C2906" s="1" t="s">
        <v>6937</v>
      </c>
      <c r="D2906" s="1" t="s">
        <v>5856</v>
      </c>
      <c r="F2906" s="1" t="s">
        <v>6717</v>
      </c>
      <c r="G2906" s="1" t="str">
        <f>IFERROR(VLOOKUP(A2906,H_C!$A$2:$G$2628,7,0),"Validar HC")</f>
        <v>Validar HC</v>
      </c>
      <c r="H2906" s="165">
        <v>1423500.0</v>
      </c>
      <c r="I2906" s="49">
        <v>42.0</v>
      </c>
    </row>
    <row r="2907" ht="15.75" customHeight="1">
      <c r="A2907" s="1">
        <v>5435551.0</v>
      </c>
      <c r="B2907" s="1" t="s">
        <v>6938</v>
      </c>
      <c r="C2907" s="1" t="s">
        <v>6939</v>
      </c>
      <c r="D2907" s="1" t="s">
        <v>5809</v>
      </c>
      <c r="F2907" s="1" t="s">
        <v>6717</v>
      </c>
      <c r="G2907" s="1" t="str">
        <f>IFERROR(VLOOKUP(A2907,H_C!$A$2:$G$2628,7,0),"Validar HC")</f>
        <v>Validar HC</v>
      </c>
      <c r="H2907" s="165">
        <v>1423500.0</v>
      </c>
      <c r="I2907" s="49">
        <v>42.0</v>
      </c>
    </row>
    <row r="2908" ht="15.75" customHeight="1">
      <c r="A2908" s="1">
        <v>5489537.0</v>
      </c>
      <c r="B2908" s="1" t="s">
        <v>5634</v>
      </c>
      <c r="C2908" s="1" t="s">
        <v>6940</v>
      </c>
      <c r="D2908" s="1" t="s">
        <v>5856</v>
      </c>
      <c r="F2908" s="1" t="s">
        <v>6717</v>
      </c>
      <c r="G2908" s="1" t="str">
        <f>IFERROR(VLOOKUP(A2908,H_C!$A$2:$G$2628,7,0),"Validar HC")</f>
        <v>Validar HC</v>
      </c>
      <c r="H2908" s="165">
        <v>1423500.0</v>
      </c>
      <c r="I2908" s="49">
        <v>42.0</v>
      </c>
    </row>
    <row r="2909" ht="15.75" customHeight="1">
      <c r="A2909" s="1">
        <v>5492004.0</v>
      </c>
      <c r="B2909" s="1" t="s">
        <v>6941</v>
      </c>
      <c r="C2909" s="1" t="s">
        <v>6942</v>
      </c>
      <c r="D2909" s="1" t="s">
        <v>5809</v>
      </c>
      <c r="F2909" s="1" t="s">
        <v>6717</v>
      </c>
      <c r="G2909" s="1" t="str">
        <f>IFERROR(VLOOKUP(A2909,H_C!$A$2:$G$2628,7,0),"Validar HC")</f>
        <v>Validar HC</v>
      </c>
      <c r="H2909" s="165">
        <v>1423500.0</v>
      </c>
      <c r="I2909" s="49">
        <v>42.0</v>
      </c>
    </row>
    <row r="2910" ht="15.75" customHeight="1">
      <c r="A2910" s="1">
        <v>5528031.0</v>
      </c>
      <c r="B2910" s="1" t="s">
        <v>6943</v>
      </c>
      <c r="C2910" s="1" t="s">
        <v>6944</v>
      </c>
      <c r="D2910" s="1" t="s">
        <v>6714</v>
      </c>
      <c r="F2910" s="1" t="s">
        <v>6717</v>
      </c>
      <c r="G2910" s="1" t="str">
        <f>IFERROR(VLOOKUP(A2910,H_C!$A$2:$G$2628,7,0),"Validar HC")</f>
        <v>Validar HC</v>
      </c>
      <c r="H2910" s="165">
        <v>1423500.0</v>
      </c>
      <c r="I2910" s="49">
        <v>42.0</v>
      </c>
    </row>
    <row r="2911" ht="15.75" customHeight="1">
      <c r="A2911" s="1">
        <v>5537614.0</v>
      </c>
      <c r="B2911" s="1" t="s">
        <v>6666</v>
      </c>
      <c r="C2911" s="1" t="s">
        <v>6667</v>
      </c>
      <c r="D2911" s="1" t="s">
        <v>6715</v>
      </c>
      <c r="F2911" s="1" t="s">
        <v>6717</v>
      </c>
      <c r="G2911" s="1" t="str">
        <f>IFERROR(VLOOKUP(A2911,H_C!$A$2:$G$2628,7,0),"Validar HC")</f>
        <v>Validar HC</v>
      </c>
      <c r="H2911" s="165">
        <v>1423500.0</v>
      </c>
      <c r="I2911" s="49">
        <v>42.0</v>
      </c>
    </row>
    <row r="2912" ht="15.75" customHeight="1">
      <c r="A2912" s="1">
        <v>5538384.0</v>
      </c>
      <c r="B2912" s="1" t="s">
        <v>6945</v>
      </c>
      <c r="C2912" s="1" t="s">
        <v>6946</v>
      </c>
      <c r="D2912" s="1" t="s">
        <v>5809</v>
      </c>
      <c r="F2912" s="1" t="s">
        <v>6717</v>
      </c>
      <c r="G2912" s="1" t="str">
        <f>IFERROR(VLOOKUP(A2912,H_C!$A$2:$G$2628,7,0),"Validar HC")</f>
        <v>Validar HC</v>
      </c>
      <c r="H2912" s="165">
        <v>1423500.0</v>
      </c>
      <c r="I2912" s="49">
        <v>42.0</v>
      </c>
    </row>
    <row r="2913" ht="15.75" customHeight="1">
      <c r="A2913" s="1">
        <v>5543739.0</v>
      </c>
      <c r="B2913" s="1" t="s">
        <v>6669</v>
      </c>
      <c r="C2913" s="1" t="s">
        <v>6670</v>
      </c>
      <c r="D2913" s="1" t="s">
        <v>5829</v>
      </c>
      <c r="E2913" s="25" t="s">
        <v>3784</v>
      </c>
      <c r="F2913" s="1" t="s">
        <v>6717</v>
      </c>
      <c r="G2913" s="1" t="str">
        <f>IFERROR(VLOOKUP(A2913,H_C!$A$2:$G$2628,7,0),"Validar HC")</f>
        <v>Validar HC</v>
      </c>
      <c r="H2913" s="165">
        <v>1423500.0</v>
      </c>
      <c r="I2913" s="49">
        <v>42.0</v>
      </c>
    </row>
    <row r="2914" ht="15.75" customHeight="1">
      <c r="A2914" s="1">
        <v>5572821.0</v>
      </c>
      <c r="B2914" s="1" t="s">
        <v>6682</v>
      </c>
      <c r="C2914" s="1" t="s">
        <v>6683</v>
      </c>
      <c r="D2914" s="1" t="s">
        <v>5829</v>
      </c>
      <c r="E2914" s="1" t="s">
        <v>10</v>
      </c>
      <c r="F2914" s="1" t="s">
        <v>6717</v>
      </c>
      <c r="G2914" s="1" t="str">
        <f>IFERROR(VLOOKUP(A2914,H_C!$A$2:$G$2628,7,0),"Validar HC")</f>
        <v>Validar HC</v>
      </c>
      <c r="H2914" s="165">
        <v>1423500.0</v>
      </c>
      <c r="I2914" s="49">
        <v>42.0</v>
      </c>
    </row>
    <row r="2915" ht="15.75" customHeight="1">
      <c r="A2915" s="1">
        <v>5640839.0</v>
      </c>
      <c r="B2915" s="1" t="s">
        <v>6947</v>
      </c>
      <c r="C2915" s="1" t="s">
        <v>6948</v>
      </c>
      <c r="D2915" s="1" t="s">
        <v>5809</v>
      </c>
      <c r="F2915" s="1" t="s">
        <v>6717</v>
      </c>
      <c r="G2915" s="1" t="str">
        <f>IFERROR(VLOOKUP(A2915,H_C!$A$2:$G$2628,7,0),"Validar HC")</f>
        <v>Validar HC</v>
      </c>
      <c r="H2915" s="165">
        <v>1423500.0</v>
      </c>
      <c r="I2915" s="49">
        <v>42.0</v>
      </c>
    </row>
    <row r="2916" ht="15.75" customHeight="1">
      <c r="A2916" s="1">
        <v>5651751.0</v>
      </c>
      <c r="B2916" s="1" t="s">
        <v>6949</v>
      </c>
      <c r="C2916" s="1" t="s">
        <v>6950</v>
      </c>
      <c r="D2916" s="1" t="s">
        <v>6714</v>
      </c>
      <c r="F2916" s="1" t="s">
        <v>6717</v>
      </c>
      <c r="G2916" s="1" t="str">
        <f>IFERROR(VLOOKUP(A2916,H_C!$A$2:$G$2628,7,0),"Validar HC")</f>
        <v>Validar HC</v>
      </c>
      <c r="H2916" s="165">
        <v>1423500.0</v>
      </c>
      <c r="I2916" s="49">
        <v>42.0</v>
      </c>
    </row>
    <row r="2917" ht="15.75" customHeight="1">
      <c r="A2917" s="1">
        <v>5654109.0</v>
      </c>
      <c r="B2917" s="1" t="s">
        <v>6951</v>
      </c>
      <c r="C2917" s="1" t="s">
        <v>6952</v>
      </c>
      <c r="D2917" s="1" t="s">
        <v>5809</v>
      </c>
      <c r="F2917" s="1" t="s">
        <v>6717</v>
      </c>
      <c r="G2917" s="1" t="str">
        <f>IFERROR(VLOOKUP(A2917,H_C!$A$2:$G$2628,7,0),"Validar HC")</f>
        <v>Validar HC</v>
      </c>
      <c r="H2917" s="165">
        <v>1423500.0</v>
      </c>
      <c r="I2917" s="49">
        <v>42.0</v>
      </c>
    </row>
    <row r="2918" ht="15.75" customHeight="1">
      <c r="A2918" s="1">
        <v>5655405.0</v>
      </c>
      <c r="B2918" s="1" t="s">
        <v>6953</v>
      </c>
      <c r="C2918" s="1" t="s">
        <v>6954</v>
      </c>
      <c r="D2918" s="1" t="s">
        <v>5809</v>
      </c>
      <c r="F2918" s="1" t="s">
        <v>6717</v>
      </c>
      <c r="G2918" s="1" t="str">
        <f>IFERROR(VLOOKUP(A2918,H_C!$A$2:$G$2628,7,0),"Validar HC")</f>
        <v>Validar HC</v>
      </c>
      <c r="H2918" s="165">
        <v>1423500.0</v>
      </c>
      <c r="I2918" s="49">
        <v>42.0</v>
      </c>
    </row>
    <row r="2919" ht="15.75" customHeight="1">
      <c r="A2919" s="1">
        <v>5659620.0</v>
      </c>
      <c r="B2919" s="1" t="s">
        <v>6955</v>
      </c>
      <c r="C2919" s="1" t="s">
        <v>6956</v>
      </c>
      <c r="D2919" s="1" t="s">
        <v>6714</v>
      </c>
      <c r="F2919" s="1" t="s">
        <v>6717</v>
      </c>
      <c r="G2919" s="1" t="str">
        <f>IFERROR(VLOOKUP(A2919,H_C!$A$2:$G$2628,7,0),"Validar HC")</f>
        <v>Validar HC</v>
      </c>
      <c r="H2919" s="165">
        <v>1423500.0</v>
      </c>
      <c r="I2919" s="49">
        <v>42.0</v>
      </c>
    </row>
    <row r="2920" ht="15.75" customHeight="1">
      <c r="A2920" s="1">
        <v>5694810.0</v>
      </c>
      <c r="B2920" s="1" t="s">
        <v>6957</v>
      </c>
      <c r="C2920" s="1" t="s">
        <v>6958</v>
      </c>
      <c r="D2920" s="1" t="s">
        <v>6714</v>
      </c>
      <c r="F2920" s="1" t="s">
        <v>6717</v>
      </c>
      <c r="G2920" s="1" t="str">
        <f>IFERROR(VLOOKUP(A2920,H_C!$A$2:$G$2628,7,0),"Validar HC")</f>
        <v>Validar HC</v>
      </c>
      <c r="H2920" s="165">
        <v>1423500.0</v>
      </c>
      <c r="I2920" s="49">
        <v>42.0</v>
      </c>
    </row>
    <row r="2921" ht="15.75" customHeight="1">
      <c r="A2921" s="1">
        <v>4942884.0</v>
      </c>
      <c r="B2921" s="1" t="s">
        <v>6959</v>
      </c>
      <c r="C2921" s="1" t="s">
        <v>6960</v>
      </c>
      <c r="D2921" s="1" t="s">
        <v>5809</v>
      </c>
      <c r="F2921" s="1" t="s">
        <v>6717</v>
      </c>
      <c r="G2921" s="1" t="str">
        <f>IFERROR(VLOOKUP(A2921,H_C!$A$2:$G$2628,7,0),"Validar HC")</f>
        <v>Validar HC</v>
      </c>
      <c r="H2921" s="165">
        <v>1423500.0</v>
      </c>
      <c r="I2921" s="49">
        <v>42.0</v>
      </c>
    </row>
    <row r="2922" ht="15.75" customHeight="1">
      <c r="A2922" s="1">
        <v>4079194.0</v>
      </c>
      <c r="B2922" s="1" t="s">
        <v>6961</v>
      </c>
      <c r="C2922" s="1" t="s">
        <v>6962</v>
      </c>
      <c r="D2922" s="1" t="s">
        <v>6714</v>
      </c>
      <c r="F2922" s="1" t="s">
        <v>6717</v>
      </c>
      <c r="G2922" s="1" t="str">
        <f>IFERROR(VLOOKUP(A2922,H_C!$A$2:$G$2628,7,0),"Validar HC")</f>
        <v>Validar HC</v>
      </c>
      <c r="H2922" s="165">
        <v>1423500.0</v>
      </c>
      <c r="I2922" s="49">
        <v>42.0</v>
      </c>
    </row>
    <row r="2923" ht="15.75" customHeight="1">
      <c r="A2923" s="1">
        <v>5809959.0</v>
      </c>
      <c r="B2923" s="1" t="s">
        <v>6963</v>
      </c>
      <c r="C2923" s="1" t="s">
        <v>6964</v>
      </c>
      <c r="D2923" s="1" t="s">
        <v>6714</v>
      </c>
      <c r="F2923" s="1" t="s">
        <v>6717</v>
      </c>
      <c r="G2923" s="1" t="str">
        <f>IFERROR(VLOOKUP(A2923,H_C!$A$2:$G$2628,7,0),"Validar HC")</f>
        <v>Validar HC</v>
      </c>
      <c r="H2923" s="165">
        <v>1423500.0</v>
      </c>
      <c r="I2923" s="49">
        <v>42.0</v>
      </c>
    </row>
    <row r="2924" ht="15.75" customHeight="1">
      <c r="A2924" s="1">
        <v>5849355.0</v>
      </c>
      <c r="B2924" s="1" t="s">
        <v>5296</v>
      </c>
      <c r="C2924" s="1" t="s">
        <v>6965</v>
      </c>
      <c r="D2924" s="1" t="s">
        <v>5856</v>
      </c>
      <c r="F2924" s="1" t="s">
        <v>6717</v>
      </c>
      <c r="G2924" s="1" t="str">
        <f>IFERROR(VLOOKUP(A2924,H_C!$A$2:$G$2628,7,0),"Validar HC")</f>
        <v>Validar HC</v>
      </c>
      <c r="H2924" s="165">
        <v>1423500.0</v>
      </c>
      <c r="I2924" s="49">
        <v>42.0</v>
      </c>
    </row>
    <row r="2925" ht="15.75" customHeight="1">
      <c r="A2925" s="1">
        <v>3158307.0</v>
      </c>
      <c r="B2925" s="1" t="s">
        <v>6966</v>
      </c>
      <c r="C2925" s="1" t="s">
        <v>6967</v>
      </c>
      <c r="D2925" s="1" t="s">
        <v>6706</v>
      </c>
      <c r="F2925" s="1" t="s">
        <v>6717</v>
      </c>
      <c r="G2925" s="1" t="str">
        <f>IFERROR(VLOOKUP(A2925,H_C!$A$2:$G$2628,7,0),"Validar HC")</f>
        <v>Validar HC</v>
      </c>
      <c r="H2925" s="165">
        <v>1423500.0</v>
      </c>
      <c r="I2925" s="49">
        <v>42.0</v>
      </c>
    </row>
    <row r="2926" ht="15.75" customHeight="1">
      <c r="A2926" s="1">
        <v>3995584.0</v>
      </c>
      <c r="B2926" s="1" t="s">
        <v>6968</v>
      </c>
      <c r="C2926" s="1" t="s">
        <v>6969</v>
      </c>
      <c r="D2926" s="1" t="s">
        <v>6706</v>
      </c>
      <c r="F2926" s="1" t="s">
        <v>6717</v>
      </c>
      <c r="G2926" s="1" t="str">
        <f>IFERROR(VLOOKUP(A2926,H_C!$A$2:$G$2628,7,0),"Validar HC")</f>
        <v>Validar HC</v>
      </c>
      <c r="H2926" s="165">
        <v>1423500.0</v>
      </c>
      <c r="I2926" s="49">
        <v>42.0</v>
      </c>
    </row>
    <row r="2927" ht="15.75" customHeight="1">
      <c r="A2927" s="1"/>
      <c r="B2927" s="1"/>
      <c r="C2927" s="1"/>
      <c r="D2927" s="1"/>
      <c r="E2927" s="25"/>
      <c r="F2927" s="1"/>
      <c r="G2927" s="1"/>
      <c r="H2927" s="162"/>
      <c r="I2927" s="49"/>
    </row>
    <row r="2928" ht="15.75" customHeight="1">
      <c r="A2928" s="1">
        <v>5835366.0</v>
      </c>
      <c r="B2928" s="1" t="s">
        <v>6970</v>
      </c>
      <c r="C2928" s="1" t="s">
        <v>3646</v>
      </c>
      <c r="D2928" s="1" t="s">
        <v>6108</v>
      </c>
      <c r="F2928" s="1" t="s">
        <v>6717</v>
      </c>
      <c r="G2928" s="1" t="str">
        <f>IFERROR(VLOOKUP(A2928,H_C!$A$2:$G$2628,7,0),"Validar HC")</f>
        <v>Validar HC</v>
      </c>
      <c r="H2928" s="165">
        <v>1423500.0</v>
      </c>
      <c r="I2928" s="49">
        <v>42.0</v>
      </c>
    </row>
    <row r="2929" ht="15.75" customHeight="1">
      <c r="A2929" s="1">
        <v>5917373.0</v>
      </c>
      <c r="B2929" s="1" t="s">
        <v>6971</v>
      </c>
      <c r="C2929" s="1" t="s">
        <v>6972</v>
      </c>
      <c r="D2929" s="1" t="s">
        <v>6548</v>
      </c>
      <c r="F2929" s="1" t="s">
        <v>6717</v>
      </c>
      <c r="G2929" s="1" t="str">
        <f>IFERROR(VLOOKUP(A2929,H_C!$A$2:$G$2628,7,0),"Validar HC")</f>
        <v>Validar HC</v>
      </c>
      <c r="H2929" s="165">
        <v>1423500.0</v>
      </c>
      <c r="I2929" s="49">
        <v>42.0</v>
      </c>
    </row>
    <row r="2930" ht="15.75" customHeight="1">
      <c r="A2930" s="1">
        <v>3909270.0</v>
      </c>
      <c r="B2930" s="1" t="s">
        <v>6973</v>
      </c>
      <c r="C2930" s="1" t="s">
        <v>6974</v>
      </c>
      <c r="D2930" s="1" t="s">
        <v>5820</v>
      </c>
      <c r="F2930" s="1" t="s">
        <v>6717</v>
      </c>
      <c r="G2930" s="1" t="str">
        <f>IFERROR(VLOOKUP(A2930,H_C!$A$2:$G$2628,7,0),"Validar HC")</f>
        <v>Validar HC</v>
      </c>
      <c r="H2930" s="165">
        <v>1423500.0</v>
      </c>
      <c r="I2930" s="49">
        <v>42.0</v>
      </c>
    </row>
    <row r="2931" ht="15.75" customHeight="1">
      <c r="A2931" s="1">
        <v>1866205.0</v>
      </c>
      <c r="B2931" s="1" t="s">
        <v>6975</v>
      </c>
      <c r="C2931" s="1" t="s">
        <v>6976</v>
      </c>
      <c r="D2931" s="1" t="s">
        <v>5820</v>
      </c>
      <c r="F2931" s="1" t="s">
        <v>6717</v>
      </c>
      <c r="G2931" s="1" t="str">
        <f>IFERROR(VLOOKUP(A2931,H_C!$A$2:$G$2628,7,0),"Validar HC")</f>
        <v>Validar HC</v>
      </c>
      <c r="H2931" s="165">
        <v>1423500.0</v>
      </c>
      <c r="I2931" s="49">
        <v>42.0</v>
      </c>
    </row>
    <row r="2932" ht="15.75" customHeight="1">
      <c r="A2932" s="1">
        <v>4740495.0</v>
      </c>
      <c r="B2932" s="1" t="s">
        <v>6977</v>
      </c>
      <c r="C2932" s="1" t="s">
        <v>6978</v>
      </c>
      <c r="D2932" s="1" t="s">
        <v>6706</v>
      </c>
      <c r="F2932" s="1" t="s">
        <v>6717</v>
      </c>
      <c r="G2932" s="1" t="str">
        <f>IFERROR(VLOOKUP(A2932,H_C!$A$2:$G$2628,7,0),"Validar HC")</f>
        <v>Validar HC</v>
      </c>
      <c r="H2932" s="165">
        <v>1423500.0</v>
      </c>
      <c r="I2932" s="49">
        <v>42.0</v>
      </c>
    </row>
    <row r="2933" ht="15.75" customHeight="1">
      <c r="A2933" s="1">
        <v>4050598.0</v>
      </c>
      <c r="B2933" s="1" t="s">
        <v>4103</v>
      </c>
      <c r="C2933" s="1" t="s">
        <v>6979</v>
      </c>
      <c r="D2933" s="1" t="s">
        <v>6047</v>
      </c>
      <c r="F2933" s="1" t="s">
        <v>6717</v>
      </c>
      <c r="G2933" s="1" t="str">
        <f>IFERROR(VLOOKUP(A2933,H_C!$A$2:$G$2628,7,0),"Validar HC")</f>
        <v>Validar HC</v>
      </c>
      <c r="H2933" s="165">
        <v>1423500.0</v>
      </c>
      <c r="I2933" s="49">
        <v>42.0</v>
      </c>
    </row>
    <row r="2934" ht="15.75" customHeight="1">
      <c r="A2934" s="1">
        <v>1967635.0</v>
      </c>
      <c r="B2934" s="1" t="s">
        <v>6980</v>
      </c>
      <c r="C2934" s="1" t="s">
        <v>6981</v>
      </c>
      <c r="D2934" s="1" t="s">
        <v>6548</v>
      </c>
      <c r="F2934" s="1" t="s">
        <v>6717</v>
      </c>
      <c r="G2934" s="1" t="str">
        <f>IFERROR(VLOOKUP(A2934,H_C!$A$2:$G$2628,7,0),"Validar HC")</f>
        <v>Validar HC</v>
      </c>
      <c r="H2934" s="165">
        <v>1423500.0</v>
      </c>
      <c r="I2934" s="49">
        <v>42.0</v>
      </c>
    </row>
    <row r="2935" ht="15.75" customHeight="1">
      <c r="A2935" s="1">
        <v>621512.0</v>
      </c>
      <c r="B2935" s="1" t="s">
        <v>6982</v>
      </c>
      <c r="C2935" s="1" t="s">
        <v>6983</v>
      </c>
      <c r="D2935" s="1" t="s">
        <v>6548</v>
      </c>
      <c r="F2935" s="1" t="s">
        <v>6717</v>
      </c>
      <c r="G2935" s="1" t="str">
        <f>IFERROR(VLOOKUP(A2935,H_C!$A$2:$G$2628,7,0),"Validar HC")</f>
        <v>Validar HC</v>
      </c>
      <c r="H2935" s="165">
        <v>1423500.0</v>
      </c>
      <c r="I2935" s="49">
        <v>42.0</v>
      </c>
    </row>
    <row r="2936" ht="15.75" customHeight="1">
      <c r="A2936" s="1">
        <v>986344.0</v>
      </c>
      <c r="B2936" s="1" t="s">
        <v>6984</v>
      </c>
      <c r="C2936" s="1" t="s">
        <v>6985</v>
      </c>
      <c r="D2936" s="1" t="s">
        <v>6548</v>
      </c>
      <c r="F2936" s="1" t="s">
        <v>6717</v>
      </c>
      <c r="G2936" s="1" t="str">
        <f>IFERROR(VLOOKUP(A2936,H_C!$A$2:$G$2628,7,0),"Validar HC")</f>
        <v>Validar HC</v>
      </c>
      <c r="H2936" s="165">
        <v>1423500.0</v>
      </c>
      <c r="I2936" s="49">
        <v>42.0</v>
      </c>
    </row>
    <row r="2937" ht="15.75" customHeight="1">
      <c r="A2937" s="1">
        <v>2198037.0</v>
      </c>
      <c r="B2937" s="1" t="s">
        <v>6986</v>
      </c>
      <c r="C2937" s="1" t="s">
        <v>6987</v>
      </c>
      <c r="D2937" s="1" t="s">
        <v>6548</v>
      </c>
      <c r="F2937" s="1" t="s">
        <v>6717</v>
      </c>
      <c r="G2937" s="1" t="str">
        <f>IFERROR(VLOOKUP(A2937,H_C!$A$2:$G$2628,7,0),"Validar HC")</f>
        <v>Validar HC</v>
      </c>
      <c r="H2937" s="165">
        <v>1423500.0</v>
      </c>
      <c r="I2937" s="49">
        <v>42.0</v>
      </c>
    </row>
    <row r="2938" ht="15.75" customHeight="1">
      <c r="A2938" s="1">
        <v>2080506.0</v>
      </c>
      <c r="B2938" s="1" t="s">
        <v>6988</v>
      </c>
      <c r="C2938" s="1" t="s">
        <v>3646</v>
      </c>
      <c r="D2938" s="1" t="s">
        <v>6719</v>
      </c>
      <c r="F2938" s="1" t="s">
        <v>6717</v>
      </c>
      <c r="G2938" s="1" t="str">
        <f>IFERROR(VLOOKUP(A2938,H_C!$A$2:$G$2628,7,0),"Validar HC")</f>
        <v>Validar HC</v>
      </c>
      <c r="H2938" s="165">
        <v>1423500.0</v>
      </c>
      <c r="I2938" s="49">
        <v>42.0</v>
      </c>
    </row>
    <row r="2939" ht="15.75" customHeight="1">
      <c r="A2939" s="1">
        <v>6022422.0</v>
      </c>
      <c r="B2939" s="1" t="s">
        <v>266</v>
      </c>
      <c r="C2939" s="1" t="s">
        <v>6989</v>
      </c>
      <c r="D2939" s="1" t="s">
        <v>217</v>
      </c>
      <c r="F2939" s="1" t="s">
        <v>6717</v>
      </c>
      <c r="G2939" s="1" t="str">
        <f>IFERROR(VLOOKUP(A2939,H_C!$A$2:$G$2628,7,0),"Validar HC")</f>
        <v>Validar HC</v>
      </c>
      <c r="H2939" s="165">
        <v>1423500.0</v>
      </c>
      <c r="I2939" s="49">
        <v>42.0</v>
      </c>
    </row>
    <row r="2940" ht="15.75" customHeight="1">
      <c r="A2940" s="1">
        <v>2265490.0</v>
      </c>
      <c r="B2940" s="1" t="s">
        <v>249</v>
      </c>
      <c r="C2940" s="1" t="s">
        <v>6990</v>
      </c>
      <c r="D2940" s="1" t="s">
        <v>217</v>
      </c>
      <c r="F2940" s="1" t="s">
        <v>6717</v>
      </c>
      <c r="G2940" s="1" t="str">
        <f>IFERROR(VLOOKUP(A2940,H_C!$A$2:$G$2628,7,0),"Validar HC")</f>
        <v>Validar HC</v>
      </c>
      <c r="H2940" s="165">
        <v>1423500.0</v>
      </c>
      <c r="I2940" s="49">
        <v>42.0</v>
      </c>
    </row>
    <row r="2941" ht="15.75" customHeight="1">
      <c r="A2941" s="1">
        <v>6028076.0</v>
      </c>
      <c r="B2941" s="1" t="s">
        <v>6991</v>
      </c>
      <c r="C2941" s="1" t="s">
        <v>6992</v>
      </c>
      <c r="D2941" s="1" t="s">
        <v>5829</v>
      </c>
      <c r="E2941" s="25" t="s">
        <v>10</v>
      </c>
      <c r="F2941" s="1" t="s">
        <v>6717</v>
      </c>
      <c r="G2941" s="1" t="str">
        <f>IFERROR(VLOOKUP(A2941,H_C!$A$2:$G$2628,7,0),"Validar HC")</f>
        <v>Validar HC</v>
      </c>
      <c r="H2941" s="165">
        <v>1423500.0</v>
      </c>
      <c r="I2941" s="49">
        <v>42.0</v>
      </c>
    </row>
    <row r="2942" ht="15.75" customHeight="1">
      <c r="A2942" s="1">
        <v>6020552.0</v>
      </c>
      <c r="B2942" s="1" t="s">
        <v>6993</v>
      </c>
      <c r="C2942" s="1" t="s">
        <v>6994</v>
      </c>
      <c r="D2942" s="1" t="s">
        <v>6728</v>
      </c>
      <c r="F2942" s="1" t="s">
        <v>6717</v>
      </c>
      <c r="G2942" s="1" t="str">
        <f>IFERROR(VLOOKUP(A2942,H_C!$A$2:$G$2628,7,0),"Validar HC")</f>
        <v>Validar HC</v>
      </c>
      <c r="H2942" s="165">
        <v>1423500.0</v>
      </c>
      <c r="I2942" s="49">
        <v>42.0</v>
      </c>
    </row>
    <row r="2943" ht="15.75" customHeight="1">
      <c r="A2943" s="1">
        <v>4629478.0</v>
      </c>
      <c r="B2943" s="1" t="s">
        <v>6995</v>
      </c>
      <c r="C2943" s="1" t="s">
        <v>6996</v>
      </c>
      <c r="D2943" s="1" t="s">
        <v>6719</v>
      </c>
      <c r="F2943" s="1" t="s">
        <v>6717</v>
      </c>
      <c r="G2943" s="1" t="str">
        <f>IFERROR(VLOOKUP(A2943,H_C!$A$2:$G$2628,7,0),"Validar HC")</f>
        <v>Validar HC</v>
      </c>
      <c r="H2943" s="165">
        <v>1423500.0</v>
      </c>
      <c r="I2943" s="49">
        <v>42.0</v>
      </c>
    </row>
    <row r="2944" ht="15.75" customHeight="1">
      <c r="A2944" s="1">
        <v>1003418.0</v>
      </c>
      <c r="B2944" s="1" t="s">
        <v>1262</v>
      </c>
      <c r="C2944" s="1" t="s">
        <v>6997</v>
      </c>
      <c r="D2944" s="1" t="s">
        <v>6998</v>
      </c>
      <c r="F2944" s="1" t="s">
        <v>6717</v>
      </c>
      <c r="G2944" s="1" t="str">
        <f>IFERROR(VLOOKUP(A2944,H_C!$A$2:$G$2628,7,0),"Validar HC")</f>
        <v>Validar HC</v>
      </c>
      <c r="H2944" s="165">
        <v>1423500.0</v>
      </c>
      <c r="I2944" s="49">
        <v>42.0</v>
      </c>
    </row>
    <row r="2945" ht="15.75" customHeight="1">
      <c r="A2945" s="1">
        <v>1058003.0</v>
      </c>
      <c r="B2945" s="1" t="s">
        <v>1513</v>
      </c>
      <c r="C2945" s="1" t="s">
        <v>6999</v>
      </c>
      <c r="D2945" s="1" t="s">
        <v>6998</v>
      </c>
      <c r="F2945" s="1" t="s">
        <v>6717</v>
      </c>
      <c r="G2945" s="1" t="str">
        <f>IFERROR(VLOOKUP(A2945,H_C!$A$2:$G$2628,7,0),"Validar HC")</f>
        <v>Validar HC</v>
      </c>
      <c r="H2945" s="165">
        <v>1423500.0</v>
      </c>
      <c r="I2945" s="49">
        <v>42.0</v>
      </c>
    </row>
    <row r="2946" ht="15.75" customHeight="1">
      <c r="A2946" s="1">
        <v>1169721.0</v>
      </c>
      <c r="B2946" s="1" t="s">
        <v>1040</v>
      </c>
      <c r="C2946" s="1" t="s">
        <v>7000</v>
      </c>
      <c r="D2946" s="1" t="s">
        <v>6998</v>
      </c>
      <c r="F2946" s="1" t="s">
        <v>6717</v>
      </c>
      <c r="G2946" s="1" t="str">
        <f>IFERROR(VLOOKUP(A2946,H_C!$A$2:$G$2628,7,0),"Validar HC")</f>
        <v>Validar HC</v>
      </c>
      <c r="H2946" s="165">
        <v>1423500.0</v>
      </c>
      <c r="I2946" s="49">
        <v>42.0</v>
      </c>
    </row>
    <row r="2947" ht="15.75" customHeight="1">
      <c r="A2947" s="1">
        <v>1248529.0</v>
      </c>
      <c r="B2947" s="1" t="s">
        <v>340</v>
      </c>
      <c r="C2947" s="1" t="s">
        <v>7001</v>
      </c>
      <c r="D2947" s="1" t="s">
        <v>6998</v>
      </c>
      <c r="F2947" s="1" t="s">
        <v>6717</v>
      </c>
      <c r="G2947" s="1" t="str">
        <f>IFERROR(VLOOKUP(A2947,H_C!$A$2:$G$2628,7,0),"Validar HC")</f>
        <v>Validar HC</v>
      </c>
      <c r="H2947" s="165">
        <v>1423500.0</v>
      </c>
      <c r="I2947" s="49">
        <v>42.0</v>
      </c>
    </row>
    <row r="2948" ht="15.75" customHeight="1">
      <c r="A2948" s="1">
        <v>1423033.0</v>
      </c>
      <c r="B2948" s="1" t="s">
        <v>7002</v>
      </c>
      <c r="C2948" s="1" t="s">
        <v>7003</v>
      </c>
      <c r="D2948" s="1" t="s">
        <v>6998</v>
      </c>
      <c r="F2948" s="1" t="s">
        <v>6717</v>
      </c>
      <c r="G2948" s="1" t="str">
        <f>IFERROR(VLOOKUP(A2948,H_C!$A$2:$G$2628,7,0),"Validar HC")</f>
        <v>Validar HC</v>
      </c>
      <c r="H2948" s="165">
        <v>1423500.0</v>
      </c>
      <c r="I2948" s="49">
        <v>42.0</v>
      </c>
    </row>
    <row r="2949" ht="15.75" customHeight="1">
      <c r="A2949" s="1">
        <v>1933533.0</v>
      </c>
      <c r="B2949" s="1" t="s">
        <v>437</v>
      </c>
      <c r="C2949" s="1" t="s">
        <v>7004</v>
      </c>
      <c r="D2949" s="1" t="s">
        <v>6998</v>
      </c>
      <c r="F2949" s="1" t="s">
        <v>6717</v>
      </c>
      <c r="G2949" s="1" t="str">
        <f>IFERROR(VLOOKUP(A2949,H_C!$A$2:$G$2628,7,0),"Validar HC")</f>
        <v>Validar HC</v>
      </c>
      <c r="H2949" s="165">
        <v>1423500.0</v>
      </c>
      <c r="I2949" s="49">
        <v>42.0</v>
      </c>
    </row>
    <row r="2950" ht="15.75" customHeight="1">
      <c r="A2950" s="1">
        <v>1961962.0</v>
      </c>
      <c r="B2950" s="1" t="s">
        <v>1011</v>
      </c>
      <c r="C2950" s="1" t="s">
        <v>7005</v>
      </c>
      <c r="D2950" s="1" t="s">
        <v>6998</v>
      </c>
      <c r="F2950" s="1" t="s">
        <v>6717</v>
      </c>
      <c r="G2950" s="1" t="str">
        <f>IFERROR(VLOOKUP(A2950,H_C!$A$2:$G$2628,7,0),"Validar HC")</f>
        <v>Validar HC</v>
      </c>
      <c r="H2950" s="165">
        <v>1423500.0</v>
      </c>
      <c r="I2950" s="49">
        <v>42.0</v>
      </c>
    </row>
    <row r="2951" ht="15.75" customHeight="1">
      <c r="A2951" s="1">
        <v>2209481.0</v>
      </c>
      <c r="B2951" s="1" t="s">
        <v>831</v>
      </c>
      <c r="C2951" s="1" t="s">
        <v>7006</v>
      </c>
      <c r="D2951" s="1" t="s">
        <v>6998</v>
      </c>
      <c r="F2951" s="1" t="s">
        <v>6717</v>
      </c>
      <c r="G2951" s="1" t="str">
        <f>IFERROR(VLOOKUP(A2951,H_C!$A$2:$G$2628,7,0),"Validar HC")</f>
        <v>Validar HC</v>
      </c>
      <c r="H2951" s="165">
        <v>1423500.0</v>
      </c>
      <c r="I2951" s="49">
        <v>42.0</v>
      </c>
    </row>
    <row r="2952" ht="15.75" customHeight="1">
      <c r="A2952" s="1">
        <v>2240684.0</v>
      </c>
      <c r="B2952" s="1" t="s">
        <v>387</v>
      </c>
      <c r="C2952" s="1" t="s">
        <v>7007</v>
      </c>
      <c r="D2952" s="1" t="s">
        <v>6998</v>
      </c>
      <c r="F2952" s="1" t="s">
        <v>6717</v>
      </c>
      <c r="G2952" s="1" t="str">
        <f>IFERROR(VLOOKUP(A2952,H_C!$A$2:$G$2628,7,0),"Validar HC")</f>
        <v>Validar HC</v>
      </c>
      <c r="H2952" s="165">
        <v>1423500.0</v>
      </c>
      <c r="I2952" s="49">
        <v>42.0</v>
      </c>
    </row>
    <row r="2953" ht="15.75" customHeight="1">
      <c r="A2953" s="1">
        <v>2247539.0</v>
      </c>
      <c r="B2953" s="1" t="s">
        <v>3854</v>
      </c>
      <c r="C2953" s="1" t="s">
        <v>7008</v>
      </c>
      <c r="D2953" s="1" t="s">
        <v>6998</v>
      </c>
      <c r="F2953" s="1" t="s">
        <v>6717</v>
      </c>
      <c r="G2953" s="1" t="str">
        <f>IFERROR(VLOOKUP(A2953,H_C!$A$2:$G$2628,7,0),"Validar HC")</f>
        <v>Validar HC</v>
      </c>
      <c r="H2953" s="165">
        <v>1423500.0</v>
      </c>
      <c r="I2953" s="49">
        <v>42.0</v>
      </c>
    </row>
    <row r="2954" ht="15.75" customHeight="1">
      <c r="A2954" s="1">
        <v>2280815.0</v>
      </c>
      <c r="B2954" s="1" t="s">
        <v>225</v>
      </c>
      <c r="C2954" s="1" t="s">
        <v>7009</v>
      </c>
      <c r="D2954" s="1" t="s">
        <v>6998</v>
      </c>
      <c r="F2954" s="1" t="s">
        <v>6717</v>
      </c>
      <c r="G2954" s="1" t="str">
        <f>IFERROR(VLOOKUP(A2954,H_C!$A$2:$G$2628,7,0),"Validar HC")</f>
        <v>Validar HC</v>
      </c>
      <c r="H2954" s="165">
        <v>1423500.0</v>
      </c>
      <c r="I2954" s="49">
        <v>42.0</v>
      </c>
    </row>
    <row r="2955" ht="15.75" customHeight="1">
      <c r="A2955" s="1">
        <v>2458195.0</v>
      </c>
      <c r="B2955" s="1" t="s">
        <v>932</v>
      </c>
      <c r="C2955" s="1" t="s">
        <v>7010</v>
      </c>
      <c r="D2955" s="1" t="s">
        <v>6998</v>
      </c>
      <c r="F2955" s="1" t="s">
        <v>6717</v>
      </c>
      <c r="G2955" s="1" t="str">
        <f>IFERROR(VLOOKUP(A2955,H_C!$A$2:$G$2628,7,0),"Validar HC")</f>
        <v>Validar HC</v>
      </c>
      <c r="H2955" s="165">
        <v>1423500.0</v>
      </c>
      <c r="I2955" s="49">
        <v>42.0</v>
      </c>
    </row>
    <row r="2956" ht="15.75" customHeight="1">
      <c r="A2956" s="1">
        <v>2488978.0</v>
      </c>
      <c r="B2956" s="1" t="s">
        <v>7011</v>
      </c>
      <c r="C2956" s="1" t="s">
        <v>7012</v>
      </c>
      <c r="D2956" s="1" t="s">
        <v>6998</v>
      </c>
      <c r="F2956" s="1" t="s">
        <v>6717</v>
      </c>
      <c r="G2956" s="1" t="str">
        <f>IFERROR(VLOOKUP(A2956,H_C!$A$2:$G$2628,7,0),"Validar HC")</f>
        <v>Validar HC</v>
      </c>
      <c r="H2956" s="165">
        <v>1423500.0</v>
      </c>
      <c r="I2956" s="49">
        <v>42.0</v>
      </c>
    </row>
    <row r="2957" ht="15.75" customHeight="1">
      <c r="A2957" s="1">
        <v>2587532.0</v>
      </c>
      <c r="B2957" s="1" t="s">
        <v>325</v>
      </c>
      <c r="C2957" s="1" t="s">
        <v>7013</v>
      </c>
      <c r="D2957" s="1" t="s">
        <v>6998</v>
      </c>
      <c r="F2957" s="1" t="s">
        <v>6717</v>
      </c>
      <c r="G2957" s="1" t="str">
        <f>IFERROR(VLOOKUP(A2957,H_C!$A$2:$G$2628,7,0),"Validar HC")</f>
        <v>Validar HC</v>
      </c>
      <c r="H2957" s="165">
        <v>1423500.0</v>
      </c>
      <c r="I2957" s="49">
        <v>42.0</v>
      </c>
    </row>
    <row r="2958" ht="15.75" customHeight="1">
      <c r="A2958" s="1">
        <v>2741819.0</v>
      </c>
      <c r="B2958" s="1" t="s">
        <v>756</v>
      </c>
      <c r="C2958" s="1" t="s">
        <v>7014</v>
      </c>
      <c r="D2958" s="1" t="s">
        <v>6998</v>
      </c>
      <c r="F2958" s="1" t="s">
        <v>6717</v>
      </c>
      <c r="G2958" s="1" t="str">
        <f>IFERROR(VLOOKUP(A2958,H_C!$A$2:$G$2628,7,0),"Validar HC")</f>
        <v>Validar HC</v>
      </c>
      <c r="H2958" s="165">
        <v>1423500.0</v>
      </c>
      <c r="I2958" s="49">
        <v>42.0</v>
      </c>
    </row>
    <row r="2959" ht="15.75" customHeight="1">
      <c r="A2959" s="1">
        <v>2846864.0</v>
      </c>
      <c r="B2959" s="1" t="s">
        <v>7015</v>
      </c>
      <c r="C2959" s="1" t="s">
        <v>7016</v>
      </c>
      <c r="D2959" s="1" t="s">
        <v>6998</v>
      </c>
      <c r="F2959" s="1" t="s">
        <v>6717</v>
      </c>
      <c r="G2959" s="1" t="str">
        <f>IFERROR(VLOOKUP(A2959,H_C!$A$2:$G$2628,7,0),"Validar HC")</f>
        <v>Validar HC</v>
      </c>
      <c r="H2959" s="165">
        <v>1423500.0</v>
      </c>
      <c r="I2959" s="49">
        <v>42.0</v>
      </c>
    </row>
    <row r="2960" ht="15.75" customHeight="1">
      <c r="A2960" s="1">
        <v>2934141.0</v>
      </c>
      <c r="B2960" s="1" t="s">
        <v>311</v>
      </c>
      <c r="C2960" s="1" t="s">
        <v>7017</v>
      </c>
      <c r="D2960" s="1" t="s">
        <v>6998</v>
      </c>
      <c r="F2960" s="1" t="s">
        <v>6717</v>
      </c>
      <c r="G2960" s="1" t="str">
        <f>IFERROR(VLOOKUP(A2960,H_C!$A$2:$G$2628,7,0),"Validar HC")</f>
        <v>Validar HC</v>
      </c>
      <c r="H2960" s="165">
        <v>1423500.0</v>
      </c>
      <c r="I2960" s="49">
        <v>42.0</v>
      </c>
    </row>
    <row r="2961" ht="15.75" customHeight="1">
      <c r="A2961" s="1">
        <v>3053699.0</v>
      </c>
      <c r="B2961" s="1" t="s">
        <v>241</v>
      </c>
      <c r="C2961" s="1" t="s">
        <v>7018</v>
      </c>
      <c r="D2961" s="1" t="s">
        <v>6998</v>
      </c>
      <c r="F2961" s="1" t="s">
        <v>6717</v>
      </c>
      <c r="G2961" s="1" t="str">
        <f>IFERROR(VLOOKUP(A2961,H_C!$A$2:$G$2628,7,0),"Validar HC")</f>
        <v>Validar HC</v>
      </c>
      <c r="H2961" s="165">
        <v>1423500.0</v>
      </c>
      <c r="I2961" s="49">
        <v>42.0</v>
      </c>
    </row>
    <row r="2962" ht="15.75" customHeight="1">
      <c r="A2962" s="1">
        <v>3075968.0</v>
      </c>
      <c r="B2962" s="1" t="s">
        <v>393</v>
      </c>
      <c r="C2962" s="1" t="s">
        <v>7019</v>
      </c>
      <c r="D2962" s="1" t="s">
        <v>6998</v>
      </c>
      <c r="F2962" s="1" t="s">
        <v>6717</v>
      </c>
      <c r="G2962" s="1" t="str">
        <f>IFERROR(VLOOKUP(A2962,H_C!$A$2:$G$2628,7,0),"Validar HC")</f>
        <v>Validar HC</v>
      </c>
      <c r="H2962" s="165">
        <v>1423500.0</v>
      </c>
      <c r="I2962" s="49">
        <v>42.0</v>
      </c>
    </row>
    <row r="2963" ht="15.75" customHeight="1">
      <c r="A2963" s="1">
        <v>3084652.0</v>
      </c>
      <c r="B2963" s="1" t="s">
        <v>1102</v>
      </c>
      <c r="C2963" s="1" t="s">
        <v>7020</v>
      </c>
      <c r="D2963" s="1" t="s">
        <v>6998</v>
      </c>
      <c r="F2963" s="1" t="s">
        <v>6717</v>
      </c>
      <c r="G2963" s="1" t="str">
        <f>IFERROR(VLOOKUP(A2963,H_C!$A$2:$G$2628,7,0),"Validar HC")</f>
        <v>Validar HC</v>
      </c>
      <c r="H2963" s="165">
        <v>1423500.0</v>
      </c>
      <c r="I2963" s="49">
        <v>42.0</v>
      </c>
    </row>
    <row r="2964" ht="15.75" customHeight="1">
      <c r="A2964" s="1">
        <v>3091725.0</v>
      </c>
      <c r="B2964" s="1" t="s">
        <v>539</v>
      </c>
      <c r="C2964" s="1" t="s">
        <v>7021</v>
      </c>
      <c r="D2964" s="1" t="s">
        <v>6998</v>
      </c>
      <c r="F2964" s="1" t="s">
        <v>6717</v>
      </c>
      <c r="G2964" s="1" t="str">
        <f>IFERROR(VLOOKUP(A2964,H_C!$A$2:$G$2628,7,0),"Validar HC")</f>
        <v>Validar HC</v>
      </c>
      <c r="H2964" s="165">
        <v>1423500.0</v>
      </c>
      <c r="I2964" s="49">
        <v>42.0</v>
      </c>
    </row>
    <row r="2965" ht="15.75" customHeight="1">
      <c r="A2965" s="1">
        <v>3103716.0</v>
      </c>
      <c r="B2965" s="1" t="s">
        <v>598</v>
      </c>
      <c r="C2965" s="1" t="s">
        <v>7022</v>
      </c>
      <c r="D2965" s="1" t="s">
        <v>6998</v>
      </c>
      <c r="F2965" s="1" t="s">
        <v>6717</v>
      </c>
      <c r="G2965" s="1" t="str">
        <f>IFERROR(VLOOKUP(A2965,H_C!$A$2:$G$2628,7,0),"Validar HC")</f>
        <v>Validar HC</v>
      </c>
      <c r="H2965" s="165">
        <v>1423500.0</v>
      </c>
      <c r="I2965" s="49">
        <v>42.0</v>
      </c>
    </row>
    <row r="2966" ht="15.75" customHeight="1">
      <c r="A2966" s="1">
        <v>3105359.0</v>
      </c>
      <c r="B2966" s="1" t="s">
        <v>711</v>
      </c>
      <c r="C2966" s="1" t="s">
        <v>7023</v>
      </c>
      <c r="D2966" s="1" t="s">
        <v>6998</v>
      </c>
      <c r="F2966" s="1" t="s">
        <v>6717</v>
      </c>
      <c r="G2966" s="1" t="str">
        <f>IFERROR(VLOOKUP(A2966,H_C!$A$2:$G$2628,7,0),"Validar HC")</f>
        <v>Validar HC</v>
      </c>
      <c r="H2966" s="165">
        <v>1423500.0</v>
      </c>
      <c r="I2966" s="49">
        <v>42.0</v>
      </c>
    </row>
    <row r="2967" ht="15.75" customHeight="1">
      <c r="A2967" s="1">
        <v>3112101.0</v>
      </c>
      <c r="B2967" s="1" t="s">
        <v>722</v>
      </c>
      <c r="C2967" s="1" t="s">
        <v>7024</v>
      </c>
      <c r="D2967" s="1" t="s">
        <v>6998</v>
      </c>
      <c r="F2967" s="1" t="s">
        <v>6717</v>
      </c>
      <c r="G2967" s="1" t="str">
        <f>IFERROR(VLOOKUP(A2967,H_C!$A$2:$G$2628,7,0),"Validar HC")</f>
        <v>Validar HC</v>
      </c>
      <c r="H2967" s="165">
        <v>1423500.0</v>
      </c>
      <c r="I2967" s="49">
        <v>42.0</v>
      </c>
    </row>
    <row r="2968" ht="15.75" customHeight="1">
      <c r="A2968" s="1">
        <v>3120473.0</v>
      </c>
      <c r="B2968" s="1" t="s">
        <v>256</v>
      </c>
      <c r="C2968" s="1" t="s">
        <v>7025</v>
      </c>
      <c r="D2968" s="1" t="s">
        <v>6998</v>
      </c>
      <c r="F2968" s="1" t="s">
        <v>6717</v>
      </c>
      <c r="G2968" s="1" t="str">
        <f>IFERROR(VLOOKUP(A2968,H_C!$A$2:$G$2628,7,0),"Validar HC")</f>
        <v>Validar HC</v>
      </c>
      <c r="H2968" s="165">
        <v>1423500.0</v>
      </c>
      <c r="I2968" s="49">
        <v>42.0</v>
      </c>
    </row>
    <row r="2969" ht="15.75" customHeight="1">
      <c r="A2969" s="1">
        <v>3149866.0</v>
      </c>
      <c r="B2969" s="1" t="s">
        <v>336</v>
      </c>
      <c r="C2969" s="1" t="s">
        <v>7026</v>
      </c>
      <c r="D2969" s="1" t="s">
        <v>6998</v>
      </c>
      <c r="F2969" s="1" t="s">
        <v>6717</v>
      </c>
      <c r="G2969" s="1" t="str">
        <f>IFERROR(VLOOKUP(A2969,H_C!$A$2:$G$2628,7,0),"Validar HC")</f>
        <v>Validar HC</v>
      </c>
      <c r="H2969" s="165">
        <v>1423500.0</v>
      </c>
      <c r="I2969" s="49">
        <v>42.0</v>
      </c>
    </row>
    <row r="2970" ht="15.75" customHeight="1">
      <c r="A2970" s="1">
        <v>3153527.0</v>
      </c>
      <c r="B2970" s="1" t="s">
        <v>403</v>
      </c>
      <c r="C2970" s="1" t="s">
        <v>7027</v>
      </c>
      <c r="D2970" s="1" t="s">
        <v>6998</v>
      </c>
      <c r="F2970" s="1" t="s">
        <v>6717</v>
      </c>
      <c r="G2970" s="1" t="str">
        <f>IFERROR(VLOOKUP(A2970,H_C!$A$2:$G$2628,7,0),"Validar HC")</f>
        <v>Validar HC</v>
      </c>
      <c r="H2970" s="165">
        <v>1423500.0</v>
      </c>
      <c r="I2970" s="49">
        <v>42.0</v>
      </c>
    </row>
    <row r="2971" ht="15.75" customHeight="1">
      <c r="A2971" s="1">
        <v>3166973.0</v>
      </c>
      <c r="B2971" s="1" t="s">
        <v>1604</v>
      </c>
      <c r="C2971" s="1" t="s">
        <v>7028</v>
      </c>
      <c r="D2971" s="1" t="s">
        <v>6998</v>
      </c>
      <c r="F2971" s="1" t="s">
        <v>6717</v>
      </c>
      <c r="G2971" s="1" t="str">
        <f>IFERROR(VLOOKUP(A2971,H_C!$A$2:$G$2628,7,0),"Validar HC")</f>
        <v>Validar HC</v>
      </c>
      <c r="H2971" s="165">
        <v>1423500.0</v>
      </c>
      <c r="I2971" s="49">
        <v>42.0</v>
      </c>
    </row>
    <row r="2972" ht="15.75" customHeight="1">
      <c r="A2972" s="1">
        <v>3173620.0</v>
      </c>
      <c r="B2972" s="1" t="s">
        <v>1458</v>
      </c>
      <c r="C2972" s="1" t="s">
        <v>7029</v>
      </c>
      <c r="D2972" s="1" t="s">
        <v>6998</v>
      </c>
      <c r="F2972" s="1" t="s">
        <v>6717</v>
      </c>
      <c r="G2972" s="1" t="str">
        <f>IFERROR(VLOOKUP(A2972,H_C!$A$2:$G$2628,7,0),"Validar HC")</f>
        <v>Validar HC</v>
      </c>
      <c r="H2972" s="165">
        <v>1423500.0</v>
      </c>
      <c r="I2972" s="49">
        <v>42.0</v>
      </c>
    </row>
    <row r="2973" ht="15.75" customHeight="1">
      <c r="A2973" s="1">
        <v>3187332.0</v>
      </c>
      <c r="B2973" s="1" t="s">
        <v>1411</v>
      </c>
      <c r="C2973" s="1" t="s">
        <v>7030</v>
      </c>
      <c r="D2973" s="1" t="s">
        <v>6998</v>
      </c>
      <c r="F2973" s="1" t="s">
        <v>6717</v>
      </c>
      <c r="G2973" s="1" t="str">
        <f>IFERROR(VLOOKUP(A2973,H_C!$A$2:$G$2628,7,0),"Validar HC")</f>
        <v>Validar HC</v>
      </c>
      <c r="H2973" s="165">
        <v>1423500.0</v>
      </c>
      <c r="I2973" s="49">
        <v>42.0</v>
      </c>
    </row>
    <row r="2974" ht="15.75" customHeight="1">
      <c r="A2974" s="1">
        <v>3203893.0</v>
      </c>
      <c r="B2974" s="1" t="s">
        <v>1002</v>
      </c>
      <c r="C2974" s="1" t="s">
        <v>7031</v>
      </c>
      <c r="D2974" s="1" t="s">
        <v>6998</v>
      </c>
      <c r="F2974" s="1" t="s">
        <v>6717</v>
      </c>
      <c r="G2974" s="1" t="str">
        <f>IFERROR(VLOOKUP(A2974,H_C!$A$2:$G$2628,7,0),"Validar HC")</f>
        <v>Validar HC</v>
      </c>
      <c r="H2974" s="165">
        <v>1423500.0</v>
      </c>
      <c r="I2974" s="49">
        <v>42.0</v>
      </c>
    </row>
    <row r="2975" ht="15.75" customHeight="1">
      <c r="A2975" s="1">
        <v>3207148.0</v>
      </c>
      <c r="B2975" s="1" t="s">
        <v>414</v>
      </c>
      <c r="C2975" s="1" t="s">
        <v>7032</v>
      </c>
      <c r="D2975" s="1" t="s">
        <v>6998</v>
      </c>
      <c r="F2975" s="1" t="s">
        <v>6717</v>
      </c>
      <c r="G2975" s="1" t="str">
        <f>IFERROR(VLOOKUP(A2975,H_C!$A$2:$G$2628,7,0),"Validar HC")</f>
        <v>Validar HC</v>
      </c>
      <c r="H2975" s="165">
        <v>1423500.0</v>
      </c>
      <c r="I2975" s="49">
        <v>42.0</v>
      </c>
      <c r="K2975" s="41">
        <f>H2975*30%</f>
        <v>427050</v>
      </c>
    </row>
    <row r="2976" ht="15.75" customHeight="1">
      <c r="A2976" s="1">
        <v>3274473.0</v>
      </c>
      <c r="B2976" s="1" t="s">
        <v>1323</v>
      </c>
      <c r="C2976" s="1" t="s">
        <v>7033</v>
      </c>
      <c r="D2976" s="1" t="s">
        <v>6998</v>
      </c>
      <c r="F2976" s="1" t="s">
        <v>6717</v>
      </c>
      <c r="G2976" s="1" t="str">
        <f>IFERROR(VLOOKUP(A2976,H_C!$A$2:$G$2628,7,0),"Validar HC")</f>
        <v>Validar HC</v>
      </c>
      <c r="H2976" s="165">
        <v>1423500.0</v>
      </c>
      <c r="I2976" s="49">
        <v>42.0</v>
      </c>
    </row>
    <row r="2977" ht="15.75" customHeight="1">
      <c r="A2977" s="1">
        <v>3349509.0</v>
      </c>
      <c r="B2977" s="1" t="s">
        <v>7034</v>
      </c>
      <c r="C2977" s="1" t="s">
        <v>7035</v>
      </c>
      <c r="D2977" s="1" t="s">
        <v>6998</v>
      </c>
      <c r="F2977" s="1" t="s">
        <v>6717</v>
      </c>
      <c r="G2977" s="1" t="str">
        <f>IFERROR(VLOOKUP(A2977,H_C!$A$2:$G$2628,7,0),"Validar HC")</f>
        <v>Validar HC</v>
      </c>
      <c r="H2977" s="165">
        <v>1423500.0</v>
      </c>
      <c r="I2977" s="49">
        <v>42.0</v>
      </c>
    </row>
    <row r="2978" ht="15.75" customHeight="1">
      <c r="A2978" s="1">
        <v>3356767.0</v>
      </c>
      <c r="B2978" s="1" t="s">
        <v>1021</v>
      </c>
      <c r="C2978" s="1" t="s">
        <v>7036</v>
      </c>
      <c r="D2978" s="1" t="s">
        <v>6998</v>
      </c>
      <c r="F2978" s="1" t="s">
        <v>6717</v>
      </c>
      <c r="G2978" s="1" t="str">
        <f>IFERROR(VLOOKUP(A2978,H_C!$A$2:$G$2628,7,0),"Validar HC")</f>
        <v>Validar HC</v>
      </c>
      <c r="H2978" s="165">
        <v>1423500.0</v>
      </c>
      <c r="I2978" s="49">
        <v>42.0</v>
      </c>
    </row>
    <row r="2979" ht="15.75" customHeight="1">
      <c r="A2979" s="1">
        <v>3385856.0</v>
      </c>
      <c r="B2979" s="1" t="s">
        <v>1773</v>
      </c>
      <c r="C2979" s="1" t="s">
        <v>7037</v>
      </c>
      <c r="D2979" s="1" t="s">
        <v>6998</v>
      </c>
      <c r="F2979" s="1" t="s">
        <v>6717</v>
      </c>
      <c r="G2979" s="1" t="str">
        <f>IFERROR(VLOOKUP(A2979,H_C!$A$2:$G$2628,7,0),"Validar HC")</f>
        <v>Validar HC</v>
      </c>
      <c r="H2979" s="165">
        <v>1423500.0</v>
      </c>
      <c r="I2979" s="49">
        <v>42.0</v>
      </c>
    </row>
    <row r="2980" ht="15.75" customHeight="1">
      <c r="A2980" s="1">
        <v>3428624.0</v>
      </c>
      <c r="B2980" s="1" t="s">
        <v>658</v>
      </c>
      <c r="C2980" s="1" t="s">
        <v>7038</v>
      </c>
      <c r="D2980" s="1" t="s">
        <v>6998</v>
      </c>
      <c r="F2980" s="1" t="s">
        <v>6717</v>
      </c>
      <c r="G2980" s="1" t="str">
        <f>IFERROR(VLOOKUP(A2980,H_C!$A$2:$G$2628,7,0),"Validar HC")</f>
        <v>Validar HC</v>
      </c>
      <c r="H2980" s="165">
        <v>1423500.0</v>
      </c>
      <c r="I2980" s="49">
        <v>42.0</v>
      </c>
    </row>
    <row r="2981" ht="15.75" customHeight="1">
      <c r="A2981" s="1">
        <v>3452963.0</v>
      </c>
      <c r="B2981" s="1" t="s">
        <v>272</v>
      </c>
      <c r="C2981" s="1" t="s">
        <v>7039</v>
      </c>
      <c r="D2981" s="1" t="s">
        <v>6998</v>
      </c>
      <c r="F2981" s="1" t="s">
        <v>6717</v>
      </c>
      <c r="G2981" s="1" t="str">
        <f>IFERROR(VLOOKUP(A2981,H_C!$A$2:$G$2628,7,0),"Validar HC")</f>
        <v>Validar HC</v>
      </c>
      <c r="H2981" s="165">
        <v>1423500.0</v>
      </c>
      <c r="I2981" s="49">
        <v>42.0</v>
      </c>
    </row>
    <row r="2982" ht="15.75" customHeight="1">
      <c r="A2982" s="1">
        <v>3478927.0</v>
      </c>
      <c r="B2982" s="1" t="s">
        <v>649</v>
      </c>
      <c r="C2982" s="1" t="s">
        <v>7040</v>
      </c>
      <c r="D2982" s="1" t="s">
        <v>6998</v>
      </c>
      <c r="F2982" s="1" t="s">
        <v>6717</v>
      </c>
      <c r="G2982" s="1" t="str">
        <f>IFERROR(VLOOKUP(A2982,H_C!$A$2:$G$2628,7,0),"Validar HC")</f>
        <v>Validar HC</v>
      </c>
      <c r="H2982" s="165">
        <v>1423500.0</v>
      </c>
      <c r="I2982" s="49">
        <v>42.0</v>
      </c>
    </row>
    <row r="2983" ht="15.75" customHeight="1">
      <c r="A2983" s="1">
        <v>3493052.0</v>
      </c>
      <c r="B2983" s="1" t="s">
        <v>634</v>
      </c>
      <c r="C2983" s="1" t="s">
        <v>7041</v>
      </c>
      <c r="D2983" s="1" t="s">
        <v>6998</v>
      </c>
      <c r="F2983" s="1" t="s">
        <v>6717</v>
      </c>
      <c r="G2983" s="1" t="str">
        <f>IFERROR(VLOOKUP(A2983,H_C!$A$2:$G$2628,7,0),"Validar HC")</f>
        <v>Validar HC</v>
      </c>
      <c r="H2983" s="165">
        <v>1423500.0</v>
      </c>
      <c r="I2983" s="49">
        <v>42.0</v>
      </c>
    </row>
    <row r="2984" ht="15.75" customHeight="1">
      <c r="A2984" s="1">
        <v>3549264.0</v>
      </c>
      <c r="B2984" s="1" t="s">
        <v>7042</v>
      </c>
      <c r="C2984" s="1" t="s">
        <v>7043</v>
      </c>
      <c r="D2984" s="1" t="s">
        <v>6998</v>
      </c>
      <c r="F2984" s="1" t="s">
        <v>6717</v>
      </c>
      <c r="G2984" s="1" t="str">
        <f>IFERROR(VLOOKUP(A2984,H_C!$A$2:$G$2628,7,0),"Validar HC")</f>
        <v>Validar HC</v>
      </c>
      <c r="H2984" s="165">
        <v>1423500.0</v>
      </c>
      <c r="I2984" s="49">
        <v>42.0</v>
      </c>
    </row>
    <row r="2985" ht="15.75" customHeight="1">
      <c r="A2985" s="1">
        <v>3606699.0</v>
      </c>
      <c r="B2985" s="1" t="s">
        <v>875</v>
      </c>
      <c r="C2985" s="1" t="s">
        <v>7044</v>
      </c>
      <c r="D2985" s="1" t="s">
        <v>6998</v>
      </c>
      <c r="F2985" s="1" t="s">
        <v>6717</v>
      </c>
      <c r="G2985" s="1" t="str">
        <f>IFERROR(VLOOKUP(A2985,H_C!$A$2:$G$2628,7,0),"Validar HC")</f>
        <v>Validar HC</v>
      </c>
      <c r="H2985" s="165">
        <v>1423500.0</v>
      </c>
      <c r="I2985" s="49">
        <v>42.0</v>
      </c>
    </row>
    <row r="2986" ht="15.75" customHeight="1">
      <c r="A2986" s="1">
        <v>3610498.0</v>
      </c>
      <c r="B2986" s="1" t="s">
        <v>7045</v>
      </c>
      <c r="C2986" s="1" t="s">
        <v>3646</v>
      </c>
      <c r="D2986" s="1" t="s">
        <v>6998</v>
      </c>
      <c r="F2986" s="1" t="s">
        <v>6717</v>
      </c>
      <c r="G2986" s="1" t="str">
        <f>IFERROR(VLOOKUP(A2986,H_C!$A$2:$G$2628,7,0),"Validar HC")</f>
        <v>Validar HC</v>
      </c>
      <c r="H2986" s="165">
        <v>1423500.0</v>
      </c>
      <c r="I2986" s="49">
        <v>42.0</v>
      </c>
    </row>
    <row r="2987" ht="15.75" customHeight="1">
      <c r="A2987" s="1">
        <v>3610951.0</v>
      </c>
      <c r="B2987" s="1" t="s">
        <v>7046</v>
      </c>
      <c r="C2987" s="1" t="s">
        <v>7047</v>
      </c>
      <c r="D2987" s="1" t="s">
        <v>6998</v>
      </c>
      <c r="F2987" s="1" t="s">
        <v>6717</v>
      </c>
      <c r="G2987" s="1" t="str">
        <f>IFERROR(VLOOKUP(A2987,H_C!$A$2:$G$2628,7,0),"Validar HC")</f>
        <v>Validar HC</v>
      </c>
      <c r="H2987" s="165">
        <v>1423500.0</v>
      </c>
      <c r="I2987" s="49">
        <v>42.0</v>
      </c>
    </row>
    <row r="2988" ht="15.75" customHeight="1">
      <c r="A2988" s="1">
        <v>3644796.0</v>
      </c>
      <c r="B2988" s="1" t="s">
        <v>469</v>
      </c>
      <c r="C2988" s="1" t="s">
        <v>7048</v>
      </c>
      <c r="D2988" s="1" t="s">
        <v>6998</v>
      </c>
      <c r="F2988" s="1" t="s">
        <v>6717</v>
      </c>
      <c r="G2988" s="1" t="str">
        <f>IFERROR(VLOOKUP(A2988,H_C!$A$2:$G$2628,7,0),"Validar HC")</f>
        <v>Validar HC</v>
      </c>
      <c r="H2988" s="165">
        <v>1423500.0</v>
      </c>
      <c r="I2988" s="49">
        <v>42.0</v>
      </c>
    </row>
    <row r="2989" ht="15.75" customHeight="1">
      <c r="A2989" s="1">
        <v>3644912.0</v>
      </c>
      <c r="B2989" s="1" t="s">
        <v>573</v>
      </c>
      <c r="C2989" s="1" t="s">
        <v>7049</v>
      </c>
      <c r="D2989" s="1" t="s">
        <v>6998</v>
      </c>
      <c r="F2989" s="1" t="s">
        <v>6717</v>
      </c>
      <c r="G2989" s="1" t="str">
        <f>IFERROR(VLOOKUP(A2989,H_C!$A$2:$G$2628,7,0),"Validar HC")</f>
        <v>Validar HC</v>
      </c>
      <c r="H2989" s="165">
        <v>1423500.0</v>
      </c>
      <c r="I2989" s="49">
        <v>42.0</v>
      </c>
    </row>
    <row r="2990" ht="15.75" customHeight="1">
      <c r="A2990" s="1">
        <v>3658672.0</v>
      </c>
      <c r="B2990" s="1" t="s">
        <v>480</v>
      </c>
      <c r="C2990" s="1" t="s">
        <v>7050</v>
      </c>
      <c r="D2990" s="1" t="s">
        <v>6998</v>
      </c>
      <c r="F2990" s="1" t="s">
        <v>6717</v>
      </c>
      <c r="G2990" s="1" t="str">
        <f>IFERROR(VLOOKUP(A2990,H_C!$A$2:$G$2628,7,0),"Validar HC")</f>
        <v>Validar HC</v>
      </c>
      <c r="H2990" s="165">
        <v>1423500.0</v>
      </c>
      <c r="I2990" s="49">
        <v>42.0</v>
      </c>
    </row>
    <row r="2991" ht="15.75" customHeight="1">
      <c r="A2991" s="1">
        <v>3678705.0</v>
      </c>
      <c r="B2991" s="1" t="s">
        <v>855</v>
      </c>
      <c r="C2991" s="1" t="s">
        <v>7051</v>
      </c>
      <c r="D2991" s="1" t="s">
        <v>6998</v>
      </c>
      <c r="F2991" s="1" t="s">
        <v>6717</v>
      </c>
      <c r="G2991" s="1" t="str">
        <f>IFERROR(VLOOKUP(A2991,H_C!$A$2:$G$2628,7,0),"Validar HC")</f>
        <v>Validar HC</v>
      </c>
      <c r="H2991" s="165">
        <v>1423500.0</v>
      </c>
      <c r="I2991" s="49">
        <v>42.0</v>
      </c>
    </row>
    <row r="2992" ht="15.75" customHeight="1">
      <c r="A2992" s="1">
        <v>3690843.0</v>
      </c>
      <c r="B2992" s="1" t="s">
        <v>1505</v>
      </c>
      <c r="C2992" s="1" t="s">
        <v>7052</v>
      </c>
      <c r="D2992" s="1" t="s">
        <v>6998</v>
      </c>
      <c r="F2992" s="1" t="s">
        <v>6717</v>
      </c>
      <c r="G2992" s="1" t="str">
        <f>IFERROR(VLOOKUP(A2992,H_C!$A$2:$G$2628,7,0),"Validar HC")</f>
        <v>Validar HC</v>
      </c>
      <c r="H2992" s="165">
        <v>1423500.0</v>
      </c>
      <c r="I2992" s="49">
        <v>42.0</v>
      </c>
    </row>
    <row r="2993" ht="15.75" customHeight="1">
      <c r="A2993" s="1">
        <v>3694076.0</v>
      </c>
      <c r="B2993" s="1" t="s">
        <v>318</v>
      </c>
      <c r="C2993" s="1" t="s">
        <v>7053</v>
      </c>
      <c r="D2993" s="1" t="s">
        <v>6998</v>
      </c>
      <c r="F2993" s="1" t="s">
        <v>6717</v>
      </c>
      <c r="G2993" s="1" t="str">
        <f>IFERROR(VLOOKUP(A2993,H_C!$A$2:$G$2628,7,0),"Validar HC")</f>
        <v>Validar HC</v>
      </c>
      <c r="H2993" s="165">
        <v>1423500.0</v>
      </c>
      <c r="I2993" s="49">
        <v>42.0</v>
      </c>
    </row>
    <row r="2994" ht="15.75" customHeight="1">
      <c r="A2994" s="1">
        <v>3774073.0</v>
      </c>
      <c r="B2994" s="1" t="s">
        <v>790</v>
      </c>
      <c r="C2994" s="1" t="s">
        <v>7054</v>
      </c>
      <c r="D2994" s="1" t="s">
        <v>6998</v>
      </c>
      <c r="F2994" s="1" t="s">
        <v>6717</v>
      </c>
      <c r="G2994" s="1" t="str">
        <f>IFERROR(VLOOKUP(A2994,H_C!$A$2:$G$2628,7,0),"Validar HC")</f>
        <v>Validar HC</v>
      </c>
      <c r="H2994" s="165">
        <v>1423500.0</v>
      </c>
      <c r="I2994" s="49">
        <v>42.0</v>
      </c>
    </row>
    <row r="2995" ht="15.75" customHeight="1">
      <c r="A2995" s="1">
        <v>3808852.0</v>
      </c>
      <c r="B2995" s="1" t="s">
        <v>1048</v>
      </c>
      <c r="C2995" s="1" t="s">
        <v>7055</v>
      </c>
      <c r="D2995" s="1" t="s">
        <v>6998</v>
      </c>
      <c r="F2995" s="1" t="s">
        <v>6717</v>
      </c>
      <c r="G2995" s="1" t="str">
        <f>IFERROR(VLOOKUP(A2995,H_C!$A$2:$G$2628,7,0),"Validar HC")</f>
        <v>Validar HC</v>
      </c>
      <c r="H2995" s="165">
        <v>1423500.0</v>
      </c>
      <c r="I2995" s="49">
        <v>42.0</v>
      </c>
    </row>
    <row r="2996" ht="15.75" customHeight="1">
      <c r="A2996" s="1">
        <v>3830400.0</v>
      </c>
      <c r="B2996" s="1" t="s">
        <v>510</v>
      </c>
      <c r="C2996" s="1" t="s">
        <v>7056</v>
      </c>
      <c r="D2996" s="1" t="s">
        <v>6998</v>
      </c>
      <c r="F2996" s="1" t="s">
        <v>6717</v>
      </c>
      <c r="G2996" s="1" t="str">
        <f>IFERROR(VLOOKUP(A2996,H_C!$A$2:$G$2628,7,0),"Validar HC")</f>
        <v>Validar HC</v>
      </c>
      <c r="H2996" s="165">
        <v>1423500.0</v>
      </c>
      <c r="I2996" s="49">
        <v>42.0</v>
      </c>
    </row>
    <row r="2997" ht="15.75" customHeight="1">
      <c r="A2997" s="1">
        <v>3844821.0</v>
      </c>
      <c r="B2997" s="1" t="s">
        <v>7057</v>
      </c>
      <c r="C2997" s="1" t="s">
        <v>7058</v>
      </c>
      <c r="D2997" s="1" t="s">
        <v>6998</v>
      </c>
      <c r="F2997" s="1" t="s">
        <v>6717</v>
      </c>
      <c r="G2997" s="1" t="str">
        <f>IFERROR(VLOOKUP(A2997,H_C!$A$2:$G$2628,7,0),"Validar HC")</f>
        <v>Validar HC</v>
      </c>
      <c r="H2997" s="165">
        <v>1423500.0</v>
      </c>
      <c r="I2997" s="49">
        <v>42.0</v>
      </c>
    </row>
    <row r="2998" ht="15.75" customHeight="1">
      <c r="A2998" s="1">
        <v>3854213.0</v>
      </c>
      <c r="B2998" s="1" t="s">
        <v>2398</v>
      </c>
      <c r="C2998" s="1" t="s">
        <v>7059</v>
      </c>
      <c r="D2998" s="1" t="s">
        <v>6998</v>
      </c>
      <c r="F2998" s="1" t="s">
        <v>6717</v>
      </c>
      <c r="G2998" s="1" t="str">
        <f>IFERROR(VLOOKUP(A2998,H_C!$A$2:$G$2628,7,0),"Validar HC")</f>
        <v>Validar HC</v>
      </c>
      <c r="H2998" s="165">
        <v>1423500.0</v>
      </c>
      <c r="I2998" s="49">
        <v>42.0</v>
      </c>
    </row>
    <row r="2999" ht="15.75" customHeight="1">
      <c r="A2999" s="1">
        <v>3855626.0</v>
      </c>
      <c r="B2999" s="1" t="s">
        <v>1697</v>
      </c>
      <c r="C2999" s="1" t="s">
        <v>7060</v>
      </c>
      <c r="D2999" s="1" t="s">
        <v>6998</v>
      </c>
      <c r="F2999" s="1" t="s">
        <v>6717</v>
      </c>
      <c r="G2999" s="1" t="str">
        <f>IFERROR(VLOOKUP(A2999,H_C!$A$2:$G$2628,7,0),"Validar HC")</f>
        <v>Validar HC</v>
      </c>
      <c r="H2999" s="165">
        <v>1423500.0</v>
      </c>
      <c r="I2999" s="49">
        <v>42.0</v>
      </c>
    </row>
    <row r="3000" ht="15.75" customHeight="1">
      <c r="A3000" s="1">
        <v>3876954.0</v>
      </c>
      <c r="B3000" s="1" t="s">
        <v>278</v>
      </c>
      <c r="C3000" s="1" t="s">
        <v>7061</v>
      </c>
      <c r="D3000" s="1" t="s">
        <v>6998</v>
      </c>
      <c r="F3000" s="1" t="s">
        <v>6717</v>
      </c>
      <c r="G3000" s="1" t="str">
        <f>IFERROR(VLOOKUP(A3000,H_C!$A$2:$G$2628,7,0),"Validar HC")</f>
        <v>Validar HC</v>
      </c>
      <c r="H3000" s="165">
        <v>1423500.0</v>
      </c>
      <c r="I3000" s="49">
        <v>42.0</v>
      </c>
    </row>
    <row r="3001" ht="15.75" customHeight="1">
      <c r="A3001" s="1">
        <v>3941844.0</v>
      </c>
      <c r="B3001" s="1" t="s">
        <v>459</v>
      </c>
      <c r="C3001" s="1" t="s">
        <v>7062</v>
      </c>
      <c r="D3001" s="1" t="s">
        <v>6998</v>
      </c>
      <c r="F3001" s="1" t="s">
        <v>6717</v>
      </c>
      <c r="G3001" s="1" t="str">
        <f>IFERROR(VLOOKUP(A3001,H_C!$A$2:$G$2628,7,0),"Validar HC")</f>
        <v>Validar HC</v>
      </c>
      <c r="H3001" s="165">
        <v>1423500.0</v>
      </c>
      <c r="I3001" s="49">
        <v>42.0</v>
      </c>
    </row>
    <row r="3002" ht="15.75" customHeight="1">
      <c r="A3002" s="1">
        <v>3946741.0</v>
      </c>
      <c r="B3002" s="1" t="s">
        <v>487</v>
      </c>
      <c r="C3002" s="1" t="s">
        <v>7063</v>
      </c>
      <c r="D3002" s="1" t="s">
        <v>6998</v>
      </c>
      <c r="F3002" s="1" t="s">
        <v>6717</v>
      </c>
      <c r="G3002" s="1" t="str">
        <f>IFERROR(VLOOKUP(A3002,H_C!$A$2:$G$2628,7,0),"Validar HC")</f>
        <v>Validar HC</v>
      </c>
      <c r="H3002" s="165">
        <v>1423500.0</v>
      </c>
      <c r="I3002" s="49">
        <v>42.0</v>
      </c>
    </row>
    <row r="3003" ht="15.75" customHeight="1">
      <c r="A3003" s="1">
        <v>3953006.0</v>
      </c>
      <c r="B3003" s="1" t="s">
        <v>726</v>
      </c>
      <c r="C3003" s="1" t="s">
        <v>7064</v>
      </c>
      <c r="D3003" s="1" t="s">
        <v>6998</v>
      </c>
      <c r="F3003" s="1" t="s">
        <v>6717</v>
      </c>
      <c r="G3003" s="1" t="str">
        <f>IFERROR(VLOOKUP(A3003,H_C!$A$2:$G$2628,7,0),"Validar HC")</f>
        <v>Validar HC</v>
      </c>
      <c r="H3003" s="165">
        <v>1423500.0</v>
      </c>
      <c r="I3003" s="49">
        <v>42.0</v>
      </c>
    </row>
    <row r="3004" ht="15.75" customHeight="1">
      <c r="A3004" s="1">
        <v>3960421.0</v>
      </c>
      <c r="B3004" s="1" t="s">
        <v>283</v>
      </c>
      <c r="C3004" s="1" t="s">
        <v>7065</v>
      </c>
      <c r="D3004" s="1" t="s">
        <v>6998</v>
      </c>
      <c r="F3004" s="1" t="s">
        <v>6717</v>
      </c>
      <c r="G3004" s="1" t="str">
        <f>IFERROR(VLOOKUP(A3004,H_C!$A$2:$G$2628,7,0),"Validar HC")</f>
        <v>Validar HC</v>
      </c>
      <c r="H3004" s="165">
        <v>1423500.0</v>
      </c>
      <c r="I3004" s="49">
        <v>42.0</v>
      </c>
    </row>
    <row r="3005" ht="15.75" customHeight="1">
      <c r="A3005" s="1">
        <v>4008750.0</v>
      </c>
      <c r="B3005" s="1" t="s">
        <v>7066</v>
      </c>
      <c r="C3005" s="1" t="s">
        <v>7067</v>
      </c>
      <c r="D3005" s="1" t="s">
        <v>6998</v>
      </c>
      <c r="F3005" s="1" t="s">
        <v>6717</v>
      </c>
      <c r="G3005" s="1" t="str">
        <f>IFERROR(VLOOKUP(A3005,H_C!$A$2:$G$2628,7,0),"Validar HC")</f>
        <v>Validar HC</v>
      </c>
      <c r="H3005" s="165">
        <v>1423500.0</v>
      </c>
      <c r="I3005" s="49">
        <v>42.0</v>
      </c>
    </row>
    <row r="3006" ht="15.75" customHeight="1">
      <c r="A3006" s="1">
        <v>4053823.0</v>
      </c>
      <c r="B3006" s="1" t="s">
        <v>2023</v>
      </c>
      <c r="C3006" s="1" t="s">
        <v>7068</v>
      </c>
      <c r="D3006" s="1" t="s">
        <v>6998</v>
      </c>
      <c r="F3006" s="1" t="s">
        <v>6717</v>
      </c>
      <c r="G3006" s="1" t="str">
        <f>IFERROR(VLOOKUP(A3006,H_C!$A$2:$G$2628,7,0),"Validar HC")</f>
        <v>Validar HC</v>
      </c>
      <c r="H3006" s="165">
        <v>1423500.0</v>
      </c>
      <c r="I3006" s="49">
        <v>42.0</v>
      </c>
    </row>
    <row r="3007" ht="15.75" customHeight="1">
      <c r="A3007" s="1">
        <v>4085660.0</v>
      </c>
      <c r="B3007" s="1" t="s">
        <v>1518</v>
      </c>
      <c r="C3007" s="1" t="s">
        <v>7069</v>
      </c>
      <c r="D3007" s="1" t="s">
        <v>6998</v>
      </c>
      <c r="F3007" s="1" t="s">
        <v>6717</v>
      </c>
      <c r="G3007" s="1" t="str">
        <f>IFERROR(VLOOKUP(A3007,H_C!$A$2:$G$2628,7,0),"Validar HC")</f>
        <v>Validar HC</v>
      </c>
      <c r="H3007" s="165">
        <v>1423500.0</v>
      </c>
      <c r="I3007" s="49">
        <v>42.0</v>
      </c>
    </row>
    <row r="3008" ht="15.75" customHeight="1">
      <c r="A3008" s="1">
        <v>4133933.0</v>
      </c>
      <c r="B3008" s="1" t="s">
        <v>1127</v>
      </c>
      <c r="C3008" s="1" t="s">
        <v>7070</v>
      </c>
      <c r="D3008" s="1" t="s">
        <v>6998</v>
      </c>
      <c r="F3008" s="1" t="s">
        <v>6717</v>
      </c>
      <c r="G3008" s="1" t="str">
        <f>IFERROR(VLOOKUP(A3008,H_C!$A$2:$G$2628,7,0),"Validar HC")</f>
        <v>Validar HC</v>
      </c>
      <c r="H3008" s="165">
        <v>1423500.0</v>
      </c>
      <c r="I3008" s="49">
        <v>42.0</v>
      </c>
    </row>
    <row r="3009" ht="15.75" customHeight="1">
      <c r="A3009" s="1">
        <v>4138346.0</v>
      </c>
      <c r="B3009" s="1" t="s">
        <v>1207</v>
      </c>
      <c r="C3009" s="1" t="s">
        <v>7071</v>
      </c>
      <c r="D3009" s="1" t="s">
        <v>6998</v>
      </c>
      <c r="F3009" s="1" t="s">
        <v>6717</v>
      </c>
      <c r="G3009" s="1" t="str">
        <f>IFERROR(VLOOKUP(A3009,H_C!$A$2:$G$2628,7,0),"Validar HC")</f>
        <v>Validar HC</v>
      </c>
      <c r="H3009" s="165">
        <v>1423500.0</v>
      </c>
      <c r="I3009" s="49">
        <v>42.0</v>
      </c>
    </row>
    <row r="3010" ht="15.75" customHeight="1">
      <c r="A3010" s="1">
        <v>4183972.0</v>
      </c>
      <c r="B3010" s="1" t="s">
        <v>849</v>
      </c>
      <c r="C3010" s="1" t="s">
        <v>7072</v>
      </c>
      <c r="D3010" s="1" t="s">
        <v>6998</v>
      </c>
      <c r="F3010" s="1" t="s">
        <v>6717</v>
      </c>
      <c r="G3010" s="1" t="str">
        <f>IFERROR(VLOOKUP(A3010,H_C!$A$2:$G$2628,7,0),"Validar HC")</f>
        <v>Validar HC</v>
      </c>
      <c r="H3010" s="165">
        <v>1423500.0</v>
      </c>
      <c r="I3010" s="49">
        <v>42.0</v>
      </c>
    </row>
    <row r="3011" ht="15.75" customHeight="1">
      <c r="A3011" s="1">
        <v>4189541.0</v>
      </c>
      <c r="B3011" s="1" t="s">
        <v>2522</v>
      </c>
      <c r="C3011" s="1" t="s">
        <v>7073</v>
      </c>
      <c r="D3011" s="1" t="s">
        <v>6998</v>
      </c>
      <c r="F3011" s="1" t="s">
        <v>6717</v>
      </c>
      <c r="G3011" s="1" t="str">
        <f>IFERROR(VLOOKUP(A3011,H_C!$A$2:$G$2628,7,0),"Validar HC")</f>
        <v>Validar HC</v>
      </c>
      <c r="H3011" s="165">
        <v>1423500.0</v>
      </c>
      <c r="I3011" s="49">
        <v>42.0</v>
      </c>
    </row>
    <row r="3012" ht="15.75" customHeight="1">
      <c r="A3012" s="1">
        <v>4288078.0</v>
      </c>
      <c r="B3012" s="1" t="s">
        <v>408</v>
      </c>
      <c r="C3012" s="1" t="s">
        <v>7074</v>
      </c>
      <c r="D3012" s="1" t="s">
        <v>6998</v>
      </c>
      <c r="F3012" s="1" t="s">
        <v>6717</v>
      </c>
      <c r="G3012" s="1" t="str">
        <f>IFERROR(VLOOKUP(A3012,H_C!$A$2:$G$2628,7,0),"Validar HC")</f>
        <v>Validar HC</v>
      </c>
      <c r="H3012" s="165">
        <v>1423500.0</v>
      </c>
      <c r="I3012" s="49">
        <v>42.0</v>
      </c>
    </row>
    <row r="3013" ht="15.75" customHeight="1">
      <c r="A3013" s="1">
        <v>4419083.0</v>
      </c>
      <c r="B3013" s="1" t="s">
        <v>2906</v>
      </c>
      <c r="C3013" s="1" t="s">
        <v>7075</v>
      </c>
      <c r="D3013" s="1" t="s">
        <v>6998</v>
      </c>
      <c r="F3013" s="1" t="s">
        <v>6717</v>
      </c>
      <c r="G3013" s="1" t="str">
        <f>IFERROR(VLOOKUP(A3013,H_C!$A$2:$G$2628,7,0),"Validar HC")</f>
        <v>Validar HC</v>
      </c>
      <c r="H3013" s="165">
        <v>1423500.0</v>
      </c>
      <c r="I3013" s="49">
        <v>42.0</v>
      </c>
    </row>
    <row r="3014" ht="15.75" customHeight="1">
      <c r="A3014" s="1">
        <v>4419156.0</v>
      </c>
      <c r="B3014" s="1" t="s">
        <v>1760</v>
      </c>
      <c r="C3014" s="1" t="s">
        <v>7076</v>
      </c>
      <c r="D3014" s="1" t="s">
        <v>6998</v>
      </c>
      <c r="F3014" s="1" t="s">
        <v>6717</v>
      </c>
      <c r="G3014" s="1" t="str">
        <f>IFERROR(VLOOKUP(A3014,H_C!$A$2:$G$2628,7,0),"Validar HC")</f>
        <v>Validar HC</v>
      </c>
      <c r="H3014" s="165">
        <v>1423500.0</v>
      </c>
      <c r="I3014" s="49">
        <v>42.0</v>
      </c>
    </row>
    <row r="3015" ht="15.75" customHeight="1">
      <c r="A3015" s="1">
        <v>4426291.0</v>
      </c>
      <c r="B3015" s="1" t="s">
        <v>802</v>
      </c>
      <c r="C3015" s="1" t="s">
        <v>7077</v>
      </c>
      <c r="D3015" s="1" t="s">
        <v>6998</v>
      </c>
      <c r="F3015" s="1" t="s">
        <v>6717</v>
      </c>
      <c r="G3015" s="1" t="str">
        <f>IFERROR(VLOOKUP(A3015,H_C!$A$2:$G$2628,7,0),"Validar HC")</f>
        <v>Validar HC</v>
      </c>
      <c r="H3015" s="165">
        <v>1423500.0</v>
      </c>
      <c r="I3015" s="49">
        <v>42.0</v>
      </c>
    </row>
    <row r="3016" ht="15.75" customHeight="1">
      <c r="A3016" s="1">
        <v>4435043.0</v>
      </c>
      <c r="B3016" s="1" t="s">
        <v>299</v>
      </c>
      <c r="C3016" s="1" t="s">
        <v>7078</v>
      </c>
      <c r="D3016" s="1" t="s">
        <v>6998</v>
      </c>
      <c r="F3016" s="1" t="s">
        <v>6717</v>
      </c>
      <c r="G3016" s="1" t="str">
        <f>IFERROR(VLOOKUP(A3016,H_C!$A$2:$G$2628,7,0),"Validar HC")</f>
        <v>Validar HC</v>
      </c>
      <c r="H3016" s="165">
        <v>1423500.0</v>
      </c>
      <c r="I3016" s="49">
        <v>42.0</v>
      </c>
    </row>
    <row r="3017" ht="15.75" customHeight="1">
      <c r="A3017" s="1">
        <v>4442769.0</v>
      </c>
      <c r="B3017" s="1" t="s">
        <v>7079</v>
      </c>
      <c r="C3017" s="1" t="s">
        <v>1412</v>
      </c>
      <c r="D3017" s="1" t="s">
        <v>6998</v>
      </c>
      <c r="F3017" s="1" t="s">
        <v>6717</v>
      </c>
      <c r="G3017" s="1" t="str">
        <f>IFERROR(VLOOKUP(A3017,H_C!$A$2:$G$2628,7,0),"Validar HC")</f>
        <v>Celi, Juan</v>
      </c>
      <c r="H3017" s="165">
        <v>1423500.0</v>
      </c>
      <c r="I3017" s="49">
        <v>42.0</v>
      </c>
    </row>
    <row r="3018" ht="15.75" customHeight="1">
      <c r="A3018" s="1">
        <v>4555754.0</v>
      </c>
      <c r="B3018" s="1" t="s">
        <v>332</v>
      </c>
      <c r="C3018" s="1" t="s">
        <v>7080</v>
      </c>
      <c r="D3018" s="1" t="s">
        <v>6998</v>
      </c>
      <c r="F3018" s="1" t="s">
        <v>6717</v>
      </c>
      <c r="G3018" s="1" t="str">
        <f>IFERROR(VLOOKUP(A3018,H_C!$A$2:$G$2628,7,0),"Validar HC")</f>
        <v>Validar HC</v>
      </c>
      <c r="H3018" s="165">
        <v>1423500.0</v>
      </c>
      <c r="I3018" s="49">
        <v>42.0</v>
      </c>
    </row>
    <row r="3019" ht="15.75" customHeight="1">
      <c r="A3019" s="1">
        <v>4557885.0</v>
      </c>
      <c r="B3019" s="1" t="s">
        <v>1418</v>
      </c>
      <c r="C3019" s="1" t="s">
        <v>7081</v>
      </c>
      <c r="D3019" s="1" t="s">
        <v>6998</v>
      </c>
      <c r="F3019" s="1" t="s">
        <v>6717</v>
      </c>
      <c r="G3019" s="1" t="str">
        <f>IFERROR(VLOOKUP(A3019,H_C!$A$2:$G$2628,7,0),"Validar HC")</f>
        <v>Validar HC</v>
      </c>
      <c r="H3019" s="165">
        <v>1423500.0</v>
      </c>
      <c r="I3019" s="49">
        <v>42.0</v>
      </c>
    </row>
    <row r="3020" ht="15.75" customHeight="1">
      <c r="A3020" s="1">
        <v>4561887.0</v>
      </c>
      <c r="B3020" s="1" t="s">
        <v>563</v>
      </c>
      <c r="C3020" s="1" t="s">
        <v>7082</v>
      </c>
      <c r="D3020" s="1" t="s">
        <v>6998</v>
      </c>
      <c r="F3020" s="1" t="s">
        <v>6717</v>
      </c>
      <c r="G3020" s="1" t="str">
        <f>IFERROR(VLOOKUP(A3020,H_C!$A$2:$G$2628,7,0),"Validar HC")</f>
        <v>Validar HC</v>
      </c>
      <c r="H3020" s="165">
        <v>1423500.0</v>
      </c>
      <c r="I3020" s="49">
        <v>42.0</v>
      </c>
    </row>
    <row r="3021" ht="15.75" customHeight="1">
      <c r="A3021" s="1">
        <v>4567300.0</v>
      </c>
      <c r="B3021" s="1" t="s">
        <v>938</v>
      </c>
      <c r="C3021" s="1" t="s">
        <v>7083</v>
      </c>
      <c r="D3021" s="1" t="s">
        <v>6998</v>
      </c>
      <c r="F3021" s="1" t="s">
        <v>6717</v>
      </c>
      <c r="G3021" s="1" t="str">
        <f>IFERROR(VLOOKUP(A3021,H_C!$A$2:$G$2628,7,0),"Validar HC")</f>
        <v>Validar HC</v>
      </c>
      <c r="H3021" s="165">
        <v>1423500.0</v>
      </c>
      <c r="I3021" s="49">
        <v>42.0</v>
      </c>
    </row>
    <row r="3022" ht="15.75" customHeight="1">
      <c r="A3022" s="1">
        <v>4600253.0</v>
      </c>
      <c r="B3022" s="1" t="s">
        <v>891</v>
      </c>
      <c r="C3022" s="1" t="s">
        <v>7084</v>
      </c>
      <c r="D3022" s="1" t="s">
        <v>6998</v>
      </c>
      <c r="F3022" s="1" t="s">
        <v>6717</v>
      </c>
      <c r="G3022" s="1" t="str">
        <f>IFERROR(VLOOKUP(A3022,H_C!$A$2:$G$2628,7,0),"Validar HC")</f>
        <v>Validar HC</v>
      </c>
      <c r="H3022" s="165">
        <v>1423500.0</v>
      </c>
      <c r="I3022" s="49">
        <v>42.0</v>
      </c>
    </row>
    <row r="3023" ht="15.75" customHeight="1">
      <c r="A3023" s="1">
        <v>4610355.0</v>
      </c>
      <c r="B3023" s="1" t="s">
        <v>959</v>
      </c>
      <c r="C3023" s="1" t="s">
        <v>7085</v>
      </c>
      <c r="D3023" s="1" t="s">
        <v>6998</v>
      </c>
      <c r="F3023" s="1" t="s">
        <v>6717</v>
      </c>
      <c r="G3023" s="1" t="str">
        <f>IFERROR(VLOOKUP(A3023,H_C!$A$2:$G$2628,7,0),"Validar HC")</f>
        <v>Validar HC</v>
      </c>
      <c r="H3023" s="165">
        <v>1423500.0</v>
      </c>
      <c r="I3023" s="49">
        <v>42.0</v>
      </c>
    </row>
    <row r="3024" ht="15.75" customHeight="1">
      <c r="A3024" s="1">
        <v>4610389.0</v>
      </c>
      <c r="B3024" s="1" t="s">
        <v>837</v>
      </c>
      <c r="C3024" s="1" t="s">
        <v>7086</v>
      </c>
      <c r="D3024" s="1" t="s">
        <v>6998</v>
      </c>
      <c r="F3024" s="1" t="s">
        <v>6717</v>
      </c>
      <c r="G3024" s="1" t="str">
        <f>IFERROR(VLOOKUP(A3024,H_C!$A$2:$G$2628,7,0),"Validar HC")</f>
        <v>Validar HC</v>
      </c>
      <c r="H3024" s="165">
        <v>1423500.0</v>
      </c>
      <c r="I3024" s="49">
        <v>42.0</v>
      </c>
    </row>
    <row r="3025" ht="15.75" customHeight="1">
      <c r="A3025" s="1">
        <v>4647283.0</v>
      </c>
      <c r="B3025" s="1" t="s">
        <v>672</v>
      </c>
      <c r="C3025" s="1" t="s">
        <v>7087</v>
      </c>
      <c r="D3025" s="1" t="s">
        <v>6998</v>
      </c>
      <c r="F3025" s="1" t="s">
        <v>6717</v>
      </c>
      <c r="G3025" s="1" t="str">
        <f>IFERROR(VLOOKUP(A3025,H_C!$A$2:$G$2628,7,0),"Validar HC")</f>
        <v>Validar HC</v>
      </c>
      <c r="H3025" s="165">
        <v>1423500.0</v>
      </c>
      <c r="I3025" s="49">
        <v>42.0</v>
      </c>
    </row>
    <row r="3026" ht="15.75" customHeight="1">
      <c r="A3026" s="1">
        <v>4648997.0</v>
      </c>
      <c r="B3026" s="1" t="s">
        <v>1145</v>
      </c>
      <c r="C3026" s="1" t="s">
        <v>7088</v>
      </c>
      <c r="D3026" s="1" t="s">
        <v>6998</v>
      </c>
      <c r="F3026" s="1" t="s">
        <v>6717</v>
      </c>
      <c r="G3026" s="1" t="str">
        <f>IFERROR(VLOOKUP(A3026,H_C!$A$2:$G$2628,7,0),"Validar HC")</f>
        <v>Validar HC</v>
      </c>
      <c r="H3026" s="165">
        <v>1423500.0</v>
      </c>
      <c r="I3026" s="49">
        <v>42.0</v>
      </c>
    </row>
    <row r="3027" ht="15.75" customHeight="1">
      <c r="A3027" s="1">
        <v>4655767.0</v>
      </c>
      <c r="B3027" s="1" t="s">
        <v>1714</v>
      </c>
      <c r="C3027" s="1" t="s">
        <v>7089</v>
      </c>
      <c r="D3027" s="1" t="s">
        <v>6998</v>
      </c>
      <c r="F3027" s="1" t="s">
        <v>6717</v>
      </c>
      <c r="G3027" s="1" t="str">
        <f>IFERROR(VLOOKUP(A3027,H_C!$A$2:$G$2628,7,0),"Validar HC")</f>
        <v>Validar HC</v>
      </c>
      <c r="H3027" s="165">
        <v>1423500.0</v>
      </c>
      <c r="I3027" s="49">
        <v>42.0</v>
      </c>
    </row>
    <row r="3028" ht="15.75" customHeight="1">
      <c r="A3028" s="1">
        <v>4657160.0</v>
      </c>
      <c r="B3028" s="1" t="s">
        <v>1562</v>
      </c>
      <c r="C3028" s="1" t="s">
        <v>7090</v>
      </c>
      <c r="D3028" s="1" t="s">
        <v>6998</v>
      </c>
      <c r="F3028" s="1" t="s">
        <v>6717</v>
      </c>
      <c r="G3028" s="1" t="str">
        <f>IFERROR(VLOOKUP(A3028,H_C!$A$2:$G$2628,7,0),"Validar HC")</f>
        <v>Validar HC</v>
      </c>
      <c r="H3028" s="165">
        <v>1423500.0</v>
      </c>
      <c r="I3028" s="49">
        <v>42.0</v>
      </c>
    </row>
    <row r="3029" ht="15.75" customHeight="1">
      <c r="A3029" s="1">
        <v>4665182.0</v>
      </c>
      <c r="B3029" s="1" t="s">
        <v>333</v>
      </c>
      <c r="C3029" s="1" t="s">
        <v>7091</v>
      </c>
      <c r="D3029" s="1" t="s">
        <v>6998</v>
      </c>
      <c r="F3029" s="1" t="s">
        <v>6717</v>
      </c>
      <c r="G3029" s="1" t="str">
        <f>IFERROR(VLOOKUP(A3029,H_C!$A$2:$G$2628,7,0),"Validar HC")</f>
        <v>Validar HC</v>
      </c>
      <c r="H3029" s="165">
        <v>1423500.0</v>
      </c>
      <c r="I3029" s="49">
        <v>42.0</v>
      </c>
    </row>
    <row r="3030" ht="15.75" customHeight="1">
      <c r="A3030" s="1">
        <v>4680250.0</v>
      </c>
      <c r="B3030" s="1" t="s">
        <v>235</v>
      </c>
      <c r="C3030" s="1" t="s">
        <v>7092</v>
      </c>
      <c r="D3030" s="1" t="s">
        <v>6998</v>
      </c>
      <c r="F3030" s="1" t="s">
        <v>6717</v>
      </c>
      <c r="G3030" s="1" t="str">
        <f>IFERROR(VLOOKUP(A3030,H_C!$A$2:$G$2628,7,0),"Validar HC")</f>
        <v>Validar HC</v>
      </c>
      <c r="H3030" s="165">
        <v>1423500.0</v>
      </c>
      <c r="I3030" s="49">
        <v>42.0</v>
      </c>
    </row>
    <row r="3031" ht="15.75" customHeight="1">
      <c r="A3031" s="1">
        <v>4682528.0</v>
      </c>
      <c r="B3031" s="1" t="s">
        <v>2487</v>
      </c>
      <c r="C3031" s="1" t="s">
        <v>7093</v>
      </c>
      <c r="D3031" s="1" t="s">
        <v>6998</v>
      </c>
      <c r="F3031" s="1" t="s">
        <v>6717</v>
      </c>
      <c r="G3031" s="1" t="str">
        <f>IFERROR(VLOOKUP(A3031,H_C!$A$2:$G$2628,7,0),"Validar HC")</f>
        <v>Validar HC</v>
      </c>
      <c r="H3031" s="165">
        <v>1423500.0</v>
      </c>
      <c r="I3031" s="49">
        <v>42.0</v>
      </c>
    </row>
    <row r="3032" ht="15.75" customHeight="1">
      <c r="A3032" s="1">
        <v>4692870.0</v>
      </c>
      <c r="B3032" s="1" t="s">
        <v>376</v>
      </c>
      <c r="C3032" s="1" t="s">
        <v>7094</v>
      </c>
      <c r="D3032" s="1" t="s">
        <v>6998</v>
      </c>
      <c r="F3032" s="1" t="s">
        <v>6717</v>
      </c>
      <c r="G3032" s="1" t="str">
        <f>IFERROR(VLOOKUP(A3032,H_C!$A$2:$G$2628,7,0),"Validar HC")</f>
        <v>Validar HC</v>
      </c>
      <c r="H3032" s="165">
        <v>1423500.0</v>
      </c>
      <c r="I3032" s="49">
        <v>42.0</v>
      </c>
    </row>
    <row r="3033" ht="15.75" customHeight="1">
      <c r="A3033" s="1">
        <v>4701498.0</v>
      </c>
      <c r="B3033" s="1" t="s">
        <v>7095</v>
      </c>
      <c r="C3033" s="1" t="s">
        <v>7096</v>
      </c>
      <c r="D3033" s="1" t="s">
        <v>6998</v>
      </c>
      <c r="F3033" s="1" t="s">
        <v>6717</v>
      </c>
      <c r="G3033" s="1" t="str">
        <f>IFERROR(VLOOKUP(A3033,H_C!$A$2:$G$2628,7,0),"Validar HC")</f>
        <v>Validar HC</v>
      </c>
      <c r="H3033" s="165">
        <v>1423500.0</v>
      </c>
      <c r="I3033" s="49">
        <v>42.0</v>
      </c>
    </row>
    <row r="3034" ht="15.75" customHeight="1">
      <c r="A3034" s="1">
        <v>4795747.0</v>
      </c>
      <c r="B3034" s="1" t="s">
        <v>427</v>
      </c>
      <c r="C3034" s="1" t="s">
        <v>7097</v>
      </c>
      <c r="D3034" s="1" t="s">
        <v>6998</v>
      </c>
      <c r="F3034" s="1" t="s">
        <v>6717</v>
      </c>
      <c r="G3034" s="1" t="str">
        <f>IFERROR(VLOOKUP(A3034,H_C!$A$2:$G$2628,7,0),"Validar HC")</f>
        <v>Validar HC</v>
      </c>
      <c r="H3034" s="165">
        <v>1423500.0</v>
      </c>
      <c r="I3034" s="49">
        <v>42.0</v>
      </c>
    </row>
    <row r="3035" ht="15.75" customHeight="1">
      <c r="A3035" s="1">
        <v>4805752.0</v>
      </c>
      <c r="B3035" s="1" t="s">
        <v>667</v>
      </c>
      <c r="C3035" s="1" t="s">
        <v>7098</v>
      </c>
      <c r="D3035" s="1" t="s">
        <v>6998</v>
      </c>
      <c r="F3035" s="1" t="s">
        <v>6717</v>
      </c>
      <c r="G3035" s="1" t="str">
        <f>IFERROR(VLOOKUP(A3035,H_C!$A$2:$G$2628,7,0),"Validar HC")</f>
        <v>Validar HC</v>
      </c>
      <c r="H3035" s="165">
        <v>1423500.0</v>
      </c>
      <c r="I3035" s="49">
        <v>42.0</v>
      </c>
    </row>
    <row r="3036" ht="15.75" customHeight="1">
      <c r="A3036" s="1">
        <v>4829667.0</v>
      </c>
      <c r="B3036" s="1" t="s">
        <v>420</v>
      </c>
      <c r="C3036" s="1" t="s">
        <v>7099</v>
      </c>
      <c r="D3036" s="1" t="s">
        <v>6998</v>
      </c>
      <c r="F3036" s="1" t="s">
        <v>6717</v>
      </c>
      <c r="G3036" s="1" t="str">
        <f>IFERROR(VLOOKUP(A3036,H_C!$A$2:$G$2628,7,0),"Validar HC")</f>
        <v>Validar HC</v>
      </c>
      <c r="H3036" s="165">
        <v>1423500.0</v>
      </c>
      <c r="I3036" s="49">
        <v>42.0</v>
      </c>
    </row>
    <row r="3037" ht="15.75" customHeight="1">
      <c r="A3037" s="1">
        <v>4857545.0</v>
      </c>
      <c r="B3037" s="1" t="s">
        <v>3967</v>
      </c>
      <c r="C3037" s="1" t="s">
        <v>7100</v>
      </c>
      <c r="D3037" s="1" t="s">
        <v>6998</v>
      </c>
      <c r="F3037" s="1" t="s">
        <v>6717</v>
      </c>
      <c r="G3037" s="1" t="str">
        <f>IFERROR(VLOOKUP(A3037,H_C!$A$2:$G$2628,7,0),"Validar HC")</f>
        <v>Validar HC</v>
      </c>
      <c r="H3037" s="165">
        <v>1423500.0</v>
      </c>
      <c r="I3037" s="49">
        <v>42.0</v>
      </c>
    </row>
    <row r="3038" ht="15.75" customHeight="1">
      <c r="A3038" s="1">
        <v>4898403.0</v>
      </c>
      <c r="B3038" s="1" t="s">
        <v>524</v>
      </c>
      <c r="C3038" s="1" t="s">
        <v>6384</v>
      </c>
      <c r="D3038" s="1" t="s">
        <v>6998</v>
      </c>
      <c r="F3038" s="1" t="s">
        <v>6717</v>
      </c>
      <c r="G3038" s="1" t="str">
        <f>IFERROR(VLOOKUP(A3038,H_C!$A$2:$G$2628,7,0),"Validar HC")</f>
        <v>Validar HC</v>
      </c>
      <c r="H3038" s="165">
        <v>1423500.0</v>
      </c>
      <c r="I3038" s="49">
        <v>42.0</v>
      </c>
    </row>
    <row r="3039" ht="15.75" customHeight="1">
      <c r="A3039" s="1">
        <v>4930730.0</v>
      </c>
      <c r="B3039" s="1" t="s">
        <v>1069</v>
      </c>
      <c r="C3039" s="1" t="s">
        <v>7101</v>
      </c>
      <c r="D3039" s="1" t="s">
        <v>6998</v>
      </c>
      <c r="F3039" s="1" t="s">
        <v>6717</v>
      </c>
      <c r="G3039" s="1" t="str">
        <f>IFERROR(VLOOKUP(A3039,H_C!$A$2:$G$2628,7,0),"Validar HC")</f>
        <v>Validar HC</v>
      </c>
      <c r="H3039" s="165">
        <v>1423500.0</v>
      </c>
      <c r="I3039" s="49">
        <v>42.0</v>
      </c>
    </row>
    <row r="3040" ht="15.75" customHeight="1">
      <c r="A3040" s="1">
        <v>4931631.0</v>
      </c>
      <c r="B3040" s="1" t="s">
        <v>2071</v>
      </c>
      <c r="C3040" s="1" t="s">
        <v>6395</v>
      </c>
      <c r="D3040" s="1" t="s">
        <v>6998</v>
      </c>
      <c r="F3040" s="1" t="s">
        <v>6717</v>
      </c>
      <c r="G3040" s="1" t="str">
        <f>IFERROR(VLOOKUP(A3040,H_C!$A$2:$G$2628,7,0),"Validar HC")</f>
        <v>Validar HC</v>
      </c>
      <c r="H3040" s="165">
        <v>1423500.0</v>
      </c>
      <c r="I3040" s="49">
        <v>42.0</v>
      </c>
    </row>
    <row r="3041" ht="15.75" customHeight="1">
      <c r="A3041" s="1">
        <v>4955430.0</v>
      </c>
      <c r="B3041" s="1" t="s">
        <v>643</v>
      </c>
      <c r="C3041" s="1" t="s">
        <v>7102</v>
      </c>
      <c r="D3041" s="1" t="s">
        <v>6998</v>
      </c>
      <c r="F3041" s="1" t="s">
        <v>6717</v>
      </c>
      <c r="G3041" s="1" t="str">
        <f>IFERROR(VLOOKUP(A3041,H_C!$A$2:$G$2628,7,0),"Validar HC")</f>
        <v>Validar HC</v>
      </c>
      <c r="H3041" s="165">
        <v>1423500.0</v>
      </c>
      <c r="I3041" s="49">
        <v>42.0</v>
      </c>
    </row>
    <row r="3042" ht="15.75" customHeight="1">
      <c r="A3042" s="1">
        <v>4980681.0</v>
      </c>
      <c r="B3042" s="1" t="s">
        <v>578</v>
      </c>
      <c r="C3042" s="1" t="s">
        <v>7103</v>
      </c>
      <c r="D3042" s="1" t="s">
        <v>6998</v>
      </c>
      <c r="F3042" s="1" t="s">
        <v>6717</v>
      </c>
      <c r="G3042" s="1" t="str">
        <f>IFERROR(VLOOKUP(A3042,H_C!$A$2:$G$2628,7,0),"Validar HC")</f>
        <v>Validar HC</v>
      </c>
      <c r="H3042" s="165">
        <v>1423500.0</v>
      </c>
      <c r="I3042" s="49">
        <v>42.0</v>
      </c>
    </row>
    <row r="3043" ht="15.75" customHeight="1">
      <c r="A3043" s="1">
        <v>5008126.0</v>
      </c>
      <c r="B3043" s="1" t="s">
        <v>988</v>
      </c>
      <c r="C3043" s="1" t="s">
        <v>7104</v>
      </c>
      <c r="D3043" s="1" t="s">
        <v>6998</v>
      </c>
      <c r="F3043" s="1" t="s">
        <v>6717</v>
      </c>
      <c r="G3043" s="1" t="str">
        <f>IFERROR(VLOOKUP(A3043,H_C!$A$2:$G$2628,7,0),"Validar HC")</f>
        <v>Validar HC</v>
      </c>
      <c r="H3043" s="165">
        <v>1423500.0</v>
      </c>
      <c r="I3043" s="49">
        <v>42.0</v>
      </c>
    </row>
    <row r="3044" ht="15.75" customHeight="1">
      <c r="A3044" s="1">
        <v>5014029.0</v>
      </c>
      <c r="B3044" s="1" t="s">
        <v>2152</v>
      </c>
      <c r="C3044" s="1" t="s">
        <v>7105</v>
      </c>
      <c r="D3044" s="1" t="s">
        <v>6998</v>
      </c>
      <c r="F3044" s="1" t="s">
        <v>6717</v>
      </c>
      <c r="G3044" s="1" t="str">
        <f>IFERROR(VLOOKUP(A3044,H_C!$A$2:$G$2628,7,0),"Validar HC")</f>
        <v>Validar HC</v>
      </c>
      <c r="H3044" s="165">
        <v>1423500.0</v>
      </c>
      <c r="I3044" s="49">
        <v>42.0</v>
      </c>
    </row>
    <row r="3045" ht="15.75" customHeight="1">
      <c r="A3045" s="1">
        <v>5029093.0</v>
      </c>
      <c r="B3045" s="1" t="s">
        <v>7106</v>
      </c>
      <c r="C3045" s="1" t="s">
        <v>7107</v>
      </c>
      <c r="D3045" s="1" t="s">
        <v>6998</v>
      </c>
      <c r="F3045" s="1" t="s">
        <v>6717</v>
      </c>
      <c r="G3045" s="1" t="str">
        <f>IFERROR(VLOOKUP(A3045,H_C!$A$2:$G$2628,7,0),"Validar HC")</f>
        <v>Validar HC</v>
      </c>
      <c r="H3045" s="165">
        <v>1423500.0</v>
      </c>
      <c r="I3045" s="49">
        <v>42.0</v>
      </c>
    </row>
    <row r="3046" ht="15.75" customHeight="1">
      <c r="A3046" s="1">
        <v>5038584.0</v>
      </c>
      <c r="B3046" s="1" t="s">
        <v>761</v>
      </c>
      <c r="C3046" s="1" t="s">
        <v>7108</v>
      </c>
      <c r="D3046" s="1" t="s">
        <v>6998</v>
      </c>
      <c r="F3046" s="1" t="s">
        <v>6717</v>
      </c>
      <c r="G3046" s="1" t="str">
        <f>IFERROR(VLOOKUP(A3046,H_C!$A$2:$G$2628,7,0),"Validar HC")</f>
        <v>Validar HC</v>
      </c>
      <c r="H3046" s="165">
        <v>1423500.0</v>
      </c>
      <c r="I3046" s="49">
        <v>42.0</v>
      </c>
    </row>
    <row r="3047" ht="15.75" customHeight="1">
      <c r="A3047" s="1">
        <v>5040974.0</v>
      </c>
      <c r="B3047" s="1" t="s">
        <v>1391</v>
      </c>
      <c r="C3047" s="1" t="s">
        <v>7109</v>
      </c>
      <c r="D3047" s="1" t="s">
        <v>6998</v>
      </c>
      <c r="F3047" s="1" t="s">
        <v>6717</v>
      </c>
      <c r="G3047" s="1" t="str">
        <f>IFERROR(VLOOKUP(A3047,H_C!$A$2:$G$2628,7,0),"Validar HC")</f>
        <v>Validar HC</v>
      </c>
      <c r="H3047" s="165">
        <v>1423500.0</v>
      </c>
      <c r="I3047" s="49">
        <v>42.0</v>
      </c>
    </row>
    <row r="3048" ht="15.75" customHeight="1">
      <c r="A3048" s="1">
        <v>5043659.0</v>
      </c>
      <c r="B3048" s="1" t="s">
        <v>1188</v>
      </c>
      <c r="C3048" s="1" t="s">
        <v>7110</v>
      </c>
      <c r="D3048" s="1" t="s">
        <v>6998</v>
      </c>
      <c r="F3048" s="1" t="s">
        <v>6717</v>
      </c>
      <c r="G3048" s="1" t="str">
        <f>IFERROR(VLOOKUP(A3048,H_C!$A$2:$G$2628,7,0),"Validar HC")</f>
        <v>Validar HC</v>
      </c>
      <c r="H3048" s="165">
        <v>1423500.0</v>
      </c>
      <c r="I3048" s="49">
        <v>42.0</v>
      </c>
    </row>
    <row r="3049" ht="15.75" customHeight="1">
      <c r="A3049" s="1">
        <v>5048506.0</v>
      </c>
      <c r="B3049" s="1" t="s">
        <v>1403</v>
      </c>
      <c r="C3049" s="1" t="s">
        <v>7111</v>
      </c>
      <c r="D3049" s="1" t="s">
        <v>6998</v>
      </c>
      <c r="F3049" s="1" t="s">
        <v>6717</v>
      </c>
      <c r="G3049" s="1" t="str">
        <f>IFERROR(VLOOKUP(A3049,H_C!$A$2:$G$2628,7,0),"Validar HC")</f>
        <v>Validar HC</v>
      </c>
      <c r="H3049" s="165">
        <v>1423500.0</v>
      </c>
      <c r="I3049" s="49">
        <v>42.0</v>
      </c>
    </row>
    <row r="3050" ht="15.75" customHeight="1">
      <c r="A3050" s="1">
        <v>5048515.0</v>
      </c>
      <c r="B3050" s="1" t="s">
        <v>248</v>
      </c>
      <c r="C3050" s="1" t="s">
        <v>7112</v>
      </c>
      <c r="D3050" s="1" t="s">
        <v>6998</v>
      </c>
      <c r="F3050" s="1" t="s">
        <v>6717</v>
      </c>
      <c r="G3050" s="1" t="str">
        <f>IFERROR(VLOOKUP(A3050,H_C!$A$2:$G$2628,7,0),"Validar HC")</f>
        <v>Validar HC</v>
      </c>
      <c r="H3050" s="165">
        <v>1423500.0</v>
      </c>
      <c r="I3050" s="49">
        <v>42.0</v>
      </c>
    </row>
    <row r="3051" ht="15.75" customHeight="1">
      <c r="A3051" s="1">
        <v>5053131.0</v>
      </c>
      <c r="B3051" s="1" t="s">
        <v>2374</v>
      </c>
      <c r="C3051" s="1" t="s">
        <v>7113</v>
      </c>
      <c r="D3051" s="1" t="s">
        <v>6998</v>
      </c>
      <c r="F3051" s="1" t="s">
        <v>6717</v>
      </c>
      <c r="G3051" s="1" t="str">
        <f>IFERROR(VLOOKUP(A3051,H_C!$A$2:$G$2628,7,0),"Validar HC")</f>
        <v>Validar HC</v>
      </c>
      <c r="H3051" s="165">
        <v>1423500.0</v>
      </c>
      <c r="I3051" s="49">
        <v>42.0</v>
      </c>
    </row>
    <row r="3052" ht="15.75" customHeight="1">
      <c r="A3052" s="1">
        <v>5058144.0</v>
      </c>
      <c r="B3052" s="1" t="s">
        <v>740</v>
      </c>
      <c r="C3052" s="1" t="s">
        <v>7114</v>
      </c>
      <c r="D3052" s="1" t="s">
        <v>6998</v>
      </c>
      <c r="F3052" s="1" t="s">
        <v>6717</v>
      </c>
      <c r="G3052" s="1" t="str">
        <f>IFERROR(VLOOKUP(A3052,H_C!$A$2:$G$2628,7,0),"Validar HC")</f>
        <v>Validar HC</v>
      </c>
      <c r="H3052" s="165">
        <v>1423500.0</v>
      </c>
      <c r="I3052" s="49">
        <v>42.0</v>
      </c>
    </row>
    <row r="3053" ht="15.75" customHeight="1">
      <c r="A3053" s="1">
        <v>5059020.0</v>
      </c>
      <c r="B3053" s="1" t="s">
        <v>678</v>
      </c>
      <c r="C3053" s="1" t="s">
        <v>7115</v>
      </c>
      <c r="D3053" s="1" t="s">
        <v>6998</v>
      </c>
      <c r="F3053" s="1" t="s">
        <v>6717</v>
      </c>
      <c r="G3053" s="1" t="str">
        <f>IFERROR(VLOOKUP(A3053,H_C!$A$2:$G$2628,7,0),"Validar HC")</f>
        <v>Validar HC</v>
      </c>
      <c r="H3053" s="165">
        <v>1423500.0</v>
      </c>
      <c r="I3053" s="49">
        <v>42.0</v>
      </c>
    </row>
    <row r="3054" ht="15.75" customHeight="1">
      <c r="A3054" s="1">
        <v>5064687.0</v>
      </c>
      <c r="B3054" s="1" t="s">
        <v>291</v>
      </c>
      <c r="C3054" s="1" t="s">
        <v>7116</v>
      </c>
      <c r="D3054" s="1" t="s">
        <v>6998</v>
      </c>
      <c r="F3054" s="1" t="s">
        <v>6717</v>
      </c>
      <c r="G3054" s="1" t="str">
        <f>IFERROR(VLOOKUP(A3054,H_C!$A$2:$G$2628,7,0),"Validar HC")</f>
        <v>Validar HC</v>
      </c>
      <c r="H3054" s="165">
        <v>1423500.0</v>
      </c>
      <c r="I3054" s="49">
        <v>42.0</v>
      </c>
    </row>
    <row r="3055" ht="15.75" customHeight="1">
      <c r="A3055" s="1">
        <v>5068160.0</v>
      </c>
      <c r="B3055" s="1" t="s">
        <v>528</v>
      </c>
      <c r="C3055" s="1" t="s">
        <v>7117</v>
      </c>
      <c r="D3055" s="1" t="s">
        <v>6998</v>
      </c>
      <c r="F3055" s="1" t="s">
        <v>6717</v>
      </c>
      <c r="G3055" s="1" t="str">
        <f>IFERROR(VLOOKUP(A3055,H_C!$A$2:$G$2628,7,0),"Validar HC")</f>
        <v>Validar HC</v>
      </c>
      <c r="H3055" s="165">
        <v>1423500.0</v>
      </c>
      <c r="I3055" s="49">
        <v>42.0</v>
      </c>
    </row>
    <row r="3056" ht="15.75" customHeight="1">
      <c r="A3056" s="1">
        <v>5069529.0</v>
      </c>
      <c r="B3056" s="1" t="s">
        <v>1015</v>
      </c>
      <c r="C3056" s="1" t="s">
        <v>7118</v>
      </c>
      <c r="D3056" s="1" t="s">
        <v>6998</v>
      </c>
      <c r="F3056" s="1" t="s">
        <v>6717</v>
      </c>
      <c r="G3056" s="1" t="str">
        <f>IFERROR(VLOOKUP(A3056,H_C!$A$2:$G$2628,7,0),"Validar HC")</f>
        <v>Validar HC</v>
      </c>
      <c r="H3056" s="165">
        <v>1423500.0</v>
      </c>
      <c r="I3056" s="49">
        <v>42.0</v>
      </c>
    </row>
    <row r="3057" ht="15.75" customHeight="1">
      <c r="A3057" s="1">
        <v>5075099.0</v>
      </c>
      <c r="B3057" s="1" t="s">
        <v>1934</v>
      </c>
      <c r="C3057" s="1" t="s">
        <v>7119</v>
      </c>
      <c r="D3057" s="1" t="s">
        <v>6998</v>
      </c>
      <c r="F3057" s="1" t="s">
        <v>6717</v>
      </c>
      <c r="G3057" s="1" t="str">
        <f>IFERROR(VLOOKUP(A3057,H_C!$A$2:$G$2628,7,0),"Validar HC")</f>
        <v>Validar HC</v>
      </c>
      <c r="H3057" s="165">
        <v>1423500.0</v>
      </c>
      <c r="I3057" s="49">
        <v>42.0</v>
      </c>
    </row>
    <row r="3058" ht="15.75" customHeight="1">
      <c r="A3058" s="1">
        <v>5076639.0</v>
      </c>
      <c r="B3058" s="1" t="s">
        <v>843</v>
      </c>
      <c r="C3058" s="1" t="s">
        <v>7120</v>
      </c>
      <c r="D3058" s="1" t="s">
        <v>6998</v>
      </c>
      <c r="F3058" s="1" t="s">
        <v>6717</v>
      </c>
      <c r="G3058" s="1" t="str">
        <f>IFERROR(VLOOKUP(A3058,H_C!$A$2:$G$2628,7,0),"Validar HC")</f>
        <v>Validar HC</v>
      </c>
      <c r="H3058" s="165">
        <v>1423500.0</v>
      </c>
      <c r="I3058" s="49">
        <v>42.0</v>
      </c>
    </row>
    <row r="3059" ht="15.75" customHeight="1">
      <c r="A3059" s="1">
        <v>5083822.0</v>
      </c>
      <c r="B3059" s="1" t="s">
        <v>430</v>
      </c>
      <c r="C3059" s="1" t="s">
        <v>7121</v>
      </c>
      <c r="D3059" s="1" t="s">
        <v>6998</v>
      </c>
      <c r="F3059" s="1" t="s">
        <v>6717</v>
      </c>
      <c r="G3059" s="1" t="str">
        <f>IFERROR(VLOOKUP(A3059,H_C!$A$2:$G$2628,7,0),"Validar HC")</f>
        <v>Validar HC</v>
      </c>
      <c r="H3059" s="165">
        <v>1423500.0</v>
      </c>
      <c r="I3059" s="49">
        <v>42.0</v>
      </c>
    </row>
    <row r="3060" ht="15.75" customHeight="1">
      <c r="A3060" s="1">
        <v>5084965.0</v>
      </c>
      <c r="B3060" s="1" t="s">
        <v>815</v>
      </c>
      <c r="C3060" s="1" t="s">
        <v>7122</v>
      </c>
      <c r="D3060" s="1" t="s">
        <v>6998</v>
      </c>
      <c r="F3060" s="1" t="s">
        <v>6717</v>
      </c>
      <c r="G3060" s="1" t="str">
        <f>IFERROR(VLOOKUP(A3060,H_C!$A$2:$G$2628,7,0),"Validar HC")</f>
        <v>Validar HC</v>
      </c>
      <c r="H3060" s="165">
        <v>1423500.0</v>
      </c>
      <c r="I3060" s="49">
        <v>42.0</v>
      </c>
    </row>
    <row r="3061" ht="15.75" customHeight="1">
      <c r="A3061" s="1">
        <v>5088680.0</v>
      </c>
      <c r="B3061" s="1" t="s">
        <v>868</v>
      </c>
      <c r="C3061" s="1" t="s">
        <v>7123</v>
      </c>
      <c r="D3061" s="1" t="s">
        <v>6998</v>
      </c>
      <c r="F3061" s="1" t="s">
        <v>6717</v>
      </c>
      <c r="G3061" s="1" t="str">
        <f>IFERROR(VLOOKUP(A3061,H_C!$A$2:$G$2628,7,0),"Validar HC")</f>
        <v>Validar HC</v>
      </c>
      <c r="H3061" s="165">
        <v>1423500.0</v>
      </c>
      <c r="I3061" s="49">
        <v>42.0</v>
      </c>
    </row>
    <row r="3062" ht="15.75" customHeight="1">
      <c r="A3062" s="1">
        <v>5091777.0</v>
      </c>
      <c r="B3062" s="1" t="s">
        <v>2629</v>
      </c>
      <c r="C3062" s="1" t="s">
        <v>7124</v>
      </c>
      <c r="D3062" s="1" t="s">
        <v>6998</v>
      </c>
      <c r="F3062" s="1" t="s">
        <v>6717</v>
      </c>
      <c r="G3062" s="1" t="str">
        <f>IFERROR(VLOOKUP(A3062,H_C!$A$2:$G$2628,7,0),"Validar HC")</f>
        <v>Validar HC</v>
      </c>
      <c r="H3062" s="165">
        <v>1423500.0</v>
      </c>
      <c r="I3062" s="49">
        <v>42.0</v>
      </c>
    </row>
    <row r="3063" ht="15.75" customHeight="1">
      <c r="A3063" s="1">
        <v>5107809.0</v>
      </c>
      <c r="B3063" s="1" t="s">
        <v>557</v>
      </c>
      <c r="C3063" s="1" t="s">
        <v>7125</v>
      </c>
      <c r="D3063" s="1" t="s">
        <v>6998</v>
      </c>
      <c r="F3063" s="1" t="s">
        <v>6717</v>
      </c>
      <c r="G3063" s="1" t="str">
        <f>IFERROR(VLOOKUP(A3063,H_C!$A$2:$G$2628,7,0),"Validar HC")</f>
        <v>Validar HC</v>
      </c>
      <c r="H3063" s="165">
        <v>1423500.0</v>
      </c>
      <c r="I3063" s="49">
        <v>42.0</v>
      </c>
    </row>
    <row r="3064" ht="15.75" customHeight="1">
      <c r="A3064" s="1">
        <v>5119676.0</v>
      </c>
      <c r="B3064" s="1" t="s">
        <v>697</v>
      </c>
      <c r="C3064" s="1" t="s">
        <v>7126</v>
      </c>
      <c r="D3064" s="1" t="s">
        <v>6998</v>
      </c>
      <c r="F3064" s="1" t="s">
        <v>6717</v>
      </c>
      <c r="G3064" s="1" t="str">
        <f>IFERROR(VLOOKUP(A3064,H_C!$A$2:$G$2628,7,0),"Validar HC")</f>
        <v>Validar HC</v>
      </c>
      <c r="H3064" s="165">
        <v>1423500.0</v>
      </c>
      <c r="I3064" s="49">
        <v>42.0</v>
      </c>
    </row>
    <row r="3065" ht="15.75" customHeight="1">
      <c r="A3065" s="1">
        <v>5132806.0</v>
      </c>
      <c r="B3065" s="1" t="s">
        <v>499</v>
      </c>
      <c r="C3065" s="1" t="s">
        <v>7127</v>
      </c>
      <c r="D3065" s="1" t="s">
        <v>6998</v>
      </c>
      <c r="F3065" s="1" t="s">
        <v>6717</v>
      </c>
      <c r="G3065" s="1" t="str">
        <f>IFERROR(VLOOKUP(A3065,H_C!$A$2:$G$2628,7,0),"Validar HC")</f>
        <v>Validar HC</v>
      </c>
      <c r="H3065" s="165">
        <v>1423500.0</v>
      </c>
      <c r="I3065" s="49">
        <v>42.0</v>
      </c>
    </row>
    <row r="3066" ht="15.75" customHeight="1">
      <c r="A3066" s="1">
        <v>5140252.0</v>
      </c>
      <c r="B3066" s="1" t="s">
        <v>3417</v>
      </c>
      <c r="C3066" s="1" t="s">
        <v>7128</v>
      </c>
      <c r="D3066" s="1" t="s">
        <v>6998</v>
      </c>
      <c r="F3066" s="1" t="s">
        <v>6717</v>
      </c>
      <c r="G3066" s="1" t="str">
        <f>IFERROR(VLOOKUP(A3066,H_C!$A$2:$G$2628,7,0),"Validar HC")</f>
        <v>Validar HC</v>
      </c>
      <c r="H3066" s="165">
        <v>1423500.0</v>
      </c>
      <c r="I3066" s="49">
        <v>42.0</v>
      </c>
    </row>
    <row r="3067" ht="15.75" customHeight="1">
      <c r="A3067" s="1">
        <v>5141710.0</v>
      </c>
      <c r="B3067" s="1" t="s">
        <v>1453</v>
      </c>
      <c r="C3067" s="1" t="s">
        <v>7129</v>
      </c>
      <c r="D3067" s="1" t="s">
        <v>6998</v>
      </c>
      <c r="F3067" s="1" t="s">
        <v>6717</v>
      </c>
      <c r="G3067" s="1" t="str">
        <f>IFERROR(VLOOKUP(A3067,H_C!$A$2:$G$2628,7,0),"Validar HC")</f>
        <v>Validar HC</v>
      </c>
      <c r="H3067" s="165">
        <v>1423500.0</v>
      </c>
      <c r="I3067" s="49">
        <v>42.0</v>
      </c>
    </row>
    <row r="3068" ht="15.75" customHeight="1">
      <c r="A3068" s="1">
        <v>5161680.0</v>
      </c>
      <c r="B3068" s="1" t="s">
        <v>493</v>
      </c>
      <c r="C3068" s="1" t="s">
        <v>7130</v>
      </c>
      <c r="D3068" s="1" t="s">
        <v>6998</v>
      </c>
      <c r="F3068" s="1" t="s">
        <v>6717</v>
      </c>
      <c r="G3068" s="1" t="str">
        <f>IFERROR(VLOOKUP(A3068,H_C!$A$2:$G$2628,7,0),"Validar HC")</f>
        <v>Validar HC</v>
      </c>
      <c r="H3068" s="165">
        <v>1423500.0</v>
      </c>
      <c r="I3068" s="49">
        <v>42.0</v>
      </c>
    </row>
    <row r="3069" ht="15.75" customHeight="1">
      <c r="A3069" s="1">
        <v>5171374.0</v>
      </c>
      <c r="B3069" s="1" t="s">
        <v>1859</v>
      </c>
      <c r="C3069" s="1" t="s">
        <v>7131</v>
      </c>
      <c r="D3069" s="1" t="s">
        <v>6998</v>
      </c>
      <c r="F3069" s="1" t="s">
        <v>6717</v>
      </c>
      <c r="G3069" s="1" t="str">
        <f>IFERROR(VLOOKUP(A3069,H_C!$A$2:$G$2628,7,0),"Validar HC")</f>
        <v>Validar HC</v>
      </c>
      <c r="H3069" s="165">
        <v>1423500.0</v>
      </c>
      <c r="I3069" s="49">
        <v>42.0</v>
      </c>
    </row>
    <row r="3070" ht="15.75" customHeight="1">
      <c r="A3070" s="1">
        <v>5179054.0</v>
      </c>
      <c r="B3070" s="1" t="s">
        <v>551</v>
      </c>
      <c r="C3070" s="1" t="s">
        <v>7132</v>
      </c>
      <c r="D3070" s="1" t="s">
        <v>6998</v>
      </c>
      <c r="F3070" s="1" t="s">
        <v>6717</v>
      </c>
      <c r="G3070" s="1" t="str">
        <f>IFERROR(VLOOKUP(A3070,H_C!$A$2:$G$2628,7,0),"Validar HC")</f>
        <v>Validar HC</v>
      </c>
      <c r="H3070" s="165">
        <v>1423500.0</v>
      </c>
      <c r="I3070" s="49">
        <v>42.0</v>
      </c>
    </row>
    <row r="3071" ht="15.75" customHeight="1">
      <c r="A3071" s="1">
        <v>5242518.0</v>
      </c>
      <c r="B3071" s="1" t="s">
        <v>1328</v>
      </c>
      <c r="C3071" s="1" t="s">
        <v>7133</v>
      </c>
      <c r="D3071" s="1" t="s">
        <v>6998</v>
      </c>
      <c r="F3071" s="1" t="s">
        <v>6717</v>
      </c>
      <c r="G3071" s="1" t="str">
        <f>IFERROR(VLOOKUP(A3071,H_C!$A$2:$G$2628,7,0),"Validar HC")</f>
        <v>Validar HC</v>
      </c>
      <c r="H3071" s="165">
        <v>1423500.0</v>
      </c>
      <c r="I3071" s="49">
        <v>42.0</v>
      </c>
    </row>
    <row r="3072" ht="15.75" customHeight="1">
      <c r="A3072" s="1">
        <v>5263444.0</v>
      </c>
      <c r="B3072" s="1" t="s">
        <v>265</v>
      </c>
      <c r="C3072" s="1" t="s">
        <v>7134</v>
      </c>
      <c r="D3072" s="1" t="s">
        <v>6998</v>
      </c>
      <c r="F3072" s="1" t="s">
        <v>6717</v>
      </c>
      <c r="G3072" s="1" t="str">
        <f>IFERROR(VLOOKUP(A3072,H_C!$A$2:$G$2628,7,0),"Validar HC")</f>
        <v>Validar HC</v>
      </c>
      <c r="H3072" s="165">
        <v>1423500.0</v>
      </c>
      <c r="I3072" s="49">
        <v>42.0</v>
      </c>
    </row>
    <row r="3073" ht="15.75" customHeight="1">
      <c r="A3073" s="1">
        <v>5268071.0</v>
      </c>
      <c r="B3073" s="1" t="s">
        <v>1510</v>
      </c>
      <c r="C3073" s="1" t="s">
        <v>7135</v>
      </c>
      <c r="D3073" s="1" t="s">
        <v>6998</v>
      </c>
      <c r="F3073" s="1" t="s">
        <v>6717</v>
      </c>
      <c r="G3073" s="1" t="str">
        <f>IFERROR(VLOOKUP(A3073,H_C!$A$2:$G$2628,7,0),"Validar HC")</f>
        <v>Validar HC</v>
      </c>
      <c r="H3073" s="165">
        <v>1423500.0</v>
      </c>
      <c r="I3073" s="49">
        <v>42.0</v>
      </c>
    </row>
    <row r="3074" ht="15.75" customHeight="1">
      <c r="A3074" s="1">
        <v>5297859.0</v>
      </c>
      <c r="B3074" s="1" t="s">
        <v>796</v>
      </c>
      <c r="C3074" s="1" t="s">
        <v>7136</v>
      </c>
      <c r="D3074" s="1" t="s">
        <v>6998</v>
      </c>
      <c r="F3074" s="1" t="s">
        <v>6717</v>
      </c>
      <c r="G3074" s="1" t="str">
        <f>IFERROR(VLOOKUP(A3074,H_C!$A$2:$G$2628,7,0),"Validar HC")</f>
        <v>Validar HC</v>
      </c>
      <c r="H3074" s="165">
        <v>1423500.0</v>
      </c>
      <c r="I3074" s="49">
        <v>42.0</v>
      </c>
    </row>
    <row r="3075" ht="15.75" customHeight="1">
      <c r="A3075" s="1">
        <v>5317826.0</v>
      </c>
      <c r="B3075" s="1" t="s">
        <v>443</v>
      </c>
      <c r="C3075" s="1" t="s">
        <v>7137</v>
      </c>
      <c r="D3075" s="1" t="s">
        <v>6998</v>
      </c>
      <c r="F3075" s="1" t="s">
        <v>6717</v>
      </c>
      <c r="G3075" s="1" t="str">
        <f>IFERROR(VLOOKUP(A3075,H_C!$A$2:$G$2628,7,0),"Validar HC")</f>
        <v>Validar HC</v>
      </c>
      <c r="H3075" s="165">
        <v>1423500.0</v>
      </c>
      <c r="I3075" s="49">
        <v>42.0</v>
      </c>
    </row>
    <row r="3076" ht="15.75" customHeight="1">
      <c r="A3076" s="1">
        <v>5359940.0</v>
      </c>
      <c r="B3076" s="1" t="s">
        <v>357</v>
      </c>
      <c r="C3076" s="1" t="s">
        <v>7138</v>
      </c>
      <c r="D3076" s="1" t="s">
        <v>6998</v>
      </c>
      <c r="F3076" s="1" t="s">
        <v>6717</v>
      </c>
      <c r="G3076" s="1" t="str">
        <f>IFERROR(VLOOKUP(A3076,H_C!$A$2:$G$2628,7,0),"Validar HC")</f>
        <v>Validar HC</v>
      </c>
      <c r="H3076" s="165">
        <v>1423500.0</v>
      </c>
      <c r="I3076" s="49">
        <v>42.0</v>
      </c>
    </row>
    <row r="3077" ht="15.75" customHeight="1">
      <c r="A3077" s="1">
        <v>5365395.0</v>
      </c>
      <c r="B3077" s="1" t="s">
        <v>532</v>
      </c>
      <c r="C3077" s="1" t="s">
        <v>7139</v>
      </c>
      <c r="D3077" s="1" t="s">
        <v>6998</v>
      </c>
      <c r="F3077" s="1" t="s">
        <v>6717</v>
      </c>
      <c r="G3077" s="1" t="str">
        <f>IFERROR(VLOOKUP(A3077,H_C!$A$2:$G$2628,7,0),"Validar HC")</f>
        <v>Validar HC</v>
      </c>
      <c r="H3077" s="165">
        <v>1423500.0</v>
      </c>
      <c r="I3077" s="49">
        <v>42.0</v>
      </c>
    </row>
    <row r="3078" ht="15.75" customHeight="1">
      <c r="A3078" s="1">
        <v>5426239.0</v>
      </c>
      <c r="B3078" s="1" t="s">
        <v>1237</v>
      </c>
      <c r="C3078" s="1" t="s">
        <v>7140</v>
      </c>
      <c r="D3078" s="1" t="s">
        <v>6998</v>
      </c>
      <c r="F3078" s="1" t="s">
        <v>6717</v>
      </c>
      <c r="G3078" s="1" t="str">
        <f>IFERROR(VLOOKUP(A3078,H_C!$A$2:$G$2628,7,0),"Validar HC")</f>
        <v>Validar HC</v>
      </c>
      <c r="H3078" s="165">
        <v>1423500.0</v>
      </c>
      <c r="I3078" s="49">
        <v>42.0</v>
      </c>
    </row>
    <row r="3079" ht="15.75" customHeight="1">
      <c r="A3079" s="1">
        <v>5480706.0</v>
      </c>
      <c r="B3079" s="1" t="s">
        <v>7141</v>
      </c>
      <c r="C3079" s="1" t="s">
        <v>4253</v>
      </c>
      <c r="D3079" s="1" t="s">
        <v>6998</v>
      </c>
      <c r="F3079" s="1" t="s">
        <v>6717</v>
      </c>
      <c r="G3079" s="1" t="str">
        <f>IFERROR(VLOOKUP(A3079,H_C!$A$2:$G$2628,7,0),"Validar HC")</f>
        <v>Celi, Juan</v>
      </c>
      <c r="H3079" s="165">
        <v>1423500.0</v>
      </c>
      <c r="I3079" s="49">
        <v>42.0</v>
      </c>
    </row>
    <row r="3080" ht="15.75" customHeight="1">
      <c r="A3080" s="1">
        <v>5495236.0</v>
      </c>
      <c r="B3080" s="1" t="s">
        <v>583</v>
      </c>
      <c r="C3080" s="1" t="s">
        <v>7142</v>
      </c>
      <c r="D3080" s="1" t="s">
        <v>6998</v>
      </c>
      <c r="F3080" s="1" t="s">
        <v>6717</v>
      </c>
      <c r="G3080" s="1" t="str">
        <f>IFERROR(VLOOKUP(A3080,H_C!$A$2:$G$2628,7,0),"Validar HC")</f>
        <v>Validar HC</v>
      </c>
      <c r="H3080" s="165">
        <v>1423500.0</v>
      </c>
      <c r="I3080" s="49">
        <v>42.0</v>
      </c>
    </row>
    <row r="3081" ht="15.75" customHeight="1">
      <c r="A3081" s="1">
        <v>5533374.0</v>
      </c>
      <c r="B3081" s="1" t="s">
        <v>1062</v>
      </c>
      <c r="C3081" s="1" t="s">
        <v>7143</v>
      </c>
      <c r="D3081" s="1" t="s">
        <v>6998</v>
      </c>
      <c r="F3081" s="1" t="s">
        <v>6717</v>
      </c>
      <c r="G3081" s="1" t="str">
        <f>IFERROR(VLOOKUP(A3081,H_C!$A$2:$G$2628,7,0),"Validar HC")</f>
        <v>Validar HC</v>
      </c>
      <c r="H3081" s="165">
        <v>1423500.0</v>
      </c>
      <c r="I3081" s="49">
        <v>42.0</v>
      </c>
    </row>
    <row r="3082" ht="15.75" customHeight="1">
      <c r="A3082" s="1">
        <v>5787678.0</v>
      </c>
      <c r="B3082" s="1" t="s">
        <v>2181</v>
      </c>
      <c r="C3082" s="1" t="s">
        <v>7144</v>
      </c>
      <c r="D3082" s="1" t="s">
        <v>6998</v>
      </c>
      <c r="F3082" s="1" t="s">
        <v>6717</v>
      </c>
      <c r="G3082" s="1" t="str">
        <f>IFERROR(VLOOKUP(A3082,H_C!$A$2:$G$2628,7,0),"Validar HC")</f>
        <v>Validar HC</v>
      </c>
      <c r="H3082" s="165">
        <v>1423500.0</v>
      </c>
      <c r="I3082" s="49">
        <v>42.0</v>
      </c>
    </row>
    <row r="3083" ht="15.75" customHeight="1">
      <c r="A3083" s="1">
        <v>5870375.0</v>
      </c>
      <c r="B3083" s="1" t="s">
        <v>2307</v>
      </c>
      <c r="C3083" s="1" t="s">
        <v>7145</v>
      </c>
      <c r="D3083" s="1" t="s">
        <v>6998</v>
      </c>
      <c r="F3083" s="1" t="s">
        <v>6717</v>
      </c>
      <c r="G3083" s="1" t="str">
        <f>IFERROR(VLOOKUP(A3083,H_C!$A$2:$G$2628,7,0),"Validar HC")</f>
        <v>Validar HC</v>
      </c>
      <c r="H3083" s="165">
        <v>1423500.0</v>
      </c>
      <c r="I3083" s="49">
        <v>42.0</v>
      </c>
    </row>
    <row r="3084" ht="15.75" customHeight="1">
      <c r="A3084" s="1">
        <v>1584677.0</v>
      </c>
      <c r="B3084" s="1" t="s">
        <v>327</v>
      </c>
      <c r="C3084" s="1" t="s">
        <v>5790</v>
      </c>
      <c r="D3084" s="1" t="s">
        <v>218</v>
      </c>
      <c r="H3084" s="165"/>
    </row>
    <row r="3085" ht="15.75" customHeight="1">
      <c r="A3085" s="1">
        <v>1808990.0</v>
      </c>
      <c r="B3085" s="1" t="s">
        <v>227</v>
      </c>
      <c r="C3085" s="1" t="s">
        <v>6201</v>
      </c>
      <c r="D3085" s="1" t="s">
        <v>218</v>
      </c>
      <c r="H3085" s="165"/>
    </row>
    <row r="3086" ht="15.75" customHeight="1">
      <c r="A3086" s="1">
        <v>1959108.0</v>
      </c>
      <c r="B3086" s="1" t="s">
        <v>250</v>
      </c>
      <c r="C3086" s="1" t="s">
        <v>6458</v>
      </c>
      <c r="D3086" s="1" t="s">
        <v>218</v>
      </c>
      <c r="H3086" s="165"/>
    </row>
    <row r="3087" ht="15.75" customHeight="1">
      <c r="A3087" s="1">
        <v>2190884.0</v>
      </c>
      <c r="B3087" s="1" t="s">
        <v>5812</v>
      </c>
      <c r="C3087" s="1" t="s">
        <v>5849</v>
      </c>
      <c r="D3087" s="1" t="s">
        <v>218</v>
      </c>
      <c r="H3087" s="165"/>
    </row>
    <row r="3088" ht="15.75" customHeight="1">
      <c r="A3088" s="1">
        <v>2359405.0</v>
      </c>
      <c r="B3088" s="1" t="s">
        <v>541</v>
      </c>
      <c r="C3088" s="1" t="s">
        <v>5919</v>
      </c>
      <c r="D3088" s="1" t="s">
        <v>218</v>
      </c>
      <c r="H3088" s="165"/>
    </row>
    <row r="3089" ht="15.75" customHeight="1">
      <c r="A3089" s="1">
        <v>2786618.0</v>
      </c>
      <c r="B3089" s="1" t="s">
        <v>258</v>
      </c>
      <c r="C3089" s="1" t="s">
        <v>5951</v>
      </c>
      <c r="D3089" s="1" t="s">
        <v>218</v>
      </c>
      <c r="H3089" s="165"/>
    </row>
    <row r="3090" ht="15.75" customHeight="1">
      <c r="A3090" s="1">
        <v>3161751.0</v>
      </c>
      <c r="B3090" s="1" t="s">
        <v>285</v>
      </c>
      <c r="C3090" s="1" t="s">
        <v>6031</v>
      </c>
      <c r="D3090" s="1" t="s">
        <v>218</v>
      </c>
      <c r="H3090" s="165"/>
    </row>
    <row r="3091" ht="15.75" customHeight="1">
      <c r="A3091" s="1">
        <v>3354355.0</v>
      </c>
      <c r="B3091" s="1" t="s">
        <v>301</v>
      </c>
      <c r="C3091" s="1" t="s">
        <v>6064</v>
      </c>
      <c r="D3091" s="1" t="s">
        <v>218</v>
      </c>
      <c r="H3091" s="165"/>
    </row>
    <row r="3092" ht="15.75" customHeight="1">
      <c r="H3092" s="162"/>
    </row>
    <row r="3093" ht="15.75" customHeight="1">
      <c r="H3093" s="162"/>
    </row>
    <row r="3094" ht="15.75" customHeight="1">
      <c r="H3094" s="162"/>
    </row>
    <row r="3095" ht="15.75" customHeight="1">
      <c r="H3095" s="162"/>
    </row>
    <row r="3096" ht="15.75" customHeight="1">
      <c r="H3096" s="162"/>
    </row>
    <row r="3097" ht="15.75" customHeight="1">
      <c r="H3097" s="162"/>
    </row>
    <row r="3098" ht="15.75" customHeight="1">
      <c r="H3098" s="162"/>
    </row>
    <row r="3099" ht="15.75" customHeight="1">
      <c r="H3099" s="162"/>
    </row>
    <row r="3100" ht="15.75" customHeight="1">
      <c r="H3100" s="162"/>
    </row>
    <row r="3101" ht="15.75" customHeight="1">
      <c r="H3101" s="162"/>
    </row>
    <row r="3102" ht="15.75" customHeight="1">
      <c r="H3102" s="162"/>
    </row>
    <row r="3103" ht="15.75" customHeight="1">
      <c r="H3103" s="162"/>
    </row>
    <row r="3104" ht="15.75" customHeight="1">
      <c r="H3104" s="162"/>
    </row>
    <row r="3105" ht="15.75" customHeight="1">
      <c r="H3105" s="162"/>
    </row>
    <row r="3106" ht="15.75" customHeight="1">
      <c r="H3106" s="162"/>
    </row>
    <row r="3107" ht="15.75" customHeight="1">
      <c r="H3107" s="162"/>
    </row>
    <row r="3108" ht="15.75" customHeight="1">
      <c r="H3108" s="162"/>
    </row>
    <row r="3109" ht="15.75" customHeight="1">
      <c r="H3109" s="162"/>
    </row>
    <row r="3110" ht="15.75" customHeight="1">
      <c r="H3110" s="162"/>
    </row>
    <row r="3111" ht="15.75" customHeight="1">
      <c r="H3111" s="162"/>
    </row>
    <row r="3112" ht="15.75" customHeight="1">
      <c r="H3112" s="162"/>
    </row>
    <row r="3113" ht="15.75" customHeight="1">
      <c r="H3113" s="162"/>
    </row>
    <row r="3114" ht="15.75" customHeight="1">
      <c r="H3114" s="162"/>
    </row>
    <row r="3115" ht="15.75" customHeight="1">
      <c r="H3115" s="162"/>
    </row>
    <row r="3116" ht="15.75" customHeight="1">
      <c r="H3116" s="162"/>
    </row>
    <row r="3117" ht="15.75" customHeight="1">
      <c r="H3117" s="162"/>
    </row>
    <row r="3118" ht="15.75" customHeight="1">
      <c r="H3118" s="162"/>
    </row>
    <row r="3119" ht="15.75" customHeight="1">
      <c r="H3119" s="162"/>
    </row>
    <row r="3120" ht="15.75" customHeight="1">
      <c r="H3120" s="162"/>
    </row>
    <row r="3121" ht="15.75" customHeight="1">
      <c r="H3121" s="162"/>
    </row>
    <row r="3122" ht="15.75" customHeight="1">
      <c r="H3122" s="162"/>
    </row>
    <row r="3123" ht="15.75" customHeight="1">
      <c r="H3123" s="162"/>
    </row>
    <row r="3124" ht="15.75" customHeight="1">
      <c r="H3124" s="162"/>
    </row>
    <row r="3125" ht="15.75" customHeight="1">
      <c r="H3125" s="162"/>
    </row>
    <row r="3126" ht="15.75" customHeight="1">
      <c r="H3126" s="162"/>
    </row>
    <row r="3127" ht="15.75" customHeight="1">
      <c r="H3127" s="162"/>
    </row>
    <row r="3128" ht="15.75" customHeight="1">
      <c r="H3128" s="162"/>
    </row>
    <row r="3129" ht="15.75" customHeight="1">
      <c r="H3129" s="162"/>
    </row>
    <row r="3130" ht="15.75" customHeight="1">
      <c r="H3130" s="162"/>
    </row>
    <row r="3131" ht="15.75" customHeight="1">
      <c r="H3131" s="162"/>
    </row>
    <row r="3132" ht="15.75" customHeight="1">
      <c r="H3132" s="162"/>
    </row>
    <row r="3133" ht="15.75" customHeight="1">
      <c r="H3133" s="162"/>
    </row>
    <row r="3134" ht="15.75" customHeight="1">
      <c r="H3134" s="162"/>
    </row>
    <row r="3135" ht="15.75" customHeight="1">
      <c r="H3135" s="162"/>
    </row>
    <row r="3136" ht="15.75" customHeight="1">
      <c r="H3136" s="162"/>
    </row>
    <row r="3137" ht="15.75" customHeight="1">
      <c r="H3137" s="162"/>
    </row>
    <row r="3138" ht="15.75" customHeight="1">
      <c r="H3138" s="162"/>
    </row>
    <row r="3139" ht="15.75" customHeight="1">
      <c r="H3139" s="162"/>
    </row>
    <row r="3140" ht="15.75" customHeight="1">
      <c r="H3140" s="162"/>
    </row>
    <row r="3141" ht="15.75" customHeight="1">
      <c r="H3141" s="162"/>
    </row>
    <row r="3142" ht="15.75" customHeight="1">
      <c r="H3142" s="162"/>
    </row>
    <row r="3143" ht="15.75" customHeight="1">
      <c r="H3143" s="162"/>
    </row>
    <row r="3144" ht="15.75" customHeight="1">
      <c r="H3144" s="162"/>
    </row>
    <row r="3145" ht="15.75" customHeight="1">
      <c r="H3145" s="162"/>
    </row>
    <row r="3146" ht="15.75" customHeight="1">
      <c r="H3146" s="162"/>
    </row>
    <row r="3147" ht="15.75" customHeight="1">
      <c r="H3147" s="162"/>
    </row>
    <row r="3148" ht="15.75" customHeight="1">
      <c r="H3148" s="162"/>
    </row>
    <row r="3149" ht="15.75" customHeight="1">
      <c r="H3149" s="162"/>
    </row>
    <row r="3150" ht="15.75" customHeight="1">
      <c r="H3150" s="162"/>
    </row>
    <row r="3151" ht="15.75" customHeight="1">
      <c r="H3151" s="162"/>
    </row>
    <row r="3152" ht="15.75" customHeight="1">
      <c r="H3152" s="162"/>
    </row>
    <row r="3153" ht="15.75" customHeight="1">
      <c r="H3153" s="162"/>
    </row>
    <row r="3154" ht="15.75" customHeight="1">
      <c r="H3154" s="162"/>
    </row>
    <row r="3155" ht="15.75" customHeight="1">
      <c r="H3155" s="162"/>
    </row>
    <row r="3156" ht="15.75" customHeight="1">
      <c r="H3156" s="162"/>
    </row>
    <row r="3157" ht="15.75" customHeight="1">
      <c r="H3157" s="162"/>
    </row>
    <row r="3158" ht="15.75" customHeight="1">
      <c r="H3158" s="162"/>
    </row>
    <row r="3159" ht="15.75" customHeight="1">
      <c r="H3159" s="162"/>
    </row>
    <row r="3160" ht="15.75" customHeight="1">
      <c r="H3160" s="162"/>
    </row>
    <row r="3161" ht="15.75" customHeight="1">
      <c r="H3161" s="162"/>
    </row>
    <row r="3162" ht="15.75" customHeight="1">
      <c r="H3162" s="162"/>
    </row>
    <row r="3163" ht="15.75" customHeight="1">
      <c r="H3163" s="162"/>
    </row>
    <row r="3164" ht="15.75" customHeight="1">
      <c r="H3164" s="162"/>
    </row>
    <row r="3165" ht="15.75" customHeight="1">
      <c r="H3165" s="162"/>
    </row>
    <row r="3166" ht="15.75" customHeight="1">
      <c r="H3166" s="162"/>
    </row>
    <row r="3167" ht="15.75" customHeight="1">
      <c r="H3167" s="162"/>
    </row>
    <row r="3168" ht="15.75" customHeight="1">
      <c r="H3168" s="162"/>
    </row>
    <row r="3169" ht="15.75" customHeight="1">
      <c r="H3169" s="162"/>
    </row>
    <row r="3170" ht="15.75" customHeight="1">
      <c r="H3170" s="162"/>
    </row>
    <row r="3171" ht="15.75" customHeight="1">
      <c r="H3171" s="162"/>
    </row>
    <row r="3172" ht="15.75" customHeight="1">
      <c r="H3172" s="162"/>
    </row>
    <row r="3173" ht="15.75" customHeight="1">
      <c r="H3173" s="162"/>
    </row>
    <row r="3174" ht="15.75" customHeight="1">
      <c r="H3174" s="162"/>
    </row>
    <row r="3175" ht="15.75" customHeight="1">
      <c r="H3175" s="162"/>
    </row>
    <row r="3176" ht="15.75" customHeight="1">
      <c r="H3176" s="162"/>
    </row>
    <row r="3177" ht="15.75" customHeight="1">
      <c r="H3177" s="162"/>
    </row>
    <row r="3178" ht="15.75" customHeight="1">
      <c r="H3178" s="162"/>
    </row>
    <row r="3179" ht="15.75" customHeight="1">
      <c r="H3179" s="162"/>
    </row>
    <row r="3180" ht="15.75" customHeight="1">
      <c r="H3180" s="162"/>
    </row>
    <row r="3181" ht="15.75" customHeight="1">
      <c r="H3181" s="162"/>
    </row>
    <row r="3182" ht="15.75" customHeight="1">
      <c r="H3182" s="162"/>
    </row>
    <row r="3183" ht="15.75" customHeight="1">
      <c r="H3183" s="162"/>
    </row>
    <row r="3184" ht="15.75" customHeight="1">
      <c r="H3184" s="162"/>
    </row>
    <row r="3185" ht="15.75" customHeight="1">
      <c r="H3185" s="162"/>
    </row>
    <row r="3186" ht="15.75" customHeight="1">
      <c r="H3186" s="162"/>
    </row>
    <row r="3187" ht="15.75" customHeight="1">
      <c r="H3187" s="162"/>
    </row>
    <row r="3188" ht="15.75" customHeight="1">
      <c r="H3188" s="162"/>
    </row>
    <row r="3189" ht="15.75" customHeight="1">
      <c r="H3189" s="162"/>
    </row>
    <row r="3190" ht="15.75" customHeight="1">
      <c r="H3190" s="162"/>
    </row>
    <row r="3191" ht="15.75" customHeight="1">
      <c r="H3191" s="162"/>
    </row>
    <row r="3192" ht="15.75" customHeight="1">
      <c r="H3192" s="162"/>
    </row>
    <row r="3193" ht="15.75" customHeight="1">
      <c r="H3193" s="162"/>
    </row>
    <row r="3194" ht="15.75" customHeight="1">
      <c r="H3194" s="162"/>
    </row>
    <row r="3195" ht="15.75" customHeight="1">
      <c r="H3195" s="162"/>
    </row>
    <row r="3196" ht="15.75" customHeight="1">
      <c r="H3196" s="162"/>
    </row>
    <row r="3197" ht="15.75" customHeight="1">
      <c r="H3197" s="162"/>
    </row>
    <row r="3198" ht="15.75" customHeight="1">
      <c r="H3198" s="162"/>
    </row>
    <row r="3199" ht="15.75" customHeight="1">
      <c r="H3199" s="162"/>
    </row>
    <row r="3200" ht="15.75" customHeight="1">
      <c r="H3200" s="162"/>
    </row>
    <row r="3201" ht="15.75" customHeight="1">
      <c r="H3201" s="162"/>
    </row>
    <row r="3202" ht="15.75" customHeight="1">
      <c r="H3202" s="162"/>
    </row>
    <row r="3203" ht="15.75" customHeight="1">
      <c r="H3203" s="162"/>
    </row>
    <row r="3204" ht="15.75" customHeight="1">
      <c r="H3204" s="162"/>
    </row>
    <row r="3205" ht="15.75" customHeight="1">
      <c r="H3205" s="162"/>
    </row>
    <row r="3206" ht="15.75" customHeight="1">
      <c r="H3206" s="162"/>
    </row>
    <row r="3207" ht="15.75" customHeight="1">
      <c r="H3207" s="162"/>
    </row>
    <row r="3208" ht="15.75" customHeight="1">
      <c r="H3208" s="162"/>
    </row>
    <row r="3209" ht="15.75" customHeight="1">
      <c r="H3209" s="162"/>
    </row>
    <row r="3210" ht="15.75" customHeight="1">
      <c r="H3210" s="162"/>
    </row>
    <row r="3211" ht="15.75" customHeight="1">
      <c r="H3211" s="162"/>
    </row>
    <row r="3212" ht="15.75" customHeight="1">
      <c r="H3212" s="162"/>
    </row>
    <row r="3213" ht="15.75" customHeight="1">
      <c r="H3213" s="162"/>
    </row>
    <row r="3214" ht="15.75" customHeight="1">
      <c r="H3214" s="162"/>
    </row>
    <row r="3215" ht="15.75" customHeight="1">
      <c r="H3215" s="162"/>
    </row>
    <row r="3216" ht="15.75" customHeight="1">
      <c r="H3216" s="162"/>
    </row>
    <row r="3217" ht="15.75" customHeight="1">
      <c r="H3217" s="162"/>
    </row>
    <row r="3218" ht="15.75" customHeight="1">
      <c r="H3218" s="162"/>
    </row>
    <row r="3219" ht="15.75" customHeight="1">
      <c r="H3219" s="162"/>
    </row>
    <row r="3220" ht="15.75" customHeight="1">
      <c r="H3220" s="162"/>
    </row>
    <row r="3221" ht="15.75" customHeight="1">
      <c r="H3221" s="162"/>
    </row>
    <row r="3222" ht="15.75" customHeight="1">
      <c r="H3222" s="162"/>
    </row>
    <row r="3223" ht="15.75" customHeight="1">
      <c r="H3223" s="162"/>
    </row>
    <row r="3224" ht="15.75" customHeight="1">
      <c r="H3224" s="162"/>
    </row>
    <row r="3225" ht="15.75" customHeight="1">
      <c r="H3225" s="162"/>
    </row>
    <row r="3226" ht="15.75" customHeight="1">
      <c r="H3226" s="162"/>
    </row>
    <row r="3227" ht="15.75" customHeight="1">
      <c r="H3227" s="162"/>
    </row>
    <row r="3228" ht="15.75" customHeight="1">
      <c r="H3228" s="162"/>
    </row>
    <row r="3229" ht="15.75" customHeight="1">
      <c r="H3229" s="162"/>
    </row>
    <row r="3230" ht="15.75" customHeight="1">
      <c r="H3230" s="162"/>
    </row>
    <row r="3231" ht="15.75" customHeight="1">
      <c r="H3231" s="162"/>
    </row>
    <row r="3232" ht="15.75" customHeight="1">
      <c r="H3232" s="162"/>
    </row>
    <row r="3233" ht="15.75" customHeight="1">
      <c r="H3233" s="162"/>
    </row>
    <row r="3234" ht="15.75" customHeight="1">
      <c r="H3234" s="162"/>
    </row>
    <row r="3235" ht="15.75" customHeight="1">
      <c r="H3235" s="162"/>
    </row>
    <row r="3236" ht="15.75" customHeight="1">
      <c r="H3236" s="162"/>
    </row>
    <row r="3237" ht="15.75" customHeight="1">
      <c r="H3237" s="162"/>
    </row>
    <row r="3238" ht="15.75" customHeight="1">
      <c r="H3238" s="162"/>
    </row>
    <row r="3239" ht="15.75" customHeight="1">
      <c r="H3239" s="162"/>
    </row>
    <row r="3240" ht="15.75" customHeight="1">
      <c r="H3240" s="162"/>
    </row>
    <row r="3241" ht="15.75" customHeight="1">
      <c r="H3241" s="162"/>
    </row>
    <row r="3242" ht="15.75" customHeight="1">
      <c r="H3242" s="162"/>
    </row>
    <row r="3243" ht="15.75" customHeight="1">
      <c r="H3243" s="162"/>
    </row>
    <row r="3244" ht="15.75" customHeight="1">
      <c r="H3244" s="162"/>
    </row>
    <row r="3245" ht="15.75" customHeight="1">
      <c r="H3245" s="162"/>
    </row>
    <row r="3246" ht="15.75" customHeight="1">
      <c r="H3246" s="162"/>
    </row>
    <row r="3247" ht="15.75" customHeight="1">
      <c r="H3247" s="162"/>
    </row>
    <row r="3248" ht="15.75" customHeight="1">
      <c r="H3248" s="162"/>
    </row>
    <row r="3249" ht="15.75" customHeight="1">
      <c r="H3249" s="162"/>
    </row>
    <row r="3250" ht="15.75" customHeight="1">
      <c r="H3250" s="162"/>
    </row>
    <row r="3251" ht="15.75" customHeight="1">
      <c r="H3251" s="162"/>
    </row>
    <row r="3252" ht="15.75" customHeight="1">
      <c r="H3252" s="162"/>
    </row>
    <row r="3253" ht="15.75" customHeight="1">
      <c r="H3253" s="162"/>
    </row>
    <row r="3254" ht="15.75" customHeight="1">
      <c r="H3254" s="162"/>
    </row>
    <row r="3255" ht="15.75" customHeight="1">
      <c r="H3255" s="162"/>
    </row>
    <row r="3256" ht="15.75" customHeight="1">
      <c r="H3256" s="162"/>
    </row>
    <row r="3257" ht="15.75" customHeight="1">
      <c r="H3257" s="162"/>
    </row>
    <row r="3258" ht="15.75" customHeight="1">
      <c r="H3258" s="162"/>
    </row>
    <row r="3259" ht="15.75" customHeight="1">
      <c r="H3259" s="162"/>
    </row>
    <row r="3260" ht="15.75" customHeight="1">
      <c r="H3260" s="162"/>
    </row>
    <row r="3261" ht="15.75" customHeight="1">
      <c r="H3261" s="162"/>
    </row>
    <row r="3262" ht="15.75" customHeight="1">
      <c r="H3262" s="162"/>
    </row>
    <row r="3263" ht="15.75" customHeight="1">
      <c r="H3263" s="162"/>
    </row>
    <row r="3264" ht="15.75" customHeight="1">
      <c r="H3264" s="162"/>
    </row>
    <row r="3265" ht="15.75" customHeight="1">
      <c r="H3265" s="162"/>
    </row>
    <row r="3266" ht="15.75" customHeight="1">
      <c r="H3266" s="162"/>
    </row>
    <row r="3267" ht="15.75" customHeight="1">
      <c r="H3267" s="162"/>
    </row>
    <row r="3268" ht="15.75" customHeight="1">
      <c r="H3268" s="162"/>
    </row>
    <row r="3269" ht="15.75" customHeight="1">
      <c r="H3269" s="162"/>
    </row>
    <row r="3270" ht="15.75" customHeight="1">
      <c r="H3270" s="162"/>
    </row>
    <row r="3271" ht="15.75" customHeight="1">
      <c r="H3271" s="162"/>
    </row>
    <row r="3272" ht="15.75" customHeight="1">
      <c r="H3272" s="162"/>
    </row>
    <row r="3273" ht="15.75" customHeight="1">
      <c r="H3273" s="162"/>
    </row>
    <row r="3274" ht="15.75" customHeight="1">
      <c r="H3274" s="162"/>
    </row>
    <row r="3275" ht="15.75" customHeight="1">
      <c r="H3275" s="162"/>
    </row>
    <row r="3276" ht="15.75" customHeight="1">
      <c r="H3276" s="162"/>
    </row>
    <row r="3277" ht="15.75" customHeight="1">
      <c r="H3277" s="162"/>
    </row>
    <row r="3278" ht="15.75" customHeight="1">
      <c r="H3278" s="162"/>
    </row>
    <row r="3279" ht="15.75" customHeight="1">
      <c r="H3279" s="162"/>
    </row>
    <row r="3280" ht="15.75" customHeight="1">
      <c r="H3280" s="162"/>
    </row>
    <row r="3281" ht="15.75" customHeight="1">
      <c r="H3281" s="162"/>
    </row>
    <row r="3282" ht="15.75" customHeight="1">
      <c r="H3282" s="162"/>
    </row>
    <row r="3283" ht="15.75" customHeight="1">
      <c r="H3283" s="162"/>
    </row>
    <row r="3284" ht="15.75" customHeight="1">
      <c r="H3284" s="162"/>
    </row>
    <row r="3285" ht="15.75" customHeight="1">
      <c r="H3285" s="162"/>
    </row>
    <row r="3286" ht="15.75" customHeight="1">
      <c r="H3286" s="162"/>
    </row>
    <row r="3287" ht="15.75" customHeight="1">
      <c r="H3287" s="162"/>
    </row>
    <row r="3288" ht="15.75" customHeight="1">
      <c r="H3288" s="162"/>
    </row>
    <row r="3289" ht="15.75" customHeight="1">
      <c r="H3289" s="162"/>
    </row>
    <row r="3290" ht="15.75" customHeight="1">
      <c r="H3290" s="162"/>
    </row>
    <row r="3291" ht="15.75" customHeight="1">
      <c r="H3291" s="162"/>
    </row>
    <row r="3292" ht="15.75" customHeight="1">
      <c r="H3292" s="162"/>
    </row>
    <row r="3293" ht="15.75" customHeight="1">
      <c r="H3293" s="162"/>
    </row>
    <row r="3294" ht="15.75" customHeight="1">
      <c r="H3294" s="162"/>
    </row>
    <row r="3295" ht="15.75" customHeight="1">
      <c r="H3295" s="162"/>
    </row>
    <row r="3296" ht="15.75" customHeight="1">
      <c r="H3296" s="162"/>
    </row>
    <row r="3297" ht="15.75" customHeight="1">
      <c r="H3297" s="162"/>
    </row>
    <row r="3298" ht="15.75" customHeight="1">
      <c r="H3298" s="162"/>
    </row>
    <row r="3299" ht="15.75" customHeight="1">
      <c r="H3299" s="162"/>
    </row>
    <row r="3300" ht="15.75" customHeight="1">
      <c r="H3300" s="162"/>
    </row>
    <row r="3301" ht="15.75" customHeight="1">
      <c r="H3301" s="162"/>
    </row>
    <row r="3302" ht="15.75" customHeight="1">
      <c r="H3302" s="162"/>
    </row>
    <row r="3303" ht="15.75" customHeight="1">
      <c r="H3303" s="162"/>
    </row>
    <row r="3304" ht="15.75" customHeight="1">
      <c r="H3304" s="162"/>
    </row>
    <row r="3305" ht="15.75" customHeight="1">
      <c r="H3305" s="162"/>
    </row>
    <row r="3306" ht="15.75" customHeight="1">
      <c r="H3306" s="162"/>
    </row>
    <row r="3307" ht="15.75" customHeight="1">
      <c r="H3307" s="162"/>
    </row>
    <row r="3308" ht="15.75" customHeight="1">
      <c r="H3308" s="162"/>
    </row>
    <row r="3309" ht="15.75" customHeight="1">
      <c r="H3309" s="162"/>
    </row>
    <row r="3310" ht="15.75" customHeight="1">
      <c r="H3310" s="162"/>
    </row>
    <row r="3311" ht="15.75" customHeight="1">
      <c r="H3311" s="162"/>
    </row>
    <row r="3312" ht="15.75" customHeight="1">
      <c r="H3312" s="162"/>
    </row>
    <row r="3313" ht="15.75" customHeight="1">
      <c r="H3313" s="162"/>
    </row>
    <row r="3314" ht="15.75" customHeight="1">
      <c r="H3314" s="162"/>
    </row>
    <row r="3315" ht="15.75" customHeight="1">
      <c r="H3315" s="162"/>
    </row>
    <row r="3316" ht="15.75" customHeight="1">
      <c r="H3316" s="162"/>
    </row>
    <row r="3317" ht="15.75" customHeight="1">
      <c r="H3317" s="162"/>
    </row>
    <row r="3318" ht="15.75" customHeight="1">
      <c r="H3318" s="162"/>
    </row>
    <row r="3319" ht="15.75" customHeight="1">
      <c r="H3319" s="162"/>
    </row>
    <row r="3320" ht="15.75" customHeight="1">
      <c r="H3320" s="162"/>
    </row>
    <row r="3321" ht="15.75" customHeight="1">
      <c r="H3321" s="162"/>
    </row>
    <row r="3322" ht="15.75" customHeight="1">
      <c r="H3322" s="162"/>
    </row>
    <row r="3323" ht="15.75" customHeight="1">
      <c r="H3323" s="162"/>
    </row>
    <row r="3324" ht="15.75" customHeight="1">
      <c r="H3324" s="162"/>
    </row>
    <row r="3325" ht="15.75" customHeight="1">
      <c r="H3325" s="162"/>
    </row>
    <row r="3326" ht="15.75" customHeight="1">
      <c r="H3326" s="162"/>
    </row>
    <row r="3327" ht="15.75" customHeight="1">
      <c r="H3327" s="162"/>
    </row>
    <row r="3328" ht="15.75" customHeight="1">
      <c r="H3328" s="162"/>
    </row>
    <row r="3329" ht="15.75" customHeight="1">
      <c r="H3329" s="162"/>
    </row>
    <row r="3330" ht="15.75" customHeight="1">
      <c r="H3330" s="162"/>
    </row>
    <row r="3331" ht="15.75" customHeight="1">
      <c r="H3331" s="162"/>
    </row>
    <row r="3332" ht="15.75" customHeight="1">
      <c r="H3332" s="162"/>
    </row>
    <row r="3333" ht="15.75" customHeight="1">
      <c r="H3333" s="162"/>
    </row>
    <row r="3334" ht="15.75" customHeight="1">
      <c r="H3334" s="162"/>
    </row>
    <row r="3335" ht="15.75" customHeight="1">
      <c r="H3335" s="162"/>
    </row>
    <row r="3336" ht="15.75" customHeight="1">
      <c r="H3336" s="162"/>
    </row>
    <row r="3337" ht="15.75" customHeight="1">
      <c r="H3337" s="162"/>
    </row>
    <row r="3338" ht="15.75" customHeight="1">
      <c r="H3338" s="162"/>
    </row>
    <row r="3339" ht="15.75" customHeight="1">
      <c r="H3339" s="162"/>
    </row>
    <row r="3340" ht="15.75" customHeight="1">
      <c r="H3340" s="162"/>
    </row>
    <row r="3341" ht="15.75" customHeight="1">
      <c r="H3341" s="162"/>
    </row>
    <row r="3342" ht="15.75" customHeight="1">
      <c r="H3342" s="162"/>
    </row>
    <row r="3343" ht="15.75" customHeight="1">
      <c r="H3343" s="162"/>
    </row>
    <row r="3344" ht="15.75" customHeight="1">
      <c r="H3344" s="162"/>
    </row>
    <row r="3345" ht="15.75" customHeight="1">
      <c r="H3345" s="162"/>
    </row>
    <row r="3346" ht="15.75" customHeight="1">
      <c r="H3346" s="162"/>
    </row>
    <row r="3347" ht="15.75" customHeight="1">
      <c r="H3347" s="162"/>
    </row>
    <row r="3348" ht="15.75" customHeight="1">
      <c r="H3348" s="162"/>
    </row>
    <row r="3349" ht="15.75" customHeight="1">
      <c r="H3349" s="162"/>
    </row>
    <row r="3350" ht="15.75" customHeight="1">
      <c r="H3350" s="162"/>
    </row>
    <row r="3351" ht="15.75" customHeight="1">
      <c r="H3351" s="162"/>
    </row>
    <row r="3352" ht="15.75" customHeight="1">
      <c r="H3352" s="162"/>
    </row>
    <row r="3353" ht="15.75" customHeight="1">
      <c r="H3353" s="162"/>
    </row>
    <row r="3354" ht="15.75" customHeight="1">
      <c r="H3354" s="162"/>
    </row>
    <row r="3355" ht="15.75" customHeight="1">
      <c r="H3355" s="162"/>
    </row>
    <row r="3356" ht="15.75" customHeight="1">
      <c r="H3356" s="162"/>
    </row>
    <row r="3357" ht="15.75" customHeight="1">
      <c r="H3357" s="162"/>
    </row>
    <row r="3358" ht="15.75" customHeight="1">
      <c r="H3358" s="162"/>
    </row>
    <row r="3359" ht="15.75" customHeight="1">
      <c r="H3359" s="162"/>
    </row>
    <row r="3360" ht="15.75" customHeight="1">
      <c r="H3360" s="162"/>
    </row>
    <row r="3361" ht="15.75" customHeight="1">
      <c r="H3361" s="162"/>
    </row>
    <row r="3362" ht="15.75" customHeight="1">
      <c r="H3362" s="162"/>
    </row>
    <row r="3363" ht="15.75" customHeight="1">
      <c r="H3363" s="162"/>
    </row>
    <row r="3364" ht="15.75" customHeight="1">
      <c r="H3364" s="162"/>
    </row>
    <row r="3365" ht="15.75" customHeight="1">
      <c r="H3365" s="162"/>
    </row>
    <row r="3366" ht="15.75" customHeight="1">
      <c r="H3366" s="162"/>
    </row>
    <row r="3367" ht="15.75" customHeight="1">
      <c r="H3367" s="162"/>
    </row>
    <row r="3368" ht="15.75" customHeight="1">
      <c r="H3368" s="162"/>
    </row>
    <row r="3369" ht="15.75" customHeight="1">
      <c r="H3369" s="162"/>
    </row>
    <row r="3370" ht="15.75" customHeight="1">
      <c r="H3370" s="162"/>
    </row>
    <row r="3371" ht="15.75" customHeight="1">
      <c r="H3371" s="162"/>
    </row>
    <row r="3372" ht="15.75" customHeight="1">
      <c r="H3372" s="162"/>
    </row>
    <row r="3373" ht="15.75" customHeight="1">
      <c r="H3373" s="162"/>
    </row>
    <row r="3374" ht="15.75" customHeight="1">
      <c r="H3374" s="162"/>
    </row>
    <row r="3375" ht="15.75" customHeight="1">
      <c r="H3375" s="162"/>
    </row>
    <row r="3376" ht="15.75" customHeight="1">
      <c r="H3376" s="162"/>
    </row>
    <row r="3377" ht="15.75" customHeight="1">
      <c r="H3377" s="162"/>
    </row>
    <row r="3378" ht="15.75" customHeight="1">
      <c r="H3378" s="162"/>
    </row>
    <row r="3379" ht="15.75" customHeight="1">
      <c r="H3379" s="162"/>
    </row>
    <row r="3380" ht="15.75" customHeight="1">
      <c r="H3380" s="162"/>
    </row>
    <row r="3381" ht="15.75" customHeight="1">
      <c r="H3381" s="162"/>
    </row>
    <row r="3382" ht="15.75" customHeight="1">
      <c r="H3382" s="162"/>
    </row>
    <row r="3383" ht="15.75" customHeight="1">
      <c r="H3383" s="162"/>
    </row>
    <row r="3384" ht="15.75" customHeight="1">
      <c r="H3384" s="162"/>
    </row>
    <row r="3385" ht="15.75" customHeight="1">
      <c r="H3385" s="162"/>
    </row>
    <row r="3386" ht="15.75" customHeight="1">
      <c r="H3386" s="162"/>
    </row>
    <row r="3387" ht="15.75" customHeight="1">
      <c r="H3387" s="162"/>
    </row>
    <row r="3388" ht="15.75" customHeight="1">
      <c r="H3388" s="162"/>
    </row>
    <row r="3389" ht="15.75" customHeight="1">
      <c r="H3389" s="162"/>
    </row>
    <row r="3390" ht="15.75" customHeight="1">
      <c r="H3390" s="162"/>
    </row>
    <row r="3391" ht="15.75" customHeight="1">
      <c r="H3391" s="162"/>
    </row>
    <row r="3392" ht="15.75" customHeight="1">
      <c r="H3392" s="162"/>
    </row>
    <row r="3393" ht="15.75" customHeight="1">
      <c r="H3393" s="162"/>
    </row>
    <row r="3394" ht="15.75" customHeight="1">
      <c r="H3394" s="162"/>
    </row>
    <row r="3395" ht="15.75" customHeight="1">
      <c r="H3395" s="162"/>
    </row>
    <row r="3396" ht="15.75" customHeight="1">
      <c r="H3396" s="162"/>
    </row>
    <row r="3397" ht="15.75" customHeight="1">
      <c r="H3397" s="162"/>
    </row>
    <row r="3398" ht="15.75" customHeight="1">
      <c r="H3398" s="162"/>
    </row>
    <row r="3399" ht="15.75" customHeight="1">
      <c r="H3399" s="162"/>
    </row>
    <row r="3400" ht="15.75" customHeight="1">
      <c r="H3400" s="162"/>
    </row>
    <row r="3401" ht="15.75" customHeight="1">
      <c r="H3401" s="162"/>
    </row>
    <row r="3402" ht="15.75" customHeight="1">
      <c r="H3402" s="162"/>
    </row>
    <row r="3403" ht="15.75" customHeight="1">
      <c r="H3403" s="162"/>
    </row>
    <row r="3404" ht="15.75" customHeight="1">
      <c r="H3404" s="162"/>
    </row>
    <row r="3405" ht="15.75" customHeight="1">
      <c r="H3405" s="162"/>
    </row>
    <row r="3406" ht="15.75" customHeight="1">
      <c r="H3406" s="162"/>
    </row>
    <row r="3407" ht="15.75" customHeight="1">
      <c r="H3407" s="162"/>
    </row>
    <row r="3408" ht="15.75" customHeight="1">
      <c r="H3408" s="162"/>
    </row>
    <row r="3409" ht="15.75" customHeight="1">
      <c r="H3409" s="162"/>
    </row>
    <row r="3410" ht="15.75" customHeight="1">
      <c r="H3410" s="162"/>
    </row>
    <row r="3411" ht="15.75" customHeight="1">
      <c r="H3411" s="162"/>
    </row>
    <row r="3412" ht="15.75" customHeight="1">
      <c r="H3412" s="162"/>
    </row>
    <row r="3413" ht="15.75" customHeight="1">
      <c r="H3413" s="162"/>
    </row>
    <row r="3414" ht="15.75" customHeight="1">
      <c r="H3414" s="162"/>
    </row>
    <row r="3415" ht="15.75" customHeight="1">
      <c r="H3415" s="162"/>
    </row>
    <row r="3416" ht="15.75" customHeight="1">
      <c r="H3416" s="162"/>
    </row>
    <row r="3417" ht="15.75" customHeight="1">
      <c r="H3417" s="162"/>
    </row>
    <row r="3418" ht="15.75" customHeight="1">
      <c r="H3418" s="162"/>
    </row>
    <row r="3419" ht="15.75" customHeight="1">
      <c r="H3419" s="162"/>
    </row>
    <row r="3420" ht="15.75" customHeight="1">
      <c r="H3420" s="162"/>
    </row>
    <row r="3421" ht="15.75" customHeight="1">
      <c r="H3421" s="162"/>
    </row>
    <row r="3422" ht="15.75" customHeight="1">
      <c r="H3422" s="162"/>
    </row>
    <row r="3423" ht="15.75" customHeight="1">
      <c r="H3423" s="162"/>
    </row>
    <row r="3424" ht="15.75" customHeight="1">
      <c r="H3424" s="162"/>
    </row>
    <row r="3425" ht="15.75" customHeight="1">
      <c r="H3425" s="162"/>
    </row>
    <row r="3426" ht="15.75" customHeight="1">
      <c r="H3426" s="162"/>
    </row>
    <row r="3427" ht="15.75" customHeight="1">
      <c r="H3427" s="162"/>
    </row>
    <row r="3428" ht="15.75" customHeight="1">
      <c r="H3428" s="162"/>
    </row>
    <row r="3429" ht="15.75" customHeight="1">
      <c r="H3429" s="162"/>
    </row>
    <row r="3430" ht="15.75" customHeight="1">
      <c r="H3430" s="162"/>
    </row>
    <row r="3431" ht="15.75" customHeight="1">
      <c r="H3431" s="162"/>
    </row>
    <row r="3432" ht="15.75" customHeight="1">
      <c r="H3432" s="162"/>
    </row>
    <row r="3433" ht="15.75" customHeight="1">
      <c r="H3433" s="162"/>
    </row>
    <row r="3434" ht="15.75" customHeight="1">
      <c r="H3434" s="162"/>
    </row>
    <row r="3435" ht="15.75" customHeight="1">
      <c r="H3435" s="162"/>
    </row>
    <row r="3436" ht="15.75" customHeight="1">
      <c r="H3436" s="162"/>
    </row>
    <row r="3437" ht="15.75" customHeight="1">
      <c r="H3437" s="162"/>
    </row>
    <row r="3438" ht="15.75" customHeight="1">
      <c r="H3438" s="162"/>
    </row>
    <row r="3439" ht="15.75" customHeight="1">
      <c r="H3439" s="162"/>
    </row>
    <row r="3440" ht="15.75" customHeight="1">
      <c r="H3440" s="162"/>
    </row>
    <row r="3441" ht="15.75" customHeight="1">
      <c r="H3441" s="162"/>
    </row>
    <row r="3442" ht="15.75" customHeight="1">
      <c r="H3442" s="162"/>
    </row>
    <row r="3443" ht="15.75" customHeight="1">
      <c r="H3443" s="162"/>
    </row>
    <row r="3444" ht="15.75" customHeight="1">
      <c r="H3444" s="162"/>
    </row>
    <row r="3445" ht="15.75" customHeight="1">
      <c r="H3445" s="162"/>
    </row>
    <row r="3446" ht="15.75" customHeight="1">
      <c r="H3446" s="162"/>
    </row>
    <row r="3447" ht="15.75" customHeight="1">
      <c r="H3447" s="162"/>
    </row>
    <row r="3448" ht="15.75" customHeight="1">
      <c r="H3448" s="162"/>
    </row>
    <row r="3449" ht="15.75" customHeight="1">
      <c r="H3449" s="162"/>
    </row>
    <row r="3450" ht="15.75" customHeight="1">
      <c r="H3450" s="162"/>
    </row>
    <row r="3451" ht="15.75" customHeight="1">
      <c r="H3451" s="162"/>
    </row>
    <row r="3452" ht="15.75" customHeight="1">
      <c r="H3452" s="162"/>
    </row>
    <row r="3453" ht="15.75" customHeight="1">
      <c r="H3453" s="162"/>
    </row>
    <row r="3454" ht="15.75" customHeight="1">
      <c r="H3454" s="162"/>
    </row>
    <row r="3455" ht="15.75" customHeight="1">
      <c r="H3455" s="162"/>
    </row>
    <row r="3456" ht="15.75" customHeight="1">
      <c r="H3456" s="162"/>
    </row>
    <row r="3457" ht="15.75" customHeight="1">
      <c r="H3457" s="162"/>
    </row>
    <row r="3458" ht="15.75" customHeight="1">
      <c r="H3458" s="162"/>
    </row>
    <row r="3459" ht="15.75" customHeight="1">
      <c r="H3459" s="162"/>
    </row>
    <row r="3460" ht="15.75" customHeight="1">
      <c r="H3460" s="162"/>
    </row>
    <row r="3461" ht="15.75" customHeight="1">
      <c r="H3461" s="162"/>
    </row>
    <row r="3462" ht="15.75" customHeight="1">
      <c r="H3462" s="162"/>
    </row>
    <row r="3463" ht="15.75" customHeight="1">
      <c r="H3463" s="162"/>
    </row>
    <row r="3464" ht="15.75" customHeight="1">
      <c r="H3464" s="162"/>
    </row>
    <row r="3465" ht="15.75" customHeight="1">
      <c r="H3465" s="162"/>
    </row>
    <row r="3466" ht="15.75" customHeight="1">
      <c r="H3466" s="162"/>
    </row>
    <row r="3467" ht="15.75" customHeight="1">
      <c r="H3467" s="162"/>
    </row>
    <row r="3468" ht="15.75" customHeight="1">
      <c r="H3468" s="162"/>
    </row>
    <row r="3469" ht="15.75" customHeight="1">
      <c r="H3469" s="162"/>
    </row>
    <row r="3470" ht="15.75" customHeight="1">
      <c r="H3470" s="162"/>
    </row>
    <row r="3471" ht="15.75" customHeight="1">
      <c r="H3471" s="162"/>
    </row>
    <row r="3472" ht="15.75" customHeight="1">
      <c r="H3472" s="162"/>
    </row>
    <row r="3473" ht="15.75" customHeight="1">
      <c r="H3473" s="162"/>
    </row>
    <row r="3474" ht="15.75" customHeight="1">
      <c r="H3474" s="162"/>
    </row>
    <row r="3475" ht="15.75" customHeight="1">
      <c r="H3475" s="162"/>
    </row>
    <row r="3476" ht="15.75" customHeight="1">
      <c r="H3476" s="162"/>
    </row>
    <row r="3477" ht="15.75" customHeight="1">
      <c r="H3477" s="162"/>
    </row>
    <row r="3478" ht="15.75" customHeight="1">
      <c r="H3478" s="162"/>
    </row>
    <row r="3479" ht="15.75" customHeight="1">
      <c r="H3479" s="162"/>
    </row>
    <row r="3480" ht="15.75" customHeight="1">
      <c r="H3480" s="162"/>
    </row>
    <row r="3481" ht="15.75" customHeight="1">
      <c r="H3481" s="162"/>
    </row>
    <row r="3482" ht="15.75" customHeight="1">
      <c r="H3482" s="162"/>
    </row>
    <row r="3483" ht="15.75" customHeight="1">
      <c r="H3483" s="162"/>
    </row>
    <row r="3484" ht="15.75" customHeight="1">
      <c r="H3484" s="162"/>
    </row>
    <row r="3485" ht="15.75" customHeight="1">
      <c r="H3485" s="162"/>
    </row>
    <row r="3486" ht="15.75" customHeight="1">
      <c r="H3486" s="162"/>
    </row>
    <row r="3487" ht="15.75" customHeight="1">
      <c r="H3487" s="162"/>
    </row>
    <row r="3488" ht="15.75" customHeight="1">
      <c r="H3488" s="162"/>
    </row>
    <row r="3489" ht="15.75" customHeight="1">
      <c r="H3489" s="162"/>
    </row>
    <row r="3490" ht="15.75" customHeight="1">
      <c r="H3490" s="162"/>
    </row>
    <row r="3491" ht="15.75" customHeight="1">
      <c r="H3491" s="162"/>
    </row>
    <row r="3492" ht="15.75" customHeight="1">
      <c r="H3492" s="162"/>
    </row>
    <row r="3493" ht="15.75" customHeight="1">
      <c r="H3493" s="162"/>
    </row>
    <row r="3494" ht="15.75" customHeight="1">
      <c r="H3494" s="162"/>
    </row>
    <row r="3495" ht="15.75" customHeight="1">
      <c r="H3495" s="162"/>
    </row>
    <row r="3496" ht="15.75" customHeight="1">
      <c r="H3496" s="162"/>
    </row>
    <row r="3497" ht="15.75" customHeight="1">
      <c r="H3497" s="162"/>
    </row>
    <row r="3498" ht="15.75" customHeight="1">
      <c r="H3498" s="162"/>
    </row>
    <row r="3499" ht="15.75" customHeight="1">
      <c r="H3499" s="162"/>
    </row>
    <row r="3500" ht="15.75" customHeight="1">
      <c r="H3500" s="162"/>
    </row>
    <row r="3501" ht="15.75" customHeight="1">
      <c r="H3501" s="162"/>
    </row>
    <row r="3502" ht="15.75" customHeight="1">
      <c r="H3502" s="162"/>
    </row>
    <row r="3503" ht="15.75" customHeight="1">
      <c r="H3503" s="162"/>
    </row>
    <row r="3504" ht="15.75" customHeight="1">
      <c r="H3504" s="162"/>
    </row>
    <row r="3505" ht="15.75" customHeight="1">
      <c r="H3505" s="162"/>
    </row>
    <row r="3506" ht="15.75" customHeight="1">
      <c r="H3506" s="162"/>
    </row>
    <row r="3507" ht="15.75" customHeight="1">
      <c r="H3507" s="162"/>
    </row>
    <row r="3508" ht="15.75" customHeight="1">
      <c r="H3508" s="162"/>
    </row>
    <row r="3509" ht="15.75" customHeight="1">
      <c r="H3509" s="162"/>
    </row>
    <row r="3510" ht="15.75" customHeight="1">
      <c r="H3510" s="162"/>
    </row>
    <row r="3511" ht="15.75" customHeight="1">
      <c r="H3511" s="162"/>
    </row>
    <row r="3512" ht="15.75" customHeight="1">
      <c r="H3512" s="162"/>
    </row>
    <row r="3513" ht="15.75" customHeight="1">
      <c r="H3513" s="162"/>
    </row>
    <row r="3514" ht="15.75" customHeight="1">
      <c r="H3514" s="162"/>
    </row>
    <row r="3515" ht="15.75" customHeight="1">
      <c r="H3515" s="162"/>
    </row>
    <row r="3516" ht="15.75" customHeight="1">
      <c r="H3516" s="162"/>
    </row>
    <row r="3517" ht="15.75" customHeight="1">
      <c r="H3517" s="162"/>
    </row>
    <row r="3518" ht="15.75" customHeight="1">
      <c r="H3518" s="162"/>
    </row>
    <row r="3519" ht="15.75" customHeight="1">
      <c r="H3519" s="162"/>
    </row>
    <row r="3520" ht="15.75" customHeight="1">
      <c r="H3520" s="162"/>
    </row>
    <row r="3521" ht="15.75" customHeight="1">
      <c r="H3521" s="162"/>
    </row>
    <row r="3522" ht="15.75" customHeight="1">
      <c r="H3522" s="162"/>
    </row>
    <row r="3523" ht="15.75" customHeight="1">
      <c r="H3523" s="162"/>
    </row>
    <row r="3524" ht="15.75" customHeight="1">
      <c r="H3524" s="162"/>
    </row>
    <row r="3525" ht="15.75" customHeight="1">
      <c r="H3525" s="162"/>
    </row>
    <row r="3526" ht="15.75" customHeight="1">
      <c r="H3526" s="162"/>
    </row>
    <row r="3527" ht="15.75" customHeight="1">
      <c r="H3527" s="162"/>
    </row>
    <row r="3528" ht="15.75" customHeight="1">
      <c r="H3528" s="162"/>
    </row>
    <row r="3529" ht="15.75" customHeight="1">
      <c r="H3529" s="162"/>
    </row>
    <row r="3530" ht="15.75" customHeight="1">
      <c r="H3530" s="162"/>
    </row>
    <row r="3531" ht="15.75" customHeight="1">
      <c r="H3531" s="162"/>
    </row>
    <row r="3532" ht="15.75" customHeight="1">
      <c r="H3532" s="162"/>
    </row>
    <row r="3533" ht="15.75" customHeight="1">
      <c r="H3533" s="162"/>
    </row>
    <row r="3534" ht="15.75" customHeight="1">
      <c r="H3534" s="162"/>
    </row>
    <row r="3535" ht="15.75" customHeight="1">
      <c r="H3535" s="162"/>
    </row>
    <row r="3536" ht="15.75" customHeight="1">
      <c r="H3536" s="162"/>
    </row>
    <row r="3537" ht="15.75" customHeight="1">
      <c r="H3537" s="162"/>
    </row>
    <row r="3538" ht="15.75" customHeight="1">
      <c r="H3538" s="162"/>
    </row>
    <row r="3539" ht="15.75" customHeight="1">
      <c r="H3539" s="162"/>
    </row>
    <row r="3540" ht="15.75" customHeight="1">
      <c r="H3540" s="162"/>
    </row>
    <row r="3541" ht="15.75" customHeight="1">
      <c r="H3541" s="162"/>
    </row>
    <row r="3542" ht="15.75" customHeight="1">
      <c r="H3542" s="162"/>
    </row>
    <row r="3543" ht="15.75" customHeight="1">
      <c r="H3543" s="162"/>
    </row>
    <row r="3544" ht="15.75" customHeight="1">
      <c r="H3544" s="162"/>
    </row>
    <row r="3545" ht="15.75" customHeight="1">
      <c r="H3545" s="162"/>
    </row>
    <row r="3546" ht="15.75" customHeight="1">
      <c r="H3546" s="162"/>
    </row>
    <row r="3547" ht="15.75" customHeight="1">
      <c r="H3547" s="162"/>
    </row>
    <row r="3548" ht="15.75" customHeight="1">
      <c r="H3548" s="162"/>
    </row>
    <row r="3549" ht="15.75" customHeight="1">
      <c r="H3549" s="162"/>
    </row>
    <row r="3550" ht="15.75" customHeight="1">
      <c r="H3550" s="162"/>
    </row>
    <row r="3551" ht="15.75" customHeight="1">
      <c r="H3551" s="162"/>
    </row>
    <row r="3552" ht="15.75" customHeight="1">
      <c r="H3552" s="162"/>
    </row>
    <row r="3553" ht="15.75" customHeight="1">
      <c r="H3553" s="162"/>
    </row>
    <row r="3554" ht="15.75" customHeight="1">
      <c r="H3554" s="162"/>
    </row>
    <row r="3555" ht="15.75" customHeight="1">
      <c r="H3555" s="162"/>
    </row>
    <row r="3556" ht="15.75" customHeight="1">
      <c r="H3556" s="162"/>
    </row>
    <row r="3557" ht="15.75" customHeight="1">
      <c r="H3557" s="162"/>
    </row>
    <row r="3558" ht="15.75" customHeight="1">
      <c r="H3558" s="162"/>
    </row>
    <row r="3559" ht="15.75" customHeight="1">
      <c r="H3559" s="162"/>
    </row>
    <row r="3560" ht="15.75" customHeight="1">
      <c r="H3560" s="162"/>
    </row>
    <row r="3561" ht="15.75" customHeight="1">
      <c r="H3561" s="162"/>
    </row>
    <row r="3562" ht="15.75" customHeight="1">
      <c r="H3562" s="162"/>
    </row>
    <row r="3563" ht="15.75" customHeight="1">
      <c r="H3563" s="162"/>
    </row>
    <row r="3564" ht="15.75" customHeight="1">
      <c r="H3564" s="162"/>
    </row>
    <row r="3565" ht="15.75" customHeight="1">
      <c r="H3565" s="162"/>
    </row>
    <row r="3566" ht="15.75" customHeight="1">
      <c r="H3566" s="162"/>
    </row>
    <row r="3567" ht="15.75" customHeight="1">
      <c r="H3567" s="162"/>
    </row>
    <row r="3568" ht="15.75" customHeight="1">
      <c r="H3568" s="162"/>
    </row>
    <row r="3569" ht="15.75" customHeight="1">
      <c r="H3569" s="162"/>
    </row>
    <row r="3570" ht="15.75" customHeight="1">
      <c r="H3570" s="162"/>
    </row>
    <row r="3571" ht="15.75" customHeight="1">
      <c r="H3571" s="162"/>
    </row>
    <row r="3572" ht="15.75" customHeight="1">
      <c r="H3572" s="162"/>
    </row>
    <row r="3573" ht="15.75" customHeight="1">
      <c r="H3573" s="162"/>
    </row>
    <row r="3574" ht="15.75" customHeight="1">
      <c r="H3574" s="162"/>
    </row>
    <row r="3575" ht="15.75" customHeight="1">
      <c r="H3575" s="162"/>
    </row>
    <row r="3576" ht="15.75" customHeight="1">
      <c r="H3576" s="162"/>
    </row>
    <row r="3577" ht="15.75" customHeight="1">
      <c r="H3577" s="162"/>
    </row>
    <row r="3578" ht="15.75" customHeight="1">
      <c r="H3578" s="162"/>
    </row>
    <row r="3579" ht="15.75" customHeight="1">
      <c r="H3579" s="162"/>
    </row>
    <row r="3580" ht="15.75" customHeight="1">
      <c r="H3580" s="162"/>
    </row>
    <row r="3581" ht="15.75" customHeight="1">
      <c r="H3581" s="162"/>
    </row>
    <row r="3582" ht="15.75" customHeight="1">
      <c r="H3582" s="162"/>
    </row>
    <row r="3583" ht="15.75" customHeight="1">
      <c r="H3583" s="162"/>
    </row>
    <row r="3584" ht="15.75" customHeight="1">
      <c r="H3584" s="162"/>
    </row>
    <row r="3585" ht="15.75" customHeight="1">
      <c r="H3585" s="162"/>
    </row>
    <row r="3586" ht="15.75" customHeight="1">
      <c r="H3586" s="162"/>
    </row>
    <row r="3587" ht="15.75" customHeight="1">
      <c r="H3587" s="162"/>
    </row>
    <row r="3588" ht="15.75" customHeight="1">
      <c r="H3588" s="162"/>
    </row>
    <row r="3589" ht="15.75" customHeight="1">
      <c r="H3589" s="162"/>
    </row>
    <row r="3590" ht="15.75" customHeight="1">
      <c r="H3590" s="162"/>
    </row>
    <row r="3591" ht="15.75" customHeight="1">
      <c r="H3591" s="162"/>
    </row>
    <row r="3592" ht="15.75" customHeight="1">
      <c r="H3592" s="162"/>
    </row>
    <row r="3593" ht="15.75" customHeight="1">
      <c r="H3593" s="162"/>
    </row>
    <row r="3594" ht="15.75" customHeight="1">
      <c r="H3594" s="162"/>
    </row>
    <row r="3595" ht="15.75" customHeight="1">
      <c r="H3595" s="162"/>
    </row>
    <row r="3596" ht="15.75" customHeight="1">
      <c r="H3596" s="162"/>
    </row>
    <row r="3597" ht="15.75" customHeight="1">
      <c r="H3597" s="162"/>
    </row>
    <row r="3598" ht="15.75" customHeight="1">
      <c r="H3598" s="162"/>
    </row>
    <row r="3599" ht="15.75" customHeight="1">
      <c r="H3599" s="162"/>
    </row>
    <row r="3600" ht="15.75" customHeight="1">
      <c r="H3600" s="162"/>
    </row>
    <row r="3601" ht="15.75" customHeight="1">
      <c r="H3601" s="162"/>
    </row>
    <row r="3602" ht="15.75" customHeight="1">
      <c r="H3602" s="162"/>
    </row>
    <row r="3603" ht="15.75" customHeight="1">
      <c r="H3603" s="162"/>
    </row>
    <row r="3604" ht="15.75" customHeight="1">
      <c r="H3604" s="162"/>
    </row>
    <row r="3605" ht="15.75" customHeight="1">
      <c r="H3605" s="162"/>
    </row>
    <row r="3606" ht="15.75" customHeight="1">
      <c r="H3606" s="162"/>
    </row>
    <row r="3607" ht="15.75" customHeight="1">
      <c r="H3607" s="162"/>
    </row>
    <row r="3608" ht="15.75" customHeight="1">
      <c r="H3608" s="162"/>
    </row>
    <row r="3609" ht="15.75" customHeight="1">
      <c r="H3609" s="162"/>
    </row>
    <row r="3610" ht="15.75" customHeight="1">
      <c r="H3610" s="162"/>
    </row>
    <row r="3611" ht="15.75" customHeight="1">
      <c r="H3611" s="162"/>
    </row>
    <row r="3612" ht="15.75" customHeight="1">
      <c r="H3612" s="162"/>
    </row>
    <row r="3613" ht="15.75" customHeight="1">
      <c r="H3613" s="162"/>
    </row>
    <row r="3614" ht="15.75" customHeight="1">
      <c r="H3614" s="162"/>
    </row>
    <row r="3615" ht="15.75" customHeight="1">
      <c r="H3615" s="162"/>
    </row>
    <row r="3616" ht="15.75" customHeight="1">
      <c r="H3616" s="162"/>
    </row>
    <row r="3617" ht="15.75" customHeight="1">
      <c r="H3617" s="162"/>
    </row>
    <row r="3618" ht="15.75" customHeight="1">
      <c r="H3618" s="162"/>
    </row>
    <row r="3619" ht="15.75" customHeight="1">
      <c r="H3619" s="162"/>
    </row>
    <row r="3620" ht="15.75" customHeight="1">
      <c r="H3620" s="162"/>
    </row>
    <row r="3621" ht="15.75" customHeight="1">
      <c r="H3621" s="162"/>
    </row>
    <row r="3622" ht="15.75" customHeight="1">
      <c r="H3622" s="162"/>
    </row>
    <row r="3623" ht="15.75" customHeight="1">
      <c r="H3623" s="162"/>
    </row>
    <row r="3624" ht="15.75" customHeight="1">
      <c r="H3624" s="162"/>
    </row>
    <row r="3625" ht="15.75" customHeight="1">
      <c r="H3625" s="162"/>
    </row>
    <row r="3626" ht="15.75" customHeight="1">
      <c r="H3626" s="162"/>
    </row>
    <row r="3627" ht="15.75" customHeight="1">
      <c r="H3627" s="162"/>
    </row>
    <row r="3628" ht="15.75" customHeight="1">
      <c r="H3628" s="162"/>
    </row>
    <row r="3629" ht="15.75" customHeight="1">
      <c r="H3629" s="162"/>
    </row>
    <row r="3630" ht="15.75" customHeight="1">
      <c r="H3630" s="162"/>
    </row>
    <row r="3631" ht="15.75" customHeight="1">
      <c r="H3631" s="162"/>
    </row>
    <row r="3632" ht="15.75" customHeight="1">
      <c r="H3632" s="162"/>
    </row>
    <row r="3633" ht="15.75" customHeight="1">
      <c r="H3633" s="162"/>
    </row>
    <row r="3634" ht="15.75" customHeight="1">
      <c r="H3634" s="162"/>
    </row>
    <row r="3635" ht="15.75" customHeight="1">
      <c r="H3635" s="162"/>
    </row>
    <row r="3636" ht="15.75" customHeight="1">
      <c r="H3636" s="162"/>
    </row>
    <row r="3637" ht="15.75" customHeight="1">
      <c r="H3637" s="162"/>
    </row>
    <row r="3638" ht="15.75" customHeight="1">
      <c r="H3638" s="162"/>
    </row>
    <row r="3639" ht="15.75" customHeight="1">
      <c r="H3639" s="162"/>
    </row>
    <row r="3640" ht="15.75" customHeight="1">
      <c r="H3640" s="162"/>
    </row>
    <row r="3641" ht="15.75" customHeight="1">
      <c r="H3641" s="162"/>
    </row>
    <row r="3642" ht="15.75" customHeight="1">
      <c r="H3642" s="162"/>
    </row>
    <row r="3643" ht="15.75" customHeight="1">
      <c r="H3643" s="162"/>
    </row>
    <row r="3644" ht="15.75" customHeight="1">
      <c r="H3644" s="162"/>
    </row>
    <row r="3645" ht="15.75" customHeight="1">
      <c r="H3645" s="162"/>
    </row>
    <row r="3646" ht="15.75" customHeight="1">
      <c r="H3646" s="162"/>
    </row>
    <row r="3647" ht="15.75" customHeight="1">
      <c r="H3647" s="162"/>
    </row>
    <row r="3648" ht="15.75" customHeight="1">
      <c r="H3648" s="162"/>
    </row>
    <row r="3649" ht="15.75" customHeight="1">
      <c r="H3649" s="162"/>
    </row>
    <row r="3650" ht="15.75" customHeight="1">
      <c r="H3650" s="162"/>
    </row>
    <row r="3651" ht="15.75" customHeight="1">
      <c r="H3651" s="162"/>
    </row>
    <row r="3652" ht="15.75" customHeight="1">
      <c r="H3652" s="162"/>
    </row>
    <row r="3653" ht="15.75" customHeight="1">
      <c r="H3653" s="162"/>
    </row>
    <row r="3654" ht="15.75" customHeight="1">
      <c r="H3654" s="162"/>
    </row>
    <row r="3655" ht="15.75" customHeight="1">
      <c r="H3655" s="162"/>
    </row>
    <row r="3656" ht="15.75" customHeight="1">
      <c r="H3656" s="162"/>
    </row>
    <row r="3657" ht="15.75" customHeight="1">
      <c r="H3657" s="162"/>
    </row>
    <row r="3658" ht="15.75" customHeight="1">
      <c r="H3658" s="162"/>
    </row>
    <row r="3659" ht="15.75" customHeight="1">
      <c r="H3659" s="162"/>
    </row>
    <row r="3660" ht="15.75" customHeight="1">
      <c r="H3660" s="162"/>
    </row>
    <row r="3661" ht="15.75" customHeight="1">
      <c r="H3661" s="162"/>
    </row>
    <row r="3662" ht="15.75" customHeight="1">
      <c r="H3662" s="162"/>
    </row>
    <row r="3663" ht="15.75" customHeight="1">
      <c r="H3663" s="162"/>
    </row>
    <row r="3664" ht="15.75" customHeight="1">
      <c r="H3664" s="162"/>
    </row>
    <row r="3665" ht="15.75" customHeight="1">
      <c r="H3665" s="162"/>
    </row>
    <row r="3666" ht="15.75" customHeight="1">
      <c r="H3666" s="162"/>
    </row>
    <row r="3667" ht="15.75" customHeight="1">
      <c r="H3667" s="162"/>
    </row>
    <row r="3668" ht="15.75" customHeight="1">
      <c r="H3668" s="162"/>
    </row>
    <row r="3669" ht="15.75" customHeight="1">
      <c r="H3669" s="162"/>
    </row>
    <row r="3670" ht="15.75" customHeight="1">
      <c r="H3670" s="162"/>
    </row>
    <row r="3671" ht="15.75" customHeight="1">
      <c r="H3671" s="162"/>
    </row>
    <row r="3672" ht="15.75" customHeight="1">
      <c r="H3672" s="162"/>
    </row>
    <row r="3673" ht="15.75" customHeight="1">
      <c r="H3673" s="162"/>
    </row>
    <row r="3674" ht="15.75" customHeight="1">
      <c r="H3674" s="162"/>
    </row>
    <row r="3675" ht="15.75" customHeight="1">
      <c r="H3675" s="162"/>
    </row>
    <row r="3676" ht="15.75" customHeight="1">
      <c r="H3676" s="162"/>
    </row>
    <row r="3677" ht="15.75" customHeight="1">
      <c r="H3677" s="162"/>
    </row>
    <row r="3678" ht="15.75" customHeight="1">
      <c r="H3678" s="162"/>
    </row>
    <row r="3679" ht="15.75" customHeight="1">
      <c r="H3679" s="162"/>
    </row>
    <row r="3680" ht="15.75" customHeight="1">
      <c r="H3680" s="162"/>
    </row>
    <row r="3681" ht="15.75" customHeight="1">
      <c r="H3681" s="162"/>
    </row>
    <row r="3682" ht="15.75" customHeight="1">
      <c r="H3682" s="162"/>
    </row>
    <row r="3683" ht="15.75" customHeight="1">
      <c r="H3683" s="162"/>
    </row>
    <row r="3684" ht="15.75" customHeight="1">
      <c r="H3684" s="162"/>
    </row>
    <row r="3685" ht="15.75" customHeight="1">
      <c r="H3685" s="162"/>
    </row>
    <row r="3686" ht="15.75" customHeight="1">
      <c r="H3686" s="162"/>
    </row>
    <row r="3687" ht="15.75" customHeight="1">
      <c r="H3687" s="162"/>
    </row>
    <row r="3688" ht="15.75" customHeight="1">
      <c r="H3688" s="162"/>
    </row>
    <row r="3689" ht="15.75" customHeight="1">
      <c r="H3689" s="162"/>
    </row>
    <row r="3690" ht="15.75" customHeight="1">
      <c r="H3690" s="162"/>
    </row>
    <row r="3691" ht="15.75" customHeight="1">
      <c r="H3691" s="162"/>
    </row>
    <row r="3692" ht="15.75" customHeight="1">
      <c r="H3692" s="162"/>
    </row>
    <row r="3693" ht="15.75" customHeight="1">
      <c r="H3693" s="162"/>
    </row>
    <row r="3694" ht="15.75" customHeight="1">
      <c r="H3694" s="162"/>
    </row>
    <row r="3695" ht="15.75" customHeight="1">
      <c r="H3695" s="162"/>
    </row>
    <row r="3696" ht="15.75" customHeight="1">
      <c r="H3696" s="162"/>
    </row>
    <row r="3697" ht="15.75" customHeight="1">
      <c r="H3697" s="162"/>
    </row>
    <row r="3698" ht="15.75" customHeight="1">
      <c r="H3698" s="162"/>
    </row>
    <row r="3699" ht="15.75" customHeight="1">
      <c r="H3699" s="162"/>
    </row>
    <row r="3700" ht="15.75" customHeight="1">
      <c r="H3700" s="162"/>
    </row>
    <row r="3701" ht="15.75" customHeight="1">
      <c r="H3701" s="162"/>
    </row>
    <row r="3702" ht="15.75" customHeight="1">
      <c r="H3702" s="162"/>
    </row>
    <row r="3703" ht="15.75" customHeight="1">
      <c r="H3703" s="162"/>
    </row>
    <row r="3704" ht="15.75" customHeight="1">
      <c r="H3704" s="162"/>
    </row>
    <row r="3705" ht="15.75" customHeight="1">
      <c r="H3705" s="162"/>
    </row>
    <row r="3706" ht="15.75" customHeight="1">
      <c r="H3706" s="162"/>
    </row>
    <row r="3707" ht="15.75" customHeight="1">
      <c r="H3707" s="162"/>
    </row>
    <row r="3708" ht="15.75" customHeight="1">
      <c r="H3708" s="162"/>
    </row>
    <row r="3709" ht="15.75" customHeight="1">
      <c r="H3709" s="162"/>
    </row>
    <row r="3710" ht="15.75" customHeight="1">
      <c r="H3710" s="162"/>
    </row>
    <row r="3711" ht="15.75" customHeight="1">
      <c r="H3711" s="162"/>
    </row>
    <row r="3712" ht="15.75" customHeight="1">
      <c r="H3712" s="162"/>
    </row>
    <row r="3713" ht="15.75" customHeight="1">
      <c r="H3713" s="162"/>
    </row>
    <row r="3714" ht="15.75" customHeight="1">
      <c r="H3714" s="162"/>
    </row>
    <row r="3715" ht="15.75" customHeight="1">
      <c r="H3715" s="162"/>
    </row>
    <row r="3716" ht="15.75" customHeight="1">
      <c r="H3716" s="162"/>
    </row>
    <row r="3717" ht="15.75" customHeight="1">
      <c r="H3717" s="162"/>
    </row>
    <row r="3718" ht="15.75" customHeight="1">
      <c r="H3718" s="162"/>
    </row>
    <row r="3719" ht="15.75" customHeight="1">
      <c r="H3719" s="162"/>
    </row>
    <row r="3720" ht="15.75" customHeight="1">
      <c r="H3720" s="162"/>
    </row>
    <row r="3721" ht="15.75" customHeight="1">
      <c r="H3721" s="162"/>
    </row>
    <row r="3722" ht="15.75" customHeight="1">
      <c r="H3722" s="162"/>
    </row>
    <row r="3723" ht="15.75" customHeight="1">
      <c r="H3723" s="162"/>
    </row>
    <row r="3724" ht="15.75" customHeight="1">
      <c r="H3724" s="162"/>
    </row>
    <row r="3725" ht="15.75" customHeight="1">
      <c r="H3725" s="162"/>
    </row>
    <row r="3726" ht="15.75" customHeight="1">
      <c r="H3726" s="162"/>
    </row>
    <row r="3727" ht="15.75" customHeight="1">
      <c r="H3727" s="162"/>
    </row>
    <row r="3728" ht="15.75" customHeight="1">
      <c r="H3728" s="162"/>
    </row>
    <row r="3729" ht="15.75" customHeight="1">
      <c r="H3729" s="162"/>
    </row>
    <row r="3730" ht="15.75" customHeight="1">
      <c r="H3730" s="162"/>
    </row>
    <row r="3731" ht="15.75" customHeight="1">
      <c r="H3731" s="162"/>
    </row>
    <row r="3732" ht="15.75" customHeight="1">
      <c r="H3732" s="162"/>
    </row>
    <row r="3733" ht="15.75" customHeight="1">
      <c r="H3733" s="162"/>
    </row>
    <row r="3734" ht="15.75" customHeight="1">
      <c r="H3734" s="162"/>
    </row>
    <row r="3735" ht="15.75" customHeight="1">
      <c r="H3735" s="162"/>
    </row>
    <row r="3736" ht="15.75" customHeight="1">
      <c r="H3736" s="162"/>
    </row>
    <row r="3737" ht="15.75" customHeight="1">
      <c r="H3737" s="162"/>
    </row>
    <row r="3738" ht="15.75" customHeight="1">
      <c r="H3738" s="162"/>
    </row>
    <row r="3739" ht="15.75" customHeight="1">
      <c r="H3739" s="162"/>
    </row>
    <row r="3740" ht="15.75" customHeight="1">
      <c r="H3740" s="162"/>
    </row>
    <row r="3741" ht="15.75" customHeight="1">
      <c r="H3741" s="162"/>
    </row>
    <row r="3742" ht="15.75" customHeight="1">
      <c r="H3742" s="162"/>
    </row>
    <row r="3743" ht="15.75" customHeight="1">
      <c r="H3743" s="162"/>
    </row>
    <row r="3744" ht="15.75" customHeight="1">
      <c r="H3744" s="162"/>
    </row>
    <row r="3745" ht="15.75" customHeight="1">
      <c r="H3745" s="162"/>
    </row>
    <row r="3746" ht="15.75" customHeight="1">
      <c r="H3746" s="162"/>
    </row>
    <row r="3747" ht="15.75" customHeight="1">
      <c r="H3747" s="162"/>
    </row>
    <row r="3748" ht="15.75" customHeight="1">
      <c r="H3748" s="162"/>
    </row>
    <row r="3749" ht="15.75" customHeight="1">
      <c r="H3749" s="162"/>
    </row>
    <row r="3750" ht="15.75" customHeight="1">
      <c r="H3750" s="162"/>
    </row>
    <row r="3751" ht="15.75" customHeight="1">
      <c r="H3751" s="162"/>
    </row>
    <row r="3752" ht="15.75" customHeight="1">
      <c r="H3752" s="162"/>
    </row>
    <row r="3753" ht="15.75" customHeight="1">
      <c r="H3753" s="162"/>
    </row>
    <row r="3754" ht="15.75" customHeight="1">
      <c r="H3754" s="162"/>
    </row>
    <row r="3755" ht="15.75" customHeight="1">
      <c r="H3755" s="162"/>
    </row>
    <row r="3756" ht="15.75" customHeight="1">
      <c r="H3756" s="162"/>
    </row>
    <row r="3757" ht="15.75" customHeight="1">
      <c r="H3757" s="162"/>
    </row>
    <row r="3758" ht="15.75" customHeight="1">
      <c r="H3758" s="162"/>
    </row>
    <row r="3759" ht="15.75" customHeight="1">
      <c r="H3759" s="162"/>
    </row>
    <row r="3760" ht="15.75" customHeight="1">
      <c r="H3760" s="162"/>
    </row>
    <row r="3761" ht="15.75" customHeight="1">
      <c r="H3761" s="162"/>
    </row>
    <row r="3762" ht="15.75" customHeight="1">
      <c r="H3762" s="162"/>
    </row>
    <row r="3763" ht="15.75" customHeight="1">
      <c r="H3763" s="162"/>
    </row>
    <row r="3764" ht="15.75" customHeight="1">
      <c r="H3764" s="162"/>
    </row>
    <row r="3765" ht="15.75" customHeight="1">
      <c r="H3765" s="162"/>
    </row>
    <row r="3766" ht="15.75" customHeight="1">
      <c r="H3766" s="162"/>
    </row>
    <row r="3767" ht="15.75" customHeight="1">
      <c r="H3767" s="162"/>
    </row>
    <row r="3768" ht="15.75" customHeight="1">
      <c r="H3768" s="162"/>
    </row>
    <row r="3769" ht="15.75" customHeight="1">
      <c r="H3769" s="162"/>
    </row>
    <row r="3770" ht="15.75" customHeight="1">
      <c r="H3770" s="162"/>
    </row>
    <row r="3771" ht="15.75" customHeight="1">
      <c r="H3771" s="162"/>
    </row>
    <row r="3772" ht="15.75" customHeight="1">
      <c r="H3772" s="162"/>
    </row>
    <row r="3773" ht="15.75" customHeight="1">
      <c r="H3773" s="162"/>
    </row>
    <row r="3774" ht="15.75" customHeight="1">
      <c r="H3774" s="162"/>
    </row>
    <row r="3775" ht="15.75" customHeight="1">
      <c r="H3775" s="162"/>
    </row>
    <row r="3776" ht="15.75" customHeight="1">
      <c r="H3776" s="162"/>
    </row>
    <row r="3777" ht="15.75" customHeight="1">
      <c r="H3777" s="162"/>
    </row>
    <row r="3778" ht="15.75" customHeight="1">
      <c r="H3778" s="162"/>
    </row>
    <row r="3779" ht="15.75" customHeight="1">
      <c r="H3779" s="162"/>
    </row>
    <row r="3780" ht="15.75" customHeight="1">
      <c r="H3780" s="162"/>
    </row>
    <row r="3781" ht="15.75" customHeight="1">
      <c r="H3781" s="162"/>
    </row>
    <row r="3782" ht="15.75" customHeight="1">
      <c r="H3782" s="162"/>
    </row>
    <row r="3783" ht="15.75" customHeight="1">
      <c r="H3783" s="162"/>
    </row>
    <row r="3784" ht="15.75" customHeight="1">
      <c r="H3784" s="162"/>
    </row>
    <row r="3785" ht="15.75" customHeight="1">
      <c r="H3785" s="162"/>
    </row>
    <row r="3786" ht="15.75" customHeight="1">
      <c r="H3786" s="162"/>
    </row>
    <row r="3787" ht="15.75" customHeight="1">
      <c r="H3787" s="162"/>
    </row>
    <row r="3788" ht="15.75" customHeight="1">
      <c r="H3788" s="162"/>
    </row>
    <row r="3789" ht="15.75" customHeight="1">
      <c r="H3789" s="162"/>
    </row>
    <row r="3790" ht="15.75" customHeight="1">
      <c r="H3790" s="162"/>
    </row>
    <row r="3791" ht="15.75" customHeight="1">
      <c r="H3791" s="162"/>
    </row>
    <row r="3792" ht="15.75" customHeight="1">
      <c r="H3792" s="162"/>
    </row>
    <row r="3793" ht="15.75" customHeight="1">
      <c r="H3793" s="162"/>
    </row>
    <row r="3794" ht="15.75" customHeight="1">
      <c r="H3794" s="162"/>
    </row>
    <row r="3795" ht="15.75" customHeight="1">
      <c r="H3795" s="162"/>
    </row>
    <row r="3796" ht="15.75" customHeight="1">
      <c r="H3796" s="162"/>
    </row>
    <row r="3797" ht="15.75" customHeight="1">
      <c r="H3797" s="162"/>
    </row>
    <row r="3798" ht="15.75" customHeight="1">
      <c r="H3798" s="162"/>
    </row>
    <row r="3799" ht="15.75" customHeight="1">
      <c r="H3799" s="162"/>
    </row>
    <row r="3800" ht="15.75" customHeight="1">
      <c r="H3800" s="162"/>
    </row>
    <row r="3801" ht="15.75" customHeight="1">
      <c r="H3801" s="162"/>
    </row>
    <row r="3802" ht="15.75" customHeight="1">
      <c r="H3802" s="162"/>
    </row>
    <row r="3803" ht="15.75" customHeight="1">
      <c r="H3803" s="162"/>
    </row>
    <row r="3804" ht="15.75" customHeight="1">
      <c r="H3804" s="162"/>
    </row>
    <row r="3805" ht="15.75" customHeight="1">
      <c r="H3805" s="162"/>
    </row>
    <row r="3806" ht="15.75" customHeight="1">
      <c r="H3806" s="162"/>
    </row>
    <row r="3807" ht="15.75" customHeight="1">
      <c r="H3807" s="162"/>
    </row>
    <row r="3808" ht="15.75" customHeight="1">
      <c r="H3808" s="162"/>
    </row>
    <row r="3809" ht="15.75" customHeight="1">
      <c r="H3809" s="162"/>
    </row>
    <row r="3810" ht="15.75" customHeight="1">
      <c r="H3810" s="162"/>
    </row>
    <row r="3811" ht="15.75" customHeight="1">
      <c r="H3811" s="162"/>
    </row>
    <row r="3812" ht="15.75" customHeight="1">
      <c r="H3812" s="162"/>
    </row>
    <row r="3813" ht="15.75" customHeight="1">
      <c r="H3813" s="162"/>
    </row>
    <row r="3814" ht="15.75" customHeight="1">
      <c r="H3814" s="162"/>
    </row>
    <row r="3815" ht="15.75" customHeight="1">
      <c r="H3815" s="162"/>
    </row>
    <row r="3816" ht="15.75" customHeight="1">
      <c r="H3816" s="162"/>
    </row>
    <row r="3817" ht="15.75" customHeight="1">
      <c r="H3817" s="162"/>
    </row>
    <row r="3818" ht="15.75" customHeight="1">
      <c r="H3818" s="162"/>
    </row>
    <row r="3819" ht="15.75" customHeight="1">
      <c r="H3819" s="162"/>
    </row>
    <row r="3820" ht="15.75" customHeight="1">
      <c r="H3820" s="162"/>
    </row>
    <row r="3821" ht="15.75" customHeight="1">
      <c r="H3821" s="162"/>
    </row>
    <row r="3822" ht="15.75" customHeight="1">
      <c r="H3822" s="162"/>
    </row>
    <row r="3823" ht="15.75" customHeight="1">
      <c r="H3823" s="162"/>
    </row>
    <row r="3824" ht="15.75" customHeight="1">
      <c r="H3824" s="162"/>
    </row>
    <row r="3825" ht="15.75" customHeight="1">
      <c r="H3825" s="162"/>
    </row>
    <row r="3826" ht="15.75" customHeight="1">
      <c r="H3826" s="162"/>
    </row>
    <row r="3827" ht="15.75" customHeight="1">
      <c r="H3827" s="162"/>
    </row>
    <row r="3828" ht="15.75" customHeight="1">
      <c r="H3828" s="162"/>
    </row>
    <row r="3829" ht="15.75" customHeight="1">
      <c r="H3829" s="162"/>
    </row>
    <row r="3830" ht="15.75" customHeight="1">
      <c r="H3830" s="162"/>
    </row>
    <row r="3831" ht="15.75" customHeight="1">
      <c r="H3831" s="162"/>
    </row>
    <row r="3832" ht="15.75" customHeight="1">
      <c r="H3832" s="162"/>
    </row>
    <row r="3833" ht="15.75" customHeight="1">
      <c r="H3833" s="162"/>
    </row>
    <row r="3834" ht="15.75" customHeight="1">
      <c r="H3834" s="162"/>
    </row>
    <row r="3835" ht="15.75" customHeight="1">
      <c r="H3835" s="162"/>
    </row>
    <row r="3836" ht="15.75" customHeight="1">
      <c r="H3836" s="162"/>
    </row>
    <row r="3837" ht="15.75" customHeight="1">
      <c r="H3837" s="162"/>
    </row>
    <row r="3838" ht="15.75" customHeight="1">
      <c r="H3838" s="162"/>
    </row>
    <row r="3839" ht="15.75" customHeight="1">
      <c r="H3839" s="162"/>
    </row>
    <row r="3840" ht="15.75" customHeight="1">
      <c r="H3840" s="162"/>
    </row>
    <row r="3841" ht="15.75" customHeight="1">
      <c r="H3841" s="162"/>
    </row>
    <row r="3842" ht="15.75" customHeight="1">
      <c r="H3842" s="162"/>
    </row>
    <row r="3843" ht="15.75" customHeight="1">
      <c r="H3843" s="162"/>
    </row>
    <row r="3844" ht="15.75" customHeight="1">
      <c r="H3844" s="162"/>
    </row>
    <row r="3845" ht="15.75" customHeight="1">
      <c r="H3845" s="162"/>
    </row>
    <row r="3846" ht="15.75" customHeight="1">
      <c r="H3846" s="162"/>
    </row>
    <row r="3847" ht="15.75" customHeight="1">
      <c r="H3847" s="162"/>
    </row>
    <row r="3848" ht="15.75" customHeight="1">
      <c r="H3848" s="162"/>
    </row>
    <row r="3849" ht="15.75" customHeight="1">
      <c r="H3849" s="162"/>
    </row>
    <row r="3850" ht="15.75" customHeight="1">
      <c r="H3850" s="162"/>
    </row>
    <row r="3851" ht="15.75" customHeight="1">
      <c r="H3851" s="162"/>
    </row>
    <row r="3852" ht="15.75" customHeight="1">
      <c r="H3852" s="162"/>
    </row>
    <row r="3853" ht="15.75" customHeight="1">
      <c r="H3853" s="162"/>
    </row>
    <row r="3854" ht="15.75" customHeight="1">
      <c r="H3854" s="162"/>
    </row>
    <row r="3855" ht="15.75" customHeight="1">
      <c r="H3855" s="162"/>
    </row>
    <row r="3856" ht="15.75" customHeight="1">
      <c r="H3856" s="162"/>
    </row>
    <row r="3857" ht="15.75" customHeight="1">
      <c r="H3857" s="162"/>
    </row>
    <row r="3858" ht="15.75" customHeight="1">
      <c r="H3858" s="162"/>
    </row>
    <row r="3859" ht="15.75" customHeight="1">
      <c r="H3859" s="162"/>
    </row>
    <row r="3860" ht="15.75" customHeight="1">
      <c r="H3860" s="162"/>
    </row>
    <row r="3861" ht="15.75" customHeight="1">
      <c r="H3861" s="162"/>
    </row>
    <row r="3862" ht="15.75" customHeight="1">
      <c r="H3862" s="162"/>
    </row>
    <row r="3863" ht="15.75" customHeight="1">
      <c r="H3863" s="162"/>
    </row>
    <row r="3864" ht="15.75" customHeight="1">
      <c r="H3864" s="162"/>
    </row>
    <row r="3865" ht="15.75" customHeight="1">
      <c r="H3865" s="162"/>
    </row>
    <row r="3866" ht="15.75" customHeight="1">
      <c r="H3866" s="162"/>
    </row>
    <row r="3867" ht="15.75" customHeight="1">
      <c r="H3867" s="162"/>
    </row>
    <row r="3868" ht="15.75" customHeight="1">
      <c r="H3868" s="162"/>
    </row>
    <row r="3869" ht="15.75" customHeight="1">
      <c r="H3869" s="162"/>
    </row>
    <row r="3870" ht="15.75" customHeight="1">
      <c r="H3870" s="162"/>
    </row>
    <row r="3871" ht="15.75" customHeight="1">
      <c r="H3871" s="162"/>
    </row>
    <row r="3872" ht="15.75" customHeight="1">
      <c r="H3872" s="162"/>
    </row>
    <row r="3873" ht="15.75" customHeight="1">
      <c r="H3873" s="162"/>
    </row>
    <row r="3874" ht="15.75" customHeight="1">
      <c r="H3874" s="162"/>
    </row>
    <row r="3875" ht="15.75" customHeight="1">
      <c r="H3875" s="162"/>
    </row>
    <row r="3876" ht="15.75" customHeight="1">
      <c r="H3876" s="162"/>
    </row>
    <row r="3877" ht="15.75" customHeight="1">
      <c r="H3877" s="162"/>
    </row>
    <row r="3878" ht="15.75" customHeight="1">
      <c r="H3878" s="162"/>
    </row>
    <row r="3879" ht="15.75" customHeight="1">
      <c r="H3879" s="162"/>
    </row>
    <row r="3880" ht="15.75" customHeight="1">
      <c r="H3880" s="162"/>
    </row>
    <row r="3881" ht="15.75" customHeight="1">
      <c r="H3881" s="162"/>
    </row>
    <row r="3882" ht="15.75" customHeight="1">
      <c r="H3882" s="162"/>
    </row>
    <row r="3883" ht="15.75" customHeight="1">
      <c r="H3883" s="162"/>
    </row>
    <row r="3884" ht="15.75" customHeight="1">
      <c r="H3884" s="162"/>
    </row>
    <row r="3885" ht="15.75" customHeight="1">
      <c r="H3885" s="162"/>
    </row>
    <row r="3886" ht="15.75" customHeight="1">
      <c r="H3886" s="162"/>
    </row>
    <row r="3887" ht="15.75" customHeight="1">
      <c r="H3887" s="162"/>
    </row>
    <row r="3888" ht="15.75" customHeight="1">
      <c r="H3888" s="162"/>
    </row>
    <row r="3889" ht="15.75" customHeight="1">
      <c r="H3889" s="162"/>
    </row>
    <row r="3890" ht="15.75" customHeight="1">
      <c r="H3890" s="162"/>
    </row>
    <row r="3891" ht="15.75" customHeight="1">
      <c r="H3891" s="162"/>
    </row>
    <row r="3892" ht="15.75" customHeight="1">
      <c r="H3892" s="162"/>
    </row>
    <row r="3893" ht="15.75" customHeight="1">
      <c r="H3893" s="162"/>
    </row>
    <row r="3894" ht="15.75" customHeight="1">
      <c r="H3894" s="162"/>
    </row>
    <row r="3895" ht="15.75" customHeight="1">
      <c r="H3895" s="162"/>
    </row>
    <row r="3896" ht="15.75" customHeight="1">
      <c r="H3896" s="162"/>
    </row>
    <row r="3897" ht="15.75" customHeight="1">
      <c r="H3897" s="162"/>
    </row>
    <row r="3898" ht="15.75" customHeight="1">
      <c r="H3898" s="162"/>
    </row>
    <row r="3899" ht="15.75" customHeight="1">
      <c r="H3899" s="162"/>
    </row>
    <row r="3900" ht="15.75" customHeight="1">
      <c r="H3900" s="162"/>
    </row>
    <row r="3901" ht="15.75" customHeight="1">
      <c r="H3901" s="162"/>
    </row>
    <row r="3902" ht="15.75" customHeight="1">
      <c r="H3902" s="162"/>
    </row>
    <row r="3903" ht="15.75" customHeight="1">
      <c r="H3903" s="162"/>
    </row>
    <row r="3904" ht="15.75" customHeight="1">
      <c r="H3904" s="162"/>
    </row>
    <row r="3905" ht="15.75" customHeight="1">
      <c r="H3905" s="162"/>
    </row>
    <row r="3906" ht="15.75" customHeight="1">
      <c r="H3906" s="162"/>
    </row>
    <row r="3907" ht="15.75" customHeight="1">
      <c r="H3907" s="162"/>
    </row>
    <row r="3908" ht="15.75" customHeight="1">
      <c r="H3908" s="162"/>
    </row>
    <row r="3909" ht="15.75" customHeight="1">
      <c r="H3909" s="162"/>
    </row>
    <row r="3910" ht="15.75" customHeight="1">
      <c r="H3910" s="162"/>
    </row>
    <row r="3911" ht="15.75" customHeight="1">
      <c r="H3911" s="162"/>
    </row>
    <row r="3912" ht="15.75" customHeight="1">
      <c r="H3912" s="162"/>
    </row>
    <row r="3913" ht="15.75" customHeight="1">
      <c r="H3913" s="162"/>
    </row>
    <row r="3914" ht="15.75" customHeight="1">
      <c r="H3914" s="162"/>
    </row>
    <row r="3915" ht="15.75" customHeight="1">
      <c r="H3915" s="162"/>
    </row>
    <row r="3916" ht="15.75" customHeight="1">
      <c r="H3916" s="162"/>
    </row>
    <row r="3917" ht="15.75" customHeight="1">
      <c r="H3917" s="162"/>
    </row>
    <row r="3918" ht="15.75" customHeight="1">
      <c r="H3918" s="162"/>
    </row>
    <row r="3919" ht="15.75" customHeight="1">
      <c r="H3919" s="162"/>
    </row>
    <row r="3920" ht="15.75" customHeight="1">
      <c r="H3920" s="162"/>
    </row>
    <row r="3921" ht="15.75" customHeight="1">
      <c r="H3921" s="162"/>
    </row>
    <row r="3922" ht="15.75" customHeight="1">
      <c r="H3922" s="162"/>
    </row>
    <row r="3923" ht="15.75" customHeight="1">
      <c r="H3923" s="162"/>
    </row>
    <row r="3924" ht="15.75" customHeight="1">
      <c r="H3924" s="162"/>
    </row>
    <row r="3925" ht="15.75" customHeight="1">
      <c r="H3925" s="162"/>
    </row>
    <row r="3926" ht="15.75" customHeight="1">
      <c r="H3926" s="162"/>
    </row>
    <row r="3927" ht="15.75" customHeight="1">
      <c r="H3927" s="162"/>
    </row>
    <row r="3928" ht="15.75" customHeight="1">
      <c r="H3928" s="162"/>
    </row>
    <row r="3929" ht="15.75" customHeight="1">
      <c r="H3929" s="162"/>
    </row>
    <row r="3930" ht="15.75" customHeight="1">
      <c r="H3930" s="162"/>
    </row>
    <row r="3931" ht="15.75" customHeight="1">
      <c r="H3931" s="162"/>
    </row>
    <row r="3932" ht="15.75" customHeight="1">
      <c r="H3932" s="162"/>
    </row>
    <row r="3933" ht="15.75" customHeight="1">
      <c r="H3933" s="162"/>
    </row>
    <row r="3934" ht="15.75" customHeight="1">
      <c r="H3934" s="162"/>
    </row>
    <row r="3935" ht="15.75" customHeight="1">
      <c r="H3935" s="162"/>
    </row>
    <row r="3936" ht="15.75" customHeight="1">
      <c r="H3936" s="162"/>
    </row>
    <row r="3937" ht="15.75" customHeight="1">
      <c r="H3937" s="162"/>
    </row>
    <row r="3938" ht="15.75" customHeight="1">
      <c r="H3938" s="162"/>
    </row>
    <row r="3939" ht="15.75" customHeight="1">
      <c r="H3939" s="162"/>
    </row>
    <row r="3940" ht="15.75" customHeight="1">
      <c r="H3940" s="162"/>
    </row>
    <row r="3941" ht="15.75" customHeight="1">
      <c r="H3941" s="162"/>
    </row>
    <row r="3942" ht="15.75" customHeight="1">
      <c r="H3942" s="162"/>
    </row>
    <row r="3943" ht="15.75" customHeight="1">
      <c r="H3943" s="162"/>
    </row>
    <row r="3944" ht="15.75" customHeight="1">
      <c r="H3944" s="162"/>
    </row>
    <row r="3945" ht="15.75" customHeight="1">
      <c r="H3945" s="162"/>
    </row>
    <row r="3946" ht="15.75" customHeight="1">
      <c r="H3946" s="162"/>
    </row>
    <row r="3947" ht="15.75" customHeight="1">
      <c r="H3947" s="162"/>
    </row>
    <row r="3948" ht="15.75" customHeight="1">
      <c r="H3948" s="162"/>
    </row>
    <row r="3949" ht="15.75" customHeight="1">
      <c r="H3949" s="162"/>
    </row>
    <row r="3950" ht="15.75" customHeight="1">
      <c r="H3950" s="162"/>
    </row>
    <row r="3951" ht="15.75" customHeight="1">
      <c r="H3951" s="162"/>
    </row>
    <row r="3952" ht="15.75" customHeight="1">
      <c r="H3952" s="162"/>
    </row>
    <row r="3953" ht="15.75" customHeight="1">
      <c r="H3953" s="162"/>
    </row>
    <row r="3954" ht="15.75" customHeight="1">
      <c r="H3954" s="162"/>
    </row>
    <row r="3955" ht="15.75" customHeight="1">
      <c r="H3955" s="162"/>
    </row>
    <row r="3956" ht="15.75" customHeight="1">
      <c r="H3956" s="162"/>
    </row>
    <row r="3957" ht="15.75" customHeight="1">
      <c r="H3957" s="162"/>
    </row>
    <row r="3958" ht="15.75" customHeight="1">
      <c r="H3958" s="162"/>
    </row>
    <row r="3959" ht="15.75" customHeight="1">
      <c r="H3959" s="162"/>
    </row>
    <row r="3960" ht="15.75" customHeight="1">
      <c r="H3960" s="162"/>
    </row>
    <row r="3961" ht="15.75" customHeight="1">
      <c r="H3961" s="162"/>
    </row>
    <row r="3962" ht="15.75" customHeight="1">
      <c r="H3962" s="162"/>
    </row>
    <row r="3963" ht="15.75" customHeight="1">
      <c r="H3963" s="162"/>
    </row>
    <row r="3964" ht="15.75" customHeight="1">
      <c r="H3964" s="162"/>
    </row>
    <row r="3965" ht="15.75" customHeight="1">
      <c r="H3965" s="162"/>
    </row>
    <row r="3966" ht="15.75" customHeight="1">
      <c r="H3966" s="162"/>
    </row>
    <row r="3967" ht="15.75" customHeight="1">
      <c r="H3967" s="162"/>
    </row>
    <row r="3968" ht="15.75" customHeight="1">
      <c r="H3968" s="162"/>
    </row>
    <row r="3969" ht="15.75" customHeight="1">
      <c r="H3969" s="162"/>
    </row>
    <row r="3970" ht="15.75" customHeight="1">
      <c r="H3970" s="162"/>
    </row>
    <row r="3971" ht="15.75" customHeight="1">
      <c r="H3971" s="162"/>
    </row>
    <row r="3972" ht="15.75" customHeight="1">
      <c r="H3972" s="162"/>
    </row>
    <row r="3973" ht="15.75" customHeight="1">
      <c r="H3973" s="162"/>
    </row>
    <row r="3974" ht="15.75" customHeight="1">
      <c r="H3974" s="162"/>
    </row>
    <row r="3975" ht="15.75" customHeight="1">
      <c r="H3975" s="162"/>
    </row>
    <row r="3976" ht="15.75" customHeight="1">
      <c r="H3976" s="162"/>
    </row>
    <row r="3977" ht="15.75" customHeight="1">
      <c r="H3977" s="162"/>
    </row>
    <row r="3978" ht="15.75" customHeight="1">
      <c r="H3978" s="162"/>
    </row>
    <row r="3979" ht="15.75" customHeight="1">
      <c r="H3979" s="162"/>
    </row>
    <row r="3980" ht="15.75" customHeight="1">
      <c r="H3980" s="162"/>
    </row>
    <row r="3981" ht="15.75" customHeight="1">
      <c r="H3981" s="162"/>
    </row>
    <row r="3982" ht="15.75" customHeight="1">
      <c r="H3982" s="162"/>
    </row>
    <row r="3983" ht="15.75" customHeight="1">
      <c r="H3983" s="162"/>
    </row>
    <row r="3984" ht="15.75" customHeight="1">
      <c r="H3984" s="162"/>
    </row>
    <row r="3985" ht="15.75" customHeight="1">
      <c r="H3985" s="162"/>
    </row>
    <row r="3986" ht="15.75" customHeight="1">
      <c r="H3986" s="162"/>
    </row>
    <row r="3987" ht="15.75" customHeight="1">
      <c r="H3987" s="162"/>
    </row>
    <row r="3988" ht="15.75" customHeight="1">
      <c r="H3988" s="162"/>
    </row>
    <row r="3989" ht="15.75" customHeight="1">
      <c r="H3989" s="162"/>
    </row>
    <row r="3990" ht="15.75" customHeight="1">
      <c r="H3990" s="162"/>
    </row>
    <row r="3991" ht="15.75" customHeight="1">
      <c r="H3991" s="162"/>
    </row>
    <row r="3992" ht="15.75" customHeight="1">
      <c r="H3992" s="162"/>
    </row>
    <row r="3993" ht="15.75" customHeight="1">
      <c r="H3993" s="162"/>
    </row>
    <row r="3994" ht="15.75" customHeight="1">
      <c r="H3994" s="162"/>
    </row>
    <row r="3995" ht="15.75" customHeight="1">
      <c r="H3995" s="162"/>
    </row>
    <row r="3996" ht="15.75" customHeight="1">
      <c r="H3996" s="162"/>
    </row>
    <row r="3997" ht="15.75" customHeight="1">
      <c r="H3997" s="162"/>
    </row>
    <row r="3998" ht="15.75" customHeight="1">
      <c r="H3998" s="162"/>
    </row>
    <row r="3999" ht="15.75" customHeight="1">
      <c r="H3999" s="162"/>
    </row>
    <row r="4000" ht="15.75" customHeight="1">
      <c r="H4000" s="162"/>
    </row>
    <row r="4001" ht="15.75" customHeight="1">
      <c r="H4001" s="162"/>
    </row>
    <row r="4002" ht="15.75" customHeight="1">
      <c r="H4002" s="162"/>
    </row>
    <row r="4003" ht="15.75" customHeight="1">
      <c r="H4003" s="162"/>
    </row>
    <row r="4004" ht="15.75" customHeight="1">
      <c r="H4004" s="162"/>
    </row>
    <row r="4005" ht="15.75" customHeight="1">
      <c r="H4005" s="162"/>
    </row>
    <row r="4006" ht="15.75" customHeight="1">
      <c r="H4006" s="162"/>
    </row>
    <row r="4007" ht="15.75" customHeight="1">
      <c r="H4007" s="162"/>
    </row>
    <row r="4008" ht="15.75" customHeight="1">
      <c r="H4008" s="162"/>
    </row>
    <row r="4009" ht="15.75" customHeight="1">
      <c r="H4009" s="162"/>
    </row>
    <row r="4010" ht="15.75" customHeight="1">
      <c r="H4010" s="162"/>
    </row>
    <row r="4011" ht="15.75" customHeight="1">
      <c r="H4011" s="162"/>
    </row>
    <row r="4012" ht="15.75" customHeight="1">
      <c r="H4012" s="162"/>
    </row>
    <row r="4013" ht="15.75" customHeight="1">
      <c r="H4013" s="162"/>
    </row>
    <row r="4014" ht="15.75" customHeight="1">
      <c r="H4014" s="162"/>
    </row>
    <row r="4015" ht="15.75" customHeight="1">
      <c r="H4015" s="162"/>
    </row>
    <row r="4016" ht="15.75" customHeight="1">
      <c r="H4016" s="162"/>
    </row>
    <row r="4017" ht="15.75" customHeight="1">
      <c r="H4017" s="162"/>
    </row>
    <row r="4018" ht="15.75" customHeight="1">
      <c r="H4018" s="162"/>
    </row>
    <row r="4019" ht="15.75" customHeight="1">
      <c r="H4019" s="162"/>
    </row>
    <row r="4020" ht="15.75" customHeight="1">
      <c r="H4020" s="162"/>
    </row>
    <row r="4021" ht="15.75" customHeight="1">
      <c r="H4021" s="162"/>
    </row>
    <row r="4022" ht="15.75" customHeight="1">
      <c r="H4022" s="162"/>
    </row>
    <row r="4023" ht="15.75" customHeight="1">
      <c r="H4023" s="162"/>
    </row>
    <row r="4024" ht="15.75" customHeight="1">
      <c r="H4024" s="162"/>
    </row>
    <row r="4025" ht="15.75" customHeight="1">
      <c r="H4025" s="162"/>
    </row>
    <row r="4026" ht="15.75" customHeight="1">
      <c r="H4026" s="162"/>
    </row>
    <row r="4027" ht="15.75" customHeight="1">
      <c r="H4027" s="162"/>
    </row>
    <row r="4028" ht="15.75" customHeight="1">
      <c r="H4028" s="162"/>
    </row>
    <row r="4029" ht="15.75" customHeight="1">
      <c r="H4029" s="162"/>
    </row>
    <row r="4030" ht="15.75" customHeight="1">
      <c r="H4030" s="162"/>
    </row>
    <row r="4031" ht="15.75" customHeight="1">
      <c r="H4031" s="162"/>
    </row>
    <row r="4032" ht="15.75" customHeight="1">
      <c r="H4032" s="162"/>
    </row>
    <row r="4033" ht="15.75" customHeight="1">
      <c r="H4033" s="162"/>
    </row>
    <row r="4034" ht="15.75" customHeight="1">
      <c r="H4034" s="162"/>
    </row>
    <row r="4035" ht="15.75" customHeight="1">
      <c r="H4035" s="162"/>
    </row>
    <row r="4036" ht="15.75" customHeight="1">
      <c r="H4036" s="162"/>
    </row>
    <row r="4037" ht="15.75" customHeight="1">
      <c r="H4037" s="162"/>
    </row>
    <row r="4038" ht="15.75" customHeight="1">
      <c r="H4038" s="162"/>
    </row>
    <row r="4039" ht="15.75" customHeight="1">
      <c r="H4039" s="162"/>
    </row>
    <row r="4040" ht="15.75" customHeight="1">
      <c r="H4040" s="162"/>
    </row>
    <row r="4041" ht="15.75" customHeight="1">
      <c r="H4041" s="162"/>
    </row>
    <row r="4042" ht="15.75" customHeight="1">
      <c r="H4042" s="162"/>
    </row>
    <row r="4043" ht="15.75" customHeight="1">
      <c r="H4043" s="162"/>
    </row>
    <row r="4044" ht="15.75" customHeight="1">
      <c r="H4044" s="162"/>
    </row>
    <row r="4045" ht="15.75" customHeight="1">
      <c r="H4045" s="162"/>
    </row>
    <row r="4046" ht="15.75" customHeight="1">
      <c r="H4046" s="162"/>
    </row>
    <row r="4047" ht="15.75" customHeight="1">
      <c r="H4047" s="162"/>
    </row>
    <row r="4048" ht="15.75" customHeight="1">
      <c r="H4048" s="162"/>
    </row>
    <row r="4049" ht="15.75" customHeight="1">
      <c r="H4049" s="162"/>
    </row>
    <row r="4050" ht="15.75" customHeight="1">
      <c r="H4050" s="162"/>
    </row>
    <row r="4051" ht="15.75" customHeight="1">
      <c r="H4051" s="162"/>
    </row>
    <row r="4052" ht="15.75" customHeight="1">
      <c r="H4052" s="162"/>
    </row>
    <row r="4053" ht="15.75" customHeight="1">
      <c r="H4053" s="162"/>
    </row>
    <row r="4054" ht="15.75" customHeight="1">
      <c r="H4054" s="162"/>
    </row>
    <row r="4055" ht="15.75" customHeight="1">
      <c r="H4055" s="162"/>
    </row>
    <row r="4056" ht="15.75" customHeight="1">
      <c r="H4056" s="162"/>
    </row>
    <row r="4057" ht="15.75" customHeight="1">
      <c r="H4057" s="162"/>
    </row>
    <row r="4058" ht="15.75" customHeight="1">
      <c r="H4058" s="162"/>
    </row>
    <row r="4059" ht="15.75" customHeight="1">
      <c r="H4059" s="162"/>
    </row>
    <row r="4060" ht="15.75" customHeight="1">
      <c r="H4060" s="162"/>
    </row>
    <row r="4061" ht="15.75" customHeight="1">
      <c r="H4061" s="162"/>
    </row>
    <row r="4062" ht="15.75" customHeight="1">
      <c r="H4062" s="162"/>
    </row>
    <row r="4063" ht="15.75" customHeight="1">
      <c r="H4063" s="162"/>
    </row>
    <row r="4064" ht="15.75" customHeight="1">
      <c r="H4064" s="162"/>
    </row>
    <row r="4065" ht="15.75" customHeight="1">
      <c r="H4065" s="162"/>
    </row>
    <row r="4066" ht="15.75" customHeight="1">
      <c r="H4066" s="162"/>
    </row>
    <row r="4067" ht="15.75" customHeight="1">
      <c r="H4067" s="162"/>
    </row>
    <row r="4068" ht="15.75" customHeight="1">
      <c r="H4068" s="162"/>
    </row>
    <row r="4069" ht="15.75" customHeight="1">
      <c r="H4069" s="162"/>
    </row>
    <row r="4070" ht="15.75" customHeight="1">
      <c r="H4070" s="162"/>
    </row>
    <row r="4071" ht="15.75" customHeight="1">
      <c r="H4071" s="162"/>
    </row>
    <row r="4072" ht="15.75" customHeight="1">
      <c r="H4072" s="162"/>
    </row>
    <row r="4073" ht="15.75" customHeight="1">
      <c r="H4073" s="162"/>
    </row>
    <row r="4074" ht="15.75" customHeight="1">
      <c r="H4074" s="162"/>
    </row>
    <row r="4075" ht="15.75" customHeight="1">
      <c r="H4075" s="162"/>
    </row>
    <row r="4076" ht="15.75" customHeight="1">
      <c r="H4076" s="162"/>
    </row>
    <row r="4077" ht="15.75" customHeight="1">
      <c r="H4077" s="162"/>
    </row>
    <row r="4078" ht="15.75" customHeight="1">
      <c r="H4078" s="162"/>
    </row>
    <row r="4079" ht="15.75" customHeight="1">
      <c r="H4079" s="162"/>
    </row>
    <row r="4080" ht="15.75" customHeight="1">
      <c r="H4080" s="162"/>
    </row>
    <row r="4081" ht="15.75" customHeight="1">
      <c r="H4081" s="162"/>
    </row>
    <row r="4082" ht="15.75" customHeight="1">
      <c r="H4082" s="162"/>
    </row>
    <row r="4083" ht="15.75" customHeight="1">
      <c r="H4083" s="162"/>
    </row>
    <row r="4084" ht="15.75" customHeight="1">
      <c r="H4084" s="162"/>
    </row>
    <row r="4085" ht="15.75" customHeight="1">
      <c r="H4085" s="162"/>
    </row>
    <row r="4086" ht="15.75" customHeight="1">
      <c r="H4086" s="162"/>
    </row>
    <row r="4087" ht="15.75" customHeight="1">
      <c r="H4087" s="162"/>
    </row>
    <row r="4088" ht="15.75" customHeight="1">
      <c r="H4088" s="162"/>
    </row>
    <row r="4089" ht="15.75" customHeight="1">
      <c r="H4089" s="162"/>
    </row>
    <row r="4090" ht="15.75" customHeight="1">
      <c r="H4090" s="162"/>
    </row>
    <row r="4091" ht="15.75" customHeight="1">
      <c r="H4091" s="162"/>
    </row>
    <row r="4092" ht="15.75" customHeight="1">
      <c r="H4092" s="162"/>
    </row>
    <row r="4093" ht="15.75" customHeight="1">
      <c r="H4093" s="162"/>
    </row>
    <row r="4094" ht="15.75" customHeight="1">
      <c r="H4094" s="162"/>
    </row>
    <row r="4095" ht="15.75" customHeight="1">
      <c r="H4095" s="162"/>
    </row>
    <row r="4096" ht="15.75" customHeight="1">
      <c r="H4096" s="162"/>
    </row>
    <row r="4097" ht="15.75" customHeight="1">
      <c r="H4097" s="162"/>
    </row>
    <row r="4098" ht="15.75" customHeight="1">
      <c r="H4098" s="162"/>
    </row>
    <row r="4099" ht="15.75" customHeight="1">
      <c r="H4099" s="162"/>
    </row>
    <row r="4100" ht="15.75" customHeight="1">
      <c r="H4100" s="162"/>
    </row>
    <row r="4101" ht="15.75" customHeight="1">
      <c r="H4101" s="162"/>
    </row>
    <row r="4102" ht="15.75" customHeight="1">
      <c r="H4102" s="162"/>
    </row>
    <row r="4103" ht="15.75" customHeight="1">
      <c r="H4103" s="162"/>
    </row>
    <row r="4104" ht="15.75" customHeight="1">
      <c r="H4104" s="162"/>
    </row>
    <row r="4105" ht="15.75" customHeight="1">
      <c r="H4105" s="162"/>
    </row>
    <row r="4106" ht="15.75" customHeight="1">
      <c r="H4106" s="162"/>
    </row>
    <row r="4107" ht="15.75" customHeight="1">
      <c r="H4107" s="162"/>
    </row>
    <row r="4108" ht="15.75" customHeight="1">
      <c r="H4108" s="162"/>
    </row>
    <row r="4109" ht="15.75" customHeight="1">
      <c r="H4109" s="162"/>
    </row>
    <row r="4110" ht="15.75" customHeight="1">
      <c r="H4110" s="162"/>
    </row>
    <row r="4111" ht="15.75" customHeight="1">
      <c r="H4111" s="162"/>
    </row>
    <row r="4112" ht="15.75" customHeight="1">
      <c r="H4112" s="162"/>
    </row>
    <row r="4113" ht="15.75" customHeight="1">
      <c r="H4113" s="162"/>
    </row>
    <row r="4114" ht="15.75" customHeight="1">
      <c r="H4114" s="162"/>
    </row>
    <row r="4115" ht="15.75" customHeight="1">
      <c r="H4115" s="162"/>
    </row>
    <row r="4116" ht="15.75" customHeight="1">
      <c r="H4116" s="162"/>
    </row>
    <row r="4117" ht="15.75" customHeight="1">
      <c r="H4117" s="162"/>
    </row>
    <row r="4118" ht="15.75" customHeight="1">
      <c r="H4118" s="162"/>
    </row>
    <row r="4119" ht="15.75" customHeight="1">
      <c r="H4119" s="162"/>
    </row>
    <row r="4120" ht="15.75" customHeight="1">
      <c r="H4120" s="162"/>
    </row>
    <row r="4121" ht="15.75" customHeight="1">
      <c r="H4121" s="162"/>
    </row>
    <row r="4122" ht="15.75" customHeight="1">
      <c r="H4122" s="162"/>
    </row>
    <row r="4123" ht="15.75" customHeight="1">
      <c r="H4123" s="162"/>
    </row>
    <row r="4124" ht="15.75" customHeight="1">
      <c r="H4124" s="162"/>
    </row>
    <row r="4125" ht="15.75" customHeight="1">
      <c r="H4125" s="162"/>
    </row>
    <row r="4126" ht="15.75" customHeight="1">
      <c r="H4126" s="162"/>
    </row>
    <row r="4127" ht="15.75" customHeight="1">
      <c r="H4127" s="162"/>
    </row>
    <row r="4128" ht="15.75" customHeight="1">
      <c r="H4128" s="162"/>
    </row>
    <row r="4129" ht="15.75" customHeight="1">
      <c r="H4129" s="162"/>
    </row>
    <row r="4130" ht="15.75" customHeight="1">
      <c r="H4130" s="162"/>
    </row>
    <row r="4131" ht="15.75" customHeight="1">
      <c r="H4131" s="162"/>
    </row>
    <row r="4132" ht="15.75" customHeight="1">
      <c r="H4132" s="162"/>
    </row>
    <row r="4133" ht="15.75" customHeight="1">
      <c r="H4133" s="162"/>
    </row>
    <row r="4134" ht="15.75" customHeight="1">
      <c r="H4134" s="162"/>
    </row>
    <row r="4135" ht="15.75" customHeight="1">
      <c r="H4135" s="162"/>
    </row>
    <row r="4136" ht="15.75" customHeight="1">
      <c r="H4136" s="162"/>
    </row>
    <row r="4137" ht="15.75" customHeight="1">
      <c r="H4137" s="162"/>
    </row>
    <row r="4138" ht="15.75" customHeight="1">
      <c r="H4138" s="162"/>
    </row>
    <row r="4139" ht="15.75" customHeight="1">
      <c r="H4139" s="162"/>
    </row>
    <row r="4140" ht="15.75" customHeight="1">
      <c r="H4140" s="162"/>
    </row>
    <row r="4141" ht="15.75" customHeight="1">
      <c r="H4141" s="162"/>
    </row>
    <row r="4142" ht="15.75" customHeight="1">
      <c r="H4142" s="162"/>
    </row>
    <row r="4143" ht="15.75" customHeight="1">
      <c r="H4143" s="162"/>
    </row>
    <row r="4144" ht="15.75" customHeight="1">
      <c r="H4144" s="162"/>
    </row>
    <row r="4145" ht="15.75" customHeight="1">
      <c r="H4145" s="162"/>
    </row>
    <row r="4146" ht="15.75" customHeight="1">
      <c r="H4146" s="162"/>
    </row>
    <row r="4147" ht="15.75" customHeight="1">
      <c r="H4147" s="162"/>
    </row>
    <row r="4148" ht="15.75" customHeight="1">
      <c r="H4148" s="162"/>
    </row>
    <row r="4149" ht="15.75" customHeight="1">
      <c r="H4149" s="162"/>
    </row>
    <row r="4150" ht="15.75" customHeight="1">
      <c r="H4150" s="162"/>
    </row>
    <row r="4151" ht="15.75" customHeight="1">
      <c r="H4151" s="162"/>
    </row>
    <row r="4152" ht="15.75" customHeight="1">
      <c r="H4152" s="162"/>
    </row>
    <row r="4153" ht="15.75" customHeight="1">
      <c r="H4153" s="162"/>
    </row>
    <row r="4154" ht="15.75" customHeight="1">
      <c r="H4154" s="162"/>
    </row>
    <row r="4155" ht="15.75" customHeight="1">
      <c r="H4155" s="162"/>
    </row>
    <row r="4156" ht="15.75" customHeight="1">
      <c r="H4156" s="162"/>
    </row>
    <row r="4157" ht="15.75" customHeight="1">
      <c r="H4157" s="162"/>
    </row>
    <row r="4158" ht="15.75" customHeight="1">
      <c r="H4158" s="162"/>
    </row>
    <row r="4159" ht="15.75" customHeight="1">
      <c r="H4159" s="162"/>
    </row>
    <row r="4160" ht="15.75" customHeight="1">
      <c r="H4160" s="162"/>
    </row>
    <row r="4161" ht="15.75" customHeight="1">
      <c r="H4161" s="162"/>
    </row>
    <row r="4162" ht="15.75" customHeight="1">
      <c r="H4162" s="162"/>
    </row>
    <row r="4163" ht="15.75" customHeight="1">
      <c r="H4163" s="162"/>
    </row>
    <row r="4164" ht="15.75" customHeight="1">
      <c r="H4164" s="162"/>
    </row>
    <row r="4165" ht="15.75" customHeight="1">
      <c r="H4165" s="162"/>
    </row>
    <row r="4166" ht="15.75" customHeight="1">
      <c r="H4166" s="162"/>
    </row>
    <row r="4167" ht="15.75" customHeight="1">
      <c r="H4167" s="162"/>
    </row>
    <row r="4168" ht="15.75" customHeight="1">
      <c r="H4168" s="162"/>
    </row>
    <row r="4169" ht="15.75" customHeight="1">
      <c r="H4169" s="162"/>
    </row>
    <row r="4170" ht="15.75" customHeight="1">
      <c r="H4170" s="162"/>
    </row>
    <row r="4171" ht="15.75" customHeight="1">
      <c r="H4171" s="162"/>
    </row>
    <row r="4172" ht="15.75" customHeight="1">
      <c r="H4172" s="162"/>
    </row>
    <row r="4173" ht="15.75" customHeight="1">
      <c r="H4173" s="162"/>
    </row>
    <row r="4174" ht="15.75" customHeight="1">
      <c r="H4174" s="162"/>
    </row>
    <row r="4175" ht="15.75" customHeight="1">
      <c r="H4175" s="162"/>
    </row>
    <row r="4176" ht="15.75" customHeight="1">
      <c r="H4176" s="162"/>
    </row>
    <row r="4177" ht="15.75" customHeight="1">
      <c r="H4177" s="162"/>
    </row>
    <row r="4178" ht="15.75" customHeight="1">
      <c r="H4178" s="162"/>
    </row>
    <row r="4179" ht="15.75" customHeight="1">
      <c r="H4179" s="162"/>
    </row>
    <row r="4180" ht="15.75" customHeight="1">
      <c r="H4180" s="162"/>
    </row>
    <row r="4181" ht="15.75" customHeight="1">
      <c r="H4181" s="162"/>
    </row>
    <row r="4182" ht="15.75" customHeight="1">
      <c r="H4182" s="162"/>
    </row>
    <row r="4183" ht="15.75" customHeight="1">
      <c r="H4183" s="162"/>
    </row>
    <row r="4184" ht="15.75" customHeight="1">
      <c r="H4184" s="162"/>
    </row>
    <row r="4185" ht="15.75" customHeight="1">
      <c r="H4185" s="162"/>
    </row>
    <row r="4186" ht="15.75" customHeight="1">
      <c r="H4186" s="162"/>
    </row>
    <row r="4187" ht="15.75" customHeight="1">
      <c r="H4187" s="162"/>
    </row>
    <row r="4188" ht="15.75" customHeight="1">
      <c r="H4188" s="162"/>
    </row>
    <row r="4189" ht="15.75" customHeight="1">
      <c r="H4189" s="162"/>
    </row>
    <row r="4190" ht="15.75" customHeight="1">
      <c r="H4190" s="162"/>
    </row>
    <row r="4191" ht="15.75" customHeight="1">
      <c r="H4191" s="162"/>
    </row>
    <row r="4192" ht="15.75" customHeight="1">
      <c r="H4192" s="162"/>
    </row>
    <row r="4193" ht="15.75" customHeight="1">
      <c r="H4193" s="162"/>
    </row>
    <row r="4194" ht="15.75" customHeight="1">
      <c r="H4194" s="162"/>
    </row>
    <row r="4195" ht="15.75" customHeight="1">
      <c r="H4195" s="162"/>
    </row>
    <row r="4196" ht="15.75" customHeight="1">
      <c r="H4196" s="162"/>
    </row>
    <row r="4197" ht="15.75" customHeight="1">
      <c r="H4197" s="162"/>
    </row>
    <row r="4198" ht="15.75" customHeight="1">
      <c r="H4198" s="162"/>
    </row>
    <row r="4199" ht="15.75" customHeight="1">
      <c r="H4199" s="162"/>
    </row>
    <row r="4200" ht="15.75" customHeight="1">
      <c r="H4200" s="162"/>
    </row>
    <row r="4201" ht="15.75" customHeight="1">
      <c r="H4201" s="162"/>
    </row>
    <row r="4202" ht="15.75" customHeight="1">
      <c r="H4202" s="162"/>
    </row>
    <row r="4203" ht="15.75" customHeight="1">
      <c r="H4203" s="162"/>
    </row>
    <row r="4204" ht="15.75" customHeight="1">
      <c r="H4204" s="162"/>
    </row>
    <row r="4205" ht="15.75" customHeight="1">
      <c r="H4205" s="162"/>
    </row>
    <row r="4206" ht="15.75" customHeight="1">
      <c r="H4206" s="162"/>
    </row>
    <row r="4207" ht="15.75" customHeight="1">
      <c r="H4207" s="162"/>
    </row>
    <row r="4208" ht="15.75" customHeight="1">
      <c r="H4208" s="162"/>
    </row>
    <row r="4209" ht="15.75" customHeight="1">
      <c r="H4209" s="162"/>
    </row>
    <row r="4210" ht="15.75" customHeight="1">
      <c r="H4210" s="162"/>
    </row>
    <row r="4211" ht="15.75" customHeight="1">
      <c r="H4211" s="162"/>
    </row>
    <row r="4212" ht="15.75" customHeight="1">
      <c r="H4212" s="162"/>
    </row>
    <row r="4213" ht="15.75" customHeight="1">
      <c r="H4213" s="162"/>
    </row>
    <row r="4214" ht="15.75" customHeight="1">
      <c r="H4214" s="162"/>
    </row>
    <row r="4215" ht="15.75" customHeight="1">
      <c r="H4215" s="162"/>
    </row>
    <row r="4216" ht="15.75" customHeight="1">
      <c r="H4216" s="162"/>
    </row>
    <row r="4217" ht="15.75" customHeight="1">
      <c r="H4217" s="162"/>
    </row>
    <row r="4218" ht="15.75" customHeight="1">
      <c r="H4218" s="162"/>
    </row>
    <row r="4219" ht="15.75" customHeight="1">
      <c r="H4219" s="162"/>
    </row>
    <row r="4220" ht="15.75" customHeight="1">
      <c r="H4220" s="162"/>
    </row>
    <row r="4221" ht="15.75" customHeight="1">
      <c r="H4221" s="162"/>
    </row>
    <row r="4222" ht="15.75" customHeight="1">
      <c r="H4222" s="162"/>
    </row>
    <row r="4223" ht="15.75" customHeight="1">
      <c r="H4223" s="162"/>
    </row>
    <row r="4224" ht="15.75" customHeight="1">
      <c r="H4224" s="162"/>
    </row>
    <row r="4225" ht="15.75" customHeight="1">
      <c r="H4225" s="162"/>
    </row>
    <row r="4226" ht="15.75" customHeight="1">
      <c r="H4226" s="162"/>
    </row>
    <row r="4227" ht="15.75" customHeight="1">
      <c r="H4227" s="162"/>
    </row>
    <row r="4228" ht="15.75" customHeight="1">
      <c r="H4228" s="162"/>
    </row>
    <row r="4229" ht="15.75" customHeight="1">
      <c r="H4229" s="162"/>
    </row>
    <row r="4230" ht="15.75" customHeight="1">
      <c r="H4230" s="162"/>
    </row>
    <row r="4231" ht="15.75" customHeight="1">
      <c r="H4231" s="162"/>
    </row>
    <row r="4232" ht="15.75" customHeight="1">
      <c r="H4232" s="162"/>
    </row>
    <row r="4233" ht="15.75" customHeight="1">
      <c r="H4233" s="162"/>
    </row>
    <row r="4234" ht="15.75" customHeight="1">
      <c r="H4234" s="162"/>
    </row>
    <row r="4235" ht="15.75" customHeight="1">
      <c r="H4235" s="162"/>
    </row>
    <row r="4236" ht="15.75" customHeight="1">
      <c r="H4236" s="162"/>
    </row>
    <row r="4237" ht="15.75" customHeight="1">
      <c r="H4237" s="162"/>
    </row>
    <row r="4238" ht="15.75" customHeight="1">
      <c r="H4238" s="162"/>
    </row>
    <row r="4239" ht="15.75" customHeight="1">
      <c r="H4239" s="162"/>
    </row>
    <row r="4240" ht="15.75" customHeight="1">
      <c r="H4240" s="162"/>
    </row>
    <row r="4241" ht="15.75" customHeight="1">
      <c r="H4241" s="162"/>
    </row>
    <row r="4242" ht="15.75" customHeight="1">
      <c r="H4242" s="162"/>
    </row>
    <row r="4243" ht="15.75" customHeight="1">
      <c r="H4243" s="162"/>
    </row>
    <row r="4244" ht="15.75" customHeight="1">
      <c r="H4244" s="162"/>
    </row>
    <row r="4245" ht="15.75" customHeight="1">
      <c r="H4245" s="162"/>
    </row>
    <row r="4246" ht="15.75" customHeight="1">
      <c r="H4246" s="162"/>
    </row>
    <row r="4247" ht="15.75" customHeight="1">
      <c r="H4247" s="162"/>
    </row>
    <row r="4248" ht="15.75" customHeight="1">
      <c r="H4248" s="162"/>
    </row>
    <row r="4249" ht="15.75" customHeight="1">
      <c r="H4249" s="162"/>
    </row>
    <row r="4250" ht="15.75" customHeight="1">
      <c r="H4250" s="162"/>
    </row>
    <row r="4251" ht="15.75" customHeight="1">
      <c r="H4251" s="162"/>
    </row>
    <row r="4252" ht="15.75" customHeight="1">
      <c r="H4252" s="162"/>
    </row>
    <row r="4253" ht="15.75" customHeight="1">
      <c r="H4253" s="162"/>
    </row>
    <row r="4254" ht="15.75" customHeight="1">
      <c r="H4254" s="162"/>
    </row>
    <row r="4255" ht="15.75" customHeight="1">
      <c r="H4255" s="162"/>
    </row>
    <row r="4256" ht="15.75" customHeight="1">
      <c r="H4256" s="162"/>
    </row>
    <row r="4257" ht="15.75" customHeight="1">
      <c r="H4257" s="162"/>
    </row>
    <row r="4258" ht="15.75" customHeight="1">
      <c r="H4258" s="162"/>
    </row>
    <row r="4259" ht="15.75" customHeight="1">
      <c r="H4259" s="162"/>
    </row>
    <row r="4260" ht="15.75" customHeight="1">
      <c r="H4260" s="162"/>
    </row>
    <row r="4261" ht="15.75" customHeight="1">
      <c r="H4261" s="162"/>
    </row>
    <row r="4262" ht="15.75" customHeight="1">
      <c r="H4262" s="162"/>
    </row>
    <row r="4263" ht="15.75" customHeight="1">
      <c r="H4263" s="162"/>
    </row>
    <row r="4264" ht="15.75" customHeight="1">
      <c r="H4264" s="162"/>
    </row>
    <row r="4265" ht="15.75" customHeight="1">
      <c r="H4265" s="162"/>
    </row>
    <row r="4266" ht="15.75" customHeight="1">
      <c r="H4266" s="162"/>
    </row>
    <row r="4267" ht="15.75" customHeight="1">
      <c r="H4267" s="162"/>
    </row>
    <row r="4268" ht="15.75" customHeight="1">
      <c r="H4268" s="162"/>
    </row>
    <row r="4269" ht="15.75" customHeight="1">
      <c r="H4269" s="162"/>
    </row>
    <row r="4270" ht="15.75" customHeight="1">
      <c r="H4270" s="162"/>
    </row>
    <row r="4271" ht="15.75" customHeight="1">
      <c r="H4271" s="162"/>
    </row>
    <row r="4272" ht="15.75" customHeight="1">
      <c r="H4272" s="162"/>
    </row>
    <row r="4273" ht="15.75" customHeight="1">
      <c r="H4273" s="162"/>
    </row>
    <row r="4274" ht="15.75" customHeight="1">
      <c r="H4274" s="162"/>
    </row>
    <row r="4275" ht="15.75" customHeight="1">
      <c r="H4275" s="162"/>
    </row>
    <row r="4276" ht="15.75" customHeight="1">
      <c r="H4276" s="162"/>
    </row>
    <row r="4277" ht="15.75" customHeight="1">
      <c r="H4277" s="162"/>
    </row>
    <row r="4278" ht="15.75" customHeight="1">
      <c r="H4278" s="162"/>
    </row>
    <row r="4279" ht="15.75" customHeight="1">
      <c r="H4279" s="162"/>
    </row>
    <row r="4280" ht="15.75" customHeight="1">
      <c r="H4280" s="162"/>
    </row>
    <row r="4281" ht="15.75" customHeight="1">
      <c r="H4281" s="162"/>
    </row>
    <row r="4282" ht="15.75" customHeight="1">
      <c r="H4282" s="162"/>
    </row>
    <row r="4283" ht="15.75" customHeight="1">
      <c r="H4283" s="162"/>
    </row>
    <row r="4284" ht="15.75" customHeight="1">
      <c r="H4284" s="162"/>
    </row>
    <row r="4285" ht="15.75" customHeight="1">
      <c r="H4285" s="162"/>
    </row>
    <row r="4286" ht="15.75" customHeight="1">
      <c r="H4286" s="162"/>
    </row>
    <row r="4287" ht="15.75" customHeight="1">
      <c r="H4287" s="162"/>
    </row>
    <row r="4288" ht="15.75" customHeight="1">
      <c r="H4288" s="162"/>
    </row>
    <row r="4289" ht="15.75" customHeight="1">
      <c r="H4289" s="162"/>
    </row>
    <row r="4290" ht="15.75" customHeight="1">
      <c r="H4290" s="162"/>
    </row>
    <row r="4291" ht="15.75" customHeight="1">
      <c r="H4291" s="162"/>
    </row>
    <row r="4292" ht="15.75" customHeight="1">
      <c r="H4292" s="162"/>
    </row>
    <row r="4293" ht="15.75" customHeight="1">
      <c r="H4293" s="162"/>
    </row>
    <row r="4294" ht="15.75" customHeight="1">
      <c r="H4294" s="162"/>
    </row>
    <row r="4295" ht="15.75" customHeight="1">
      <c r="H4295" s="162"/>
    </row>
    <row r="4296" ht="15.75" customHeight="1">
      <c r="H4296" s="162"/>
    </row>
    <row r="4297" ht="15.75" customHeight="1">
      <c r="H4297" s="162"/>
    </row>
    <row r="4298" ht="15.75" customHeight="1">
      <c r="H4298" s="162"/>
    </row>
    <row r="4299" ht="15.75" customHeight="1">
      <c r="H4299" s="162"/>
    </row>
    <row r="4300" ht="15.75" customHeight="1">
      <c r="H4300" s="162"/>
    </row>
    <row r="4301" ht="15.75" customHeight="1">
      <c r="H4301" s="162"/>
    </row>
    <row r="4302" ht="15.75" customHeight="1">
      <c r="H4302" s="162"/>
    </row>
    <row r="4303" ht="15.75" customHeight="1">
      <c r="H4303" s="162"/>
    </row>
    <row r="4304" ht="15.75" customHeight="1">
      <c r="H4304" s="162"/>
    </row>
    <row r="4305" ht="15.75" customHeight="1">
      <c r="H4305" s="162"/>
    </row>
    <row r="4306" ht="15.75" customHeight="1">
      <c r="H4306" s="162"/>
    </row>
    <row r="4307" ht="15.75" customHeight="1">
      <c r="H4307" s="162"/>
    </row>
    <row r="4308" ht="15.75" customHeight="1">
      <c r="H4308" s="162"/>
    </row>
    <row r="4309" ht="15.75" customHeight="1">
      <c r="H4309" s="162"/>
    </row>
    <row r="4310" ht="15.75" customHeight="1">
      <c r="H4310" s="162"/>
    </row>
    <row r="4311" ht="15.75" customHeight="1">
      <c r="H4311" s="162"/>
    </row>
    <row r="4312" ht="15.75" customHeight="1">
      <c r="H4312" s="162"/>
    </row>
    <row r="4313" ht="15.75" customHeight="1">
      <c r="H4313" s="162"/>
    </row>
    <row r="4314" ht="15.75" customHeight="1">
      <c r="H4314" s="162"/>
    </row>
    <row r="4315" ht="15.75" customHeight="1">
      <c r="H4315" s="162"/>
    </row>
    <row r="4316" ht="15.75" customHeight="1">
      <c r="H4316" s="162"/>
    </row>
    <row r="4317" ht="15.75" customHeight="1">
      <c r="H4317" s="162"/>
    </row>
    <row r="4318" ht="15.75" customHeight="1">
      <c r="H4318" s="162"/>
    </row>
    <row r="4319" ht="15.75" customHeight="1">
      <c r="H4319" s="162"/>
    </row>
    <row r="4320" ht="15.75" customHeight="1">
      <c r="H4320" s="162"/>
    </row>
    <row r="4321" ht="15.75" customHeight="1">
      <c r="H4321" s="162"/>
    </row>
    <row r="4322" ht="15.75" customHeight="1">
      <c r="H4322" s="162"/>
    </row>
    <row r="4323" ht="15.75" customHeight="1">
      <c r="H4323" s="162"/>
    </row>
    <row r="4324" ht="15.75" customHeight="1">
      <c r="H4324" s="162"/>
    </row>
    <row r="4325" ht="15.75" customHeight="1">
      <c r="H4325" s="162"/>
    </row>
    <row r="4326" ht="15.75" customHeight="1">
      <c r="H4326" s="162"/>
    </row>
    <row r="4327" ht="15.75" customHeight="1">
      <c r="H4327" s="162"/>
    </row>
    <row r="4328" ht="15.75" customHeight="1">
      <c r="H4328" s="162"/>
    </row>
    <row r="4329" ht="15.75" customHeight="1">
      <c r="H4329" s="162"/>
    </row>
    <row r="4330" ht="15.75" customHeight="1">
      <c r="H4330" s="162"/>
    </row>
    <row r="4331" ht="15.75" customHeight="1">
      <c r="H4331" s="162"/>
    </row>
    <row r="4332" ht="15.75" customHeight="1">
      <c r="H4332" s="162"/>
    </row>
    <row r="4333" ht="15.75" customHeight="1">
      <c r="H4333" s="162"/>
    </row>
    <row r="4334" ht="15.75" customHeight="1">
      <c r="H4334" s="162"/>
    </row>
    <row r="4335" ht="15.75" customHeight="1">
      <c r="H4335" s="162"/>
    </row>
    <row r="4336" ht="15.75" customHeight="1">
      <c r="H4336" s="162"/>
    </row>
    <row r="4337" ht="15.75" customHeight="1">
      <c r="H4337" s="162"/>
    </row>
    <row r="4338" ht="15.75" customHeight="1">
      <c r="H4338" s="162"/>
    </row>
    <row r="4339" ht="15.75" customHeight="1">
      <c r="H4339" s="162"/>
    </row>
    <row r="4340" ht="15.75" customHeight="1">
      <c r="H4340" s="162"/>
    </row>
    <row r="4341" ht="15.75" customHeight="1">
      <c r="H4341" s="162"/>
    </row>
    <row r="4342" ht="15.75" customHeight="1">
      <c r="H4342" s="162"/>
    </row>
    <row r="4343" ht="15.75" customHeight="1">
      <c r="H4343" s="162"/>
    </row>
    <row r="4344" ht="15.75" customHeight="1">
      <c r="H4344" s="162"/>
    </row>
    <row r="4345" ht="15.75" customHeight="1">
      <c r="H4345" s="162"/>
    </row>
    <row r="4346" ht="15.75" customHeight="1">
      <c r="H4346" s="162"/>
    </row>
    <row r="4347" ht="15.75" customHeight="1">
      <c r="H4347" s="162"/>
    </row>
    <row r="4348" ht="15.75" customHeight="1">
      <c r="H4348" s="162"/>
    </row>
    <row r="4349" ht="15.75" customHeight="1">
      <c r="H4349" s="162"/>
    </row>
    <row r="4350" ht="15.75" customHeight="1">
      <c r="H4350" s="162"/>
    </row>
    <row r="4351" ht="15.75" customHeight="1">
      <c r="H4351" s="162"/>
    </row>
    <row r="4352" ht="15.75" customHeight="1">
      <c r="H4352" s="162"/>
    </row>
    <row r="4353" ht="15.75" customHeight="1">
      <c r="H4353" s="162"/>
    </row>
    <row r="4354" ht="15.75" customHeight="1">
      <c r="H4354" s="162"/>
    </row>
    <row r="4355" ht="15.75" customHeight="1">
      <c r="H4355" s="162"/>
    </row>
    <row r="4356" ht="15.75" customHeight="1">
      <c r="H4356" s="162"/>
    </row>
    <row r="4357" ht="15.75" customHeight="1">
      <c r="H4357" s="162"/>
    </row>
    <row r="4358" ht="15.75" customHeight="1">
      <c r="H4358" s="162"/>
    </row>
    <row r="4359" ht="15.75" customHeight="1">
      <c r="H4359" s="162"/>
    </row>
    <row r="4360" ht="15.75" customHeight="1">
      <c r="H4360" s="162"/>
    </row>
    <row r="4361" ht="15.75" customHeight="1">
      <c r="H4361" s="162"/>
    </row>
    <row r="4362" ht="15.75" customHeight="1">
      <c r="H4362" s="162"/>
    </row>
    <row r="4363" ht="15.75" customHeight="1">
      <c r="H4363" s="162"/>
    </row>
    <row r="4364" ht="15.75" customHeight="1">
      <c r="H4364" s="162"/>
    </row>
    <row r="4365" ht="15.75" customHeight="1">
      <c r="H4365" s="162"/>
    </row>
    <row r="4366" ht="15.75" customHeight="1">
      <c r="H4366" s="162"/>
    </row>
    <row r="4367" ht="15.75" customHeight="1">
      <c r="H4367" s="162"/>
    </row>
    <row r="4368" ht="15.75" customHeight="1">
      <c r="H4368" s="162"/>
    </row>
    <row r="4369" ht="15.75" customHeight="1">
      <c r="H4369" s="162"/>
    </row>
    <row r="4370" ht="15.75" customHeight="1">
      <c r="H4370" s="162"/>
    </row>
    <row r="4371" ht="15.75" customHeight="1">
      <c r="H4371" s="162"/>
    </row>
    <row r="4372" ht="15.75" customHeight="1">
      <c r="H4372" s="162"/>
    </row>
    <row r="4373" ht="15.75" customHeight="1">
      <c r="H4373" s="162"/>
    </row>
    <row r="4374" ht="15.75" customHeight="1">
      <c r="H4374" s="162"/>
    </row>
    <row r="4375" ht="15.75" customHeight="1">
      <c r="H4375" s="162"/>
    </row>
    <row r="4376" ht="15.75" customHeight="1">
      <c r="H4376" s="162"/>
    </row>
    <row r="4377" ht="15.75" customHeight="1">
      <c r="H4377" s="162"/>
    </row>
    <row r="4378" ht="15.75" customHeight="1">
      <c r="H4378" s="162"/>
    </row>
    <row r="4379" ht="15.75" customHeight="1">
      <c r="H4379" s="162"/>
    </row>
    <row r="4380" ht="15.75" customHeight="1">
      <c r="H4380" s="162"/>
    </row>
    <row r="4381" ht="15.75" customHeight="1">
      <c r="H4381" s="162"/>
    </row>
    <row r="4382" ht="15.75" customHeight="1">
      <c r="H4382" s="162"/>
    </row>
    <row r="4383" ht="15.75" customHeight="1">
      <c r="H4383" s="162"/>
    </row>
    <row r="4384" ht="15.75" customHeight="1">
      <c r="H4384" s="162"/>
    </row>
    <row r="4385" ht="15.75" customHeight="1">
      <c r="H4385" s="162"/>
    </row>
    <row r="4386" ht="15.75" customHeight="1">
      <c r="H4386" s="162"/>
    </row>
    <row r="4387" ht="15.75" customHeight="1">
      <c r="H4387" s="162"/>
    </row>
    <row r="4388" ht="15.75" customHeight="1">
      <c r="H4388" s="162"/>
    </row>
    <row r="4389" ht="15.75" customHeight="1">
      <c r="H4389" s="162"/>
    </row>
    <row r="4390" ht="15.75" customHeight="1">
      <c r="H4390" s="162"/>
    </row>
    <row r="4391" ht="15.75" customHeight="1">
      <c r="H4391" s="162"/>
    </row>
    <row r="4392" ht="15.75" customHeight="1">
      <c r="H4392" s="162"/>
    </row>
    <row r="4393" ht="15.75" customHeight="1">
      <c r="H4393" s="162"/>
    </row>
    <row r="4394" ht="15.75" customHeight="1">
      <c r="H4394" s="162"/>
    </row>
    <row r="4395" ht="15.75" customHeight="1">
      <c r="H4395" s="162"/>
    </row>
    <row r="4396" ht="15.75" customHeight="1">
      <c r="H4396" s="162"/>
    </row>
    <row r="4397" ht="15.75" customHeight="1">
      <c r="H4397" s="162"/>
    </row>
    <row r="4398" ht="15.75" customHeight="1">
      <c r="H4398" s="162"/>
    </row>
    <row r="4399" ht="15.75" customHeight="1">
      <c r="H4399" s="162"/>
    </row>
    <row r="4400" ht="15.75" customHeight="1">
      <c r="H4400" s="162"/>
    </row>
    <row r="4401" ht="15.75" customHeight="1">
      <c r="H4401" s="162"/>
    </row>
    <row r="4402" ht="15.75" customHeight="1">
      <c r="H4402" s="162"/>
    </row>
    <row r="4403" ht="15.75" customHeight="1">
      <c r="H4403" s="162"/>
    </row>
    <row r="4404" ht="15.75" customHeight="1">
      <c r="H4404" s="162"/>
    </row>
    <row r="4405" ht="15.75" customHeight="1">
      <c r="H4405" s="162"/>
    </row>
    <row r="4406" ht="15.75" customHeight="1">
      <c r="H4406" s="162"/>
    </row>
    <row r="4407" ht="15.75" customHeight="1">
      <c r="H4407" s="162"/>
    </row>
    <row r="4408" ht="15.75" customHeight="1">
      <c r="H4408" s="162"/>
    </row>
    <row r="4409" ht="15.75" customHeight="1">
      <c r="H4409" s="162"/>
    </row>
    <row r="4410" ht="15.75" customHeight="1">
      <c r="H4410" s="162"/>
    </row>
    <row r="4411" ht="15.75" customHeight="1">
      <c r="H4411" s="162"/>
    </row>
    <row r="4412" ht="15.75" customHeight="1">
      <c r="H4412" s="162"/>
    </row>
    <row r="4413" ht="15.75" customHeight="1">
      <c r="H4413" s="162"/>
    </row>
    <row r="4414" ht="15.75" customHeight="1">
      <c r="H4414" s="162"/>
    </row>
    <row r="4415" ht="15.75" customHeight="1">
      <c r="H4415" s="162"/>
    </row>
    <row r="4416" ht="15.75" customHeight="1">
      <c r="H4416" s="162"/>
    </row>
    <row r="4417" ht="15.75" customHeight="1">
      <c r="H4417" s="162"/>
    </row>
    <row r="4418" ht="15.75" customHeight="1">
      <c r="H4418" s="162"/>
    </row>
    <row r="4419" ht="15.75" customHeight="1">
      <c r="H4419" s="162"/>
    </row>
    <row r="4420" ht="15.75" customHeight="1">
      <c r="H4420" s="162"/>
    </row>
    <row r="4421" ht="15.75" customHeight="1">
      <c r="H4421" s="162"/>
    </row>
    <row r="4422" ht="15.75" customHeight="1">
      <c r="H4422" s="162"/>
    </row>
    <row r="4423" ht="15.75" customHeight="1">
      <c r="H4423" s="162"/>
    </row>
    <row r="4424" ht="15.75" customHeight="1">
      <c r="H4424" s="162"/>
    </row>
    <row r="4425" ht="15.75" customHeight="1">
      <c r="H4425" s="162"/>
    </row>
    <row r="4426" ht="15.75" customHeight="1">
      <c r="H4426" s="162"/>
    </row>
    <row r="4427" ht="15.75" customHeight="1">
      <c r="H4427" s="162"/>
    </row>
    <row r="4428" ht="15.75" customHeight="1">
      <c r="H4428" s="162"/>
    </row>
    <row r="4429" ht="15.75" customHeight="1">
      <c r="H4429" s="162"/>
    </row>
    <row r="4430" ht="15.75" customHeight="1">
      <c r="H4430" s="162"/>
    </row>
    <row r="4431" ht="15.75" customHeight="1">
      <c r="H4431" s="162"/>
    </row>
    <row r="4432" ht="15.75" customHeight="1">
      <c r="H4432" s="162"/>
    </row>
    <row r="4433" ht="15.75" customHeight="1">
      <c r="H4433" s="162"/>
    </row>
    <row r="4434" ht="15.75" customHeight="1">
      <c r="H4434" s="162"/>
    </row>
    <row r="4435" ht="15.75" customHeight="1">
      <c r="H4435" s="162"/>
    </row>
    <row r="4436" ht="15.75" customHeight="1">
      <c r="H4436" s="162"/>
    </row>
    <row r="4437" ht="15.75" customHeight="1">
      <c r="H4437" s="162"/>
    </row>
    <row r="4438" ht="15.75" customHeight="1">
      <c r="H4438" s="162"/>
    </row>
    <row r="4439" ht="15.75" customHeight="1">
      <c r="H4439" s="162"/>
    </row>
    <row r="4440" ht="15.75" customHeight="1">
      <c r="H4440" s="162"/>
    </row>
    <row r="4441" ht="15.75" customHeight="1">
      <c r="H4441" s="162"/>
    </row>
    <row r="4442" ht="15.75" customHeight="1">
      <c r="H4442" s="162"/>
    </row>
    <row r="4443" ht="15.75" customHeight="1">
      <c r="H4443" s="162"/>
    </row>
    <row r="4444" ht="15.75" customHeight="1">
      <c r="H4444" s="162"/>
    </row>
    <row r="4445" ht="15.75" customHeight="1">
      <c r="H4445" s="162"/>
    </row>
    <row r="4446" ht="15.75" customHeight="1">
      <c r="H4446" s="162"/>
    </row>
    <row r="4447" ht="15.75" customHeight="1">
      <c r="H4447" s="162"/>
    </row>
    <row r="4448" ht="15.75" customHeight="1">
      <c r="H4448" s="162"/>
    </row>
    <row r="4449" ht="15.75" customHeight="1">
      <c r="H4449" s="162"/>
    </row>
    <row r="4450" ht="15.75" customHeight="1">
      <c r="H4450" s="162"/>
    </row>
    <row r="4451" ht="15.75" customHeight="1">
      <c r="H4451" s="162"/>
    </row>
    <row r="4452" ht="15.75" customHeight="1">
      <c r="H4452" s="162"/>
    </row>
    <row r="4453" ht="15.75" customHeight="1">
      <c r="H4453" s="162"/>
    </row>
    <row r="4454" ht="15.75" customHeight="1">
      <c r="H4454" s="162"/>
    </row>
    <row r="4455" ht="15.75" customHeight="1">
      <c r="H4455" s="162"/>
    </row>
    <row r="4456" ht="15.75" customHeight="1">
      <c r="H4456" s="162"/>
    </row>
    <row r="4457" ht="15.75" customHeight="1">
      <c r="H4457" s="162"/>
    </row>
    <row r="4458" ht="15.75" customHeight="1">
      <c r="H4458" s="162"/>
    </row>
    <row r="4459" ht="15.75" customHeight="1">
      <c r="H4459" s="162"/>
    </row>
    <row r="4460" ht="15.75" customHeight="1">
      <c r="H4460" s="162"/>
    </row>
    <row r="4461" ht="15.75" customHeight="1">
      <c r="H4461" s="162"/>
    </row>
    <row r="4462" ht="15.75" customHeight="1">
      <c r="H4462" s="162"/>
    </row>
    <row r="4463" ht="15.75" customHeight="1">
      <c r="H4463" s="162"/>
    </row>
    <row r="4464" ht="15.75" customHeight="1">
      <c r="H4464" s="162"/>
    </row>
    <row r="4465" ht="15.75" customHeight="1">
      <c r="H4465" s="162"/>
    </row>
    <row r="4466" ht="15.75" customHeight="1">
      <c r="H4466" s="162"/>
    </row>
    <row r="4467" ht="15.75" customHeight="1">
      <c r="H4467" s="162"/>
    </row>
    <row r="4468" ht="15.75" customHeight="1">
      <c r="H4468" s="162"/>
    </row>
    <row r="4469" ht="15.75" customHeight="1">
      <c r="H4469" s="162"/>
    </row>
    <row r="4470" ht="15.75" customHeight="1">
      <c r="H4470" s="162"/>
    </row>
    <row r="4471" ht="15.75" customHeight="1">
      <c r="H4471" s="162"/>
    </row>
    <row r="4472" ht="15.75" customHeight="1">
      <c r="H4472" s="162"/>
    </row>
    <row r="4473" ht="15.75" customHeight="1">
      <c r="H4473" s="162"/>
    </row>
    <row r="4474" ht="15.75" customHeight="1">
      <c r="H4474" s="162"/>
    </row>
    <row r="4475" ht="15.75" customHeight="1">
      <c r="H4475" s="162"/>
    </row>
    <row r="4476" ht="15.75" customHeight="1">
      <c r="H4476" s="162"/>
    </row>
    <row r="4477" ht="15.75" customHeight="1">
      <c r="H4477" s="162"/>
    </row>
    <row r="4478" ht="15.75" customHeight="1">
      <c r="H4478" s="162"/>
    </row>
    <row r="4479" ht="15.75" customHeight="1">
      <c r="H4479" s="162"/>
    </row>
    <row r="4480" ht="15.75" customHeight="1">
      <c r="H4480" s="162"/>
    </row>
    <row r="4481" ht="15.75" customHeight="1">
      <c r="H4481" s="162"/>
    </row>
    <row r="4482" ht="15.75" customHeight="1">
      <c r="H4482" s="162"/>
    </row>
    <row r="4483" ht="15.75" customHeight="1">
      <c r="H4483" s="162"/>
    </row>
    <row r="4484" ht="15.75" customHeight="1">
      <c r="H4484" s="162"/>
    </row>
    <row r="4485" ht="15.75" customHeight="1">
      <c r="H4485" s="162"/>
    </row>
    <row r="4486" ht="15.75" customHeight="1">
      <c r="H4486" s="162"/>
    </row>
    <row r="4487" ht="15.75" customHeight="1">
      <c r="H4487" s="162"/>
    </row>
    <row r="4488" ht="15.75" customHeight="1">
      <c r="H4488" s="162"/>
    </row>
    <row r="4489" ht="15.75" customHeight="1">
      <c r="H4489" s="162"/>
    </row>
    <row r="4490" ht="15.75" customHeight="1">
      <c r="H4490" s="162"/>
    </row>
    <row r="4491" ht="15.75" customHeight="1">
      <c r="H4491" s="162"/>
    </row>
    <row r="4492" ht="15.75" customHeight="1">
      <c r="H4492" s="162"/>
    </row>
    <row r="4493" ht="15.75" customHeight="1">
      <c r="H4493" s="162"/>
    </row>
    <row r="4494" ht="15.75" customHeight="1">
      <c r="H4494" s="162"/>
    </row>
    <row r="4495" ht="15.75" customHeight="1">
      <c r="H4495" s="162"/>
    </row>
    <row r="4496" ht="15.75" customHeight="1">
      <c r="H4496" s="162"/>
    </row>
    <row r="4497" ht="15.75" customHeight="1">
      <c r="H4497" s="162"/>
    </row>
    <row r="4498" ht="15.75" customHeight="1">
      <c r="H4498" s="162"/>
    </row>
    <row r="4499" ht="15.75" customHeight="1">
      <c r="H4499" s="162"/>
    </row>
    <row r="4500" ht="15.75" customHeight="1">
      <c r="H4500" s="162"/>
    </row>
    <row r="4501" ht="15.75" customHeight="1">
      <c r="H4501" s="162"/>
    </row>
    <row r="4502" ht="15.75" customHeight="1">
      <c r="H4502" s="162"/>
    </row>
    <row r="4503" ht="15.75" customHeight="1">
      <c r="H4503" s="162"/>
    </row>
    <row r="4504" ht="15.75" customHeight="1">
      <c r="H4504" s="162"/>
    </row>
    <row r="4505" ht="15.75" customHeight="1">
      <c r="H4505" s="162"/>
    </row>
    <row r="4506" ht="15.75" customHeight="1">
      <c r="H4506" s="162"/>
    </row>
    <row r="4507" ht="15.75" customHeight="1">
      <c r="H4507" s="162"/>
    </row>
    <row r="4508" ht="15.75" customHeight="1">
      <c r="H4508" s="162"/>
    </row>
    <row r="4509" ht="15.75" customHeight="1">
      <c r="H4509" s="162"/>
    </row>
    <row r="4510" ht="15.75" customHeight="1">
      <c r="H4510" s="162"/>
    </row>
    <row r="4511" ht="15.75" customHeight="1">
      <c r="H4511" s="162"/>
    </row>
    <row r="4512" ht="15.75" customHeight="1">
      <c r="H4512" s="162"/>
    </row>
    <row r="4513" ht="15.75" customHeight="1">
      <c r="H4513" s="162"/>
    </row>
    <row r="4514" ht="15.75" customHeight="1">
      <c r="H4514" s="162"/>
    </row>
    <row r="4515" ht="15.75" customHeight="1">
      <c r="H4515" s="162"/>
    </row>
    <row r="4516" ht="15.75" customHeight="1">
      <c r="H4516" s="162"/>
    </row>
    <row r="4517" ht="15.75" customHeight="1">
      <c r="H4517" s="162"/>
    </row>
    <row r="4518" ht="15.75" customHeight="1">
      <c r="H4518" s="162"/>
    </row>
    <row r="4519" ht="15.75" customHeight="1">
      <c r="H4519" s="162"/>
    </row>
    <row r="4520" ht="15.75" customHeight="1">
      <c r="H4520" s="162"/>
    </row>
    <row r="4521" ht="15.75" customHeight="1">
      <c r="H4521" s="162"/>
    </row>
    <row r="4522" ht="15.75" customHeight="1">
      <c r="H4522" s="162"/>
    </row>
    <row r="4523" ht="15.75" customHeight="1">
      <c r="H4523" s="162"/>
    </row>
    <row r="4524" ht="15.75" customHeight="1">
      <c r="H4524" s="162"/>
    </row>
    <row r="4525" ht="15.75" customHeight="1">
      <c r="H4525" s="162"/>
    </row>
    <row r="4526" ht="15.75" customHeight="1">
      <c r="H4526" s="162"/>
    </row>
    <row r="4527" ht="15.75" customHeight="1">
      <c r="H4527" s="162"/>
    </row>
    <row r="4528" ht="15.75" customHeight="1">
      <c r="H4528" s="162"/>
    </row>
    <row r="4529" ht="15.75" customHeight="1">
      <c r="H4529" s="162"/>
    </row>
    <row r="4530" ht="15.75" customHeight="1">
      <c r="H4530" s="162"/>
    </row>
    <row r="4531" ht="15.75" customHeight="1">
      <c r="H4531" s="162"/>
    </row>
    <row r="4532" ht="15.75" customHeight="1">
      <c r="H4532" s="162"/>
    </row>
    <row r="4533" ht="15.75" customHeight="1">
      <c r="H4533" s="162"/>
    </row>
    <row r="4534" ht="15.75" customHeight="1">
      <c r="H4534" s="162"/>
    </row>
    <row r="4535" ht="15.75" customHeight="1">
      <c r="H4535" s="162"/>
    </row>
    <row r="4536" ht="15.75" customHeight="1">
      <c r="H4536" s="162"/>
    </row>
    <row r="4537" ht="15.75" customHeight="1">
      <c r="H4537" s="162"/>
    </row>
    <row r="4538" ht="15.75" customHeight="1">
      <c r="H4538" s="162"/>
    </row>
    <row r="4539" ht="15.75" customHeight="1">
      <c r="H4539" s="162"/>
    </row>
    <row r="4540" ht="15.75" customHeight="1">
      <c r="H4540" s="162"/>
    </row>
    <row r="4541" ht="15.75" customHeight="1">
      <c r="H4541" s="162"/>
    </row>
    <row r="4542" ht="15.75" customHeight="1">
      <c r="H4542" s="162"/>
    </row>
    <row r="4543" ht="15.75" customHeight="1">
      <c r="H4543" s="162"/>
    </row>
    <row r="4544" ht="15.75" customHeight="1">
      <c r="H4544" s="162"/>
    </row>
    <row r="4545" ht="15.75" customHeight="1">
      <c r="H4545" s="162"/>
    </row>
    <row r="4546" ht="15.75" customHeight="1">
      <c r="H4546" s="162"/>
    </row>
    <row r="4547" ht="15.75" customHeight="1">
      <c r="H4547" s="162"/>
    </row>
    <row r="4548" ht="15.75" customHeight="1">
      <c r="H4548" s="162"/>
    </row>
    <row r="4549" ht="15.75" customHeight="1">
      <c r="H4549" s="162"/>
    </row>
    <row r="4550" ht="15.75" customHeight="1">
      <c r="H4550" s="162"/>
    </row>
    <row r="4551" ht="15.75" customHeight="1">
      <c r="H4551" s="162"/>
    </row>
    <row r="4552" ht="15.75" customHeight="1">
      <c r="H4552" s="162"/>
    </row>
    <row r="4553" ht="15.75" customHeight="1">
      <c r="H4553" s="162"/>
    </row>
    <row r="4554" ht="15.75" customHeight="1">
      <c r="H4554" s="162"/>
    </row>
    <row r="4555" ht="15.75" customHeight="1">
      <c r="H4555" s="162"/>
    </row>
    <row r="4556" ht="15.75" customHeight="1">
      <c r="H4556" s="162"/>
    </row>
    <row r="4557" ht="15.75" customHeight="1">
      <c r="H4557" s="162"/>
    </row>
    <row r="4558" ht="15.75" customHeight="1">
      <c r="H4558" s="162"/>
    </row>
    <row r="4559" ht="15.75" customHeight="1">
      <c r="H4559" s="162"/>
    </row>
    <row r="4560" ht="15.75" customHeight="1">
      <c r="H4560" s="162"/>
    </row>
    <row r="4561" ht="15.75" customHeight="1">
      <c r="H4561" s="162"/>
    </row>
    <row r="4562" ht="15.75" customHeight="1">
      <c r="H4562" s="162"/>
    </row>
    <row r="4563" ht="15.75" customHeight="1">
      <c r="H4563" s="162"/>
    </row>
    <row r="4564" ht="15.75" customHeight="1">
      <c r="H4564" s="162"/>
    </row>
    <row r="4565" ht="15.75" customHeight="1">
      <c r="H4565" s="162"/>
    </row>
    <row r="4566" ht="15.75" customHeight="1">
      <c r="H4566" s="162"/>
    </row>
    <row r="4567" ht="15.75" customHeight="1">
      <c r="H4567" s="162"/>
    </row>
    <row r="4568" ht="15.75" customHeight="1">
      <c r="H4568" s="162"/>
    </row>
    <row r="4569" ht="15.75" customHeight="1">
      <c r="H4569" s="162"/>
    </row>
    <row r="4570" ht="15.75" customHeight="1">
      <c r="H4570" s="162"/>
    </row>
    <row r="4571" ht="15.75" customHeight="1">
      <c r="H4571" s="162"/>
    </row>
    <row r="4572" ht="15.75" customHeight="1">
      <c r="H4572" s="162"/>
    </row>
    <row r="4573" ht="15.75" customHeight="1">
      <c r="H4573" s="162"/>
    </row>
    <row r="4574" ht="15.75" customHeight="1">
      <c r="H4574" s="162"/>
    </row>
    <row r="4575" ht="15.75" customHeight="1">
      <c r="H4575" s="162"/>
    </row>
    <row r="4576" ht="15.75" customHeight="1">
      <c r="H4576" s="162"/>
    </row>
    <row r="4577" ht="15.75" customHeight="1">
      <c r="H4577" s="162"/>
    </row>
    <row r="4578" ht="15.75" customHeight="1">
      <c r="H4578" s="162"/>
    </row>
    <row r="4579" ht="15.75" customHeight="1">
      <c r="H4579" s="162"/>
    </row>
    <row r="4580" ht="15.75" customHeight="1">
      <c r="H4580" s="162"/>
    </row>
    <row r="4581" ht="15.75" customHeight="1">
      <c r="H4581" s="162"/>
    </row>
    <row r="4582" ht="15.75" customHeight="1">
      <c r="H4582" s="162"/>
    </row>
    <row r="4583" ht="15.75" customHeight="1">
      <c r="H4583" s="162"/>
    </row>
    <row r="4584" ht="15.75" customHeight="1">
      <c r="H4584" s="162"/>
    </row>
    <row r="4585" ht="15.75" customHeight="1">
      <c r="H4585" s="162"/>
    </row>
    <row r="4586" ht="15.75" customHeight="1">
      <c r="H4586" s="162"/>
    </row>
    <row r="4587" ht="15.75" customHeight="1">
      <c r="H4587" s="162"/>
    </row>
    <row r="4588" ht="15.75" customHeight="1">
      <c r="H4588" s="162"/>
    </row>
    <row r="4589" ht="15.75" customHeight="1">
      <c r="H4589" s="162"/>
    </row>
    <row r="4590" ht="15.75" customHeight="1">
      <c r="H4590" s="162"/>
    </row>
    <row r="4591" ht="15.75" customHeight="1">
      <c r="H4591" s="162"/>
    </row>
    <row r="4592" ht="15.75" customHeight="1">
      <c r="H4592" s="162"/>
    </row>
    <row r="4593" ht="15.75" customHeight="1">
      <c r="H4593" s="162"/>
    </row>
    <row r="4594" ht="15.75" customHeight="1">
      <c r="H4594" s="162"/>
    </row>
    <row r="4595" ht="15.75" customHeight="1">
      <c r="H4595" s="162"/>
    </row>
    <row r="4596" ht="15.75" customHeight="1">
      <c r="H4596" s="162"/>
    </row>
    <row r="4597" ht="15.75" customHeight="1">
      <c r="H4597" s="162"/>
    </row>
    <row r="4598" ht="15.75" customHeight="1">
      <c r="H4598" s="162"/>
    </row>
    <row r="4599" ht="15.75" customHeight="1">
      <c r="H4599" s="162"/>
    </row>
    <row r="4600" ht="15.75" customHeight="1">
      <c r="H4600" s="162"/>
    </row>
    <row r="4601" ht="15.75" customHeight="1">
      <c r="H4601" s="162"/>
    </row>
    <row r="4602" ht="15.75" customHeight="1">
      <c r="H4602" s="162"/>
    </row>
    <row r="4603" ht="15.75" customHeight="1">
      <c r="H4603" s="162"/>
    </row>
    <row r="4604" ht="15.75" customHeight="1">
      <c r="H4604" s="162"/>
    </row>
    <row r="4605" ht="15.75" customHeight="1">
      <c r="H4605" s="162"/>
    </row>
    <row r="4606" ht="15.75" customHeight="1">
      <c r="H4606" s="162"/>
    </row>
    <row r="4607" ht="15.75" customHeight="1">
      <c r="H4607" s="162"/>
    </row>
    <row r="4608" ht="15.75" customHeight="1">
      <c r="H4608" s="162"/>
    </row>
    <row r="4609" ht="15.75" customHeight="1">
      <c r="H4609" s="162"/>
    </row>
    <row r="4610" ht="15.75" customHeight="1">
      <c r="H4610" s="162"/>
    </row>
    <row r="4611" ht="15.75" customHeight="1">
      <c r="H4611" s="162"/>
    </row>
    <row r="4612" ht="15.75" customHeight="1">
      <c r="H4612" s="162"/>
    </row>
    <row r="4613" ht="15.75" customHeight="1">
      <c r="H4613" s="162"/>
    </row>
    <row r="4614" ht="15.75" customHeight="1">
      <c r="H4614" s="162"/>
    </row>
    <row r="4615" ht="15.75" customHeight="1">
      <c r="H4615" s="162"/>
    </row>
    <row r="4616" ht="15.75" customHeight="1">
      <c r="H4616" s="162"/>
    </row>
    <row r="4617" ht="15.75" customHeight="1">
      <c r="H4617" s="162"/>
    </row>
    <row r="4618" ht="15.75" customHeight="1">
      <c r="H4618" s="162"/>
    </row>
    <row r="4619" ht="15.75" customHeight="1">
      <c r="H4619" s="162"/>
    </row>
    <row r="4620" ht="15.75" customHeight="1">
      <c r="H4620" s="162"/>
    </row>
    <row r="4621" ht="15.75" customHeight="1">
      <c r="H4621" s="162"/>
    </row>
    <row r="4622" ht="15.75" customHeight="1">
      <c r="H4622" s="162"/>
    </row>
    <row r="4623" ht="15.75" customHeight="1">
      <c r="H4623" s="162"/>
    </row>
    <row r="4624" ht="15.75" customHeight="1">
      <c r="H4624" s="162"/>
    </row>
    <row r="4625" ht="15.75" customHeight="1">
      <c r="H4625" s="162"/>
    </row>
    <row r="4626" ht="15.75" customHeight="1">
      <c r="H4626" s="162"/>
    </row>
    <row r="4627" ht="15.75" customHeight="1">
      <c r="H4627" s="162"/>
    </row>
    <row r="4628" ht="15.75" customHeight="1">
      <c r="H4628" s="162"/>
    </row>
    <row r="4629" ht="15.75" customHeight="1">
      <c r="H4629" s="162"/>
    </row>
    <row r="4630" ht="15.75" customHeight="1">
      <c r="H4630" s="162"/>
    </row>
    <row r="4631" ht="15.75" customHeight="1">
      <c r="H4631" s="162"/>
    </row>
    <row r="4632" ht="15.75" customHeight="1">
      <c r="H4632" s="162"/>
    </row>
    <row r="4633" ht="15.75" customHeight="1">
      <c r="H4633" s="162"/>
    </row>
    <row r="4634" ht="15.75" customHeight="1">
      <c r="H4634" s="162"/>
    </row>
    <row r="4635" ht="15.75" customHeight="1">
      <c r="H4635" s="162"/>
    </row>
    <row r="4636" ht="15.75" customHeight="1">
      <c r="H4636" s="162"/>
    </row>
    <row r="4637" ht="15.75" customHeight="1">
      <c r="H4637" s="162"/>
    </row>
    <row r="4638" ht="15.75" customHeight="1">
      <c r="H4638" s="162"/>
    </row>
    <row r="4639" ht="15.75" customHeight="1">
      <c r="H4639" s="162"/>
    </row>
    <row r="4640" ht="15.75" customHeight="1">
      <c r="H4640" s="162"/>
    </row>
    <row r="4641" ht="15.75" customHeight="1">
      <c r="H4641" s="162"/>
    </row>
    <row r="4642" ht="15.75" customHeight="1">
      <c r="H4642" s="162"/>
    </row>
    <row r="4643" ht="15.75" customHeight="1">
      <c r="H4643" s="162"/>
    </row>
    <row r="4644" ht="15.75" customHeight="1">
      <c r="H4644" s="162"/>
    </row>
    <row r="4645" ht="15.75" customHeight="1">
      <c r="H4645" s="162"/>
    </row>
    <row r="4646" ht="15.75" customHeight="1">
      <c r="H4646" s="162"/>
    </row>
    <row r="4647" ht="15.75" customHeight="1">
      <c r="H4647" s="162"/>
    </row>
    <row r="4648" ht="15.75" customHeight="1">
      <c r="H4648" s="162"/>
    </row>
    <row r="4649" ht="15.75" customHeight="1">
      <c r="H4649" s="162"/>
    </row>
    <row r="4650" ht="15.75" customHeight="1">
      <c r="H4650" s="162"/>
    </row>
    <row r="4651" ht="15.75" customHeight="1">
      <c r="H4651" s="162"/>
    </row>
    <row r="4652" ht="15.75" customHeight="1">
      <c r="H4652" s="162"/>
    </row>
    <row r="4653" ht="15.75" customHeight="1">
      <c r="H4653" s="162"/>
    </row>
    <row r="4654" ht="15.75" customHeight="1">
      <c r="H4654" s="162"/>
    </row>
    <row r="4655" ht="15.75" customHeight="1">
      <c r="H4655" s="162"/>
    </row>
    <row r="4656" ht="15.75" customHeight="1">
      <c r="H4656" s="162"/>
    </row>
    <row r="4657" ht="15.75" customHeight="1">
      <c r="H4657" s="162"/>
    </row>
    <row r="4658" ht="15.75" customHeight="1">
      <c r="H4658" s="162"/>
    </row>
    <row r="4659" ht="15.75" customHeight="1">
      <c r="H4659" s="162"/>
    </row>
    <row r="4660" ht="15.75" customHeight="1">
      <c r="H4660" s="162"/>
    </row>
    <row r="4661" ht="15.75" customHeight="1">
      <c r="H4661" s="162"/>
    </row>
    <row r="4662" ht="15.75" customHeight="1">
      <c r="H4662" s="162"/>
    </row>
    <row r="4663" ht="15.75" customHeight="1">
      <c r="H4663" s="162"/>
    </row>
    <row r="4664" ht="15.75" customHeight="1">
      <c r="H4664" s="162"/>
    </row>
    <row r="4665" ht="15.75" customHeight="1">
      <c r="H4665" s="162"/>
    </row>
    <row r="4666" ht="15.75" customHeight="1">
      <c r="H4666" s="162"/>
    </row>
    <row r="4667" ht="15.75" customHeight="1">
      <c r="H4667" s="162"/>
    </row>
    <row r="4668" ht="15.75" customHeight="1">
      <c r="H4668" s="162"/>
    </row>
    <row r="4669" ht="15.75" customHeight="1">
      <c r="H4669" s="162"/>
    </row>
    <row r="4670" ht="15.75" customHeight="1">
      <c r="H4670" s="162"/>
    </row>
    <row r="4671" ht="15.75" customHeight="1">
      <c r="H4671" s="162"/>
    </row>
    <row r="4672" ht="15.75" customHeight="1">
      <c r="H4672" s="162"/>
    </row>
    <row r="4673" ht="15.75" customHeight="1">
      <c r="H4673" s="162"/>
    </row>
    <row r="4674" ht="15.75" customHeight="1">
      <c r="H4674" s="162"/>
    </row>
    <row r="4675" ht="15.75" customHeight="1">
      <c r="H4675" s="162"/>
    </row>
    <row r="4676" ht="15.75" customHeight="1">
      <c r="H4676" s="162"/>
    </row>
    <row r="4677" ht="15.75" customHeight="1">
      <c r="H4677" s="162"/>
    </row>
    <row r="4678" ht="15.75" customHeight="1">
      <c r="H4678" s="162"/>
    </row>
    <row r="4679" ht="15.75" customHeight="1">
      <c r="H4679" s="162"/>
    </row>
    <row r="4680" ht="15.75" customHeight="1">
      <c r="H4680" s="162"/>
    </row>
    <row r="4681" ht="15.75" customHeight="1">
      <c r="H4681" s="162"/>
    </row>
    <row r="4682" ht="15.75" customHeight="1">
      <c r="H4682" s="162"/>
    </row>
    <row r="4683" ht="15.75" customHeight="1">
      <c r="H4683" s="162"/>
    </row>
    <row r="4684" ht="15.75" customHeight="1">
      <c r="H4684" s="162"/>
    </row>
    <row r="4685" ht="15.75" customHeight="1">
      <c r="H4685" s="162"/>
    </row>
    <row r="4686" ht="15.75" customHeight="1">
      <c r="H4686" s="162"/>
    </row>
    <row r="4687" ht="15.75" customHeight="1">
      <c r="H4687" s="162"/>
    </row>
    <row r="4688" ht="15.75" customHeight="1">
      <c r="H4688" s="162"/>
    </row>
    <row r="4689" ht="15.75" customHeight="1">
      <c r="H4689" s="162"/>
    </row>
    <row r="4690" ht="15.75" customHeight="1">
      <c r="H4690" s="162"/>
    </row>
    <row r="4691" ht="15.75" customHeight="1">
      <c r="H4691" s="162"/>
    </row>
    <row r="4692" ht="15.75" customHeight="1">
      <c r="H4692" s="162"/>
    </row>
    <row r="4693" ht="15.75" customHeight="1">
      <c r="H4693" s="162"/>
    </row>
    <row r="4694" ht="15.75" customHeight="1">
      <c r="H4694" s="162"/>
    </row>
    <row r="4695" ht="15.75" customHeight="1">
      <c r="H4695" s="162"/>
    </row>
    <row r="4696" ht="15.75" customHeight="1">
      <c r="H4696" s="162"/>
    </row>
    <row r="4697" ht="15.75" customHeight="1">
      <c r="H4697" s="162"/>
    </row>
    <row r="4698" ht="15.75" customHeight="1">
      <c r="H4698" s="162"/>
    </row>
    <row r="4699" ht="15.75" customHeight="1">
      <c r="H4699" s="162"/>
    </row>
    <row r="4700" ht="15.75" customHeight="1">
      <c r="H4700" s="162"/>
    </row>
    <row r="4701" ht="15.75" customHeight="1">
      <c r="H4701" s="162"/>
    </row>
    <row r="4702" ht="15.75" customHeight="1">
      <c r="H4702" s="162"/>
    </row>
    <row r="4703" ht="15.75" customHeight="1">
      <c r="H4703" s="162"/>
    </row>
    <row r="4704" ht="15.75" customHeight="1">
      <c r="H4704" s="162"/>
    </row>
    <row r="4705" ht="15.75" customHeight="1">
      <c r="H4705" s="162"/>
    </row>
    <row r="4706" ht="15.75" customHeight="1">
      <c r="H4706" s="162"/>
    </row>
    <row r="4707" ht="15.75" customHeight="1">
      <c r="H4707" s="162"/>
    </row>
    <row r="4708" ht="15.75" customHeight="1">
      <c r="H4708" s="162"/>
    </row>
    <row r="4709" ht="15.75" customHeight="1">
      <c r="H4709" s="162"/>
    </row>
    <row r="4710" ht="15.75" customHeight="1">
      <c r="H4710" s="162"/>
    </row>
    <row r="4711" ht="15.75" customHeight="1">
      <c r="H4711" s="162"/>
    </row>
    <row r="4712" ht="15.75" customHeight="1">
      <c r="H4712" s="162"/>
    </row>
    <row r="4713" ht="15.75" customHeight="1">
      <c r="H4713" s="162"/>
    </row>
    <row r="4714" ht="15.75" customHeight="1">
      <c r="H4714" s="162"/>
    </row>
    <row r="4715" ht="15.75" customHeight="1">
      <c r="H4715" s="162"/>
    </row>
    <row r="4716" ht="15.75" customHeight="1">
      <c r="H4716" s="162"/>
    </row>
    <row r="4717" ht="15.75" customHeight="1">
      <c r="H4717" s="162"/>
    </row>
    <row r="4718" ht="15.75" customHeight="1">
      <c r="H4718" s="162"/>
    </row>
    <row r="4719" ht="15.75" customHeight="1">
      <c r="H4719" s="162"/>
    </row>
    <row r="4720" ht="15.75" customHeight="1">
      <c r="H4720" s="162"/>
    </row>
    <row r="4721" ht="15.75" customHeight="1">
      <c r="H4721" s="162"/>
    </row>
    <row r="4722" ht="15.75" customHeight="1">
      <c r="H4722" s="162"/>
    </row>
    <row r="4723" ht="15.75" customHeight="1">
      <c r="H4723" s="162"/>
    </row>
    <row r="4724" ht="15.75" customHeight="1">
      <c r="H4724" s="162"/>
    </row>
    <row r="4725" ht="15.75" customHeight="1">
      <c r="H4725" s="162"/>
    </row>
    <row r="4726" ht="15.75" customHeight="1">
      <c r="H4726" s="162"/>
    </row>
    <row r="4727" ht="15.75" customHeight="1">
      <c r="H4727" s="162"/>
    </row>
    <row r="4728" ht="15.75" customHeight="1">
      <c r="H4728" s="162"/>
    </row>
    <row r="4729" ht="15.75" customHeight="1">
      <c r="H4729" s="162"/>
    </row>
    <row r="4730" ht="15.75" customHeight="1">
      <c r="H4730" s="162"/>
    </row>
    <row r="4731" ht="15.75" customHeight="1">
      <c r="H4731" s="162"/>
    </row>
    <row r="4732" ht="15.75" customHeight="1">
      <c r="H4732" s="162"/>
    </row>
    <row r="4733" ht="15.75" customHeight="1">
      <c r="H4733" s="162"/>
    </row>
    <row r="4734" ht="15.75" customHeight="1">
      <c r="H4734" s="162"/>
    </row>
    <row r="4735" ht="15.75" customHeight="1">
      <c r="H4735" s="162"/>
    </row>
    <row r="4736" ht="15.75" customHeight="1">
      <c r="H4736" s="162"/>
    </row>
    <row r="4737" ht="15.75" customHeight="1">
      <c r="H4737" s="162"/>
    </row>
    <row r="4738" ht="15.75" customHeight="1">
      <c r="H4738" s="162"/>
    </row>
    <row r="4739" ht="15.75" customHeight="1">
      <c r="H4739" s="162"/>
    </row>
    <row r="4740" ht="15.75" customHeight="1">
      <c r="H4740" s="162"/>
    </row>
    <row r="4741" ht="15.75" customHeight="1">
      <c r="H4741" s="162"/>
    </row>
    <row r="4742" ht="15.75" customHeight="1">
      <c r="H4742" s="162"/>
    </row>
    <row r="4743" ht="15.75" customHeight="1">
      <c r="H4743" s="162"/>
    </row>
    <row r="4744" ht="15.75" customHeight="1">
      <c r="H4744" s="162"/>
    </row>
    <row r="4745" ht="15.75" customHeight="1">
      <c r="H4745" s="162"/>
    </row>
    <row r="4746" ht="15.75" customHeight="1">
      <c r="H4746" s="162"/>
    </row>
    <row r="4747" ht="15.75" customHeight="1">
      <c r="H4747" s="162"/>
    </row>
    <row r="4748" ht="15.75" customHeight="1">
      <c r="H4748" s="162"/>
    </row>
    <row r="4749" ht="15.75" customHeight="1">
      <c r="H4749" s="162"/>
    </row>
    <row r="4750" ht="15.75" customHeight="1">
      <c r="H4750" s="162"/>
    </row>
    <row r="4751" ht="15.75" customHeight="1">
      <c r="H4751" s="162"/>
    </row>
    <row r="4752" ht="15.75" customHeight="1">
      <c r="H4752" s="162"/>
    </row>
    <row r="4753" ht="15.75" customHeight="1">
      <c r="H4753" s="162"/>
    </row>
    <row r="4754" ht="15.75" customHeight="1">
      <c r="H4754" s="162"/>
    </row>
    <row r="4755" ht="15.75" customHeight="1">
      <c r="H4755" s="162"/>
    </row>
    <row r="4756" ht="15.75" customHeight="1">
      <c r="H4756" s="162"/>
    </row>
    <row r="4757" ht="15.75" customHeight="1">
      <c r="H4757" s="162"/>
    </row>
    <row r="4758" ht="15.75" customHeight="1">
      <c r="H4758" s="162"/>
    </row>
    <row r="4759" ht="15.75" customHeight="1">
      <c r="H4759" s="162"/>
    </row>
    <row r="4760" ht="15.75" customHeight="1">
      <c r="H4760" s="162"/>
    </row>
    <row r="4761" ht="15.75" customHeight="1">
      <c r="H4761" s="162"/>
    </row>
    <row r="4762" ht="15.75" customHeight="1">
      <c r="H4762" s="162"/>
    </row>
    <row r="4763" ht="15.75" customHeight="1">
      <c r="H4763" s="162"/>
    </row>
    <row r="4764" ht="15.75" customHeight="1">
      <c r="H4764" s="162"/>
    </row>
    <row r="4765" ht="15.75" customHeight="1">
      <c r="H4765" s="162"/>
    </row>
    <row r="4766" ht="15.75" customHeight="1">
      <c r="H4766" s="162"/>
    </row>
    <row r="4767" ht="15.75" customHeight="1">
      <c r="H4767" s="162"/>
    </row>
    <row r="4768" ht="15.75" customHeight="1">
      <c r="H4768" s="162"/>
    </row>
    <row r="4769" ht="15.75" customHeight="1">
      <c r="H4769" s="162"/>
    </row>
    <row r="4770" ht="15.75" customHeight="1">
      <c r="H4770" s="162"/>
    </row>
    <row r="4771" ht="15.75" customHeight="1">
      <c r="H4771" s="162"/>
    </row>
    <row r="4772" ht="15.75" customHeight="1">
      <c r="H4772" s="162"/>
    </row>
    <row r="4773" ht="15.75" customHeight="1">
      <c r="H4773" s="162"/>
    </row>
    <row r="4774" ht="15.75" customHeight="1">
      <c r="H4774" s="162"/>
    </row>
    <row r="4775" ht="15.75" customHeight="1">
      <c r="H4775" s="162"/>
    </row>
    <row r="4776" ht="15.75" customHeight="1">
      <c r="H4776" s="162"/>
    </row>
    <row r="4777" ht="15.75" customHeight="1">
      <c r="H4777" s="162"/>
    </row>
    <row r="4778" ht="15.75" customHeight="1">
      <c r="H4778" s="162"/>
    </row>
    <row r="4779" ht="15.75" customHeight="1">
      <c r="H4779" s="162"/>
    </row>
    <row r="4780" ht="15.75" customHeight="1">
      <c r="H4780" s="162"/>
    </row>
    <row r="4781" ht="15.75" customHeight="1">
      <c r="H4781" s="162"/>
    </row>
    <row r="4782" ht="15.75" customHeight="1">
      <c r="H4782" s="162"/>
    </row>
    <row r="4783" ht="15.75" customHeight="1">
      <c r="H4783" s="162"/>
    </row>
    <row r="4784" ht="15.75" customHeight="1">
      <c r="H4784" s="162"/>
    </row>
    <row r="4785" ht="15.75" customHeight="1">
      <c r="H4785" s="162"/>
    </row>
    <row r="4786" ht="15.75" customHeight="1">
      <c r="H4786" s="162"/>
    </row>
    <row r="4787" ht="15.75" customHeight="1">
      <c r="H4787" s="162"/>
    </row>
    <row r="4788" ht="15.75" customHeight="1">
      <c r="H4788" s="162"/>
    </row>
    <row r="4789" ht="15.75" customHeight="1">
      <c r="H4789" s="162"/>
    </row>
    <row r="4790" ht="15.75" customHeight="1">
      <c r="H4790" s="162"/>
    </row>
    <row r="4791" ht="15.75" customHeight="1">
      <c r="H4791" s="162"/>
    </row>
    <row r="4792" ht="15.75" customHeight="1">
      <c r="H4792" s="162"/>
    </row>
    <row r="4793" ht="15.75" customHeight="1">
      <c r="H4793" s="162"/>
    </row>
    <row r="4794" ht="15.75" customHeight="1">
      <c r="H4794" s="162"/>
    </row>
    <row r="4795" ht="15.75" customHeight="1">
      <c r="H4795" s="162"/>
    </row>
    <row r="4796" ht="15.75" customHeight="1">
      <c r="H4796" s="162"/>
    </row>
    <row r="4797" ht="15.75" customHeight="1">
      <c r="H4797" s="162"/>
    </row>
    <row r="4798" ht="15.75" customHeight="1">
      <c r="H4798" s="162"/>
    </row>
    <row r="4799" ht="15.75" customHeight="1">
      <c r="H4799" s="162"/>
    </row>
    <row r="4800" ht="15.75" customHeight="1">
      <c r="H4800" s="162"/>
    </row>
    <row r="4801" ht="15.75" customHeight="1">
      <c r="H4801" s="162"/>
    </row>
    <row r="4802" ht="15.75" customHeight="1">
      <c r="H4802" s="162"/>
    </row>
    <row r="4803" ht="15.75" customHeight="1">
      <c r="H4803" s="162"/>
    </row>
    <row r="4804" ht="15.75" customHeight="1">
      <c r="H4804" s="162"/>
    </row>
    <row r="4805" ht="15.75" customHeight="1">
      <c r="H4805" s="162"/>
    </row>
    <row r="4806" ht="15.75" customHeight="1">
      <c r="H4806" s="162"/>
    </row>
    <row r="4807" ht="15.75" customHeight="1">
      <c r="H4807" s="162"/>
    </row>
    <row r="4808" ht="15.75" customHeight="1">
      <c r="H4808" s="162"/>
    </row>
    <row r="4809" ht="15.75" customHeight="1">
      <c r="H4809" s="162"/>
    </row>
    <row r="4810" ht="15.75" customHeight="1">
      <c r="H4810" s="162"/>
    </row>
    <row r="4811" ht="15.75" customHeight="1">
      <c r="H4811" s="162"/>
    </row>
    <row r="4812" ht="15.75" customHeight="1">
      <c r="H4812" s="162"/>
    </row>
    <row r="4813" ht="15.75" customHeight="1">
      <c r="H4813" s="162"/>
    </row>
    <row r="4814" ht="15.75" customHeight="1">
      <c r="H4814" s="162"/>
    </row>
    <row r="4815" ht="15.75" customHeight="1">
      <c r="H4815" s="162"/>
    </row>
    <row r="4816" ht="15.75" customHeight="1">
      <c r="H4816" s="162"/>
    </row>
    <row r="4817" ht="15.75" customHeight="1">
      <c r="H4817" s="162"/>
    </row>
    <row r="4818" ht="15.75" customHeight="1">
      <c r="H4818" s="162"/>
    </row>
    <row r="4819" ht="15.75" customHeight="1">
      <c r="H4819" s="162"/>
    </row>
    <row r="4820" ht="15.75" customHeight="1">
      <c r="H4820" s="162"/>
    </row>
    <row r="4821" ht="15.75" customHeight="1">
      <c r="H4821" s="162"/>
    </row>
    <row r="4822" ht="15.75" customHeight="1">
      <c r="H4822" s="162"/>
    </row>
    <row r="4823" ht="15.75" customHeight="1">
      <c r="H4823" s="162"/>
    </row>
    <row r="4824" ht="15.75" customHeight="1">
      <c r="H4824" s="162"/>
    </row>
    <row r="4825" ht="15.75" customHeight="1">
      <c r="H4825" s="162"/>
    </row>
    <row r="4826" ht="15.75" customHeight="1">
      <c r="H4826" s="162"/>
    </row>
    <row r="4827" ht="15.75" customHeight="1">
      <c r="H4827" s="162"/>
    </row>
    <row r="4828" ht="15.75" customHeight="1">
      <c r="H4828" s="162"/>
    </row>
    <row r="4829" ht="15.75" customHeight="1">
      <c r="H4829" s="162"/>
    </row>
    <row r="4830" ht="15.75" customHeight="1">
      <c r="H4830" s="162"/>
    </row>
    <row r="4831" ht="15.75" customHeight="1">
      <c r="H4831" s="162"/>
    </row>
    <row r="4832" ht="15.75" customHeight="1">
      <c r="H4832" s="162"/>
    </row>
    <row r="4833" ht="15.75" customHeight="1">
      <c r="H4833" s="162"/>
    </row>
    <row r="4834" ht="15.75" customHeight="1">
      <c r="H4834" s="162"/>
    </row>
    <row r="4835" ht="15.75" customHeight="1">
      <c r="H4835" s="162"/>
    </row>
    <row r="4836" ht="15.75" customHeight="1">
      <c r="H4836" s="162"/>
    </row>
    <row r="4837" ht="15.75" customHeight="1">
      <c r="H4837" s="162"/>
    </row>
    <row r="4838" ht="15.75" customHeight="1">
      <c r="H4838" s="162"/>
    </row>
    <row r="4839" ht="15.75" customHeight="1">
      <c r="H4839" s="162"/>
    </row>
    <row r="4840" ht="15.75" customHeight="1">
      <c r="H4840" s="162"/>
    </row>
    <row r="4841" ht="15.75" customHeight="1">
      <c r="H4841" s="162"/>
    </row>
    <row r="4842" ht="15.75" customHeight="1">
      <c r="H4842" s="162"/>
    </row>
    <row r="4843" ht="15.75" customHeight="1">
      <c r="H4843" s="162"/>
    </row>
    <row r="4844" ht="15.75" customHeight="1">
      <c r="H4844" s="162"/>
    </row>
    <row r="4845" ht="15.75" customHeight="1">
      <c r="H4845" s="162"/>
    </row>
    <row r="4846" ht="15.75" customHeight="1">
      <c r="H4846" s="162"/>
    </row>
    <row r="4847" ht="15.75" customHeight="1">
      <c r="H4847" s="162"/>
    </row>
    <row r="4848" ht="15.75" customHeight="1">
      <c r="H4848" s="162"/>
    </row>
    <row r="4849" ht="15.75" customHeight="1">
      <c r="H4849" s="162"/>
    </row>
    <row r="4850" ht="15.75" customHeight="1">
      <c r="H4850" s="162"/>
    </row>
    <row r="4851" ht="15.75" customHeight="1">
      <c r="H4851" s="162"/>
    </row>
    <row r="4852" ht="15.75" customHeight="1">
      <c r="H4852" s="162"/>
    </row>
    <row r="4853" ht="15.75" customHeight="1">
      <c r="H4853" s="162"/>
    </row>
    <row r="4854" ht="15.75" customHeight="1">
      <c r="H4854" s="162"/>
    </row>
    <row r="4855" ht="15.75" customHeight="1">
      <c r="H4855" s="162"/>
    </row>
    <row r="4856" ht="15.75" customHeight="1">
      <c r="H4856" s="162"/>
    </row>
    <row r="4857" ht="15.75" customHeight="1">
      <c r="H4857" s="162"/>
    </row>
    <row r="4858" ht="15.75" customHeight="1">
      <c r="H4858" s="162"/>
    </row>
    <row r="4859" ht="15.75" customHeight="1">
      <c r="H4859" s="162"/>
    </row>
    <row r="4860" ht="15.75" customHeight="1">
      <c r="H4860" s="162"/>
    </row>
    <row r="4861" ht="15.75" customHeight="1">
      <c r="H4861" s="162"/>
    </row>
    <row r="4862" ht="15.75" customHeight="1">
      <c r="H4862" s="162"/>
    </row>
    <row r="4863" ht="15.75" customHeight="1">
      <c r="H4863" s="162"/>
    </row>
    <row r="4864" ht="15.75" customHeight="1">
      <c r="H4864" s="162"/>
    </row>
    <row r="4865" ht="15.75" customHeight="1">
      <c r="H4865" s="162"/>
    </row>
    <row r="4866" ht="15.75" customHeight="1">
      <c r="H4866" s="162"/>
    </row>
    <row r="4867" ht="15.75" customHeight="1">
      <c r="H4867" s="162"/>
    </row>
    <row r="4868" ht="15.75" customHeight="1">
      <c r="H4868" s="162"/>
    </row>
    <row r="4869" ht="15.75" customHeight="1">
      <c r="H4869" s="162"/>
    </row>
    <row r="4870" ht="15.75" customHeight="1">
      <c r="H4870" s="162"/>
    </row>
    <row r="4871" ht="15.75" customHeight="1">
      <c r="H4871" s="162"/>
    </row>
    <row r="4872" ht="15.75" customHeight="1">
      <c r="H4872" s="162"/>
    </row>
    <row r="4873" ht="15.75" customHeight="1">
      <c r="H4873" s="162"/>
    </row>
    <row r="4874" ht="15.75" customHeight="1">
      <c r="H4874" s="162"/>
    </row>
    <row r="4875" ht="15.75" customHeight="1">
      <c r="H4875" s="162"/>
    </row>
    <row r="4876" ht="15.75" customHeight="1">
      <c r="H4876" s="162"/>
    </row>
    <row r="4877" ht="15.75" customHeight="1">
      <c r="H4877" s="162"/>
    </row>
    <row r="4878" ht="15.75" customHeight="1">
      <c r="H4878" s="162"/>
    </row>
    <row r="4879" ht="15.75" customHeight="1">
      <c r="H4879" s="162"/>
    </row>
    <row r="4880" ht="15.75" customHeight="1">
      <c r="H4880" s="162"/>
    </row>
    <row r="4881" ht="15.75" customHeight="1">
      <c r="H4881" s="162"/>
    </row>
    <row r="4882" ht="15.75" customHeight="1">
      <c r="H4882" s="162"/>
    </row>
    <row r="4883" ht="15.75" customHeight="1">
      <c r="H4883" s="162"/>
    </row>
    <row r="4884" ht="15.75" customHeight="1">
      <c r="H4884" s="162"/>
    </row>
    <row r="4885" ht="15.75" customHeight="1">
      <c r="H4885" s="162"/>
    </row>
    <row r="4886" ht="15.75" customHeight="1">
      <c r="H4886" s="162"/>
    </row>
    <row r="4887" ht="15.75" customHeight="1">
      <c r="H4887" s="162"/>
    </row>
    <row r="4888" ht="15.75" customHeight="1">
      <c r="H4888" s="162"/>
    </row>
    <row r="4889" ht="15.75" customHeight="1">
      <c r="H4889" s="162"/>
    </row>
    <row r="4890" ht="15.75" customHeight="1">
      <c r="H4890" s="162"/>
    </row>
    <row r="4891" ht="15.75" customHeight="1">
      <c r="H4891" s="162"/>
    </row>
    <row r="4892" ht="15.75" customHeight="1">
      <c r="H4892" s="162"/>
    </row>
    <row r="4893" ht="15.75" customHeight="1">
      <c r="H4893" s="162"/>
    </row>
    <row r="4894" ht="15.75" customHeight="1">
      <c r="H4894" s="162"/>
    </row>
    <row r="4895" ht="15.75" customHeight="1">
      <c r="H4895" s="162"/>
    </row>
    <row r="4896" ht="15.75" customHeight="1">
      <c r="H4896" s="162"/>
    </row>
    <row r="4897" ht="15.75" customHeight="1">
      <c r="H4897" s="162"/>
    </row>
    <row r="4898" ht="15.75" customHeight="1">
      <c r="H4898" s="162"/>
    </row>
    <row r="4899" ht="15.75" customHeight="1">
      <c r="H4899" s="162"/>
    </row>
    <row r="4900" ht="15.75" customHeight="1">
      <c r="H4900" s="162"/>
    </row>
    <row r="4901" ht="15.75" customHeight="1">
      <c r="H4901" s="162"/>
    </row>
    <row r="4902" ht="15.75" customHeight="1">
      <c r="H4902" s="162"/>
    </row>
    <row r="4903" ht="15.75" customHeight="1">
      <c r="H4903" s="162"/>
    </row>
    <row r="4904" ht="15.75" customHeight="1">
      <c r="H4904" s="162"/>
    </row>
    <row r="4905" ht="15.75" customHeight="1">
      <c r="H4905" s="162"/>
    </row>
    <row r="4906" ht="15.75" customHeight="1">
      <c r="H4906" s="162"/>
    </row>
    <row r="4907" ht="15.75" customHeight="1">
      <c r="H4907" s="162"/>
    </row>
    <row r="4908" ht="15.75" customHeight="1">
      <c r="H4908" s="162"/>
    </row>
    <row r="4909" ht="15.75" customHeight="1">
      <c r="H4909" s="162"/>
    </row>
    <row r="4910" ht="15.75" customHeight="1">
      <c r="H4910" s="162"/>
    </row>
    <row r="4911" ht="15.75" customHeight="1">
      <c r="H4911" s="162"/>
    </row>
    <row r="4912" ht="15.75" customHeight="1">
      <c r="H4912" s="162"/>
    </row>
    <row r="4913" ht="15.75" customHeight="1">
      <c r="H4913" s="162"/>
    </row>
    <row r="4914" ht="15.75" customHeight="1">
      <c r="H4914" s="162"/>
    </row>
    <row r="4915" ht="15.75" customHeight="1">
      <c r="H4915" s="162"/>
    </row>
    <row r="4916" ht="15.75" customHeight="1">
      <c r="H4916" s="162"/>
    </row>
    <row r="4917" ht="15.75" customHeight="1">
      <c r="H4917" s="162"/>
    </row>
    <row r="4918" ht="15.75" customHeight="1">
      <c r="H4918" s="162"/>
    </row>
    <row r="4919" ht="15.75" customHeight="1">
      <c r="H4919" s="162"/>
    </row>
    <row r="4920" ht="15.75" customHeight="1">
      <c r="H4920" s="162"/>
    </row>
    <row r="4921" ht="15.75" customHeight="1">
      <c r="H4921" s="162"/>
    </row>
    <row r="4922" ht="15.75" customHeight="1">
      <c r="H4922" s="162"/>
    </row>
    <row r="4923" ht="15.75" customHeight="1">
      <c r="H4923" s="162"/>
    </row>
    <row r="4924" ht="15.75" customHeight="1">
      <c r="H4924" s="162"/>
    </row>
    <row r="4925" ht="15.75" customHeight="1">
      <c r="H4925" s="162"/>
    </row>
    <row r="4926" ht="15.75" customHeight="1">
      <c r="H4926" s="162"/>
    </row>
    <row r="4927" ht="15.75" customHeight="1">
      <c r="H4927" s="162"/>
    </row>
    <row r="4928" ht="15.75" customHeight="1">
      <c r="H4928" s="162"/>
    </row>
    <row r="4929" ht="15.75" customHeight="1">
      <c r="H4929" s="162"/>
    </row>
    <row r="4930" ht="15.75" customHeight="1">
      <c r="H4930" s="162"/>
    </row>
    <row r="4931" ht="15.75" customHeight="1">
      <c r="H4931" s="162"/>
    </row>
    <row r="4932" ht="15.75" customHeight="1">
      <c r="H4932" s="162"/>
    </row>
    <row r="4933" ht="15.75" customHeight="1">
      <c r="H4933" s="162"/>
    </row>
    <row r="4934" ht="15.75" customHeight="1">
      <c r="H4934" s="162"/>
    </row>
    <row r="4935" ht="15.75" customHeight="1">
      <c r="H4935" s="162"/>
    </row>
    <row r="4936" ht="15.75" customHeight="1">
      <c r="H4936" s="162"/>
    </row>
    <row r="4937" ht="15.75" customHeight="1">
      <c r="H4937" s="162"/>
    </row>
    <row r="4938" ht="15.75" customHeight="1">
      <c r="H4938" s="162"/>
    </row>
    <row r="4939" ht="15.75" customHeight="1">
      <c r="H4939" s="162"/>
    </row>
    <row r="4940" ht="15.75" customHeight="1">
      <c r="H4940" s="162"/>
    </row>
    <row r="4941" ht="15.75" customHeight="1">
      <c r="H4941" s="162"/>
    </row>
    <row r="4942" ht="15.75" customHeight="1">
      <c r="H4942" s="162"/>
    </row>
    <row r="4943" ht="15.75" customHeight="1">
      <c r="H4943" s="162"/>
    </row>
    <row r="4944" ht="15.75" customHeight="1">
      <c r="H4944" s="162"/>
    </row>
    <row r="4945" ht="15.75" customHeight="1">
      <c r="H4945" s="162"/>
    </row>
    <row r="4946" ht="15.75" customHeight="1">
      <c r="H4946" s="162"/>
    </row>
    <row r="4947" ht="15.75" customHeight="1">
      <c r="H4947" s="162"/>
    </row>
    <row r="4948" ht="15.75" customHeight="1">
      <c r="H4948" s="162"/>
    </row>
    <row r="4949" ht="15.75" customHeight="1">
      <c r="H4949" s="162"/>
    </row>
    <row r="4950" ht="15.75" customHeight="1">
      <c r="H4950" s="162"/>
    </row>
    <row r="4951" ht="15.75" customHeight="1">
      <c r="H4951" s="162"/>
    </row>
    <row r="4952" ht="15.75" customHeight="1">
      <c r="H4952" s="162"/>
    </row>
    <row r="4953" ht="15.75" customHeight="1">
      <c r="H4953" s="162"/>
    </row>
    <row r="4954" ht="15.75" customHeight="1">
      <c r="H4954" s="162"/>
    </row>
    <row r="4955" ht="15.75" customHeight="1">
      <c r="H4955" s="162"/>
    </row>
    <row r="4956" ht="15.75" customHeight="1">
      <c r="H4956" s="162"/>
    </row>
    <row r="4957" ht="15.75" customHeight="1">
      <c r="H4957" s="162"/>
    </row>
    <row r="4958" ht="15.75" customHeight="1">
      <c r="H4958" s="162"/>
    </row>
    <row r="4959" ht="15.75" customHeight="1">
      <c r="H4959" s="162"/>
    </row>
    <row r="4960" ht="15.75" customHeight="1">
      <c r="H4960" s="162"/>
    </row>
    <row r="4961" ht="15.75" customHeight="1">
      <c r="H4961" s="162"/>
    </row>
    <row r="4962" ht="15.75" customHeight="1">
      <c r="H4962" s="162"/>
    </row>
    <row r="4963" ht="15.75" customHeight="1">
      <c r="H4963" s="162"/>
    </row>
    <row r="4964" ht="15.75" customHeight="1">
      <c r="H4964" s="162"/>
    </row>
    <row r="4965" ht="15.75" customHeight="1">
      <c r="H4965" s="162"/>
    </row>
    <row r="4966" ht="15.75" customHeight="1">
      <c r="H4966" s="162"/>
    </row>
    <row r="4967" ht="15.75" customHeight="1">
      <c r="H4967" s="162"/>
    </row>
    <row r="4968" ht="15.75" customHeight="1">
      <c r="H4968" s="162"/>
    </row>
    <row r="4969" ht="15.75" customHeight="1">
      <c r="H4969" s="162"/>
    </row>
    <row r="4970" ht="15.75" customHeight="1">
      <c r="H4970" s="162"/>
    </row>
    <row r="4971" ht="15.75" customHeight="1">
      <c r="H4971" s="162"/>
    </row>
    <row r="4972" ht="15.75" customHeight="1">
      <c r="H4972" s="162"/>
    </row>
    <row r="4973" ht="15.75" customHeight="1">
      <c r="H4973" s="162"/>
    </row>
    <row r="4974" ht="15.75" customHeight="1">
      <c r="H4974" s="162"/>
    </row>
    <row r="4975" ht="15.75" customHeight="1">
      <c r="H4975" s="162"/>
    </row>
    <row r="4976" ht="15.75" customHeight="1">
      <c r="H4976" s="162"/>
    </row>
    <row r="4977" ht="15.75" customHeight="1">
      <c r="H4977" s="162"/>
    </row>
    <row r="4978" ht="15.75" customHeight="1">
      <c r="H4978" s="162"/>
    </row>
    <row r="4979" ht="15.75" customHeight="1">
      <c r="H4979" s="162"/>
    </row>
    <row r="4980" ht="15.75" customHeight="1">
      <c r="H4980" s="162"/>
    </row>
    <row r="4981" ht="15.75" customHeight="1">
      <c r="H4981" s="162"/>
    </row>
    <row r="4982" ht="15.75" customHeight="1">
      <c r="H4982" s="162"/>
    </row>
    <row r="4983" ht="15.75" customHeight="1">
      <c r="H4983" s="162"/>
    </row>
    <row r="4984" ht="15.75" customHeight="1">
      <c r="H4984" s="162"/>
    </row>
    <row r="4985" ht="15.75" customHeight="1">
      <c r="H4985" s="162"/>
    </row>
    <row r="4986" ht="15.75" customHeight="1">
      <c r="H4986" s="162"/>
    </row>
    <row r="4987" ht="15.75" customHeight="1">
      <c r="H4987" s="162"/>
    </row>
    <row r="4988" ht="15.75" customHeight="1">
      <c r="H4988" s="162"/>
    </row>
    <row r="4989" ht="15.75" customHeight="1">
      <c r="H4989" s="162"/>
    </row>
    <row r="4990" ht="15.75" customHeight="1">
      <c r="H4990" s="162"/>
    </row>
    <row r="4991" ht="15.75" customHeight="1">
      <c r="H4991" s="162"/>
    </row>
    <row r="4992" ht="15.75" customHeight="1">
      <c r="H4992" s="162"/>
    </row>
    <row r="4993" ht="15.75" customHeight="1">
      <c r="H4993" s="162"/>
    </row>
    <row r="4994" ht="15.75" customHeight="1">
      <c r="H4994" s="162"/>
    </row>
    <row r="4995" ht="15.75" customHeight="1">
      <c r="H4995" s="162"/>
    </row>
    <row r="4996" ht="15.75" customHeight="1">
      <c r="H4996" s="162"/>
    </row>
    <row r="4997" ht="15.75" customHeight="1">
      <c r="H4997" s="162"/>
    </row>
    <row r="4998" ht="15.75" customHeight="1">
      <c r="H4998" s="162"/>
    </row>
    <row r="4999" ht="15.75" customHeight="1">
      <c r="H4999" s="162"/>
    </row>
    <row r="5000" ht="15.75" customHeight="1">
      <c r="H5000" s="162"/>
    </row>
    <row r="5001" ht="15.75" customHeight="1">
      <c r="H5001" s="162"/>
    </row>
    <row r="5002" ht="15.75" customHeight="1">
      <c r="H5002" s="162"/>
    </row>
    <row r="5003" ht="15.75" customHeight="1">
      <c r="H5003" s="162"/>
    </row>
    <row r="5004" ht="15.75" customHeight="1">
      <c r="H5004" s="162"/>
    </row>
    <row r="5005" ht="15.75" customHeight="1">
      <c r="H5005" s="162"/>
    </row>
    <row r="5006" ht="15.75" customHeight="1">
      <c r="H5006" s="162"/>
    </row>
    <row r="5007" ht="15.75" customHeight="1">
      <c r="H5007" s="162"/>
    </row>
    <row r="5008" ht="15.75" customHeight="1">
      <c r="H5008" s="162"/>
    </row>
    <row r="5009" ht="15.75" customHeight="1">
      <c r="H5009" s="162"/>
    </row>
    <row r="5010" ht="15.75" customHeight="1">
      <c r="H5010" s="162"/>
    </row>
    <row r="5011" ht="15.75" customHeight="1">
      <c r="H5011" s="162"/>
    </row>
    <row r="5012" ht="15.75" customHeight="1">
      <c r="H5012" s="162"/>
    </row>
    <row r="5013" ht="15.75" customHeight="1">
      <c r="H5013" s="162"/>
    </row>
    <row r="5014" ht="15.75" customHeight="1">
      <c r="H5014" s="162"/>
    </row>
    <row r="5015" ht="15.75" customHeight="1">
      <c r="H5015" s="162"/>
    </row>
    <row r="5016" ht="15.75" customHeight="1">
      <c r="H5016" s="162"/>
    </row>
    <row r="5017" ht="15.75" customHeight="1">
      <c r="H5017" s="162"/>
    </row>
    <row r="5018" ht="15.75" customHeight="1">
      <c r="H5018" s="162"/>
    </row>
    <row r="5019" ht="15.75" customHeight="1">
      <c r="H5019" s="162"/>
    </row>
    <row r="5020" ht="15.75" customHeight="1">
      <c r="H5020" s="162"/>
    </row>
    <row r="5021" ht="15.75" customHeight="1">
      <c r="H5021" s="162"/>
    </row>
    <row r="5022" ht="15.75" customHeight="1">
      <c r="H5022" s="162"/>
    </row>
    <row r="5023" ht="15.75" customHeight="1">
      <c r="H5023" s="162"/>
    </row>
    <row r="5024" ht="15.75" customHeight="1">
      <c r="H5024" s="162"/>
    </row>
    <row r="5025" ht="15.75" customHeight="1">
      <c r="H5025" s="162"/>
    </row>
    <row r="5026" ht="15.75" customHeight="1">
      <c r="H5026" s="162"/>
    </row>
    <row r="5027" ht="15.75" customHeight="1">
      <c r="H5027" s="162"/>
    </row>
    <row r="5028" ht="15.75" customHeight="1">
      <c r="H5028" s="162"/>
    </row>
    <row r="5029" ht="15.75" customHeight="1">
      <c r="H5029" s="162"/>
    </row>
    <row r="5030" ht="15.75" customHeight="1">
      <c r="H5030" s="162"/>
    </row>
    <row r="5031" ht="15.75" customHeight="1">
      <c r="H5031" s="162"/>
    </row>
    <row r="5032" ht="15.75" customHeight="1">
      <c r="H5032" s="162"/>
    </row>
    <row r="5033" ht="15.75" customHeight="1">
      <c r="H5033" s="162"/>
    </row>
    <row r="5034" ht="15.75" customHeight="1">
      <c r="H5034" s="162"/>
    </row>
    <row r="5035" ht="15.75" customHeight="1">
      <c r="H5035" s="162"/>
    </row>
    <row r="5036" ht="15.75" customHeight="1">
      <c r="H5036" s="162"/>
    </row>
    <row r="5037" ht="15.75" customHeight="1">
      <c r="H5037" s="162"/>
    </row>
    <row r="5038" ht="15.75" customHeight="1">
      <c r="H5038" s="162"/>
    </row>
    <row r="5039" ht="15.75" customHeight="1">
      <c r="H5039" s="162"/>
    </row>
    <row r="5040" ht="15.75" customHeight="1">
      <c r="H5040" s="162"/>
    </row>
    <row r="5041" ht="15.75" customHeight="1">
      <c r="H5041" s="162"/>
    </row>
    <row r="5042" ht="15.75" customHeight="1">
      <c r="H5042" s="162"/>
    </row>
    <row r="5043" ht="15.75" customHeight="1">
      <c r="H5043" s="162"/>
    </row>
    <row r="5044" ht="15.75" customHeight="1">
      <c r="H5044" s="162"/>
    </row>
    <row r="5045" ht="15.75" customHeight="1">
      <c r="H5045" s="162"/>
    </row>
    <row r="5046" ht="15.75" customHeight="1">
      <c r="H5046" s="162"/>
    </row>
    <row r="5047" ht="15.75" customHeight="1">
      <c r="H5047" s="162"/>
    </row>
    <row r="5048" ht="15.75" customHeight="1">
      <c r="H5048" s="162"/>
    </row>
    <row r="5049" ht="15.75" customHeight="1">
      <c r="H5049" s="162"/>
    </row>
    <row r="5050" ht="15.75" customHeight="1">
      <c r="H5050" s="162"/>
    </row>
    <row r="5051" ht="15.75" customHeight="1">
      <c r="H5051" s="162"/>
    </row>
    <row r="5052" ht="15.75" customHeight="1">
      <c r="H5052" s="162"/>
    </row>
    <row r="5053" ht="15.75" customHeight="1">
      <c r="H5053" s="162"/>
    </row>
    <row r="5054" ht="15.75" customHeight="1">
      <c r="H5054" s="162"/>
    </row>
    <row r="5055" ht="15.75" customHeight="1">
      <c r="H5055" s="162"/>
    </row>
    <row r="5056" ht="15.75" customHeight="1">
      <c r="H5056" s="162"/>
    </row>
    <row r="5057" ht="15.75" customHeight="1">
      <c r="H5057" s="162"/>
    </row>
    <row r="5058" ht="15.75" customHeight="1">
      <c r="H5058" s="162"/>
    </row>
    <row r="5059" ht="15.75" customHeight="1">
      <c r="H5059" s="162"/>
    </row>
    <row r="5060" ht="15.75" customHeight="1">
      <c r="H5060" s="162"/>
    </row>
    <row r="5061" ht="15.75" customHeight="1">
      <c r="H5061" s="162"/>
    </row>
    <row r="5062" ht="15.75" customHeight="1">
      <c r="H5062" s="162"/>
    </row>
    <row r="5063" ht="15.75" customHeight="1">
      <c r="H5063" s="162"/>
    </row>
    <row r="5064" ht="15.75" customHeight="1">
      <c r="H5064" s="162"/>
    </row>
    <row r="5065" ht="15.75" customHeight="1">
      <c r="H5065" s="162"/>
    </row>
    <row r="5066" ht="15.75" customHeight="1">
      <c r="H5066" s="162"/>
    </row>
    <row r="5067" ht="15.75" customHeight="1">
      <c r="H5067" s="162"/>
    </row>
    <row r="5068" ht="15.75" customHeight="1">
      <c r="H5068" s="162"/>
    </row>
    <row r="5069" ht="15.75" customHeight="1">
      <c r="H5069" s="162"/>
    </row>
    <row r="5070" ht="15.75" customHeight="1">
      <c r="H5070" s="162"/>
    </row>
    <row r="5071" ht="15.75" customHeight="1">
      <c r="H5071" s="162"/>
    </row>
    <row r="5072" ht="15.75" customHeight="1">
      <c r="H5072" s="162"/>
    </row>
    <row r="5073" ht="15.75" customHeight="1">
      <c r="H5073" s="162"/>
    </row>
    <row r="5074" ht="15.75" customHeight="1">
      <c r="H5074" s="162"/>
    </row>
    <row r="5075" ht="15.75" customHeight="1">
      <c r="H5075" s="162"/>
    </row>
    <row r="5076" ht="15.75" customHeight="1">
      <c r="H5076" s="162"/>
    </row>
    <row r="5077" ht="15.75" customHeight="1">
      <c r="H5077" s="162"/>
    </row>
    <row r="5078" ht="15.75" customHeight="1">
      <c r="H5078" s="162"/>
    </row>
    <row r="5079" ht="15.75" customHeight="1">
      <c r="H5079" s="162"/>
    </row>
    <row r="5080" ht="15.75" customHeight="1">
      <c r="H5080" s="162"/>
    </row>
    <row r="5081" ht="15.75" customHeight="1">
      <c r="H5081" s="162"/>
    </row>
    <row r="5082" ht="15.75" customHeight="1">
      <c r="H5082" s="162"/>
    </row>
    <row r="5083" ht="15.75" customHeight="1">
      <c r="H5083" s="162"/>
    </row>
    <row r="5084" ht="15.75" customHeight="1">
      <c r="H5084" s="162"/>
    </row>
    <row r="5085" ht="15.75" customHeight="1">
      <c r="H5085" s="162"/>
    </row>
    <row r="5086" ht="15.75" customHeight="1">
      <c r="H5086" s="162"/>
    </row>
    <row r="5087" ht="15.75" customHeight="1">
      <c r="H5087" s="162"/>
    </row>
    <row r="5088" ht="15.75" customHeight="1">
      <c r="H5088" s="162"/>
    </row>
    <row r="5089" ht="15.75" customHeight="1">
      <c r="H5089" s="162"/>
    </row>
    <row r="5090" ht="15.75" customHeight="1">
      <c r="H5090" s="162"/>
    </row>
    <row r="5091" ht="15.75" customHeight="1">
      <c r="H5091" s="162"/>
    </row>
    <row r="5092" ht="15.75" customHeight="1">
      <c r="H5092" s="162"/>
    </row>
    <row r="5093" ht="15.75" customHeight="1">
      <c r="H5093" s="162"/>
    </row>
    <row r="5094" ht="15.75" customHeight="1">
      <c r="H5094" s="162"/>
    </row>
    <row r="5095" ht="15.75" customHeight="1">
      <c r="H5095" s="162"/>
    </row>
    <row r="5096" ht="15.75" customHeight="1">
      <c r="H5096" s="162"/>
    </row>
    <row r="5097" ht="15.75" customHeight="1">
      <c r="H5097" s="162"/>
    </row>
    <row r="5098" ht="15.75" customHeight="1">
      <c r="H5098" s="162"/>
    </row>
    <row r="5099" ht="15.75" customHeight="1">
      <c r="H5099" s="162"/>
    </row>
    <row r="5100" ht="15.75" customHeight="1">
      <c r="H5100" s="162"/>
    </row>
    <row r="5101" ht="15.75" customHeight="1">
      <c r="H5101" s="162"/>
    </row>
    <row r="5102" ht="15.75" customHeight="1">
      <c r="H5102" s="162"/>
    </row>
    <row r="5103" ht="15.75" customHeight="1">
      <c r="H5103" s="162"/>
    </row>
    <row r="5104" ht="15.75" customHeight="1">
      <c r="H5104" s="162"/>
    </row>
    <row r="5105" ht="15.75" customHeight="1">
      <c r="H5105" s="162"/>
    </row>
    <row r="5106" ht="15.75" customHeight="1">
      <c r="H5106" s="162"/>
    </row>
    <row r="5107" ht="15.75" customHeight="1">
      <c r="H5107" s="162"/>
    </row>
    <row r="5108" ht="15.75" customHeight="1">
      <c r="H5108" s="162"/>
    </row>
    <row r="5109" ht="15.75" customHeight="1">
      <c r="H5109" s="162"/>
    </row>
    <row r="5110" ht="15.75" customHeight="1">
      <c r="H5110" s="162"/>
    </row>
    <row r="5111" ht="15.75" customHeight="1">
      <c r="H5111" s="162"/>
    </row>
    <row r="5112" ht="15.75" customHeight="1">
      <c r="H5112" s="162"/>
    </row>
    <row r="5113" ht="15.75" customHeight="1">
      <c r="H5113" s="162"/>
    </row>
    <row r="5114" ht="15.75" customHeight="1">
      <c r="H5114" s="162"/>
    </row>
    <row r="5115" ht="15.75" customHeight="1">
      <c r="H5115" s="162"/>
    </row>
    <row r="5116" ht="15.75" customHeight="1">
      <c r="H5116" s="162"/>
    </row>
    <row r="5117" ht="15.75" customHeight="1">
      <c r="H5117" s="162"/>
    </row>
    <row r="5118" ht="15.75" customHeight="1">
      <c r="H5118" s="162"/>
    </row>
    <row r="5119" ht="15.75" customHeight="1">
      <c r="H5119" s="162"/>
    </row>
    <row r="5120" ht="15.75" customHeight="1">
      <c r="H5120" s="162"/>
    </row>
    <row r="5121" ht="15.75" customHeight="1">
      <c r="H5121" s="162"/>
    </row>
    <row r="5122" ht="15.75" customHeight="1">
      <c r="H5122" s="162"/>
    </row>
    <row r="5123" ht="15.75" customHeight="1">
      <c r="H5123" s="162"/>
    </row>
    <row r="5124" ht="15.75" customHeight="1">
      <c r="H5124" s="162"/>
    </row>
    <row r="5125" ht="15.75" customHeight="1">
      <c r="H5125" s="162"/>
    </row>
    <row r="5126" ht="15.75" customHeight="1">
      <c r="H5126" s="162"/>
    </row>
    <row r="5127" ht="15.75" customHeight="1">
      <c r="H5127" s="162"/>
    </row>
    <row r="5128" ht="15.75" customHeight="1">
      <c r="H5128" s="162"/>
    </row>
    <row r="5129" ht="15.75" customHeight="1">
      <c r="H5129" s="162"/>
    </row>
    <row r="5130" ht="15.75" customHeight="1">
      <c r="H5130" s="162"/>
    </row>
    <row r="5131" ht="15.75" customHeight="1">
      <c r="H5131" s="162"/>
    </row>
    <row r="5132" ht="15.75" customHeight="1">
      <c r="H5132" s="162"/>
    </row>
    <row r="5133" ht="15.75" customHeight="1">
      <c r="H5133" s="162"/>
    </row>
    <row r="5134" ht="15.75" customHeight="1">
      <c r="H5134" s="162"/>
    </row>
    <row r="5135" ht="15.75" customHeight="1">
      <c r="H5135" s="162"/>
    </row>
    <row r="5136" ht="15.75" customHeight="1">
      <c r="H5136" s="162"/>
    </row>
    <row r="5137" ht="15.75" customHeight="1">
      <c r="H5137" s="162"/>
    </row>
    <row r="5138" ht="15.75" customHeight="1">
      <c r="H5138" s="162"/>
    </row>
    <row r="5139" ht="15.75" customHeight="1">
      <c r="H5139" s="162"/>
    </row>
    <row r="5140" ht="15.75" customHeight="1">
      <c r="H5140" s="162"/>
    </row>
    <row r="5141" ht="15.75" customHeight="1">
      <c r="H5141" s="162"/>
    </row>
    <row r="5142" ht="15.75" customHeight="1">
      <c r="H5142" s="162"/>
    </row>
    <row r="5143" ht="15.75" customHeight="1">
      <c r="H5143" s="162"/>
    </row>
    <row r="5144" ht="15.75" customHeight="1">
      <c r="H5144" s="162"/>
    </row>
    <row r="5145" ht="15.75" customHeight="1">
      <c r="H5145" s="162"/>
    </row>
    <row r="5146" ht="15.75" customHeight="1">
      <c r="H5146" s="162"/>
    </row>
    <row r="5147" ht="15.75" customHeight="1">
      <c r="H5147" s="162"/>
    </row>
    <row r="5148" ht="15.75" customHeight="1">
      <c r="H5148" s="162"/>
    </row>
    <row r="5149" ht="15.75" customHeight="1">
      <c r="H5149" s="162"/>
    </row>
    <row r="5150" ht="15.75" customHeight="1">
      <c r="H5150" s="162"/>
    </row>
    <row r="5151" ht="15.75" customHeight="1">
      <c r="H5151" s="162"/>
    </row>
    <row r="5152" ht="15.75" customHeight="1">
      <c r="H5152" s="162"/>
    </row>
    <row r="5153" ht="15.75" customHeight="1">
      <c r="H5153" s="162"/>
    </row>
    <row r="5154" ht="15.75" customHeight="1">
      <c r="H5154" s="162"/>
    </row>
    <row r="5155" ht="15.75" customHeight="1">
      <c r="H5155" s="162"/>
    </row>
    <row r="5156" ht="15.75" customHeight="1">
      <c r="H5156" s="162"/>
    </row>
    <row r="5157" ht="15.75" customHeight="1">
      <c r="H5157" s="162"/>
    </row>
    <row r="5158" ht="15.75" customHeight="1">
      <c r="H5158" s="162"/>
    </row>
    <row r="5159" ht="15.75" customHeight="1">
      <c r="H5159" s="162"/>
    </row>
    <row r="5160" ht="15.75" customHeight="1">
      <c r="H5160" s="162"/>
    </row>
    <row r="5161" ht="15.75" customHeight="1">
      <c r="H5161" s="162"/>
    </row>
    <row r="5162" ht="15.75" customHeight="1">
      <c r="H5162" s="162"/>
    </row>
    <row r="5163" ht="15.75" customHeight="1">
      <c r="H5163" s="162"/>
    </row>
    <row r="5164" ht="15.75" customHeight="1">
      <c r="H5164" s="162"/>
    </row>
    <row r="5165" ht="15.75" customHeight="1">
      <c r="H5165" s="162"/>
    </row>
    <row r="5166" ht="15.75" customHeight="1">
      <c r="H5166" s="162"/>
    </row>
    <row r="5167" ht="15.75" customHeight="1">
      <c r="H5167" s="162"/>
    </row>
    <row r="5168" ht="15.75" customHeight="1">
      <c r="H5168" s="162"/>
    </row>
    <row r="5169" ht="15.75" customHeight="1">
      <c r="H5169" s="162"/>
    </row>
    <row r="5170" ht="15.75" customHeight="1">
      <c r="H5170" s="162"/>
    </row>
    <row r="5171" ht="15.75" customHeight="1">
      <c r="H5171" s="162"/>
    </row>
    <row r="5172" ht="15.75" customHeight="1">
      <c r="H5172" s="162"/>
    </row>
    <row r="5173" ht="15.75" customHeight="1">
      <c r="H5173" s="162"/>
    </row>
    <row r="5174" ht="15.75" customHeight="1">
      <c r="H5174" s="162"/>
    </row>
    <row r="5175" ht="15.75" customHeight="1">
      <c r="H5175" s="162"/>
    </row>
    <row r="5176" ht="15.75" customHeight="1">
      <c r="H5176" s="162"/>
    </row>
    <row r="5177" ht="15.75" customHeight="1">
      <c r="H5177" s="162"/>
    </row>
    <row r="5178" ht="15.75" customHeight="1">
      <c r="H5178" s="162"/>
    </row>
    <row r="5179" ht="15.75" customHeight="1">
      <c r="H5179" s="162"/>
    </row>
    <row r="5180" ht="15.75" customHeight="1">
      <c r="H5180" s="162"/>
    </row>
    <row r="5181" ht="15.75" customHeight="1">
      <c r="H5181" s="162"/>
    </row>
    <row r="5182" ht="15.75" customHeight="1">
      <c r="H5182" s="162"/>
    </row>
    <row r="5183" ht="15.75" customHeight="1">
      <c r="H5183" s="162"/>
    </row>
    <row r="5184" ht="15.75" customHeight="1">
      <c r="H5184" s="162"/>
    </row>
    <row r="5185" ht="15.75" customHeight="1">
      <c r="H5185" s="162"/>
    </row>
    <row r="5186" ht="15.75" customHeight="1">
      <c r="H5186" s="162"/>
    </row>
    <row r="5187" ht="15.75" customHeight="1">
      <c r="H5187" s="162"/>
    </row>
    <row r="5188" ht="15.75" customHeight="1">
      <c r="H5188" s="162"/>
    </row>
    <row r="5189" ht="15.75" customHeight="1">
      <c r="H5189" s="162"/>
    </row>
    <row r="5190" ht="15.75" customHeight="1">
      <c r="H5190" s="162"/>
    </row>
    <row r="5191" ht="15.75" customHeight="1">
      <c r="H5191" s="162"/>
    </row>
    <row r="5192" ht="15.75" customHeight="1">
      <c r="H5192" s="162"/>
    </row>
    <row r="5193" ht="15.75" customHeight="1">
      <c r="H5193" s="162"/>
    </row>
    <row r="5194" ht="15.75" customHeight="1">
      <c r="H5194" s="162"/>
    </row>
    <row r="5195" ht="15.75" customHeight="1">
      <c r="H5195" s="162"/>
    </row>
    <row r="5196" ht="15.75" customHeight="1">
      <c r="H5196" s="162"/>
    </row>
    <row r="5197" ht="15.75" customHeight="1">
      <c r="H5197" s="162"/>
    </row>
    <row r="5198" ht="15.75" customHeight="1">
      <c r="H5198" s="162"/>
    </row>
    <row r="5199" ht="15.75" customHeight="1">
      <c r="H5199" s="162"/>
    </row>
    <row r="5200" ht="15.75" customHeight="1">
      <c r="H5200" s="162"/>
    </row>
    <row r="5201" ht="15.75" customHeight="1">
      <c r="H5201" s="162"/>
    </row>
    <row r="5202" ht="15.75" customHeight="1">
      <c r="H5202" s="162"/>
    </row>
    <row r="5203" ht="15.75" customHeight="1">
      <c r="H5203" s="162"/>
    </row>
    <row r="5204" ht="15.75" customHeight="1">
      <c r="H5204" s="162"/>
    </row>
    <row r="5205" ht="15.75" customHeight="1">
      <c r="H5205" s="162"/>
    </row>
    <row r="5206" ht="15.75" customHeight="1">
      <c r="H5206" s="162"/>
    </row>
    <row r="5207" ht="15.75" customHeight="1">
      <c r="H5207" s="162"/>
    </row>
    <row r="5208" ht="15.75" customHeight="1">
      <c r="H5208" s="162"/>
    </row>
    <row r="5209" ht="15.75" customHeight="1">
      <c r="H5209" s="162"/>
    </row>
    <row r="5210" ht="15.75" customHeight="1">
      <c r="H5210" s="162"/>
    </row>
    <row r="5211" ht="15.75" customHeight="1">
      <c r="H5211" s="162"/>
    </row>
    <row r="5212" ht="15.75" customHeight="1">
      <c r="H5212" s="162"/>
    </row>
    <row r="5213" ht="15.75" customHeight="1">
      <c r="H5213" s="162"/>
    </row>
    <row r="5214" ht="15.75" customHeight="1">
      <c r="H5214" s="162"/>
    </row>
    <row r="5215" ht="15.75" customHeight="1">
      <c r="H5215" s="162"/>
    </row>
    <row r="5216" ht="15.75" customHeight="1">
      <c r="H5216" s="162"/>
    </row>
    <row r="5217" ht="15.75" customHeight="1">
      <c r="H5217" s="162"/>
    </row>
    <row r="5218" ht="15.75" customHeight="1">
      <c r="H5218" s="162"/>
    </row>
    <row r="5219" ht="15.75" customHeight="1">
      <c r="H5219" s="162"/>
    </row>
    <row r="5220" ht="15.75" customHeight="1">
      <c r="H5220" s="162"/>
    </row>
    <row r="5221" ht="15.75" customHeight="1">
      <c r="H5221" s="162"/>
    </row>
    <row r="5222" ht="15.75" customHeight="1">
      <c r="H5222" s="162"/>
    </row>
    <row r="5223" ht="15.75" customHeight="1">
      <c r="H5223" s="162"/>
    </row>
    <row r="5224" ht="15.75" customHeight="1">
      <c r="H5224" s="162"/>
    </row>
    <row r="5225" ht="15.75" customHeight="1">
      <c r="H5225" s="162"/>
    </row>
    <row r="5226" ht="15.75" customHeight="1">
      <c r="H5226" s="162"/>
    </row>
    <row r="5227" ht="15.75" customHeight="1">
      <c r="H5227" s="162"/>
    </row>
    <row r="5228" ht="15.75" customHeight="1">
      <c r="H5228" s="162"/>
    </row>
    <row r="5229" ht="15.75" customHeight="1">
      <c r="H5229" s="162"/>
    </row>
    <row r="5230" ht="15.75" customHeight="1">
      <c r="H5230" s="162"/>
    </row>
    <row r="5231" ht="15.75" customHeight="1">
      <c r="H5231" s="162"/>
    </row>
    <row r="5232" ht="15.75" customHeight="1">
      <c r="H5232" s="162"/>
    </row>
    <row r="5233" ht="15.75" customHeight="1">
      <c r="H5233" s="162"/>
    </row>
    <row r="5234" ht="15.75" customHeight="1">
      <c r="H5234" s="162"/>
    </row>
    <row r="5235" ht="15.75" customHeight="1">
      <c r="H5235" s="162"/>
    </row>
    <row r="5236" ht="15.75" customHeight="1">
      <c r="H5236" s="162"/>
    </row>
    <row r="5237" ht="15.75" customHeight="1">
      <c r="H5237" s="162"/>
    </row>
    <row r="5238" ht="15.75" customHeight="1">
      <c r="H5238" s="162"/>
    </row>
    <row r="5239" ht="15.75" customHeight="1">
      <c r="H5239" s="162"/>
    </row>
    <row r="5240" ht="15.75" customHeight="1">
      <c r="H5240" s="162"/>
    </row>
    <row r="5241" ht="15.75" customHeight="1">
      <c r="H5241" s="162"/>
    </row>
    <row r="5242" ht="15.75" customHeight="1">
      <c r="H5242" s="162"/>
    </row>
    <row r="5243" ht="15.75" customHeight="1">
      <c r="H5243" s="162"/>
    </row>
    <row r="5244" ht="15.75" customHeight="1">
      <c r="H5244" s="162"/>
    </row>
    <row r="5245" ht="15.75" customHeight="1">
      <c r="H5245" s="162"/>
    </row>
    <row r="5246" ht="15.75" customHeight="1">
      <c r="H5246" s="162"/>
    </row>
    <row r="5247" ht="15.75" customHeight="1">
      <c r="H5247" s="162"/>
    </row>
    <row r="5248" ht="15.75" customHeight="1">
      <c r="H5248" s="162"/>
    </row>
    <row r="5249" ht="15.75" customHeight="1">
      <c r="H5249" s="162"/>
    </row>
    <row r="5250" ht="15.75" customHeight="1">
      <c r="H5250" s="162"/>
    </row>
    <row r="5251" ht="15.75" customHeight="1">
      <c r="H5251" s="162"/>
    </row>
    <row r="5252" ht="15.75" customHeight="1">
      <c r="H5252" s="162"/>
    </row>
    <row r="5253" ht="15.75" customHeight="1">
      <c r="H5253" s="162"/>
    </row>
    <row r="5254" ht="15.75" customHeight="1">
      <c r="H5254" s="162"/>
    </row>
    <row r="5255" ht="15.75" customHeight="1">
      <c r="H5255" s="162"/>
    </row>
    <row r="5256" ht="15.75" customHeight="1">
      <c r="H5256" s="162"/>
    </row>
    <row r="5257" ht="15.75" customHeight="1">
      <c r="H5257" s="162"/>
    </row>
    <row r="5258" ht="15.75" customHeight="1">
      <c r="H5258" s="162"/>
    </row>
    <row r="5259" ht="15.75" customHeight="1">
      <c r="H5259" s="162"/>
    </row>
    <row r="5260" ht="15.75" customHeight="1">
      <c r="H5260" s="162"/>
    </row>
    <row r="5261" ht="15.75" customHeight="1">
      <c r="H5261" s="162"/>
    </row>
    <row r="5262" ht="15.75" customHeight="1">
      <c r="H5262" s="162"/>
    </row>
    <row r="5263" ht="15.75" customHeight="1">
      <c r="H5263" s="162"/>
    </row>
    <row r="5264" ht="15.75" customHeight="1">
      <c r="H5264" s="162"/>
    </row>
    <row r="5265" ht="15.75" customHeight="1">
      <c r="H5265" s="162"/>
    </row>
    <row r="5266" ht="15.75" customHeight="1">
      <c r="H5266" s="162"/>
    </row>
    <row r="5267" ht="15.75" customHeight="1">
      <c r="H5267" s="162"/>
    </row>
    <row r="5268" ht="15.75" customHeight="1">
      <c r="H5268" s="162"/>
    </row>
    <row r="5269" ht="15.75" customHeight="1">
      <c r="H5269" s="162"/>
    </row>
    <row r="5270" ht="15.75" customHeight="1">
      <c r="H5270" s="162"/>
    </row>
    <row r="5271" ht="15.75" customHeight="1">
      <c r="H5271" s="162"/>
    </row>
    <row r="5272" ht="15.75" customHeight="1">
      <c r="H5272" s="162"/>
    </row>
    <row r="5273" ht="15.75" customHeight="1">
      <c r="H5273" s="162"/>
    </row>
    <row r="5274" ht="15.75" customHeight="1">
      <c r="H5274" s="162"/>
    </row>
    <row r="5275" ht="15.75" customHeight="1">
      <c r="H5275" s="162"/>
    </row>
    <row r="5276" ht="15.75" customHeight="1">
      <c r="H5276" s="162"/>
    </row>
    <row r="5277" ht="15.75" customHeight="1">
      <c r="H5277" s="162"/>
    </row>
    <row r="5278" ht="15.75" customHeight="1">
      <c r="H5278" s="162"/>
    </row>
    <row r="5279" ht="15.75" customHeight="1">
      <c r="H5279" s="162"/>
    </row>
    <row r="5280" ht="15.75" customHeight="1">
      <c r="H5280" s="162"/>
    </row>
    <row r="5281" ht="15.75" customHeight="1">
      <c r="H5281" s="162"/>
    </row>
    <row r="5282" ht="15.75" customHeight="1">
      <c r="H5282" s="162"/>
    </row>
    <row r="5283" ht="15.75" customHeight="1">
      <c r="H5283" s="162"/>
    </row>
    <row r="5284" ht="15.75" customHeight="1">
      <c r="H5284" s="162"/>
    </row>
    <row r="5285" ht="15.75" customHeight="1">
      <c r="H5285" s="162"/>
    </row>
    <row r="5286" ht="15.75" customHeight="1">
      <c r="H5286" s="162"/>
    </row>
    <row r="5287" ht="15.75" customHeight="1">
      <c r="H5287" s="162"/>
    </row>
    <row r="5288" ht="15.75" customHeight="1">
      <c r="H5288" s="162"/>
    </row>
    <row r="5289" ht="15.75" customHeight="1">
      <c r="H5289" s="162"/>
    </row>
    <row r="5290" ht="15.75" customHeight="1">
      <c r="H5290" s="162"/>
    </row>
    <row r="5291" ht="15.75" customHeight="1">
      <c r="H5291" s="162"/>
    </row>
    <row r="5292" ht="15.75" customHeight="1">
      <c r="H5292" s="162"/>
    </row>
    <row r="5293" ht="15.75" customHeight="1">
      <c r="H5293" s="162"/>
    </row>
    <row r="5294" ht="15.75" customHeight="1">
      <c r="H5294" s="162"/>
    </row>
    <row r="5295" ht="15.75" customHeight="1">
      <c r="H5295" s="162"/>
    </row>
    <row r="5296" ht="15.75" customHeight="1">
      <c r="H5296" s="162"/>
    </row>
    <row r="5297" ht="15.75" customHeight="1">
      <c r="H5297" s="162"/>
    </row>
    <row r="5298" ht="15.75" customHeight="1">
      <c r="H5298" s="162"/>
    </row>
    <row r="5299" ht="15.75" customHeight="1">
      <c r="H5299" s="162"/>
    </row>
    <row r="5300" ht="15.75" customHeight="1">
      <c r="H5300" s="162"/>
    </row>
    <row r="5301" ht="15.75" customHeight="1">
      <c r="H5301" s="162"/>
    </row>
    <row r="5302" ht="15.75" customHeight="1">
      <c r="H5302" s="162"/>
    </row>
    <row r="5303" ht="15.75" customHeight="1">
      <c r="H5303" s="162"/>
    </row>
    <row r="5304" ht="15.75" customHeight="1">
      <c r="H5304" s="162"/>
    </row>
    <row r="5305" ht="15.75" customHeight="1">
      <c r="H5305" s="162"/>
    </row>
    <row r="5306" ht="15.75" customHeight="1">
      <c r="H5306" s="162"/>
    </row>
    <row r="5307" ht="15.75" customHeight="1">
      <c r="H5307" s="162"/>
    </row>
    <row r="5308" ht="15.75" customHeight="1">
      <c r="H5308" s="162"/>
    </row>
    <row r="5309" ht="15.75" customHeight="1">
      <c r="H5309" s="162"/>
    </row>
    <row r="5310" ht="15.75" customHeight="1">
      <c r="H5310" s="162"/>
    </row>
    <row r="5311" ht="15.75" customHeight="1">
      <c r="H5311" s="162"/>
    </row>
    <row r="5312" ht="15.75" customHeight="1">
      <c r="H5312" s="162"/>
    </row>
    <row r="5313" ht="15.75" customHeight="1">
      <c r="H5313" s="162"/>
    </row>
    <row r="5314" ht="15.75" customHeight="1">
      <c r="H5314" s="162"/>
    </row>
    <row r="5315" ht="15.75" customHeight="1">
      <c r="H5315" s="162"/>
    </row>
    <row r="5316" ht="15.75" customHeight="1">
      <c r="H5316" s="162"/>
    </row>
    <row r="5317" ht="15.75" customHeight="1">
      <c r="H5317" s="162"/>
    </row>
    <row r="5318" ht="15.75" customHeight="1">
      <c r="H5318" s="162"/>
    </row>
    <row r="5319" ht="15.75" customHeight="1">
      <c r="H5319" s="162"/>
    </row>
    <row r="5320" ht="15.75" customHeight="1">
      <c r="H5320" s="162"/>
    </row>
    <row r="5321" ht="15.75" customHeight="1">
      <c r="H5321" s="162"/>
    </row>
    <row r="5322" ht="15.75" customHeight="1">
      <c r="H5322" s="162"/>
    </row>
    <row r="5323" ht="15.75" customHeight="1">
      <c r="H5323" s="162"/>
    </row>
    <row r="5324" ht="15.75" customHeight="1">
      <c r="H5324" s="162"/>
    </row>
    <row r="5325" ht="15.75" customHeight="1">
      <c r="H5325" s="162"/>
    </row>
    <row r="5326" ht="15.75" customHeight="1">
      <c r="H5326" s="162"/>
    </row>
    <row r="5327" ht="15.75" customHeight="1">
      <c r="H5327" s="162"/>
    </row>
    <row r="5328" ht="15.75" customHeight="1">
      <c r="H5328" s="162"/>
    </row>
    <row r="5329" ht="15.75" customHeight="1">
      <c r="H5329" s="162"/>
    </row>
    <row r="5330" ht="15.75" customHeight="1">
      <c r="H5330" s="162"/>
    </row>
    <row r="5331" ht="15.75" customHeight="1">
      <c r="H5331" s="162"/>
    </row>
    <row r="5332" ht="15.75" customHeight="1">
      <c r="H5332" s="162"/>
    </row>
    <row r="5333" ht="15.75" customHeight="1">
      <c r="H5333" s="162"/>
    </row>
    <row r="5334" ht="15.75" customHeight="1">
      <c r="H5334" s="162"/>
    </row>
    <row r="5335" ht="15.75" customHeight="1">
      <c r="H5335" s="162"/>
    </row>
    <row r="5336" ht="15.75" customHeight="1">
      <c r="H5336" s="162"/>
    </row>
    <row r="5337" ht="15.75" customHeight="1">
      <c r="H5337" s="162"/>
    </row>
    <row r="5338" ht="15.75" customHeight="1">
      <c r="H5338" s="162"/>
    </row>
    <row r="5339" ht="15.75" customHeight="1">
      <c r="H5339" s="162"/>
    </row>
    <row r="5340" ht="15.75" customHeight="1">
      <c r="H5340" s="162"/>
    </row>
    <row r="5341" ht="15.75" customHeight="1">
      <c r="H5341" s="162"/>
    </row>
    <row r="5342" ht="15.75" customHeight="1">
      <c r="H5342" s="162"/>
    </row>
    <row r="5343" ht="15.75" customHeight="1">
      <c r="H5343" s="162"/>
    </row>
    <row r="5344" ht="15.75" customHeight="1">
      <c r="H5344" s="162"/>
    </row>
    <row r="5345" ht="15.75" customHeight="1">
      <c r="H5345" s="162"/>
    </row>
    <row r="5346" ht="15.75" customHeight="1">
      <c r="H5346" s="162"/>
    </row>
    <row r="5347" ht="15.75" customHeight="1">
      <c r="H5347" s="162"/>
    </row>
    <row r="5348" ht="15.75" customHeight="1">
      <c r="H5348" s="162"/>
    </row>
    <row r="5349" ht="15.75" customHeight="1">
      <c r="H5349" s="162"/>
    </row>
    <row r="5350" ht="15.75" customHeight="1">
      <c r="H5350" s="162"/>
    </row>
    <row r="5351" ht="15.75" customHeight="1">
      <c r="H5351" s="162"/>
    </row>
    <row r="5352" ht="15.75" customHeight="1">
      <c r="H5352" s="162"/>
    </row>
    <row r="5353" ht="15.75" customHeight="1">
      <c r="H5353" s="162"/>
    </row>
    <row r="5354" ht="15.75" customHeight="1">
      <c r="H5354" s="162"/>
    </row>
    <row r="5355" ht="15.75" customHeight="1">
      <c r="H5355" s="162"/>
    </row>
    <row r="5356" ht="15.75" customHeight="1">
      <c r="H5356" s="162"/>
    </row>
    <row r="5357" ht="15.75" customHeight="1">
      <c r="H5357" s="162"/>
    </row>
    <row r="5358" ht="15.75" customHeight="1">
      <c r="H5358" s="162"/>
    </row>
    <row r="5359" ht="15.75" customHeight="1">
      <c r="H5359" s="162"/>
    </row>
    <row r="5360" ht="15.75" customHeight="1">
      <c r="H5360" s="162"/>
    </row>
    <row r="5361" ht="15.75" customHeight="1">
      <c r="H5361" s="162"/>
    </row>
    <row r="5362" ht="15.75" customHeight="1">
      <c r="H5362" s="162"/>
    </row>
    <row r="5363" ht="15.75" customHeight="1">
      <c r="H5363" s="162"/>
    </row>
    <row r="5364" ht="15.75" customHeight="1">
      <c r="H5364" s="162"/>
    </row>
    <row r="5365" ht="15.75" customHeight="1">
      <c r="H5365" s="162"/>
    </row>
    <row r="5366" ht="15.75" customHeight="1">
      <c r="H5366" s="162"/>
    </row>
    <row r="5367" ht="15.75" customHeight="1">
      <c r="H5367" s="162"/>
    </row>
    <row r="5368" ht="15.75" customHeight="1">
      <c r="H5368" s="162"/>
    </row>
    <row r="5369" ht="15.75" customHeight="1">
      <c r="H5369" s="162"/>
    </row>
    <row r="5370" ht="15.75" customHeight="1">
      <c r="H5370" s="162"/>
    </row>
    <row r="5371" ht="15.75" customHeight="1">
      <c r="H5371" s="162"/>
    </row>
    <row r="5372" ht="15.75" customHeight="1">
      <c r="H5372" s="162"/>
    </row>
    <row r="5373" ht="15.75" customHeight="1">
      <c r="H5373" s="162"/>
    </row>
    <row r="5374" ht="15.75" customHeight="1">
      <c r="H5374" s="162"/>
    </row>
    <row r="5375" ht="15.75" customHeight="1">
      <c r="H5375" s="162"/>
    </row>
    <row r="5376" ht="15.75" customHeight="1">
      <c r="H5376" s="162"/>
    </row>
    <row r="5377" ht="15.75" customHeight="1">
      <c r="H5377" s="162"/>
    </row>
    <row r="5378" ht="15.75" customHeight="1">
      <c r="H5378" s="162"/>
    </row>
    <row r="5379" ht="15.75" customHeight="1">
      <c r="H5379" s="162"/>
    </row>
    <row r="5380" ht="15.75" customHeight="1">
      <c r="H5380" s="162"/>
    </row>
    <row r="5381" ht="15.75" customHeight="1">
      <c r="H5381" s="162"/>
    </row>
    <row r="5382" ht="15.75" customHeight="1">
      <c r="H5382" s="162"/>
    </row>
    <row r="5383" ht="15.75" customHeight="1">
      <c r="H5383" s="162"/>
    </row>
    <row r="5384" ht="15.75" customHeight="1">
      <c r="H5384" s="162"/>
    </row>
    <row r="5385" ht="15.75" customHeight="1">
      <c r="H5385" s="162"/>
    </row>
    <row r="5386" ht="15.75" customHeight="1">
      <c r="H5386" s="162"/>
    </row>
    <row r="5387" ht="15.75" customHeight="1">
      <c r="H5387" s="162"/>
    </row>
    <row r="5388" ht="15.75" customHeight="1">
      <c r="H5388" s="162"/>
    </row>
    <row r="5389" ht="15.75" customHeight="1">
      <c r="H5389" s="162"/>
    </row>
    <row r="5390" ht="15.75" customHeight="1">
      <c r="H5390" s="162"/>
    </row>
    <row r="5391" ht="15.75" customHeight="1">
      <c r="H5391" s="162"/>
    </row>
    <row r="5392" ht="15.75" customHeight="1">
      <c r="H5392" s="162"/>
    </row>
    <row r="5393" ht="15.75" customHeight="1">
      <c r="H5393" s="162"/>
    </row>
    <row r="5394" ht="15.75" customHeight="1">
      <c r="H5394" s="162"/>
    </row>
    <row r="5395" ht="15.75" customHeight="1">
      <c r="H5395" s="162"/>
    </row>
    <row r="5396" ht="15.75" customHeight="1">
      <c r="H5396" s="162"/>
    </row>
    <row r="5397" ht="15.75" customHeight="1">
      <c r="H5397" s="162"/>
    </row>
    <row r="5398" ht="15.75" customHeight="1">
      <c r="H5398" s="162"/>
    </row>
    <row r="5399" ht="15.75" customHeight="1">
      <c r="H5399" s="162"/>
    </row>
    <row r="5400" ht="15.75" customHeight="1">
      <c r="H5400" s="162"/>
    </row>
    <row r="5401" ht="15.75" customHeight="1">
      <c r="H5401" s="162"/>
    </row>
    <row r="5402" ht="15.75" customHeight="1">
      <c r="H5402" s="162"/>
    </row>
    <row r="5403" ht="15.75" customHeight="1">
      <c r="H5403" s="162"/>
    </row>
    <row r="5404" ht="15.75" customHeight="1">
      <c r="H5404" s="162"/>
    </row>
    <row r="5405" ht="15.75" customHeight="1">
      <c r="H5405" s="162"/>
    </row>
    <row r="5406" ht="15.75" customHeight="1">
      <c r="H5406" s="162"/>
    </row>
    <row r="5407" ht="15.75" customHeight="1">
      <c r="H5407" s="162"/>
    </row>
    <row r="5408" ht="15.75" customHeight="1">
      <c r="H5408" s="162"/>
    </row>
    <row r="5409" ht="15.75" customHeight="1">
      <c r="H5409" s="162"/>
    </row>
    <row r="5410" ht="15.75" customHeight="1">
      <c r="H5410" s="162"/>
    </row>
    <row r="5411" ht="15.75" customHeight="1">
      <c r="H5411" s="162"/>
    </row>
    <row r="5412" ht="15.75" customHeight="1">
      <c r="H5412" s="162"/>
    </row>
    <row r="5413" ht="15.75" customHeight="1">
      <c r="H5413" s="162"/>
    </row>
    <row r="5414" ht="15.75" customHeight="1">
      <c r="H5414" s="162"/>
    </row>
    <row r="5415" ht="15.75" customHeight="1">
      <c r="H5415" s="162"/>
    </row>
    <row r="5416" ht="15.75" customHeight="1">
      <c r="H5416" s="162"/>
    </row>
    <row r="5417" ht="15.75" customHeight="1">
      <c r="H5417" s="162"/>
    </row>
    <row r="5418" ht="15.75" customHeight="1">
      <c r="H5418" s="162"/>
    </row>
    <row r="5419" ht="15.75" customHeight="1">
      <c r="H5419" s="162"/>
    </row>
    <row r="5420" ht="15.75" customHeight="1">
      <c r="H5420" s="162"/>
    </row>
    <row r="5421" ht="15.75" customHeight="1">
      <c r="H5421" s="162"/>
    </row>
    <row r="5422" ht="15.75" customHeight="1">
      <c r="H5422" s="162"/>
    </row>
    <row r="5423" ht="15.75" customHeight="1">
      <c r="H5423" s="162"/>
    </row>
    <row r="5424" ht="15.75" customHeight="1">
      <c r="H5424" s="162"/>
    </row>
    <row r="5425" ht="15.75" customHeight="1">
      <c r="H5425" s="162"/>
    </row>
    <row r="5426" ht="15.75" customHeight="1">
      <c r="H5426" s="162"/>
    </row>
    <row r="5427" ht="15.75" customHeight="1">
      <c r="H5427" s="162"/>
    </row>
    <row r="5428" ht="15.75" customHeight="1">
      <c r="H5428" s="162"/>
    </row>
    <row r="5429" ht="15.75" customHeight="1">
      <c r="H5429" s="162"/>
    </row>
    <row r="5430" ht="15.75" customHeight="1">
      <c r="H5430" s="162"/>
    </row>
    <row r="5431" ht="15.75" customHeight="1">
      <c r="H5431" s="162"/>
    </row>
    <row r="5432" ht="15.75" customHeight="1">
      <c r="H5432" s="162"/>
    </row>
    <row r="5433" ht="15.75" customHeight="1">
      <c r="H5433" s="162"/>
    </row>
    <row r="5434" ht="15.75" customHeight="1">
      <c r="H5434" s="162"/>
    </row>
    <row r="5435" ht="15.75" customHeight="1">
      <c r="H5435" s="162"/>
    </row>
    <row r="5436" ht="15.75" customHeight="1">
      <c r="H5436" s="162"/>
    </row>
    <row r="5437" ht="15.75" customHeight="1">
      <c r="H5437" s="162"/>
    </row>
    <row r="5438" ht="15.75" customHeight="1">
      <c r="H5438" s="162"/>
    </row>
    <row r="5439" ht="15.75" customHeight="1">
      <c r="H5439" s="162"/>
    </row>
    <row r="5440" ht="15.75" customHeight="1">
      <c r="H5440" s="162"/>
    </row>
    <row r="5441" ht="15.75" customHeight="1">
      <c r="H5441" s="162"/>
    </row>
    <row r="5442" ht="15.75" customHeight="1">
      <c r="H5442" s="162"/>
    </row>
    <row r="5443" ht="15.75" customHeight="1">
      <c r="H5443" s="162"/>
    </row>
    <row r="5444" ht="15.75" customHeight="1">
      <c r="H5444" s="162"/>
    </row>
    <row r="5445" ht="15.75" customHeight="1">
      <c r="H5445" s="162"/>
    </row>
    <row r="5446" ht="15.75" customHeight="1">
      <c r="H5446" s="162"/>
    </row>
    <row r="5447" ht="15.75" customHeight="1">
      <c r="H5447" s="162"/>
    </row>
    <row r="5448" ht="15.75" customHeight="1">
      <c r="H5448" s="162"/>
    </row>
    <row r="5449" ht="15.75" customHeight="1">
      <c r="H5449" s="162"/>
    </row>
    <row r="5450" ht="15.75" customHeight="1">
      <c r="H5450" s="162"/>
    </row>
    <row r="5451" ht="15.75" customHeight="1">
      <c r="H5451" s="162"/>
    </row>
    <row r="5452" ht="15.75" customHeight="1">
      <c r="H5452" s="162"/>
    </row>
    <row r="5453" ht="15.75" customHeight="1">
      <c r="H5453" s="162"/>
    </row>
    <row r="5454" ht="15.75" customHeight="1">
      <c r="H5454" s="162"/>
    </row>
    <row r="5455" ht="15.75" customHeight="1">
      <c r="H5455" s="162"/>
    </row>
    <row r="5456" ht="15.75" customHeight="1">
      <c r="H5456" s="162"/>
    </row>
    <row r="5457" ht="15.75" customHeight="1">
      <c r="H5457" s="162"/>
    </row>
    <row r="5458" ht="15.75" customHeight="1">
      <c r="H5458" s="162"/>
    </row>
    <row r="5459" ht="15.75" customHeight="1">
      <c r="H5459" s="162"/>
    </row>
    <row r="5460" ht="15.75" customHeight="1">
      <c r="H5460" s="162"/>
    </row>
    <row r="5461" ht="15.75" customHeight="1">
      <c r="H5461" s="162"/>
    </row>
    <row r="5462" ht="15.75" customHeight="1">
      <c r="H5462" s="162"/>
    </row>
    <row r="5463" ht="15.75" customHeight="1">
      <c r="H5463" s="162"/>
    </row>
    <row r="5464" ht="15.75" customHeight="1">
      <c r="H5464" s="162"/>
    </row>
    <row r="5465" ht="15.75" customHeight="1">
      <c r="H5465" s="162"/>
    </row>
    <row r="5466" ht="15.75" customHeight="1">
      <c r="H5466" s="162"/>
    </row>
    <row r="5467" ht="15.75" customHeight="1">
      <c r="H5467" s="162"/>
    </row>
    <row r="5468" ht="15.75" customHeight="1">
      <c r="H5468" s="162"/>
    </row>
    <row r="5469" ht="15.75" customHeight="1">
      <c r="H5469" s="162"/>
    </row>
    <row r="5470" ht="15.75" customHeight="1">
      <c r="H5470" s="162"/>
    </row>
    <row r="5471" ht="15.75" customHeight="1">
      <c r="H5471" s="162"/>
    </row>
    <row r="5472" ht="15.75" customHeight="1">
      <c r="H5472" s="162"/>
    </row>
    <row r="5473" ht="15.75" customHeight="1">
      <c r="H5473" s="162"/>
    </row>
    <row r="5474" ht="15.75" customHeight="1">
      <c r="H5474" s="162"/>
    </row>
    <row r="5475" ht="15.75" customHeight="1">
      <c r="H5475" s="162"/>
    </row>
    <row r="5476" ht="15.75" customHeight="1">
      <c r="H5476" s="162"/>
    </row>
    <row r="5477" ht="15.75" customHeight="1">
      <c r="H5477" s="162"/>
    </row>
    <row r="5478" ht="15.75" customHeight="1">
      <c r="H5478" s="162"/>
    </row>
    <row r="5479" ht="15.75" customHeight="1">
      <c r="H5479" s="162"/>
    </row>
    <row r="5480" ht="15.75" customHeight="1">
      <c r="H5480" s="162"/>
    </row>
    <row r="5481" ht="15.75" customHeight="1">
      <c r="H5481" s="162"/>
    </row>
    <row r="5482" ht="15.75" customHeight="1">
      <c r="H5482" s="162"/>
    </row>
    <row r="5483" ht="15.75" customHeight="1">
      <c r="H5483" s="162"/>
    </row>
    <row r="5484" ht="15.75" customHeight="1">
      <c r="H5484" s="162"/>
    </row>
    <row r="5485" ht="15.75" customHeight="1">
      <c r="H5485" s="162"/>
    </row>
    <row r="5486" ht="15.75" customHeight="1">
      <c r="H5486" s="162"/>
    </row>
    <row r="5487" ht="15.75" customHeight="1">
      <c r="H5487" s="162"/>
    </row>
    <row r="5488" ht="15.75" customHeight="1">
      <c r="H5488" s="162"/>
    </row>
    <row r="5489" ht="15.75" customHeight="1">
      <c r="H5489" s="162"/>
    </row>
    <row r="5490" ht="15.75" customHeight="1">
      <c r="H5490" s="162"/>
    </row>
    <row r="5491" ht="15.75" customHeight="1">
      <c r="H5491" s="162"/>
    </row>
    <row r="5492" ht="15.75" customHeight="1">
      <c r="H5492" s="162"/>
    </row>
    <row r="5493" ht="15.75" customHeight="1">
      <c r="H5493" s="162"/>
    </row>
    <row r="5494" ht="15.75" customHeight="1">
      <c r="H5494" s="162"/>
    </row>
    <row r="5495" ht="15.75" customHeight="1">
      <c r="H5495" s="162"/>
    </row>
    <row r="5496" ht="15.75" customHeight="1">
      <c r="H5496" s="162"/>
    </row>
    <row r="5497" ht="15.75" customHeight="1">
      <c r="H5497" s="162"/>
    </row>
    <row r="5498" ht="15.75" customHeight="1">
      <c r="H5498" s="162"/>
    </row>
    <row r="5499" ht="15.75" customHeight="1">
      <c r="H5499" s="162"/>
    </row>
    <row r="5500" ht="15.75" customHeight="1">
      <c r="H5500" s="162"/>
    </row>
    <row r="5501" ht="15.75" customHeight="1">
      <c r="H5501" s="162"/>
    </row>
    <row r="5502" ht="15.75" customHeight="1">
      <c r="H5502" s="162"/>
    </row>
    <row r="5503" ht="15.75" customHeight="1">
      <c r="H5503" s="162"/>
    </row>
    <row r="5504" ht="15.75" customHeight="1">
      <c r="H5504" s="162"/>
    </row>
    <row r="5505" ht="15.75" customHeight="1">
      <c r="H5505" s="162"/>
    </row>
    <row r="5506" ht="15.75" customHeight="1">
      <c r="H5506" s="162"/>
    </row>
    <row r="5507" ht="15.75" customHeight="1">
      <c r="H5507" s="162"/>
    </row>
    <row r="5508" ht="15.75" customHeight="1">
      <c r="H5508" s="162"/>
    </row>
    <row r="5509" ht="15.75" customHeight="1">
      <c r="H5509" s="162"/>
    </row>
    <row r="5510" ht="15.75" customHeight="1">
      <c r="H5510" s="162"/>
    </row>
    <row r="5511" ht="15.75" customHeight="1">
      <c r="H5511" s="162"/>
    </row>
    <row r="5512" ht="15.75" customHeight="1">
      <c r="H5512" s="162"/>
    </row>
    <row r="5513" ht="15.75" customHeight="1">
      <c r="H5513" s="162"/>
    </row>
    <row r="5514" ht="15.75" customHeight="1">
      <c r="H5514" s="162"/>
    </row>
    <row r="5515" ht="15.75" customHeight="1">
      <c r="H5515" s="162"/>
    </row>
    <row r="5516" ht="15.75" customHeight="1">
      <c r="H5516" s="162"/>
    </row>
    <row r="5517" ht="15.75" customHeight="1">
      <c r="H5517" s="162"/>
    </row>
    <row r="5518" ht="15.75" customHeight="1">
      <c r="H5518" s="162"/>
    </row>
    <row r="5519" ht="15.75" customHeight="1">
      <c r="H5519" s="162"/>
    </row>
    <row r="5520" ht="15.75" customHeight="1">
      <c r="H5520" s="162"/>
    </row>
    <row r="5521" ht="15.75" customHeight="1">
      <c r="H5521" s="162"/>
    </row>
    <row r="5522" ht="15.75" customHeight="1">
      <c r="H5522" s="162"/>
    </row>
    <row r="5523" ht="15.75" customHeight="1">
      <c r="H5523" s="162"/>
    </row>
    <row r="5524" ht="15.75" customHeight="1">
      <c r="H5524" s="162"/>
    </row>
    <row r="5525" ht="15.75" customHeight="1">
      <c r="H5525" s="162"/>
    </row>
    <row r="5526" ht="15.75" customHeight="1">
      <c r="H5526" s="162"/>
    </row>
    <row r="5527" ht="15.75" customHeight="1">
      <c r="H5527" s="162"/>
    </row>
    <row r="5528" ht="15.75" customHeight="1">
      <c r="H5528" s="162"/>
    </row>
    <row r="5529" ht="15.75" customHeight="1">
      <c r="H5529" s="162"/>
    </row>
    <row r="5530" ht="15.75" customHeight="1">
      <c r="H5530" s="162"/>
    </row>
    <row r="5531" ht="15.75" customHeight="1">
      <c r="H5531" s="162"/>
    </row>
    <row r="5532" ht="15.75" customHeight="1">
      <c r="H5532" s="162"/>
    </row>
    <row r="5533" ht="15.75" customHeight="1">
      <c r="H5533" s="162"/>
    </row>
    <row r="5534" ht="15.75" customHeight="1">
      <c r="H5534" s="162"/>
    </row>
    <row r="5535" ht="15.75" customHeight="1">
      <c r="H5535" s="162"/>
    </row>
    <row r="5536" ht="15.75" customHeight="1">
      <c r="H5536" s="162"/>
    </row>
    <row r="5537" ht="15.75" customHeight="1">
      <c r="H5537" s="162"/>
    </row>
    <row r="5538" ht="15.75" customHeight="1">
      <c r="H5538" s="162"/>
    </row>
    <row r="5539" ht="15.75" customHeight="1">
      <c r="H5539" s="162"/>
    </row>
    <row r="5540" ht="15.75" customHeight="1">
      <c r="H5540" s="162"/>
    </row>
    <row r="5541" ht="15.75" customHeight="1">
      <c r="H5541" s="162"/>
    </row>
    <row r="5542" ht="15.75" customHeight="1">
      <c r="H5542" s="162"/>
    </row>
    <row r="5543" ht="15.75" customHeight="1">
      <c r="H5543" s="162"/>
    </row>
    <row r="5544" ht="15.75" customHeight="1">
      <c r="H5544" s="162"/>
    </row>
    <row r="5545" ht="15.75" customHeight="1">
      <c r="H5545" s="162"/>
    </row>
    <row r="5546" ht="15.75" customHeight="1">
      <c r="H5546" s="162"/>
    </row>
    <row r="5547" ht="15.75" customHeight="1">
      <c r="H5547" s="162"/>
    </row>
    <row r="5548" ht="15.75" customHeight="1">
      <c r="H5548" s="162"/>
    </row>
    <row r="5549" ht="15.75" customHeight="1">
      <c r="H5549" s="162"/>
    </row>
    <row r="5550" ht="15.75" customHeight="1">
      <c r="H5550" s="162"/>
    </row>
    <row r="5551" ht="15.75" customHeight="1">
      <c r="H5551" s="162"/>
    </row>
    <row r="5552" ht="15.75" customHeight="1">
      <c r="H5552" s="162"/>
    </row>
    <row r="5553" ht="15.75" customHeight="1">
      <c r="H5553" s="162"/>
    </row>
    <row r="5554" ht="15.75" customHeight="1">
      <c r="H5554" s="162"/>
    </row>
    <row r="5555" ht="15.75" customHeight="1">
      <c r="H5555" s="162"/>
    </row>
    <row r="5556" ht="15.75" customHeight="1">
      <c r="H5556" s="162"/>
    </row>
    <row r="5557" ht="15.75" customHeight="1">
      <c r="H5557" s="162"/>
    </row>
    <row r="5558" ht="15.75" customHeight="1">
      <c r="H5558" s="162"/>
    </row>
    <row r="5559" ht="15.75" customHeight="1">
      <c r="H5559" s="162"/>
    </row>
    <row r="5560" ht="15.75" customHeight="1">
      <c r="H5560" s="162"/>
    </row>
    <row r="5561" ht="15.75" customHeight="1">
      <c r="H5561" s="162"/>
    </row>
    <row r="5562" ht="15.75" customHeight="1">
      <c r="H5562" s="162"/>
    </row>
    <row r="5563" ht="15.75" customHeight="1">
      <c r="H5563" s="162"/>
    </row>
    <row r="5564" ht="15.75" customHeight="1">
      <c r="H5564" s="162"/>
    </row>
    <row r="5565" ht="15.75" customHeight="1">
      <c r="H5565" s="162"/>
    </row>
    <row r="5566" ht="15.75" customHeight="1">
      <c r="H5566" s="162"/>
    </row>
    <row r="5567" ht="15.75" customHeight="1">
      <c r="H5567" s="162"/>
    </row>
    <row r="5568" ht="15.75" customHeight="1">
      <c r="H5568" s="162"/>
    </row>
    <row r="5569" ht="15.75" customHeight="1">
      <c r="H5569" s="162"/>
    </row>
    <row r="5570" ht="15.75" customHeight="1">
      <c r="H5570" s="162"/>
    </row>
    <row r="5571" ht="15.75" customHeight="1">
      <c r="H5571" s="162"/>
    </row>
    <row r="5572" ht="15.75" customHeight="1">
      <c r="H5572" s="162"/>
    </row>
    <row r="5573" ht="15.75" customHeight="1">
      <c r="H5573" s="162"/>
    </row>
    <row r="5574" ht="15.75" customHeight="1">
      <c r="H5574" s="162"/>
    </row>
    <row r="5575" ht="15.75" customHeight="1">
      <c r="H5575" s="162"/>
    </row>
    <row r="5576" ht="15.75" customHeight="1">
      <c r="H5576" s="162"/>
    </row>
    <row r="5577" ht="15.75" customHeight="1">
      <c r="H5577" s="162"/>
    </row>
    <row r="5578" ht="15.75" customHeight="1">
      <c r="H5578" s="162"/>
    </row>
    <row r="5579" ht="15.75" customHeight="1">
      <c r="H5579" s="162"/>
    </row>
    <row r="5580" ht="15.75" customHeight="1">
      <c r="H5580" s="162"/>
    </row>
    <row r="5581" ht="15.75" customHeight="1">
      <c r="H5581" s="162"/>
    </row>
    <row r="5582" ht="15.75" customHeight="1">
      <c r="H5582" s="162"/>
    </row>
    <row r="5583" ht="15.75" customHeight="1">
      <c r="H5583" s="162"/>
    </row>
    <row r="5584" ht="15.75" customHeight="1">
      <c r="H5584" s="162"/>
    </row>
    <row r="5585" ht="15.75" customHeight="1">
      <c r="H5585" s="162"/>
    </row>
    <row r="5586" ht="15.75" customHeight="1">
      <c r="H5586" s="162"/>
    </row>
    <row r="5587" ht="15.75" customHeight="1">
      <c r="H5587" s="162"/>
    </row>
    <row r="5588" ht="15.75" customHeight="1">
      <c r="H5588" s="162"/>
    </row>
    <row r="5589" ht="15.75" customHeight="1">
      <c r="H5589" s="162"/>
    </row>
    <row r="5590" ht="15.75" customHeight="1">
      <c r="H5590" s="162"/>
    </row>
    <row r="5591" ht="15.75" customHeight="1">
      <c r="H5591" s="162"/>
    </row>
    <row r="5592" ht="15.75" customHeight="1">
      <c r="H5592" s="162"/>
    </row>
    <row r="5593" ht="15.75" customHeight="1">
      <c r="H5593" s="162"/>
    </row>
    <row r="5594" ht="15.75" customHeight="1">
      <c r="H5594" s="162"/>
    </row>
    <row r="5595" ht="15.75" customHeight="1">
      <c r="H5595" s="162"/>
    </row>
    <row r="5596" ht="15.75" customHeight="1">
      <c r="H5596" s="162"/>
    </row>
    <row r="5597" ht="15.75" customHeight="1">
      <c r="H5597" s="162"/>
    </row>
    <row r="5598" ht="15.75" customHeight="1">
      <c r="H5598" s="162"/>
    </row>
    <row r="5599" ht="15.75" customHeight="1">
      <c r="H5599" s="162"/>
    </row>
    <row r="5600" ht="15.75" customHeight="1">
      <c r="H5600" s="162"/>
    </row>
    <row r="5601" ht="15.75" customHeight="1">
      <c r="H5601" s="162"/>
    </row>
    <row r="5602" ht="15.75" customHeight="1">
      <c r="H5602" s="162"/>
    </row>
    <row r="5603" ht="15.75" customHeight="1">
      <c r="H5603" s="162"/>
    </row>
    <row r="5604" ht="15.75" customHeight="1">
      <c r="H5604" s="162"/>
    </row>
    <row r="5605" ht="15.75" customHeight="1">
      <c r="H5605" s="162"/>
    </row>
    <row r="5606" ht="15.75" customHeight="1">
      <c r="H5606" s="162"/>
    </row>
    <row r="5607" ht="15.75" customHeight="1">
      <c r="H5607" s="162"/>
    </row>
    <row r="5608" ht="15.75" customHeight="1">
      <c r="H5608" s="162"/>
    </row>
    <row r="5609" ht="15.75" customHeight="1">
      <c r="H5609" s="162"/>
    </row>
    <row r="5610" ht="15.75" customHeight="1">
      <c r="H5610" s="162"/>
    </row>
    <row r="5611" ht="15.75" customHeight="1">
      <c r="H5611" s="162"/>
    </row>
    <row r="5612" ht="15.75" customHeight="1">
      <c r="H5612" s="162"/>
    </row>
    <row r="5613" ht="15.75" customHeight="1">
      <c r="H5613" s="162"/>
    </row>
    <row r="5614" ht="15.75" customHeight="1">
      <c r="H5614" s="162"/>
    </row>
    <row r="5615" ht="15.75" customHeight="1">
      <c r="H5615" s="162"/>
    </row>
    <row r="5616" ht="15.75" customHeight="1">
      <c r="H5616" s="162"/>
    </row>
    <row r="5617" ht="15.75" customHeight="1">
      <c r="H5617" s="162"/>
    </row>
    <row r="5618" ht="15.75" customHeight="1">
      <c r="H5618" s="162"/>
    </row>
    <row r="5619" ht="15.75" customHeight="1">
      <c r="H5619" s="162"/>
    </row>
    <row r="5620" ht="15.75" customHeight="1">
      <c r="H5620" s="162"/>
    </row>
    <row r="5621" ht="15.75" customHeight="1">
      <c r="H5621" s="162"/>
    </row>
    <row r="5622" ht="15.75" customHeight="1">
      <c r="H5622" s="162"/>
    </row>
    <row r="5623" ht="15.75" customHeight="1">
      <c r="H5623" s="162"/>
    </row>
    <row r="5624" ht="15.75" customHeight="1">
      <c r="H5624" s="162"/>
    </row>
    <row r="5625" ht="15.75" customHeight="1">
      <c r="H5625" s="162"/>
    </row>
    <row r="5626" ht="15.75" customHeight="1">
      <c r="H5626" s="162"/>
    </row>
    <row r="5627" ht="15.75" customHeight="1">
      <c r="H5627" s="162"/>
    </row>
    <row r="5628" ht="15.75" customHeight="1">
      <c r="H5628" s="162"/>
    </row>
    <row r="5629" ht="15.75" customHeight="1">
      <c r="H5629" s="162"/>
    </row>
    <row r="5630" ht="15.75" customHeight="1">
      <c r="H5630" s="162"/>
    </row>
    <row r="5631" ht="15.75" customHeight="1">
      <c r="H5631" s="162"/>
    </row>
    <row r="5632" ht="15.75" customHeight="1">
      <c r="H5632" s="162"/>
    </row>
    <row r="5633" ht="15.75" customHeight="1">
      <c r="H5633" s="162"/>
    </row>
    <row r="5634" ht="15.75" customHeight="1">
      <c r="H5634" s="162"/>
    </row>
    <row r="5635" ht="15.75" customHeight="1">
      <c r="H5635" s="162"/>
    </row>
    <row r="5636" ht="15.75" customHeight="1">
      <c r="H5636" s="162"/>
    </row>
    <row r="5637" ht="15.75" customHeight="1">
      <c r="H5637" s="162"/>
    </row>
    <row r="5638" ht="15.75" customHeight="1">
      <c r="H5638" s="162"/>
    </row>
    <row r="5639" ht="15.75" customHeight="1">
      <c r="H5639" s="162"/>
    </row>
    <row r="5640" ht="15.75" customHeight="1">
      <c r="H5640" s="162"/>
    </row>
    <row r="5641" ht="15.75" customHeight="1">
      <c r="H5641" s="162"/>
    </row>
    <row r="5642" ht="15.75" customHeight="1">
      <c r="H5642" s="162"/>
    </row>
    <row r="5643" ht="15.75" customHeight="1">
      <c r="H5643" s="162"/>
    </row>
    <row r="5644" ht="15.75" customHeight="1">
      <c r="H5644" s="162"/>
    </row>
    <row r="5645" ht="15.75" customHeight="1">
      <c r="H5645" s="162"/>
    </row>
    <row r="5646" ht="15.75" customHeight="1">
      <c r="H5646" s="162"/>
    </row>
    <row r="5647" ht="15.75" customHeight="1">
      <c r="H5647" s="162"/>
    </row>
    <row r="5648" ht="15.75" customHeight="1">
      <c r="H5648" s="162"/>
    </row>
    <row r="5649" ht="15.75" customHeight="1">
      <c r="H5649" s="162"/>
    </row>
    <row r="5650" ht="15.75" customHeight="1">
      <c r="H5650" s="162"/>
    </row>
    <row r="5651" ht="15.75" customHeight="1">
      <c r="H5651" s="162"/>
    </row>
    <row r="5652" ht="15.75" customHeight="1">
      <c r="H5652" s="162"/>
    </row>
    <row r="5653" ht="15.75" customHeight="1">
      <c r="H5653" s="162"/>
    </row>
    <row r="5654" ht="15.75" customHeight="1">
      <c r="H5654" s="162"/>
    </row>
    <row r="5655" ht="15.75" customHeight="1">
      <c r="H5655" s="162"/>
    </row>
    <row r="5656" ht="15.75" customHeight="1">
      <c r="H5656" s="162"/>
    </row>
    <row r="5657" ht="15.75" customHeight="1">
      <c r="H5657" s="162"/>
    </row>
    <row r="5658" ht="15.75" customHeight="1">
      <c r="H5658" s="162"/>
    </row>
    <row r="5659" ht="15.75" customHeight="1">
      <c r="H5659" s="162"/>
    </row>
    <row r="5660" ht="15.75" customHeight="1">
      <c r="H5660" s="162"/>
    </row>
    <row r="5661" ht="15.75" customHeight="1">
      <c r="H5661" s="162"/>
    </row>
    <row r="5662" ht="15.75" customHeight="1">
      <c r="H5662" s="162"/>
    </row>
    <row r="5663" ht="15.75" customHeight="1">
      <c r="H5663" s="162"/>
    </row>
    <row r="5664" ht="15.75" customHeight="1">
      <c r="H5664" s="162"/>
    </row>
    <row r="5665" ht="15.75" customHeight="1">
      <c r="H5665" s="162"/>
    </row>
    <row r="5666" ht="15.75" customHeight="1">
      <c r="H5666" s="162"/>
    </row>
    <row r="5667" ht="15.75" customHeight="1">
      <c r="H5667" s="162"/>
    </row>
    <row r="5668" ht="15.75" customHeight="1">
      <c r="H5668" s="162"/>
    </row>
    <row r="5669" ht="15.75" customHeight="1">
      <c r="H5669" s="162"/>
    </row>
    <row r="5670" ht="15.75" customHeight="1">
      <c r="H5670" s="162"/>
    </row>
    <row r="5671" ht="15.75" customHeight="1">
      <c r="H5671" s="162"/>
    </row>
    <row r="5672" ht="15.75" customHeight="1">
      <c r="H5672" s="162"/>
    </row>
    <row r="5673" ht="15.75" customHeight="1">
      <c r="H5673" s="162"/>
    </row>
    <row r="5674" ht="15.75" customHeight="1">
      <c r="H5674" s="162"/>
    </row>
    <row r="5675" ht="15.75" customHeight="1">
      <c r="H5675" s="162"/>
    </row>
    <row r="5676" ht="15.75" customHeight="1">
      <c r="H5676" s="162"/>
    </row>
    <row r="5677" ht="15.75" customHeight="1">
      <c r="H5677" s="162"/>
    </row>
    <row r="5678" ht="15.75" customHeight="1">
      <c r="H5678" s="162"/>
    </row>
    <row r="5679" ht="15.75" customHeight="1">
      <c r="H5679" s="162"/>
    </row>
    <row r="5680" ht="15.75" customHeight="1">
      <c r="H5680" s="162"/>
    </row>
    <row r="5681" ht="15.75" customHeight="1">
      <c r="H5681" s="162"/>
    </row>
    <row r="5682" ht="15.75" customHeight="1">
      <c r="H5682" s="162"/>
    </row>
    <row r="5683" ht="15.75" customHeight="1">
      <c r="H5683" s="162"/>
    </row>
    <row r="5684" ht="15.75" customHeight="1">
      <c r="H5684" s="162"/>
    </row>
    <row r="5685" ht="15.75" customHeight="1">
      <c r="H5685" s="162"/>
    </row>
    <row r="5686" ht="15.75" customHeight="1">
      <c r="H5686" s="162"/>
    </row>
    <row r="5687" ht="15.75" customHeight="1">
      <c r="H5687" s="162"/>
    </row>
    <row r="5688" ht="15.75" customHeight="1">
      <c r="H5688" s="162"/>
    </row>
    <row r="5689" ht="15.75" customHeight="1">
      <c r="H5689" s="162"/>
    </row>
    <row r="5690" ht="15.75" customHeight="1">
      <c r="H5690" s="162"/>
    </row>
    <row r="5691" ht="15.75" customHeight="1">
      <c r="H5691" s="162"/>
    </row>
    <row r="5692" ht="15.75" customHeight="1">
      <c r="H5692" s="162"/>
    </row>
    <row r="5693" ht="15.75" customHeight="1">
      <c r="H5693" s="162"/>
    </row>
    <row r="5694" ht="15.75" customHeight="1">
      <c r="H5694" s="162"/>
    </row>
    <row r="5695" ht="15.75" customHeight="1">
      <c r="H5695" s="162"/>
    </row>
    <row r="5696" ht="15.75" customHeight="1">
      <c r="H5696" s="162"/>
    </row>
    <row r="5697" ht="15.75" customHeight="1">
      <c r="H5697" s="162"/>
    </row>
    <row r="5698" ht="15.75" customHeight="1">
      <c r="H5698" s="162"/>
    </row>
    <row r="5699" ht="15.75" customHeight="1">
      <c r="H5699" s="162"/>
    </row>
    <row r="5700" ht="15.75" customHeight="1">
      <c r="H5700" s="162"/>
    </row>
    <row r="5701" ht="15.75" customHeight="1">
      <c r="H5701" s="162"/>
    </row>
    <row r="5702" ht="15.75" customHeight="1">
      <c r="H5702" s="162"/>
    </row>
    <row r="5703" ht="15.75" customHeight="1">
      <c r="H5703" s="162"/>
    </row>
    <row r="5704" ht="15.75" customHeight="1">
      <c r="H5704" s="162"/>
    </row>
    <row r="5705" ht="15.75" customHeight="1">
      <c r="H5705" s="162"/>
    </row>
    <row r="5706" ht="15.75" customHeight="1">
      <c r="H5706" s="162"/>
    </row>
    <row r="5707" ht="15.75" customHeight="1">
      <c r="H5707" s="162"/>
    </row>
    <row r="5708" ht="15.75" customHeight="1">
      <c r="H5708" s="162"/>
    </row>
    <row r="5709" ht="15.75" customHeight="1">
      <c r="H5709" s="162"/>
    </row>
    <row r="5710" ht="15.75" customHeight="1">
      <c r="H5710" s="162"/>
    </row>
    <row r="5711" ht="15.75" customHeight="1">
      <c r="H5711" s="162"/>
    </row>
    <row r="5712" ht="15.75" customHeight="1">
      <c r="H5712" s="162"/>
    </row>
    <row r="5713" ht="15.75" customHeight="1">
      <c r="H5713" s="162"/>
    </row>
    <row r="5714" ht="15.75" customHeight="1">
      <c r="H5714" s="162"/>
    </row>
    <row r="5715" ht="15.75" customHeight="1">
      <c r="H5715" s="162"/>
    </row>
    <row r="5716" ht="15.75" customHeight="1">
      <c r="H5716" s="162"/>
    </row>
    <row r="5717" ht="15.75" customHeight="1">
      <c r="H5717" s="162"/>
    </row>
    <row r="5718" ht="15.75" customHeight="1">
      <c r="H5718" s="162"/>
    </row>
    <row r="5719" ht="15.75" customHeight="1">
      <c r="H5719" s="162"/>
    </row>
    <row r="5720" ht="15.75" customHeight="1">
      <c r="H5720" s="162"/>
    </row>
    <row r="5721" ht="15.75" customHeight="1">
      <c r="H5721" s="162"/>
    </row>
    <row r="5722" ht="15.75" customHeight="1">
      <c r="H5722" s="162"/>
    </row>
    <row r="5723" ht="15.75" customHeight="1">
      <c r="H5723" s="162"/>
    </row>
    <row r="5724" ht="15.75" customHeight="1">
      <c r="H5724" s="162"/>
    </row>
    <row r="5725" ht="15.75" customHeight="1">
      <c r="H5725" s="162"/>
    </row>
    <row r="5726" ht="15.75" customHeight="1">
      <c r="H5726" s="162"/>
    </row>
    <row r="5727" ht="15.75" customHeight="1">
      <c r="H5727" s="162"/>
    </row>
    <row r="5728" ht="15.75" customHeight="1">
      <c r="H5728" s="162"/>
    </row>
    <row r="5729" ht="15.75" customHeight="1">
      <c r="H5729" s="162"/>
    </row>
    <row r="5730" ht="15.75" customHeight="1">
      <c r="H5730" s="162"/>
    </row>
    <row r="5731" ht="15.75" customHeight="1">
      <c r="H5731" s="162"/>
    </row>
    <row r="5732" ht="15.75" customHeight="1">
      <c r="H5732" s="162"/>
    </row>
    <row r="5733" ht="15.75" customHeight="1">
      <c r="H5733" s="162"/>
    </row>
    <row r="5734" ht="15.75" customHeight="1">
      <c r="H5734" s="162"/>
    </row>
    <row r="5735" ht="15.75" customHeight="1">
      <c r="H5735" s="162"/>
    </row>
    <row r="5736" ht="15.75" customHeight="1">
      <c r="H5736" s="162"/>
    </row>
    <row r="5737" ht="15.75" customHeight="1">
      <c r="H5737" s="162"/>
    </row>
    <row r="5738" ht="15.75" customHeight="1">
      <c r="H5738" s="162"/>
    </row>
    <row r="5739" ht="15.75" customHeight="1">
      <c r="H5739" s="162"/>
    </row>
    <row r="5740" ht="15.75" customHeight="1">
      <c r="H5740" s="162"/>
    </row>
    <row r="5741" ht="15.75" customHeight="1">
      <c r="H5741" s="162"/>
    </row>
    <row r="5742" ht="15.75" customHeight="1">
      <c r="H5742" s="162"/>
    </row>
    <row r="5743" ht="15.75" customHeight="1">
      <c r="H5743" s="162"/>
    </row>
    <row r="5744" ht="15.75" customHeight="1">
      <c r="H5744" s="162"/>
    </row>
    <row r="5745" ht="15.75" customHeight="1">
      <c r="H5745" s="162"/>
    </row>
    <row r="5746" ht="15.75" customHeight="1">
      <c r="H5746" s="162"/>
    </row>
    <row r="5747" ht="15.75" customHeight="1">
      <c r="H5747" s="162"/>
    </row>
    <row r="5748" ht="15.75" customHeight="1">
      <c r="H5748" s="162"/>
    </row>
    <row r="5749" ht="15.75" customHeight="1">
      <c r="H5749" s="162"/>
    </row>
    <row r="5750" ht="15.75" customHeight="1">
      <c r="H5750" s="162"/>
    </row>
    <row r="5751" ht="15.75" customHeight="1">
      <c r="H5751" s="162"/>
    </row>
    <row r="5752" ht="15.75" customHeight="1">
      <c r="H5752" s="162"/>
    </row>
    <row r="5753" ht="15.75" customHeight="1">
      <c r="H5753" s="162"/>
    </row>
    <row r="5754" ht="15.75" customHeight="1">
      <c r="H5754" s="162"/>
    </row>
    <row r="5755" ht="15.75" customHeight="1">
      <c r="H5755" s="162"/>
    </row>
    <row r="5756" ht="15.75" customHeight="1">
      <c r="H5756" s="162"/>
    </row>
    <row r="5757" ht="15.75" customHeight="1">
      <c r="H5757" s="162"/>
    </row>
    <row r="5758" ht="15.75" customHeight="1">
      <c r="H5758" s="162"/>
    </row>
    <row r="5759" ht="15.75" customHeight="1">
      <c r="H5759" s="162"/>
    </row>
    <row r="5760" ht="15.75" customHeight="1">
      <c r="H5760" s="162"/>
    </row>
    <row r="5761" ht="15.75" customHeight="1">
      <c r="H5761" s="162"/>
    </row>
    <row r="5762" ht="15.75" customHeight="1">
      <c r="H5762" s="162"/>
    </row>
    <row r="5763" ht="15.75" customHeight="1">
      <c r="H5763" s="162"/>
    </row>
    <row r="5764" ht="15.75" customHeight="1">
      <c r="H5764" s="162"/>
    </row>
    <row r="5765" ht="15.75" customHeight="1">
      <c r="H5765" s="162"/>
    </row>
    <row r="5766" ht="15.75" customHeight="1">
      <c r="H5766" s="162"/>
    </row>
    <row r="5767" ht="15.75" customHeight="1">
      <c r="H5767" s="162"/>
    </row>
    <row r="5768" ht="15.75" customHeight="1">
      <c r="H5768" s="162"/>
    </row>
    <row r="5769" ht="15.75" customHeight="1">
      <c r="H5769" s="162"/>
    </row>
    <row r="5770" ht="15.75" customHeight="1">
      <c r="H5770" s="162"/>
    </row>
    <row r="5771" ht="15.75" customHeight="1">
      <c r="H5771" s="162"/>
    </row>
    <row r="5772" ht="15.75" customHeight="1">
      <c r="H5772" s="162"/>
    </row>
    <row r="5773" ht="15.75" customHeight="1">
      <c r="H5773" s="162"/>
    </row>
    <row r="5774" ht="15.75" customHeight="1">
      <c r="H5774" s="162"/>
    </row>
    <row r="5775" ht="15.75" customHeight="1">
      <c r="H5775" s="162"/>
    </row>
    <row r="5776" ht="15.75" customHeight="1">
      <c r="H5776" s="162"/>
    </row>
    <row r="5777" ht="15.75" customHeight="1">
      <c r="H5777" s="162"/>
    </row>
    <row r="5778" ht="15.75" customHeight="1">
      <c r="H5778" s="162"/>
    </row>
    <row r="5779" ht="15.75" customHeight="1">
      <c r="H5779" s="162"/>
    </row>
    <row r="5780" ht="15.75" customHeight="1">
      <c r="H5780" s="162"/>
    </row>
    <row r="5781" ht="15.75" customHeight="1">
      <c r="H5781" s="162"/>
    </row>
    <row r="5782" ht="15.75" customHeight="1">
      <c r="H5782" s="162"/>
    </row>
    <row r="5783" ht="15.75" customHeight="1">
      <c r="H5783" s="162"/>
    </row>
    <row r="5784" ht="15.75" customHeight="1">
      <c r="H5784" s="162"/>
    </row>
    <row r="5785" ht="15.75" customHeight="1">
      <c r="H5785" s="162"/>
    </row>
    <row r="5786" ht="15.75" customHeight="1">
      <c r="H5786" s="162"/>
    </row>
    <row r="5787" ht="15.75" customHeight="1">
      <c r="H5787" s="162"/>
    </row>
    <row r="5788" ht="15.75" customHeight="1">
      <c r="H5788" s="162"/>
    </row>
    <row r="5789" ht="15.75" customHeight="1">
      <c r="H5789" s="162"/>
    </row>
    <row r="5790" ht="15.75" customHeight="1">
      <c r="H5790" s="162"/>
    </row>
    <row r="5791" ht="15.75" customHeight="1">
      <c r="H5791" s="162"/>
    </row>
    <row r="5792" ht="15.75" customHeight="1">
      <c r="H5792" s="162"/>
    </row>
    <row r="5793" ht="15.75" customHeight="1">
      <c r="H5793" s="162"/>
    </row>
    <row r="5794" ht="15.75" customHeight="1">
      <c r="H5794" s="162"/>
    </row>
    <row r="5795" ht="15.75" customHeight="1">
      <c r="H5795" s="162"/>
    </row>
    <row r="5796" ht="15.75" customHeight="1">
      <c r="H5796" s="162"/>
    </row>
    <row r="5797" ht="15.75" customHeight="1">
      <c r="H5797" s="162"/>
    </row>
    <row r="5798" ht="15.75" customHeight="1">
      <c r="H5798" s="162"/>
    </row>
    <row r="5799" ht="15.75" customHeight="1">
      <c r="H5799" s="162"/>
    </row>
    <row r="5800" ht="15.75" customHeight="1">
      <c r="H5800" s="162"/>
    </row>
    <row r="5801" ht="15.75" customHeight="1">
      <c r="H5801" s="162"/>
    </row>
    <row r="5802" ht="15.75" customHeight="1">
      <c r="H5802" s="162"/>
    </row>
    <row r="5803" ht="15.75" customHeight="1">
      <c r="H5803" s="162"/>
    </row>
    <row r="5804" ht="15.75" customHeight="1">
      <c r="H5804" s="162"/>
    </row>
    <row r="5805" ht="15.75" customHeight="1">
      <c r="H5805" s="162"/>
    </row>
    <row r="5806" ht="15.75" customHeight="1">
      <c r="H5806" s="162"/>
    </row>
    <row r="5807" ht="15.75" customHeight="1">
      <c r="H5807" s="162"/>
    </row>
    <row r="5808" ht="15.75" customHeight="1">
      <c r="H5808" s="162"/>
    </row>
    <row r="5809" ht="15.75" customHeight="1">
      <c r="H5809" s="162"/>
    </row>
    <row r="5810" ht="15.75" customHeight="1">
      <c r="H5810" s="162"/>
    </row>
    <row r="5811" ht="15.75" customHeight="1">
      <c r="H5811" s="162"/>
    </row>
    <row r="5812" ht="15.75" customHeight="1">
      <c r="H5812" s="162"/>
    </row>
    <row r="5813" ht="15.75" customHeight="1">
      <c r="H5813" s="162"/>
    </row>
    <row r="5814" ht="15.75" customHeight="1">
      <c r="H5814" s="162"/>
    </row>
    <row r="5815" ht="15.75" customHeight="1">
      <c r="H5815" s="162"/>
    </row>
    <row r="5816" ht="15.75" customHeight="1">
      <c r="H5816" s="162"/>
    </row>
    <row r="5817" ht="15.75" customHeight="1">
      <c r="H5817" s="162"/>
    </row>
    <row r="5818" ht="15.75" customHeight="1">
      <c r="H5818" s="162"/>
    </row>
    <row r="5819" ht="15.75" customHeight="1">
      <c r="H5819" s="162"/>
    </row>
    <row r="5820" ht="15.75" customHeight="1">
      <c r="H5820" s="162"/>
    </row>
    <row r="5821" ht="15.75" customHeight="1">
      <c r="H5821" s="162"/>
    </row>
    <row r="5822" ht="15.75" customHeight="1">
      <c r="H5822" s="162"/>
    </row>
    <row r="5823" ht="15.75" customHeight="1">
      <c r="H5823" s="162"/>
    </row>
    <row r="5824" ht="15.75" customHeight="1">
      <c r="H5824" s="162"/>
    </row>
    <row r="5825" ht="15.75" customHeight="1">
      <c r="H5825" s="162"/>
    </row>
    <row r="5826" ht="15.75" customHeight="1">
      <c r="H5826" s="162"/>
    </row>
    <row r="5827" ht="15.75" customHeight="1">
      <c r="H5827" s="162"/>
    </row>
    <row r="5828" ht="15.75" customHeight="1">
      <c r="H5828" s="162"/>
    </row>
    <row r="5829" ht="15.75" customHeight="1">
      <c r="H5829" s="162"/>
    </row>
    <row r="5830" ht="15.75" customHeight="1">
      <c r="H5830" s="162"/>
    </row>
    <row r="5831" ht="15.75" customHeight="1">
      <c r="H5831" s="162"/>
    </row>
    <row r="5832" ht="15.75" customHeight="1">
      <c r="H5832" s="162"/>
    </row>
    <row r="5833" ht="15.75" customHeight="1">
      <c r="H5833" s="162"/>
    </row>
    <row r="5834" ht="15.75" customHeight="1">
      <c r="H5834" s="162"/>
    </row>
    <row r="5835" ht="15.75" customHeight="1">
      <c r="H5835" s="162"/>
    </row>
    <row r="5836" ht="15.75" customHeight="1">
      <c r="H5836" s="162"/>
    </row>
    <row r="5837" ht="15.75" customHeight="1">
      <c r="H5837" s="162"/>
    </row>
    <row r="5838" ht="15.75" customHeight="1">
      <c r="H5838" s="162"/>
    </row>
    <row r="5839" ht="15.75" customHeight="1">
      <c r="H5839" s="162"/>
    </row>
    <row r="5840" ht="15.75" customHeight="1">
      <c r="H5840" s="162"/>
    </row>
    <row r="5841" ht="15.75" customHeight="1">
      <c r="H5841" s="162"/>
    </row>
    <row r="5842" ht="15.75" customHeight="1">
      <c r="H5842" s="162"/>
    </row>
    <row r="5843" ht="15.75" customHeight="1">
      <c r="H5843" s="162"/>
    </row>
    <row r="5844" ht="15.75" customHeight="1">
      <c r="H5844" s="162"/>
    </row>
    <row r="5845" ht="15.75" customHeight="1">
      <c r="H5845" s="162"/>
    </row>
    <row r="5846" ht="15.75" customHeight="1">
      <c r="H5846" s="162"/>
    </row>
    <row r="5847" ht="15.75" customHeight="1">
      <c r="H5847" s="162"/>
    </row>
    <row r="5848" ht="15.75" customHeight="1">
      <c r="H5848" s="162"/>
    </row>
    <row r="5849" ht="15.75" customHeight="1">
      <c r="H5849" s="162"/>
    </row>
    <row r="5850" ht="15.75" customHeight="1">
      <c r="H5850" s="162"/>
    </row>
    <row r="5851" ht="15.75" customHeight="1">
      <c r="H5851" s="162"/>
    </row>
    <row r="5852" ht="15.75" customHeight="1">
      <c r="H5852" s="162"/>
    </row>
    <row r="5853" ht="15.75" customHeight="1">
      <c r="H5853" s="162"/>
    </row>
    <row r="5854" ht="15.75" customHeight="1">
      <c r="H5854" s="162"/>
    </row>
    <row r="5855" ht="15.75" customHeight="1">
      <c r="H5855" s="162"/>
    </row>
    <row r="5856" ht="15.75" customHeight="1">
      <c r="H5856" s="162"/>
    </row>
    <row r="5857" ht="15.75" customHeight="1">
      <c r="H5857" s="162"/>
    </row>
    <row r="5858" ht="15.75" customHeight="1">
      <c r="H5858" s="162"/>
    </row>
    <row r="5859" ht="15.75" customHeight="1">
      <c r="H5859" s="162"/>
    </row>
    <row r="5860" ht="15.75" customHeight="1">
      <c r="H5860" s="162"/>
    </row>
    <row r="5861" ht="15.75" customHeight="1">
      <c r="H5861" s="162"/>
    </row>
    <row r="5862" ht="15.75" customHeight="1">
      <c r="H5862" s="162"/>
    </row>
    <row r="5863" ht="15.75" customHeight="1">
      <c r="H5863" s="162"/>
    </row>
    <row r="5864" ht="15.75" customHeight="1">
      <c r="H5864" s="162"/>
    </row>
    <row r="5865" ht="15.75" customHeight="1">
      <c r="H5865" s="162"/>
    </row>
    <row r="5866" ht="15.75" customHeight="1">
      <c r="H5866" s="162"/>
    </row>
    <row r="5867" ht="15.75" customHeight="1">
      <c r="H5867" s="162"/>
    </row>
    <row r="5868" ht="15.75" customHeight="1">
      <c r="H5868" s="162"/>
    </row>
    <row r="5869" ht="15.75" customHeight="1">
      <c r="H5869" s="162"/>
    </row>
    <row r="5870" ht="15.75" customHeight="1">
      <c r="H5870" s="162"/>
    </row>
    <row r="5871" ht="15.75" customHeight="1">
      <c r="H5871" s="162"/>
    </row>
    <row r="5872" ht="15.75" customHeight="1">
      <c r="H5872" s="162"/>
    </row>
    <row r="5873" ht="15.75" customHeight="1">
      <c r="H5873" s="162"/>
    </row>
    <row r="5874" ht="15.75" customHeight="1">
      <c r="H5874" s="162"/>
    </row>
    <row r="5875" ht="15.75" customHeight="1">
      <c r="H5875" s="162"/>
    </row>
    <row r="5876" ht="15.75" customHeight="1">
      <c r="H5876" s="162"/>
    </row>
    <row r="5877" ht="15.75" customHeight="1">
      <c r="H5877" s="162"/>
    </row>
    <row r="5878" ht="15.75" customHeight="1">
      <c r="H5878" s="162"/>
    </row>
    <row r="5879" ht="15.75" customHeight="1">
      <c r="H5879" s="162"/>
    </row>
    <row r="5880" ht="15.75" customHeight="1">
      <c r="H5880" s="162"/>
    </row>
    <row r="5881" ht="15.75" customHeight="1">
      <c r="H5881" s="162"/>
    </row>
    <row r="5882" ht="15.75" customHeight="1">
      <c r="H5882" s="162"/>
    </row>
    <row r="5883" ht="15.75" customHeight="1">
      <c r="H5883" s="162"/>
    </row>
    <row r="5884" ht="15.75" customHeight="1">
      <c r="H5884" s="162"/>
    </row>
    <row r="5885" ht="15.75" customHeight="1">
      <c r="H5885" s="162"/>
    </row>
    <row r="5886" ht="15.75" customHeight="1">
      <c r="H5886" s="162"/>
    </row>
    <row r="5887" ht="15.75" customHeight="1">
      <c r="H5887" s="162"/>
    </row>
    <row r="5888" ht="15.75" customHeight="1">
      <c r="H5888" s="162"/>
    </row>
    <row r="5889" ht="15.75" customHeight="1">
      <c r="H5889" s="162"/>
    </row>
    <row r="5890" ht="15.75" customHeight="1">
      <c r="H5890" s="162"/>
    </row>
    <row r="5891" ht="15.75" customHeight="1">
      <c r="H5891" s="162"/>
    </row>
    <row r="5892" ht="15.75" customHeight="1">
      <c r="H5892" s="162"/>
    </row>
    <row r="5893" ht="15.75" customHeight="1">
      <c r="H5893" s="162"/>
    </row>
    <row r="5894" ht="15.75" customHeight="1">
      <c r="H5894" s="162"/>
    </row>
    <row r="5895" ht="15.75" customHeight="1">
      <c r="H5895" s="162"/>
    </row>
    <row r="5896" ht="15.75" customHeight="1">
      <c r="H5896" s="162"/>
    </row>
    <row r="5897" ht="15.75" customHeight="1">
      <c r="H5897" s="162"/>
    </row>
    <row r="5898" ht="15.75" customHeight="1">
      <c r="H5898" s="162"/>
    </row>
    <row r="5899" ht="15.75" customHeight="1">
      <c r="H5899" s="162"/>
    </row>
    <row r="5900" ht="15.75" customHeight="1">
      <c r="H5900" s="162"/>
    </row>
    <row r="5901" ht="15.75" customHeight="1">
      <c r="H5901" s="162"/>
    </row>
    <row r="5902" ht="15.75" customHeight="1">
      <c r="H5902" s="162"/>
    </row>
    <row r="5903" ht="15.75" customHeight="1">
      <c r="H5903" s="162"/>
    </row>
    <row r="5904" ht="15.75" customHeight="1">
      <c r="H5904" s="162"/>
    </row>
    <row r="5905" ht="15.75" customHeight="1">
      <c r="H5905" s="162"/>
    </row>
    <row r="5906" ht="15.75" customHeight="1">
      <c r="H5906" s="162"/>
    </row>
    <row r="5907" ht="15.75" customHeight="1">
      <c r="H5907" s="162"/>
    </row>
    <row r="5908" ht="15.75" customHeight="1">
      <c r="H5908" s="162"/>
    </row>
    <row r="5909" ht="15.75" customHeight="1">
      <c r="H5909" s="162"/>
    </row>
    <row r="5910" ht="15.75" customHeight="1">
      <c r="H5910" s="162"/>
    </row>
    <row r="5911" ht="15.75" customHeight="1">
      <c r="H5911" s="162"/>
    </row>
    <row r="5912" ht="15.75" customHeight="1">
      <c r="H5912" s="162"/>
    </row>
    <row r="5913" ht="15.75" customHeight="1">
      <c r="H5913" s="162"/>
    </row>
    <row r="5914" ht="15.75" customHeight="1">
      <c r="H5914" s="162"/>
    </row>
    <row r="5915" ht="15.75" customHeight="1">
      <c r="H5915" s="162"/>
    </row>
    <row r="5916" ht="15.75" customHeight="1">
      <c r="H5916" s="162"/>
    </row>
    <row r="5917" ht="15.75" customHeight="1">
      <c r="H5917" s="162"/>
    </row>
    <row r="5918" ht="15.75" customHeight="1">
      <c r="H5918" s="162"/>
    </row>
    <row r="5919" ht="15.75" customHeight="1">
      <c r="H5919" s="162"/>
    </row>
    <row r="5920" ht="15.75" customHeight="1">
      <c r="H5920" s="162"/>
    </row>
    <row r="5921" ht="15.75" customHeight="1">
      <c r="H5921" s="162"/>
    </row>
    <row r="5922" ht="15.75" customHeight="1">
      <c r="H5922" s="162"/>
    </row>
    <row r="5923" ht="15.75" customHeight="1">
      <c r="H5923" s="162"/>
    </row>
    <row r="5924" ht="15.75" customHeight="1">
      <c r="H5924" s="162"/>
    </row>
    <row r="5925" ht="15.75" customHeight="1">
      <c r="H5925" s="162"/>
    </row>
    <row r="5926" ht="15.75" customHeight="1">
      <c r="H5926" s="162"/>
    </row>
    <row r="5927" ht="15.75" customHeight="1">
      <c r="H5927" s="162"/>
    </row>
    <row r="5928" ht="15.75" customHeight="1">
      <c r="H5928" s="162"/>
    </row>
    <row r="5929" ht="15.75" customHeight="1">
      <c r="H5929" s="162"/>
    </row>
    <row r="5930" ht="15.75" customHeight="1">
      <c r="H5930" s="162"/>
    </row>
    <row r="5931" ht="15.75" customHeight="1">
      <c r="H5931" s="162"/>
    </row>
    <row r="5932" ht="15.75" customHeight="1">
      <c r="H5932" s="162"/>
    </row>
    <row r="5933" ht="15.75" customHeight="1">
      <c r="H5933" s="162"/>
    </row>
    <row r="5934" ht="15.75" customHeight="1">
      <c r="H5934" s="162"/>
    </row>
    <row r="5935" ht="15.75" customHeight="1">
      <c r="H5935" s="162"/>
    </row>
    <row r="5936" ht="15.75" customHeight="1">
      <c r="H5936" s="162"/>
    </row>
    <row r="5937" ht="15.75" customHeight="1">
      <c r="H5937" s="162"/>
    </row>
    <row r="5938" ht="15.75" customHeight="1">
      <c r="H5938" s="162"/>
    </row>
    <row r="5939" ht="15.75" customHeight="1">
      <c r="H5939" s="162"/>
    </row>
    <row r="5940" ht="15.75" customHeight="1">
      <c r="H5940" s="162"/>
    </row>
    <row r="5941" ht="15.75" customHeight="1">
      <c r="H5941" s="162"/>
    </row>
    <row r="5942" ht="15.75" customHeight="1">
      <c r="H5942" s="162"/>
    </row>
    <row r="5943" ht="15.75" customHeight="1">
      <c r="H5943" s="162"/>
    </row>
    <row r="5944" ht="15.75" customHeight="1">
      <c r="H5944" s="162"/>
    </row>
    <row r="5945" ht="15.75" customHeight="1">
      <c r="H5945" s="162"/>
    </row>
    <row r="5946" ht="15.75" customHeight="1">
      <c r="H5946" s="162"/>
    </row>
    <row r="5947" ht="15.75" customHeight="1">
      <c r="H5947" s="162"/>
    </row>
    <row r="5948" ht="15.75" customHeight="1">
      <c r="H5948" s="162"/>
    </row>
    <row r="5949" ht="15.75" customHeight="1">
      <c r="H5949" s="162"/>
    </row>
    <row r="5950" ht="15.75" customHeight="1">
      <c r="H5950" s="162"/>
    </row>
    <row r="5951" ht="15.75" customHeight="1">
      <c r="H5951" s="162"/>
    </row>
    <row r="5952" ht="15.75" customHeight="1">
      <c r="H5952" s="162"/>
    </row>
    <row r="5953" ht="15.75" customHeight="1">
      <c r="H5953" s="162"/>
    </row>
    <row r="5954" ht="15.75" customHeight="1">
      <c r="H5954" s="162"/>
    </row>
    <row r="5955" ht="15.75" customHeight="1">
      <c r="H5955" s="162"/>
    </row>
    <row r="5956" ht="15.75" customHeight="1">
      <c r="H5956" s="162"/>
    </row>
    <row r="5957" ht="15.75" customHeight="1">
      <c r="H5957" s="162"/>
    </row>
    <row r="5958" ht="15.75" customHeight="1">
      <c r="H5958" s="162"/>
    </row>
    <row r="5959" ht="15.75" customHeight="1">
      <c r="H5959" s="162"/>
    </row>
    <row r="5960" ht="15.75" customHeight="1">
      <c r="H5960" s="162"/>
    </row>
    <row r="5961" ht="15.75" customHeight="1">
      <c r="H5961" s="162"/>
    </row>
    <row r="5962" ht="15.75" customHeight="1">
      <c r="H5962" s="162"/>
    </row>
    <row r="5963" ht="15.75" customHeight="1">
      <c r="H5963" s="162"/>
    </row>
    <row r="5964" ht="15.75" customHeight="1">
      <c r="H5964" s="162"/>
    </row>
    <row r="5965" ht="15.75" customHeight="1">
      <c r="H5965" s="162"/>
    </row>
    <row r="5966" ht="15.75" customHeight="1">
      <c r="H5966" s="162"/>
    </row>
    <row r="5967" ht="15.75" customHeight="1">
      <c r="H5967" s="162"/>
    </row>
    <row r="5968" ht="15.75" customHeight="1">
      <c r="H5968" s="162"/>
    </row>
    <row r="5969" ht="15.75" customHeight="1">
      <c r="H5969" s="162"/>
    </row>
    <row r="5970" ht="15.75" customHeight="1">
      <c r="H5970" s="162"/>
    </row>
    <row r="5971" ht="15.75" customHeight="1">
      <c r="H5971" s="162"/>
    </row>
    <row r="5972" ht="15.75" customHeight="1">
      <c r="H5972" s="162"/>
    </row>
    <row r="5973" ht="15.75" customHeight="1">
      <c r="H5973" s="162"/>
    </row>
    <row r="5974" ht="15.75" customHeight="1">
      <c r="H5974" s="162"/>
    </row>
    <row r="5975" ht="15.75" customHeight="1">
      <c r="H5975" s="162"/>
    </row>
    <row r="5976" ht="15.75" customHeight="1">
      <c r="H5976" s="162"/>
    </row>
    <row r="5977" ht="15.75" customHeight="1">
      <c r="H5977" s="162"/>
    </row>
    <row r="5978" ht="15.75" customHeight="1">
      <c r="H5978" s="162"/>
    </row>
    <row r="5979" ht="15.75" customHeight="1">
      <c r="H5979" s="162"/>
    </row>
    <row r="5980" ht="15.75" customHeight="1">
      <c r="H5980" s="162"/>
    </row>
    <row r="5981" ht="15.75" customHeight="1">
      <c r="H5981" s="162"/>
    </row>
    <row r="5982" ht="15.75" customHeight="1">
      <c r="H5982" s="162"/>
    </row>
    <row r="5983" ht="15.75" customHeight="1">
      <c r="H5983" s="162"/>
    </row>
    <row r="5984" ht="15.75" customHeight="1">
      <c r="H5984" s="162"/>
    </row>
    <row r="5985" ht="15.75" customHeight="1">
      <c r="H5985" s="162"/>
    </row>
    <row r="5986" ht="15.75" customHeight="1">
      <c r="H5986" s="162"/>
    </row>
    <row r="5987" ht="15.75" customHeight="1">
      <c r="H5987" s="162"/>
    </row>
    <row r="5988" ht="15.75" customHeight="1">
      <c r="H5988" s="162"/>
    </row>
    <row r="5989" ht="15.75" customHeight="1">
      <c r="H5989" s="162"/>
    </row>
    <row r="5990" ht="15.75" customHeight="1">
      <c r="H5990" s="162"/>
    </row>
    <row r="5991" ht="15.75" customHeight="1">
      <c r="H5991" s="162"/>
    </row>
    <row r="5992" ht="15.75" customHeight="1">
      <c r="H5992" s="162"/>
    </row>
    <row r="5993" ht="15.75" customHeight="1">
      <c r="H5993" s="162"/>
    </row>
    <row r="5994" ht="15.75" customHeight="1">
      <c r="H5994" s="162"/>
    </row>
    <row r="5995" ht="15.75" customHeight="1">
      <c r="H5995" s="162"/>
    </row>
    <row r="5996" ht="15.75" customHeight="1">
      <c r="H5996" s="162"/>
    </row>
    <row r="5997" ht="15.75" customHeight="1">
      <c r="H5997" s="162"/>
    </row>
    <row r="5998" ht="15.75" customHeight="1">
      <c r="H5998" s="162"/>
    </row>
    <row r="5999" ht="15.75" customHeight="1">
      <c r="H5999" s="162"/>
    </row>
    <row r="6000" ht="15.75" customHeight="1">
      <c r="H6000" s="162"/>
    </row>
    <row r="6001" ht="15.75" customHeight="1">
      <c r="H6001" s="162"/>
    </row>
    <row r="6002" ht="15.75" customHeight="1">
      <c r="H6002" s="162"/>
    </row>
    <row r="6003" ht="15.75" customHeight="1">
      <c r="H6003" s="162"/>
    </row>
    <row r="6004" ht="15.75" customHeight="1">
      <c r="H6004" s="162"/>
    </row>
    <row r="6005" ht="15.75" customHeight="1">
      <c r="H6005" s="162"/>
    </row>
    <row r="6006" ht="15.75" customHeight="1">
      <c r="H6006" s="162"/>
    </row>
    <row r="6007" ht="15.75" customHeight="1">
      <c r="H6007" s="162"/>
    </row>
    <row r="6008" ht="15.75" customHeight="1">
      <c r="H6008" s="162"/>
    </row>
    <row r="6009" ht="15.75" customHeight="1">
      <c r="H6009" s="162"/>
    </row>
    <row r="6010" ht="15.75" customHeight="1">
      <c r="H6010" s="162"/>
    </row>
    <row r="6011" ht="15.75" customHeight="1">
      <c r="H6011" s="162"/>
    </row>
    <row r="6012" ht="15.75" customHeight="1">
      <c r="H6012" s="162"/>
    </row>
    <row r="6013" ht="15.75" customHeight="1">
      <c r="H6013" s="162"/>
    </row>
    <row r="6014" ht="15.75" customHeight="1">
      <c r="H6014" s="162"/>
    </row>
    <row r="6015" ht="15.75" customHeight="1">
      <c r="H6015" s="162"/>
    </row>
    <row r="6016" ht="15.75" customHeight="1">
      <c r="H6016" s="162"/>
    </row>
    <row r="6017" ht="15.75" customHeight="1">
      <c r="H6017" s="162"/>
    </row>
    <row r="6018" ht="15.75" customHeight="1">
      <c r="H6018" s="162"/>
    </row>
    <row r="6019" ht="15.75" customHeight="1">
      <c r="H6019" s="162"/>
    </row>
    <row r="6020" ht="15.75" customHeight="1">
      <c r="H6020" s="162"/>
    </row>
    <row r="6021" ht="15.75" customHeight="1">
      <c r="H6021" s="162"/>
    </row>
    <row r="6022" ht="15.75" customHeight="1">
      <c r="H6022" s="162"/>
    </row>
    <row r="6023" ht="15.75" customHeight="1">
      <c r="H6023" s="162"/>
    </row>
    <row r="6024" ht="15.75" customHeight="1">
      <c r="H6024" s="162"/>
    </row>
    <row r="6025" ht="15.75" customHeight="1">
      <c r="H6025" s="162"/>
    </row>
    <row r="6026" ht="15.75" customHeight="1">
      <c r="H6026" s="162"/>
    </row>
    <row r="6027" ht="15.75" customHeight="1">
      <c r="H6027" s="162"/>
    </row>
    <row r="6028" ht="15.75" customHeight="1">
      <c r="H6028" s="162"/>
    </row>
    <row r="6029" ht="15.75" customHeight="1">
      <c r="H6029" s="162"/>
    </row>
    <row r="6030" ht="15.75" customHeight="1">
      <c r="H6030" s="162"/>
    </row>
    <row r="6031" ht="15.75" customHeight="1">
      <c r="H6031" s="162"/>
    </row>
    <row r="6032" ht="15.75" customHeight="1">
      <c r="H6032" s="162"/>
    </row>
    <row r="6033" ht="15.75" customHeight="1">
      <c r="H6033" s="162"/>
    </row>
    <row r="6034" ht="15.75" customHeight="1">
      <c r="H6034" s="162"/>
    </row>
    <row r="6035" ht="15.75" customHeight="1">
      <c r="H6035" s="162"/>
    </row>
    <row r="6036" ht="15.75" customHeight="1">
      <c r="H6036" s="162"/>
    </row>
    <row r="6037" ht="15.75" customHeight="1">
      <c r="H6037" s="162"/>
    </row>
    <row r="6038" ht="15.75" customHeight="1">
      <c r="H6038" s="162"/>
    </row>
    <row r="6039" ht="15.75" customHeight="1">
      <c r="H6039" s="162"/>
    </row>
    <row r="6040" ht="15.75" customHeight="1">
      <c r="H6040" s="162"/>
    </row>
    <row r="6041" ht="15.75" customHeight="1">
      <c r="H6041" s="162"/>
    </row>
    <row r="6042" ht="15.75" customHeight="1">
      <c r="H6042" s="162"/>
    </row>
    <row r="6043" ht="15.75" customHeight="1">
      <c r="H6043" s="162"/>
    </row>
    <row r="6044" ht="15.75" customHeight="1">
      <c r="H6044" s="162"/>
    </row>
    <row r="6045" ht="15.75" customHeight="1">
      <c r="H6045" s="162"/>
    </row>
    <row r="6046" ht="15.75" customHeight="1">
      <c r="H6046" s="162"/>
    </row>
    <row r="6047" ht="15.75" customHeight="1">
      <c r="H6047" s="162"/>
    </row>
    <row r="6048" ht="15.75" customHeight="1">
      <c r="H6048" s="162"/>
    </row>
    <row r="6049" ht="15.75" customHeight="1">
      <c r="H6049" s="162"/>
    </row>
    <row r="6050" ht="15.75" customHeight="1">
      <c r="H6050" s="162"/>
    </row>
    <row r="6051" ht="15.75" customHeight="1">
      <c r="H6051" s="162"/>
    </row>
    <row r="6052" ht="15.75" customHeight="1">
      <c r="H6052" s="162"/>
    </row>
    <row r="6053" ht="15.75" customHeight="1">
      <c r="H6053" s="162"/>
    </row>
    <row r="6054" ht="15.75" customHeight="1">
      <c r="H6054" s="162"/>
    </row>
    <row r="6055" ht="15.75" customHeight="1">
      <c r="H6055" s="162"/>
    </row>
    <row r="6056" ht="15.75" customHeight="1">
      <c r="H6056" s="162"/>
    </row>
    <row r="6057" ht="15.75" customHeight="1">
      <c r="H6057" s="162"/>
    </row>
    <row r="6058" ht="15.75" customHeight="1">
      <c r="H6058" s="162"/>
    </row>
    <row r="6059" ht="15.75" customHeight="1">
      <c r="H6059" s="162"/>
    </row>
    <row r="6060" ht="15.75" customHeight="1">
      <c r="H6060" s="162"/>
    </row>
    <row r="6061" ht="15.75" customHeight="1">
      <c r="H6061" s="162"/>
    </row>
    <row r="6062" ht="15.75" customHeight="1">
      <c r="H6062" s="162"/>
    </row>
    <row r="6063" ht="15.75" customHeight="1">
      <c r="H6063" s="162"/>
    </row>
    <row r="6064" ht="15.75" customHeight="1">
      <c r="H6064" s="162"/>
    </row>
    <row r="6065" ht="15.75" customHeight="1">
      <c r="H6065" s="162"/>
    </row>
    <row r="6066" ht="15.75" customHeight="1">
      <c r="H6066" s="162"/>
    </row>
    <row r="6067" ht="15.75" customHeight="1">
      <c r="H6067" s="162"/>
    </row>
    <row r="6068" ht="15.75" customHeight="1">
      <c r="H6068" s="162"/>
    </row>
    <row r="6069" ht="15.75" customHeight="1">
      <c r="H6069" s="162"/>
    </row>
    <row r="6070" ht="15.75" customHeight="1">
      <c r="H6070" s="162"/>
    </row>
    <row r="6071" ht="15.75" customHeight="1">
      <c r="H6071" s="162"/>
    </row>
    <row r="6072" ht="15.75" customHeight="1">
      <c r="H6072" s="162"/>
    </row>
    <row r="6073" ht="15.75" customHeight="1">
      <c r="H6073" s="162"/>
    </row>
    <row r="6074" ht="15.75" customHeight="1">
      <c r="H6074" s="162"/>
    </row>
    <row r="6075" ht="15.75" customHeight="1">
      <c r="H6075" s="162"/>
    </row>
    <row r="6076" ht="15.75" customHeight="1">
      <c r="H6076" s="162"/>
    </row>
    <row r="6077" ht="15.75" customHeight="1">
      <c r="H6077" s="162"/>
    </row>
    <row r="6078" ht="15.75" customHeight="1">
      <c r="H6078" s="162"/>
    </row>
    <row r="6079" ht="15.75" customHeight="1">
      <c r="H6079" s="162"/>
    </row>
    <row r="6080" ht="15.75" customHeight="1">
      <c r="H6080" s="162"/>
    </row>
    <row r="6081" ht="15.75" customHeight="1">
      <c r="H6081" s="162"/>
    </row>
    <row r="6082" ht="15.75" customHeight="1">
      <c r="H6082" s="162"/>
    </row>
    <row r="6083" ht="15.75" customHeight="1">
      <c r="H6083" s="162"/>
    </row>
    <row r="6084" ht="15.75" customHeight="1">
      <c r="H6084" s="162"/>
    </row>
    <row r="6085" ht="15.75" customHeight="1">
      <c r="H6085" s="162"/>
    </row>
    <row r="6086" ht="15.75" customHeight="1">
      <c r="H6086" s="162"/>
    </row>
    <row r="6087" ht="15.75" customHeight="1">
      <c r="H6087" s="162"/>
    </row>
    <row r="6088" ht="15.75" customHeight="1">
      <c r="H6088" s="162"/>
    </row>
    <row r="6089" ht="15.75" customHeight="1">
      <c r="H6089" s="162"/>
    </row>
    <row r="6090" ht="15.75" customHeight="1">
      <c r="H6090" s="162"/>
    </row>
    <row r="6091" ht="15.75" customHeight="1">
      <c r="H6091" s="162"/>
    </row>
    <row r="6092" ht="15.75" customHeight="1">
      <c r="H6092" s="162"/>
    </row>
    <row r="6093" ht="15.75" customHeight="1">
      <c r="H6093" s="162"/>
    </row>
    <row r="6094" ht="15.75" customHeight="1">
      <c r="H6094" s="162"/>
    </row>
    <row r="6095" ht="15.75" customHeight="1">
      <c r="H6095" s="162"/>
    </row>
    <row r="6096" ht="15.75" customHeight="1">
      <c r="H6096" s="162"/>
    </row>
    <row r="6097" ht="15.75" customHeight="1">
      <c r="H6097" s="162"/>
    </row>
    <row r="6098" ht="15.75" customHeight="1">
      <c r="H6098" s="162"/>
    </row>
    <row r="6099" ht="15.75" customHeight="1">
      <c r="H6099" s="162"/>
    </row>
    <row r="6100" ht="15.75" customHeight="1">
      <c r="H6100" s="162"/>
    </row>
    <row r="6101" ht="15.75" customHeight="1">
      <c r="H6101" s="162"/>
    </row>
    <row r="6102" ht="15.75" customHeight="1">
      <c r="H6102" s="162"/>
    </row>
    <row r="6103" ht="15.75" customHeight="1">
      <c r="H6103" s="162"/>
    </row>
    <row r="6104" ht="15.75" customHeight="1">
      <c r="H6104" s="162"/>
    </row>
    <row r="6105" ht="15.75" customHeight="1">
      <c r="H6105" s="162"/>
    </row>
    <row r="6106" ht="15.75" customHeight="1">
      <c r="H6106" s="162"/>
    </row>
    <row r="6107" ht="15.75" customHeight="1">
      <c r="H6107" s="162"/>
    </row>
    <row r="6108" ht="15.75" customHeight="1">
      <c r="H6108" s="162"/>
    </row>
    <row r="6109" ht="15.75" customHeight="1">
      <c r="H6109" s="162"/>
    </row>
    <row r="6110" ht="15.75" customHeight="1">
      <c r="H6110" s="162"/>
    </row>
    <row r="6111" ht="15.75" customHeight="1">
      <c r="H6111" s="162"/>
    </row>
    <row r="6112" ht="15.75" customHeight="1">
      <c r="H6112" s="162"/>
    </row>
    <row r="6113" ht="15.75" customHeight="1">
      <c r="H6113" s="162"/>
    </row>
    <row r="6114" ht="15.75" customHeight="1">
      <c r="H6114" s="162"/>
    </row>
    <row r="6115" ht="15.75" customHeight="1">
      <c r="H6115" s="162"/>
    </row>
    <row r="6116" ht="15.75" customHeight="1">
      <c r="H6116" s="162"/>
    </row>
    <row r="6117" ht="15.75" customHeight="1">
      <c r="H6117" s="162"/>
    </row>
    <row r="6118" ht="15.75" customHeight="1">
      <c r="H6118" s="162"/>
    </row>
    <row r="6119" ht="15.75" customHeight="1">
      <c r="H6119" s="162"/>
    </row>
    <row r="6120" ht="15.75" customHeight="1">
      <c r="H6120" s="162"/>
    </row>
    <row r="6121" ht="15.75" customHeight="1">
      <c r="H6121" s="162"/>
    </row>
    <row r="6122" ht="15.75" customHeight="1">
      <c r="H6122" s="162"/>
    </row>
    <row r="6123" ht="15.75" customHeight="1">
      <c r="H6123" s="162"/>
    </row>
    <row r="6124" ht="15.75" customHeight="1">
      <c r="H6124" s="162"/>
    </row>
    <row r="6125" ht="15.75" customHeight="1">
      <c r="H6125" s="162"/>
    </row>
    <row r="6126" ht="15.75" customHeight="1">
      <c r="H6126" s="162"/>
    </row>
    <row r="6127" ht="15.75" customHeight="1">
      <c r="H6127" s="162"/>
    </row>
    <row r="6128" ht="15.75" customHeight="1">
      <c r="H6128" s="162"/>
    </row>
    <row r="6129" ht="15.75" customHeight="1">
      <c r="H6129" s="162"/>
    </row>
    <row r="6130" ht="15.75" customHeight="1">
      <c r="H6130" s="162"/>
    </row>
    <row r="6131" ht="15.75" customHeight="1">
      <c r="H6131" s="162"/>
    </row>
    <row r="6132" ht="15.75" customHeight="1">
      <c r="H6132" s="162"/>
    </row>
    <row r="6133" ht="15.75" customHeight="1">
      <c r="H6133" s="162"/>
    </row>
    <row r="6134" ht="15.75" customHeight="1">
      <c r="H6134" s="162"/>
    </row>
    <row r="6135" ht="15.75" customHeight="1">
      <c r="H6135" s="162"/>
    </row>
    <row r="6136" ht="15.75" customHeight="1">
      <c r="H6136" s="162"/>
    </row>
    <row r="6137" ht="15.75" customHeight="1">
      <c r="H6137" s="162"/>
    </row>
    <row r="6138" ht="15.75" customHeight="1">
      <c r="H6138" s="162"/>
    </row>
    <row r="6139" ht="15.75" customHeight="1">
      <c r="H6139" s="162"/>
    </row>
    <row r="6140" ht="15.75" customHeight="1">
      <c r="H6140" s="162"/>
    </row>
    <row r="6141" ht="15.75" customHeight="1">
      <c r="H6141" s="162"/>
    </row>
    <row r="6142" ht="15.75" customHeight="1">
      <c r="H6142" s="162"/>
    </row>
    <row r="6143" ht="15.75" customHeight="1">
      <c r="H6143" s="162"/>
    </row>
    <row r="6144" ht="15.75" customHeight="1">
      <c r="H6144" s="162"/>
    </row>
    <row r="6145" ht="15.75" customHeight="1">
      <c r="H6145" s="162"/>
    </row>
    <row r="6146" ht="15.75" customHeight="1">
      <c r="H6146" s="162"/>
    </row>
    <row r="6147" ht="15.75" customHeight="1">
      <c r="H6147" s="162"/>
    </row>
    <row r="6148" ht="15.75" customHeight="1">
      <c r="H6148" s="162"/>
    </row>
    <row r="6149" ht="15.75" customHeight="1">
      <c r="H6149" s="162"/>
    </row>
    <row r="6150" ht="15.75" customHeight="1">
      <c r="H6150" s="162"/>
    </row>
    <row r="6151" ht="15.75" customHeight="1">
      <c r="H6151" s="162"/>
    </row>
    <row r="6152" ht="15.75" customHeight="1">
      <c r="H6152" s="162"/>
    </row>
    <row r="6153" ht="15.75" customHeight="1">
      <c r="H6153" s="162"/>
    </row>
    <row r="6154" ht="15.75" customHeight="1">
      <c r="H6154" s="162"/>
    </row>
    <row r="6155" ht="15.75" customHeight="1">
      <c r="H6155" s="162"/>
    </row>
    <row r="6156" ht="15.75" customHeight="1">
      <c r="H6156" s="162"/>
    </row>
    <row r="6157" ht="15.75" customHeight="1">
      <c r="H6157" s="162"/>
    </row>
    <row r="6158" ht="15.75" customHeight="1">
      <c r="H6158" s="162"/>
    </row>
    <row r="6159" ht="15.75" customHeight="1">
      <c r="H6159" s="162"/>
    </row>
    <row r="6160" ht="15.75" customHeight="1">
      <c r="H6160" s="162"/>
    </row>
    <row r="6161" ht="15.75" customHeight="1">
      <c r="H6161" s="162"/>
    </row>
    <row r="6162" ht="15.75" customHeight="1">
      <c r="H6162" s="162"/>
    </row>
    <row r="6163" ht="15.75" customHeight="1">
      <c r="H6163" s="162"/>
    </row>
    <row r="6164" ht="15.75" customHeight="1">
      <c r="H6164" s="162"/>
    </row>
    <row r="6165" ht="15.75" customHeight="1">
      <c r="H6165" s="162"/>
    </row>
    <row r="6166" ht="15.75" customHeight="1">
      <c r="H6166" s="162"/>
    </row>
    <row r="6167" ht="15.75" customHeight="1">
      <c r="H6167" s="162"/>
    </row>
    <row r="6168" ht="15.75" customHeight="1">
      <c r="H6168" s="162"/>
    </row>
    <row r="6169" ht="15.75" customHeight="1">
      <c r="H6169" s="162"/>
    </row>
    <row r="6170" ht="15.75" customHeight="1">
      <c r="H6170" s="162"/>
    </row>
    <row r="6171" ht="15.75" customHeight="1">
      <c r="H6171" s="162"/>
    </row>
    <row r="6172" ht="15.75" customHeight="1">
      <c r="H6172" s="162"/>
    </row>
    <row r="6173" ht="15.75" customHeight="1">
      <c r="H6173" s="162"/>
    </row>
    <row r="6174" ht="15.75" customHeight="1">
      <c r="H6174" s="162"/>
    </row>
    <row r="6175" ht="15.75" customHeight="1">
      <c r="H6175" s="162"/>
    </row>
    <row r="6176" ht="15.75" customHeight="1">
      <c r="H6176" s="162"/>
    </row>
    <row r="6177" ht="15.75" customHeight="1">
      <c r="H6177" s="162"/>
    </row>
    <row r="6178" ht="15.75" customHeight="1">
      <c r="H6178" s="162"/>
    </row>
    <row r="6179" ht="15.75" customHeight="1">
      <c r="H6179" s="162"/>
    </row>
    <row r="6180" ht="15.75" customHeight="1">
      <c r="H6180" s="162"/>
    </row>
    <row r="6181" ht="15.75" customHeight="1">
      <c r="H6181" s="162"/>
    </row>
    <row r="6182" ht="15.75" customHeight="1">
      <c r="H6182" s="162"/>
    </row>
    <row r="6183" ht="15.75" customHeight="1">
      <c r="H6183" s="162"/>
    </row>
    <row r="6184" ht="15.75" customHeight="1">
      <c r="H6184" s="162"/>
    </row>
    <row r="6185" ht="15.75" customHeight="1">
      <c r="H6185" s="162"/>
    </row>
    <row r="6186" ht="15.75" customHeight="1">
      <c r="H6186" s="162"/>
    </row>
    <row r="6187" ht="15.75" customHeight="1">
      <c r="H6187" s="162"/>
    </row>
    <row r="6188" ht="15.75" customHeight="1">
      <c r="H6188" s="162"/>
    </row>
    <row r="6189" ht="15.75" customHeight="1">
      <c r="H6189" s="162"/>
    </row>
    <row r="6190" ht="15.75" customHeight="1">
      <c r="H6190" s="162"/>
    </row>
    <row r="6191" ht="15.75" customHeight="1">
      <c r="H6191" s="162"/>
    </row>
    <row r="6192" ht="15.75" customHeight="1">
      <c r="H6192" s="162"/>
    </row>
    <row r="6193" ht="15.75" customHeight="1">
      <c r="H6193" s="162"/>
    </row>
    <row r="6194" ht="15.75" customHeight="1">
      <c r="H6194" s="162"/>
    </row>
    <row r="6195" ht="15.75" customHeight="1">
      <c r="H6195" s="162"/>
    </row>
    <row r="6196" ht="15.75" customHeight="1">
      <c r="H6196" s="162"/>
    </row>
    <row r="6197" ht="15.75" customHeight="1">
      <c r="H6197" s="162"/>
    </row>
    <row r="6198" ht="15.75" customHeight="1">
      <c r="H6198" s="162"/>
    </row>
    <row r="6199" ht="15.75" customHeight="1">
      <c r="H6199" s="162"/>
    </row>
    <row r="6200" ht="15.75" customHeight="1">
      <c r="H6200" s="162"/>
    </row>
    <row r="6201" ht="15.75" customHeight="1">
      <c r="H6201" s="162"/>
    </row>
    <row r="6202" ht="15.75" customHeight="1">
      <c r="H6202" s="162"/>
    </row>
    <row r="6203" ht="15.75" customHeight="1">
      <c r="H6203" s="162"/>
    </row>
    <row r="6204" ht="15.75" customHeight="1">
      <c r="H6204" s="162"/>
    </row>
    <row r="6205" ht="15.75" customHeight="1">
      <c r="H6205" s="162"/>
    </row>
    <row r="6206" ht="15.75" customHeight="1">
      <c r="H6206" s="162"/>
    </row>
    <row r="6207" ht="15.75" customHeight="1">
      <c r="H6207" s="162"/>
    </row>
    <row r="6208" ht="15.75" customHeight="1">
      <c r="H6208" s="162"/>
    </row>
    <row r="6209" ht="15.75" customHeight="1">
      <c r="H6209" s="162"/>
    </row>
    <row r="6210" ht="15.75" customHeight="1">
      <c r="H6210" s="162"/>
    </row>
    <row r="6211" ht="15.75" customHeight="1">
      <c r="H6211" s="162"/>
    </row>
    <row r="6212" ht="15.75" customHeight="1">
      <c r="H6212" s="162"/>
    </row>
    <row r="6213" ht="15.75" customHeight="1">
      <c r="H6213" s="162"/>
    </row>
    <row r="6214" ht="15.75" customHeight="1">
      <c r="H6214" s="162"/>
    </row>
    <row r="6215" ht="15.75" customHeight="1">
      <c r="H6215" s="162"/>
    </row>
    <row r="6216" ht="15.75" customHeight="1">
      <c r="H6216" s="162"/>
    </row>
    <row r="6217" ht="15.75" customHeight="1">
      <c r="H6217" s="162"/>
    </row>
    <row r="6218" ht="15.75" customHeight="1">
      <c r="H6218" s="162"/>
    </row>
    <row r="6219" ht="15.75" customHeight="1">
      <c r="H6219" s="162"/>
    </row>
    <row r="6220" ht="15.75" customHeight="1">
      <c r="H6220" s="162"/>
    </row>
    <row r="6221" ht="15.75" customHeight="1">
      <c r="H6221" s="162"/>
    </row>
    <row r="6222" ht="15.75" customHeight="1">
      <c r="H6222" s="162"/>
    </row>
    <row r="6223" ht="15.75" customHeight="1">
      <c r="H6223" s="162"/>
    </row>
    <row r="6224" ht="15.75" customHeight="1">
      <c r="H6224" s="162"/>
    </row>
    <row r="6225" ht="15.75" customHeight="1">
      <c r="H6225" s="162"/>
    </row>
    <row r="6226" ht="15.75" customHeight="1">
      <c r="H6226" s="162"/>
    </row>
    <row r="6227" ht="15.75" customHeight="1">
      <c r="H6227" s="162"/>
    </row>
    <row r="6228" ht="15.75" customHeight="1">
      <c r="H6228" s="162"/>
    </row>
    <row r="6229" ht="15.75" customHeight="1">
      <c r="H6229" s="162"/>
    </row>
    <row r="6230" ht="15.75" customHeight="1">
      <c r="H6230" s="162"/>
    </row>
    <row r="6231" ht="15.75" customHeight="1">
      <c r="H6231" s="162"/>
    </row>
    <row r="6232" ht="15.75" customHeight="1">
      <c r="H6232" s="162"/>
    </row>
    <row r="6233" ht="15.75" customHeight="1">
      <c r="H6233" s="162"/>
    </row>
    <row r="6234" ht="15.75" customHeight="1">
      <c r="H6234" s="162"/>
    </row>
    <row r="6235" ht="15.75" customHeight="1">
      <c r="H6235" s="162"/>
    </row>
    <row r="6236" ht="15.75" customHeight="1">
      <c r="H6236" s="162"/>
    </row>
    <row r="6237" ht="15.75" customHeight="1">
      <c r="H6237" s="162"/>
    </row>
    <row r="6238" ht="15.75" customHeight="1">
      <c r="H6238" s="162"/>
    </row>
    <row r="6239" ht="15.75" customHeight="1">
      <c r="H6239" s="162"/>
    </row>
    <row r="6240" ht="15.75" customHeight="1">
      <c r="H6240" s="162"/>
    </row>
    <row r="6241" ht="15.75" customHeight="1">
      <c r="H6241" s="162"/>
    </row>
    <row r="6242" ht="15.75" customHeight="1">
      <c r="H6242" s="162"/>
    </row>
    <row r="6243" ht="15.75" customHeight="1">
      <c r="H6243" s="162"/>
    </row>
    <row r="6244" ht="15.75" customHeight="1">
      <c r="H6244" s="162"/>
    </row>
    <row r="6245" ht="15.75" customHeight="1">
      <c r="H6245" s="162"/>
    </row>
    <row r="6246" ht="15.75" customHeight="1">
      <c r="H6246" s="162"/>
    </row>
    <row r="6247" ht="15.75" customHeight="1">
      <c r="H6247" s="162"/>
    </row>
    <row r="6248" ht="15.75" customHeight="1">
      <c r="H6248" s="162"/>
    </row>
    <row r="6249" ht="15.75" customHeight="1">
      <c r="H6249" s="162"/>
    </row>
    <row r="6250" ht="15.75" customHeight="1">
      <c r="H6250" s="162"/>
    </row>
    <row r="6251" ht="15.75" customHeight="1">
      <c r="H6251" s="162"/>
    </row>
    <row r="6252" ht="15.75" customHeight="1">
      <c r="H6252" s="162"/>
    </row>
    <row r="6253" ht="15.75" customHeight="1">
      <c r="H6253" s="162"/>
    </row>
    <row r="6254" ht="15.75" customHeight="1">
      <c r="H6254" s="162"/>
    </row>
    <row r="6255" ht="15.75" customHeight="1">
      <c r="H6255" s="162"/>
    </row>
    <row r="6256" ht="15.75" customHeight="1">
      <c r="H6256" s="162"/>
    </row>
    <row r="6257" ht="15.75" customHeight="1">
      <c r="H6257" s="162"/>
    </row>
    <row r="6258" ht="15.75" customHeight="1">
      <c r="H6258" s="162"/>
    </row>
    <row r="6259" ht="15.75" customHeight="1">
      <c r="H6259" s="162"/>
    </row>
    <row r="6260" ht="15.75" customHeight="1">
      <c r="H6260" s="162"/>
    </row>
    <row r="6261" ht="15.75" customHeight="1">
      <c r="H6261" s="162"/>
    </row>
    <row r="6262" ht="15.75" customHeight="1">
      <c r="H6262" s="162"/>
    </row>
    <row r="6263" ht="15.75" customHeight="1">
      <c r="H6263" s="162"/>
    </row>
    <row r="6264" ht="15.75" customHeight="1">
      <c r="H6264" s="162"/>
    </row>
    <row r="6265" ht="15.75" customHeight="1">
      <c r="H6265" s="162"/>
    </row>
    <row r="6266" ht="15.75" customHeight="1">
      <c r="H6266" s="162"/>
    </row>
    <row r="6267" ht="15.75" customHeight="1">
      <c r="H6267" s="162"/>
    </row>
    <row r="6268" ht="15.75" customHeight="1">
      <c r="H6268" s="162"/>
    </row>
    <row r="6269" ht="15.75" customHeight="1">
      <c r="H6269" s="162"/>
    </row>
    <row r="6270" ht="15.75" customHeight="1">
      <c r="H6270" s="162"/>
    </row>
    <row r="6271" ht="15.75" customHeight="1">
      <c r="H6271" s="162"/>
    </row>
    <row r="6272" ht="15.75" customHeight="1">
      <c r="H6272" s="162"/>
    </row>
    <row r="6273" ht="15.75" customHeight="1">
      <c r="H6273" s="162"/>
    </row>
    <row r="6274" ht="15.75" customHeight="1">
      <c r="H6274" s="162"/>
    </row>
    <row r="6275" ht="15.75" customHeight="1">
      <c r="H6275" s="162"/>
    </row>
    <row r="6276" ht="15.75" customHeight="1">
      <c r="H6276" s="162"/>
    </row>
    <row r="6277" ht="15.75" customHeight="1">
      <c r="H6277" s="162"/>
    </row>
    <row r="6278" ht="15.75" customHeight="1">
      <c r="H6278" s="162"/>
    </row>
    <row r="6279" ht="15.75" customHeight="1">
      <c r="H6279" s="162"/>
    </row>
    <row r="6280" ht="15.75" customHeight="1">
      <c r="H6280" s="162"/>
    </row>
    <row r="6281" ht="15.75" customHeight="1">
      <c r="H6281" s="162"/>
    </row>
    <row r="6282" ht="15.75" customHeight="1">
      <c r="H6282" s="162"/>
    </row>
    <row r="6283" ht="15.75" customHeight="1">
      <c r="H6283" s="162"/>
    </row>
    <row r="6284" ht="15.75" customHeight="1">
      <c r="H6284" s="162"/>
    </row>
    <row r="6285" ht="15.75" customHeight="1">
      <c r="H6285" s="162"/>
    </row>
    <row r="6286" ht="15.75" customHeight="1">
      <c r="H6286" s="162"/>
    </row>
    <row r="6287" ht="15.75" customHeight="1">
      <c r="H6287" s="162"/>
    </row>
    <row r="6288" ht="15.75" customHeight="1">
      <c r="H6288" s="162"/>
    </row>
    <row r="6289" ht="15.75" customHeight="1">
      <c r="H6289" s="162"/>
    </row>
    <row r="6290" ht="15.75" customHeight="1">
      <c r="H6290" s="162"/>
    </row>
    <row r="6291" ht="15.75" customHeight="1">
      <c r="H6291" s="162"/>
    </row>
    <row r="6292" ht="15.75" customHeight="1">
      <c r="H6292" s="162"/>
    </row>
    <row r="6293" ht="15.75" customHeight="1">
      <c r="H6293" s="162"/>
    </row>
    <row r="6294" ht="15.75" customHeight="1">
      <c r="H6294" s="162"/>
    </row>
    <row r="6295" ht="15.75" customHeight="1">
      <c r="H6295" s="162"/>
    </row>
    <row r="6296" ht="15.75" customHeight="1">
      <c r="H6296" s="162"/>
    </row>
    <row r="6297" ht="15.75" customHeight="1">
      <c r="H6297" s="162"/>
    </row>
    <row r="6298" ht="15.75" customHeight="1">
      <c r="H6298" s="162"/>
    </row>
    <row r="6299" ht="15.75" customHeight="1">
      <c r="H6299" s="162"/>
    </row>
    <row r="6300" ht="15.75" customHeight="1">
      <c r="H6300" s="162"/>
    </row>
    <row r="6301" ht="15.75" customHeight="1">
      <c r="H6301" s="162"/>
    </row>
    <row r="6302" ht="15.75" customHeight="1">
      <c r="H6302" s="162"/>
    </row>
    <row r="6303" ht="15.75" customHeight="1">
      <c r="H6303" s="162"/>
    </row>
    <row r="6304" ht="15.75" customHeight="1">
      <c r="H6304" s="162"/>
    </row>
    <row r="6305" ht="15.75" customHeight="1">
      <c r="H6305" s="162"/>
    </row>
    <row r="6306" ht="15.75" customHeight="1">
      <c r="H6306" s="162"/>
    </row>
    <row r="6307" ht="15.75" customHeight="1">
      <c r="H6307" s="162"/>
    </row>
    <row r="6308" ht="15.75" customHeight="1">
      <c r="H6308" s="162"/>
    </row>
    <row r="6309" ht="15.75" customHeight="1">
      <c r="H6309" s="162"/>
    </row>
    <row r="6310" ht="15.75" customHeight="1">
      <c r="H6310" s="162"/>
    </row>
    <row r="6311" ht="15.75" customHeight="1">
      <c r="H6311" s="162"/>
    </row>
    <row r="6312" ht="15.75" customHeight="1">
      <c r="H6312" s="162"/>
    </row>
    <row r="6313" ht="15.75" customHeight="1">
      <c r="H6313" s="162"/>
    </row>
    <row r="6314" ht="15.75" customHeight="1">
      <c r="H6314" s="162"/>
    </row>
    <row r="6315" ht="15.75" customHeight="1">
      <c r="H6315" s="162"/>
    </row>
    <row r="6316" ht="15.75" customHeight="1">
      <c r="H6316" s="162"/>
    </row>
    <row r="6317" ht="15.75" customHeight="1">
      <c r="H6317" s="162"/>
    </row>
    <row r="6318" ht="15.75" customHeight="1">
      <c r="H6318" s="162"/>
    </row>
    <row r="6319" ht="15.75" customHeight="1">
      <c r="H6319" s="162"/>
    </row>
    <row r="6320" ht="15.75" customHeight="1">
      <c r="H6320" s="162"/>
    </row>
    <row r="6321" ht="15.75" customHeight="1">
      <c r="H6321" s="162"/>
    </row>
    <row r="6322" ht="15.75" customHeight="1">
      <c r="H6322" s="162"/>
    </row>
    <row r="6323" ht="15.75" customHeight="1">
      <c r="H6323" s="162"/>
    </row>
    <row r="6324" ht="15.75" customHeight="1">
      <c r="H6324" s="162"/>
    </row>
    <row r="6325" ht="15.75" customHeight="1">
      <c r="H6325" s="162"/>
    </row>
    <row r="6326" ht="15.75" customHeight="1">
      <c r="H6326" s="162"/>
    </row>
    <row r="6327" ht="15.75" customHeight="1">
      <c r="H6327" s="162"/>
    </row>
    <row r="6328" ht="15.75" customHeight="1">
      <c r="H6328" s="162"/>
    </row>
    <row r="6329" ht="15.75" customHeight="1">
      <c r="H6329" s="162"/>
    </row>
    <row r="6330" ht="15.75" customHeight="1">
      <c r="H6330" s="162"/>
    </row>
    <row r="6331" ht="15.75" customHeight="1">
      <c r="H6331" s="162"/>
    </row>
    <row r="6332" ht="15.75" customHeight="1">
      <c r="H6332" s="162"/>
    </row>
    <row r="6333" ht="15.75" customHeight="1">
      <c r="H6333" s="162"/>
    </row>
    <row r="6334" ht="15.75" customHeight="1">
      <c r="H6334" s="162"/>
    </row>
    <row r="6335" ht="15.75" customHeight="1">
      <c r="H6335" s="162"/>
    </row>
    <row r="6336" ht="15.75" customHeight="1">
      <c r="H6336" s="162"/>
    </row>
    <row r="6337" ht="15.75" customHeight="1">
      <c r="H6337" s="162"/>
    </row>
    <row r="6338" ht="15.75" customHeight="1">
      <c r="H6338" s="162"/>
    </row>
    <row r="6339" ht="15.75" customHeight="1">
      <c r="H6339" s="162"/>
    </row>
    <row r="6340" ht="15.75" customHeight="1">
      <c r="H6340" s="162"/>
    </row>
    <row r="6341" ht="15.75" customHeight="1">
      <c r="H6341" s="162"/>
    </row>
    <row r="6342" ht="15.75" customHeight="1">
      <c r="H6342" s="162"/>
    </row>
    <row r="6343" ht="15.75" customHeight="1">
      <c r="H6343" s="162"/>
    </row>
    <row r="6344" ht="15.75" customHeight="1">
      <c r="H6344" s="162"/>
    </row>
    <row r="6345" ht="15.75" customHeight="1">
      <c r="H6345" s="162"/>
    </row>
    <row r="6346" ht="15.75" customHeight="1">
      <c r="H6346" s="162"/>
    </row>
    <row r="6347" ht="15.75" customHeight="1">
      <c r="H6347" s="162"/>
    </row>
    <row r="6348" ht="15.75" customHeight="1">
      <c r="H6348" s="162"/>
    </row>
    <row r="6349" ht="15.75" customHeight="1">
      <c r="H6349" s="162"/>
    </row>
    <row r="6350" ht="15.75" customHeight="1">
      <c r="H6350" s="162"/>
    </row>
    <row r="6351" ht="15.75" customHeight="1">
      <c r="H6351" s="162"/>
    </row>
    <row r="6352" ht="15.75" customHeight="1">
      <c r="H6352" s="162"/>
    </row>
    <row r="6353" ht="15.75" customHeight="1">
      <c r="H6353" s="162"/>
    </row>
    <row r="6354" ht="15.75" customHeight="1">
      <c r="H6354" s="162"/>
    </row>
    <row r="6355" ht="15.75" customHeight="1">
      <c r="H6355" s="162"/>
    </row>
    <row r="6356" ht="15.75" customHeight="1">
      <c r="H6356" s="162"/>
    </row>
    <row r="6357" ht="15.75" customHeight="1">
      <c r="H6357" s="162"/>
    </row>
    <row r="6358" ht="15.75" customHeight="1">
      <c r="H6358" s="162"/>
    </row>
    <row r="6359" ht="15.75" customHeight="1">
      <c r="H6359" s="162"/>
    </row>
    <row r="6360" ht="15.75" customHeight="1">
      <c r="H6360" s="162"/>
    </row>
    <row r="6361" ht="15.75" customHeight="1">
      <c r="H6361" s="162"/>
    </row>
    <row r="6362" ht="15.75" customHeight="1">
      <c r="H6362" s="162"/>
    </row>
    <row r="6363" ht="15.75" customHeight="1">
      <c r="H6363" s="162"/>
    </row>
    <row r="6364" ht="15.75" customHeight="1">
      <c r="H6364" s="162"/>
    </row>
    <row r="6365" ht="15.75" customHeight="1">
      <c r="H6365" s="162"/>
    </row>
    <row r="6366" ht="15.75" customHeight="1">
      <c r="H6366" s="162"/>
    </row>
    <row r="6367" ht="15.75" customHeight="1">
      <c r="H6367" s="162"/>
    </row>
    <row r="6368" ht="15.75" customHeight="1">
      <c r="H6368" s="162"/>
    </row>
    <row r="6369" ht="15.75" customHeight="1">
      <c r="H6369" s="162"/>
    </row>
    <row r="6370" ht="15.75" customHeight="1">
      <c r="H6370" s="162"/>
    </row>
    <row r="6371" ht="15.75" customHeight="1">
      <c r="H6371" s="162"/>
    </row>
    <row r="6372" ht="15.75" customHeight="1">
      <c r="H6372" s="162"/>
    </row>
    <row r="6373" ht="15.75" customHeight="1">
      <c r="H6373" s="162"/>
    </row>
    <row r="6374" ht="15.75" customHeight="1">
      <c r="H6374" s="162"/>
    </row>
    <row r="6375" ht="15.75" customHeight="1">
      <c r="H6375" s="162"/>
    </row>
    <row r="6376" ht="15.75" customHeight="1">
      <c r="H6376" s="162"/>
    </row>
    <row r="6377" ht="15.75" customHeight="1">
      <c r="H6377" s="162"/>
    </row>
    <row r="6378" ht="15.75" customHeight="1">
      <c r="H6378" s="162"/>
    </row>
    <row r="6379" ht="15.75" customHeight="1">
      <c r="H6379" s="162"/>
    </row>
    <row r="6380" ht="15.75" customHeight="1">
      <c r="H6380" s="162"/>
    </row>
    <row r="6381" ht="15.75" customHeight="1">
      <c r="H6381" s="162"/>
    </row>
    <row r="6382" ht="15.75" customHeight="1">
      <c r="H6382" s="162"/>
    </row>
    <row r="6383" ht="15.75" customHeight="1">
      <c r="H6383" s="162"/>
    </row>
    <row r="6384" ht="15.75" customHeight="1">
      <c r="H6384" s="162"/>
    </row>
    <row r="6385" ht="15.75" customHeight="1">
      <c r="H6385" s="162"/>
    </row>
    <row r="6386" ht="15.75" customHeight="1">
      <c r="H6386" s="162"/>
    </row>
    <row r="6387" ht="15.75" customHeight="1">
      <c r="H6387" s="162"/>
    </row>
    <row r="6388" ht="15.75" customHeight="1">
      <c r="H6388" s="162"/>
    </row>
    <row r="6389" ht="15.75" customHeight="1">
      <c r="H6389" s="162"/>
    </row>
    <row r="6390" ht="15.75" customHeight="1">
      <c r="H6390" s="162"/>
    </row>
    <row r="6391" ht="15.75" customHeight="1">
      <c r="H6391" s="162"/>
    </row>
    <row r="6392" ht="15.75" customHeight="1">
      <c r="H6392" s="162"/>
    </row>
    <row r="6393" ht="15.75" customHeight="1">
      <c r="H6393" s="162"/>
    </row>
    <row r="6394" ht="15.75" customHeight="1">
      <c r="H6394" s="162"/>
    </row>
    <row r="6395" ht="15.75" customHeight="1">
      <c r="H6395" s="162"/>
    </row>
    <row r="6396" ht="15.75" customHeight="1">
      <c r="H6396" s="162"/>
    </row>
    <row r="6397" ht="15.75" customHeight="1">
      <c r="H6397" s="162"/>
    </row>
    <row r="6398" ht="15.75" customHeight="1">
      <c r="H6398" s="162"/>
    </row>
    <row r="6399" ht="15.75" customHeight="1">
      <c r="H6399" s="162"/>
    </row>
    <row r="6400" ht="15.75" customHeight="1">
      <c r="H6400" s="162"/>
    </row>
    <row r="6401" ht="15.75" customHeight="1">
      <c r="H6401" s="162"/>
    </row>
    <row r="6402" ht="15.75" customHeight="1">
      <c r="H6402" s="162"/>
    </row>
    <row r="6403" ht="15.75" customHeight="1">
      <c r="H6403" s="162"/>
    </row>
    <row r="6404" ht="15.75" customHeight="1">
      <c r="H6404" s="162"/>
    </row>
    <row r="6405" ht="15.75" customHeight="1">
      <c r="H6405" s="162"/>
    </row>
    <row r="6406" ht="15.75" customHeight="1">
      <c r="H6406" s="162"/>
    </row>
    <row r="6407" ht="15.75" customHeight="1">
      <c r="H6407" s="162"/>
    </row>
    <row r="6408" ht="15.75" customHeight="1">
      <c r="H6408" s="162"/>
    </row>
    <row r="6409" ht="15.75" customHeight="1">
      <c r="H6409" s="162"/>
    </row>
    <row r="6410" ht="15.75" customHeight="1">
      <c r="H6410" s="162"/>
    </row>
    <row r="6411" ht="15.75" customHeight="1">
      <c r="H6411" s="162"/>
    </row>
    <row r="6412" ht="15.75" customHeight="1">
      <c r="H6412" s="162"/>
    </row>
    <row r="6413" ht="15.75" customHeight="1">
      <c r="H6413" s="162"/>
    </row>
    <row r="6414" ht="15.75" customHeight="1">
      <c r="H6414" s="162"/>
    </row>
    <row r="6415" ht="15.75" customHeight="1">
      <c r="H6415" s="162"/>
    </row>
    <row r="6416" ht="15.75" customHeight="1">
      <c r="H6416" s="162"/>
    </row>
    <row r="6417" ht="15.75" customHeight="1">
      <c r="H6417" s="162"/>
    </row>
    <row r="6418" ht="15.75" customHeight="1">
      <c r="H6418" s="162"/>
    </row>
    <row r="6419" ht="15.75" customHeight="1">
      <c r="H6419" s="162"/>
    </row>
    <row r="6420" ht="15.75" customHeight="1">
      <c r="H6420" s="162"/>
    </row>
    <row r="6421" ht="15.75" customHeight="1">
      <c r="H6421" s="162"/>
    </row>
    <row r="6422" ht="15.75" customHeight="1">
      <c r="H6422" s="162"/>
    </row>
    <row r="6423" ht="15.75" customHeight="1">
      <c r="H6423" s="162"/>
    </row>
    <row r="6424" ht="15.75" customHeight="1">
      <c r="H6424" s="162"/>
    </row>
    <row r="6425" ht="15.75" customHeight="1">
      <c r="H6425" s="162"/>
    </row>
    <row r="6426" ht="15.75" customHeight="1">
      <c r="H6426" s="162"/>
    </row>
    <row r="6427" ht="15.75" customHeight="1">
      <c r="H6427" s="162"/>
    </row>
    <row r="6428" ht="15.75" customHeight="1">
      <c r="H6428" s="162"/>
    </row>
    <row r="6429" ht="15.75" customHeight="1">
      <c r="H6429" s="162"/>
    </row>
    <row r="6430" ht="15.75" customHeight="1">
      <c r="H6430" s="162"/>
    </row>
    <row r="6431" ht="15.75" customHeight="1">
      <c r="H6431" s="162"/>
    </row>
    <row r="6432" ht="15.75" customHeight="1">
      <c r="H6432" s="162"/>
    </row>
    <row r="6433" ht="15.75" customHeight="1">
      <c r="H6433" s="162"/>
    </row>
    <row r="6434" ht="15.75" customHeight="1">
      <c r="H6434" s="162"/>
    </row>
    <row r="6435" ht="15.75" customHeight="1">
      <c r="H6435" s="162"/>
    </row>
    <row r="6436" ht="15.75" customHeight="1">
      <c r="H6436" s="162"/>
    </row>
    <row r="6437" ht="15.75" customHeight="1">
      <c r="H6437" s="162"/>
    </row>
    <row r="6438" ht="15.75" customHeight="1">
      <c r="H6438" s="162"/>
    </row>
    <row r="6439" ht="15.75" customHeight="1">
      <c r="H6439" s="162"/>
    </row>
    <row r="6440" ht="15.75" customHeight="1">
      <c r="H6440" s="162"/>
    </row>
    <row r="6441" ht="15.75" customHeight="1">
      <c r="H6441" s="162"/>
    </row>
    <row r="6442" ht="15.75" customHeight="1">
      <c r="H6442" s="162"/>
    </row>
    <row r="6443" ht="15.75" customHeight="1">
      <c r="H6443" s="162"/>
    </row>
    <row r="6444" ht="15.75" customHeight="1">
      <c r="H6444" s="162"/>
    </row>
    <row r="6445" ht="15.75" customHeight="1">
      <c r="H6445" s="162"/>
    </row>
    <row r="6446" ht="15.75" customHeight="1">
      <c r="H6446" s="162"/>
    </row>
    <row r="6447" ht="15.75" customHeight="1">
      <c r="H6447" s="162"/>
    </row>
    <row r="6448" ht="15.75" customHeight="1">
      <c r="H6448" s="162"/>
    </row>
    <row r="6449" ht="15.75" customHeight="1">
      <c r="H6449" s="162"/>
    </row>
    <row r="6450" ht="15.75" customHeight="1">
      <c r="H6450" s="162"/>
    </row>
    <row r="6451" ht="15.75" customHeight="1">
      <c r="H6451" s="162"/>
    </row>
    <row r="6452" ht="15.75" customHeight="1">
      <c r="H6452" s="162"/>
    </row>
    <row r="6453" ht="15.75" customHeight="1">
      <c r="H6453" s="162"/>
    </row>
    <row r="6454" ht="15.75" customHeight="1">
      <c r="H6454" s="162"/>
    </row>
    <row r="6455" ht="15.75" customHeight="1">
      <c r="H6455" s="162"/>
    </row>
    <row r="6456" ht="15.75" customHeight="1">
      <c r="H6456" s="162"/>
    </row>
    <row r="6457" ht="15.75" customHeight="1">
      <c r="H6457" s="162"/>
    </row>
    <row r="6458" ht="15.75" customHeight="1">
      <c r="H6458" s="162"/>
    </row>
    <row r="6459" ht="15.75" customHeight="1">
      <c r="H6459" s="162"/>
    </row>
    <row r="6460" ht="15.75" customHeight="1">
      <c r="H6460" s="162"/>
    </row>
    <row r="6461" ht="15.75" customHeight="1">
      <c r="H6461" s="162"/>
    </row>
    <row r="6462" ht="15.75" customHeight="1">
      <c r="H6462" s="162"/>
    </row>
    <row r="6463" ht="15.75" customHeight="1">
      <c r="H6463" s="162"/>
    </row>
    <row r="6464" ht="15.75" customHeight="1">
      <c r="H6464" s="162"/>
    </row>
    <row r="6465" ht="15.75" customHeight="1">
      <c r="H6465" s="162"/>
    </row>
    <row r="6466" ht="15.75" customHeight="1">
      <c r="H6466" s="162"/>
    </row>
    <row r="6467" ht="15.75" customHeight="1">
      <c r="H6467" s="162"/>
    </row>
    <row r="6468" ht="15.75" customHeight="1">
      <c r="H6468" s="162"/>
    </row>
    <row r="6469" ht="15.75" customHeight="1">
      <c r="H6469" s="162"/>
    </row>
    <row r="6470" ht="15.75" customHeight="1">
      <c r="H6470" s="162"/>
    </row>
    <row r="6471" ht="15.75" customHeight="1">
      <c r="H6471" s="162"/>
    </row>
    <row r="6472" ht="15.75" customHeight="1">
      <c r="H6472" s="162"/>
    </row>
    <row r="6473" ht="15.75" customHeight="1">
      <c r="H6473" s="162"/>
    </row>
    <row r="6474" ht="15.75" customHeight="1">
      <c r="H6474" s="162"/>
    </row>
    <row r="6475" ht="15.75" customHeight="1">
      <c r="H6475" s="162"/>
    </row>
    <row r="6476" ht="15.75" customHeight="1">
      <c r="H6476" s="162"/>
    </row>
    <row r="6477" ht="15.75" customHeight="1">
      <c r="H6477" s="162"/>
    </row>
    <row r="6478" ht="15.75" customHeight="1">
      <c r="H6478" s="162"/>
    </row>
    <row r="6479" ht="15.75" customHeight="1">
      <c r="H6479" s="162"/>
    </row>
    <row r="6480" ht="15.75" customHeight="1">
      <c r="H6480" s="162"/>
    </row>
    <row r="6481" ht="15.75" customHeight="1">
      <c r="H6481" s="162"/>
    </row>
    <row r="6482" ht="15.75" customHeight="1">
      <c r="H6482" s="162"/>
    </row>
    <row r="6483" ht="15.75" customHeight="1">
      <c r="H6483" s="162"/>
    </row>
    <row r="6484" ht="15.75" customHeight="1">
      <c r="H6484" s="162"/>
    </row>
    <row r="6485" ht="15.75" customHeight="1">
      <c r="H6485" s="162"/>
    </row>
    <row r="6486" ht="15.75" customHeight="1">
      <c r="H6486" s="162"/>
    </row>
    <row r="6487" ht="15.75" customHeight="1">
      <c r="H6487" s="162"/>
    </row>
    <row r="6488" ht="15.75" customHeight="1">
      <c r="H6488" s="162"/>
    </row>
    <row r="6489" ht="15.75" customHeight="1">
      <c r="H6489" s="162"/>
    </row>
    <row r="6490" ht="15.75" customHeight="1">
      <c r="H6490" s="162"/>
    </row>
    <row r="6491" ht="15.75" customHeight="1">
      <c r="H6491" s="162"/>
    </row>
    <row r="6492" ht="15.75" customHeight="1">
      <c r="H6492" s="162"/>
    </row>
    <row r="6493" ht="15.75" customHeight="1">
      <c r="H6493" s="162"/>
    </row>
    <row r="6494" ht="15.75" customHeight="1">
      <c r="H6494" s="162"/>
    </row>
    <row r="6495" ht="15.75" customHeight="1">
      <c r="H6495" s="162"/>
    </row>
    <row r="6496" ht="15.75" customHeight="1">
      <c r="H6496" s="162"/>
    </row>
    <row r="6497" ht="15.75" customHeight="1">
      <c r="H6497" s="162"/>
    </row>
    <row r="6498" ht="15.75" customHeight="1">
      <c r="H6498" s="162"/>
    </row>
    <row r="6499" ht="15.75" customHeight="1">
      <c r="H6499" s="162"/>
    </row>
    <row r="6500" ht="15.75" customHeight="1">
      <c r="H6500" s="162"/>
    </row>
    <row r="6501" ht="15.75" customHeight="1">
      <c r="H6501" s="162"/>
    </row>
    <row r="6502" ht="15.75" customHeight="1">
      <c r="H6502" s="162"/>
    </row>
    <row r="6503" ht="15.75" customHeight="1">
      <c r="H6503" s="162"/>
    </row>
    <row r="6504" ht="15.75" customHeight="1">
      <c r="H6504" s="162"/>
    </row>
    <row r="6505" ht="15.75" customHeight="1">
      <c r="H6505" s="162"/>
    </row>
    <row r="6506" ht="15.75" customHeight="1">
      <c r="H6506" s="162"/>
    </row>
    <row r="6507" ht="15.75" customHeight="1">
      <c r="H6507" s="162"/>
    </row>
    <row r="6508" ht="15.75" customHeight="1">
      <c r="H6508" s="162"/>
    </row>
    <row r="6509" ht="15.75" customHeight="1">
      <c r="H6509" s="162"/>
    </row>
    <row r="6510" ht="15.75" customHeight="1">
      <c r="H6510" s="162"/>
    </row>
    <row r="6511" ht="15.75" customHeight="1">
      <c r="H6511" s="162"/>
    </row>
    <row r="6512" ht="15.75" customHeight="1">
      <c r="H6512" s="162"/>
    </row>
    <row r="6513" ht="15.75" customHeight="1">
      <c r="H6513" s="162"/>
    </row>
    <row r="6514" ht="15.75" customHeight="1">
      <c r="H6514" s="162"/>
    </row>
    <row r="6515" ht="15.75" customHeight="1">
      <c r="H6515" s="162"/>
    </row>
    <row r="6516" ht="15.75" customHeight="1">
      <c r="H6516" s="162"/>
    </row>
    <row r="6517" ht="15.75" customHeight="1">
      <c r="H6517" s="162"/>
    </row>
    <row r="6518" ht="15.75" customHeight="1">
      <c r="H6518" s="162"/>
    </row>
    <row r="6519" ht="15.75" customHeight="1">
      <c r="H6519" s="162"/>
    </row>
    <row r="6520" ht="15.75" customHeight="1">
      <c r="H6520" s="162"/>
    </row>
    <row r="6521" ht="15.75" customHeight="1">
      <c r="H6521" s="162"/>
    </row>
    <row r="6522" ht="15.75" customHeight="1">
      <c r="H6522" s="162"/>
    </row>
    <row r="6523" ht="15.75" customHeight="1">
      <c r="H6523" s="162"/>
    </row>
    <row r="6524" ht="15.75" customHeight="1">
      <c r="H6524" s="162"/>
    </row>
    <row r="6525" ht="15.75" customHeight="1">
      <c r="H6525" s="162"/>
    </row>
    <row r="6526" ht="15.75" customHeight="1">
      <c r="H6526" s="162"/>
    </row>
    <row r="6527" ht="15.75" customHeight="1">
      <c r="H6527" s="162"/>
    </row>
    <row r="6528" ht="15.75" customHeight="1">
      <c r="H6528" s="162"/>
    </row>
    <row r="6529" ht="15.75" customHeight="1">
      <c r="H6529" s="162"/>
    </row>
    <row r="6530" ht="15.75" customHeight="1">
      <c r="H6530" s="162"/>
    </row>
    <row r="6531" ht="15.75" customHeight="1">
      <c r="H6531" s="162"/>
    </row>
    <row r="6532" ht="15.75" customHeight="1">
      <c r="H6532" s="162"/>
    </row>
    <row r="6533" ht="15.75" customHeight="1">
      <c r="H6533" s="162"/>
    </row>
    <row r="6534" ht="15.75" customHeight="1">
      <c r="H6534" s="162"/>
    </row>
    <row r="6535" ht="15.75" customHeight="1">
      <c r="H6535" s="162"/>
    </row>
    <row r="6536" ht="15.75" customHeight="1">
      <c r="H6536" s="162"/>
    </row>
    <row r="6537" ht="15.75" customHeight="1">
      <c r="H6537" s="162"/>
    </row>
    <row r="6538" ht="15.75" customHeight="1">
      <c r="H6538" s="162"/>
    </row>
    <row r="6539" ht="15.75" customHeight="1">
      <c r="H6539" s="162"/>
    </row>
    <row r="6540" ht="15.75" customHeight="1">
      <c r="H6540" s="162"/>
    </row>
    <row r="6541" ht="15.75" customHeight="1">
      <c r="H6541" s="162"/>
    </row>
    <row r="6542" ht="15.75" customHeight="1">
      <c r="H6542" s="162"/>
    </row>
    <row r="6543" ht="15.75" customHeight="1">
      <c r="H6543" s="162"/>
    </row>
    <row r="6544" ht="15.75" customHeight="1">
      <c r="H6544" s="162"/>
    </row>
    <row r="6545" ht="15.75" customHeight="1">
      <c r="H6545" s="162"/>
    </row>
    <row r="6546" ht="15.75" customHeight="1">
      <c r="H6546" s="162"/>
    </row>
    <row r="6547" ht="15.75" customHeight="1">
      <c r="H6547" s="162"/>
    </row>
    <row r="6548" ht="15.75" customHeight="1">
      <c r="H6548" s="162"/>
    </row>
    <row r="6549" ht="15.75" customHeight="1">
      <c r="H6549" s="162"/>
    </row>
    <row r="6550" ht="15.75" customHeight="1">
      <c r="H6550" s="162"/>
    </row>
    <row r="6551" ht="15.75" customHeight="1">
      <c r="H6551" s="162"/>
    </row>
    <row r="6552" ht="15.75" customHeight="1">
      <c r="H6552" s="162"/>
    </row>
    <row r="6553" ht="15.75" customHeight="1">
      <c r="H6553" s="162"/>
    </row>
    <row r="6554" ht="15.75" customHeight="1">
      <c r="H6554" s="162"/>
    </row>
    <row r="6555" ht="15.75" customHeight="1">
      <c r="H6555" s="162"/>
    </row>
    <row r="6556" ht="15.75" customHeight="1">
      <c r="H6556" s="162"/>
    </row>
    <row r="6557" ht="15.75" customHeight="1">
      <c r="H6557" s="162"/>
    </row>
    <row r="6558" ht="15.75" customHeight="1">
      <c r="H6558" s="162"/>
    </row>
    <row r="6559" ht="15.75" customHeight="1">
      <c r="H6559" s="162"/>
    </row>
    <row r="6560" ht="15.75" customHeight="1">
      <c r="H6560" s="162"/>
    </row>
    <row r="6561" ht="15.75" customHeight="1">
      <c r="H6561" s="162"/>
    </row>
    <row r="6562" ht="15.75" customHeight="1">
      <c r="H6562" s="162"/>
    </row>
    <row r="6563" ht="15.75" customHeight="1">
      <c r="H6563" s="162"/>
    </row>
    <row r="6564" ht="15.75" customHeight="1">
      <c r="H6564" s="162"/>
    </row>
    <row r="6565" ht="15.75" customHeight="1">
      <c r="H6565" s="162"/>
    </row>
    <row r="6566" ht="15.75" customHeight="1">
      <c r="H6566" s="162"/>
    </row>
    <row r="6567" ht="15.75" customHeight="1">
      <c r="H6567" s="162"/>
    </row>
    <row r="6568" ht="15.75" customHeight="1">
      <c r="H6568" s="162"/>
    </row>
    <row r="6569" ht="15.75" customHeight="1">
      <c r="H6569" s="162"/>
    </row>
    <row r="6570" ht="15.75" customHeight="1">
      <c r="H6570" s="162"/>
    </row>
    <row r="6571" ht="15.75" customHeight="1">
      <c r="H6571" s="162"/>
    </row>
    <row r="6572" ht="15.75" customHeight="1">
      <c r="H6572" s="162"/>
    </row>
    <row r="6573" ht="15.75" customHeight="1">
      <c r="H6573" s="162"/>
    </row>
    <row r="6574" ht="15.75" customHeight="1">
      <c r="H6574" s="162"/>
    </row>
    <row r="6575" ht="15.75" customHeight="1">
      <c r="H6575" s="162"/>
    </row>
    <row r="6576" ht="15.75" customHeight="1">
      <c r="H6576" s="162"/>
    </row>
    <row r="6577" ht="15.75" customHeight="1">
      <c r="H6577" s="162"/>
    </row>
    <row r="6578" ht="15.75" customHeight="1">
      <c r="H6578" s="162"/>
    </row>
    <row r="6579" ht="15.75" customHeight="1">
      <c r="H6579" s="162"/>
    </row>
    <row r="6580" ht="15.75" customHeight="1">
      <c r="H6580" s="162"/>
    </row>
    <row r="6581" ht="15.75" customHeight="1">
      <c r="H6581" s="162"/>
    </row>
    <row r="6582" ht="15.75" customHeight="1">
      <c r="H6582" s="162"/>
    </row>
    <row r="6583" ht="15.75" customHeight="1">
      <c r="H6583" s="162"/>
    </row>
    <row r="6584" ht="15.75" customHeight="1">
      <c r="H6584" s="162"/>
    </row>
    <row r="6585" ht="15.75" customHeight="1">
      <c r="H6585" s="162"/>
    </row>
    <row r="6586" ht="15.75" customHeight="1">
      <c r="H6586" s="162"/>
    </row>
    <row r="6587" ht="15.75" customHeight="1">
      <c r="H6587" s="162"/>
    </row>
    <row r="6588" ht="15.75" customHeight="1">
      <c r="H6588" s="162"/>
    </row>
    <row r="6589" ht="15.75" customHeight="1">
      <c r="H6589" s="162"/>
    </row>
    <row r="6590" ht="15.75" customHeight="1">
      <c r="H6590" s="162"/>
    </row>
    <row r="6591" ht="15.75" customHeight="1">
      <c r="H6591" s="162"/>
    </row>
    <row r="6592" ht="15.75" customHeight="1">
      <c r="H6592" s="162"/>
    </row>
    <row r="6593" ht="15.75" customHeight="1">
      <c r="H6593" s="162"/>
    </row>
    <row r="6594" ht="15.75" customHeight="1">
      <c r="H6594" s="162"/>
    </row>
    <row r="6595" ht="15.75" customHeight="1">
      <c r="H6595" s="162"/>
    </row>
    <row r="6596" ht="15.75" customHeight="1">
      <c r="H6596" s="162"/>
    </row>
    <row r="6597" ht="15.75" customHeight="1">
      <c r="H6597" s="162"/>
    </row>
    <row r="6598" ht="15.75" customHeight="1">
      <c r="H6598" s="162"/>
    </row>
    <row r="6599" ht="15.75" customHeight="1">
      <c r="H6599" s="162"/>
    </row>
    <row r="6600" ht="15.75" customHeight="1">
      <c r="H6600" s="162"/>
    </row>
    <row r="6601" ht="15.75" customHeight="1">
      <c r="H6601" s="162"/>
    </row>
    <row r="6602" ht="15.75" customHeight="1">
      <c r="H6602" s="162"/>
    </row>
    <row r="6603" ht="15.75" customHeight="1">
      <c r="H6603" s="162"/>
    </row>
    <row r="6604" ht="15.75" customHeight="1">
      <c r="H6604" s="162"/>
    </row>
    <row r="6605" ht="15.75" customHeight="1">
      <c r="H6605" s="162"/>
    </row>
    <row r="6606" ht="15.75" customHeight="1">
      <c r="H6606" s="162"/>
    </row>
    <row r="6607" ht="15.75" customHeight="1">
      <c r="H6607" s="162"/>
    </row>
    <row r="6608" ht="15.75" customHeight="1">
      <c r="H6608" s="162"/>
    </row>
    <row r="6609" ht="15.75" customHeight="1">
      <c r="H6609" s="162"/>
    </row>
    <row r="6610" ht="15.75" customHeight="1">
      <c r="H6610" s="162"/>
    </row>
    <row r="6611" ht="15.75" customHeight="1">
      <c r="H6611" s="162"/>
    </row>
    <row r="6612" ht="15.75" customHeight="1">
      <c r="H6612" s="162"/>
    </row>
    <row r="6613" ht="15.75" customHeight="1">
      <c r="H6613" s="162"/>
    </row>
    <row r="6614" ht="15.75" customHeight="1">
      <c r="H6614" s="162"/>
    </row>
    <row r="6615" ht="15.75" customHeight="1">
      <c r="H6615" s="162"/>
    </row>
    <row r="6616" ht="15.75" customHeight="1">
      <c r="H6616" s="162"/>
    </row>
    <row r="6617" ht="15.75" customHeight="1">
      <c r="H6617" s="162"/>
    </row>
    <row r="6618" ht="15.75" customHeight="1">
      <c r="H6618" s="162"/>
    </row>
    <row r="6619" ht="15.75" customHeight="1">
      <c r="H6619" s="162"/>
    </row>
    <row r="6620" ht="15.75" customHeight="1">
      <c r="H6620" s="162"/>
    </row>
    <row r="6621" ht="15.75" customHeight="1">
      <c r="H6621" s="162"/>
    </row>
    <row r="6622" ht="15.75" customHeight="1">
      <c r="H6622" s="162"/>
    </row>
    <row r="6623" ht="15.75" customHeight="1">
      <c r="H6623" s="162"/>
    </row>
    <row r="6624" ht="15.75" customHeight="1">
      <c r="H6624" s="162"/>
    </row>
    <row r="6625" ht="15.75" customHeight="1">
      <c r="H6625" s="162"/>
    </row>
    <row r="6626" ht="15.75" customHeight="1">
      <c r="H6626" s="162"/>
    </row>
    <row r="6627" ht="15.75" customHeight="1">
      <c r="H6627" s="162"/>
    </row>
    <row r="6628" ht="15.75" customHeight="1">
      <c r="H6628" s="162"/>
    </row>
    <row r="6629" ht="15.75" customHeight="1">
      <c r="H6629" s="162"/>
    </row>
    <row r="6630" ht="15.75" customHeight="1">
      <c r="H6630" s="162"/>
    </row>
    <row r="6631" ht="15.75" customHeight="1">
      <c r="H6631" s="162"/>
    </row>
    <row r="6632" ht="15.75" customHeight="1">
      <c r="H6632" s="162"/>
    </row>
    <row r="6633" ht="15.75" customHeight="1">
      <c r="H6633" s="162"/>
    </row>
    <row r="6634" ht="15.75" customHeight="1">
      <c r="H6634" s="162"/>
    </row>
    <row r="6635" ht="15.75" customHeight="1">
      <c r="H6635" s="162"/>
    </row>
    <row r="6636" ht="15.75" customHeight="1">
      <c r="H6636" s="162"/>
    </row>
    <row r="6637" ht="15.75" customHeight="1">
      <c r="H6637" s="162"/>
    </row>
    <row r="6638" ht="15.75" customHeight="1">
      <c r="H6638" s="162"/>
    </row>
    <row r="6639" ht="15.75" customHeight="1">
      <c r="H6639" s="162"/>
    </row>
    <row r="6640" ht="15.75" customHeight="1">
      <c r="H6640" s="162"/>
    </row>
    <row r="6641" ht="15.75" customHeight="1">
      <c r="H6641" s="162"/>
    </row>
    <row r="6642" ht="15.75" customHeight="1">
      <c r="H6642" s="162"/>
    </row>
    <row r="6643" ht="15.75" customHeight="1">
      <c r="H6643" s="162"/>
    </row>
    <row r="6644" ht="15.75" customHeight="1">
      <c r="H6644" s="162"/>
    </row>
    <row r="6645" ht="15.75" customHeight="1">
      <c r="H6645" s="162"/>
    </row>
    <row r="6646" ht="15.75" customHeight="1">
      <c r="H6646" s="162"/>
    </row>
    <row r="6647" ht="15.75" customHeight="1">
      <c r="H6647" s="162"/>
    </row>
    <row r="6648" ht="15.75" customHeight="1">
      <c r="H6648" s="162"/>
    </row>
    <row r="6649" ht="15.75" customHeight="1">
      <c r="H6649" s="162"/>
    </row>
    <row r="6650" ht="15.75" customHeight="1">
      <c r="H6650" s="162"/>
    </row>
    <row r="6651" ht="15.75" customHeight="1">
      <c r="H6651" s="162"/>
    </row>
    <row r="6652" ht="15.75" customHeight="1">
      <c r="H6652" s="162"/>
    </row>
    <row r="6653" ht="15.75" customHeight="1">
      <c r="H6653" s="162"/>
    </row>
    <row r="6654" ht="15.75" customHeight="1">
      <c r="H6654" s="162"/>
    </row>
    <row r="6655" ht="15.75" customHeight="1">
      <c r="H6655" s="162"/>
    </row>
    <row r="6656" ht="15.75" customHeight="1">
      <c r="H6656" s="162"/>
    </row>
    <row r="6657" ht="15.75" customHeight="1">
      <c r="H6657" s="162"/>
    </row>
    <row r="6658" ht="15.75" customHeight="1">
      <c r="H6658" s="162"/>
    </row>
    <row r="6659" ht="15.75" customHeight="1">
      <c r="H6659" s="162"/>
    </row>
    <row r="6660" ht="15.75" customHeight="1">
      <c r="H6660" s="162"/>
    </row>
    <row r="6661" ht="15.75" customHeight="1">
      <c r="H6661" s="162"/>
    </row>
    <row r="6662" ht="15.75" customHeight="1">
      <c r="H6662" s="162"/>
    </row>
    <row r="6663" ht="15.75" customHeight="1">
      <c r="H6663" s="162"/>
    </row>
    <row r="6664" ht="15.75" customHeight="1">
      <c r="H6664" s="162"/>
    </row>
    <row r="6665" ht="15.75" customHeight="1">
      <c r="H6665" s="162"/>
    </row>
    <row r="6666" ht="15.75" customHeight="1">
      <c r="H6666" s="162"/>
    </row>
    <row r="6667" ht="15.75" customHeight="1">
      <c r="H6667" s="162"/>
    </row>
    <row r="6668" ht="15.75" customHeight="1">
      <c r="H6668" s="162"/>
    </row>
    <row r="6669" ht="15.75" customHeight="1">
      <c r="H6669" s="162"/>
    </row>
    <row r="6670" ht="15.75" customHeight="1">
      <c r="H6670" s="162"/>
    </row>
    <row r="6671" ht="15.75" customHeight="1">
      <c r="H6671" s="162"/>
    </row>
    <row r="6672" ht="15.75" customHeight="1">
      <c r="H6672" s="162"/>
    </row>
    <row r="6673" ht="15.75" customHeight="1">
      <c r="H6673" s="162"/>
    </row>
    <row r="6674" ht="15.75" customHeight="1">
      <c r="H6674" s="162"/>
    </row>
    <row r="6675" ht="15.75" customHeight="1">
      <c r="H6675" s="162"/>
    </row>
    <row r="6676" ht="15.75" customHeight="1">
      <c r="H6676" s="162"/>
    </row>
    <row r="6677" ht="15.75" customHeight="1">
      <c r="H6677" s="162"/>
    </row>
    <row r="6678" ht="15.75" customHeight="1">
      <c r="H6678" s="162"/>
    </row>
    <row r="6679" ht="15.75" customHeight="1">
      <c r="H6679" s="162"/>
    </row>
    <row r="6680" ht="15.75" customHeight="1">
      <c r="H6680" s="162"/>
    </row>
    <row r="6681" ht="15.75" customHeight="1">
      <c r="H6681" s="162"/>
    </row>
    <row r="6682" ht="15.75" customHeight="1">
      <c r="H6682" s="162"/>
    </row>
    <row r="6683" ht="15.75" customHeight="1">
      <c r="H6683" s="162"/>
    </row>
    <row r="6684" ht="15.75" customHeight="1">
      <c r="H6684" s="162"/>
    </row>
    <row r="6685" ht="15.75" customHeight="1">
      <c r="H6685" s="162"/>
    </row>
    <row r="6686" ht="15.75" customHeight="1">
      <c r="H6686" s="162"/>
    </row>
    <row r="6687" ht="15.75" customHeight="1">
      <c r="H6687" s="162"/>
    </row>
    <row r="6688" ht="15.75" customHeight="1">
      <c r="H6688" s="162"/>
    </row>
    <row r="6689" ht="15.75" customHeight="1">
      <c r="H6689" s="162"/>
    </row>
    <row r="6690" ht="15.75" customHeight="1">
      <c r="H6690" s="162"/>
    </row>
    <row r="6691" ht="15.75" customHeight="1">
      <c r="H6691" s="162"/>
    </row>
    <row r="6692" ht="15.75" customHeight="1">
      <c r="H6692" s="162"/>
    </row>
    <row r="6693" ht="15.75" customHeight="1">
      <c r="H6693" s="162"/>
    </row>
    <row r="6694" ht="15.75" customHeight="1">
      <c r="H6694" s="162"/>
    </row>
    <row r="6695" ht="15.75" customHeight="1">
      <c r="H6695" s="162"/>
    </row>
    <row r="6696" ht="15.75" customHeight="1">
      <c r="H6696" s="162"/>
    </row>
    <row r="6697" ht="15.75" customHeight="1">
      <c r="H6697" s="162"/>
    </row>
    <row r="6698" ht="15.75" customHeight="1">
      <c r="H6698" s="162"/>
    </row>
    <row r="6699" ht="15.75" customHeight="1">
      <c r="H6699" s="162"/>
    </row>
    <row r="6700" ht="15.75" customHeight="1">
      <c r="H6700" s="162"/>
    </row>
    <row r="6701" ht="15.75" customHeight="1">
      <c r="H6701" s="162"/>
    </row>
    <row r="6702" ht="15.75" customHeight="1">
      <c r="H6702" s="162"/>
    </row>
    <row r="6703" ht="15.75" customHeight="1">
      <c r="H6703" s="162"/>
    </row>
    <row r="6704" ht="15.75" customHeight="1">
      <c r="H6704" s="162"/>
    </row>
    <row r="6705" ht="15.75" customHeight="1">
      <c r="H6705" s="162"/>
    </row>
    <row r="6706" ht="15.75" customHeight="1">
      <c r="H6706" s="162"/>
    </row>
    <row r="6707" ht="15.75" customHeight="1">
      <c r="H6707" s="162"/>
    </row>
    <row r="6708" ht="15.75" customHeight="1">
      <c r="H6708" s="162"/>
    </row>
    <row r="6709" ht="15.75" customHeight="1">
      <c r="H6709" s="162"/>
    </row>
    <row r="6710" ht="15.75" customHeight="1">
      <c r="H6710" s="162"/>
    </row>
    <row r="6711" ht="15.75" customHeight="1">
      <c r="H6711" s="162"/>
    </row>
    <row r="6712" ht="15.75" customHeight="1">
      <c r="H6712" s="162"/>
    </row>
    <row r="6713" ht="15.75" customHeight="1">
      <c r="H6713" s="162"/>
    </row>
    <row r="6714" ht="15.75" customHeight="1">
      <c r="H6714" s="162"/>
    </row>
    <row r="6715" ht="15.75" customHeight="1">
      <c r="H6715" s="162"/>
    </row>
    <row r="6716" ht="15.75" customHeight="1">
      <c r="H6716" s="162"/>
    </row>
    <row r="6717" ht="15.75" customHeight="1">
      <c r="H6717" s="162"/>
    </row>
    <row r="6718" ht="15.75" customHeight="1">
      <c r="H6718" s="162"/>
    </row>
    <row r="6719" ht="15.75" customHeight="1">
      <c r="H6719" s="162"/>
    </row>
    <row r="6720" ht="15.75" customHeight="1">
      <c r="H6720" s="162"/>
    </row>
    <row r="6721" ht="15.75" customHeight="1">
      <c r="H6721" s="162"/>
    </row>
    <row r="6722" ht="15.75" customHeight="1">
      <c r="H6722" s="162"/>
    </row>
    <row r="6723" ht="15.75" customHeight="1">
      <c r="H6723" s="162"/>
    </row>
    <row r="6724" ht="15.75" customHeight="1">
      <c r="H6724" s="162"/>
    </row>
    <row r="6725" ht="15.75" customHeight="1">
      <c r="H6725" s="162"/>
    </row>
    <row r="6726" ht="15.75" customHeight="1">
      <c r="H6726" s="162"/>
    </row>
    <row r="6727" ht="15.75" customHeight="1">
      <c r="H6727" s="162"/>
    </row>
    <row r="6728" ht="15.75" customHeight="1">
      <c r="H6728" s="162"/>
    </row>
    <row r="6729" ht="15.75" customHeight="1">
      <c r="H6729" s="162"/>
    </row>
    <row r="6730" ht="15.75" customHeight="1">
      <c r="H6730" s="162"/>
    </row>
    <row r="6731" ht="15.75" customHeight="1">
      <c r="H6731" s="162"/>
    </row>
    <row r="6732" ht="15.75" customHeight="1">
      <c r="H6732" s="162"/>
    </row>
    <row r="6733" ht="15.75" customHeight="1">
      <c r="H6733" s="162"/>
    </row>
    <row r="6734" ht="15.75" customHeight="1">
      <c r="H6734" s="162"/>
    </row>
    <row r="6735" ht="15.75" customHeight="1">
      <c r="H6735" s="162"/>
    </row>
    <row r="6736" ht="15.75" customHeight="1">
      <c r="H6736" s="162"/>
    </row>
    <row r="6737" ht="15.75" customHeight="1">
      <c r="H6737" s="162"/>
    </row>
    <row r="6738" ht="15.75" customHeight="1">
      <c r="H6738" s="162"/>
    </row>
    <row r="6739" ht="15.75" customHeight="1">
      <c r="H6739" s="162"/>
    </row>
    <row r="6740" ht="15.75" customHeight="1">
      <c r="H6740" s="162"/>
    </row>
    <row r="6741" ht="15.75" customHeight="1">
      <c r="H6741" s="162"/>
    </row>
    <row r="6742" ht="15.75" customHeight="1">
      <c r="H6742" s="162"/>
    </row>
    <row r="6743" ht="15.75" customHeight="1">
      <c r="H6743" s="162"/>
    </row>
    <row r="6744" ht="15.75" customHeight="1">
      <c r="H6744" s="162"/>
    </row>
    <row r="6745" ht="15.75" customHeight="1">
      <c r="H6745" s="162"/>
    </row>
    <row r="6746" ht="15.75" customHeight="1">
      <c r="H6746" s="162"/>
    </row>
    <row r="6747" ht="15.75" customHeight="1">
      <c r="H6747" s="162"/>
    </row>
    <row r="6748" ht="15.75" customHeight="1">
      <c r="H6748" s="162"/>
    </row>
    <row r="6749" ht="15.75" customHeight="1">
      <c r="H6749" s="162"/>
    </row>
    <row r="6750" ht="15.75" customHeight="1">
      <c r="H6750" s="162"/>
    </row>
    <row r="6751" ht="15.75" customHeight="1">
      <c r="H6751" s="162"/>
    </row>
    <row r="6752" ht="15.75" customHeight="1">
      <c r="H6752" s="162"/>
    </row>
    <row r="6753" ht="15.75" customHeight="1">
      <c r="H6753" s="162"/>
    </row>
    <row r="6754" ht="15.75" customHeight="1">
      <c r="H6754" s="162"/>
    </row>
    <row r="6755" ht="15.75" customHeight="1">
      <c r="H6755" s="162"/>
    </row>
    <row r="6756" ht="15.75" customHeight="1">
      <c r="H6756" s="162"/>
    </row>
    <row r="6757" ht="15.75" customHeight="1">
      <c r="H6757" s="162"/>
    </row>
    <row r="6758" ht="15.75" customHeight="1">
      <c r="H6758" s="162"/>
    </row>
    <row r="6759" ht="15.75" customHeight="1">
      <c r="H6759" s="162"/>
    </row>
    <row r="6760" ht="15.75" customHeight="1">
      <c r="H6760" s="162"/>
    </row>
    <row r="6761" ht="15.75" customHeight="1">
      <c r="H6761" s="162"/>
    </row>
    <row r="6762" ht="15.75" customHeight="1">
      <c r="H6762" s="162"/>
    </row>
    <row r="6763" ht="15.75" customHeight="1">
      <c r="H6763" s="162"/>
    </row>
    <row r="6764" ht="15.75" customHeight="1">
      <c r="H6764" s="162"/>
    </row>
    <row r="6765" ht="15.75" customHeight="1">
      <c r="H6765" s="162"/>
    </row>
    <row r="6766" ht="15.75" customHeight="1">
      <c r="H6766" s="162"/>
    </row>
    <row r="6767" ht="15.75" customHeight="1">
      <c r="H6767" s="162"/>
    </row>
    <row r="6768" ht="15.75" customHeight="1">
      <c r="H6768" s="162"/>
    </row>
    <row r="6769" ht="15.75" customHeight="1">
      <c r="H6769" s="162"/>
    </row>
    <row r="6770" ht="15.75" customHeight="1">
      <c r="H6770" s="162"/>
    </row>
    <row r="6771" ht="15.75" customHeight="1">
      <c r="H6771" s="162"/>
    </row>
    <row r="6772" ht="15.75" customHeight="1">
      <c r="H6772" s="162"/>
    </row>
    <row r="6773" ht="15.75" customHeight="1">
      <c r="H6773" s="162"/>
    </row>
    <row r="6774" ht="15.75" customHeight="1">
      <c r="H6774" s="162"/>
    </row>
    <row r="6775" ht="15.75" customHeight="1">
      <c r="H6775" s="162"/>
    </row>
    <row r="6776" ht="15.75" customHeight="1">
      <c r="H6776" s="162"/>
    </row>
    <row r="6777" ht="15.75" customHeight="1">
      <c r="H6777" s="162"/>
    </row>
    <row r="6778" ht="15.75" customHeight="1">
      <c r="H6778" s="162"/>
    </row>
    <row r="6779" ht="15.75" customHeight="1">
      <c r="H6779" s="162"/>
    </row>
    <row r="6780" ht="15.75" customHeight="1">
      <c r="H6780" s="162"/>
    </row>
    <row r="6781" ht="15.75" customHeight="1">
      <c r="H6781" s="162"/>
    </row>
    <row r="6782" ht="15.75" customHeight="1">
      <c r="H6782" s="162"/>
    </row>
    <row r="6783" ht="15.75" customHeight="1">
      <c r="H6783" s="162"/>
    </row>
    <row r="6784" ht="15.75" customHeight="1">
      <c r="H6784" s="162"/>
    </row>
    <row r="6785" ht="15.75" customHeight="1">
      <c r="H6785" s="162"/>
    </row>
    <row r="6786" ht="15.75" customHeight="1">
      <c r="H6786" s="162"/>
    </row>
    <row r="6787" ht="15.75" customHeight="1">
      <c r="H6787" s="162"/>
    </row>
    <row r="6788" ht="15.75" customHeight="1">
      <c r="H6788" s="162"/>
    </row>
    <row r="6789" ht="15.75" customHeight="1">
      <c r="H6789" s="162"/>
    </row>
    <row r="6790" ht="15.75" customHeight="1">
      <c r="H6790" s="162"/>
    </row>
    <row r="6791" ht="15.75" customHeight="1">
      <c r="H6791" s="162"/>
    </row>
    <row r="6792" ht="15.75" customHeight="1">
      <c r="H6792" s="162"/>
    </row>
    <row r="6793" ht="15.75" customHeight="1">
      <c r="H6793" s="162"/>
    </row>
    <row r="6794" ht="15.75" customHeight="1">
      <c r="H6794" s="162"/>
    </row>
    <row r="6795" ht="15.75" customHeight="1">
      <c r="H6795" s="162"/>
    </row>
    <row r="6796" ht="15.75" customHeight="1">
      <c r="H6796" s="162"/>
    </row>
    <row r="6797" ht="15.75" customHeight="1">
      <c r="H6797" s="162"/>
    </row>
    <row r="6798" ht="15.75" customHeight="1">
      <c r="H6798" s="162"/>
    </row>
    <row r="6799" ht="15.75" customHeight="1">
      <c r="H6799" s="162"/>
    </row>
    <row r="6800" ht="15.75" customHeight="1">
      <c r="H6800" s="162"/>
    </row>
    <row r="6801" ht="15.75" customHeight="1">
      <c r="H6801" s="162"/>
    </row>
    <row r="6802" ht="15.75" customHeight="1">
      <c r="H6802" s="162"/>
    </row>
    <row r="6803" ht="15.75" customHeight="1">
      <c r="H6803" s="162"/>
    </row>
    <row r="6804" ht="15.75" customHeight="1">
      <c r="H6804" s="162"/>
    </row>
    <row r="6805" ht="15.75" customHeight="1">
      <c r="H6805" s="162"/>
    </row>
    <row r="6806" ht="15.75" customHeight="1">
      <c r="H6806" s="162"/>
    </row>
    <row r="6807" ht="15.75" customHeight="1">
      <c r="H6807" s="162"/>
    </row>
    <row r="6808" ht="15.75" customHeight="1">
      <c r="H6808" s="162"/>
    </row>
    <row r="6809" ht="15.75" customHeight="1">
      <c r="H6809" s="162"/>
    </row>
    <row r="6810" ht="15.75" customHeight="1">
      <c r="H6810" s="162"/>
    </row>
    <row r="6811" ht="15.75" customHeight="1">
      <c r="H6811" s="162"/>
    </row>
    <row r="6812" ht="15.75" customHeight="1">
      <c r="H6812" s="162"/>
    </row>
    <row r="6813" ht="15.75" customHeight="1">
      <c r="H6813" s="162"/>
    </row>
    <row r="6814" ht="15.75" customHeight="1">
      <c r="H6814" s="162"/>
    </row>
    <row r="6815" ht="15.75" customHeight="1">
      <c r="H6815" s="162"/>
    </row>
    <row r="6816" ht="15.75" customHeight="1">
      <c r="H6816" s="162"/>
    </row>
    <row r="6817" ht="15.75" customHeight="1">
      <c r="H6817" s="162"/>
    </row>
    <row r="6818" ht="15.75" customHeight="1">
      <c r="H6818" s="162"/>
    </row>
    <row r="6819" ht="15.75" customHeight="1">
      <c r="H6819" s="162"/>
    </row>
    <row r="6820" ht="15.75" customHeight="1">
      <c r="H6820" s="162"/>
    </row>
    <row r="6821" ht="15.75" customHeight="1">
      <c r="H6821" s="162"/>
    </row>
    <row r="6822" ht="15.75" customHeight="1">
      <c r="H6822" s="162"/>
    </row>
    <row r="6823" ht="15.75" customHeight="1">
      <c r="H6823" s="162"/>
    </row>
    <row r="6824" ht="15.75" customHeight="1">
      <c r="H6824" s="162"/>
    </row>
    <row r="6825" ht="15.75" customHeight="1">
      <c r="H6825" s="162"/>
    </row>
    <row r="6826" ht="15.75" customHeight="1">
      <c r="H6826" s="162"/>
    </row>
    <row r="6827" ht="15.75" customHeight="1">
      <c r="H6827" s="162"/>
    </row>
    <row r="6828" ht="15.75" customHeight="1">
      <c r="H6828" s="162"/>
    </row>
    <row r="6829" ht="15.75" customHeight="1">
      <c r="H6829" s="162"/>
    </row>
    <row r="6830" ht="15.75" customHeight="1">
      <c r="H6830" s="162"/>
    </row>
    <row r="6831" ht="15.75" customHeight="1">
      <c r="H6831" s="162"/>
    </row>
    <row r="6832" ht="15.75" customHeight="1">
      <c r="H6832" s="162"/>
    </row>
    <row r="6833" ht="15.75" customHeight="1">
      <c r="H6833" s="162"/>
    </row>
    <row r="6834" ht="15.75" customHeight="1">
      <c r="H6834" s="162"/>
    </row>
    <row r="6835" ht="15.75" customHeight="1">
      <c r="H6835" s="162"/>
    </row>
    <row r="6836" ht="15.75" customHeight="1">
      <c r="H6836" s="162"/>
    </row>
    <row r="6837" ht="15.75" customHeight="1">
      <c r="H6837" s="162"/>
    </row>
    <row r="6838" ht="15.75" customHeight="1">
      <c r="H6838" s="162"/>
    </row>
    <row r="6839" ht="15.75" customHeight="1">
      <c r="H6839" s="162"/>
    </row>
    <row r="6840" ht="15.75" customHeight="1">
      <c r="H6840" s="162"/>
    </row>
    <row r="6841" ht="15.75" customHeight="1">
      <c r="H6841" s="162"/>
    </row>
    <row r="6842" ht="15.75" customHeight="1">
      <c r="H6842" s="162"/>
    </row>
    <row r="6843" ht="15.75" customHeight="1">
      <c r="H6843" s="162"/>
    </row>
    <row r="6844" ht="15.75" customHeight="1">
      <c r="H6844" s="162"/>
    </row>
    <row r="6845" ht="15.75" customHeight="1">
      <c r="H6845" s="162"/>
    </row>
    <row r="6846" ht="15.75" customHeight="1">
      <c r="H6846" s="162"/>
    </row>
    <row r="6847" ht="15.75" customHeight="1">
      <c r="H6847" s="162"/>
    </row>
    <row r="6848" ht="15.75" customHeight="1">
      <c r="H6848" s="162"/>
    </row>
    <row r="6849" ht="15.75" customHeight="1">
      <c r="H6849" s="162"/>
    </row>
    <row r="6850" ht="15.75" customHeight="1">
      <c r="H6850" s="162"/>
    </row>
    <row r="6851" ht="15.75" customHeight="1">
      <c r="H6851" s="162"/>
    </row>
    <row r="6852" ht="15.75" customHeight="1">
      <c r="H6852" s="162"/>
    </row>
    <row r="6853" ht="15.75" customHeight="1">
      <c r="H6853" s="162"/>
    </row>
    <row r="6854" ht="15.75" customHeight="1">
      <c r="H6854" s="162"/>
    </row>
    <row r="6855" ht="15.75" customHeight="1">
      <c r="H6855" s="162"/>
    </row>
    <row r="6856" ht="15.75" customHeight="1">
      <c r="H6856" s="162"/>
    </row>
    <row r="6857" ht="15.75" customHeight="1">
      <c r="H6857" s="162"/>
    </row>
    <row r="6858" ht="15.75" customHeight="1">
      <c r="H6858" s="162"/>
    </row>
    <row r="6859" ht="15.75" customHeight="1">
      <c r="H6859" s="162"/>
    </row>
    <row r="6860" ht="15.75" customHeight="1">
      <c r="H6860" s="162"/>
    </row>
    <row r="6861" ht="15.75" customHeight="1">
      <c r="H6861" s="162"/>
    </row>
    <row r="6862" ht="15.75" customHeight="1">
      <c r="H6862" s="162"/>
    </row>
    <row r="6863" ht="15.75" customHeight="1">
      <c r="H6863" s="162"/>
    </row>
    <row r="6864" ht="15.75" customHeight="1">
      <c r="H6864" s="162"/>
    </row>
    <row r="6865" ht="15.75" customHeight="1">
      <c r="H6865" s="162"/>
    </row>
    <row r="6866" ht="15.75" customHeight="1">
      <c r="H6866" s="162"/>
    </row>
    <row r="6867" ht="15.75" customHeight="1">
      <c r="H6867" s="162"/>
    </row>
    <row r="6868" ht="15.75" customHeight="1">
      <c r="H6868" s="162"/>
    </row>
    <row r="6869" ht="15.75" customHeight="1">
      <c r="H6869" s="162"/>
    </row>
    <row r="6870" ht="15.75" customHeight="1">
      <c r="H6870" s="162"/>
    </row>
    <row r="6871" ht="15.75" customHeight="1">
      <c r="H6871" s="162"/>
    </row>
    <row r="6872" ht="15.75" customHeight="1">
      <c r="H6872" s="162"/>
    </row>
    <row r="6873" ht="15.75" customHeight="1">
      <c r="H6873" s="162"/>
    </row>
    <row r="6874" ht="15.75" customHeight="1">
      <c r="H6874" s="162"/>
    </row>
    <row r="6875" ht="15.75" customHeight="1">
      <c r="H6875" s="162"/>
    </row>
    <row r="6876" ht="15.75" customHeight="1">
      <c r="H6876" s="162"/>
    </row>
    <row r="6877" ht="15.75" customHeight="1">
      <c r="H6877" s="162"/>
    </row>
    <row r="6878" ht="15.75" customHeight="1">
      <c r="H6878" s="162"/>
    </row>
    <row r="6879" ht="15.75" customHeight="1">
      <c r="H6879" s="162"/>
    </row>
    <row r="6880" ht="15.75" customHeight="1">
      <c r="H6880" s="162"/>
    </row>
    <row r="6881" ht="15.75" customHeight="1">
      <c r="H6881" s="162"/>
    </row>
    <row r="6882" ht="15.75" customHeight="1">
      <c r="H6882" s="162"/>
    </row>
    <row r="6883" ht="15.75" customHeight="1">
      <c r="H6883" s="162"/>
    </row>
    <row r="6884" ht="15.75" customHeight="1">
      <c r="H6884" s="162"/>
    </row>
    <row r="6885" ht="15.75" customHeight="1">
      <c r="H6885" s="162"/>
    </row>
    <row r="6886" ht="15.75" customHeight="1">
      <c r="H6886" s="162"/>
    </row>
    <row r="6887" ht="15.75" customHeight="1">
      <c r="H6887" s="162"/>
    </row>
    <row r="6888" ht="15.75" customHeight="1">
      <c r="H6888" s="162"/>
    </row>
    <row r="6889" ht="15.75" customHeight="1">
      <c r="H6889" s="162"/>
    </row>
    <row r="6890" ht="15.75" customHeight="1">
      <c r="H6890" s="162"/>
    </row>
    <row r="6891" ht="15.75" customHeight="1">
      <c r="H6891" s="162"/>
    </row>
    <row r="6892" ht="15.75" customHeight="1">
      <c r="H6892" s="162"/>
    </row>
    <row r="6893" ht="15.75" customHeight="1">
      <c r="H6893" s="162"/>
    </row>
    <row r="6894" ht="15.75" customHeight="1">
      <c r="H6894" s="162"/>
    </row>
    <row r="6895" ht="15.75" customHeight="1">
      <c r="H6895" s="162"/>
    </row>
    <row r="6896" ht="15.75" customHeight="1">
      <c r="H6896" s="162"/>
    </row>
    <row r="6897" ht="15.75" customHeight="1">
      <c r="H6897" s="162"/>
    </row>
    <row r="6898" ht="15.75" customHeight="1">
      <c r="H6898" s="162"/>
    </row>
    <row r="6899" ht="15.75" customHeight="1">
      <c r="H6899" s="162"/>
    </row>
    <row r="6900" ht="15.75" customHeight="1">
      <c r="H6900" s="162"/>
    </row>
    <row r="6901" ht="15.75" customHeight="1">
      <c r="H6901" s="162"/>
    </row>
    <row r="6902" ht="15.75" customHeight="1">
      <c r="H6902" s="162"/>
    </row>
    <row r="6903" ht="15.75" customHeight="1">
      <c r="H6903" s="162"/>
    </row>
    <row r="6904" ht="15.75" customHeight="1">
      <c r="H6904" s="162"/>
    </row>
    <row r="6905" ht="15.75" customHeight="1">
      <c r="H6905" s="162"/>
    </row>
    <row r="6906" ht="15.75" customHeight="1">
      <c r="H6906" s="162"/>
    </row>
    <row r="6907" ht="15.75" customHeight="1">
      <c r="H6907" s="162"/>
    </row>
    <row r="6908" ht="15.75" customHeight="1">
      <c r="H6908" s="162"/>
    </row>
    <row r="6909" ht="15.75" customHeight="1">
      <c r="H6909" s="162"/>
    </row>
    <row r="6910" ht="15.75" customHeight="1">
      <c r="H6910" s="162"/>
    </row>
    <row r="6911" ht="15.75" customHeight="1">
      <c r="H6911" s="162"/>
    </row>
    <row r="6912" ht="15.75" customHeight="1">
      <c r="H6912" s="162"/>
    </row>
    <row r="6913" ht="15.75" customHeight="1">
      <c r="H6913" s="162"/>
    </row>
    <row r="6914" ht="15.75" customHeight="1">
      <c r="H6914" s="162"/>
    </row>
    <row r="6915" ht="15.75" customHeight="1">
      <c r="H6915" s="162"/>
    </row>
    <row r="6916" ht="15.75" customHeight="1">
      <c r="H6916" s="162"/>
    </row>
    <row r="6917" ht="15.75" customHeight="1">
      <c r="H6917" s="162"/>
    </row>
    <row r="6918" ht="15.75" customHeight="1">
      <c r="H6918" s="162"/>
    </row>
    <row r="6919" ht="15.75" customHeight="1">
      <c r="H6919" s="162"/>
    </row>
    <row r="6920" ht="15.75" customHeight="1">
      <c r="H6920" s="162"/>
    </row>
    <row r="6921" ht="15.75" customHeight="1">
      <c r="H6921" s="162"/>
    </row>
    <row r="6922" ht="15.75" customHeight="1">
      <c r="H6922" s="162"/>
    </row>
    <row r="6923" ht="15.75" customHeight="1">
      <c r="H6923" s="162"/>
    </row>
    <row r="6924" ht="15.75" customHeight="1">
      <c r="H6924" s="162"/>
    </row>
    <row r="6925" ht="15.75" customHeight="1">
      <c r="H6925" s="162"/>
    </row>
    <row r="6926" ht="15.75" customHeight="1">
      <c r="H6926" s="162"/>
    </row>
    <row r="6927" ht="15.75" customHeight="1">
      <c r="H6927" s="162"/>
    </row>
    <row r="6928" ht="15.75" customHeight="1">
      <c r="H6928" s="162"/>
    </row>
    <row r="6929" ht="15.75" customHeight="1">
      <c r="H6929" s="162"/>
    </row>
    <row r="6930" ht="15.75" customHeight="1">
      <c r="H6930" s="162"/>
    </row>
    <row r="6931" ht="15.75" customHeight="1">
      <c r="H6931" s="162"/>
    </row>
    <row r="6932" ht="15.75" customHeight="1">
      <c r="H6932" s="162"/>
    </row>
    <row r="6933" ht="15.75" customHeight="1">
      <c r="H6933" s="162"/>
    </row>
    <row r="6934" ht="15.75" customHeight="1">
      <c r="H6934" s="162"/>
    </row>
    <row r="6935" ht="15.75" customHeight="1">
      <c r="H6935" s="162"/>
    </row>
    <row r="6936" ht="15.75" customHeight="1">
      <c r="H6936" s="162"/>
    </row>
    <row r="6937" ht="15.75" customHeight="1">
      <c r="H6937" s="162"/>
    </row>
    <row r="6938" ht="15.75" customHeight="1">
      <c r="H6938" s="162"/>
    </row>
    <row r="6939" ht="15.75" customHeight="1">
      <c r="H6939" s="162"/>
    </row>
    <row r="6940" ht="15.75" customHeight="1">
      <c r="H6940" s="162"/>
    </row>
    <row r="6941" ht="15.75" customHeight="1">
      <c r="H6941" s="162"/>
    </row>
    <row r="6942" ht="15.75" customHeight="1">
      <c r="H6942" s="162"/>
    </row>
    <row r="6943" ht="15.75" customHeight="1">
      <c r="H6943" s="162"/>
    </row>
    <row r="6944" ht="15.75" customHeight="1">
      <c r="H6944" s="162"/>
    </row>
    <row r="6945" ht="15.75" customHeight="1">
      <c r="H6945" s="162"/>
    </row>
    <row r="6946" ht="15.75" customHeight="1">
      <c r="H6946" s="162"/>
    </row>
    <row r="6947" ht="15.75" customHeight="1">
      <c r="H6947" s="162"/>
    </row>
    <row r="6948" ht="15.75" customHeight="1">
      <c r="H6948" s="162"/>
    </row>
    <row r="6949" ht="15.75" customHeight="1">
      <c r="H6949" s="162"/>
    </row>
    <row r="6950" ht="15.75" customHeight="1">
      <c r="H6950" s="162"/>
    </row>
    <row r="6951" ht="15.75" customHeight="1">
      <c r="H6951" s="162"/>
    </row>
    <row r="6952" ht="15.75" customHeight="1">
      <c r="H6952" s="162"/>
    </row>
    <row r="6953" ht="15.75" customHeight="1">
      <c r="H6953" s="162"/>
    </row>
    <row r="6954" ht="15.75" customHeight="1">
      <c r="H6954" s="162"/>
    </row>
    <row r="6955" ht="15.75" customHeight="1">
      <c r="H6955" s="162"/>
    </row>
    <row r="6956" ht="15.75" customHeight="1">
      <c r="H6956" s="162"/>
    </row>
    <row r="6957" ht="15.75" customHeight="1">
      <c r="H6957" s="162"/>
    </row>
    <row r="6958" ht="15.75" customHeight="1">
      <c r="H6958" s="162"/>
    </row>
    <row r="6959" ht="15.75" customHeight="1">
      <c r="H6959" s="162"/>
    </row>
    <row r="6960" ht="15.75" customHeight="1">
      <c r="H6960" s="162"/>
    </row>
    <row r="6961" ht="15.75" customHeight="1">
      <c r="H6961" s="162"/>
    </row>
    <row r="6962" ht="15.75" customHeight="1">
      <c r="H6962" s="162"/>
    </row>
    <row r="6963" ht="15.75" customHeight="1">
      <c r="H6963" s="162"/>
    </row>
    <row r="6964" ht="15.75" customHeight="1">
      <c r="H6964" s="162"/>
    </row>
    <row r="6965" ht="15.75" customHeight="1">
      <c r="H6965" s="162"/>
    </row>
    <row r="6966" ht="15.75" customHeight="1">
      <c r="H6966" s="162"/>
    </row>
    <row r="6967" ht="15.75" customHeight="1">
      <c r="H6967" s="162"/>
    </row>
    <row r="6968" ht="15.75" customHeight="1">
      <c r="H6968" s="162"/>
    </row>
    <row r="6969" ht="15.75" customHeight="1">
      <c r="H6969" s="162"/>
    </row>
    <row r="6970" ht="15.75" customHeight="1">
      <c r="H6970" s="162"/>
    </row>
    <row r="6971" ht="15.75" customHeight="1">
      <c r="H6971" s="162"/>
    </row>
    <row r="6972" ht="15.75" customHeight="1">
      <c r="H6972" s="162"/>
    </row>
    <row r="6973" ht="15.75" customHeight="1">
      <c r="H6973" s="162"/>
    </row>
    <row r="6974" ht="15.75" customHeight="1">
      <c r="H6974" s="162"/>
    </row>
    <row r="6975" ht="15.75" customHeight="1">
      <c r="H6975" s="162"/>
    </row>
    <row r="6976" ht="15.75" customHeight="1">
      <c r="H6976" s="162"/>
    </row>
    <row r="6977" ht="15.75" customHeight="1">
      <c r="H6977" s="162"/>
    </row>
    <row r="6978" ht="15.75" customHeight="1">
      <c r="H6978" s="162"/>
    </row>
    <row r="6979" ht="15.75" customHeight="1">
      <c r="H6979" s="162"/>
    </row>
    <row r="6980" ht="15.75" customHeight="1">
      <c r="H6980" s="162"/>
    </row>
    <row r="6981" ht="15.75" customHeight="1">
      <c r="H6981" s="162"/>
    </row>
    <row r="6982" ht="15.75" customHeight="1">
      <c r="H6982" s="162"/>
    </row>
    <row r="6983" ht="15.75" customHeight="1">
      <c r="H6983" s="162"/>
    </row>
    <row r="6984" ht="15.75" customHeight="1">
      <c r="H6984" s="162"/>
    </row>
    <row r="6985" ht="15.75" customHeight="1">
      <c r="H6985" s="162"/>
    </row>
    <row r="6986" ht="15.75" customHeight="1">
      <c r="H6986" s="162"/>
    </row>
    <row r="6987" ht="15.75" customHeight="1">
      <c r="H6987" s="162"/>
    </row>
    <row r="6988" ht="15.75" customHeight="1">
      <c r="H6988" s="162"/>
    </row>
    <row r="6989" ht="15.75" customHeight="1">
      <c r="H6989" s="162"/>
    </row>
    <row r="6990" ht="15.75" customHeight="1">
      <c r="H6990" s="162"/>
    </row>
    <row r="6991" ht="15.75" customHeight="1">
      <c r="H6991" s="162"/>
    </row>
    <row r="6992" ht="15.75" customHeight="1">
      <c r="H6992" s="162"/>
    </row>
    <row r="6993" ht="15.75" customHeight="1">
      <c r="H6993" s="162"/>
    </row>
    <row r="6994" ht="15.75" customHeight="1">
      <c r="H6994" s="162"/>
    </row>
    <row r="6995" ht="15.75" customHeight="1">
      <c r="H6995" s="162"/>
    </row>
    <row r="6996" ht="15.75" customHeight="1">
      <c r="H6996" s="162"/>
    </row>
    <row r="6997" ht="15.75" customHeight="1">
      <c r="H6997" s="162"/>
    </row>
    <row r="6998" ht="15.75" customHeight="1">
      <c r="H6998" s="162"/>
    </row>
    <row r="6999" ht="15.75" customHeight="1">
      <c r="H6999" s="162"/>
    </row>
    <row r="7000" ht="15.75" customHeight="1">
      <c r="H7000" s="162"/>
    </row>
    <row r="7001" ht="15.75" customHeight="1">
      <c r="H7001" s="162"/>
    </row>
    <row r="7002" ht="15.75" customHeight="1">
      <c r="H7002" s="162"/>
    </row>
    <row r="7003" ht="15.75" customHeight="1">
      <c r="H7003" s="162"/>
    </row>
    <row r="7004" ht="15.75" customHeight="1">
      <c r="H7004" s="162"/>
    </row>
    <row r="7005" ht="15.75" customHeight="1">
      <c r="H7005" s="162"/>
    </row>
    <row r="7006" ht="15.75" customHeight="1">
      <c r="H7006" s="162"/>
    </row>
    <row r="7007" ht="15.75" customHeight="1">
      <c r="H7007" s="162"/>
    </row>
    <row r="7008" ht="15.75" customHeight="1">
      <c r="H7008" s="162"/>
    </row>
    <row r="7009" ht="15.75" customHeight="1">
      <c r="H7009" s="162"/>
    </row>
    <row r="7010" ht="15.75" customHeight="1">
      <c r="H7010" s="162"/>
    </row>
    <row r="7011" ht="15.75" customHeight="1">
      <c r="H7011" s="162"/>
    </row>
    <row r="7012" ht="15.75" customHeight="1">
      <c r="H7012" s="162"/>
    </row>
    <row r="7013" ht="15.75" customHeight="1">
      <c r="H7013" s="162"/>
    </row>
    <row r="7014" ht="15.75" customHeight="1">
      <c r="H7014" s="162"/>
    </row>
    <row r="7015" ht="15.75" customHeight="1">
      <c r="H7015" s="162"/>
    </row>
    <row r="7016" ht="15.75" customHeight="1">
      <c r="H7016" s="162"/>
    </row>
    <row r="7017" ht="15.75" customHeight="1">
      <c r="H7017" s="162"/>
    </row>
    <row r="7018" ht="15.75" customHeight="1">
      <c r="H7018" s="162"/>
    </row>
    <row r="7019" ht="15.75" customHeight="1">
      <c r="H7019" s="162"/>
    </row>
    <row r="7020" ht="15.75" customHeight="1">
      <c r="H7020" s="162"/>
    </row>
    <row r="7021" ht="15.75" customHeight="1">
      <c r="H7021" s="162"/>
    </row>
    <row r="7022" ht="15.75" customHeight="1">
      <c r="H7022" s="162"/>
    </row>
    <row r="7023" ht="15.75" customHeight="1">
      <c r="H7023" s="162"/>
    </row>
    <row r="7024" ht="15.75" customHeight="1">
      <c r="H7024" s="162"/>
    </row>
    <row r="7025" ht="15.75" customHeight="1">
      <c r="H7025" s="162"/>
    </row>
    <row r="7026" ht="15.75" customHeight="1">
      <c r="H7026" s="162"/>
    </row>
    <row r="7027" ht="15.75" customHeight="1">
      <c r="H7027" s="162"/>
    </row>
    <row r="7028" ht="15.75" customHeight="1">
      <c r="H7028" s="162"/>
    </row>
    <row r="7029" ht="15.75" customHeight="1">
      <c r="H7029" s="162"/>
    </row>
    <row r="7030" ht="15.75" customHeight="1">
      <c r="H7030" s="162"/>
    </row>
    <row r="7031" ht="15.75" customHeight="1">
      <c r="H7031" s="162"/>
    </row>
    <row r="7032" ht="15.75" customHeight="1">
      <c r="H7032" s="162"/>
    </row>
    <row r="7033" ht="15.75" customHeight="1">
      <c r="H7033" s="162"/>
    </row>
    <row r="7034" ht="15.75" customHeight="1">
      <c r="H7034" s="162"/>
    </row>
    <row r="7035" ht="15.75" customHeight="1">
      <c r="H7035" s="162"/>
    </row>
    <row r="7036" ht="15.75" customHeight="1">
      <c r="H7036" s="162"/>
    </row>
    <row r="7037" ht="15.75" customHeight="1">
      <c r="H7037" s="162"/>
    </row>
    <row r="7038" ht="15.75" customHeight="1">
      <c r="H7038" s="162"/>
    </row>
    <row r="7039" ht="15.75" customHeight="1">
      <c r="H7039" s="162"/>
    </row>
    <row r="7040" ht="15.75" customHeight="1">
      <c r="H7040" s="162"/>
    </row>
    <row r="7041" ht="15.75" customHeight="1">
      <c r="H7041" s="162"/>
    </row>
    <row r="7042" ht="15.75" customHeight="1">
      <c r="H7042" s="162"/>
    </row>
    <row r="7043" ht="15.75" customHeight="1">
      <c r="H7043" s="162"/>
    </row>
    <row r="7044" ht="15.75" customHeight="1">
      <c r="H7044" s="162"/>
    </row>
    <row r="7045" ht="15.75" customHeight="1">
      <c r="H7045" s="162"/>
    </row>
    <row r="7046" ht="15.75" customHeight="1">
      <c r="H7046" s="162"/>
    </row>
    <row r="7047" ht="15.75" customHeight="1">
      <c r="H7047" s="162"/>
    </row>
    <row r="7048" ht="15.75" customHeight="1">
      <c r="H7048" s="162"/>
    </row>
    <row r="7049" ht="15.75" customHeight="1">
      <c r="H7049" s="162"/>
    </row>
    <row r="7050" ht="15.75" customHeight="1">
      <c r="H7050" s="162"/>
    </row>
    <row r="7051" ht="15.75" customHeight="1">
      <c r="H7051" s="162"/>
    </row>
    <row r="7052" ht="15.75" customHeight="1">
      <c r="H7052" s="162"/>
    </row>
    <row r="7053" ht="15.75" customHeight="1">
      <c r="H7053" s="162"/>
    </row>
    <row r="7054" ht="15.75" customHeight="1">
      <c r="H7054" s="162"/>
    </row>
    <row r="7055" ht="15.75" customHeight="1">
      <c r="H7055" s="162"/>
    </row>
    <row r="7056" ht="15.75" customHeight="1">
      <c r="H7056" s="162"/>
    </row>
    <row r="7057" ht="15.75" customHeight="1">
      <c r="H7057" s="162"/>
    </row>
    <row r="7058" ht="15.75" customHeight="1">
      <c r="H7058" s="162"/>
    </row>
    <row r="7059" ht="15.75" customHeight="1">
      <c r="H7059" s="162"/>
    </row>
    <row r="7060" ht="15.75" customHeight="1">
      <c r="H7060" s="162"/>
    </row>
    <row r="7061" ht="15.75" customHeight="1">
      <c r="H7061" s="162"/>
    </row>
    <row r="7062" ht="15.75" customHeight="1">
      <c r="H7062" s="162"/>
    </row>
    <row r="7063" ht="15.75" customHeight="1">
      <c r="H7063" s="162"/>
    </row>
    <row r="7064" ht="15.75" customHeight="1">
      <c r="H7064" s="162"/>
    </row>
    <row r="7065" ht="15.75" customHeight="1">
      <c r="H7065" s="162"/>
    </row>
    <row r="7066" ht="15.75" customHeight="1">
      <c r="H7066" s="162"/>
    </row>
    <row r="7067" ht="15.75" customHeight="1">
      <c r="H7067" s="162"/>
    </row>
    <row r="7068" ht="15.75" customHeight="1">
      <c r="H7068" s="162"/>
    </row>
    <row r="7069" ht="15.75" customHeight="1">
      <c r="H7069" s="162"/>
    </row>
    <row r="7070" ht="15.75" customHeight="1">
      <c r="H7070" s="162"/>
    </row>
    <row r="7071" ht="15.75" customHeight="1">
      <c r="H7071" s="162"/>
    </row>
    <row r="7072" ht="15.75" customHeight="1">
      <c r="H7072" s="162"/>
    </row>
    <row r="7073" ht="15.75" customHeight="1">
      <c r="H7073" s="162"/>
    </row>
    <row r="7074" ht="15.75" customHeight="1">
      <c r="H7074" s="162"/>
    </row>
    <row r="7075" ht="15.75" customHeight="1">
      <c r="H7075" s="162"/>
    </row>
    <row r="7076" ht="15.75" customHeight="1">
      <c r="H7076" s="162"/>
    </row>
    <row r="7077" ht="15.75" customHeight="1">
      <c r="H7077" s="162"/>
    </row>
    <row r="7078" ht="15.75" customHeight="1">
      <c r="H7078" s="162"/>
    </row>
    <row r="7079" ht="15.75" customHeight="1">
      <c r="H7079" s="162"/>
    </row>
    <row r="7080" ht="15.75" customHeight="1">
      <c r="H7080" s="162"/>
    </row>
    <row r="7081" ht="15.75" customHeight="1">
      <c r="H7081" s="162"/>
    </row>
    <row r="7082" ht="15.75" customHeight="1">
      <c r="H7082" s="162"/>
    </row>
    <row r="7083" ht="15.75" customHeight="1">
      <c r="H7083" s="162"/>
    </row>
    <row r="7084" ht="15.75" customHeight="1">
      <c r="H7084" s="162"/>
    </row>
    <row r="7085" ht="15.75" customHeight="1">
      <c r="H7085" s="162"/>
    </row>
    <row r="7086" ht="15.75" customHeight="1">
      <c r="H7086" s="162"/>
    </row>
    <row r="7087" ht="15.75" customHeight="1">
      <c r="H7087" s="162"/>
    </row>
    <row r="7088" ht="15.75" customHeight="1">
      <c r="H7088" s="162"/>
    </row>
    <row r="7089" ht="15.75" customHeight="1">
      <c r="H7089" s="162"/>
    </row>
    <row r="7090" ht="15.75" customHeight="1">
      <c r="H7090" s="162"/>
    </row>
    <row r="7091" ht="15.75" customHeight="1">
      <c r="H7091" s="162"/>
    </row>
    <row r="7092" ht="15.75" customHeight="1">
      <c r="H7092" s="162"/>
    </row>
    <row r="7093" ht="15.75" customHeight="1">
      <c r="H7093" s="162"/>
    </row>
    <row r="7094" ht="15.75" customHeight="1">
      <c r="H7094" s="162"/>
    </row>
    <row r="7095" ht="15.75" customHeight="1">
      <c r="H7095" s="162"/>
    </row>
    <row r="7096" ht="15.75" customHeight="1">
      <c r="H7096" s="162"/>
    </row>
    <row r="7097" ht="15.75" customHeight="1">
      <c r="H7097" s="162"/>
    </row>
    <row r="7098" ht="15.75" customHeight="1">
      <c r="H7098" s="162"/>
    </row>
    <row r="7099" ht="15.75" customHeight="1">
      <c r="H7099" s="162"/>
    </row>
    <row r="7100" ht="15.75" customHeight="1">
      <c r="H7100" s="162"/>
    </row>
    <row r="7101" ht="15.75" customHeight="1">
      <c r="H7101" s="162"/>
    </row>
    <row r="7102" ht="15.75" customHeight="1">
      <c r="H7102" s="162"/>
    </row>
    <row r="7103" ht="15.75" customHeight="1">
      <c r="H7103" s="162"/>
    </row>
    <row r="7104" ht="15.75" customHeight="1">
      <c r="H7104" s="162"/>
    </row>
    <row r="7105" ht="15.75" customHeight="1">
      <c r="H7105" s="162"/>
    </row>
    <row r="7106" ht="15.75" customHeight="1">
      <c r="H7106" s="162"/>
    </row>
    <row r="7107" ht="15.75" customHeight="1">
      <c r="H7107" s="162"/>
    </row>
    <row r="7108" ht="15.75" customHeight="1">
      <c r="H7108" s="162"/>
    </row>
    <row r="7109" ht="15.75" customHeight="1">
      <c r="H7109" s="162"/>
    </row>
    <row r="7110" ht="15.75" customHeight="1">
      <c r="H7110" s="162"/>
    </row>
    <row r="7111" ht="15.75" customHeight="1">
      <c r="H7111" s="162"/>
    </row>
    <row r="7112" ht="15.75" customHeight="1">
      <c r="H7112" s="162"/>
    </row>
    <row r="7113" ht="15.75" customHeight="1">
      <c r="H7113" s="162"/>
    </row>
    <row r="7114" ht="15.75" customHeight="1">
      <c r="H7114" s="162"/>
    </row>
    <row r="7115" ht="15.75" customHeight="1">
      <c r="H7115" s="162"/>
    </row>
    <row r="7116" ht="15.75" customHeight="1">
      <c r="H7116" s="162"/>
    </row>
    <row r="7117" ht="15.75" customHeight="1">
      <c r="H7117" s="162"/>
    </row>
    <row r="7118" ht="15.75" customHeight="1">
      <c r="H7118" s="162"/>
    </row>
    <row r="7119" ht="15.75" customHeight="1">
      <c r="H7119" s="162"/>
    </row>
    <row r="7120" ht="15.75" customHeight="1">
      <c r="H7120" s="162"/>
    </row>
    <row r="7121" ht="15.75" customHeight="1">
      <c r="H7121" s="162"/>
    </row>
    <row r="7122" ht="15.75" customHeight="1">
      <c r="H7122" s="162"/>
    </row>
    <row r="7123" ht="15.75" customHeight="1">
      <c r="H7123" s="162"/>
    </row>
    <row r="7124" ht="15.75" customHeight="1">
      <c r="H7124" s="162"/>
    </row>
    <row r="7125" ht="15.75" customHeight="1">
      <c r="H7125" s="162"/>
    </row>
    <row r="7126" ht="15.75" customHeight="1">
      <c r="H7126" s="162"/>
    </row>
    <row r="7127" ht="15.75" customHeight="1">
      <c r="H7127" s="162"/>
    </row>
    <row r="7128" ht="15.75" customHeight="1">
      <c r="H7128" s="162"/>
    </row>
    <row r="7129" ht="15.75" customHeight="1">
      <c r="H7129" s="162"/>
    </row>
    <row r="7130" ht="15.75" customHeight="1">
      <c r="H7130" s="162"/>
    </row>
    <row r="7131" ht="15.75" customHeight="1">
      <c r="H7131" s="162"/>
    </row>
    <row r="7132" ht="15.75" customHeight="1">
      <c r="H7132" s="162"/>
    </row>
    <row r="7133" ht="15.75" customHeight="1">
      <c r="H7133" s="162"/>
    </row>
    <row r="7134" ht="15.75" customHeight="1">
      <c r="H7134" s="162"/>
    </row>
    <row r="7135" ht="15.75" customHeight="1">
      <c r="H7135" s="162"/>
    </row>
    <row r="7136" ht="15.75" customHeight="1">
      <c r="H7136" s="162"/>
    </row>
    <row r="7137" ht="15.75" customHeight="1">
      <c r="H7137" s="162"/>
    </row>
    <row r="7138" ht="15.75" customHeight="1">
      <c r="H7138" s="162"/>
    </row>
    <row r="7139" ht="15.75" customHeight="1">
      <c r="H7139" s="162"/>
    </row>
    <row r="7140" ht="15.75" customHeight="1">
      <c r="H7140" s="162"/>
    </row>
    <row r="7141" ht="15.75" customHeight="1">
      <c r="H7141" s="162"/>
    </row>
    <row r="7142" ht="15.75" customHeight="1">
      <c r="H7142" s="162"/>
    </row>
    <row r="7143" ht="15.75" customHeight="1">
      <c r="H7143" s="162"/>
    </row>
    <row r="7144" ht="15.75" customHeight="1">
      <c r="H7144" s="162"/>
    </row>
    <row r="7145" ht="15.75" customHeight="1">
      <c r="H7145" s="162"/>
    </row>
    <row r="7146" ht="15.75" customHeight="1">
      <c r="H7146" s="162"/>
    </row>
    <row r="7147" ht="15.75" customHeight="1">
      <c r="H7147" s="162"/>
    </row>
    <row r="7148" ht="15.75" customHeight="1">
      <c r="H7148" s="162"/>
    </row>
    <row r="7149" ht="15.75" customHeight="1">
      <c r="H7149" s="162"/>
    </row>
    <row r="7150" ht="15.75" customHeight="1">
      <c r="H7150" s="162"/>
    </row>
    <row r="7151" ht="15.75" customHeight="1">
      <c r="H7151" s="162"/>
    </row>
    <row r="7152" ht="15.75" customHeight="1">
      <c r="H7152" s="162"/>
    </row>
    <row r="7153" ht="15.75" customHeight="1">
      <c r="H7153" s="162"/>
    </row>
    <row r="7154" ht="15.75" customHeight="1">
      <c r="H7154" s="162"/>
    </row>
    <row r="7155" ht="15.75" customHeight="1">
      <c r="H7155" s="162"/>
    </row>
    <row r="7156" ht="15.75" customHeight="1">
      <c r="H7156" s="162"/>
    </row>
    <row r="7157" ht="15.75" customHeight="1">
      <c r="H7157" s="162"/>
    </row>
    <row r="7158" ht="15.75" customHeight="1">
      <c r="H7158" s="162"/>
    </row>
    <row r="7159" ht="15.75" customHeight="1">
      <c r="H7159" s="162"/>
    </row>
    <row r="7160" ht="15.75" customHeight="1">
      <c r="H7160" s="162"/>
    </row>
    <row r="7161" ht="15.75" customHeight="1">
      <c r="H7161" s="162"/>
    </row>
    <row r="7162" ht="15.75" customHeight="1">
      <c r="H7162" s="162"/>
    </row>
    <row r="7163" ht="15.75" customHeight="1">
      <c r="H7163" s="162"/>
    </row>
    <row r="7164" ht="15.75" customHeight="1">
      <c r="H7164" s="162"/>
    </row>
    <row r="7165" ht="15.75" customHeight="1">
      <c r="H7165" s="162"/>
    </row>
    <row r="7166" ht="15.75" customHeight="1">
      <c r="H7166" s="162"/>
    </row>
    <row r="7167" ht="15.75" customHeight="1">
      <c r="H7167" s="162"/>
    </row>
    <row r="7168" ht="15.75" customHeight="1">
      <c r="H7168" s="162"/>
    </row>
    <row r="7169" ht="15.75" customHeight="1">
      <c r="H7169" s="162"/>
    </row>
    <row r="7170" ht="15.75" customHeight="1">
      <c r="H7170" s="162"/>
    </row>
    <row r="7171" ht="15.75" customHeight="1">
      <c r="H7171" s="162"/>
    </row>
    <row r="7172" ht="15.75" customHeight="1">
      <c r="H7172" s="162"/>
    </row>
    <row r="7173" ht="15.75" customHeight="1">
      <c r="H7173" s="162"/>
    </row>
    <row r="7174" ht="15.75" customHeight="1">
      <c r="H7174" s="162"/>
    </row>
    <row r="7175" ht="15.75" customHeight="1">
      <c r="H7175" s="162"/>
    </row>
    <row r="7176" ht="15.75" customHeight="1">
      <c r="H7176" s="162"/>
    </row>
    <row r="7177" ht="15.75" customHeight="1">
      <c r="H7177" s="162"/>
    </row>
    <row r="7178" ht="15.75" customHeight="1">
      <c r="H7178" s="162"/>
    </row>
    <row r="7179" ht="15.75" customHeight="1">
      <c r="H7179" s="162"/>
    </row>
    <row r="7180" ht="15.75" customHeight="1">
      <c r="H7180" s="162"/>
    </row>
    <row r="7181" ht="15.75" customHeight="1">
      <c r="H7181" s="162"/>
    </row>
    <row r="7182" ht="15.75" customHeight="1">
      <c r="H7182" s="162"/>
    </row>
    <row r="7183" ht="15.75" customHeight="1">
      <c r="H7183" s="162"/>
    </row>
    <row r="7184" ht="15.75" customHeight="1">
      <c r="H7184" s="162"/>
    </row>
    <row r="7185" ht="15.75" customHeight="1">
      <c r="H7185" s="162"/>
    </row>
    <row r="7186" ht="15.75" customHeight="1">
      <c r="H7186" s="162"/>
    </row>
    <row r="7187" ht="15.75" customHeight="1">
      <c r="H7187" s="162"/>
    </row>
    <row r="7188" ht="15.75" customHeight="1">
      <c r="H7188" s="162"/>
    </row>
    <row r="7189" ht="15.75" customHeight="1">
      <c r="H7189" s="162"/>
    </row>
    <row r="7190" ht="15.75" customHeight="1">
      <c r="H7190" s="162"/>
    </row>
    <row r="7191" ht="15.75" customHeight="1">
      <c r="H7191" s="162"/>
    </row>
    <row r="7192" ht="15.75" customHeight="1">
      <c r="H7192" s="162"/>
    </row>
    <row r="7193" ht="15.75" customHeight="1">
      <c r="H7193" s="162"/>
    </row>
    <row r="7194" ht="15.75" customHeight="1">
      <c r="H7194" s="162"/>
    </row>
    <row r="7195" ht="15.75" customHeight="1">
      <c r="H7195" s="162"/>
    </row>
    <row r="7196" ht="15.75" customHeight="1">
      <c r="H7196" s="162"/>
    </row>
    <row r="7197" ht="15.75" customHeight="1">
      <c r="H7197" s="162"/>
    </row>
    <row r="7198" ht="15.75" customHeight="1">
      <c r="H7198" s="162"/>
    </row>
    <row r="7199" ht="15.75" customHeight="1">
      <c r="H7199" s="162"/>
    </row>
    <row r="7200" ht="15.75" customHeight="1">
      <c r="H7200" s="162"/>
    </row>
    <row r="7201" ht="15.75" customHeight="1">
      <c r="H7201" s="162"/>
    </row>
    <row r="7202" ht="15.75" customHeight="1">
      <c r="H7202" s="162"/>
    </row>
    <row r="7203" ht="15.75" customHeight="1">
      <c r="H7203" s="162"/>
    </row>
    <row r="7204" ht="15.75" customHeight="1">
      <c r="H7204" s="162"/>
    </row>
    <row r="7205" ht="15.75" customHeight="1">
      <c r="H7205" s="162"/>
    </row>
    <row r="7206" ht="15.75" customHeight="1">
      <c r="H7206" s="162"/>
    </row>
    <row r="7207" ht="15.75" customHeight="1">
      <c r="H7207" s="162"/>
    </row>
    <row r="7208" ht="15.75" customHeight="1">
      <c r="H7208" s="162"/>
    </row>
    <row r="7209" ht="15.75" customHeight="1">
      <c r="H7209" s="162"/>
    </row>
    <row r="7210" ht="15.75" customHeight="1">
      <c r="H7210" s="162"/>
    </row>
    <row r="7211" ht="15.75" customHeight="1">
      <c r="H7211" s="162"/>
    </row>
    <row r="7212" ht="15.75" customHeight="1">
      <c r="H7212" s="162"/>
    </row>
    <row r="7213" ht="15.75" customHeight="1">
      <c r="H7213" s="162"/>
    </row>
    <row r="7214" ht="15.75" customHeight="1">
      <c r="H7214" s="162"/>
    </row>
    <row r="7215" ht="15.75" customHeight="1">
      <c r="H7215" s="162"/>
    </row>
    <row r="7216" ht="15.75" customHeight="1">
      <c r="H7216" s="162"/>
    </row>
    <row r="7217" ht="15.75" customHeight="1">
      <c r="H7217" s="162"/>
    </row>
    <row r="7218" ht="15.75" customHeight="1">
      <c r="H7218" s="162"/>
    </row>
    <row r="7219" ht="15.75" customHeight="1">
      <c r="H7219" s="162"/>
    </row>
    <row r="7220" ht="15.75" customHeight="1">
      <c r="H7220" s="162"/>
    </row>
    <row r="7221" ht="15.75" customHeight="1">
      <c r="H7221" s="162"/>
    </row>
    <row r="7222" ht="15.75" customHeight="1">
      <c r="H7222" s="162"/>
    </row>
    <row r="7223" ht="15.75" customHeight="1">
      <c r="H7223" s="162"/>
    </row>
    <row r="7224" ht="15.75" customHeight="1">
      <c r="H7224" s="162"/>
    </row>
    <row r="7225" ht="15.75" customHeight="1">
      <c r="H7225" s="162"/>
    </row>
    <row r="7226" ht="15.75" customHeight="1">
      <c r="H7226" s="162"/>
    </row>
    <row r="7227" ht="15.75" customHeight="1">
      <c r="H7227" s="162"/>
    </row>
    <row r="7228" ht="15.75" customHeight="1">
      <c r="H7228" s="162"/>
    </row>
    <row r="7229" ht="15.75" customHeight="1">
      <c r="H7229" s="162"/>
    </row>
    <row r="7230" ht="15.75" customHeight="1">
      <c r="H7230" s="162"/>
    </row>
    <row r="7231" ht="15.75" customHeight="1">
      <c r="H7231" s="162"/>
    </row>
    <row r="7232" ht="15.75" customHeight="1">
      <c r="H7232" s="162"/>
    </row>
    <row r="7233" ht="15.75" customHeight="1">
      <c r="H7233" s="162"/>
    </row>
    <row r="7234" ht="15.75" customHeight="1">
      <c r="H7234" s="162"/>
    </row>
    <row r="7235" ht="15.75" customHeight="1">
      <c r="H7235" s="162"/>
    </row>
    <row r="7236" ht="15.75" customHeight="1">
      <c r="H7236" s="162"/>
    </row>
    <row r="7237" ht="15.75" customHeight="1">
      <c r="H7237" s="162"/>
    </row>
    <row r="7238" ht="15.75" customHeight="1">
      <c r="H7238" s="162"/>
    </row>
    <row r="7239" ht="15.75" customHeight="1">
      <c r="H7239" s="162"/>
    </row>
    <row r="7240" ht="15.75" customHeight="1">
      <c r="H7240" s="162"/>
    </row>
    <row r="7241" ht="15.75" customHeight="1">
      <c r="H7241" s="162"/>
    </row>
    <row r="7242" ht="15.75" customHeight="1">
      <c r="H7242" s="162"/>
    </row>
    <row r="7243" ht="15.75" customHeight="1">
      <c r="H7243" s="162"/>
    </row>
    <row r="7244" ht="15.75" customHeight="1">
      <c r="H7244" s="162"/>
    </row>
    <row r="7245" ht="15.75" customHeight="1">
      <c r="H7245" s="162"/>
    </row>
    <row r="7246" ht="15.75" customHeight="1">
      <c r="H7246" s="162"/>
    </row>
    <row r="7247" ht="15.75" customHeight="1">
      <c r="H7247" s="162"/>
    </row>
    <row r="7248" ht="15.75" customHeight="1">
      <c r="H7248" s="162"/>
    </row>
    <row r="7249" ht="15.75" customHeight="1">
      <c r="H7249" s="162"/>
    </row>
    <row r="7250" ht="15.75" customHeight="1">
      <c r="H7250" s="162"/>
    </row>
    <row r="7251" ht="15.75" customHeight="1">
      <c r="H7251" s="162"/>
    </row>
    <row r="7252" ht="15.75" customHeight="1">
      <c r="H7252" s="162"/>
    </row>
    <row r="7253" ht="15.75" customHeight="1">
      <c r="H7253" s="162"/>
    </row>
    <row r="7254" ht="15.75" customHeight="1">
      <c r="H7254" s="162"/>
    </row>
    <row r="7255" ht="15.75" customHeight="1">
      <c r="H7255" s="162"/>
    </row>
    <row r="7256" ht="15.75" customHeight="1">
      <c r="H7256" s="162"/>
    </row>
    <row r="7257" ht="15.75" customHeight="1">
      <c r="H7257" s="162"/>
    </row>
    <row r="7258" ht="15.75" customHeight="1">
      <c r="H7258" s="162"/>
    </row>
    <row r="7259" ht="15.75" customHeight="1">
      <c r="H7259" s="162"/>
    </row>
    <row r="7260" ht="15.75" customHeight="1">
      <c r="H7260" s="162"/>
    </row>
    <row r="7261" ht="15.75" customHeight="1">
      <c r="H7261" s="162"/>
    </row>
    <row r="7262" ht="15.75" customHeight="1">
      <c r="H7262" s="162"/>
    </row>
    <row r="7263" ht="15.75" customHeight="1">
      <c r="H7263" s="162"/>
    </row>
    <row r="7264" ht="15.75" customHeight="1">
      <c r="H7264" s="162"/>
    </row>
    <row r="7265" ht="15.75" customHeight="1">
      <c r="H7265" s="162"/>
    </row>
    <row r="7266" ht="15.75" customHeight="1">
      <c r="H7266" s="162"/>
    </row>
    <row r="7267" ht="15.75" customHeight="1">
      <c r="H7267" s="162"/>
    </row>
    <row r="7268" ht="15.75" customHeight="1">
      <c r="H7268" s="162"/>
    </row>
    <row r="7269" ht="15.75" customHeight="1">
      <c r="H7269" s="162"/>
    </row>
    <row r="7270" ht="15.75" customHeight="1">
      <c r="H7270" s="162"/>
    </row>
    <row r="7271" ht="15.75" customHeight="1">
      <c r="H7271" s="162"/>
    </row>
    <row r="7272" ht="15.75" customHeight="1">
      <c r="H7272" s="162"/>
    </row>
    <row r="7273" ht="15.75" customHeight="1">
      <c r="H7273" s="162"/>
    </row>
    <row r="7274" ht="15.75" customHeight="1">
      <c r="H7274" s="162"/>
    </row>
    <row r="7275" ht="15.75" customHeight="1">
      <c r="H7275" s="162"/>
    </row>
    <row r="7276" ht="15.75" customHeight="1">
      <c r="H7276" s="162"/>
    </row>
    <row r="7277" ht="15.75" customHeight="1">
      <c r="H7277" s="162"/>
    </row>
    <row r="7278" ht="15.75" customHeight="1">
      <c r="H7278" s="162"/>
    </row>
    <row r="7279" ht="15.75" customHeight="1">
      <c r="H7279" s="162"/>
    </row>
    <row r="7280" ht="15.75" customHeight="1">
      <c r="H7280" s="162"/>
    </row>
    <row r="7281" ht="15.75" customHeight="1">
      <c r="H7281" s="162"/>
    </row>
    <row r="7282" ht="15.75" customHeight="1">
      <c r="H7282" s="162"/>
    </row>
    <row r="7283" ht="15.75" customHeight="1">
      <c r="H7283" s="162"/>
    </row>
    <row r="7284" ht="15.75" customHeight="1">
      <c r="H7284" s="162"/>
    </row>
    <row r="7285" ht="15.75" customHeight="1">
      <c r="H7285" s="162"/>
    </row>
    <row r="7286" ht="15.75" customHeight="1">
      <c r="H7286" s="162"/>
    </row>
    <row r="7287" ht="15.75" customHeight="1">
      <c r="H7287" s="162"/>
    </row>
    <row r="7288" ht="15.75" customHeight="1">
      <c r="H7288" s="162"/>
    </row>
    <row r="7289" ht="15.75" customHeight="1">
      <c r="H7289" s="162"/>
    </row>
    <row r="7290" ht="15.75" customHeight="1">
      <c r="H7290" s="162"/>
    </row>
    <row r="7291" ht="15.75" customHeight="1">
      <c r="H7291" s="162"/>
    </row>
    <row r="7292" ht="15.75" customHeight="1">
      <c r="H7292" s="162"/>
    </row>
    <row r="7293" ht="15.75" customHeight="1">
      <c r="H7293" s="162"/>
    </row>
    <row r="7294" ht="15.75" customHeight="1">
      <c r="H7294" s="162"/>
    </row>
    <row r="7295" ht="15.75" customHeight="1">
      <c r="H7295" s="162"/>
    </row>
    <row r="7296" ht="15.75" customHeight="1">
      <c r="H7296" s="162"/>
    </row>
    <row r="7297" ht="15.75" customHeight="1">
      <c r="H7297" s="162"/>
    </row>
    <row r="7298" ht="15.75" customHeight="1">
      <c r="H7298" s="162"/>
    </row>
    <row r="7299" ht="15.75" customHeight="1">
      <c r="H7299" s="162"/>
    </row>
    <row r="7300" ht="15.75" customHeight="1">
      <c r="H7300" s="162"/>
    </row>
    <row r="7301" ht="15.75" customHeight="1">
      <c r="H7301" s="162"/>
    </row>
    <row r="7302" ht="15.75" customHeight="1">
      <c r="H7302" s="162"/>
    </row>
    <row r="7303" ht="15.75" customHeight="1">
      <c r="H7303" s="162"/>
    </row>
    <row r="7304" ht="15.75" customHeight="1">
      <c r="H7304" s="162"/>
    </row>
    <row r="7305" ht="15.75" customHeight="1">
      <c r="H7305" s="162"/>
    </row>
    <row r="7306" ht="15.75" customHeight="1">
      <c r="H7306" s="162"/>
    </row>
    <row r="7307" ht="15.75" customHeight="1">
      <c r="H7307" s="162"/>
    </row>
    <row r="7308" ht="15.75" customHeight="1">
      <c r="H7308" s="162"/>
    </row>
    <row r="7309" ht="15.75" customHeight="1">
      <c r="H7309" s="162"/>
    </row>
    <row r="7310" ht="15.75" customHeight="1">
      <c r="H7310" s="162"/>
    </row>
    <row r="7311" ht="15.75" customHeight="1">
      <c r="H7311" s="162"/>
    </row>
    <row r="7312" ht="15.75" customHeight="1">
      <c r="H7312" s="162"/>
    </row>
    <row r="7313" ht="15.75" customHeight="1">
      <c r="H7313" s="162"/>
    </row>
    <row r="7314" ht="15.75" customHeight="1">
      <c r="H7314" s="162"/>
    </row>
    <row r="7315" ht="15.75" customHeight="1">
      <c r="H7315" s="162"/>
    </row>
    <row r="7316" ht="15.75" customHeight="1">
      <c r="H7316" s="162"/>
    </row>
    <row r="7317" ht="15.75" customHeight="1">
      <c r="H7317" s="162"/>
    </row>
    <row r="7318" ht="15.75" customHeight="1">
      <c r="H7318" s="162"/>
    </row>
    <row r="7319" ht="15.75" customHeight="1">
      <c r="H7319" s="162"/>
    </row>
    <row r="7320" ht="15.75" customHeight="1">
      <c r="H7320" s="162"/>
    </row>
    <row r="7321" ht="15.75" customHeight="1">
      <c r="H7321" s="162"/>
    </row>
    <row r="7322" ht="15.75" customHeight="1">
      <c r="H7322" s="162"/>
    </row>
    <row r="7323" ht="15.75" customHeight="1">
      <c r="H7323" s="162"/>
    </row>
    <row r="7324" ht="15.75" customHeight="1">
      <c r="H7324" s="162"/>
    </row>
    <row r="7325" ht="15.75" customHeight="1">
      <c r="H7325" s="162"/>
    </row>
    <row r="7326" ht="15.75" customHeight="1">
      <c r="H7326" s="162"/>
    </row>
    <row r="7327" ht="15.75" customHeight="1">
      <c r="H7327" s="162"/>
    </row>
    <row r="7328" ht="15.75" customHeight="1">
      <c r="H7328" s="162"/>
    </row>
    <row r="7329" ht="15.75" customHeight="1">
      <c r="H7329" s="162"/>
    </row>
    <row r="7330" ht="15.75" customHeight="1">
      <c r="H7330" s="162"/>
    </row>
    <row r="7331" ht="15.75" customHeight="1">
      <c r="H7331" s="162"/>
    </row>
    <row r="7332" ht="15.75" customHeight="1">
      <c r="H7332" s="162"/>
    </row>
    <row r="7333" ht="15.75" customHeight="1">
      <c r="H7333" s="162"/>
    </row>
    <row r="7334" ht="15.75" customHeight="1">
      <c r="H7334" s="162"/>
    </row>
    <row r="7335" ht="15.75" customHeight="1">
      <c r="H7335" s="162"/>
    </row>
    <row r="7336" ht="15.75" customHeight="1">
      <c r="H7336" s="162"/>
    </row>
    <row r="7337" ht="15.75" customHeight="1">
      <c r="H7337" s="162"/>
    </row>
    <row r="7338" ht="15.75" customHeight="1">
      <c r="H7338" s="162"/>
    </row>
    <row r="7339" ht="15.75" customHeight="1">
      <c r="H7339" s="162"/>
    </row>
    <row r="7340" ht="15.75" customHeight="1">
      <c r="H7340" s="162"/>
    </row>
    <row r="7341" ht="15.75" customHeight="1">
      <c r="H7341" s="162"/>
    </row>
    <row r="7342" ht="15.75" customHeight="1">
      <c r="H7342" s="162"/>
    </row>
    <row r="7343" ht="15.75" customHeight="1">
      <c r="H7343" s="162"/>
    </row>
    <row r="7344" ht="15.75" customHeight="1">
      <c r="H7344" s="162"/>
    </row>
    <row r="7345" ht="15.75" customHeight="1">
      <c r="H7345" s="162"/>
    </row>
    <row r="7346" ht="15.75" customHeight="1">
      <c r="H7346" s="162"/>
    </row>
    <row r="7347" ht="15.75" customHeight="1">
      <c r="H7347" s="162"/>
    </row>
    <row r="7348" ht="15.75" customHeight="1">
      <c r="H7348" s="162"/>
    </row>
    <row r="7349" ht="15.75" customHeight="1">
      <c r="H7349" s="162"/>
    </row>
    <row r="7350" ht="15.75" customHeight="1">
      <c r="H7350" s="162"/>
    </row>
    <row r="7351" ht="15.75" customHeight="1">
      <c r="H7351" s="162"/>
    </row>
    <row r="7352" ht="15.75" customHeight="1">
      <c r="H7352" s="162"/>
    </row>
    <row r="7353" ht="15.75" customHeight="1">
      <c r="H7353" s="162"/>
    </row>
    <row r="7354" ht="15.75" customHeight="1">
      <c r="H7354" s="162"/>
    </row>
    <row r="7355" ht="15.75" customHeight="1">
      <c r="H7355" s="162"/>
    </row>
    <row r="7356" ht="15.75" customHeight="1">
      <c r="H7356" s="162"/>
    </row>
    <row r="7357" ht="15.75" customHeight="1">
      <c r="H7357" s="162"/>
    </row>
    <row r="7358" ht="15.75" customHeight="1">
      <c r="H7358" s="162"/>
    </row>
    <row r="7359" ht="15.75" customHeight="1">
      <c r="H7359" s="162"/>
    </row>
    <row r="7360" ht="15.75" customHeight="1">
      <c r="H7360" s="162"/>
    </row>
    <row r="7361" ht="15.75" customHeight="1">
      <c r="H7361" s="162"/>
    </row>
    <row r="7362" ht="15.75" customHeight="1">
      <c r="H7362" s="162"/>
    </row>
    <row r="7363" ht="15.75" customHeight="1">
      <c r="H7363" s="162"/>
    </row>
    <row r="7364" ht="15.75" customHeight="1">
      <c r="H7364" s="162"/>
    </row>
    <row r="7365" ht="15.75" customHeight="1">
      <c r="H7365" s="162"/>
    </row>
    <row r="7366" ht="15.75" customHeight="1">
      <c r="H7366" s="162"/>
    </row>
    <row r="7367" ht="15.75" customHeight="1">
      <c r="H7367" s="162"/>
    </row>
    <row r="7368" ht="15.75" customHeight="1">
      <c r="H7368" s="162"/>
    </row>
    <row r="7369" ht="15.75" customHeight="1">
      <c r="H7369" s="162"/>
    </row>
    <row r="7370" ht="15.75" customHeight="1">
      <c r="H7370" s="162"/>
    </row>
    <row r="7371" ht="15.75" customHeight="1">
      <c r="H7371" s="162"/>
    </row>
    <row r="7372" ht="15.75" customHeight="1">
      <c r="H7372" s="162"/>
    </row>
    <row r="7373" ht="15.75" customHeight="1">
      <c r="H7373" s="162"/>
    </row>
    <row r="7374" ht="15.75" customHeight="1">
      <c r="H7374" s="162"/>
    </row>
    <row r="7375" ht="15.75" customHeight="1">
      <c r="H7375" s="162"/>
    </row>
    <row r="7376" ht="15.75" customHeight="1">
      <c r="H7376" s="162"/>
    </row>
    <row r="7377" ht="15.75" customHeight="1">
      <c r="H7377" s="162"/>
    </row>
    <row r="7378" ht="15.75" customHeight="1">
      <c r="H7378" s="162"/>
    </row>
    <row r="7379" ht="15.75" customHeight="1">
      <c r="H7379" s="162"/>
    </row>
    <row r="7380" ht="15.75" customHeight="1">
      <c r="H7380" s="162"/>
    </row>
    <row r="7381" ht="15.75" customHeight="1">
      <c r="H7381" s="162"/>
    </row>
    <row r="7382" ht="15.75" customHeight="1">
      <c r="H7382" s="162"/>
    </row>
    <row r="7383" ht="15.75" customHeight="1">
      <c r="H7383" s="162"/>
    </row>
    <row r="7384" ht="15.75" customHeight="1">
      <c r="H7384" s="162"/>
    </row>
    <row r="7385" ht="15.75" customHeight="1">
      <c r="H7385" s="162"/>
    </row>
    <row r="7386" ht="15.75" customHeight="1">
      <c r="H7386" s="162"/>
    </row>
    <row r="7387" ht="15.75" customHeight="1">
      <c r="H7387" s="162"/>
    </row>
    <row r="7388" ht="15.75" customHeight="1">
      <c r="H7388" s="162"/>
    </row>
    <row r="7389" ht="15.75" customHeight="1">
      <c r="H7389" s="162"/>
    </row>
    <row r="7390" ht="15.75" customHeight="1">
      <c r="H7390" s="162"/>
    </row>
    <row r="7391" ht="15.75" customHeight="1">
      <c r="H7391" s="162"/>
    </row>
    <row r="7392" ht="15.75" customHeight="1">
      <c r="H7392" s="162"/>
    </row>
    <row r="7393" ht="15.75" customHeight="1">
      <c r="H7393" s="162"/>
    </row>
    <row r="7394" ht="15.75" customHeight="1">
      <c r="H7394" s="162"/>
    </row>
    <row r="7395" ht="15.75" customHeight="1">
      <c r="H7395" s="162"/>
    </row>
    <row r="7396" ht="15.75" customHeight="1">
      <c r="H7396" s="162"/>
    </row>
    <row r="7397" ht="15.75" customHeight="1">
      <c r="H7397" s="162"/>
    </row>
    <row r="7398" ht="15.75" customHeight="1">
      <c r="H7398" s="162"/>
    </row>
    <row r="7399" ht="15.75" customHeight="1">
      <c r="H7399" s="162"/>
    </row>
    <row r="7400" ht="15.75" customHeight="1">
      <c r="H7400" s="162"/>
    </row>
    <row r="7401" ht="15.75" customHeight="1">
      <c r="H7401" s="162"/>
    </row>
    <row r="7402" ht="15.75" customHeight="1">
      <c r="H7402" s="162"/>
    </row>
    <row r="7403" ht="15.75" customHeight="1">
      <c r="H7403" s="162"/>
    </row>
    <row r="7404" ht="15.75" customHeight="1">
      <c r="H7404" s="162"/>
    </row>
    <row r="7405" ht="15.75" customHeight="1">
      <c r="H7405" s="162"/>
    </row>
    <row r="7406" ht="15.75" customHeight="1">
      <c r="H7406" s="162"/>
    </row>
    <row r="7407" ht="15.75" customHeight="1">
      <c r="H7407" s="162"/>
    </row>
    <row r="7408" ht="15.75" customHeight="1">
      <c r="H7408" s="162"/>
    </row>
    <row r="7409" ht="15.75" customHeight="1">
      <c r="H7409" s="162"/>
    </row>
    <row r="7410" ht="15.75" customHeight="1">
      <c r="H7410" s="162"/>
    </row>
    <row r="7411" ht="15.75" customHeight="1">
      <c r="H7411" s="162"/>
    </row>
    <row r="7412" ht="15.75" customHeight="1">
      <c r="H7412" s="162"/>
    </row>
    <row r="7413" ht="15.75" customHeight="1">
      <c r="H7413" s="162"/>
    </row>
    <row r="7414" ht="15.75" customHeight="1">
      <c r="H7414" s="162"/>
    </row>
    <row r="7415" ht="15.75" customHeight="1">
      <c r="H7415" s="162"/>
    </row>
    <row r="7416" ht="15.75" customHeight="1">
      <c r="H7416" s="162"/>
    </row>
    <row r="7417" ht="15.75" customHeight="1">
      <c r="H7417" s="162"/>
    </row>
    <row r="7418" ht="15.75" customHeight="1">
      <c r="H7418" s="162"/>
    </row>
    <row r="7419" ht="15.75" customHeight="1">
      <c r="H7419" s="162"/>
    </row>
    <row r="7420" ht="15.75" customHeight="1">
      <c r="H7420" s="162"/>
    </row>
    <row r="7421" ht="15.75" customHeight="1">
      <c r="H7421" s="162"/>
    </row>
    <row r="7422" ht="15.75" customHeight="1">
      <c r="H7422" s="162"/>
    </row>
    <row r="7423" ht="15.75" customHeight="1">
      <c r="H7423" s="162"/>
    </row>
    <row r="7424" ht="15.75" customHeight="1">
      <c r="H7424" s="162"/>
    </row>
    <row r="7425" ht="15.75" customHeight="1">
      <c r="H7425" s="162"/>
    </row>
    <row r="7426" ht="15.75" customHeight="1">
      <c r="H7426" s="162"/>
    </row>
    <row r="7427" ht="15.75" customHeight="1">
      <c r="H7427" s="162"/>
    </row>
    <row r="7428" ht="15.75" customHeight="1">
      <c r="H7428" s="162"/>
    </row>
    <row r="7429" ht="15.75" customHeight="1">
      <c r="H7429" s="162"/>
    </row>
    <row r="7430" ht="15.75" customHeight="1">
      <c r="H7430" s="162"/>
    </row>
    <row r="7431" ht="15.75" customHeight="1">
      <c r="H7431" s="162"/>
    </row>
    <row r="7432" ht="15.75" customHeight="1">
      <c r="H7432" s="162"/>
    </row>
    <row r="7433" ht="15.75" customHeight="1">
      <c r="H7433" s="162"/>
    </row>
    <row r="7434" ht="15.75" customHeight="1">
      <c r="H7434" s="162"/>
    </row>
    <row r="7435" ht="15.75" customHeight="1">
      <c r="H7435" s="162"/>
    </row>
    <row r="7436" ht="15.75" customHeight="1">
      <c r="H7436" s="162"/>
    </row>
    <row r="7437" ht="15.75" customHeight="1">
      <c r="H7437" s="162"/>
    </row>
    <row r="7438" ht="15.75" customHeight="1">
      <c r="H7438" s="162"/>
    </row>
    <row r="7439" ht="15.75" customHeight="1">
      <c r="H7439" s="162"/>
    </row>
    <row r="7440" ht="15.75" customHeight="1">
      <c r="H7440" s="162"/>
    </row>
    <row r="7441" ht="15.75" customHeight="1">
      <c r="H7441" s="162"/>
    </row>
    <row r="7442" ht="15.75" customHeight="1">
      <c r="H7442" s="162"/>
    </row>
    <row r="7443" ht="15.75" customHeight="1">
      <c r="H7443" s="162"/>
    </row>
    <row r="7444" ht="15.75" customHeight="1">
      <c r="H7444" s="162"/>
    </row>
    <row r="7445" ht="15.75" customHeight="1">
      <c r="H7445" s="162"/>
    </row>
    <row r="7446" ht="15.75" customHeight="1">
      <c r="H7446" s="162"/>
    </row>
    <row r="7447" ht="15.75" customHeight="1">
      <c r="H7447" s="162"/>
    </row>
    <row r="7448" ht="15.75" customHeight="1">
      <c r="H7448" s="162"/>
    </row>
    <row r="7449" ht="15.75" customHeight="1">
      <c r="H7449" s="162"/>
    </row>
    <row r="7450" ht="15.75" customHeight="1">
      <c r="H7450" s="162"/>
    </row>
    <row r="7451" ht="15.75" customHeight="1">
      <c r="H7451" s="162"/>
    </row>
    <row r="7452" ht="15.75" customHeight="1">
      <c r="H7452" s="162"/>
    </row>
    <row r="7453" ht="15.75" customHeight="1">
      <c r="H7453" s="162"/>
    </row>
    <row r="7454" ht="15.75" customHeight="1">
      <c r="H7454" s="162"/>
    </row>
    <row r="7455" ht="15.75" customHeight="1">
      <c r="H7455" s="162"/>
    </row>
    <row r="7456" ht="15.75" customHeight="1">
      <c r="H7456" s="162"/>
    </row>
    <row r="7457" ht="15.75" customHeight="1">
      <c r="H7457" s="162"/>
    </row>
    <row r="7458" ht="15.75" customHeight="1">
      <c r="H7458" s="162"/>
    </row>
    <row r="7459" ht="15.75" customHeight="1">
      <c r="H7459" s="162"/>
    </row>
    <row r="7460" ht="15.75" customHeight="1">
      <c r="H7460" s="162"/>
    </row>
    <row r="7461" ht="15.75" customHeight="1">
      <c r="H7461" s="162"/>
    </row>
    <row r="7462" ht="15.75" customHeight="1">
      <c r="H7462" s="162"/>
    </row>
    <row r="7463" ht="15.75" customHeight="1">
      <c r="H7463" s="162"/>
    </row>
    <row r="7464" ht="15.75" customHeight="1">
      <c r="H7464" s="162"/>
    </row>
    <row r="7465" ht="15.75" customHeight="1">
      <c r="H7465" s="162"/>
    </row>
    <row r="7466" ht="15.75" customHeight="1">
      <c r="H7466" s="162"/>
    </row>
    <row r="7467" ht="15.75" customHeight="1">
      <c r="H7467" s="162"/>
    </row>
    <row r="7468" ht="15.75" customHeight="1">
      <c r="H7468" s="162"/>
    </row>
    <row r="7469" ht="15.75" customHeight="1">
      <c r="H7469" s="162"/>
    </row>
    <row r="7470" ht="15.75" customHeight="1">
      <c r="H7470" s="162"/>
    </row>
    <row r="7471" ht="15.75" customHeight="1">
      <c r="H7471" s="162"/>
    </row>
    <row r="7472" ht="15.75" customHeight="1">
      <c r="H7472" s="162"/>
    </row>
    <row r="7473" ht="15.75" customHeight="1">
      <c r="H7473" s="162"/>
    </row>
    <row r="7474" ht="15.75" customHeight="1">
      <c r="H7474" s="162"/>
    </row>
    <row r="7475" ht="15.75" customHeight="1">
      <c r="H7475" s="162"/>
    </row>
    <row r="7476" ht="15.75" customHeight="1">
      <c r="H7476" s="162"/>
    </row>
    <row r="7477" ht="15.75" customHeight="1">
      <c r="H7477" s="162"/>
    </row>
    <row r="7478" ht="15.75" customHeight="1">
      <c r="H7478" s="162"/>
    </row>
    <row r="7479" ht="15.75" customHeight="1">
      <c r="H7479" s="162"/>
    </row>
    <row r="7480" ht="15.75" customHeight="1">
      <c r="H7480" s="162"/>
    </row>
    <row r="7481" ht="15.75" customHeight="1">
      <c r="H7481" s="162"/>
    </row>
    <row r="7482" ht="15.75" customHeight="1">
      <c r="H7482" s="162"/>
    </row>
    <row r="7483" ht="15.75" customHeight="1">
      <c r="H7483" s="162"/>
    </row>
    <row r="7484" ht="15.75" customHeight="1">
      <c r="H7484" s="162"/>
    </row>
    <row r="7485" ht="15.75" customHeight="1">
      <c r="H7485" s="162"/>
    </row>
    <row r="7486" ht="15.75" customHeight="1">
      <c r="H7486" s="162"/>
    </row>
    <row r="7487" ht="15.75" customHeight="1">
      <c r="H7487" s="162"/>
    </row>
    <row r="7488" ht="15.75" customHeight="1">
      <c r="H7488" s="162"/>
    </row>
    <row r="7489" ht="15.75" customHeight="1">
      <c r="H7489" s="162"/>
    </row>
    <row r="7490" ht="15.75" customHeight="1">
      <c r="H7490" s="162"/>
    </row>
    <row r="7491" ht="15.75" customHeight="1">
      <c r="H7491" s="162"/>
    </row>
    <row r="7492" ht="15.75" customHeight="1">
      <c r="H7492" s="162"/>
    </row>
    <row r="7493" ht="15.75" customHeight="1">
      <c r="H7493" s="162"/>
    </row>
    <row r="7494" ht="15.75" customHeight="1">
      <c r="H7494" s="162"/>
    </row>
    <row r="7495" ht="15.75" customHeight="1">
      <c r="H7495" s="162"/>
    </row>
    <row r="7496" ht="15.75" customHeight="1">
      <c r="H7496" s="162"/>
    </row>
    <row r="7497" ht="15.75" customHeight="1">
      <c r="H7497" s="162"/>
    </row>
    <row r="7498" ht="15.75" customHeight="1">
      <c r="H7498" s="162"/>
    </row>
    <row r="7499" ht="15.75" customHeight="1">
      <c r="H7499" s="162"/>
    </row>
    <row r="7500" ht="15.75" customHeight="1">
      <c r="H7500" s="162"/>
    </row>
    <row r="7501" ht="15.75" customHeight="1">
      <c r="H7501" s="162"/>
    </row>
    <row r="7502" ht="15.75" customHeight="1">
      <c r="H7502" s="162"/>
    </row>
    <row r="7503" ht="15.75" customHeight="1">
      <c r="H7503" s="162"/>
    </row>
    <row r="7504" ht="15.75" customHeight="1">
      <c r="H7504" s="162"/>
    </row>
    <row r="7505" ht="15.75" customHeight="1">
      <c r="H7505" s="162"/>
    </row>
    <row r="7506" ht="15.75" customHeight="1">
      <c r="H7506" s="162"/>
    </row>
    <row r="7507" ht="15.75" customHeight="1">
      <c r="H7507" s="162"/>
    </row>
    <row r="7508" ht="15.75" customHeight="1">
      <c r="H7508" s="162"/>
    </row>
    <row r="7509" ht="15.75" customHeight="1">
      <c r="H7509" s="162"/>
    </row>
    <row r="7510" ht="15.75" customHeight="1">
      <c r="H7510" s="162"/>
    </row>
    <row r="7511" ht="15.75" customHeight="1">
      <c r="H7511" s="162"/>
    </row>
    <row r="7512" ht="15.75" customHeight="1">
      <c r="H7512" s="162"/>
    </row>
    <row r="7513" ht="15.75" customHeight="1">
      <c r="H7513" s="162"/>
    </row>
    <row r="7514" ht="15.75" customHeight="1">
      <c r="H7514" s="162"/>
    </row>
    <row r="7515" ht="15.75" customHeight="1">
      <c r="H7515" s="162"/>
    </row>
    <row r="7516" ht="15.75" customHeight="1">
      <c r="H7516" s="162"/>
    </row>
    <row r="7517" ht="15.75" customHeight="1">
      <c r="H7517" s="162"/>
    </row>
    <row r="7518" ht="15.75" customHeight="1">
      <c r="H7518" s="162"/>
    </row>
    <row r="7519" ht="15.75" customHeight="1">
      <c r="H7519" s="162"/>
    </row>
    <row r="7520" ht="15.75" customHeight="1">
      <c r="H7520" s="162"/>
    </row>
    <row r="7521" ht="15.75" customHeight="1">
      <c r="H7521" s="162"/>
    </row>
    <row r="7522" ht="15.75" customHeight="1">
      <c r="H7522" s="162"/>
    </row>
    <row r="7523" ht="15.75" customHeight="1">
      <c r="H7523" s="162"/>
    </row>
    <row r="7524" ht="15.75" customHeight="1">
      <c r="H7524" s="162"/>
    </row>
    <row r="7525" ht="15.75" customHeight="1">
      <c r="H7525" s="162"/>
    </row>
    <row r="7526" ht="15.75" customHeight="1">
      <c r="H7526" s="162"/>
    </row>
    <row r="7527" ht="15.75" customHeight="1">
      <c r="H7527" s="162"/>
    </row>
    <row r="7528" ht="15.75" customHeight="1">
      <c r="H7528" s="162"/>
    </row>
    <row r="7529" ht="15.75" customHeight="1">
      <c r="H7529" s="162"/>
    </row>
    <row r="7530" ht="15.75" customHeight="1">
      <c r="H7530" s="162"/>
    </row>
    <row r="7531" ht="15.75" customHeight="1">
      <c r="H7531" s="162"/>
    </row>
    <row r="7532" ht="15.75" customHeight="1">
      <c r="H7532" s="162"/>
    </row>
    <row r="7533" ht="15.75" customHeight="1">
      <c r="H7533" s="162"/>
    </row>
    <row r="7534" ht="15.75" customHeight="1">
      <c r="H7534" s="162"/>
    </row>
    <row r="7535" ht="15.75" customHeight="1">
      <c r="H7535" s="162"/>
    </row>
    <row r="7536" ht="15.75" customHeight="1">
      <c r="H7536" s="162"/>
    </row>
    <row r="7537" ht="15.75" customHeight="1">
      <c r="H7537" s="162"/>
    </row>
    <row r="7538" ht="15.75" customHeight="1">
      <c r="H7538" s="162"/>
    </row>
    <row r="7539" ht="15.75" customHeight="1">
      <c r="H7539" s="162"/>
    </row>
    <row r="7540" ht="15.75" customHeight="1">
      <c r="H7540" s="162"/>
    </row>
    <row r="7541" ht="15.75" customHeight="1">
      <c r="H7541" s="162"/>
    </row>
    <row r="7542" ht="15.75" customHeight="1">
      <c r="H7542" s="162"/>
    </row>
    <row r="7543" ht="15.75" customHeight="1">
      <c r="H7543" s="162"/>
    </row>
    <row r="7544" ht="15.75" customHeight="1">
      <c r="H7544" s="162"/>
    </row>
    <row r="7545" ht="15.75" customHeight="1">
      <c r="H7545" s="162"/>
    </row>
    <row r="7546" ht="15.75" customHeight="1">
      <c r="H7546" s="162"/>
    </row>
    <row r="7547" ht="15.75" customHeight="1">
      <c r="H7547" s="162"/>
    </row>
    <row r="7548" ht="15.75" customHeight="1">
      <c r="H7548" s="162"/>
    </row>
    <row r="7549" ht="15.75" customHeight="1">
      <c r="H7549" s="162"/>
    </row>
    <row r="7550" ht="15.75" customHeight="1">
      <c r="H7550" s="162"/>
    </row>
    <row r="7551" ht="15.75" customHeight="1">
      <c r="H7551" s="162"/>
    </row>
    <row r="7552" ht="15.75" customHeight="1">
      <c r="H7552" s="162"/>
    </row>
    <row r="7553" ht="15.75" customHeight="1">
      <c r="H7553" s="162"/>
    </row>
    <row r="7554" ht="15.75" customHeight="1">
      <c r="H7554" s="162"/>
    </row>
    <row r="7555" ht="15.75" customHeight="1">
      <c r="H7555" s="162"/>
    </row>
    <row r="7556" ht="15.75" customHeight="1">
      <c r="H7556" s="162"/>
    </row>
    <row r="7557" ht="15.75" customHeight="1">
      <c r="H7557" s="162"/>
    </row>
    <row r="7558" ht="15.75" customHeight="1">
      <c r="H7558" s="162"/>
    </row>
    <row r="7559" ht="15.75" customHeight="1">
      <c r="H7559" s="162"/>
    </row>
    <row r="7560" ht="15.75" customHeight="1">
      <c r="H7560" s="162"/>
    </row>
    <row r="7561" ht="15.75" customHeight="1">
      <c r="H7561" s="162"/>
    </row>
    <row r="7562" ht="15.75" customHeight="1">
      <c r="H7562" s="162"/>
    </row>
    <row r="7563" ht="15.75" customHeight="1">
      <c r="H7563" s="162"/>
    </row>
    <row r="7564" ht="15.75" customHeight="1">
      <c r="H7564" s="162"/>
    </row>
    <row r="7565" ht="15.75" customHeight="1">
      <c r="H7565" s="162"/>
    </row>
    <row r="7566" ht="15.75" customHeight="1">
      <c r="H7566" s="162"/>
    </row>
    <row r="7567" ht="15.75" customHeight="1">
      <c r="H7567" s="162"/>
    </row>
    <row r="7568" ht="15.75" customHeight="1">
      <c r="H7568" s="162"/>
    </row>
    <row r="7569" ht="15.75" customHeight="1">
      <c r="H7569" s="162"/>
    </row>
    <row r="7570" ht="15.75" customHeight="1">
      <c r="H7570" s="162"/>
    </row>
    <row r="7571" ht="15.75" customHeight="1">
      <c r="H7571" s="162"/>
    </row>
    <row r="7572" ht="15.75" customHeight="1">
      <c r="H7572" s="162"/>
    </row>
    <row r="7573" ht="15.75" customHeight="1">
      <c r="H7573" s="162"/>
    </row>
    <row r="7574" ht="15.75" customHeight="1">
      <c r="H7574" s="162"/>
    </row>
    <row r="7575" ht="15.75" customHeight="1">
      <c r="H7575" s="162"/>
    </row>
    <row r="7576" ht="15.75" customHeight="1">
      <c r="H7576" s="162"/>
    </row>
    <row r="7577" ht="15.75" customHeight="1">
      <c r="H7577" s="162"/>
    </row>
    <row r="7578" ht="15.75" customHeight="1">
      <c r="H7578" s="162"/>
    </row>
    <row r="7579" ht="15.75" customHeight="1">
      <c r="H7579" s="162"/>
    </row>
    <row r="7580" ht="15.75" customHeight="1">
      <c r="H7580" s="162"/>
    </row>
    <row r="7581" ht="15.75" customHeight="1">
      <c r="H7581" s="162"/>
    </row>
    <row r="7582" ht="15.75" customHeight="1">
      <c r="H7582" s="162"/>
    </row>
    <row r="7583" ht="15.75" customHeight="1">
      <c r="H7583" s="162"/>
    </row>
    <row r="7584" ht="15.75" customHeight="1">
      <c r="H7584" s="162"/>
    </row>
    <row r="7585" ht="15.75" customHeight="1">
      <c r="H7585" s="162"/>
    </row>
    <row r="7586" ht="15.75" customHeight="1">
      <c r="H7586" s="162"/>
    </row>
    <row r="7587" ht="15.75" customHeight="1">
      <c r="H7587" s="162"/>
    </row>
    <row r="7588" ht="15.75" customHeight="1">
      <c r="H7588" s="162"/>
    </row>
    <row r="7589" ht="15.75" customHeight="1">
      <c r="H7589" s="162"/>
    </row>
    <row r="7590" ht="15.75" customHeight="1">
      <c r="H7590" s="162"/>
    </row>
    <row r="7591" ht="15.75" customHeight="1">
      <c r="H7591" s="162"/>
    </row>
    <row r="7592" ht="15.75" customHeight="1">
      <c r="H7592" s="162"/>
    </row>
    <row r="7593" ht="15.75" customHeight="1">
      <c r="H7593" s="162"/>
    </row>
    <row r="7594" ht="15.75" customHeight="1">
      <c r="H7594" s="162"/>
    </row>
    <row r="7595" ht="15.75" customHeight="1">
      <c r="H7595" s="162"/>
    </row>
    <row r="7596" ht="15.75" customHeight="1">
      <c r="H7596" s="162"/>
    </row>
    <row r="7597" ht="15.75" customHeight="1">
      <c r="H7597" s="162"/>
    </row>
    <row r="7598" ht="15.75" customHeight="1">
      <c r="H7598" s="162"/>
    </row>
    <row r="7599" ht="15.75" customHeight="1">
      <c r="H7599" s="162"/>
    </row>
    <row r="7600" ht="15.75" customHeight="1">
      <c r="H7600" s="162"/>
    </row>
    <row r="7601" ht="15.75" customHeight="1">
      <c r="H7601" s="162"/>
    </row>
    <row r="7602" ht="15.75" customHeight="1">
      <c r="H7602" s="162"/>
    </row>
    <row r="7603" ht="15.75" customHeight="1">
      <c r="H7603" s="162"/>
    </row>
    <row r="7604" ht="15.75" customHeight="1">
      <c r="H7604" s="162"/>
    </row>
    <row r="7605" ht="15.75" customHeight="1">
      <c r="H7605" s="162"/>
    </row>
    <row r="7606" ht="15.75" customHeight="1">
      <c r="H7606" s="162"/>
    </row>
    <row r="7607" ht="15.75" customHeight="1">
      <c r="H7607" s="162"/>
    </row>
    <row r="7608" ht="15.75" customHeight="1">
      <c r="H7608" s="162"/>
    </row>
    <row r="7609" ht="15.75" customHeight="1">
      <c r="H7609" s="162"/>
    </row>
    <row r="7610" ht="15.75" customHeight="1">
      <c r="H7610" s="162"/>
    </row>
    <row r="7611" ht="15.75" customHeight="1">
      <c r="H7611" s="162"/>
    </row>
    <row r="7612" ht="15.75" customHeight="1">
      <c r="H7612" s="162"/>
    </row>
    <row r="7613" ht="15.75" customHeight="1">
      <c r="H7613" s="162"/>
    </row>
    <row r="7614" ht="15.75" customHeight="1">
      <c r="H7614" s="162"/>
    </row>
    <row r="7615" ht="15.75" customHeight="1">
      <c r="H7615" s="162"/>
    </row>
    <row r="7616" ht="15.75" customHeight="1">
      <c r="H7616" s="162"/>
    </row>
    <row r="7617" ht="15.75" customHeight="1">
      <c r="H7617" s="162"/>
    </row>
    <row r="7618" ht="15.75" customHeight="1">
      <c r="H7618" s="162"/>
    </row>
    <row r="7619" ht="15.75" customHeight="1">
      <c r="H7619" s="162"/>
    </row>
    <row r="7620" ht="15.75" customHeight="1">
      <c r="H7620" s="162"/>
    </row>
    <row r="7621" ht="15.75" customHeight="1">
      <c r="H7621" s="162"/>
    </row>
    <row r="7622" ht="15.75" customHeight="1">
      <c r="H7622" s="162"/>
    </row>
    <row r="7623" ht="15.75" customHeight="1">
      <c r="H7623" s="162"/>
    </row>
    <row r="7624" ht="15.75" customHeight="1">
      <c r="H7624" s="162"/>
    </row>
    <row r="7625" ht="15.75" customHeight="1">
      <c r="H7625" s="162"/>
    </row>
    <row r="7626" ht="15.75" customHeight="1">
      <c r="H7626" s="162"/>
    </row>
    <row r="7627" ht="15.75" customHeight="1">
      <c r="H7627" s="162"/>
    </row>
    <row r="7628" ht="15.75" customHeight="1">
      <c r="H7628" s="162"/>
    </row>
    <row r="7629" ht="15.75" customHeight="1">
      <c r="H7629" s="162"/>
    </row>
    <row r="7630" ht="15.75" customHeight="1">
      <c r="H7630" s="162"/>
    </row>
    <row r="7631" ht="15.75" customHeight="1">
      <c r="H7631" s="162"/>
    </row>
    <row r="7632" ht="15.75" customHeight="1">
      <c r="H7632" s="162"/>
    </row>
    <row r="7633" ht="15.75" customHeight="1">
      <c r="H7633" s="162"/>
    </row>
    <row r="7634" ht="15.75" customHeight="1">
      <c r="H7634" s="162"/>
    </row>
    <row r="7635" ht="15.75" customHeight="1">
      <c r="H7635" s="162"/>
    </row>
    <row r="7636" ht="15.75" customHeight="1">
      <c r="H7636" s="162"/>
    </row>
    <row r="7637" ht="15.75" customHeight="1">
      <c r="H7637" s="162"/>
    </row>
    <row r="7638" ht="15.75" customHeight="1">
      <c r="H7638" s="162"/>
    </row>
    <row r="7639" ht="15.75" customHeight="1">
      <c r="H7639" s="162"/>
    </row>
    <row r="7640" ht="15.75" customHeight="1">
      <c r="H7640" s="162"/>
    </row>
    <row r="7641" ht="15.75" customHeight="1">
      <c r="H7641" s="162"/>
    </row>
    <row r="7642" ht="15.75" customHeight="1">
      <c r="H7642" s="162"/>
    </row>
    <row r="7643" ht="15.75" customHeight="1">
      <c r="H7643" s="162"/>
    </row>
    <row r="7644" ht="15.75" customHeight="1">
      <c r="H7644" s="162"/>
    </row>
    <row r="7645" ht="15.75" customHeight="1">
      <c r="H7645" s="162"/>
    </row>
    <row r="7646" ht="15.75" customHeight="1">
      <c r="H7646" s="162"/>
    </row>
    <row r="7647" ht="15.75" customHeight="1">
      <c r="H7647" s="162"/>
    </row>
    <row r="7648" ht="15.75" customHeight="1">
      <c r="H7648" s="162"/>
    </row>
    <row r="7649" ht="15.75" customHeight="1">
      <c r="H7649" s="162"/>
    </row>
    <row r="7650" ht="15.75" customHeight="1">
      <c r="H7650" s="162"/>
    </row>
    <row r="7651" ht="15.75" customHeight="1">
      <c r="H7651" s="162"/>
    </row>
    <row r="7652" ht="15.75" customHeight="1">
      <c r="H7652" s="162"/>
    </row>
    <row r="7653" ht="15.75" customHeight="1">
      <c r="H7653" s="162"/>
    </row>
    <row r="7654" ht="15.75" customHeight="1">
      <c r="H7654" s="162"/>
    </row>
    <row r="7655" ht="15.75" customHeight="1">
      <c r="H7655" s="162"/>
    </row>
    <row r="7656" ht="15.75" customHeight="1">
      <c r="H7656" s="162"/>
    </row>
    <row r="7657" ht="15.75" customHeight="1">
      <c r="H7657" s="162"/>
    </row>
    <row r="7658" ht="15.75" customHeight="1">
      <c r="H7658" s="162"/>
    </row>
    <row r="7659" ht="15.75" customHeight="1">
      <c r="H7659" s="162"/>
    </row>
    <row r="7660" ht="15.75" customHeight="1">
      <c r="H7660" s="162"/>
    </row>
    <row r="7661" ht="15.75" customHeight="1">
      <c r="H7661" s="162"/>
    </row>
    <row r="7662" ht="15.75" customHeight="1">
      <c r="H7662" s="162"/>
    </row>
    <row r="7663" ht="15.75" customHeight="1">
      <c r="H7663" s="162"/>
    </row>
    <row r="7664" ht="15.75" customHeight="1">
      <c r="H7664" s="162"/>
    </row>
    <row r="7665" ht="15.75" customHeight="1">
      <c r="H7665" s="162"/>
    </row>
    <row r="7666" ht="15.75" customHeight="1">
      <c r="H7666" s="162"/>
    </row>
    <row r="7667" ht="15.75" customHeight="1">
      <c r="H7667" s="162"/>
    </row>
    <row r="7668" ht="15.75" customHeight="1">
      <c r="H7668" s="162"/>
    </row>
    <row r="7669" ht="15.75" customHeight="1">
      <c r="H7669" s="162"/>
    </row>
    <row r="7670" ht="15.75" customHeight="1">
      <c r="H7670" s="162"/>
    </row>
    <row r="7671" ht="15.75" customHeight="1">
      <c r="H7671" s="162"/>
    </row>
    <row r="7672" ht="15.75" customHeight="1">
      <c r="H7672" s="162"/>
    </row>
    <row r="7673" ht="15.75" customHeight="1">
      <c r="H7673" s="162"/>
    </row>
    <row r="7674" ht="15.75" customHeight="1">
      <c r="H7674" s="162"/>
    </row>
    <row r="7675" ht="15.75" customHeight="1">
      <c r="H7675" s="162"/>
    </row>
    <row r="7676" ht="15.75" customHeight="1">
      <c r="H7676" s="162"/>
    </row>
    <row r="7677" ht="15.75" customHeight="1">
      <c r="H7677" s="162"/>
    </row>
    <row r="7678" ht="15.75" customHeight="1">
      <c r="H7678" s="162"/>
    </row>
    <row r="7679" ht="15.75" customHeight="1">
      <c r="H7679" s="162"/>
    </row>
    <row r="7680" ht="15.75" customHeight="1">
      <c r="H7680" s="162"/>
    </row>
    <row r="7681" ht="15.75" customHeight="1">
      <c r="H7681" s="162"/>
    </row>
    <row r="7682" ht="15.75" customHeight="1">
      <c r="H7682" s="162"/>
    </row>
    <row r="7683" ht="15.75" customHeight="1">
      <c r="H7683" s="162"/>
    </row>
    <row r="7684" ht="15.75" customHeight="1">
      <c r="H7684" s="162"/>
    </row>
    <row r="7685" ht="15.75" customHeight="1">
      <c r="H7685" s="162"/>
    </row>
    <row r="7686" ht="15.75" customHeight="1">
      <c r="H7686" s="162"/>
    </row>
    <row r="7687" ht="15.75" customHeight="1">
      <c r="H7687" s="162"/>
    </row>
    <row r="7688" ht="15.75" customHeight="1">
      <c r="H7688" s="162"/>
    </row>
    <row r="7689" ht="15.75" customHeight="1">
      <c r="H7689" s="162"/>
    </row>
    <row r="7690" ht="15.75" customHeight="1">
      <c r="H7690" s="162"/>
    </row>
    <row r="7691" ht="15.75" customHeight="1">
      <c r="H7691" s="162"/>
    </row>
    <row r="7692" ht="15.75" customHeight="1">
      <c r="H7692" s="162"/>
    </row>
    <row r="7693" ht="15.75" customHeight="1">
      <c r="H7693" s="162"/>
    </row>
    <row r="7694" ht="15.75" customHeight="1">
      <c r="H7694" s="162"/>
    </row>
    <row r="7695" ht="15.75" customHeight="1">
      <c r="H7695" s="162"/>
    </row>
    <row r="7696" ht="15.75" customHeight="1">
      <c r="H7696" s="162"/>
    </row>
    <row r="7697" ht="15.75" customHeight="1">
      <c r="H7697" s="162"/>
    </row>
    <row r="7698" ht="15.75" customHeight="1">
      <c r="H7698" s="162"/>
    </row>
    <row r="7699" ht="15.75" customHeight="1">
      <c r="H7699" s="162"/>
    </row>
    <row r="7700" ht="15.75" customHeight="1">
      <c r="H7700" s="162"/>
    </row>
    <row r="7701" ht="15.75" customHeight="1">
      <c r="H7701" s="162"/>
    </row>
    <row r="7702" ht="15.75" customHeight="1">
      <c r="H7702" s="162"/>
    </row>
    <row r="7703" ht="15.75" customHeight="1">
      <c r="H7703" s="162"/>
    </row>
    <row r="7704" ht="15.75" customHeight="1">
      <c r="H7704" s="162"/>
    </row>
    <row r="7705" ht="15.75" customHeight="1">
      <c r="H7705" s="162"/>
    </row>
    <row r="7706" ht="15.75" customHeight="1">
      <c r="H7706" s="162"/>
    </row>
    <row r="7707" ht="15.75" customHeight="1">
      <c r="H7707" s="162"/>
    </row>
    <row r="7708" ht="15.75" customHeight="1">
      <c r="H7708" s="162"/>
    </row>
    <row r="7709" ht="15.75" customHeight="1">
      <c r="H7709" s="162"/>
    </row>
    <row r="7710" ht="15.75" customHeight="1">
      <c r="H7710" s="162"/>
    </row>
    <row r="7711" ht="15.75" customHeight="1">
      <c r="H7711" s="162"/>
    </row>
    <row r="7712" ht="15.75" customHeight="1">
      <c r="H7712" s="162"/>
    </row>
    <row r="7713" ht="15.75" customHeight="1">
      <c r="H7713" s="162"/>
    </row>
    <row r="7714" ht="15.75" customHeight="1">
      <c r="H7714" s="162"/>
    </row>
    <row r="7715" ht="15.75" customHeight="1">
      <c r="H7715" s="162"/>
    </row>
    <row r="7716" ht="15.75" customHeight="1">
      <c r="H7716" s="162"/>
    </row>
    <row r="7717" ht="15.75" customHeight="1">
      <c r="H7717" s="162"/>
    </row>
    <row r="7718" ht="15.75" customHeight="1">
      <c r="H7718" s="162"/>
    </row>
    <row r="7719" ht="15.75" customHeight="1">
      <c r="H7719" s="162"/>
    </row>
    <row r="7720" ht="15.75" customHeight="1">
      <c r="H7720" s="162"/>
    </row>
    <row r="7721" ht="15.75" customHeight="1">
      <c r="H7721" s="162"/>
    </row>
    <row r="7722" ht="15.75" customHeight="1">
      <c r="H7722" s="162"/>
    </row>
    <row r="7723" ht="15.75" customHeight="1">
      <c r="H7723" s="162"/>
    </row>
    <row r="7724" ht="15.75" customHeight="1">
      <c r="H7724" s="162"/>
    </row>
    <row r="7725" ht="15.75" customHeight="1">
      <c r="H7725" s="162"/>
    </row>
    <row r="7726" ht="15.75" customHeight="1">
      <c r="H7726" s="162"/>
    </row>
    <row r="7727" ht="15.75" customHeight="1">
      <c r="H7727" s="162"/>
    </row>
    <row r="7728" ht="15.75" customHeight="1">
      <c r="H7728" s="162"/>
    </row>
    <row r="7729" ht="15.75" customHeight="1">
      <c r="H7729" s="162"/>
    </row>
    <row r="7730" ht="15.75" customHeight="1">
      <c r="H7730" s="162"/>
    </row>
    <row r="7731" ht="15.75" customHeight="1">
      <c r="H7731" s="162"/>
    </row>
    <row r="7732" ht="15.75" customHeight="1">
      <c r="H7732" s="162"/>
    </row>
    <row r="7733" ht="15.75" customHeight="1">
      <c r="H7733" s="162"/>
    </row>
    <row r="7734" ht="15.75" customHeight="1">
      <c r="H7734" s="162"/>
    </row>
    <row r="7735" ht="15.75" customHeight="1">
      <c r="H7735" s="162"/>
    </row>
    <row r="7736" ht="15.75" customHeight="1">
      <c r="H7736" s="162"/>
    </row>
    <row r="7737" ht="15.75" customHeight="1">
      <c r="H7737" s="162"/>
    </row>
    <row r="7738" ht="15.75" customHeight="1">
      <c r="H7738" s="162"/>
    </row>
    <row r="7739" ht="15.75" customHeight="1">
      <c r="H7739" s="162"/>
    </row>
    <row r="7740" ht="15.75" customHeight="1">
      <c r="H7740" s="162"/>
    </row>
    <row r="7741" ht="15.75" customHeight="1">
      <c r="H7741" s="162"/>
    </row>
    <row r="7742" ht="15.75" customHeight="1">
      <c r="H7742" s="162"/>
    </row>
    <row r="7743" ht="15.75" customHeight="1">
      <c r="H7743" s="162"/>
    </row>
    <row r="7744" ht="15.75" customHeight="1">
      <c r="H7744" s="162"/>
    </row>
    <row r="7745" ht="15.75" customHeight="1">
      <c r="H7745" s="162"/>
    </row>
    <row r="7746" ht="15.75" customHeight="1">
      <c r="H7746" s="162"/>
    </row>
    <row r="7747" ht="15.75" customHeight="1">
      <c r="H7747" s="162"/>
    </row>
    <row r="7748" ht="15.75" customHeight="1">
      <c r="H7748" s="162"/>
    </row>
    <row r="7749" ht="15.75" customHeight="1">
      <c r="H7749" s="162"/>
    </row>
    <row r="7750" ht="15.75" customHeight="1">
      <c r="H7750" s="162"/>
    </row>
    <row r="7751" ht="15.75" customHeight="1">
      <c r="H7751" s="162"/>
    </row>
    <row r="7752" ht="15.75" customHeight="1">
      <c r="H7752" s="162"/>
    </row>
    <row r="7753" ht="15.75" customHeight="1">
      <c r="H7753" s="162"/>
    </row>
    <row r="7754" ht="15.75" customHeight="1">
      <c r="H7754" s="162"/>
    </row>
    <row r="7755" ht="15.75" customHeight="1">
      <c r="H7755" s="162"/>
    </row>
    <row r="7756" ht="15.75" customHeight="1">
      <c r="H7756" s="162"/>
    </row>
    <row r="7757" ht="15.75" customHeight="1">
      <c r="H7757" s="162"/>
    </row>
    <row r="7758" ht="15.75" customHeight="1">
      <c r="H7758" s="162"/>
    </row>
    <row r="7759" ht="15.75" customHeight="1">
      <c r="H7759" s="162"/>
    </row>
    <row r="7760" ht="15.75" customHeight="1">
      <c r="H7760" s="162"/>
    </row>
    <row r="7761" ht="15.75" customHeight="1">
      <c r="H7761" s="162"/>
    </row>
    <row r="7762" ht="15.75" customHeight="1">
      <c r="H7762" s="162"/>
    </row>
    <row r="7763" ht="15.75" customHeight="1">
      <c r="H7763" s="162"/>
    </row>
    <row r="7764" ht="15.75" customHeight="1">
      <c r="H7764" s="162"/>
    </row>
    <row r="7765" ht="15.75" customHeight="1">
      <c r="H7765" s="162"/>
    </row>
    <row r="7766" ht="15.75" customHeight="1">
      <c r="H7766" s="162"/>
    </row>
    <row r="7767" ht="15.75" customHeight="1">
      <c r="H7767" s="162"/>
    </row>
    <row r="7768" ht="15.75" customHeight="1">
      <c r="H7768" s="162"/>
    </row>
    <row r="7769" ht="15.75" customHeight="1">
      <c r="H7769" s="162"/>
    </row>
    <row r="7770" ht="15.75" customHeight="1">
      <c r="H7770" s="162"/>
    </row>
    <row r="7771" ht="15.75" customHeight="1">
      <c r="H7771" s="162"/>
    </row>
    <row r="7772" ht="15.75" customHeight="1">
      <c r="H7772" s="162"/>
    </row>
    <row r="7773" ht="15.75" customHeight="1">
      <c r="H7773" s="162"/>
    </row>
    <row r="7774" ht="15.75" customHeight="1">
      <c r="H7774" s="162"/>
    </row>
    <row r="7775" ht="15.75" customHeight="1">
      <c r="H7775" s="162"/>
    </row>
    <row r="7776" ht="15.75" customHeight="1">
      <c r="H7776" s="162"/>
    </row>
    <row r="7777" ht="15.75" customHeight="1">
      <c r="H7777" s="162"/>
    </row>
    <row r="7778" ht="15.75" customHeight="1">
      <c r="H7778" s="162"/>
    </row>
    <row r="7779" ht="15.75" customHeight="1">
      <c r="H7779" s="162"/>
    </row>
    <row r="7780" ht="15.75" customHeight="1">
      <c r="H7780" s="162"/>
    </row>
    <row r="7781" ht="15.75" customHeight="1">
      <c r="H7781" s="162"/>
    </row>
    <row r="7782" ht="15.75" customHeight="1">
      <c r="H7782" s="162"/>
    </row>
    <row r="7783" ht="15.75" customHeight="1">
      <c r="H7783" s="162"/>
    </row>
    <row r="7784" ht="15.75" customHeight="1">
      <c r="H7784" s="162"/>
    </row>
    <row r="7785" ht="15.75" customHeight="1">
      <c r="H7785" s="162"/>
    </row>
    <row r="7786" ht="15.75" customHeight="1">
      <c r="H7786" s="162"/>
    </row>
    <row r="7787" ht="15.75" customHeight="1">
      <c r="H7787" s="162"/>
    </row>
    <row r="7788" ht="15.75" customHeight="1">
      <c r="H7788" s="162"/>
    </row>
    <row r="7789" ht="15.75" customHeight="1">
      <c r="H7789" s="162"/>
    </row>
    <row r="7790" ht="15.75" customHeight="1">
      <c r="H7790" s="162"/>
    </row>
    <row r="7791" ht="15.75" customHeight="1">
      <c r="H7791" s="162"/>
    </row>
    <row r="7792" ht="15.75" customHeight="1">
      <c r="H7792" s="162"/>
    </row>
    <row r="7793" ht="15.75" customHeight="1">
      <c r="H7793" s="162"/>
    </row>
    <row r="7794" ht="15.75" customHeight="1">
      <c r="H7794" s="162"/>
    </row>
    <row r="7795" ht="15.75" customHeight="1">
      <c r="H7795" s="162"/>
    </row>
    <row r="7796" ht="15.75" customHeight="1">
      <c r="H7796" s="162"/>
    </row>
    <row r="7797" ht="15.75" customHeight="1">
      <c r="H7797" s="162"/>
    </row>
    <row r="7798" ht="15.75" customHeight="1">
      <c r="H7798" s="162"/>
    </row>
    <row r="7799" ht="15.75" customHeight="1">
      <c r="H7799" s="162"/>
    </row>
    <row r="7800" ht="15.75" customHeight="1">
      <c r="H7800" s="162"/>
    </row>
    <row r="7801" ht="15.75" customHeight="1">
      <c r="H7801" s="162"/>
    </row>
    <row r="7802" ht="15.75" customHeight="1">
      <c r="H7802" s="162"/>
    </row>
    <row r="7803" ht="15.75" customHeight="1">
      <c r="H7803" s="162"/>
    </row>
    <row r="7804" ht="15.75" customHeight="1">
      <c r="H7804" s="162"/>
    </row>
    <row r="7805" ht="15.75" customHeight="1">
      <c r="H7805" s="162"/>
    </row>
    <row r="7806" ht="15.75" customHeight="1">
      <c r="H7806" s="162"/>
    </row>
    <row r="7807" ht="15.75" customHeight="1">
      <c r="H7807" s="162"/>
    </row>
    <row r="7808" ht="15.75" customHeight="1">
      <c r="H7808" s="162"/>
    </row>
    <row r="7809" ht="15.75" customHeight="1">
      <c r="H7809" s="162"/>
    </row>
    <row r="7810" ht="15.75" customHeight="1">
      <c r="H7810" s="162"/>
    </row>
    <row r="7811" ht="15.75" customHeight="1">
      <c r="H7811" s="162"/>
    </row>
    <row r="7812" ht="15.75" customHeight="1">
      <c r="H7812" s="162"/>
    </row>
    <row r="7813" ht="15.75" customHeight="1">
      <c r="H7813" s="162"/>
    </row>
    <row r="7814" ht="15.75" customHeight="1">
      <c r="H7814" s="162"/>
    </row>
    <row r="7815" ht="15.75" customHeight="1">
      <c r="H7815" s="162"/>
    </row>
    <row r="7816" ht="15.75" customHeight="1">
      <c r="H7816" s="162"/>
    </row>
    <row r="7817" ht="15.75" customHeight="1">
      <c r="H7817" s="162"/>
    </row>
    <row r="7818" ht="15.75" customHeight="1">
      <c r="H7818" s="162"/>
    </row>
    <row r="7819" ht="15.75" customHeight="1">
      <c r="H7819" s="162"/>
    </row>
    <row r="7820" ht="15.75" customHeight="1">
      <c r="H7820" s="162"/>
    </row>
    <row r="7821" ht="15.75" customHeight="1">
      <c r="H7821" s="162"/>
    </row>
    <row r="7822" ht="15.75" customHeight="1">
      <c r="H7822" s="162"/>
    </row>
    <row r="7823" ht="15.75" customHeight="1">
      <c r="H7823" s="162"/>
    </row>
    <row r="7824" ht="15.75" customHeight="1">
      <c r="H7824" s="162"/>
    </row>
    <row r="7825" ht="15.75" customHeight="1">
      <c r="H7825" s="162"/>
    </row>
    <row r="7826" ht="15.75" customHeight="1">
      <c r="H7826" s="162"/>
    </row>
    <row r="7827" ht="15.75" customHeight="1">
      <c r="H7827" s="162"/>
    </row>
    <row r="7828" ht="15.75" customHeight="1">
      <c r="H7828" s="162"/>
    </row>
    <row r="7829" ht="15.75" customHeight="1">
      <c r="H7829" s="162"/>
    </row>
    <row r="7830" ht="15.75" customHeight="1">
      <c r="H7830" s="162"/>
    </row>
    <row r="7831" ht="15.75" customHeight="1">
      <c r="H7831" s="162"/>
    </row>
    <row r="7832" ht="15.75" customHeight="1">
      <c r="H7832" s="162"/>
    </row>
    <row r="7833" ht="15.75" customHeight="1">
      <c r="H7833" s="162"/>
    </row>
    <row r="7834" ht="15.75" customHeight="1">
      <c r="H7834" s="162"/>
    </row>
    <row r="7835" ht="15.75" customHeight="1">
      <c r="H7835" s="162"/>
    </row>
    <row r="7836" ht="15.75" customHeight="1">
      <c r="H7836" s="162"/>
    </row>
    <row r="7837" ht="15.75" customHeight="1">
      <c r="H7837" s="162"/>
    </row>
    <row r="7838" ht="15.75" customHeight="1">
      <c r="H7838" s="162"/>
    </row>
    <row r="7839" ht="15.75" customHeight="1">
      <c r="H7839" s="162"/>
    </row>
    <row r="7840" ht="15.75" customHeight="1">
      <c r="H7840" s="162"/>
    </row>
    <row r="7841" ht="15.75" customHeight="1">
      <c r="H7841" s="162"/>
    </row>
    <row r="7842" ht="15.75" customHeight="1">
      <c r="H7842" s="162"/>
    </row>
    <row r="7843" ht="15.75" customHeight="1">
      <c r="H7843" s="162"/>
    </row>
    <row r="7844" ht="15.75" customHeight="1">
      <c r="H7844" s="162"/>
    </row>
    <row r="7845" ht="15.75" customHeight="1">
      <c r="H7845" s="162"/>
    </row>
    <row r="7846" ht="15.75" customHeight="1">
      <c r="H7846" s="162"/>
    </row>
    <row r="7847" ht="15.75" customHeight="1">
      <c r="H7847" s="162"/>
    </row>
    <row r="7848" ht="15.75" customHeight="1">
      <c r="H7848" s="162"/>
    </row>
    <row r="7849" ht="15.75" customHeight="1">
      <c r="H7849" s="162"/>
    </row>
    <row r="7850" ht="15.75" customHeight="1">
      <c r="H7850" s="162"/>
    </row>
    <row r="7851" ht="15.75" customHeight="1">
      <c r="H7851" s="162"/>
    </row>
    <row r="7852" ht="15.75" customHeight="1">
      <c r="H7852" s="162"/>
    </row>
    <row r="7853" ht="15.75" customHeight="1">
      <c r="H7853" s="162"/>
    </row>
    <row r="7854" ht="15.75" customHeight="1">
      <c r="H7854" s="162"/>
    </row>
    <row r="7855" ht="15.75" customHeight="1">
      <c r="H7855" s="162"/>
    </row>
    <row r="7856" ht="15.75" customHeight="1">
      <c r="H7856" s="162"/>
    </row>
    <row r="7857" ht="15.75" customHeight="1">
      <c r="H7857" s="162"/>
    </row>
    <row r="7858" ht="15.75" customHeight="1">
      <c r="H7858" s="162"/>
    </row>
    <row r="7859" ht="15.75" customHeight="1">
      <c r="H7859" s="162"/>
    </row>
    <row r="7860" ht="15.75" customHeight="1">
      <c r="H7860" s="162"/>
    </row>
    <row r="7861" ht="15.75" customHeight="1">
      <c r="H7861" s="162"/>
    </row>
    <row r="7862" ht="15.75" customHeight="1">
      <c r="H7862" s="162"/>
    </row>
    <row r="7863" ht="15.75" customHeight="1">
      <c r="H7863" s="162"/>
    </row>
    <row r="7864" ht="15.75" customHeight="1">
      <c r="H7864" s="162"/>
    </row>
    <row r="7865" ht="15.75" customHeight="1">
      <c r="H7865" s="162"/>
    </row>
    <row r="7866" ht="15.75" customHeight="1">
      <c r="H7866" s="162"/>
    </row>
    <row r="7867" ht="15.75" customHeight="1">
      <c r="H7867" s="162"/>
    </row>
    <row r="7868" ht="15.75" customHeight="1">
      <c r="H7868" s="162"/>
    </row>
    <row r="7869" ht="15.75" customHeight="1">
      <c r="H7869" s="162"/>
    </row>
    <row r="7870" ht="15.75" customHeight="1">
      <c r="H7870" s="162"/>
    </row>
    <row r="7871" ht="15.75" customHeight="1">
      <c r="H7871" s="162"/>
    </row>
    <row r="7872" ht="15.75" customHeight="1">
      <c r="H7872" s="162"/>
    </row>
    <row r="7873" ht="15.75" customHeight="1">
      <c r="H7873" s="162"/>
    </row>
    <row r="7874" ht="15.75" customHeight="1">
      <c r="H7874" s="162"/>
    </row>
    <row r="7875" ht="15.75" customHeight="1">
      <c r="H7875" s="162"/>
    </row>
    <row r="7876" ht="15.75" customHeight="1">
      <c r="H7876" s="162"/>
    </row>
    <row r="7877" ht="15.75" customHeight="1">
      <c r="H7877" s="162"/>
    </row>
    <row r="7878" ht="15.75" customHeight="1">
      <c r="H7878" s="162"/>
    </row>
    <row r="7879" ht="15.75" customHeight="1">
      <c r="H7879" s="162"/>
    </row>
    <row r="7880" ht="15.75" customHeight="1">
      <c r="H7880" s="162"/>
    </row>
    <row r="7881" ht="15.75" customHeight="1">
      <c r="H7881" s="162"/>
    </row>
    <row r="7882" ht="15.75" customHeight="1">
      <c r="H7882" s="162"/>
    </row>
    <row r="7883" ht="15.75" customHeight="1">
      <c r="H7883" s="162"/>
    </row>
    <row r="7884" ht="15.75" customHeight="1">
      <c r="H7884" s="162"/>
    </row>
    <row r="7885" ht="15.75" customHeight="1">
      <c r="H7885" s="162"/>
    </row>
    <row r="7886" ht="15.75" customHeight="1">
      <c r="H7886" s="162"/>
    </row>
    <row r="7887" ht="15.75" customHeight="1">
      <c r="H7887" s="162"/>
    </row>
    <row r="7888" ht="15.75" customHeight="1">
      <c r="H7888" s="162"/>
    </row>
    <row r="7889" ht="15.75" customHeight="1">
      <c r="H7889" s="162"/>
    </row>
    <row r="7890" ht="15.75" customHeight="1">
      <c r="H7890" s="162"/>
    </row>
    <row r="7891" ht="15.75" customHeight="1">
      <c r="H7891" s="162"/>
    </row>
    <row r="7892" ht="15.75" customHeight="1">
      <c r="H7892" s="162"/>
    </row>
    <row r="7893" ht="15.75" customHeight="1">
      <c r="H7893" s="162"/>
    </row>
    <row r="7894" ht="15.75" customHeight="1">
      <c r="H7894" s="162"/>
    </row>
    <row r="7895" ht="15.75" customHeight="1">
      <c r="H7895" s="162"/>
    </row>
    <row r="7896" ht="15.75" customHeight="1">
      <c r="H7896" s="162"/>
    </row>
    <row r="7897" ht="15.75" customHeight="1">
      <c r="H7897" s="162"/>
    </row>
    <row r="7898" ht="15.75" customHeight="1">
      <c r="H7898" s="162"/>
    </row>
    <row r="7899" ht="15.75" customHeight="1">
      <c r="H7899" s="162"/>
    </row>
    <row r="7900" ht="15.75" customHeight="1">
      <c r="H7900" s="162"/>
    </row>
    <row r="7901" ht="15.75" customHeight="1">
      <c r="H7901" s="162"/>
    </row>
    <row r="7902" ht="15.75" customHeight="1">
      <c r="H7902" s="162"/>
    </row>
    <row r="7903" ht="15.75" customHeight="1">
      <c r="H7903" s="162"/>
    </row>
    <row r="7904" ht="15.75" customHeight="1">
      <c r="H7904" s="162"/>
    </row>
    <row r="7905" ht="15.75" customHeight="1">
      <c r="H7905" s="162"/>
    </row>
    <row r="7906" ht="15.75" customHeight="1">
      <c r="H7906" s="162"/>
    </row>
    <row r="7907" ht="15.75" customHeight="1">
      <c r="H7907" s="162"/>
    </row>
    <row r="7908" ht="15.75" customHeight="1">
      <c r="H7908" s="162"/>
    </row>
    <row r="7909" ht="15.75" customHeight="1">
      <c r="H7909" s="162"/>
    </row>
    <row r="7910" ht="15.75" customHeight="1">
      <c r="H7910" s="162"/>
    </row>
    <row r="7911" ht="15.75" customHeight="1">
      <c r="H7911" s="162"/>
    </row>
    <row r="7912" ht="15.75" customHeight="1">
      <c r="H7912" s="162"/>
    </row>
    <row r="7913" ht="15.75" customHeight="1">
      <c r="H7913" s="162"/>
    </row>
    <row r="7914" ht="15.75" customHeight="1">
      <c r="H7914" s="162"/>
    </row>
    <row r="7915" ht="15.75" customHeight="1">
      <c r="H7915" s="162"/>
    </row>
    <row r="7916" ht="15.75" customHeight="1">
      <c r="H7916" s="162"/>
    </row>
    <row r="7917" ht="15.75" customHeight="1">
      <c r="H7917" s="162"/>
    </row>
    <row r="7918" ht="15.75" customHeight="1">
      <c r="H7918" s="162"/>
    </row>
    <row r="7919" ht="15.75" customHeight="1">
      <c r="H7919" s="162"/>
    </row>
    <row r="7920" ht="15.75" customHeight="1">
      <c r="H7920" s="162"/>
    </row>
    <row r="7921" ht="15.75" customHeight="1">
      <c r="H7921" s="162"/>
    </row>
    <row r="7922" ht="15.75" customHeight="1">
      <c r="H7922" s="162"/>
    </row>
    <row r="7923" ht="15.75" customHeight="1">
      <c r="H7923" s="162"/>
    </row>
    <row r="7924" ht="15.75" customHeight="1">
      <c r="H7924" s="162"/>
    </row>
    <row r="7925" ht="15.75" customHeight="1">
      <c r="H7925" s="162"/>
    </row>
    <row r="7926" ht="15.75" customHeight="1">
      <c r="H7926" s="162"/>
    </row>
    <row r="7927" ht="15.75" customHeight="1">
      <c r="H7927" s="162"/>
    </row>
    <row r="7928" ht="15.75" customHeight="1">
      <c r="H7928" s="162"/>
    </row>
    <row r="7929" ht="15.75" customHeight="1">
      <c r="H7929" s="162"/>
    </row>
    <row r="7930" ht="15.75" customHeight="1">
      <c r="H7930" s="162"/>
    </row>
    <row r="7931" ht="15.75" customHeight="1">
      <c r="H7931" s="162"/>
    </row>
    <row r="7932" ht="15.75" customHeight="1">
      <c r="H7932" s="162"/>
    </row>
    <row r="7933" ht="15.75" customHeight="1">
      <c r="H7933" s="162"/>
    </row>
    <row r="7934" ht="15.75" customHeight="1">
      <c r="H7934" s="162"/>
    </row>
    <row r="7935" ht="15.75" customHeight="1">
      <c r="H7935" s="162"/>
    </row>
    <row r="7936" ht="15.75" customHeight="1">
      <c r="H7936" s="162"/>
    </row>
    <row r="7937" ht="15.75" customHeight="1">
      <c r="H7937" s="162"/>
    </row>
    <row r="7938" ht="15.75" customHeight="1">
      <c r="H7938" s="162"/>
    </row>
    <row r="7939" ht="15.75" customHeight="1">
      <c r="H7939" s="162"/>
    </row>
    <row r="7940" ht="15.75" customHeight="1">
      <c r="H7940" s="162"/>
    </row>
    <row r="7941" ht="15.75" customHeight="1">
      <c r="H7941" s="162"/>
    </row>
    <row r="7942" ht="15.75" customHeight="1">
      <c r="H7942" s="162"/>
    </row>
    <row r="7943" ht="15.75" customHeight="1">
      <c r="H7943" s="162"/>
    </row>
    <row r="7944" ht="15.75" customHeight="1">
      <c r="H7944" s="162"/>
    </row>
    <row r="7945" ht="15.75" customHeight="1">
      <c r="H7945" s="162"/>
    </row>
    <row r="7946" ht="15.75" customHeight="1">
      <c r="H7946" s="162"/>
    </row>
    <row r="7947" ht="15.75" customHeight="1">
      <c r="H7947" s="162"/>
    </row>
    <row r="7948" ht="15.75" customHeight="1">
      <c r="H7948" s="162"/>
    </row>
    <row r="7949" ht="15.75" customHeight="1">
      <c r="H7949" s="162"/>
    </row>
    <row r="7950" ht="15.75" customHeight="1">
      <c r="H7950" s="162"/>
    </row>
    <row r="7951" ht="15.75" customHeight="1">
      <c r="H7951" s="162"/>
    </row>
    <row r="7952" ht="15.75" customHeight="1">
      <c r="H7952" s="162"/>
    </row>
    <row r="7953" ht="15.75" customHeight="1">
      <c r="H7953" s="162"/>
    </row>
    <row r="7954" ht="15.75" customHeight="1">
      <c r="H7954" s="162"/>
    </row>
    <row r="7955" ht="15.75" customHeight="1">
      <c r="H7955" s="162"/>
    </row>
    <row r="7956" ht="15.75" customHeight="1">
      <c r="H7956" s="162"/>
    </row>
    <row r="7957" ht="15.75" customHeight="1">
      <c r="H7957" s="162"/>
    </row>
    <row r="7958" ht="15.75" customHeight="1">
      <c r="H7958" s="162"/>
    </row>
    <row r="7959" ht="15.75" customHeight="1">
      <c r="H7959" s="162"/>
    </row>
    <row r="7960" ht="15.75" customHeight="1">
      <c r="H7960" s="162"/>
    </row>
    <row r="7961" ht="15.75" customHeight="1">
      <c r="H7961" s="162"/>
    </row>
    <row r="7962" ht="15.75" customHeight="1">
      <c r="H7962" s="162"/>
    </row>
    <row r="7963" ht="15.75" customHeight="1">
      <c r="H7963" s="162"/>
    </row>
    <row r="7964" ht="15.75" customHeight="1">
      <c r="H7964" s="162"/>
    </row>
    <row r="7965" ht="15.75" customHeight="1">
      <c r="H7965" s="162"/>
    </row>
    <row r="7966" ht="15.75" customHeight="1">
      <c r="H7966" s="162"/>
    </row>
    <row r="7967" ht="15.75" customHeight="1">
      <c r="H7967" s="162"/>
    </row>
    <row r="7968" ht="15.75" customHeight="1">
      <c r="H7968" s="162"/>
    </row>
    <row r="7969" ht="15.75" customHeight="1">
      <c r="H7969" s="162"/>
    </row>
    <row r="7970" ht="15.75" customHeight="1">
      <c r="H7970" s="162"/>
    </row>
    <row r="7971" ht="15.75" customHeight="1">
      <c r="H7971" s="162"/>
    </row>
    <row r="7972" ht="15.75" customHeight="1">
      <c r="H7972" s="162"/>
    </row>
    <row r="7973" ht="15.75" customHeight="1">
      <c r="H7973" s="162"/>
    </row>
    <row r="7974" ht="15.75" customHeight="1">
      <c r="H7974" s="162"/>
    </row>
    <row r="7975" ht="15.75" customHeight="1">
      <c r="H7975" s="162"/>
    </row>
    <row r="7976" ht="15.75" customHeight="1">
      <c r="H7976" s="162"/>
    </row>
    <row r="7977" ht="15.75" customHeight="1">
      <c r="H7977" s="162"/>
    </row>
    <row r="7978" ht="15.75" customHeight="1">
      <c r="H7978" s="162"/>
    </row>
    <row r="7979" ht="15.75" customHeight="1">
      <c r="H7979" s="162"/>
    </row>
    <row r="7980" ht="15.75" customHeight="1">
      <c r="H7980" s="162"/>
    </row>
    <row r="7981" ht="15.75" customHeight="1">
      <c r="H7981" s="162"/>
    </row>
    <row r="7982" ht="15.75" customHeight="1">
      <c r="H7982" s="162"/>
    </row>
    <row r="7983" ht="15.75" customHeight="1">
      <c r="H7983" s="162"/>
    </row>
    <row r="7984" ht="15.75" customHeight="1">
      <c r="H7984" s="162"/>
    </row>
    <row r="7985" ht="15.75" customHeight="1">
      <c r="H7985" s="162"/>
    </row>
    <row r="7986" ht="15.75" customHeight="1">
      <c r="H7986" s="162"/>
    </row>
    <row r="7987" ht="15.75" customHeight="1">
      <c r="H7987" s="162"/>
    </row>
    <row r="7988" ht="15.75" customHeight="1">
      <c r="H7988" s="162"/>
    </row>
    <row r="7989" ht="15.75" customHeight="1">
      <c r="H7989" s="162"/>
    </row>
    <row r="7990" ht="15.75" customHeight="1">
      <c r="H7990" s="162"/>
    </row>
    <row r="7991" ht="15.75" customHeight="1">
      <c r="H7991" s="162"/>
    </row>
    <row r="7992" ht="15.75" customHeight="1">
      <c r="H7992" s="162"/>
    </row>
    <row r="7993" ht="15.75" customHeight="1">
      <c r="H7993" s="162"/>
    </row>
    <row r="7994" ht="15.75" customHeight="1">
      <c r="H7994" s="162"/>
    </row>
    <row r="7995" ht="15.75" customHeight="1">
      <c r="H7995" s="162"/>
    </row>
    <row r="7996" ht="15.75" customHeight="1">
      <c r="H7996" s="162"/>
    </row>
    <row r="7997" ht="15.75" customHeight="1">
      <c r="H7997" s="162"/>
    </row>
    <row r="7998" ht="15.75" customHeight="1">
      <c r="H7998" s="162"/>
    </row>
    <row r="7999" ht="15.75" customHeight="1">
      <c r="H7999" s="162"/>
    </row>
    <row r="8000" ht="15.75" customHeight="1">
      <c r="H8000" s="162"/>
    </row>
    <row r="8001" ht="15.75" customHeight="1">
      <c r="H8001" s="162"/>
    </row>
    <row r="8002" ht="15.75" customHeight="1">
      <c r="H8002" s="162"/>
    </row>
    <row r="8003" ht="15.75" customHeight="1">
      <c r="H8003" s="162"/>
    </row>
    <row r="8004" ht="15.75" customHeight="1">
      <c r="H8004" s="162"/>
    </row>
    <row r="8005" ht="15.75" customHeight="1">
      <c r="H8005" s="162"/>
    </row>
    <row r="8006" ht="15.75" customHeight="1">
      <c r="H8006" s="162"/>
    </row>
    <row r="8007" ht="15.75" customHeight="1">
      <c r="H8007" s="162"/>
    </row>
    <row r="8008" ht="15.75" customHeight="1">
      <c r="H8008" s="162"/>
    </row>
    <row r="8009" ht="15.75" customHeight="1">
      <c r="H8009" s="162"/>
    </row>
    <row r="8010" ht="15.75" customHeight="1">
      <c r="H8010" s="162"/>
    </row>
    <row r="8011" ht="15.75" customHeight="1">
      <c r="H8011" s="162"/>
    </row>
    <row r="8012" ht="15.75" customHeight="1">
      <c r="H8012" s="162"/>
    </row>
    <row r="8013" ht="15.75" customHeight="1">
      <c r="H8013" s="162"/>
    </row>
    <row r="8014" ht="15.75" customHeight="1">
      <c r="H8014" s="162"/>
    </row>
    <row r="8015" ht="15.75" customHeight="1">
      <c r="H8015" s="162"/>
    </row>
    <row r="8016" ht="15.75" customHeight="1">
      <c r="H8016" s="162"/>
    </row>
    <row r="8017" ht="15.75" customHeight="1">
      <c r="H8017" s="162"/>
    </row>
    <row r="8018" ht="15.75" customHeight="1">
      <c r="H8018" s="162"/>
    </row>
    <row r="8019" ht="15.75" customHeight="1">
      <c r="H8019" s="162"/>
    </row>
    <row r="8020" ht="15.75" customHeight="1">
      <c r="H8020" s="162"/>
    </row>
    <row r="8021" ht="15.75" customHeight="1">
      <c r="H8021" s="162"/>
    </row>
    <row r="8022" ht="15.75" customHeight="1">
      <c r="H8022" s="162"/>
    </row>
    <row r="8023" ht="15.75" customHeight="1">
      <c r="H8023" s="162"/>
    </row>
    <row r="8024" ht="15.75" customHeight="1">
      <c r="H8024" s="162"/>
    </row>
    <row r="8025" ht="15.75" customHeight="1">
      <c r="H8025" s="162"/>
    </row>
    <row r="8026" ht="15.75" customHeight="1">
      <c r="H8026" s="162"/>
    </row>
    <row r="8027" ht="15.75" customHeight="1">
      <c r="H8027" s="162"/>
    </row>
    <row r="8028" ht="15.75" customHeight="1">
      <c r="H8028" s="162"/>
    </row>
    <row r="8029" ht="15.75" customHeight="1">
      <c r="H8029" s="162"/>
    </row>
    <row r="8030" ht="15.75" customHeight="1">
      <c r="H8030" s="162"/>
    </row>
    <row r="8031" ht="15.75" customHeight="1">
      <c r="H8031" s="162"/>
    </row>
    <row r="8032" ht="15.75" customHeight="1">
      <c r="H8032" s="162"/>
    </row>
    <row r="8033" ht="15.75" customHeight="1">
      <c r="H8033" s="162"/>
    </row>
    <row r="8034" ht="15.75" customHeight="1">
      <c r="H8034" s="162"/>
    </row>
    <row r="8035" ht="15.75" customHeight="1">
      <c r="H8035" s="162"/>
    </row>
    <row r="8036" ht="15.75" customHeight="1">
      <c r="H8036" s="162"/>
    </row>
    <row r="8037" ht="15.75" customHeight="1">
      <c r="H8037" s="162"/>
    </row>
    <row r="8038" ht="15.75" customHeight="1">
      <c r="H8038" s="162"/>
    </row>
    <row r="8039" ht="15.75" customHeight="1">
      <c r="H8039" s="162"/>
    </row>
    <row r="8040" ht="15.75" customHeight="1">
      <c r="H8040" s="162"/>
    </row>
    <row r="8041" ht="15.75" customHeight="1">
      <c r="H8041" s="162"/>
    </row>
    <row r="8042" ht="15.75" customHeight="1">
      <c r="H8042" s="162"/>
    </row>
    <row r="8043" ht="15.75" customHeight="1">
      <c r="H8043" s="162"/>
    </row>
    <row r="8044" ht="15.75" customHeight="1">
      <c r="H8044" s="162"/>
    </row>
    <row r="8045" ht="15.75" customHeight="1">
      <c r="H8045" s="162"/>
    </row>
    <row r="8046" ht="15.75" customHeight="1">
      <c r="H8046" s="162"/>
    </row>
    <row r="8047" ht="15.75" customHeight="1">
      <c r="H8047" s="162"/>
    </row>
    <row r="8048" ht="15.75" customHeight="1">
      <c r="H8048" s="162"/>
    </row>
    <row r="8049" ht="15.75" customHeight="1">
      <c r="H8049" s="162"/>
    </row>
    <row r="8050" ht="15.75" customHeight="1">
      <c r="H8050" s="162"/>
    </row>
    <row r="8051" ht="15.75" customHeight="1">
      <c r="H8051" s="162"/>
    </row>
    <row r="8052" ht="15.75" customHeight="1">
      <c r="H8052" s="162"/>
    </row>
    <row r="8053" ht="15.75" customHeight="1">
      <c r="H8053" s="162"/>
    </row>
    <row r="8054" ht="15.75" customHeight="1">
      <c r="H8054" s="162"/>
    </row>
    <row r="8055" ht="15.75" customHeight="1">
      <c r="H8055" s="162"/>
    </row>
    <row r="8056" ht="15.75" customHeight="1">
      <c r="H8056" s="162"/>
    </row>
    <row r="8057" ht="15.75" customHeight="1">
      <c r="H8057" s="162"/>
    </row>
    <row r="8058" ht="15.75" customHeight="1">
      <c r="H8058" s="162"/>
    </row>
    <row r="8059" ht="15.75" customHeight="1">
      <c r="H8059" s="162"/>
    </row>
    <row r="8060" ht="15.75" customHeight="1">
      <c r="H8060" s="162"/>
    </row>
    <row r="8061" ht="15.75" customHeight="1">
      <c r="H8061" s="162"/>
    </row>
    <row r="8062" ht="15.75" customHeight="1">
      <c r="H8062" s="162"/>
    </row>
    <row r="8063" ht="15.75" customHeight="1">
      <c r="H8063" s="162"/>
    </row>
    <row r="8064" ht="15.75" customHeight="1">
      <c r="H8064" s="162"/>
    </row>
    <row r="8065" ht="15.75" customHeight="1">
      <c r="H8065" s="162"/>
    </row>
    <row r="8066" ht="15.75" customHeight="1">
      <c r="H8066" s="162"/>
    </row>
    <row r="8067" ht="15.75" customHeight="1">
      <c r="H8067" s="162"/>
    </row>
    <row r="8068" ht="15.75" customHeight="1">
      <c r="H8068" s="162"/>
    </row>
    <row r="8069" ht="15.75" customHeight="1">
      <c r="H8069" s="162"/>
    </row>
    <row r="8070" ht="15.75" customHeight="1">
      <c r="H8070" s="162"/>
    </row>
    <row r="8071" ht="15.75" customHeight="1">
      <c r="H8071" s="162"/>
    </row>
    <row r="8072" ht="15.75" customHeight="1">
      <c r="H8072" s="162"/>
    </row>
    <row r="8073" ht="15.75" customHeight="1">
      <c r="H8073" s="162"/>
    </row>
    <row r="8074" ht="15.75" customHeight="1">
      <c r="H8074" s="162"/>
    </row>
    <row r="8075" ht="15.75" customHeight="1">
      <c r="H8075" s="162"/>
    </row>
    <row r="8076" ht="15.75" customHeight="1">
      <c r="H8076" s="162"/>
    </row>
    <row r="8077" ht="15.75" customHeight="1">
      <c r="H8077" s="162"/>
    </row>
    <row r="8078" ht="15.75" customHeight="1">
      <c r="H8078" s="162"/>
    </row>
    <row r="8079" ht="15.75" customHeight="1">
      <c r="H8079" s="162"/>
    </row>
    <row r="8080" ht="15.75" customHeight="1">
      <c r="H8080" s="162"/>
    </row>
    <row r="8081" ht="15.75" customHeight="1">
      <c r="H8081" s="162"/>
    </row>
    <row r="8082" ht="15.75" customHeight="1">
      <c r="H8082" s="162"/>
    </row>
    <row r="8083" ht="15.75" customHeight="1">
      <c r="H8083" s="162"/>
    </row>
    <row r="8084" ht="15.75" customHeight="1">
      <c r="H8084" s="162"/>
    </row>
    <row r="8085" ht="15.75" customHeight="1">
      <c r="H8085" s="162"/>
    </row>
    <row r="8086" ht="15.75" customHeight="1">
      <c r="H8086" s="162"/>
    </row>
    <row r="8087" ht="15.75" customHeight="1">
      <c r="H8087" s="162"/>
    </row>
    <row r="8088" ht="15.75" customHeight="1">
      <c r="H8088" s="162"/>
    </row>
    <row r="8089" ht="15.75" customHeight="1">
      <c r="H8089" s="162"/>
    </row>
    <row r="8090" ht="15.75" customHeight="1">
      <c r="H8090" s="162"/>
    </row>
    <row r="8091" ht="15.75" customHeight="1">
      <c r="H8091" s="162"/>
    </row>
    <row r="8092" ht="15.75" customHeight="1">
      <c r="H8092" s="162"/>
    </row>
    <row r="8093" ht="15.75" customHeight="1">
      <c r="H8093" s="162"/>
    </row>
    <row r="8094" ht="15.75" customHeight="1">
      <c r="H8094" s="162"/>
    </row>
    <row r="8095" ht="15.75" customHeight="1">
      <c r="H8095" s="162"/>
    </row>
    <row r="8096" ht="15.75" customHeight="1">
      <c r="H8096" s="162"/>
    </row>
    <row r="8097" ht="15.75" customHeight="1">
      <c r="H8097" s="162"/>
    </row>
    <row r="8098" ht="15.75" customHeight="1">
      <c r="H8098" s="162"/>
    </row>
    <row r="8099" ht="15.75" customHeight="1">
      <c r="H8099" s="162"/>
    </row>
    <row r="8100" ht="15.75" customHeight="1">
      <c r="H8100" s="162"/>
    </row>
    <row r="8101" ht="15.75" customHeight="1">
      <c r="H8101" s="162"/>
    </row>
    <row r="8102" ht="15.75" customHeight="1">
      <c r="H8102" s="162"/>
    </row>
    <row r="8103" ht="15.75" customHeight="1">
      <c r="H8103" s="162"/>
    </row>
    <row r="8104" ht="15.75" customHeight="1">
      <c r="H8104" s="162"/>
    </row>
    <row r="8105" ht="15.75" customHeight="1">
      <c r="H8105" s="162"/>
    </row>
    <row r="8106" ht="15.75" customHeight="1">
      <c r="H8106" s="162"/>
    </row>
    <row r="8107" ht="15.75" customHeight="1">
      <c r="H8107" s="162"/>
    </row>
    <row r="8108" ht="15.75" customHeight="1">
      <c r="H8108" s="162"/>
    </row>
    <row r="8109" ht="15.75" customHeight="1">
      <c r="H8109" s="162"/>
    </row>
    <row r="8110" ht="15.75" customHeight="1">
      <c r="H8110" s="162"/>
    </row>
    <row r="8111" ht="15.75" customHeight="1">
      <c r="H8111" s="162"/>
    </row>
    <row r="8112" ht="15.75" customHeight="1">
      <c r="H8112" s="162"/>
    </row>
    <row r="8113" ht="15.75" customHeight="1">
      <c r="H8113" s="162"/>
    </row>
    <row r="8114" ht="15.75" customHeight="1">
      <c r="H8114" s="162"/>
    </row>
    <row r="8115" ht="15.75" customHeight="1">
      <c r="H8115" s="162"/>
    </row>
    <row r="8116" ht="15.75" customHeight="1">
      <c r="H8116" s="162"/>
    </row>
    <row r="8117" ht="15.75" customHeight="1">
      <c r="H8117" s="162"/>
    </row>
    <row r="8118" ht="15.75" customHeight="1">
      <c r="H8118" s="162"/>
    </row>
    <row r="8119" ht="15.75" customHeight="1">
      <c r="H8119" s="162"/>
    </row>
    <row r="8120" ht="15.75" customHeight="1">
      <c r="H8120" s="162"/>
    </row>
    <row r="8121" ht="15.75" customHeight="1">
      <c r="H8121" s="162"/>
    </row>
    <row r="8122" ht="15.75" customHeight="1">
      <c r="H8122" s="162"/>
    </row>
    <row r="8123" ht="15.75" customHeight="1">
      <c r="H8123" s="162"/>
    </row>
    <row r="8124" ht="15.75" customHeight="1">
      <c r="H8124" s="162"/>
    </row>
    <row r="8125" ht="15.75" customHeight="1">
      <c r="H8125" s="162"/>
    </row>
    <row r="8126" ht="15.75" customHeight="1">
      <c r="H8126" s="162"/>
    </row>
    <row r="8127" ht="15.75" customHeight="1">
      <c r="H8127" s="162"/>
    </row>
    <row r="8128" ht="15.75" customHeight="1">
      <c r="H8128" s="162"/>
    </row>
    <row r="8129" ht="15.75" customHeight="1">
      <c r="H8129" s="162"/>
    </row>
    <row r="8130" ht="15.75" customHeight="1">
      <c r="H8130" s="162"/>
    </row>
    <row r="8131" ht="15.75" customHeight="1">
      <c r="H8131" s="162"/>
    </row>
    <row r="8132" ht="15.75" customHeight="1">
      <c r="H8132" s="162"/>
    </row>
    <row r="8133" ht="15.75" customHeight="1">
      <c r="H8133" s="162"/>
    </row>
    <row r="8134" ht="15.75" customHeight="1">
      <c r="H8134" s="162"/>
    </row>
    <row r="8135" ht="15.75" customHeight="1">
      <c r="H8135" s="162"/>
    </row>
    <row r="8136" ht="15.75" customHeight="1">
      <c r="H8136" s="162"/>
    </row>
    <row r="8137" ht="15.75" customHeight="1">
      <c r="H8137" s="162"/>
    </row>
    <row r="8138" ht="15.75" customHeight="1">
      <c r="H8138" s="162"/>
    </row>
    <row r="8139" ht="15.75" customHeight="1">
      <c r="H8139" s="162"/>
    </row>
    <row r="8140" ht="15.75" customHeight="1">
      <c r="H8140" s="162"/>
    </row>
    <row r="8141" ht="15.75" customHeight="1">
      <c r="H8141" s="162"/>
    </row>
    <row r="8142" ht="15.75" customHeight="1">
      <c r="H8142" s="162"/>
    </row>
    <row r="8143" ht="15.75" customHeight="1">
      <c r="H8143" s="162"/>
    </row>
    <row r="8144" ht="15.75" customHeight="1">
      <c r="H8144" s="162"/>
    </row>
    <row r="8145" ht="15.75" customHeight="1">
      <c r="H8145" s="162"/>
    </row>
    <row r="8146" ht="15.75" customHeight="1">
      <c r="H8146" s="162"/>
    </row>
    <row r="8147" ht="15.75" customHeight="1">
      <c r="H8147" s="162"/>
    </row>
    <row r="8148" ht="15.75" customHeight="1">
      <c r="H8148" s="162"/>
    </row>
    <row r="8149" ht="15.75" customHeight="1">
      <c r="H8149" s="162"/>
    </row>
    <row r="8150" ht="15.75" customHeight="1">
      <c r="H8150" s="162"/>
    </row>
    <row r="8151" ht="15.75" customHeight="1">
      <c r="H8151" s="162"/>
    </row>
    <row r="8152" ht="15.75" customHeight="1">
      <c r="H8152" s="162"/>
    </row>
    <row r="8153" ht="15.75" customHeight="1">
      <c r="H8153" s="162"/>
    </row>
    <row r="8154" ht="15.75" customHeight="1">
      <c r="H8154" s="162"/>
    </row>
    <row r="8155" ht="15.75" customHeight="1">
      <c r="H8155" s="162"/>
    </row>
    <row r="8156" ht="15.75" customHeight="1">
      <c r="H8156" s="162"/>
    </row>
    <row r="8157" ht="15.75" customHeight="1">
      <c r="H8157" s="162"/>
    </row>
    <row r="8158" ht="15.75" customHeight="1">
      <c r="H8158" s="162"/>
    </row>
    <row r="8159" ht="15.75" customHeight="1">
      <c r="H8159" s="162"/>
    </row>
    <row r="8160" ht="15.75" customHeight="1">
      <c r="H8160" s="162"/>
    </row>
    <row r="8161" ht="15.75" customHeight="1">
      <c r="H8161" s="162"/>
    </row>
    <row r="8162" ht="15.75" customHeight="1">
      <c r="H8162" s="162"/>
    </row>
    <row r="8163" ht="15.75" customHeight="1">
      <c r="H8163" s="162"/>
    </row>
    <row r="8164" ht="15.75" customHeight="1">
      <c r="H8164" s="162"/>
    </row>
    <row r="8165" ht="15.75" customHeight="1">
      <c r="H8165" s="162"/>
    </row>
    <row r="8166" ht="15.75" customHeight="1">
      <c r="H8166" s="162"/>
    </row>
    <row r="8167" ht="15.75" customHeight="1">
      <c r="H8167" s="162"/>
    </row>
    <row r="8168" ht="15.75" customHeight="1">
      <c r="H8168" s="162"/>
    </row>
    <row r="8169" ht="15.75" customHeight="1">
      <c r="H8169" s="162"/>
    </row>
    <row r="8170" ht="15.75" customHeight="1">
      <c r="H8170" s="162"/>
    </row>
    <row r="8171" ht="15.75" customHeight="1">
      <c r="H8171" s="162"/>
    </row>
    <row r="8172" ht="15.75" customHeight="1">
      <c r="H8172" s="162"/>
    </row>
    <row r="8173" ht="15.75" customHeight="1">
      <c r="H8173" s="162"/>
    </row>
    <row r="8174" ht="15.75" customHeight="1">
      <c r="H8174" s="162"/>
    </row>
    <row r="8175" ht="15.75" customHeight="1">
      <c r="H8175" s="162"/>
    </row>
    <row r="8176" ht="15.75" customHeight="1">
      <c r="H8176" s="162"/>
    </row>
    <row r="8177" ht="15.75" customHeight="1">
      <c r="H8177" s="162"/>
    </row>
    <row r="8178" ht="15.75" customHeight="1">
      <c r="H8178" s="162"/>
    </row>
    <row r="8179" ht="15.75" customHeight="1">
      <c r="H8179" s="162"/>
    </row>
    <row r="8180" ht="15.75" customHeight="1">
      <c r="H8180" s="162"/>
    </row>
    <row r="8181" ht="15.75" customHeight="1">
      <c r="H8181" s="162"/>
    </row>
    <row r="8182" ht="15.75" customHeight="1">
      <c r="H8182" s="162"/>
    </row>
    <row r="8183" ht="15.75" customHeight="1">
      <c r="H8183" s="162"/>
    </row>
    <row r="8184" ht="15.75" customHeight="1">
      <c r="H8184" s="162"/>
    </row>
    <row r="8185" ht="15.75" customHeight="1">
      <c r="H8185" s="162"/>
    </row>
    <row r="8186" ht="15.75" customHeight="1">
      <c r="H8186" s="162"/>
    </row>
    <row r="8187" ht="15.75" customHeight="1">
      <c r="H8187" s="162"/>
    </row>
    <row r="8188" ht="15.75" customHeight="1">
      <c r="H8188" s="162"/>
    </row>
    <row r="8189" ht="15.75" customHeight="1">
      <c r="H8189" s="162"/>
    </row>
    <row r="8190" ht="15.75" customHeight="1">
      <c r="H8190" s="162"/>
    </row>
    <row r="8191" ht="15.75" customHeight="1">
      <c r="H8191" s="162"/>
    </row>
    <row r="8192" ht="15.75" customHeight="1">
      <c r="H8192" s="162"/>
    </row>
    <row r="8193" ht="15.75" customHeight="1">
      <c r="H8193" s="162"/>
    </row>
    <row r="8194" ht="15.75" customHeight="1">
      <c r="H8194" s="162"/>
    </row>
    <row r="8195" ht="15.75" customHeight="1">
      <c r="H8195" s="162"/>
    </row>
    <row r="8196" ht="15.75" customHeight="1">
      <c r="H8196" s="162"/>
    </row>
    <row r="8197" ht="15.75" customHeight="1">
      <c r="H8197" s="162"/>
    </row>
    <row r="8198" ht="15.75" customHeight="1">
      <c r="H8198" s="162"/>
    </row>
    <row r="8199" ht="15.75" customHeight="1">
      <c r="H8199" s="162"/>
    </row>
    <row r="8200" ht="15.75" customHeight="1">
      <c r="H8200" s="162"/>
    </row>
    <row r="8201" ht="15.75" customHeight="1">
      <c r="H8201" s="162"/>
    </row>
    <row r="8202" ht="15.75" customHeight="1">
      <c r="H8202" s="162"/>
    </row>
    <row r="8203" ht="15.75" customHeight="1">
      <c r="H8203" s="162"/>
    </row>
    <row r="8204" ht="15.75" customHeight="1">
      <c r="H8204" s="162"/>
    </row>
    <row r="8205" ht="15.75" customHeight="1">
      <c r="H8205" s="162"/>
    </row>
    <row r="8206" ht="15.75" customHeight="1">
      <c r="H8206" s="162"/>
    </row>
    <row r="8207" ht="15.75" customHeight="1">
      <c r="H8207" s="162"/>
    </row>
    <row r="8208" ht="15.75" customHeight="1">
      <c r="H8208" s="162"/>
    </row>
    <row r="8209" ht="15.75" customHeight="1">
      <c r="H8209" s="162"/>
    </row>
    <row r="8210" ht="15.75" customHeight="1">
      <c r="H8210" s="162"/>
    </row>
    <row r="8211" ht="15.75" customHeight="1">
      <c r="H8211" s="162"/>
    </row>
    <row r="8212" ht="15.75" customHeight="1">
      <c r="H8212" s="162"/>
    </row>
    <row r="8213" ht="15.75" customHeight="1">
      <c r="H8213" s="162"/>
    </row>
    <row r="8214" ht="15.75" customHeight="1">
      <c r="H8214" s="162"/>
    </row>
    <row r="8215" ht="15.75" customHeight="1">
      <c r="H8215" s="162"/>
    </row>
    <row r="8216" ht="15.75" customHeight="1">
      <c r="H8216" s="162"/>
    </row>
    <row r="8217" ht="15.75" customHeight="1">
      <c r="H8217" s="162"/>
    </row>
    <row r="8218" ht="15.75" customHeight="1">
      <c r="H8218" s="162"/>
    </row>
    <row r="8219" ht="15.75" customHeight="1">
      <c r="H8219" s="162"/>
    </row>
    <row r="8220" ht="15.75" customHeight="1">
      <c r="H8220" s="162"/>
    </row>
    <row r="8221" ht="15.75" customHeight="1">
      <c r="H8221" s="162"/>
    </row>
    <row r="8222" ht="15.75" customHeight="1">
      <c r="H8222" s="162"/>
    </row>
    <row r="8223" ht="15.75" customHeight="1">
      <c r="H8223" s="162"/>
    </row>
    <row r="8224" ht="15.75" customHeight="1">
      <c r="H8224" s="162"/>
    </row>
    <row r="8225" ht="15.75" customHeight="1">
      <c r="H8225" s="162"/>
    </row>
    <row r="8226" ht="15.75" customHeight="1">
      <c r="H8226" s="162"/>
    </row>
    <row r="8227" ht="15.75" customHeight="1">
      <c r="H8227" s="162"/>
    </row>
    <row r="8228" ht="15.75" customHeight="1">
      <c r="H8228" s="162"/>
    </row>
    <row r="8229" ht="15.75" customHeight="1">
      <c r="H8229" s="162"/>
    </row>
    <row r="8230" ht="15.75" customHeight="1">
      <c r="H8230" s="162"/>
    </row>
    <row r="8231" ht="15.75" customHeight="1">
      <c r="H8231" s="162"/>
    </row>
    <row r="8232" ht="15.75" customHeight="1">
      <c r="H8232" s="162"/>
    </row>
    <row r="8233" ht="15.75" customHeight="1">
      <c r="H8233" s="162"/>
    </row>
    <row r="8234" ht="15.75" customHeight="1">
      <c r="H8234" s="162"/>
    </row>
    <row r="8235" ht="15.75" customHeight="1">
      <c r="H8235" s="162"/>
    </row>
    <row r="8236" ht="15.75" customHeight="1">
      <c r="H8236" s="162"/>
    </row>
    <row r="8237" ht="15.75" customHeight="1">
      <c r="H8237" s="162"/>
    </row>
    <row r="8238" ht="15.75" customHeight="1">
      <c r="H8238" s="162"/>
    </row>
    <row r="8239" ht="15.75" customHeight="1">
      <c r="H8239" s="162"/>
    </row>
    <row r="8240" ht="15.75" customHeight="1">
      <c r="H8240" s="162"/>
    </row>
    <row r="8241" ht="15.75" customHeight="1">
      <c r="H8241" s="162"/>
    </row>
    <row r="8242" ht="15.75" customHeight="1">
      <c r="H8242" s="162"/>
    </row>
    <row r="8243" ht="15.75" customHeight="1">
      <c r="H8243" s="162"/>
    </row>
    <row r="8244" ht="15.75" customHeight="1">
      <c r="H8244" s="162"/>
    </row>
    <row r="8245" ht="15.75" customHeight="1">
      <c r="H8245" s="162"/>
    </row>
    <row r="8246" ht="15.75" customHeight="1">
      <c r="H8246" s="162"/>
    </row>
    <row r="8247" ht="15.75" customHeight="1">
      <c r="H8247" s="162"/>
    </row>
    <row r="8248" ht="15.75" customHeight="1">
      <c r="H8248" s="162"/>
    </row>
    <row r="8249" ht="15.75" customHeight="1">
      <c r="H8249" s="162"/>
    </row>
    <row r="8250" ht="15.75" customHeight="1">
      <c r="H8250" s="162"/>
    </row>
    <row r="8251" ht="15.75" customHeight="1">
      <c r="H8251" s="162"/>
    </row>
    <row r="8252" ht="15.75" customHeight="1">
      <c r="H8252" s="162"/>
    </row>
    <row r="8253" ht="15.75" customHeight="1">
      <c r="H8253" s="162"/>
    </row>
    <row r="8254" ht="15.75" customHeight="1">
      <c r="H8254" s="162"/>
    </row>
    <row r="8255" ht="15.75" customHeight="1">
      <c r="H8255" s="162"/>
    </row>
    <row r="8256" ht="15.75" customHeight="1">
      <c r="H8256" s="162"/>
    </row>
    <row r="8257" ht="15.75" customHeight="1">
      <c r="H8257" s="162"/>
    </row>
    <row r="8258" ht="15.75" customHeight="1">
      <c r="H8258" s="162"/>
    </row>
    <row r="8259" ht="15.75" customHeight="1">
      <c r="H8259" s="162"/>
    </row>
    <row r="8260" ht="15.75" customHeight="1">
      <c r="H8260" s="162"/>
    </row>
    <row r="8261" ht="15.75" customHeight="1">
      <c r="H8261" s="162"/>
    </row>
    <row r="8262" ht="15.75" customHeight="1">
      <c r="H8262" s="162"/>
    </row>
    <row r="8263" ht="15.75" customHeight="1">
      <c r="H8263" s="162"/>
    </row>
    <row r="8264" ht="15.75" customHeight="1">
      <c r="H8264" s="162"/>
    </row>
    <row r="8265" ht="15.75" customHeight="1">
      <c r="H8265" s="162"/>
    </row>
    <row r="8266" ht="15.75" customHeight="1">
      <c r="H8266" s="162"/>
    </row>
    <row r="8267" ht="15.75" customHeight="1">
      <c r="H8267" s="162"/>
    </row>
    <row r="8268" ht="15.75" customHeight="1">
      <c r="H8268" s="162"/>
    </row>
    <row r="8269" ht="15.75" customHeight="1">
      <c r="H8269" s="162"/>
    </row>
    <row r="8270" ht="15.75" customHeight="1">
      <c r="H8270" s="162"/>
    </row>
    <row r="8271" ht="15.75" customHeight="1">
      <c r="H8271" s="162"/>
    </row>
    <row r="8272" ht="15.75" customHeight="1">
      <c r="H8272" s="162"/>
    </row>
    <row r="8273" ht="15.75" customHeight="1">
      <c r="H8273" s="162"/>
    </row>
    <row r="8274" ht="15.75" customHeight="1">
      <c r="H8274" s="162"/>
    </row>
    <row r="8275" ht="15.75" customHeight="1">
      <c r="H8275" s="162"/>
    </row>
    <row r="8276" ht="15.75" customHeight="1">
      <c r="H8276" s="162"/>
    </row>
    <row r="8277" ht="15.75" customHeight="1">
      <c r="H8277" s="162"/>
    </row>
    <row r="8278" ht="15.75" customHeight="1">
      <c r="H8278" s="162"/>
    </row>
    <row r="8279" ht="15.75" customHeight="1">
      <c r="H8279" s="162"/>
    </row>
    <row r="8280" ht="15.75" customHeight="1">
      <c r="H8280" s="162"/>
    </row>
    <row r="8281" ht="15.75" customHeight="1">
      <c r="H8281" s="162"/>
    </row>
    <row r="8282" ht="15.75" customHeight="1">
      <c r="H8282" s="162"/>
    </row>
    <row r="8283" ht="15.75" customHeight="1">
      <c r="H8283" s="162"/>
    </row>
    <row r="8284" ht="15.75" customHeight="1">
      <c r="H8284" s="162"/>
    </row>
    <row r="8285" ht="15.75" customHeight="1">
      <c r="H8285" s="162"/>
    </row>
    <row r="8286" ht="15.75" customHeight="1">
      <c r="H8286" s="162"/>
    </row>
    <row r="8287" ht="15.75" customHeight="1">
      <c r="H8287" s="162"/>
    </row>
    <row r="8288" ht="15.75" customHeight="1">
      <c r="H8288" s="162"/>
    </row>
    <row r="8289" ht="15.75" customHeight="1">
      <c r="H8289" s="162"/>
    </row>
    <row r="8290" ht="15.75" customHeight="1">
      <c r="H8290" s="162"/>
    </row>
    <row r="8291" ht="15.75" customHeight="1">
      <c r="H8291" s="162"/>
    </row>
    <row r="8292" ht="15.75" customHeight="1">
      <c r="H8292" s="162"/>
    </row>
    <row r="8293" ht="15.75" customHeight="1">
      <c r="H8293" s="162"/>
    </row>
    <row r="8294" ht="15.75" customHeight="1">
      <c r="H8294" s="162"/>
    </row>
    <row r="8295" ht="15.75" customHeight="1">
      <c r="H8295" s="162"/>
    </row>
    <row r="8296" ht="15.75" customHeight="1">
      <c r="H8296" s="162"/>
    </row>
    <row r="8297" ht="15.75" customHeight="1">
      <c r="H8297" s="162"/>
    </row>
    <row r="8298" ht="15.75" customHeight="1">
      <c r="H8298" s="162"/>
    </row>
    <row r="8299" ht="15.75" customHeight="1">
      <c r="H8299" s="162"/>
    </row>
    <row r="8300" ht="15.75" customHeight="1">
      <c r="H8300" s="162"/>
    </row>
    <row r="8301" ht="15.75" customHeight="1">
      <c r="H8301" s="162"/>
    </row>
    <row r="8302" ht="15.75" customHeight="1">
      <c r="H8302" s="162"/>
    </row>
    <row r="8303" ht="15.75" customHeight="1">
      <c r="H8303" s="162"/>
    </row>
    <row r="8304" ht="15.75" customHeight="1">
      <c r="H8304" s="162"/>
    </row>
    <row r="8305" ht="15.75" customHeight="1">
      <c r="H8305" s="162"/>
    </row>
    <row r="8306" ht="15.75" customHeight="1">
      <c r="H8306" s="162"/>
    </row>
    <row r="8307" ht="15.75" customHeight="1">
      <c r="H8307" s="162"/>
    </row>
    <row r="8308" ht="15.75" customHeight="1">
      <c r="H8308" s="162"/>
    </row>
    <row r="8309" ht="15.75" customHeight="1">
      <c r="H8309" s="162"/>
    </row>
    <row r="8310" ht="15.75" customHeight="1">
      <c r="H8310" s="162"/>
    </row>
    <row r="8311" ht="15.75" customHeight="1">
      <c r="H8311" s="162"/>
    </row>
    <row r="8312" ht="15.75" customHeight="1">
      <c r="H8312" s="162"/>
    </row>
    <row r="8313" ht="15.75" customHeight="1">
      <c r="H8313" s="162"/>
    </row>
    <row r="8314" ht="15.75" customHeight="1">
      <c r="H8314" s="162"/>
    </row>
    <row r="8315" ht="15.75" customHeight="1">
      <c r="H8315" s="162"/>
    </row>
    <row r="8316" ht="15.75" customHeight="1">
      <c r="H8316" s="162"/>
    </row>
    <row r="8317" ht="15.75" customHeight="1">
      <c r="H8317" s="162"/>
    </row>
    <row r="8318" ht="15.75" customHeight="1">
      <c r="H8318" s="162"/>
    </row>
    <row r="8319" ht="15.75" customHeight="1">
      <c r="H8319" s="162"/>
    </row>
    <row r="8320" ht="15.75" customHeight="1">
      <c r="H8320" s="162"/>
    </row>
    <row r="8321" ht="15.75" customHeight="1">
      <c r="H8321" s="162"/>
    </row>
    <row r="8322" ht="15.75" customHeight="1">
      <c r="H8322" s="162"/>
    </row>
    <row r="8323" ht="15.75" customHeight="1">
      <c r="H8323" s="162"/>
    </row>
    <row r="8324" ht="15.75" customHeight="1">
      <c r="H8324" s="162"/>
    </row>
    <row r="8325" ht="15.75" customHeight="1">
      <c r="H8325" s="162"/>
    </row>
    <row r="8326" ht="15.75" customHeight="1">
      <c r="H8326" s="162"/>
    </row>
    <row r="8327" ht="15.75" customHeight="1">
      <c r="H8327" s="162"/>
    </row>
    <row r="8328" ht="15.75" customHeight="1">
      <c r="H8328" s="162"/>
    </row>
    <row r="8329" ht="15.75" customHeight="1">
      <c r="H8329" s="162"/>
    </row>
    <row r="8330" ht="15.75" customHeight="1">
      <c r="H8330" s="162"/>
    </row>
    <row r="8331" ht="15.75" customHeight="1">
      <c r="H8331" s="162"/>
    </row>
    <row r="8332" ht="15.75" customHeight="1">
      <c r="H8332" s="162"/>
    </row>
    <row r="8333" ht="15.75" customHeight="1">
      <c r="H8333" s="162"/>
    </row>
    <row r="8334" ht="15.75" customHeight="1">
      <c r="H8334" s="162"/>
    </row>
    <row r="8335" ht="15.75" customHeight="1">
      <c r="H8335" s="162"/>
    </row>
    <row r="8336" ht="15.75" customHeight="1">
      <c r="H8336" s="162"/>
    </row>
    <row r="8337" ht="15.75" customHeight="1">
      <c r="H8337" s="162"/>
    </row>
    <row r="8338" ht="15.75" customHeight="1">
      <c r="H8338" s="162"/>
    </row>
    <row r="8339" ht="15.75" customHeight="1">
      <c r="H8339" s="162"/>
    </row>
    <row r="8340" ht="15.75" customHeight="1">
      <c r="H8340" s="162"/>
    </row>
    <row r="8341" ht="15.75" customHeight="1">
      <c r="H8341" s="162"/>
    </row>
    <row r="8342" ht="15.75" customHeight="1">
      <c r="H8342" s="162"/>
    </row>
    <row r="8343" ht="15.75" customHeight="1">
      <c r="H8343" s="162"/>
    </row>
    <row r="8344" ht="15.75" customHeight="1">
      <c r="H8344" s="162"/>
    </row>
    <row r="8345" ht="15.75" customHeight="1">
      <c r="H8345" s="162"/>
    </row>
    <row r="8346" ht="15.75" customHeight="1">
      <c r="H8346" s="162"/>
    </row>
    <row r="8347" ht="15.75" customHeight="1">
      <c r="H8347" s="162"/>
    </row>
    <row r="8348" ht="15.75" customHeight="1">
      <c r="H8348" s="162"/>
    </row>
    <row r="8349" ht="15.75" customHeight="1">
      <c r="H8349" s="162"/>
    </row>
    <row r="8350" ht="15.75" customHeight="1">
      <c r="H8350" s="162"/>
    </row>
    <row r="8351" ht="15.75" customHeight="1">
      <c r="H8351" s="162"/>
    </row>
    <row r="8352" ht="15.75" customHeight="1">
      <c r="H8352" s="162"/>
    </row>
    <row r="8353" ht="15.75" customHeight="1">
      <c r="H8353" s="162"/>
    </row>
    <row r="8354" ht="15.75" customHeight="1">
      <c r="H8354" s="162"/>
    </row>
    <row r="8355" ht="15.75" customHeight="1">
      <c r="H8355" s="162"/>
    </row>
    <row r="8356" ht="15.75" customHeight="1">
      <c r="H8356" s="162"/>
    </row>
    <row r="8357" ht="15.75" customHeight="1">
      <c r="H8357" s="162"/>
    </row>
    <row r="8358" ht="15.75" customHeight="1">
      <c r="H8358" s="162"/>
    </row>
    <row r="8359" ht="15.75" customHeight="1">
      <c r="H8359" s="162"/>
    </row>
    <row r="8360" ht="15.75" customHeight="1">
      <c r="H8360" s="162"/>
    </row>
    <row r="8361" ht="15.75" customHeight="1">
      <c r="H8361" s="162"/>
    </row>
    <row r="8362" ht="15.75" customHeight="1">
      <c r="H8362" s="162"/>
    </row>
    <row r="8363" ht="15.75" customHeight="1">
      <c r="H8363" s="162"/>
    </row>
    <row r="8364" ht="15.75" customHeight="1">
      <c r="H8364" s="162"/>
    </row>
    <row r="8365" ht="15.75" customHeight="1">
      <c r="H8365" s="162"/>
    </row>
    <row r="8366" ht="15.75" customHeight="1">
      <c r="H8366" s="162"/>
    </row>
    <row r="8367" ht="15.75" customHeight="1">
      <c r="H8367" s="162"/>
    </row>
    <row r="8368" ht="15.75" customHeight="1">
      <c r="H8368" s="162"/>
    </row>
    <row r="8369" ht="15.75" customHeight="1">
      <c r="H8369" s="162"/>
    </row>
    <row r="8370" ht="15.75" customHeight="1">
      <c r="H8370" s="162"/>
    </row>
    <row r="8371" ht="15.75" customHeight="1">
      <c r="H8371" s="162"/>
    </row>
    <row r="8372" ht="15.75" customHeight="1">
      <c r="H8372" s="162"/>
    </row>
    <row r="8373" ht="15.75" customHeight="1">
      <c r="H8373" s="162"/>
    </row>
    <row r="8374" ht="15.75" customHeight="1">
      <c r="H8374" s="162"/>
    </row>
    <row r="8375" ht="15.75" customHeight="1">
      <c r="H8375" s="162"/>
    </row>
    <row r="8376" ht="15.75" customHeight="1">
      <c r="H8376" s="162"/>
    </row>
    <row r="8377" ht="15.75" customHeight="1">
      <c r="H8377" s="162"/>
    </row>
    <row r="8378" ht="15.75" customHeight="1">
      <c r="H8378" s="162"/>
    </row>
    <row r="8379" ht="15.75" customHeight="1">
      <c r="H8379" s="162"/>
    </row>
    <row r="8380" ht="15.75" customHeight="1">
      <c r="H8380" s="162"/>
    </row>
    <row r="8381" ht="15.75" customHeight="1">
      <c r="H8381" s="162"/>
    </row>
    <row r="8382" ht="15.75" customHeight="1">
      <c r="H8382" s="162"/>
    </row>
    <row r="8383" ht="15.75" customHeight="1">
      <c r="H8383" s="162"/>
    </row>
    <row r="8384" ht="15.75" customHeight="1">
      <c r="H8384" s="162"/>
    </row>
    <row r="8385" ht="15.75" customHeight="1">
      <c r="H8385" s="162"/>
    </row>
    <row r="8386" ht="15.75" customHeight="1">
      <c r="H8386" s="162"/>
    </row>
    <row r="8387" ht="15.75" customHeight="1">
      <c r="H8387" s="162"/>
    </row>
    <row r="8388" ht="15.75" customHeight="1">
      <c r="H8388" s="162"/>
    </row>
    <row r="8389" ht="15.75" customHeight="1">
      <c r="H8389" s="162"/>
    </row>
    <row r="8390" ht="15.75" customHeight="1">
      <c r="H8390" s="162"/>
    </row>
    <row r="8391" ht="15.75" customHeight="1">
      <c r="H8391" s="162"/>
    </row>
    <row r="8392" ht="15.75" customHeight="1">
      <c r="H8392" s="162"/>
    </row>
    <row r="8393" ht="15.75" customHeight="1">
      <c r="H8393" s="162"/>
    </row>
    <row r="8394" ht="15.75" customHeight="1">
      <c r="H8394" s="162"/>
    </row>
    <row r="8395" ht="15.75" customHeight="1">
      <c r="H8395" s="162"/>
    </row>
    <row r="8396" ht="15.75" customHeight="1">
      <c r="H8396" s="162"/>
    </row>
    <row r="8397" ht="15.75" customHeight="1">
      <c r="H8397" s="162"/>
    </row>
    <row r="8398" ht="15.75" customHeight="1">
      <c r="H8398" s="162"/>
    </row>
    <row r="8399" ht="15.75" customHeight="1">
      <c r="H8399" s="162"/>
    </row>
    <row r="8400" ht="15.75" customHeight="1">
      <c r="H8400" s="162"/>
    </row>
    <row r="8401" ht="15.75" customHeight="1">
      <c r="H8401" s="162"/>
    </row>
    <row r="8402" ht="15.75" customHeight="1">
      <c r="H8402" s="162"/>
    </row>
    <row r="8403" ht="15.75" customHeight="1">
      <c r="H8403" s="162"/>
    </row>
    <row r="8404" ht="15.75" customHeight="1">
      <c r="H8404" s="162"/>
    </row>
    <row r="8405" ht="15.75" customHeight="1">
      <c r="H8405" s="162"/>
    </row>
    <row r="8406" ht="15.75" customHeight="1">
      <c r="H8406" s="162"/>
    </row>
    <row r="8407" ht="15.75" customHeight="1">
      <c r="H8407" s="162"/>
    </row>
    <row r="8408" ht="15.75" customHeight="1">
      <c r="H8408" s="162"/>
    </row>
    <row r="8409" ht="15.75" customHeight="1">
      <c r="H8409" s="162"/>
    </row>
    <row r="8410" ht="15.75" customHeight="1">
      <c r="H8410" s="162"/>
    </row>
    <row r="8411" ht="15.75" customHeight="1">
      <c r="H8411" s="162"/>
    </row>
    <row r="8412" ht="15.75" customHeight="1">
      <c r="H8412" s="162"/>
    </row>
    <row r="8413" ht="15.75" customHeight="1">
      <c r="H8413" s="162"/>
    </row>
    <row r="8414" ht="15.75" customHeight="1">
      <c r="H8414" s="162"/>
    </row>
    <row r="8415" ht="15.75" customHeight="1">
      <c r="H8415" s="162"/>
    </row>
    <row r="8416" ht="15.75" customHeight="1">
      <c r="H8416" s="162"/>
    </row>
    <row r="8417" ht="15.75" customHeight="1">
      <c r="H8417" s="162"/>
    </row>
    <row r="8418" ht="15.75" customHeight="1">
      <c r="H8418" s="162"/>
    </row>
    <row r="8419" ht="15.75" customHeight="1">
      <c r="H8419" s="162"/>
    </row>
    <row r="8420" ht="15.75" customHeight="1">
      <c r="H8420" s="162"/>
    </row>
    <row r="8421" ht="15.75" customHeight="1">
      <c r="H8421" s="162"/>
    </row>
    <row r="8422" ht="15.75" customHeight="1">
      <c r="H8422" s="162"/>
    </row>
    <row r="8423" ht="15.75" customHeight="1">
      <c r="H8423" s="162"/>
    </row>
    <row r="8424" ht="15.75" customHeight="1">
      <c r="H8424" s="162"/>
    </row>
    <row r="8425" ht="15.75" customHeight="1">
      <c r="H8425" s="162"/>
    </row>
    <row r="8426" ht="15.75" customHeight="1">
      <c r="H8426" s="162"/>
    </row>
    <row r="8427" ht="15.75" customHeight="1">
      <c r="H8427" s="162"/>
    </row>
    <row r="8428" ht="15.75" customHeight="1">
      <c r="H8428" s="162"/>
    </row>
    <row r="8429" ht="15.75" customHeight="1">
      <c r="H8429" s="162"/>
    </row>
    <row r="8430" ht="15.75" customHeight="1">
      <c r="H8430" s="162"/>
    </row>
    <row r="8431" ht="15.75" customHeight="1">
      <c r="H8431" s="162"/>
    </row>
    <row r="8432" ht="15.75" customHeight="1">
      <c r="H8432" s="162"/>
    </row>
    <row r="8433" ht="15.75" customHeight="1">
      <c r="H8433" s="162"/>
    </row>
    <row r="8434" ht="15.75" customHeight="1">
      <c r="H8434" s="162"/>
    </row>
    <row r="8435" ht="15.75" customHeight="1">
      <c r="H8435" s="162"/>
    </row>
    <row r="8436" ht="15.75" customHeight="1">
      <c r="H8436" s="162"/>
    </row>
    <row r="8437" ht="15.75" customHeight="1">
      <c r="H8437" s="162"/>
    </row>
    <row r="8438" ht="15.75" customHeight="1">
      <c r="H8438" s="162"/>
    </row>
    <row r="8439" ht="15.75" customHeight="1">
      <c r="H8439" s="162"/>
    </row>
    <row r="8440" ht="15.75" customHeight="1">
      <c r="H8440" s="162"/>
    </row>
    <row r="8441" ht="15.75" customHeight="1">
      <c r="H8441" s="162"/>
    </row>
    <row r="8442" ht="15.75" customHeight="1">
      <c r="H8442" s="162"/>
    </row>
    <row r="8443" ht="15.75" customHeight="1">
      <c r="H8443" s="162"/>
    </row>
    <row r="8444" ht="15.75" customHeight="1">
      <c r="H8444" s="162"/>
    </row>
    <row r="8445" ht="15.75" customHeight="1">
      <c r="H8445" s="162"/>
    </row>
    <row r="8446" ht="15.75" customHeight="1">
      <c r="H8446" s="162"/>
    </row>
    <row r="8447" ht="15.75" customHeight="1">
      <c r="H8447" s="162"/>
    </row>
    <row r="8448" ht="15.75" customHeight="1">
      <c r="H8448" s="162"/>
    </row>
    <row r="8449" ht="15.75" customHeight="1">
      <c r="H8449" s="162"/>
    </row>
    <row r="8450" ht="15.75" customHeight="1">
      <c r="H8450" s="162"/>
    </row>
    <row r="8451" ht="15.75" customHeight="1">
      <c r="H8451" s="162"/>
    </row>
    <row r="8452" ht="15.75" customHeight="1">
      <c r="H8452" s="162"/>
    </row>
    <row r="8453" ht="15.75" customHeight="1">
      <c r="H8453" s="162"/>
    </row>
    <row r="8454" ht="15.75" customHeight="1">
      <c r="H8454" s="162"/>
    </row>
    <row r="8455" ht="15.75" customHeight="1">
      <c r="H8455" s="162"/>
    </row>
    <row r="8456" ht="15.75" customHeight="1">
      <c r="H8456" s="162"/>
    </row>
    <row r="8457" ht="15.75" customHeight="1">
      <c r="H8457" s="162"/>
    </row>
    <row r="8458" ht="15.75" customHeight="1">
      <c r="H8458" s="162"/>
    </row>
    <row r="8459" ht="15.75" customHeight="1">
      <c r="H8459" s="162"/>
    </row>
    <row r="8460" ht="15.75" customHeight="1">
      <c r="H8460" s="162"/>
    </row>
    <row r="8461" ht="15.75" customHeight="1">
      <c r="H8461" s="162"/>
    </row>
    <row r="8462" ht="15.75" customHeight="1">
      <c r="H8462" s="162"/>
    </row>
    <row r="8463" ht="15.75" customHeight="1">
      <c r="H8463" s="162"/>
    </row>
    <row r="8464" ht="15.75" customHeight="1">
      <c r="H8464" s="162"/>
    </row>
    <row r="8465" ht="15.75" customHeight="1">
      <c r="H8465" s="162"/>
    </row>
    <row r="8466" ht="15.75" customHeight="1">
      <c r="H8466" s="162"/>
    </row>
    <row r="8467" ht="15.75" customHeight="1">
      <c r="H8467" s="162"/>
    </row>
    <row r="8468" ht="15.75" customHeight="1">
      <c r="H8468" s="162"/>
    </row>
    <row r="8469" ht="15.75" customHeight="1">
      <c r="H8469" s="162"/>
    </row>
    <row r="8470" ht="15.75" customHeight="1">
      <c r="H8470" s="162"/>
    </row>
    <row r="8471" ht="15.75" customHeight="1">
      <c r="H8471" s="162"/>
    </row>
    <row r="8472" ht="15.75" customHeight="1">
      <c r="H8472" s="162"/>
    </row>
    <row r="8473" ht="15.75" customHeight="1">
      <c r="H8473" s="162"/>
    </row>
    <row r="8474" ht="15.75" customHeight="1">
      <c r="H8474" s="162"/>
    </row>
    <row r="8475" ht="15.75" customHeight="1">
      <c r="H8475" s="162"/>
    </row>
    <row r="8476" ht="15.75" customHeight="1">
      <c r="H8476" s="162"/>
    </row>
    <row r="8477" ht="15.75" customHeight="1">
      <c r="H8477" s="162"/>
    </row>
    <row r="8478" ht="15.75" customHeight="1">
      <c r="H8478" s="162"/>
    </row>
    <row r="8479" ht="15.75" customHeight="1">
      <c r="H8479" s="162"/>
    </row>
    <row r="8480" ht="15.75" customHeight="1">
      <c r="H8480" s="162"/>
    </row>
    <row r="8481" ht="15.75" customHeight="1">
      <c r="H8481" s="162"/>
    </row>
    <row r="8482" ht="15.75" customHeight="1">
      <c r="H8482" s="162"/>
    </row>
    <row r="8483" ht="15.75" customHeight="1">
      <c r="H8483" s="162"/>
    </row>
    <row r="8484" ht="15.75" customHeight="1">
      <c r="H8484" s="162"/>
    </row>
    <row r="8485" ht="15.75" customHeight="1">
      <c r="H8485" s="162"/>
    </row>
    <row r="8486" ht="15.75" customHeight="1">
      <c r="H8486" s="162"/>
    </row>
    <row r="8487" ht="15.75" customHeight="1">
      <c r="H8487" s="162"/>
    </row>
    <row r="8488" ht="15.75" customHeight="1">
      <c r="H8488" s="162"/>
    </row>
    <row r="8489" ht="15.75" customHeight="1">
      <c r="H8489" s="162"/>
    </row>
    <row r="8490" ht="15.75" customHeight="1">
      <c r="H8490" s="162"/>
    </row>
    <row r="8491" ht="15.75" customHeight="1">
      <c r="H8491" s="162"/>
    </row>
    <row r="8492" ht="15.75" customHeight="1">
      <c r="H8492" s="162"/>
    </row>
    <row r="8493" ht="15.75" customHeight="1">
      <c r="H8493" s="162"/>
    </row>
    <row r="8494" ht="15.75" customHeight="1">
      <c r="H8494" s="162"/>
    </row>
    <row r="8495" ht="15.75" customHeight="1">
      <c r="H8495" s="162"/>
    </row>
    <row r="8496" ht="15.75" customHeight="1">
      <c r="H8496" s="162"/>
    </row>
    <row r="8497" ht="15.75" customHeight="1">
      <c r="H8497" s="162"/>
    </row>
    <row r="8498" ht="15.75" customHeight="1">
      <c r="H8498" s="162"/>
    </row>
    <row r="8499" ht="15.75" customHeight="1">
      <c r="H8499" s="162"/>
    </row>
    <row r="8500" ht="15.75" customHeight="1">
      <c r="H8500" s="162"/>
    </row>
    <row r="8501" ht="15.75" customHeight="1">
      <c r="H8501" s="162"/>
    </row>
    <row r="8502" ht="15.75" customHeight="1">
      <c r="H8502" s="162"/>
    </row>
    <row r="8503" ht="15.75" customHeight="1">
      <c r="H8503" s="162"/>
    </row>
    <row r="8504" ht="15.75" customHeight="1">
      <c r="H8504" s="162"/>
    </row>
    <row r="8505" ht="15.75" customHeight="1">
      <c r="H8505" s="162"/>
    </row>
    <row r="8506" ht="15.75" customHeight="1">
      <c r="H8506" s="162"/>
    </row>
    <row r="8507" ht="15.75" customHeight="1">
      <c r="H8507" s="162"/>
    </row>
    <row r="8508" ht="15.75" customHeight="1">
      <c r="H8508" s="162"/>
    </row>
    <row r="8509" ht="15.75" customHeight="1">
      <c r="H8509" s="162"/>
    </row>
    <row r="8510" ht="15.75" customHeight="1">
      <c r="H8510" s="162"/>
    </row>
    <row r="8511" ht="15.75" customHeight="1">
      <c r="H8511" s="162"/>
    </row>
    <row r="8512" ht="15.75" customHeight="1">
      <c r="H8512" s="162"/>
    </row>
    <row r="8513" ht="15.75" customHeight="1">
      <c r="H8513" s="162"/>
    </row>
    <row r="8514" ht="15.75" customHeight="1">
      <c r="H8514" s="162"/>
    </row>
    <row r="8515" ht="15.75" customHeight="1">
      <c r="H8515" s="162"/>
    </row>
    <row r="8516" ht="15.75" customHeight="1">
      <c r="H8516" s="162"/>
    </row>
    <row r="8517" ht="15.75" customHeight="1">
      <c r="H8517" s="162"/>
    </row>
    <row r="8518" ht="15.75" customHeight="1">
      <c r="H8518" s="162"/>
    </row>
    <row r="8519" ht="15.75" customHeight="1">
      <c r="H8519" s="162"/>
    </row>
    <row r="8520" ht="15.75" customHeight="1">
      <c r="H8520" s="162"/>
    </row>
    <row r="8521" ht="15.75" customHeight="1">
      <c r="H8521" s="162"/>
    </row>
    <row r="8522" ht="15.75" customHeight="1">
      <c r="H8522" s="162"/>
    </row>
    <row r="8523" ht="15.75" customHeight="1">
      <c r="H8523" s="162"/>
    </row>
    <row r="8524" ht="15.75" customHeight="1">
      <c r="H8524" s="162"/>
    </row>
    <row r="8525" ht="15.75" customHeight="1">
      <c r="H8525" s="162"/>
    </row>
    <row r="8526" ht="15.75" customHeight="1">
      <c r="H8526" s="162"/>
    </row>
    <row r="8527" ht="15.75" customHeight="1">
      <c r="H8527" s="162"/>
    </row>
    <row r="8528" ht="15.75" customHeight="1">
      <c r="H8528" s="162"/>
    </row>
    <row r="8529" ht="15.75" customHeight="1">
      <c r="H8529" s="162"/>
    </row>
    <row r="8530" ht="15.75" customHeight="1">
      <c r="H8530" s="162"/>
    </row>
    <row r="8531" ht="15.75" customHeight="1">
      <c r="H8531" s="162"/>
    </row>
    <row r="8532" ht="15.75" customHeight="1">
      <c r="H8532" s="162"/>
    </row>
    <row r="8533" ht="15.75" customHeight="1">
      <c r="H8533" s="162"/>
    </row>
    <row r="8534" ht="15.75" customHeight="1">
      <c r="H8534" s="162"/>
    </row>
    <row r="8535" ht="15.75" customHeight="1">
      <c r="H8535" s="162"/>
    </row>
    <row r="8536" ht="15.75" customHeight="1">
      <c r="H8536" s="162"/>
    </row>
    <row r="8537" ht="15.75" customHeight="1">
      <c r="H8537" s="162"/>
    </row>
    <row r="8538" ht="15.75" customHeight="1">
      <c r="H8538" s="162"/>
    </row>
    <row r="8539" ht="15.75" customHeight="1">
      <c r="H8539" s="162"/>
    </row>
    <row r="8540" ht="15.75" customHeight="1">
      <c r="H8540" s="162"/>
    </row>
    <row r="8541" ht="15.75" customHeight="1">
      <c r="H8541" s="162"/>
    </row>
    <row r="8542" ht="15.75" customHeight="1">
      <c r="H8542" s="162"/>
    </row>
    <row r="8543" ht="15.75" customHeight="1">
      <c r="H8543" s="162"/>
    </row>
    <row r="8544" ht="15.75" customHeight="1">
      <c r="H8544" s="162"/>
    </row>
    <row r="8545" ht="15.75" customHeight="1">
      <c r="H8545" s="162"/>
    </row>
    <row r="8546" ht="15.75" customHeight="1">
      <c r="H8546" s="162"/>
    </row>
    <row r="8547" ht="15.75" customHeight="1">
      <c r="H8547" s="162"/>
    </row>
    <row r="8548" ht="15.75" customHeight="1">
      <c r="H8548" s="162"/>
    </row>
    <row r="8549" ht="15.75" customHeight="1">
      <c r="H8549" s="162"/>
    </row>
    <row r="8550" ht="15.75" customHeight="1">
      <c r="H8550" s="162"/>
    </row>
    <row r="8551" ht="15.75" customHeight="1">
      <c r="H8551" s="162"/>
    </row>
    <row r="8552" ht="15.75" customHeight="1">
      <c r="H8552" s="162"/>
    </row>
    <row r="8553" ht="15.75" customHeight="1">
      <c r="H8553" s="162"/>
    </row>
    <row r="8554" ht="15.75" customHeight="1">
      <c r="H8554" s="162"/>
    </row>
    <row r="8555" ht="15.75" customHeight="1">
      <c r="H8555" s="162"/>
    </row>
    <row r="8556" ht="15.75" customHeight="1">
      <c r="H8556" s="162"/>
    </row>
    <row r="8557" ht="15.75" customHeight="1">
      <c r="H8557" s="162"/>
    </row>
    <row r="8558" ht="15.75" customHeight="1">
      <c r="H8558" s="162"/>
    </row>
    <row r="8559" ht="15.75" customHeight="1">
      <c r="H8559" s="162"/>
    </row>
    <row r="8560" ht="15.75" customHeight="1">
      <c r="H8560" s="162"/>
    </row>
    <row r="8561" ht="15.75" customHeight="1">
      <c r="H8561" s="162"/>
    </row>
    <row r="8562" ht="15.75" customHeight="1">
      <c r="H8562" s="162"/>
    </row>
    <row r="8563" ht="15.75" customHeight="1">
      <c r="H8563" s="162"/>
    </row>
    <row r="8564" ht="15.75" customHeight="1">
      <c r="H8564" s="162"/>
    </row>
    <row r="8565" ht="15.75" customHeight="1">
      <c r="H8565" s="162"/>
    </row>
    <row r="8566" ht="15.75" customHeight="1">
      <c r="H8566" s="162"/>
    </row>
    <row r="8567" ht="15.75" customHeight="1">
      <c r="H8567" s="162"/>
    </row>
    <row r="8568" ht="15.75" customHeight="1">
      <c r="H8568" s="162"/>
    </row>
    <row r="8569" ht="15.75" customHeight="1">
      <c r="H8569" s="162"/>
    </row>
    <row r="8570" ht="15.75" customHeight="1">
      <c r="H8570" s="162"/>
    </row>
    <row r="8571" ht="15.75" customHeight="1">
      <c r="H8571" s="162"/>
    </row>
    <row r="8572" ht="15.75" customHeight="1">
      <c r="H8572" s="162"/>
    </row>
    <row r="8573" ht="15.75" customHeight="1">
      <c r="H8573" s="162"/>
    </row>
    <row r="8574" ht="15.75" customHeight="1">
      <c r="H8574" s="162"/>
    </row>
    <row r="8575" ht="15.75" customHeight="1">
      <c r="H8575" s="162"/>
    </row>
    <row r="8576" ht="15.75" customHeight="1">
      <c r="H8576" s="162"/>
    </row>
    <row r="8577" ht="15.75" customHeight="1">
      <c r="H8577" s="162"/>
    </row>
    <row r="8578" ht="15.75" customHeight="1">
      <c r="H8578" s="162"/>
    </row>
    <row r="8579" ht="15.75" customHeight="1">
      <c r="H8579" s="162"/>
    </row>
    <row r="8580" ht="15.75" customHeight="1">
      <c r="H8580" s="162"/>
    </row>
    <row r="8581" ht="15.75" customHeight="1">
      <c r="H8581" s="162"/>
    </row>
    <row r="8582" ht="15.75" customHeight="1">
      <c r="H8582" s="162"/>
    </row>
    <row r="8583" ht="15.75" customHeight="1">
      <c r="H8583" s="162"/>
    </row>
    <row r="8584" ht="15.75" customHeight="1">
      <c r="H8584" s="162"/>
    </row>
    <row r="8585" ht="15.75" customHeight="1">
      <c r="H8585" s="162"/>
    </row>
    <row r="8586" ht="15.75" customHeight="1">
      <c r="H8586" s="162"/>
    </row>
    <row r="8587" ht="15.75" customHeight="1">
      <c r="H8587" s="162"/>
    </row>
    <row r="8588" ht="15.75" customHeight="1">
      <c r="H8588" s="162"/>
    </row>
    <row r="8589" ht="15.75" customHeight="1">
      <c r="H8589" s="162"/>
    </row>
    <row r="8590" ht="15.75" customHeight="1">
      <c r="H8590" s="162"/>
    </row>
    <row r="8591" ht="15.75" customHeight="1">
      <c r="H8591" s="162"/>
    </row>
    <row r="8592" ht="15.75" customHeight="1">
      <c r="H8592" s="162"/>
    </row>
    <row r="8593" ht="15.75" customHeight="1">
      <c r="H8593" s="162"/>
    </row>
    <row r="8594" ht="15.75" customHeight="1">
      <c r="H8594" s="162"/>
    </row>
    <row r="8595" ht="15.75" customHeight="1">
      <c r="H8595" s="162"/>
    </row>
    <row r="8596" ht="15.75" customHeight="1">
      <c r="H8596" s="162"/>
    </row>
    <row r="8597" ht="15.75" customHeight="1">
      <c r="H8597" s="162"/>
    </row>
    <row r="8598" ht="15.75" customHeight="1">
      <c r="H8598" s="162"/>
    </row>
    <row r="8599" ht="15.75" customHeight="1">
      <c r="H8599" s="162"/>
    </row>
    <row r="8600" ht="15.75" customHeight="1">
      <c r="H8600" s="162"/>
    </row>
    <row r="8601" ht="15.75" customHeight="1">
      <c r="H8601" s="162"/>
    </row>
    <row r="8602" ht="15.75" customHeight="1">
      <c r="H8602" s="162"/>
    </row>
    <row r="8603" ht="15.75" customHeight="1">
      <c r="H8603" s="162"/>
    </row>
    <row r="8604" ht="15.75" customHeight="1">
      <c r="H8604" s="162"/>
    </row>
    <row r="8605" ht="15.75" customHeight="1">
      <c r="H8605" s="162"/>
    </row>
    <row r="8606" ht="15.75" customHeight="1">
      <c r="H8606" s="162"/>
    </row>
    <row r="8607" ht="15.75" customHeight="1">
      <c r="H8607" s="162"/>
    </row>
    <row r="8608" ht="15.75" customHeight="1">
      <c r="H8608" s="162"/>
    </row>
    <row r="8609" ht="15.75" customHeight="1">
      <c r="H8609" s="162"/>
    </row>
    <row r="8610" ht="15.75" customHeight="1">
      <c r="H8610" s="162"/>
    </row>
    <row r="8611" ht="15.75" customHeight="1">
      <c r="H8611" s="162"/>
    </row>
    <row r="8612" ht="15.75" customHeight="1">
      <c r="H8612" s="162"/>
    </row>
    <row r="8613" ht="15.75" customHeight="1">
      <c r="H8613" s="162"/>
    </row>
    <row r="8614" ht="15.75" customHeight="1">
      <c r="H8614" s="162"/>
    </row>
    <row r="8615" ht="15.75" customHeight="1">
      <c r="H8615" s="162"/>
    </row>
    <row r="8616" ht="15.75" customHeight="1">
      <c r="H8616" s="162"/>
    </row>
    <row r="8617" ht="15.75" customHeight="1">
      <c r="H8617" s="162"/>
    </row>
    <row r="8618" ht="15.75" customHeight="1">
      <c r="H8618" s="162"/>
    </row>
    <row r="8619" ht="15.75" customHeight="1">
      <c r="H8619" s="162"/>
    </row>
    <row r="8620" ht="15.75" customHeight="1">
      <c r="H8620" s="162"/>
    </row>
    <row r="8621" ht="15.75" customHeight="1">
      <c r="H8621" s="162"/>
    </row>
    <row r="8622" ht="15.75" customHeight="1">
      <c r="H8622" s="162"/>
    </row>
    <row r="8623" ht="15.75" customHeight="1">
      <c r="H8623" s="162"/>
    </row>
    <row r="8624" ht="15.75" customHeight="1">
      <c r="H8624" s="162"/>
    </row>
    <row r="8625" ht="15.75" customHeight="1">
      <c r="H8625" s="162"/>
    </row>
    <row r="8626" ht="15.75" customHeight="1">
      <c r="H8626" s="162"/>
    </row>
    <row r="8627" ht="15.75" customHeight="1">
      <c r="H8627" s="162"/>
    </row>
    <row r="8628" ht="15.75" customHeight="1">
      <c r="H8628" s="162"/>
    </row>
    <row r="8629" ht="15.75" customHeight="1">
      <c r="H8629" s="162"/>
    </row>
    <row r="8630" ht="15.75" customHeight="1">
      <c r="H8630" s="162"/>
    </row>
    <row r="8631" ht="15.75" customHeight="1">
      <c r="H8631" s="162"/>
    </row>
    <row r="8632" ht="15.75" customHeight="1">
      <c r="H8632" s="162"/>
    </row>
    <row r="8633" ht="15.75" customHeight="1">
      <c r="H8633" s="162"/>
    </row>
    <row r="8634" ht="15.75" customHeight="1">
      <c r="H8634" s="162"/>
    </row>
    <row r="8635" ht="15.75" customHeight="1">
      <c r="H8635" s="162"/>
    </row>
    <row r="8636" ht="15.75" customHeight="1">
      <c r="H8636" s="162"/>
    </row>
    <row r="8637" ht="15.75" customHeight="1">
      <c r="H8637" s="162"/>
    </row>
    <row r="8638" ht="15.75" customHeight="1">
      <c r="H8638" s="162"/>
    </row>
    <row r="8639" ht="15.75" customHeight="1">
      <c r="H8639" s="162"/>
    </row>
    <row r="8640" ht="15.75" customHeight="1">
      <c r="H8640" s="162"/>
    </row>
    <row r="8641" ht="15.75" customHeight="1">
      <c r="H8641" s="162"/>
    </row>
    <row r="8642" ht="15.75" customHeight="1">
      <c r="H8642" s="162"/>
    </row>
    <row r="8643" ht="15.75" customHeight="1">
      <c r="H8643" s="162"/>
    </row>
    <row r="8644" ht="15.75" customHeight="1">
      <c r="H8644" s="162"/>
    </row>
    <row r="8645" ht="15.75" customHeight="1">
      <c r="H8645" s="162"/>
    </row>
    <row r="8646" ht="15.75" customHeight="1">
      <c r="H8646" s="162"/>
    </row>
    <row r="8647" ht="15.75" customHeight="1">
      <c r="H8647" s="162"/>
    </row>
    <row r="8648" ht="15.75" customHeight="1">
      <c r="H8648" s="162"/>
    </row>
    <row r="8649" ht="15.75" customHeight="1">
      <c r="H8649" s="162"/>
    </row>
    <row r="8650" ht="15.75" customHeight="1">
      <c r="H8650" s="162"/>
    </row>
    <row r="8651" ht="15.75" customHeight="1">
      <c r="H8651" s="162"/>
    </row>
    <row r="8652" ht="15.75" customHeight="1">
      <c r="H8652" s="162"/>
    </row>
    <row r="8653" ht="15.75" customHeight="1">
      <c r="H8653" s="162"/>
    </row>
    <row r="8654" ht="15.75" customHeight="1">
      <c r="H8654" s="162"/>
    </row>
    <row r="8655" ht="15.75" customHeight="1">
      <c r="H8655" s="162"/>
    </row>
    <row r="8656" ht="15.75" customHeight="1">
      <c r="H8656" s="162"/>
    </row>
    <row r="8657" ht="15.75" customHeight="1">
      <c r="H8657" s="162"/>
    </row>
    <row r="8658" ht="15.75" customHeight="1">
      <c r="H8658" s="162"/>
    </row>
    <row r="8659" ht="15.75" customHeight="1">
      <c r="H8659" s="162"/>
    </row>
    <row r="8660" ht="15.75" customHeight="1">
      <c r="H8660" s="162"/>
    </row>
    <row r="8661" ht="15.75" customHeight="1">
      <c r="H8661" s="162"/>
    </row>
    <row r="8662" ht="15.75" customHeight="1">
      <c r="H8662" s="162"/>
    </row>
    <row r="8663" ht="15.75" customHeight="1">
      <c r="H8663" s="162"/>
    </row>
    <row r="8664" ht="15.75" customHeight="1">
      <c r="H8664" s="162"/>
    </row>
    <row r="8665" ht="15.75" customHeight="1">
      <c r="H8665" s="162"/>
    </row>
    <row r="8666" ht="15.75" customHeight="1">
      <c r="H8666" s="162"/>
    </row>
    <row r="8667" ht="15.75" customHeight="1">
      <c r="H8667" s="162"/>
    </row>
    <row r="8668" ht="15.75" customHeight="1">
      <c r="H8668" s="162"/>
    </row>
    <row r="8669" ht="15.75" customHeight="1">
      <c r="H8669" s="162"/>
    </row>
    <row r="8670" ht="15.75" customHeight="1">
      <c r="H8670" s="162"/>
    </row>
    <row r="8671" ht="15.75" customHeight="1">
      <c r="H8671" s="162"/>
    </row>
    <row r="8672" ht="15.75" customHeight="1">
      <c r="H8672" s="162"/>
    </row>
    <row r="8673" ht="15.75" customHeight="1">
      <c r="H8673" s="162"/>
    </row>
    <row r="8674" ht="15.75" customHeight="1">
      <c r="H8674" s="162"/>
    </row>
    <row r="8675" ht="15.75" customHeight="1">
      <c r="H8675" s="162"/>
    </row>
    <row r="8676" ht="15.75" customHeight="1">
      <c r="H8676" s="162"/>
    </row>
    <row r="8677" ht="15.75" customHeight="1">
      <c r="H8677" s="162"/>
    </row>
    <row r="8678" ht="15.75" customHeight="1">
      <c r="H8678" s="162"/>
    </row>
    <row r="8679" ht="15.75" customHeight="1">
      <c r="H8679" s="162"/>
    </row>
    <row r="8680" ht="15.75" customHeight="1">
      <c r="H8680" s="162"/>
    </row>
    <row r="8681" ht="15.75" customHeight="1">
      <c r="H8681" s="162"/>
    </row>
    <row r="8682" ht="15.75" customHeight="1">
      <c r="H8682" s="162"/>
    </row>
    <row r="8683" ht="15.75" customHeight="1">
      <c r="H8683" s="162"/>
    </row>
    <row r="8684" ht="15.75" customHeight="1">
      <c r="H8684" s="162"/>
    </row>
    <row r="8685" ht="15.75" customHeight="1">
      <c r="H8685" s="162"/>
    </row>
    <row r="8686" ht="15.75" customHeight="1">
      <c r="H8686" s="162"/>
    </row>
    <row r="8687" ht="15.75" customHeight="1">
      <c r="H8687" s="162"/>
    </row>
    <row r="8688" ht="15.75" customHeight="1">
      <c r="H8688" s="162"/>
    </row>
    <row r="8689" ht="15.75" customHeight="1">
      <c r="H8689" s="162"/>
    </row>
    <row r="8690" ht="15.75" customHeight="1">
      <c r="H8690" s="162"/>
    </row>
    <row r="8691" ht="15.75" customHeight="1">
      <c r="H8691" s="162"/>
    </row>
    <row r="8692" ht="15.75" customHeight="1">
      <c r="H8692" s="162"/>
    </row>
    <row r="8693" ht="15.75" customHeight="1">
      <c r="H8693" s="162"/>
    </row>
    <row r="8694" ht="15.75" customHeight="1">
      <c r="H8694" s="162"/>
    </row>
    <row r="8695" ht="15.75" customHeight="1">
      <c r="H8695" s="162"/>
    </row>
    <row r="8696" ht="15.75" customHeight="1">
      <c r="H8696" s="162"/>
    </row>
    <row r="8697" ht="15.75" customHeight="1">
      <c r="H8697" s="162"/>
    </row>
    <row r="8698" ht="15.75" customHeight="1">
      <c r="H8698" s="162"/>
    </row>
    <row r="8699" ht="15.75" customHeight="1">
      <c r="H8699" s="162"/>
    </row>
    <row r="8700" ht="15.75" customHeight="1">
      <c r="H8700" s="162"/>
    </row>
    <row r="8701" ht="15.75" customHeight="1">
      <c r="H8701" s="162"/>
    </row>
    <row r="8702" ht="15.75" customHeight="1">
      <c r="H8702" s="162"/>
    </row>
    <row r="8703" ht="15.75" customHeight="1">
      <c r="H8703" s="162"/>
    </row>
    <row r="8704" ht="15.75" customHeight="1">
      <c r="H8704" s="162"/>
    </row>
    <row r="8705" ht="15.75" customHeight="1">
      <c r="H8705" s="162"/>
    </row>
    <row r="8706" ht="15.75" customHeight="1">
      <c r="H8706" s="162"/>
    </row>
    <row r="8707" ht="15.75" customHeight="1">
      <c r="H8707" s="162"/>
    </row>
    <row r="8708" ht="15.75" customHeight="1">
      <c r="H8708" s="162"/>
    </row>
    <row r="8709" ht="15.75" customHeight="1">
      <c r="H8709" s="162"/>
    </row>
    <row r="8710" ht="15.75" customHeight="1">
      <c r="H8710" s="162"/>
    </row>
    <row r="8711" ht="15.75" customHeight="1">
      <c r="H8711" s="162"/>
    </row>
    <row r="8712" ht="15.75" customHeight="1">
      <c r="H8712" s="162"/>
    </row>
    <row r="8713" ht="15.75" customHeight="1">
      <c r="H8713" s="162"/>
    </row>
    <row r="8714" ht="15.75" customHeight="1">
      <c r="H8714" s="162"/>
    </row>
    <row r="8715" ht="15.75" customHeight="1">
      <c r="H8715" s="162"/>
    </row>
    <row r="8716" ht="15.75" customHeight="1">
      <c r="H8716" s="162"/>
    </row>
    <row r="8717" ht="15.75" customHeight="1">
      <c r="H8717" s="162"/>
    </row>
    <row r="8718" ht="15.75" customHeight="1">
      <c r="H8718" s="162"/>
    </row>
    <row r="8719" ht="15.75" customHeight="1">
      <c r="H8719" s="162"/>
    </row>
    <row r="8720" ht="15.75" customHeight="1">
      <c r="H8720" s="162"/>
    </row>
    <row r="8721" ht="15.75" customHeight="1">
      <c r="H8721" s="162"/>
    </row>
    <row r="8722" ht="15.75" customHeight="1">
      <c r="H8722" s="162"/>
    </row>
    <row r="8723" ht="15.75" customHeight="1">
      <c r="H8723" s="162"/>
    </row>
    <row r="8724" ht="15.75" customHeight="1">
      <c r="H8724" s="162"/>
    </row>
    <row r="8725" ht="15.75" customHeight="1">
      <c r="H8725" s="162"/>
    </row>
    <row r="8726" ht="15.75" customHeight="1">
      <c r="H8726" s="162"/>
    </row>
    <row r="8727" ht="15.75" customHeight="1">
      <c r="H8727" s="162"/>
    </row>
    <row r="8728" ht="15.75" customHeight="1">
      <c r="H8728" s="162"/>
    </row>
    <row r="8729" ht="15.75" customHeight="1">
      <c r="H8729" s="162"/>
    </row>
    <row r="8730" ht="15.75" customHeight="1">
      <c r="H8730" s="162"/>
    </row>
    <row r="8731" ht="15.75" customHeight="1">
      <c r="H8731" s="162"/>
    </row>
    <row r="8732" ht="15.75" customHeight="1">
      <c r="H8732" s="162"/>
    </row>
    <row r="8733" ht="15.75" customHeight="1">
      <c r="H8733" s="162"/>
    </row>
    <row r="8734" ht="15.75" customHeight="1">
      <c r="H8734" s="162"/>
    </row>
    <row r="8735" ht="15.75" customHeight="1">
      <c r="H8735" s="162"/>
    </row>
    <row r="8736" ht="15.75" customHeight="1">
      <c r="H8736" s="162"/>
    </row>
    <row r="8737" ht="15.75" customHeight="1">
      <c r="H8737" s="162"/>
    </row>
    <row r="8738" ht="15.75" customHeight="1">
      <c r="H8738" s="162"/>
    </row>
    <row r="8739" ht="15.75" customHeight="1">
      <c r="H8739" s="162"/>
    </row>
    <row r="8740" ht="15.75" customHeight="1">
      <c r="H8740" s="162"/>
    </row>
    <row r="8741" ht="15.75" customHeight="1">
      <c r="H8741" s="162"/>
    </row>
    <row r="8742" ht="15.75" customHeight="1">
      <c r="H8742" s="162"/>
    </row>
    <row r="8743" ht="15.75" customHeight="1">
      <c r="H8743" s="162"/>
    </row>
    <row r="8744" ht="15.75" customHeight="1">
      <c r="H8744" s="162"/>
    </row>
    <row r="8745" ht="15.75" customHeight="1">
      <c r="H8745" s="162"/>
    </row>
    <row r="8746" ht="15.75" customHeight="1">
      <c r="H8746" s="162"/>
    </row>
    <row r="8747" ht="15.75" customHeight="1">
      <c r="H8747" s="162"/>
    </row>
    <row r="8748" ht="15.75" customHeight="1">
      <c r="H8748" s="162"/>
    </row>
    <row r="8749" ht="15.75" customHeight="1">
      <c r="H8749" s="162"/>
    </row>
    <row r="8750" ht="15.75" customHeight="1">
      <c r="H8750" s="162"/>
    </row>
    <row r="8751" ht="15.75" customHeight="1">
      <c r="H8751" s="162"/>
    </row>
    <row r="8752" ht="15.75" customHeight="1">
      <c r="H8752" s="162"/>
    </row>
    <row r="8753" ht="15.75" customHeight="1">
      <c r="H8753" s="162"/>
    </row>
    <row r="8754" ht="15.75" customHeight="1">
      <c r="H8754" s="162"/>
    </row>
    <row r="8755" ht="15.75" customHeight="1">
      <c r="H8755" s="162"/>
    </row>
    <row r="8756" ht="15.75" customHeight="1">
      <c r="H8756" s="162"/>
    </row>
    <row r="8757" ht="15.75" customHeight="1">
      <c r="H8757" s="162"/>
    </row>
    <row r="8758" ht="15.75" customHeight="1">
      <c r="H8758" s="162"/>
    </row>
    <row r="8759" ht="15.75" customHeight="1">
      <c r="H8759" s="162"/>
    </row>
    <row r="8760" ht="15.75" customHeight="1">
      <c r="H8760" s="162"/>
    </row>
    <row r="8761" ht="15.75" customHeight="1">
      <c r="H8761" s="162"/>
    </row>
    <row r="8762" ht="15.75" customHeight="1">
      <c r="H8762" s="162"/>
    </row>
    <row r="8763" ht="15.75" customHeight="1">
      <c r="H8763" s="162"/>
    </row>
    <row r="8764" ht="15.75" customHeight="1">
      <c r="H8764" s="162"/>
    </row>
    <row r="8765" ht="15.75" customHeight="1">
      <c r="H8765" s="162"/>
    </row>
    <row r="8766" ht="15.75" customHeight="1">
      <c r="H8766" s="162"/>
    </row>
    <row r="8767" ht="15.75" customHeight="1">
      <c r="H8767" s="162"/>
    </row>
    <row r="8768" ht="15.75" customHeight="1">
      <c r="H8768" s="162"/>
    </row>
    <row r="8769" ht="15.75" customHeight="1">
      <c r="H8769" s="162"/>
    </row>
    <row r="8770" ht="15.75" customHeight="1">
      <c r="H8770" s="162"/>
    </row>
    <row r="8771" ht="15.75" customHeight="1">
      <c r="H8771" s="162"/>
    </row>
    <row r="8772" ht="15.75" customHeight="1">
      <c r="H8772" s="162"/>
    </row>
    <row r="8773" ht="15.75" customHeight="1">
      <c r="H8773" s="162"/>
    </row>
    <row r="8774" ht="15.75" customHeight="1">
      <c r="H8774" s="162"/>
    </row>
    <row r="8775" ht="15.75" customHeight="1">
      <c r="H8775" s="162"/>
    </row>
    <row r="8776" ht="15.75" customHeight="1">
      <c r="H8776" s="162"/>
    </row>
    <row r="8777" ht="15.75" customHeight="1">
      <c r="H8777" s="162"/>
    </row>
    <row r="8778" ht="15.75" customHeight="1">
      <c r="H8778" s="162"/>
    </row>
    <row r="8779" ht="15.75" customHeight="1">
      <c r="H8779" s="162"/>
    </row>
    <row r="8780" ht="15.75" customHeight="1">
      <c r="H8780" s="162"/>
    </row>
    <row r="8781" ht="15.75" customHeight="1">
      <c r="H8781" s="162"/>
    </row>
    <row r="8782" ht="15.75" customHeight="1">
      <c r="H8782" s="162"/>
    </row>
    <row r="8783" ht="15.75" customHeight="1">
      <c r="H8783" s="162"/>
    </row>
    <row r="8784" ht="15.75" customHeight="1">
      <c r="H8784" s="162"/>
    </row>
    <row r="8785" ht="15.75" customHeight="1">
      <c r="H8785" s="162"/>
    </row>
    <row r="8786" ht="15.75" customHeight="1">
      <c r="H8786" s="162"/>
    </row>
    <row r="8787" ht="15.75" customHeight="1">
      <c r="H8787" s="162"/>
    </row>
    <row r="8788" ht="15.75" customHeight="1">
      <c r="H8788" s="162"/>
    </row>
    <row r="8789" ht="15.75" customHeight="1">
      <c r="H8789" s="162"/>
    </row>
    <row r="8790" ht="15.75" customHeight="1">
      <c r="H8790" s="162"/>
    </row>
    <row r="8791" ht="15.75" customHeight="1">
      <c r="H8791" s="162"/>
    </row>
    <row r="8792" ht="15.75" customHeight="1">
      <c r="H8792" s="162"/>
    </row>
    <row r="8793" ht="15.75" customHeight="1">
      <c r="H8793" s="162"/>
    </row>
    <row r="8794" ht="15.75" customHeight="1">
      <c r="H8794" s="162"/>
    </row>
    <row r="8795" ht="15.75" customHeight="1">
      <c r="H8795" s="162"/>
    </row>
    <row r="8796" ht="15.75" customHeight="1">
      <c r="H8796" s="162"/>
    </row>
    <row r="8797" ht="15.75" customHeight="1">
      <c r="H8797" s="162"/>
    </row>
    <row r="8798" ht="15.75" customHeight="1">
      <c r="H8798" s="162"/>
    </row>
    <row r="8799" ht="15.75" customHeight="1">
      <c r="H8799" s="162"/>
    </row>
    <row r="8800" ht="15.75" customHeight="1">
      <c r="H8800" s="162"/>
    </row>
    <row r="8801" ht="15.75" customHeight="1">
      <c r="H8801" s="162"/>
    </row>
    <row r="8802" ht="15.75" customHeight="1">
      <c r="H8802" s="162"/>
    </row>
    <row r="8803" ht="15.75" customHeight="1">
      <c r="H8803" s="162"/>
    </row>
    <row r="8804" ht="15.75" customHeight="1">
      <c r="H8804" s="162"/>
    </row>
    <row r="8805" ht="15.75" customHeight="1">
      <c r="H8805" s="162"/>
    </row>
    <row r="8806" ht="15.75" customHeight="1">
      <c r="H8806" s="162"/>
    </row>
    <row r="8807" ht="15.75" customHeight="1">
      <c r="H8807" s="162"/>
    </row>
    <row r="8808" ht="15.75" customHeight="1">
      <c r="H8808" s="162"/>
    </row>
    <row r="8809" ht="15.75" customHeight="1">
      <c r="H8809" s="162"/>
    </row>
    <row r="8810" ht="15.75" customHeight="1">
      <c r="H8810" s="162"/>
    </row>
    <row r="8811" ht="15.75" customHeight="1">
      <c r="H8811" s="162"/>
    </row>
    <row r="8812" ht="15.75" customHeight="1">
      <c r="H8812" s="162"/>
    </row>
    <row r="8813" ht="15.75" customHeight="1">
      <c r="H8813" s="162"/>
    </row>
    <row r="8814" ht="15.75" customHeight="1">
      <c r="H8814" s="162"/>
    </row>
    <row r="8815" ht="15.75" customHeight="1">
      <c r="H8815" s="162"/>
    </row>
    <row r="8816" ht="15.75" customHeight="1">
      <c r="H8816" s="162"/>
    </row>
    <row r="8817" ht="15.75" customHeight="1">
      <c r="H8817" s="162"/>
    </row>
    <row r="8818" ht="15.75" customHeight="1">
      <c r="H8818" s="162"/>
    </row>
    <row r="8819" ht="15.75" customHeight="1">
      <c r="H8819" s="162"/>
    </row>
    <row r="8820" ht="15.75" customHeight="1">
      <c r="H8820" s="162"/>
    </row>
    <row r="8821" ht="15.75" customHeight="1">
      <c r="H8821" s="162"/>
    </row>
    <row r="8822" ht="15.75" customHeight="1">
      <c r="H8822" s="162"/>
    </row>
    <row r="8823" ht="15.75" customHeight="1">
      <c r="H8823" s="162"/>
    </row>
    <row r="8824" ht="15.75" customHeight="1">
      <c r="H8824" s="162"/>
    </row>
    <row r="8825" ht="15.75" customHeight="1">
      <c r="H8825" s="162"/>
    </row>
    <row r="8826" ht="15.75" customHeight="1">
      <c r="H8826" s="162"/>
    </row>
    <row r="8827" ht="15.75" customHeight="1">
      <c r="H8827" s="162"/>
    </row>
    <row r="8828" ht="15.75" customHeight="1">
      <c r="H8828" s="162"/>
    </row>
    <row r="8829" ht="15.75" customHeight="1">
      <c r="H8829" s="162"/>
    </row>
    <row r="8830" ht="15.75" customHeight="1">
      <c r="H8830" s="162"/>
    </row>
    <row r="8831" ht="15.75" customHeight="1">
      <c r="H8831" s="162"/>
    </row>
    <row r="8832" ht="15.75" customHeight="1">
      <c r="H8832" s="162"/>
    </row>
    <row r="8833" ht="15.75" customHeight="1">
      <c r="H8833" s="162"/>
    </row>
    <row r="8834" ht="15.75" customHeight="1">
      <c r="H8834" s="162"/>
    </row>
    <row r="8835" ht="15.75" customHeight="1">
      <c r="H8835" s="162"/>
    </row>
    <row r="8836" ht="15.75" customHeight="1">
      <c r="H8836" s="162"/>
    </row>
    <row r="8837" ht="15.75" customHeight="1">
      <c r="H8837" s="162"/>
    </row>
    <row r="8838" ht="15.75" customHeight="1">
      <c r="H8838" s="162"/>
    </row>
    <row r="8839" ht="15.75" customHeight="1">
      <c r="H8839" s="162"/>
    </row>
    <row r="8840" ht="15.75" customHeight="1">
      <c r="H8840" s="162"/>
    </row>
    <row r="8841" ht="15.75" customHeight="1">
      <c r="H8841" s="162"/>
    </row>
    <row r="8842" ht="15.75" customHeight="1">
      <c r="H8842" s="162"/>
    </row>
    <row r="8843" ht="15.75" customHeight="1">
      <c r="H8843" s="162"/>
    </row>
    <row r="8844" ht="15.75" customHeight="1">
      <c r="H8844" s="162"/>
    </row>
    <row r="8845" ht="15.75" customHeight="1">
      <c r="H8845" s="162"/>
    </row>
    <row r="8846" ht="15.75" customHeight="1">
      <c r="H8846" s="162"/>
    </row>
    <row r="8847" ht="15.75" customHeight="1">
      <c r="H8847" s="162"/>
    </row>
    <row r="8848" ht="15.75" customHeight="1">
      <c r="H8848" s="162"/>
    </row>
    <row r="8849" ht="15.75" customHeight="1">
      <c r="H8849" s="162"/>
    </row>
    <row r="8850" ht="15.75" customHeight="1">
      <c r="H8850" s="162"/>
    </row>
    <row r="8851" ht="15.75" customHeight="1">
      <c r="H8851" s="162"/>
    </row>
    <row r="8852" ht="15.75" customHeight="1">
      <c r="H8852" s="162"/>
    </row>
    <row r="8853" ht="15.75" customHeight="1">
      <c r="H8853" s="162"/>
    </row>
    <row r="8854" ht="15.75" customHeight="1">
      <c r="H8854" s="162"/>
    </row>
    <row r="8855" ht="15.75" customHeight="1">
      <c r="D8855" s="1" t="s">
        <v>5829</v>
      </c>
      <c r="H8855" s="162"/>
    </row>
  </sheetData>
  <autoFilter ref="$A$1:$P$309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4.0"/>
    <col customWidth="1" min="10" max="10" width="30.86"/>
    <col customWidth="1" min="15" max="15" width="16.29"/>
    <col customWidth="1" min="16" max="16" width="37.57"/>
  </cols>
  <sheetData>
    <row r="1">
      <c r="A1" s="3" t="s">
        <v>18</v>
      </c>
      <c r="B1" s="3" t="s">
        <v>218</v>
      </c>
      <c r="C1" s="3" t="s">
        <v>17</v>
      </c>
      <c r="D1" s="3" t="s">
        <v>7146</v>
      </c>
      <c r="E1" s="3" t="s">
        <v>7147</v>
      </c>
      <c r="F1" s="3" t="s">
        <v>7148</v>
      </c>
      <c r="G1" s="3" t="s">
        <v>7149</v>
      </c>
      <c r="J1" s="3" t="s">
        <v>19</v>
      </c>
      <c r="K1" s="162">
        <v>1600000.0</v>
      </c>
    </row>
    <row r="2">
      <c r="A2" s="3" t="s">
        <v>111</v>
      </c>
      <c r="B2" s="3" t="s">
        <v>3</v>
      </c>
      <c r="C2" s="41" t="s">
        <v>432</v>
      </c>
      <c r="D2" s="168">
        <v>1623501.0</v>
      </c>
      <c r="E2" s="3">
        <v>30.0</v>
      </c>
      <c r="G2" s="3">
        <v>6000000.0</v>
      </c>
    </row>
    <row r="3">
      <c r="A3" s="3" t="s">
        <v>111</v>
      </c>
      <c r="B3" s="3" t="s">
        <v>3</v>
      </c>
      <c r="C3" s="40" t="s">
        <v>13</v>
      </c>
      <c r="D3" s="162">
        <v>1600000.0</v>
      </c>
      <c r="E3" s="3">
        <v>30.0</v>
      </c>
      <c r="G3" s="3">
        <v>6000000.0</v>
      </c>
      <c r="J3" s="170">
        <v>0.3</v>
      </c>
      <c r="K3" s="41">
        <f>K1*J3</f>
        <v>480000</v>
      </c>
    </row>
    <row r="4">
      <c r="D4" s="171"/>
      <c r="J4" s="170"/>
    </row>
    <row r="5">
      <c r="A5" s="3" t="s">
        <v>111</v>
      </c>
      <c r="B5" s="3" t="s">
        <v>3</v>
      </c>
      <c r="C5" s="172" t="s">
        <v>412</v>
      </c>
      <c r="D5" s="162">
        <v>1500000.0</v>
      </c>
      <c r="E5" s="3">
        <v>30.0</v>
      </c>
      <c r="F5" s="173">
        <v>45998.37775679398</v>
      </c>
      <c r="G5" s="3">
        <v>6000000.0</v>
      </c>
    </row>
    <row r="6">
      <c r="A6" s="3" t="s">
        <v>111</v>
      </c>
      <c r="B6" s="3" t="s">
        <v>3</v>
      </c>
      <c r="C6" s="172" t="s">
        <v>506</v>
      </c>
      <c r="D6" s="169">
        <v>1423500.0</v>
      </c>
      <c r="E6" s="3">
        <v>15.0</v>
      </c>
      <c r="G6" s="3">
        <v>6000000.0</v>
      </c>
    </row>
    <row r="7">
      <c r="A7" s="3" t="s">
        <v>111</v>
      </c>
      <c r="B7" s="3" t="s">
        <v>3</v>
      </c>
      <c r="C7" s="40" t="s">
        <v>81</v>
      </c>
      <c r="D7" s="4">
        <v>1500000.0</v>
      </c>
      <c r="E7" s="4">
        <v>30.0</v>
      </c>
      <c r="F7" s="173">
        <v>45998.40425766204</v>
      </c>
      <c r="G7" s="3">
        <v>6000000.0</v>
      </c>
    </row>
    <row r="8">
      <c r="A8" s="3" t="s">
        <v>111</v>
      </c>
      <c r="B8" s="3" t="s">
        <v>3</v>
      </c>
      <c r="C8" s="172" t="s">
        <v>120</v>
      </c>
      <c r="D8" s="3">
        <v>2000000.0</v>
      </c>
      <c r="E8" s="4">
        <v>30.0</v>
      </c>
      <c r="G8" s="3">
        <v>6000000.0</v>
      </c>
      <c r="J8" s="174" t="s">
        <v>130</v>
      </c>
      <c r="K8" s="174" t="s">
        <v>5646</v>
      </c>
      <c r="L8" s="174" t="s">
        <v>7150</v>
      </c>
      <c r="N8" s="175" t="s">
        <v>7151</v>
      </c>
    </row>
    <row r="9">
      <c r="A9" s="3" t="s">
        <v>5770</v>
      </c>
      <c r="B9" s="3" t="s">
        <v>3</v>
      </c>
      <c r="C9" s="3" t="s">
        <v>425</v>
      </c>
      <c r="D9" s="4">
        <v>2000000.0</v>
      </c>
      <c r="E9" s="4">
        <v>25.0</v>
      </c>
      <c r="F9" s="8">
        <v>46040.72680001157</v>
      </c>
      <c r="J9" s="176" t="s">
        <v>12</v>
      </c>
      <c r="K9" s="176" t="s">
        <v>5683</v>
      </c>
      <c r="L9" s="177">
        <v>0.3</v>
      </c>
      <c r="M9" s="41">
        <f>K$3*L9</f>
        <v>144000</v>
      </c>
      <c r="N9" s="178">
        <v>0.5</v>
      </c>
      <c r="O9" s="179">
        <f t="shared" ref="O9:O11" si="1">M$9*N9</f>
        <v>72000</v>
      </c>
      <c r="P9" s="3" t="s">
        <v>7152</v>
      </c>
    </row>
    <row r="10">
      <c r="A10" s="3" t="s">
        <v>5770</v>
      </c>
      <c r="B10" s="3" t="s">
        <v>3</v>
      </c>
      <c r="C10" s="3" t="s">
        <v>113</v>
      </c>
      <c r="D10" s="4">
        <v>1600000.0</v>
      </c>
      <c r="E10" s="4">
        <v>30.0</v>
      </c>
      <c r="F10" s="8">
        <v>46042.65654527778</v>
      </c>
      <c r="J10" s="176" t="s">
        <v>12</v>
      </c>
      <c r="K10" s="176" t="s">
        <v>5684</v>
      </c>
      <c r="L10" s="177">
        <v>0.3</v>
      </c>
      <c r="N10" s="180">
        <v>0.8</v>
      </c>
      <c r="O10" s="179">
        <f t="shared" si="1"/>
        <v>115200</v>
      </c>
    </row>
    <row r="11">
      <c r="F11" s="8"/>
      <c r="J11" s="176" t="s">
        <v>12</v>
      </c>
      <c r="K11" s="176" t="s">
        <v>5685</v>
      </c>
      <c r="L11" s="177">
        <v>0.3</v>
      </c>
      <c r="N11" s="180">
        <v>1.0</v>
      </c>
      <c r="O11" s="179">
        <f t="shared" si="1"/>
        <v>144000</v>
      </c>
    </row>
    <row r="12">
      <c r="J12" s="176" t="s">
        <v>7</v>
      </c>
      <c r="K12" s="176" t="s">
        <v>5686</v>
      </c>
      <c r="L12" s="177">
        <v>0.4</v>
      </c>
      <c r="M12" s="41">
        <f>K$3*L12</f>
        <v>192000</v>
      </c>
      <c r="N12" s="178">
        <v>0.8</v>
      </c>
      <c r="O12" s="41">
        <f t="shared" ref="O12:O14" si="2">M$12*N12</f>
        <v>153600</v>
      </c>
    </row>
    <row r="13">
      <c r="J13" s="176" t="s">
        <v>7</v>
      </c>
      <c r="K13" s="176" t="s">
        <v>5687</v>
      </c>
      <c r="L13" s="177">
        <v>0.4</v>
      </c>
      <c r="N13" s="178">
        <v>0.9</v>
      </c>
      <c r="O13" s="41">
        <f t="shared" si="2"/>
        <v>172800</v>
      </c>
    </row>
    <row r="14">
      <c r="J14" s="176" t="s">
        <v>7</v>
      </c>
      <c r="K14" s="176" t="s">
        <v>5682</v>
      </c>
      <c r="L14" s="177">
        <v>0.4</v>
      </c>
      <c r="N14" s="180">
        <v>1.0</v>
      </c>
      <c r="O14" s="41">
        <f t="shared" si="2"/>
        <v>192000</v>
      </c>
      <c r="P14" s="3" t="s">
        <v>7153</v>
      </c>
    </row>
    <row r="15">
      <c r="J15" s="176"/>
      <c r="K15" s="176"/>
      <c r="L15" s="177"/>
      <c r="M15" s="41">
        <f>SUM(M9:M14)</f>
        <v>336000</v>
      </c>
      <c r="N15" s="180"/>
      <c r="O15" s="3" t="s">
        <v>7154</v>
      </c>
    </row>
    <row r="17">
      <c r="F17" s="8"/>
    </row>
    <row r="18">
      <c r="F18" s="8"/>
    </row>
  </sheetData>
  <mergeCells count="2">
    <mergeCell ref="M9:M11"/>
    <mergeCell ref="M12:M1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3" width="14.43"/>
    <col customWidth="1" min="4" max="4" width="22.57"/>
    <col customWidth="1" min="5" max="6" width="14.43"/>
  </cols>
  <sheetData>
    <row r="1" ht="15.75" customHeight="1"/>
    <row r="2" ht="15.75" customHeight="1">
      <c r="E2" s="181" t="str">
        <f>B2/C2</f>
        <v>#DIV/0!</v>
      </c>
      <c r="H2" s="1">
        <v>1.0</v>
      </c>
      <c r="I2" s="1" t="s">
        <v>1367</v>
      </c>
      <c r="J2" s="1">
        <v>20000.0</v>
      </c>
      <c r="K2" s="1" t="s">
        <v>7155</v>
      </c>
      <c r="M2" s="1" t="s">
        <v>1367</v>
      </c>
      <c r="N2" s="1">
        <v>4349922.0</v>
      </c>
      <c r="O2" s="1" t="s">
        <v>116</v>
      </c>
    </row>
    <row r="3" ht="15.75" customHeight="1">
      <c r="D3" s="1" t="str">
        <f>C3/B3</f>
        <v>#VALUE!</v>
      </c>
      <c r="I3" s="1" t="s">
        <v>2998</v>
      </c>
      <c r="K3" s="1" t="s">
        <v>7158</v>
      </c>
      <c r="M3" s="1" t="s">
        <v>2998</v>
      </c>
      <c r="N3" s="1">
        <v>5333696.0</v>
      </c>
      <c r="O3" s="1" t="s">
        <v>432</v>
      </c>
    </row>
    <row r="4" ht="15.75" customHeight="1">
      <c r="I4" s="1" t="s">
        <v>2025</v>
      </c>
      <c r="K4" s="1" t="s">
        <v>7155</v>
      </c>
      <c r="M4" s="1" t="s">
        <v>2025</v>
      </c>
      <c r="N4" s="1">
        <v>4835112.0</v>
      </c>
      <c r="O4" s="1" t="s">
        <v>116</v>
      </c>
    </row>
    <row r="5" ht="15.75" customHeight="1">
      <c r="I5" s="1" t="s">
        <v>39</v>
      </c>
      <c r="J5" s="1">
        <v>2000.0</v>
      </c>
      <c r="K5" s="1" t="s">
        <v>7158</v>
      </c>
      <c r="M5" s="1" t="s">
        <v>39</v>
      </c>
      <c r="N5" s="1">
        <v>5021481.0</v>
      </c>
      <c r="O5" s="1" t="s">
        <v>13</v>
      </c>
    </row>
    <row r="6" ht="15.75" customHeight="1">
      <c r="I6" s="1" t="s">
        <v>2341</v>
      </c>
      <c r="J6" s="1">
        <v>20000.0</v>
      </c>
      <c r="K6" s="1" t="s">
        <v>7155</v>
      </c>
      <c r="M6" s="1" t="s">
        <v>2341</v>
      </c>
      <c r="N6" s="1">
        <v>4980014.0</v>
      </c>
      <c r="O6" s="1" t="s">
        <v>116</v>
      </c>
    </row>
    <row r="7" ht="15.75" customHeight="1">
      <c r="I7" s="1" t="s">
        <v>2998</v>
      </c>
      <c r="K7" s="1" t="s">
        <v>7158</v>
      </c>
      <c r="M7" s="1" t="s">
        <v>2998</v>
      </c>
      <c r="N7" s="1">
        <v>5333696.0</v>
      </c>
      <c r="O7" s="1" t="s">
        <v>432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I14" s="1" t="s">
        <v>7160</v>
      </c>
    </row>
    <row r="15" ht="15.75" customHeight="1">
      <c r="I15" s="1" t="s">
        <v>7161</v>
      </c>
    </row>
    <row r="16" ht="15.75" customHeight="1">
      <c r="I16" s="1" t="s">
        <v>7162</v>
      </c>
    </row>
    <row r="17" ht="15.75" customHeight="1"/>
    <row r="18" ht="15.75" customHeight="1">
      <c r="I18" s="1" t="s">
        <v>7163</v>
      </c>
    </row>
    <row r="19" ht="15.75" customHeight="1">
      <c r="I19" s="1" t="s">
        <v>7164</v>
      </c>
    </row>
    <row r="20" ht="15.75" customHeight="1">
      <c r="I20" s="1" t="s">
        <v>7165</v>
      </c>
    </row>
    <row r="21" ht="15.75" customHeight="1">
      <c r="I21" s="1" t="s">
        <v>7166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23.43"/>
  </cols>
  <sheetData>
    <row r="1">
      <c r="A1" s="9" t="s">
        <v>90</v>
      </c>
      <c r="B1" s="9" t="s">
        <v>15</v>
      </c>
      <c r="C1" s="9" t="s">
        <v>16</v>
      </c>
      <c r="D1" s="9" t="s">
        <v>17</v>
      </c>
      <c r="E1" s="9" t="s">
        <v>124</v>
      </c>
      <c r="F1" s="9" t="s">
        <v>7167</v>
      </c>
      <c r="G1" s="9" t="s">
        <v>7168</v>
      </c>
      <c r="H1" s="9" t="s">
        <v>125</v>
      </c>
      <c r="I1" s="9" t="s">
        <v>7169</v>
      </c>
      <c r="J1" s="9" t="s">
        <v>7170</v>
      </c>
    </row>
    <row r="2">
      <c r="A2" s="182">
        <v>45965.80461965278</v>
      </c>
      <c r="B2" s="183">
        <v>4364806.0</v>
      </c>
      <c r="C2" s="183" t="s">
        <v>112</v>
      </c>
      <c r="D2" s="183" t="s">
        <v>81</v>
      </c>
      <c r="E2" s="183" t="s">
        <v>7171</v>
      </c>
      <c r="F2" s="184">
        <v>330035.1</v>
      </c>
      <c r="G2" s="183" t="s">
        <v>7172</v>
      </c>
      <c r="H2" s="183" t="s">
        <v>99</v>
      </c>
      <c r="I2" s="183" t="s">
        <v>79</v>
      </c>
      <c r="J2" s="183" t="s">
        <v>79</v>
      </c>
    </row>
    <row r="3">
      <c r="A3" s="182">
        <v>45965.8046196875</v>
      </c>
      <c r="B3" s="183">
        <v>5320995.0</v>
      </c>
      <c r="C3" s="183" t="s">
        <v>84</v>
      </c>
      <c r="D3" s="183" t="s">
        <v>81</v>
      </c>
      <c r="E3" s="183" t="s">
        <v>7171</v>
      </c>
      <c r="F3" s="184">
        <v>-330042.9</v>
      </c>
      <c r="G3" s="183" t="s">
        <v>7172</v>
      </c>
      <c r="H3" s="183" t="s">
        <v>102</v>
      </c>
      <c r="I3" s="183" t="s">
        <v>79</v>
      </c>
      <c r="J3" s="183" t="s">
        <v>79</v>
      </c>
    </row>
    <row r="4">
      <c r="A4" s="182">
        <v>45965.8046196875</v>
      </c>
      <c r="B4" s="183">
        <v>5296788.0</v>
      </c>
      <c r="C4" s="183" t="s">
        <v>2356</v>
      </c>
      <c r="D4" s="183" t="s">
        <v>81</v>
      </c>
      <c r="E4" s="183" t="s">
        <v>7171</v>
      </c>
      <c r="F4" s="184">
        <v>6732875.159999999</v>
      </c>
      <c r="G4" s="183" t="s">
        <v>7173</v>
      </c>
      <c r="H4" s="183" t="s">
        <v>99</v>
      </c>
      <c r="I4" s="183" t="s">
        <v>79</v>
      </c>
      <c r="J4" s="183" t="s">
        <v>79</v>
      </c>
    </row>
    <row r="5">
      <c r="A5" s="182">
        <v>45966.646154918984</v>
      </c>
      <c r="B5" s="183">
        <v>5296788.0</v>
      </c>
      <c r="C5" s="183" t="s">
        <v>2356</v>
      </c>
      <c r="D5" s="183" t="s">
        <v>81</v>
      </c>
      <c r="E5" s="183" t="s">
        <v>7171</v>
      </c>
      <c r="F5" s="184">
        <v>6732875.159999999</v>
      </c>
      <c r="G5" s="183" t="s">
        <v>7174</v>
      </c>
      <c r="H5" s="183" t="s">
        <v>99</v>
      </c>
      <c r="I5" s="183" t="s">
        <v>79</v>
      </c>
      <c r="J5" s="183" t="s">
        <v>79</v>
      </c>
    </row>
    <row r="6">
      <c r="A6" s="182">
        <v>45967.36451289352</v>
      </c>
      <c r="B6" s="183">
        <v>5320995.0</v>
      </c>
      <c r="C6" s="183" t="s">
        <v>84</v>
      </c>
      <c r="D6" s="183" t="s">
        <v>81</v>
      </c>
      <c r="E6" s="183" t="s">
        <v>111</v>
      </c>
      <c r="F6" s="184">
        <v>330042.89999999997</v>
      </c>
      <c r="G6" s="183" t="s">
        <v>7175</v>
      </c>
      <c r="H6" s="183" t="s">
        <v>99</v>
      </c>
      <c r="I6" s="183" t="s">
        <v>3</v>
      </c>
      <c r="J6" s="183" t="s">
        <v>79</v>
      </c>
    </row>
    <row r="7">
      <c r="A7" s="182">
        <v>45967.36451291667</v>
      </c>
      <c r="B7" s="183">
        <v>5872088.0</v>
      </c>
      <c r="C7" s="183" t="s">
        <v>2400</v>
      </c>
      <c r="D7" s="183" t="s">
        <v>81</v>
      </c>
      <c r="E7" s="183" t="s">
        <v>111</v>
      </c>
      <c r="F7" s="184">
        <v>198025.73999999996</v>
      </c>
      <c r="G7" s="183" t="s">
        <v>7176</v>
      </c>
      <c r="H7" s="183" t="s">
        <v>99</v>
      </c>
      <c r="I7" s="183" t="s">
        <v>3</v>
      </c>
      <c r="J7" s="183" t="s">
        <v>79</v>
      </c>
    </row>
    <row r="8">
      <c r="A8" s="182">
        <v>45967.36451291667</v>
      </c>
      <c r="B8" s="183">
        <v>2164860.0</v>
      </c>
      <c r="C8" s="183" t="s">
        <v>87</v>
      </c>
      <c r="D8" s="183" t="s">
        <v>81</v>
      </c>
      <c r="E8" s="183" t="s">
        <v>111</v>
      </c>
      <c r="F8" s="184">
        <v>0.0</v>
      </c>
      <c r="G8" s="183" t="s">
        <v>7177</v>
      </c>
      <c r="H8" s="183" t="s">
        <v>100</v>
      </c>
      <c r="I8" s="183" t="s">
        <v>3</v>
      </c>
      <c r="J8" s="183" t="s">
        <v>79</v>
      </c>
    </row>
    <row r="9">
      <c r="A9" s="182">
        <v>45967.36559822917</v>
      </c>
      <c r="B9" s="183">
        <v>5546192.0</v>
      </c>
      <c r="C9" s="183" t="s">
        <v>80</v>
      </c>
      <c r="D9" s="183" t="s">
        <v>81</v>
      </c>
      <c r="E9" s="183" t="s">
        <v>111</v>
      </c>
      <c r="F9" s="184">
        <v>528068.6399999999</v>
      </c>
      <c r="G9" s="183" t="s">
        <v>7178</v>
      </c>
      <c r="H9" s="183" t="s">
        <v>100</v>
      </c>
      <c r="I9" s="183" t="s">
        <v>3</v>
      </c>
      <c r="J9" s="183" t="s">
        <v>79</v>
      </c>
    </row>
    <row r="10">
      <c r="A10" s="182">
        <v>45967.36559822917</v>
      </c>
      <c r="B10" s="183">
        <v>5388841.0</v>
      </c>
      <c r="C10" s="183" t="s">
        <v>129</v>
      </c>
      <c r="D10" s="183" t="s">
        <v>81</v>
      </c>
      <c r="E10" s="183" t="s">
        <v>111</v>
      </c>
      <c r="F10" s="184">
        <v>330042.89999999997</v>
      </c>
      <c r="G10" s="183" t="s">
        <v>7178</v>
      </c>
      <c r="H10" s="183" t="s">
        <v>99</v>
      </c>
      <c r="I10" s="183" t="s">
        <v>3</v>
      </c>
      <c r="J10" s="183" t="s">
        <v>79</v>
      </c>
    </row>
    <row r="11">
      <c r="A11" s="182">
        <v>45967.36559822917</v>
      </c>
      <c r="B11" s="183">
        <v>4364806.0</v>
      </c>
      <c r="C11" s="183" t="s">
        <v>112</v>
      </c>
      <c r="D11" s="183" t="s">
        <v>81</v>
      </c>
      <c r="E11" s="183" t="s">
        <v>111</v>
      </c>
      <c r="F11" s="184">
        <v>198021.05999999997</v>
      </c>
      <c r="G11" s="183" t="s">
        <v>7178</v>
      </c>
      <c r="H11" s="183" t="s">
        <v>99</v>
      </c>
      <c r="I11" s="183" t="s">
        <v>3</v>
      </c>
      <c r="J11" s="183" t="s">
        <v>79</v>
      </c>
    </row>
    <row r="12">
      <c r="A12" s="182">
        <v>46045.81164429398</v>
      </c>
      <c r="B12" s="183">
        <v>5021467.0</v>
      </c>
      <c r="C12" s="183" t="s">
        <v>38</v>
      </c>
      <c r="D12" s="183" t="s">
        <v>13</v>
      </c>
      <c r="E12" s="183" t="s">
        <v>5770</v>
      </c>
      <c r="F12" s="184">
        <v>144000.0</v>
      </c>
      <c r="G12" s="183" t="s">
        <v>7179</v>
      </c>
      <c r="H12" s="183" t="s">
        <v>99</v>
      </c>
      <c r="I12" s="183" t="s">
        <v>7180</v>
      </c>
      <c r="J12" s="183" t="s">
        <v>79</v>
      </c>
    </row>
    <row r="13">
      <c r="A13" s="182">
        <v>46045.81492280093</v>
      </c>
      <c r="B13" s="183">
        <v>5327776.0</v>
      </c>
      <c r="C13" s="183" t="s">
        <v>48</v>
      </c>
      <c r="D13" s="183" t="s">
        <v>13</v>
      </c>
      <c r="E13" s="183" t="s">
        <v>5770</v>
      </c>
      <c r="F13" s="184">
        <v>307200.0</v>
      </c>
      <c r="G13" s="183" t="s">
        <v>7181</v>
      </c>
      <c r="H13" s="183" t="s">
        <v>99</v>
      </c>
      <c r="I13" s="183" t="s">
        <v>7180</v>
      </c>
      <c r="J13" s="183" t="s">
        <v>79</v>
      </c>
    </row>
    <row r="14">
      <c r="A14" s="182">
        <v>46045.84489317129</v>
      </c>
      <c r="B14" s="183">
        <v>5021467.0</v>
      </c>
      <c r="C14" s="183" t="s">
        <v>38</v>
      </c>
      <c r="D14" s="183" t="s">
        <v>13</v>
      </c>
      <c r="E14" s="183" t="s">
        <v>5770</v>
      </c>
      <c r="F14" s="184">
        <v>144000.0</v>
      </c>
      <c r="G14" s="183" t="s">
        <v>7182</v>
      </c>
      <c r="H14" s="183" t="s">
        <v>99</v>
      </c>
      <c r="I14" s="183" t="s">
        <v>7180</v>
      </c>
      <c r="J14" s="183" t="s">
        <v>79</v>
      </c>
    </row>
    <row r="15">
      <c r="A15" s="182">
        <v>46045.84489317129</v>
      </c>
      <c r="B15" s="183">
        <v>5346664.0</v>
      </c>
      <c r="C15" s="183" t="s">
        <v>54</v>
      </c>
      <c r="D15" s="183" t="s">
        <v>13</v>
      </c>
      <c r="E15" s="183" t="s">
        <v>5770</v>
      </c>
      <c r="F15" s="184">
        <v>0.0</v>
      </c>
      <c r="G15" s="183" t="s">
        <v>7183</v>
      </c>
      <c r="H15" s="183" t="s">
        <v>99</v>
      </c>
      <c r="I15" s="183" t="s">
        <v>7180</v>
      </c>
      <c r="J15" s="183" t="s">
        <v>79</v>
      </c>
    </row>
    <row r="16">
      <c r="A16" s="182">
        <v>25568.666666666668</v>
      </c>
      <c r="B16" s="183">
        <v>5426155.0</v>
      </c>
      <c r="C16" s="183" t="s">
        <v>60</v>
      </c>
      <c r="D16" s="183" t="s">
        <v>13</v>
      </c>
      <c r="E16" s="183" t="s">
        <v>5770</v>
      </c>
      <c r="F16" s="184">
        <v>115200.0</v>
      </c>
      <c r="G16" s="183" t="s">
        <v>7184</v>
      </c>
      <c r="H16" s="183" t="s">
        <v>99</v>
      </c>
      <c r="I16" s="183" t="s">
        <v>7180</v>
      </c>
      <c r="J16" s="183" t="s">
        <v>79</v>
      </c>
    </row>
    <row r="17">
      <c r="A17" s="182">
        <v>25568.666666666668</v>
      </c>
      <c r="B17" s="183">
        <v>5651744.0</v>
      </c>
      <c r="C17" s="183" t="s">
        <v>70</v>
      </c>
      <c r="D17" s="183" t="s">
        <v>13</v>
      </c>
      <c r="E17" s="183" t="s">
        <v>5770</v>
      </c>
      <c r="F17" s="184">
        <v>156000.0</v>
      </c>
      <c r="G17" s="183" t="s">
        <v>7185</v>
      </c>
      <c r="H17" s="183" t="s">
        <v>99</v>
      </c>
      <c r="I17" s="183" t="s">
        <v>7180</v>
      </c>
      <c r="J17" s="183" t="s">
        <v>79</v>
      </c>
    </row>
    <row r="18">
      <c r="A18" s="182">
        <v>25568.666666666668</v>
      </c>
      <c r="B18" s="183">
        <v>5349465.0</v>
      </c>
      <c r="C18" s="183" t="s">
        <v>56</v>
      </c>
      <c r="D18" s="183" t="s">
        <v>13</v>
      </c>
      <c r="E18" s="183" t="s">
        <v>5770</v>
      </c>
      <c r="F18" s="184">
        <v>0.0</v>
      </c>
      <c r="G18" s="183" t="s">
        <v>7186</v>
      </c>
      <c r="H18" s="183" t="s">
        <v>99</v>
      </c>
      <c r="I18" s="183" t="s">
        <v>7180</v>
      </c>
      <c r="J18" s="183" t="s">
        <v>79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0.57"/>
    <col customWidth="1" min="5" max="6" width="14.43"/>
    <col customWidth="1" min="11" max="11" width="30.43"/>
    <col customWidth="1" min="12" max="12" width="20.86"/>
    <col customWidth="1" min="15" max="15" width="25.43"/>
  </cols>
  <sheetData>
    <row r="1" ht="15.75" customHeight="1">
      <c r="A1" s="185" t="s">
        <v>15</v>
      </c>
      <c r="B1" s="185" t="s">
        <v>7187</v>
      </c>
      <c r="C1" s="185" t="s">
        <v>17</v>
      </c>
      <c r="D1" s="185" t="s">
        <v>215</v>
      </c>
      <c r="E1" s="185" t="s">
        <v>216</v>
      </c>
      <c r="F1" s="185" t="s">
        <v>5</v>
      </c>
      <c r="G1" s="185" t="s">
        <v>218</v>
      </c>
      <c r="H1" s="185" t="s">
        <v>5733</v>
      </c>
      <c r="I1" s="185" t="s">
        <v>7188</v>
      </c>
      <c r="J1" s="185" t="s">
        <v>7189</v>
      </c>
      <c r="K1" s="185" t="s">
        <v>7190</v>
      </c>
      <c r="L1" s="185" t="s">
        <v>7191</v>
      </c>
      <c r="M1" s="185" t="s">
        <v>124</v>
      </c>
      <c r="N1" s="185" t="s">
        <v>107</v>
      </c>
      <c r="O1" s="185" t="s">
        <v>125</v>
      </c>
    </row>
    <row r="2" ht="15.75" customHeight="1">
      <c r="A2" s="186"/>
      <c r="B2" s="186"/>
      <c r="C2" s="186"/>
      <c r="D2" s="186"/>
      <c r="E2" s="186"/>
      <c r="F2" s="186"/>
      <c r="G2" s="186"/>
      <c r="H2" s="186"/>
      <c r="I2" s="187"/>
      <c r="J2" s="188"/>
      <c r="K2" s="186"/>
      <c r="L2" s="186"/>
      <c r="M2" s="186"/>
      <c r="N2" s="189"/>
      <c r="O2" s="190"/>
    </row>
    <row r="3" ht="15.75" customHeight="1">
      <c r="A3" s="191"/>
      <c r="B3" s="191"/>
      <c r="C3" s="192"/>
      <c r="D3" s="192"/>
      <c r="E3" s="193"/>
      <c r="F3" s="194"/>
      <c r="G3" s="193"/>
      <c r="H3" s="193"/>
      <c r="I3" s="195"/>
      <c r="J3" s="196"/>
      <c r="K3" s="193"/>
      <c r="L3" s="194"/>
      <c r="M3" s="193"/>
      <c r="N3" s="194"/>
      <c r="O3" s="197"/>
      <c r="P3" s="198"/>
      <c r="Q3" s="161"/>
      <c r="R3" s="161"/>
      <c r="S3" s="161"/>
      <c r="T3" s="198"/>
      <c r="U3" s="161"/>
      <c r="V3" s="161"/>
      <c r="W3" s="198"/>
    </row>
    <row r="4" ht="15.75" customHeight="1">
      <c r="A4" s="199"/>
      <c r="B4" s="199"/>
      <c r="C4" s="186"/>
      <c r="D4" s="186"/>
      <c r="E4" s="200"/>
      <c r="F4" s="189"/>
      <c r="G4" s="189"/>
      <c r="H4" s="200"/>
      <c r="I4" s="201"/>
      <c r="J4" s="202"/>
      <c r="K4" s="200"/>
      <c r="L4" s="189"/>
      <c r="M4" s="200"/>
      <c r="N4" s="189"/>
      <c r="O4" s="197"/>
      <c r="P4" s="198"/>
      <c r="Q4" s="161"/>
      <c r="R4" s="161"/>
      <c r="S4" s="161"/>
      <c r="T4" s="198"/>
      <c r="U4" s="161"/>
      <c r="V4" s="161"/>
      <c r="W4" s="198"/>
    </row>
    <row r="5" ht="15.75" customHeight="1">
      <c r="A5" s="191"/>
      <c r="B5" s="191"/>
      <c r="C5" s="192"/>
      <c r="D5" s="192"/>
      <c r="E5" s="193"/>
      <c r="F5" s="194"/>
      <c r="G5" s="193"/>
      <c r="H5" s="193"/>
      <c r="I5" s="195"/>
      <c r="J5" s="196"/>
      <c r="K5" s="193"/>
      <c r="L5" s="194"/>
      <c r="M5" s="193"/>
      <c r="N5" s="194"/>
      <c r="O5" s="197"/>
      <c r="P5" s="198"/>
      <c r="Q5" s="161"/>
      <c r="R5" s="161"/>
      <c r="S5" s="161"/>
      <c r="T5" s="198"/>
      <c r="U5" s="161"/>
      <c r="V5" s="161"/>
      <c r="W5" s="198"/>
    </row>
    <row r="6" ht="15.75" customHeight="1">
      <c r="A6" s="199"/>
      <c r="B6" s="199"/>
      <c r="C6" s="186"/>
      <c r="D6" s="186"/>
      <c r="E6" s="200"/>
      <c r="F6" s="189"/>
      <c r="G6" s="200"/>
      <c r="H6" s="200"/>
      <c r="I6" s="201"/>
      <c r="J6" s="202"/>
      <c r="K6" s="200"/>
      <c r="L6" s="189"/>
      <c r="M6" s="200"/>
      <c r="N6" s="189"/>
      <c r="O6" s="197"/>
      <c r="P6" s="198"/>
      <c r="Q6" s="161"/>
      <c r="R6" s="161"/>
      <c r="S6" s="161"/>
      <c r="T6" s="198"/>
      <c r="U6" s="161"/>
      <c r="V6" s="161"/>
      <c r="W6" s="198"/>
    </row>
    <row r="7" ht="15.75" customHeight="1">
      <c r="A7" s="191"/>
      <c r="B7" s="191"/>
      <c r="C7" s="192"/>
      <c r="D7" s="192"/>
      <c r="E7" s="193"/>
      <c r="F7" s="194"/>
      <c r="G7" s="193"/>
      <c r="H7" s="193"/>
      <c r="I7" s="195"/>
      <c r="J7" s="196"/>
      <c r="K7" s="193"/>
      <c r="L7" s="194"/>
      <c r="M7" s="193"/>
      <c r="N7" s="194"/>
      <c r="O7" s="197"/>
      <c r="P7" s="198"/>
      <c r="Q7" s="161"/>
      <c r="R7" s="161"/>
      <c r="S7" s="161"/>
      <c r="T7" s="198"/>
      <c r="U7" s="161"/>
      <c r="V7" s="161"/>
      <c r="W7" s="198"/>
    </row>
    <row r="8" ht="15.75" customHeight="1">
      <c r="A8" s="199"/>
      <c r="B8" s="199"/>
      <c r="C8" s="186"/>
      <c r="D8" s="186"/>
      <c r="E8" s="200"/>
      <c r="F8" s="189"/>
      <c r="G8" s="200"/>
      <c r="H8" s="200"/>
      <c r="I8" s="201"/>
      <c r="J8" s="202"/>
      <c r="K8" s="200"/>
      <c r="L8" s="189"/>
      <c r="M8" s="200"/>
      <c r="N8" s="189"/>
      <c r="O8" s="197"/>
      <c r="P8" s="198"/>
      <c r="Q8" s="161"/>
      <c r="R8" s="161"/>
      <c r="S8" s="161"/>
      <c r="T8" s="198"/>
      <c r="U8" s="161"/>
      <c r="V8" s="161"/>
      <c r="W8" s="198"/>
    </row>
    <row r="9" ht="15.75" customHeight="1">
      <c r="A9" s="191"/>
      <c r="B9" s="191"/>
      <c r="C9" s="192"/>
      <c r="D9" s="192"/>
      <c r="E9" s="193"/>
      <c r="F9" s="194"/>
      <c r="G9" s="193"/>
      <c r="H9" s="193"/>
      <c r="I9" s="195"/>
      <c r="J9" s="196"/>
      <c r="K9" s="193"/>
      <c r="L9" s="194"/>
      <c r="M9" s="193"/>
      <c r="N9" s="194"/>
      <c r="O9" s="197"/>
      <c r="P9" s="198"/>
      <c r="Q9" s="161"/>
      <c r="R9" s="161"/>
      <c r="S9" s="161"/>
      <c r="T9" s="198"/>
      <c r="U9" s="161"/>
      <c r="V9" s="161"/>
      <c r="W9" s="198"/>
    </row>
    <row r="10" ht="15.75" customHeight="1">
      <c r="A10" s="199"/>
      <c r="B10" s="199"/>
      <c r="C10" s="186"/>
      <c r="D10" s="186"/>
      <c r="E10" s="200"/>
      <c r="F10" s="189"/>
      <c r="G10" s="200"/>
      <c r="H10" s="200"/>
      <c r="I10" s="201"/>
      <c r="J10" s="202"/>
      <c r="K10" s="200"/>
      <c r="L10" s="189"/>
      <c r="M10" s="200"/>
      <c r="N10" s="189"/>
      <c r="O10" s="197"/>
      <c r="P10" s="198"/>
      <c r="Q10" s="161"/>
      <c r="R10" s="161"/>
      <c r="S10" s="161"/>
      <c r="T10" s="198"/>
      <c r="U10" s="161"/>
      <c r="V10" s="161"/>
      <c r="W10" s="198"/>
    </row>
    <row r="11" ht="15.75" customHeight="1">
      <c r="A11" s="191"/>
      <c r="B11" s="191"/>
      <c r="C11" s="192"/>
      <c r="D11" s="192"/>
      <c r="E11" s="193"/>
      <c r="F11" s="194"/>
      <c r="G11" s="193"/>
      <c r="H11" s="193"/>
      <c r="I11" s="195"/>
      <c r="J11" s="196"/>
      <c r="K11" s="193"/>
      <c r="L11" s="194"/>
      <c r="M11" s="193"/>
      <c r="N11" s="194"/>
      <c r="O11" s="197"/>
      <c r="P11" s="198"/>
      <c r="Q11" s="161"/>
      <c r="R11" s="161"/>
      <c r="S11" s="161"/>
      <c r="T11" s="198"/>
      <c r="U11" s="161"/>
      <c r="V11" s="161"/>
      <c r="W11" s="198"/>
    </row>
    <row r="12" ht="15.75" customHeight="1">
      <c r="A12" s="199"/>
      <c r="B12" s="199"/>
      <c r="C12" s="186"/>
      <c r="D12" s="186"/>
      <c r="E12" s="200"/>
      <c r="F12" s="189"/>
      <c r="G12" s="200"/>
      <c r="H12" s="200"/>
      <c r="I12" s="201"/>
      <c r="J12" s="202"/>
      <c r="K12" s="200"/>
      <c r="L12" s="189"/>
      <c r="M12" s="200"/>
      <c r="N12" s="189"/>
      <c r="O12" s="197"/>
      <c r="P12" s="198"/>
      <c r="Q12" s="161"/>
      <c r="R12" s="161"/>
      <c r="S12" s="161"/>
      <c r="T12" s="198"/>
      <c r="U12" s="161"/>
      <c r="V12" s="161"/>
      <c r="W12" s="198"/>
    </row>
    <row r="13" ht="15.75" customHeight="1">
      <c r="A13" s="192"/>
      <c r="B13" s="192"/>
      <c r="C13" s="192"/>
      <c r="D13" s="192"/>
      <c r="E13" s="193"/>
      <c r="F13" s="194"/>
      <c r="G13" s="194"/>
      <c r="H13" s="193"/>
      <c r="I13" s="195"/>
      <c r="J13" s="196"/>
      <c r="K13" s="193"/>
      <c r="L13" s="194"/>
      <c r="M13" s="193"/>
      <c r="N13" s="194"/>
      <c r="O13" s="197"/>
      <c r="P13" s="198"/>
      <c r="Q13" s="161"/>
      <c r="R13" s="161"/>
      <c r="S13" s="161"/>
      <c r="T13" s="198"/>
      <c r="U13" s="161"/>
      <c r="V13" s="161"/>
      <c r="W13" s="198"/>
    </row>
    <row r="14" ht="15.75" customHeight="1">
      <c r="A14" s="186"/>
      <c r="B14" s="186"/>
      <c r="C14" s="186"/>
      <c r="D14" s="186"/>
      <c r="E14" s="200"/>
      <c r="F14" s="189"/>
      <c r="G14" s="200"/>
      <c r="H14" s="200"/>
      <c r="I14" s="201"/>
      <c r="J14" s="202"/>
      <c r="K14" s="200"/>
      <c r="L14" s="189"/>
      <c r="M14" s="200"/>
      <c r="N14" s="189"/>
      <c r="O14" s="197"/>
      <c r="P14" s="198"/>
      <c r="Q14" s="161"/>
      <c r="R14" s="161"/>
      <c r="S14" s="161"/>
      <c r="T14" s="198"/>
      <c r="U14" s="161"/>
      <c r="V14" s="161"/>
      <c r="W14" s="198"/>
    </row>
    <row r="15" ht="15.75" customHeight="1">
      <c r="A15" s="192"/>
      <c r="B15" s="192"/>
      <c r="C15" s="192"/>
      <c r="D15" s="192"/>
      <c r="E15" s="193"/>
      <c r="F15" s="193"/>
      <c r="G15" s="193"/>
      <c r="H15" s="193"/>
      <c r="I15" s="195"/>
      <c r="J15" s="196"/>
      <c r="K15" s="193"/>
      <c r="L15" s="194"/>
      <c r="M15" s="193"/>
      <c r="N15" s="194"/>
      <c r="O15" s="197"/>
      <c r="P15" s="198"/>
      <c r="Q15" s="161"/>
      <c r="R15" s="161"/>
      <c r="S15" s="161"/>
      <c r="T15" s="198"/>
      <c r="U15" s="161"/>
      <c r="V15" s="161"/>
      <c r="W15" s="198"/>
    </row>
    <row r="16" ht="15.75" customHeight="1">
      <c r="A16" s="186"/>
      <c r="B16" s="186"/>
      <c r="C16" s="186"/>
      <c r="D16" s="186"/>
      <c r="E16" s="200"/>
      <c r="F16" s="200"/>
      <c r="G16" s="200"/>
      <c r="H16" s="200"/>
      <c r="I16" s="201"/>
      <c r="J16" s="202"/>
      <c r="K16" s="200"/>
      <c r="L16" s="189"/>
      <c r="M16" s="200"/>
      <c r="N16" s="189"/>
      <c r="O16" s="197"/>
      <c r="P16" s="198"/>
      <c r="Q16" s="161"/>
      <c r="R16" s="161"/>
      <c r="S16" s="161"/>
      <c r="T16" s="198"/>
      <c r="U16" s="161"/>
      <c r="V16" s="161"/>
      <c r="W16" s="161"/>
    </row>
    <row r="17" ht="15.75" customHeight="1">
      <c r="A17" s="192"/>
      <c r="B17" s="192"/>
      <c r="C17" s="192"/>
      <c r="D17" s="192"/>
      <c r="E17" s="193"/>
      <c r="F17" s="193"/>
      <c r="G17" s="193"/>
      <c r="H17" s="193"/>
      <c r="I17" s="195"/>
      <c r="J17" s="196"/>
      <c r="K17" s="193"/>
      <c r="L17" s="194"/>
      <c r="M17" s="193"/>
      <c r="N17" s="194"/>
      <c r="O17" s="197"/>
      <c r="P17" s="198"/>
      <c r="Q17" s="161"/>
      <c r="R17" s="161"/>
      <c r="S17" s="161"/>
      <c r="T17" s="198"/>
      <c r="U17" s="161"/>
      <c r="V17" s="161"/>
      <c r="W17" s="161"/>
    </row>
    <row r="18" ht="15.75" customHeight="1">
      <c r="A18" s="186"/>
      <c r="B18" s="186"/>
      <c r="C18" s="186"/>
      <c r="D18" s="186"/>
      <c r="E18" s="200"/>
      <c r="F18" s="200"/>
      <c r="G18" s="200"/>
      <c r="H18" s="200"/>
      <c r="I18" s="201"/>
      <c r="J18" s="202"/>
      <c r="K18" s="200"/>
      <c r="L18" s="189"/>
      <c r="M18" s="200"/>
      <c r="N18" s="189"/>
      <c r="O18" s="197"/>
      <c r="P18" s="198"/>
      <c r="Q18" s="161"/>
      <c r="R18" s="161"/>
      <c r="S18" s="161"/>
      <c r="T18" s="198"/>
      <c r="U18" s="161"/>
      <c r="V18" s="161"/>
      <c r="W18" s="161"/>
    </row>
    <row r="19" ht="15.75" customHeight="1">
      <c r="A19" s="192"/>
      <c r="B19" s="192"/>
      <c r="C19" s="192"/>
      <c r="D19" s="192"/>
      <c r="E19" s="193"/>
      <c r="F19" s="193"/>
      <c r="G19" s="193"/>
      <c r="H19" s="193"/>
      <c r="I19" s="195"/>
      <c r="J19" s="196"/>
      <c r="K19" s="193"/>
      <c r="L19" s="194"/>
      <c r="M19" s="193"/>
      <c r="N19" s="194"/>
      <c r="O19" s="197"/>
      <c r="P19" s="198"/>
      <c r="Q19" s="161"/>
      <c r="R19" s="161"/>
      <c r="S19" s="161"/>
      <c r="T19" s="198"/>
      <c r="U19" s="161"/>
      <c r="V19" s="161"/>
      <c r="W19" s="161"/>
    </row>
    <row r="20" ht="15.75" customHeight="1">
      <c r="A20" s="186"/>
      <c r="B20" s="186"/>
      <c r="C20" s="186"/>
      <c r="D20" s="186"/>
      <c r="E20" s="200"/>
      <c r="F20" s="200"/>
      <c r="G20" s="200"/>
      <c r="H20" s="200"/>
      <c r="I20" s="201"/>
      <c r="J20" s="202"/>
      <c r="K20" s="200"/>
      <c r="L20" s="189"/>
      <c r="M20" s="200"/>
      <c r="N20" s="189"/>
      <c r="O20" s="197"/>
      <c r="P20" s="198"/>
      <c r="Q20" s="161"/>
      <c r="R20" s="161"/>
      <c r="S20" s="161"/>
      <c r="T20" s="198"/>
      <c r="U20" s="161"/>
      <c r="V20" s="161"/>
      <c r="W20" s="161"/>
    </row>
    <row r="21" ht="15.75" customHeight="1">
      <c r="A21" s="192"/>
      <c r="B21" s="192"/>
      <c r="C21" s="192"/>
      <c r="D21" s="192"/>
      <c r="E21" s="193"/>
      <c r="F21" s="193"/>
      <c r="G21" s="193"/>
      <c r="H21" s="193"/>
      <c r="I21" s="195"/>
      <c r="J21" s="196"/>
      <c r="K21" s="193"/>
      <c r="L21" s="194"/>
      <c r="M21" s="193"/>
      <c r="N21" s="194"/>
      <c r="O21" s="197"/>
      <c r="P21" s="198"/>
      <c r="Q21" s="161"/>
      <c r="R21" s="161"/>
      <c r="S21" s="161"/>
      <c r="T21" s="161"/>
      <c r="U21" s="161"/>
      <c r="V21" s="161"/>
      <c r="W21" s="161"/>
    </row>
    <row r="22" ht="15.75" customHeight="1">
      <c r="A22" s="186"/>
      <c r="B22" s="186"/>
      <c r="C22" s="186"/>
      <c r="D22" s="186"/>
      <c r="E22" s="200"/>
      <c r="F22" s="200"/>
      <c r="G22" s="200"/>
      <c r="H22" s="200"/>
      <c r="I22" s="201"/>
      <c r="J22" s="202"/>
      <c r="K22" s="200"/>
      <c r="L22" s="189"/>
      <c r="M22" s="200"/>
      <c r="N22" s="189"/>
      <c r="O22" s="197"/>
      <c r="P22" s="198"/>
      <c r="Q22" s="161"/>
      <c r="R22" s="161"/>
      <c r="S22" s="161"/>
      <c r="T22" s="161"/>
      <c r="U22" s="161"/>
      <c r="V22" s="161"/>
      <c r="W22" s="161"/>
    </row>
    <row r="23" ht="15.75" customHeight="1">
      <c r="A23" s="192"/>
      <c r="B23" s="192"/>
      <c r="C23" s="192"/>
      <c r="D23" s="192"/>
      <c r="E23" s="193"/>
      <c r="F23" s="193"/>
      <c r="G23" s="193"/>
      <c r="H23" s="193"/>
      <c r="I23" s="195"/>
      <c r="J23" s="196"/>
      <c r="K23" s="193"/>
      <c r="L23" s="194"/>
      <c r="M23" s="193"/>
      <c r="N23" s="194"/>
      <c r="O23" s="197"/>
      <c r="P23" s="198"/>
      <c r="Q23" s="161"/>
      <c r="R23" s="161"/>
      <c r="S23" s="161"/>
      <c r="T23" s="161"/>
      <c r="U23" s="161"/>
      <c r="V23" s="161"/>
      <c r="W23" s="161"/>
    </row>
    <row r="24" ht="15.75" customHeight="1">
      <c r="A24" s="186"/>
      <c r="B24" s="186"/>
      <c r="C24" s="186"/>
      <c r="D24" s="186"/>
      <c r="E24" s="200"/>
      <c r="F24" s="200"/>
      <c r="G24" s="200"/>
      <c r="H24" s="200"/>
      <c r="I24" s="203"/>
      <c r="J24" s="202"/>
      <c r="K24" s="200"/>
      <c r="L24" s="200"/>
      <c r="M24" s="200"/>
      <c r="N24" s="189"/>
      <c r="O24" s="197"/>
      <c r="P24" s="161"/>
      <c r="Q24" s="161"/>
      <c r="R24" s="161"/>
      <c r="S24" s="161"/>
      <c r="T24" s="161"/>
      <c r="U24" s="161"/>
      <c r="V24" s="161"/>
      <c r="W24" s="161"/>
    </row>
    <row r="25" ht="15.75" customHeight="1">
      <c r="A25" s="192"/>
      <c r="B25" s="192"/>
      <c r="C25" s="192"/>
      <c r="D25" s="192"/>
      <c r="E25" s="193"/>
      <c r="F25" s="193"/>
      <c r="G25" s="193"/>
      <c r="H25" s="193"/>
      <c r="I25" s="204"/>
      <c r="J25" s="196"/>
      <c r="K25" s="193"/>
      <c r="L25" s="193"/>
      <c r="M25" s="193"/>
      <c r="N25" s="194"/>
      <c r="O25" s="197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86"/>
      <c r="B26" s="186"/>
      <c r="C26" s="186"/>
      <c r="D26" s="186"/>
      <c r="E26" s="200"/>
      <c r="F26" s="200"/>
      <c r="G26" s="200"/>
      <c r="H26" s="200"/>
      <c r="I26" s="203"/>
      <c r="J26" s="202"/>
      <c r="K26" s="200"/>
      <c r="L26" s="200"/>
      <c r="M26" s="200"/>
      <c r="N26" s="189"/>
      <c r="O26" s="197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92"/>
      <c r="B27" s="192"/>
      <c r="C27" s="192"/>
      <c r="D27" s="192"/>
      <c r="E27" s="193"/>
      <c r="F27" s="193"/>
      <c r="G27" s="193"/>
      <c r="H27" s="193"/>
      <c r="I27" s="204"/>
      <c r="J27" s="196"/>
      <c r="K27" s="193"/>
      <c r="L27" s="193"/>
      <c r="M27" s="193"/>
      <c r="N27" s="194"/>
      <c r="O27" s="197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86"/>
      <c r="B28" s="186"/>
      <c r="C28" s="186"/>
      <c r="D28" s="186"/>
      <c r="E28" s="200"/>
      <c r="F28" s="200"/>
      <c r="G28" s="200"/>
      <c r="H28" s="200"/>
      <c r="I28" s="203"/>
      <c r="J28" s="202"/>
      <c r="K28" s="200"/>
      <c r="L28" s="200"/>
      <c r="M28" s="200"/>
      <c r="N28" s="189"/>
      <c r="O28" s="197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92"/>
      <c r="B29" s="192"/>
      <c r="C29" s="192"/>
      <c r="D29" s="192"/>
      <c r="E29" s="193"/>
      <c r="F29" s="193"/>
      <c r="G29" s="193"/>
      <c r="H29" s="193"/>
      <c r="I29" s="204"/>
      <c r="J29" s="196"/>
      <c r="K29" s="193"/>
      <c r="L29" s="193"/>
      <c r="M29" s="193"/>
      <c r="N29" s="194"/>
      <c r="O29" s="197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86"/>
      <c r="B30" s="186"/>
      <c r="C30" s="186"/>
      <c r="D30" s="186"/>
      <c r="E30" s="200"/>
      <c r="F30" s="200"/>
      <c r="G30" s="200"/>
      <c r="H30" s="200"/>
      <c r="I30" s="201"/>
      <c r="J30" s="202"/>
      <c r="K30" s="200"/>
      <c r="L30" s="189"/>
      <c r="M30" s="200"/>
      <c r="N30" s="189"/>
      <c r="O30" s="197"/>
      <c r="P30" s="198"/>
      <c r="Q30" s="161"/>
      <c r="R30" s="161"/>
      <c r="S30" s="161"/>
      <c r="T30" s="161"/>
      <c r="U30" s="161"/>
      <c r="V30" s="161"/>
      <c r="W30" s="161"/>
    </row>
    <row r="31" ht="15.75" customHeight="1">
      <c r="A31" s="192"/>
      <c r="B31" s="192"/>
      <c r="C31" s="192"/>
      <c r="D31" s="192"/>
      <c r="E31" s="193"/>
      <c r="F31" s="193"/>
      <c r="G31" s="193"/>
      <c r="H31" s="193"/>
      <c r="I31" s="195"/>
      <c r="J31" s="196"/>
      <c r="K31" s="193"/>
      <c r="L31" s="194"/>
      <c r="M31" s="193"/>
      <c r="N31" s="194"/>
      <c r="O31" s="197"/>
      <c r="P31" s="198"/>
      <c r="Q31" s="161"/>
      <c r="R31" s="161"/>
      <c r="S31" s="161"/>
      <c r="T31" s="161"/>
      <c r="U31" s="161"/>
      <c r="V31" s="161"/>
      <c r="W31" s="161"/>
    </row>
    <row r="32" ht="15.75" customHeight="1">
      <c r="A32" s="186"/>
      <c r="B32" s="186"/>
      <c r="C32" s="186"/>
      <c r="D32" s="186"/>
      <c r="E32" s="200"/>
      <c r="F32" s="200"/>
      <c r="G32" s="200"/>
      <c r="H32" s="200"/>
      <c r="I32" s="201"/>
      <c r="J32" s="202"/>
      <c r="K32" s="200"/>
      <c r="L32" s="189"/>
      <c r="M32" s="200"/>
      <c r="N32" s="189"/>
      <c r="O32" s="197"/>
      <c r="P32" s="198"/>
      <c r="Q32" s="161"/>
      <c r="R32" s="161"/>
      <c r="S32" s="161"/>
      <c r="T32" s="161"/>
      <c r="U32" s="161"/>
      <c r="V32" s="161"/>
      <c r="W32" s="161"/>
    </row>
    <row r="33" ht="15.75" customHeight="1">
      <c r="A33" s="192"/>
      <c r="B33" s="192"/>
      <c r="C33" s="192"/>
      <c r="D33" s="192"/>
      <c r="E33" s="193"/>
      <c r="F33" s="193"/>
      <c r="G33" s="193"/>
      <c r="H33" s="193"/>
      <c r="I33" s="195"/>
      <c r="J33" s="196"/>
      <c r="K33" s="193"/>
      <c r="L33" s="194"/>
      <c r="M33" s="193"/>
      <c r="N33" s="194"/>
      <c r="O33" s="197"/>
      <c r="P33" s="198"/>
      <c r="Q33" s="161"/>
      <c r="R33" s="161"/>
      <c r="S33" s="161"/>
      <c r="T33" s="161"/>
      <c r="U33" s="161"/>
      <c r="V33" s="161"/>
      <c r="W33" s="161"/>
    </row>
    <row r="34" ht="15.75" customHeight="1">
      <c r="A34" s="186"/>
      <c r="B34" s="186"/>
      <c r="C34" s="186"/>
      <c r="D34" s="186"/>
      <c r="E34" s="200"/>
      <c r="F34" s="200"/>
      <c r="G34" s="200"/>
      <c r="H34" s="200"/>
      <c r="I34" s="201"/>
      <c r="J34" s="202"/>
      <c r="K34" s="200"/>
      <c r="L34" s="189"/>
      <c r="M34" s="200"/>
      <c r="N34" s="189"/>
      <c r="O34" s="197"/>
      <c r="P34" s="198"/>
      <c r="Q34" s="161"/>
      <c r="R34" s="161"/>
      <c r="S34" s="161"/>
      <c r="T34" s="161"/>
      <c r="U34" s="161"/>
      <c r="V34" s="161"/>
      <c r="W34" s="161"/>
    </row>
    <row r="35" ht="15.75" customHeight="1">
      <c r="A35" s="192"/>
      <c r="B35" s="192"/>
      <c r="C35" s="192"/>
      <c r="D35" s="192"/>
      <c r="E35" s="193"/>
      <c r="F35" s="193"/>
      <c r="G35" s="193"/>
      <c r="H35" s="193"/>
      <c r="I35" s="195"/>
      <c r="J35" s="196"/>
      <c r="K35" s="193"/>
      <c r="L35" s="194"/>
      <c r="M35" s="193"/>
      <c r="N35" s="194"/>
      <c r="O35" s="197"/>
      <c r="P35" s="198"/>
      <c r="Q35" s="161"/>
      <c r="R35" s="161"/>
      <c r="S35" s="161"/>
      <c r="T35" s="161"/>
      <c r="U35" s="161"/>
      <c r="V35" s="161"/>
      <c r="W35" s="161"/>
    </row>
    <row r="36" ht="15.75" customHeight="1">
      <c r="A36" s="186"/>
      <c r="B36" s="186"/>
      <c r="C36" s="186"/>
      <c r="D36" s="186"/>
      <c r="E36" s="200"/>
      <c r="F36" s="200"/>
      <c r="G36" s="200"/>
      <c r="H36" s="200"/>
      <c r="I36" s="201"/>
      <c r="J36" s="202"/>
      <c r="K36" s="200"/>
      <c r="L36" s="189"/>
      <c r="M36" s="200"/>
      <c r="N36" s="189"/>
      <c r="O36" s="197"/>
      <c r="P36" s="198"/>
      <c r="Q36" s="161"/>
      <c r="R36" s="161"/>
      <c r="S36" s="161"/>
      <c r="T36" s="161"/>
      <c r="U36" s="161"/>
      <c r="V36" s="161"/>
      <c r="W36" s="161"/>
    </row>
    <row r="37" ht="15.75" customHeight="1">
      <c r="A37" s="192"/>
      <c r="B37" s="192"/>
      <c r="C37" s="192"/>
      <c r="D37" s="192"/>
      <c r="E37" s="193"/>
      <c r="F37" s="193"/>
      <c r="G37" s="193"/>
      <c r="H37" s="193"/>
      <c r="I37" s="195"/>
      <c r="J37" s="196"/>
      <c r="K37" s="193"/>
      <c r="L37" s="194"/>
      <c r="M37" s="193"/>
      <c r="N37" s="194"/>
      <c r="O37" s="197"/>
      <c r="P37" s="198"/>
      <c r="Q37" s="161"/>
      <c r="R37" s="161"/>
      <c r="S37" s="161"/>
      <c r="T37" s="161"/>
      <c r="U37" s="161"/>
      <c r="V37" s="161"/>
      <c r="W37" s="161"/>
    </row>
    <row r="38" ht="15.75" customHeight="1">
      <c r="A38" s="186"/>
      <c r="B38" s="186"/>
      <c r="C38" s="186"/>
      <c r="D38" s="186"/>
      <c r="E38" s="200"/>
      <c r="F38" s="200"/>
      <c r="G38" s="200"/>
      <c r="H38" s="200"/>
      <c r="I38" s="201"/>
      <c r="J38" s="202"/>
      <c r="K38" s="200"/>
      <c r="L38" s="189"/>
      <c r="M38" s="200"/>
      <c r="N38" s="189"/>
      <c r="O38" s="197"/>
      <c r="P38" s="198"/>
      <c r="Q38" s="161"/>
      <c r="R38" s="161"/>
      <c r="S38" s="161"/>
      <c r="T38" s="161"/>
      <c r="U38" s="161"/>
      <c r="V38" s="161"/>
      <c r="W38" s="161"/>
    </row>
    <row r="39" ht="15.75" customHeight="1">
      <c r="A39" s="192"/>
      <c r="B39" s="192"/>
      <c r="C39" s="192"/>
      <c r="D39" s="192"/>
      <c r="E39" s="193"/>
      <c r="F39" s="193"/>
      <c r="G39" s="193"/>
      <c r="H39" s="193"/>
      <c r="I39" s="195"/>
      <c r="J39" s="196"/>
      <c r="K39" s="193"/>
      <c r="L39" s="194"/>
      <c r="M39" s="193"/>
      <c r="N39" s="194"/>
      <c r="O39" s="197"/>
      <c r="P39" s="198"/>
      <c r="Q39" s="161"/>
      <c r="R39" s="161"/>
      <c r="S39" s="161"/>
      <c r="T39" s="161"/>
      <c r="U39" s="161"/>
      <c r="V39" s="161"/>
      <c r="W39" s="161"/>
    </row>
    <row r="40" ht="15.75" customHeight="1">
      <c r="A40" s="186"/>
      <c r="B40" s="186"/>
      <c r="C40" s="186"/>
      <c r="D40" s="186"/>
      <c r="E40" s="200"/>
      <c r="F40" s="200"/>
      <c r="G40" s="200"/>
      <c r="H40" s="200"/>
      <c r="I40" s="201"/>
      <c r="J40" s="202"/>
      <c r="K40" s="200"/>
      <c r="L40" s="189"/>
      <c r="M40" s="200"/>
      <c r="N40" s="189"/>
      <c r="O40" s="197"/>
      <c r="P40" s="198"/>
      <c r="Q40" s="161"/>
      <c r="R40" s="161"/>
      <c r="S40" s="161"/>
      <c r="T40" s="161"/>
      <c r="U40" s="161"/>
      <c r="V40" s="161"/>
      <c r="W40" s="161"/>
    </row>
    <row r="41" ht="15.75" customHeight="1">
      <c r="A41" s="192"/>
      <c r="B41" s="192"/>
      <c r="C41" s="192"/>
      <c r="D41" s="192"/>
      <c r="E41" s="193"/>
      <c r="F41" s="193"/>
      <c r="G41" s="193"/>
      <c r="H41" s="193"/>
      <c r="I41" s="195"/>
      <c r="J41" s="196"/>
      <c r="K41" s="193"/>
      <c r="L41" s="194"/>
      <c r="M41" s="193"/>
      <c r="N41" s="194"/>
      <c r="O41" s="197"/>
      <c r="P41" s="198"/>
      <c r="Q41" s="161"/>
      <c r="R41" s="161"/>
      <c r="S41" s="161"/>
      <c r="T41" s="161"/>
      <c r="U41" s="161"/>
      <c r="V41" s="161"/>
      <c r="W41" s="161"/>
    </row>
    <row r="42" ht="15.75" customHeight="1">
      <c r="A42" s="186"/>
      <c r="B42" s="186"/>
      <c r="C42" s="186"/>
      <c r="D42" s="186"/>
      <c r="E42" s="200"/>
      <c r="F42" s="200"/>
      <c r="G42" s="200"/>
      <c r="H42" s="200"/>
      <c r="I42" s="201"/>
      <c r="J42" s="202"/>
      <c r="K42" s="200"/>
      <c r="L42" s="189"/>
      <c r="M42" s="200"/>
      <c r="N42" s="189"/>
      <c r="O42" s="197"/>
      <c r="P42" s="198"/>
      <c r="Q42" s="161"/>
      <c r="R42" s="161"/>
      <c r="S42" s="161"/>
      <c r="T42" s="161"/>
      <c r="U42" s="161"/>
      <c r="V42" s="161"/>
      <c r="W42" s="161"/>
    </row>
    <row r="43" ht="15.75" customHeight="1">
      <c r="A43" s="192"/>
      <c r="B43" s="192"/>
      <c r="C43" s="192"/>
      <c r="D43" s="192"/>
      <c r="E43" s="193"/>
      <c r="F43" s="193"/>
      <c r="G43" s="193"/>
      <c r="H43" s="193"/>
      <c r="I43" s="195"/>
      <c r="J43" s="196"/>
      <c r="K43" s="193"/>
      <c r="L43" s="194"/>
      <c r="M43" s="193"/>
      <c r="N43" s="194"/>
      <c r="O43" s="197"/>
      <c r="P43" s="198"/>
      <c r="Q43" s="161"/>
      <c r="R43" s="161"/>
      <c r="S43" s="161"/>
      <c r="T43" s="161"/>
      <c r="U43" s="161"/>
      <c r="V43" s="161"/>
      <c r="W43" s="161"/>
    </row>
    <row r="44" ht="15.75" customHeight="1">
      <c r="A44" s="192"/>
      <c r="B44" s="192"/>
      <c r="C44" s="192"/>
      <c r="D44" s="192"/>
      <c r="E44" s="193"/>
      <c r="F44" s="193"/>
      <c r="G44" s="193"/>
      <c r="H44" s="193"/>
      <c r="I44" s="195"/>
      <c r="J44" s="196"/>
      <c r="K44" s="193"/>
      <c r="L44" s="194"/>
      <c r="M44" s="193"/>
      <c r="N44" s="189"/>
      <c r="O44" s="197"/>
      <c r="P44" s="198"/>
      <c r="Q44" s="161"/>
      <c r="R44" s="161"/>
      <c r="S44" s="161"/>
      <c r="T44" s="161"/>
      <c r="U44" s="161"/>
      <c r="V44" s="161"/>
      <c r="W44" s="161"/>
    </row>
    <row r="45" ht="15.75" customHeight="1">
      <c r="A45" s="186"/>
      <c r="B45" s="186"/>
      <c r="C45" s="186"/>
      <c r="D45" s="186"/>
      <c r="E45" s="200"/>
      <c r="F45" s="200"/>
      <c r="G45" s="200"/>
      <c r="H45" s="200"/>
      <c r="I45" s="201"/>
      <c r="J45" s="202"/>
      <c r="K45" s="200"/>
      <c r="L45" s="189"/>
      <c r="M45" s="200"/>
      <c r="N45" s="189"/>
      <c r="O45" s="197"/>
      <c r="P45" s="198"/>
      <c r="Q45" s="161"/>
      <c r="R45" s="161"/>
      <c r="S45" s="161"/>
      <c r="T45" s="161"/>
      <c r="U45" s="161"/>
      <c r="V45" s="161"/>
      <c r="W45" s="161"/>
    </row>
    <row r="46" ht="15.75" customHeight="1">
      <c r="A46" s="192"/>
      <c r="B46" s="192"/>
      <c r="C46" s="192"/>
      <c r="D46" s="192"/>
      <c r="E46" s="193"/>
      <c r="F46" s="193"/>
      <c r="G46" s="193"/>
      <c r="H46" s="193"/>
      <c r="I46" s="195"/>
      <c r="J46" s="196"/>
      <c r="K46" s="193"/>
      <c r="L46" s="194"/>
      <c r="M46" s="193"/>
      <c r="N46" s="189"/>
      <c r="O46" s="197"/>
      <c r="P46" s="198"/>
      <c r="Q46" s="161"/>
      <c r="R46" s="161"/>
      <c r="S46" s="161"/>
      <c r="T46" s="161"/>
      <c r="U46" s="161"/>
      <c r="V46" s="161"/>
      <c r="W46" s="161"/>
    </row>
    <row r="47" ht="15.75" customHeight="1">
      <c r="A47" s="186"/>
      <c r="B47" s="186"/>
      <c r="C47" s="186"/>
      <c r="D47" s="186"/>
      <c r="E47" s="200"/>
      <c r="F47" s="200"/>
      <c r="G47" s="200"/>
      <c r="H47" s="200"/>
      <c r="I47" s="203"/>
      <c r="J47" s="202"/>
      <c r="K47" s="200"/>
      <c r="L47" s="200"/>
      <c r="M47" s="200"/>
      <c r="N47" s="189"/>
      <c r="O47" s="197"/>
      <c r="P47" s="198"/>
      <c r="Q47" s="161"/>
      <c r="R47" s="161"/>
      <c r="S47" s="161"/>
      <c r="T47" s="161"/>
      <c r="U47" s="161"/>
      <c r="V47" s="161"/>
      <c r="W47" s="161"/>
    </row>
    <row r="48" ht="15.75" customHeight="1">
      <c r="A48" s="192"/>
      <c r="B48" s="192"/>
      <c r="C48" s="192"/>
      <c r="D48" s="192"/>
      <c r="E48" s="192"/>
      <c r="F48" s="192"/>
      <c r="G48" s="192"/>
      <c r="H48" s="192"/>
      <c r="I48" s="205"/>
      <c r="J48" s="206"/>
      <c r="K48" s="192"/>
      <c r="L48" s="192"/>
      <c r="M48" s="192"/>
      <c r="N48" s="189"/>
      <c r="O48" s="190"/>
    </row>
    <row r="49" ht="15.75" customHeight="1">
      <c r="A49" s="186"/>
      <c r="B49" s="186"/>
      <c r="C49" s="186"/>
      <c r="D49" s="186"/>
      <c r="E49" s="186"/>
      <c r="F49" s="186"/>
      <c r="G49" s="186"/>
      <c r="H49" s="186"/>
      <c r="I49" s="187"/>
      <c r="J49" s="188"/>
      <c r="K49" s="186"/>
      <c r="L49" s="186"/>
      <c r="M49" s="186"/>
      <c r="N49" s="189"/>
      <c r="O49" s="190"/>
    </row>
    <row r="50" ht="15.75" customHeight="1">
      <c r="A50" s="192"/>
      <c r="B50" s="192"/>
      <c r="C50" s="192"/>
      <c r="D50" s="192"/>
      <c r="E50" s="192"/>
      <c r="F50" s="192"/>
      <c r="G50" s="192"/>
      <c r="H50" s="192"/>
      <c r="I50" s="205"/>
      <c r="J50" s="206"/>
      <c r="K50" s="192"/>
      <c r="L50" s="192"/>
      <c r="M50" s="192"/>
      <c r="N50" s="189"/>
      <c r="O50" s="190"/>
    </row>
    <row r="51" ht="15.75" customHeight="1">
      <c r="A51" s="186"/>
      <c r="B51" s="186"/>
      <c r="C51" s="186"/>
      <c r="D51" s="186"/>
      <c r="E51" s="186"/>
      <c r="F51" s="186"/>
      <c r="G51" s="186"/>
      <c r="H51" s="186"/>
      <c r="I51" s="187"/>
      <c r="J51" s="188"/>
      <c r="K51" s="186"/>
      <c r="L51" s="186"/>
      <c r="M51" s="186"/>
      <c r="N51" s="189"/>
      <c r="O51" s="190"/>
    </row>
    <row r="52" ht="15.75" customHeight="1">
      <c r="A52" s="192"/>
      <c r="B52" s="192"/>
      <c r="C52" s="192"/>
      <c r="D52" s="192"/>
      <c r="E52" s="192"/>
      <c r="F52" s="192"/>
      <c r="G52" s="192"/>
      <c r="H52" s="192"/>
      <c r="I52" s="205"/>
      <c r="J52" s="206"/>
      <c r="K52" s="192"/>
      <c r="L52" s="192"/>
      <c r="M52" s="192"/>
      <c r="N52" s="189"/>
      <c r="O52" s="190"/>
    </row>
    <row r="53" ht="15.75" customHeight="1">
      <c r="A53" s="186"/>
      <c r="B53" s="186"/>
      <c r="C53" s="186"/>
      <c r="D53" s="186"/>
      <c r="E53" s="186"/>
      <c r="F53" s="186"/>
      <c r="G53" s="186"/>
      <c r="H53" s="186"/>
      <c r="I53" s="187"/>
      <c r="J53" s="188"/>
      <c r="K53" s="186"/>
      <c r="L53" s="186"/>
      <c r="M53" s="186"/>
      <c r="N53" s="189"/>
      <c r="O53" s="190"/>
    </row>
    <row r="54" ht="15.75" customHeight="1">
      <c r="A54" s="186"/>
      <c r="B54" s="186"/>
      <c r="C54" s="186"/>
      <c r="D54" s="186"/>
      <c r="E54" s="186"/>
      <c r="F54" s="186"/>
      <c r="G54" s="186"/>
      <c r="H54" s="186"/>
      <c r="I54" s="187"/>
      <c r="J54" s="188"/>
      <c r="K54" s="186"/>
      <c r="L54" s="186"/>
      <c r="M54" s="186"/>
      <c r="N54" s="189"/>
      <c r="O54" s="190"/>
    </row>
    <row r="55" ht="15.75" customHeight="1">
      <c r="A55" s="192"/>
      <c r="B55" s="192"/>
      <c r="C55" s="192"/>
      <c r="D55" s="192"/>
      <c r="E55" s="192"/>
      <c r="F55" s="192"/>
      <c r="G55" s="192"/>
      <c r="H55" s="192"/>
      <c r="I55" s="205"/>
      <c r="J55" s="206"/>
      <c r="K55" s="192"/>
      <c r="L55" s="192"/>
      <c r="M55" s="192"/>
      <c r="N55" s="189"/>
      <c r="O55" s="190"/>
    </row>
    <row r="56" ht="15.75" customHeight="1">
      <c r="A56" s="186"/>
      <c r="B56" s="186"/>
      <c r="C56" s="186"/>
      <c r="D56" s="186"/>
      <c r="E56" s="186"/>
      <c r="F56" s="186"/>
      <c r="G56" s="186"/>
      <c r="H56" s="186"/>
      <c r="I56" s="187"/>
      <c r="J56" s="188"/>
      <c r="K56" s="186"/>
      <c r="L56" s="186"/>
      <c r="M56" s="186"/>
      <c r="N56" s="189"/>
      <c r="O56" s="190"/>
    </row>
    <row r="57" ht="15.75" customHeight="1">
      <c r="A57" s="192"/>
      <c r="B57" s="192"/>
      <c r="C57" s="192"/>
      <c r="D57" s="192"/>
      <c r="E57" s="192"/>
      <c r="F57" s="192"/>
      <c r="G57" s="192"/>
      <c r="H57" s="192"/>
      <c r="I57" s="205"/>
      <c r="J57" s="206"/>
      <c r="K57" s="192"/>
      <c r="L57" s="192"/>
      <c r="M57" s="192"/>
      <c r="N57" s="189"/>
      <c r="O57" s="190"/>
    </row>
    <row r="58" ht="15.75" customHeight="1">
      <c r="A58" s="186"/>
      <c r="B58" s="186"/>
      <c r="C58" s="186"/>
      <c r="D58" s="186"/>
      <c r="E58" s="186"/>
      <c r="F58" s="186"/>
      <c r="G58" s="186"/>
      <c r="H58" s="186"/>
      <c r="I58" s="187"/>
      <c r="J58" s="188"/>
      <c r="K58" s="186"/>
      <c r="L58" s="186"/>
      <c r="M58" s="186"/>
      <c r="N58" s="189"/>
      <c r="O58" s="190"/>
    </row>
    <row r="59" ht="15.75" customHeight="1">
      <c r="A59" s="192"/>
      <c r="B59" s="192"/>
      <c r="C59" s="192"/>
      <c r="D59" s="192"/>
      <c r="E59" s="192"/>
      <c r="F59" s="192"/>
      <c r="G59" s="192"/>
      <c r="H59" s="192"/>
      <c r="I59" s="205"/>
      <c r="J59" s="206"/>
      <c r="K59" s="192"/>
      <c r="L59" s="192"/>
      <c r="M59" s="192"/>
      <c r="N59" s="189"/>
      <c r="O59" s="190"/>
    </row>
    <row r="60" ht="15.75" customHeight="1">
      <c r="A60" s="186"/>
      <c r="B60" s="186"/>
      <c r="C60" s="186"/>
      <c r="D60" s="186"/>
      <c r="E60" s="186"/>
      <c r="F60" s="186"/>
      <c r="G60" s="186"/>
      <c r="H60" s="186"/>
      <c r="I60" s="187"/>
      <c r="J60" s="188"/>
      <c r="K60" s="186"/>
      <c r="L60" s="186"/>
      <c r="M60" s="186"/>
      <c r="N60" s="189"/>
      <c r="O60" s="190"/>
    </row>
    <row r="61" ht="15.75" customHeight="1">
      <c r="A61" s="192"/>
      <c r="B61" s="192"/>
      <c r="C61" s="192"/>
      <c r="D61" s="192"/>
      <c r="E61" s="192"/>
      <c r="F61" s="192"/>
      <c r="G61" s="192"/>
      <c r="H61" s="192"/>
      <c r="I61" s="205"/>
      <c r="J61" s="206"/>
      <c r="K61" s="192"/>
      <c r="L61" s="192"/>
      <c r="M61" s="192"/>
      <c r="N61" s="189"/>
      <c r="O61" s="190"/>
    </row>
    <row r="62" ht="15.75" customHeight="1">
      <c r="A62" s="186"/>
      <c r="B62" s="186"/>
      <c r="C62" s="186"/>
      <c r="D62" s="186"/>
      <c r="E62" s="186"/>
      <c r="F62" s="186"/>
      <c r="G62" s="186"/>
      <c r="H62" s="186"/>
      <c r="I62" s="187"/>
      <c r="J62" s="188"/>
      <c r="K62" s="186"/>
      <c r="L62" s="186"/>
      <c r="M62" s="186"/>
      <c r="N62" s="189"/>
      <c r="O62" s="190"/>
    </row>
    <row r="63" ht="15.75" customHeight="1">
      <c r="A63" s="192"/>
      <c r="B63" s="192"/>
      <c r="C63" s="192"/>
      <c r="D63" s="192"/>
      <c r="E63" s="192"/>
      <c r="F63" s="192"/>
      <c r="G63" s="192"/>
      <c r="H63" s="192"/>
      <c r="I63" s="205"/>
      <c r="J63" s="206"/>
      <c r="K63" s="192"/>
      <c r="L63" s="192"/>
      <c r="M63" s="192"/>
      <c r="N63" s="189"/>
      <c r="O63" s="190"/>
    </row>
    <row r="64" ht="15.75" customHeight="1">
      <c r="A64" s="186"/>
      <c r="B64" s="186"/>
      <c r="C64" s="186"/>
      <c r="D64" s="186"/>
      <c r="E64" s="186"/>
      <c r="F64" s="186"/>
      <c r="G64" s="186"/>
      <c r="H64" s="186"/>
      <c r="I64" s="187"/>
      <c r="J64" s="188"/>
      <c r="K64" s="186"/>
      <c r="L64" s="186"/>
      <c r="M64" s="186"/>
      <c r="N64" s="189"/>
      <c r="O64" s="190"/>
    </row>
    <row r="65" ht="15.75" customHeight="1">
      <c r="A65" s="192"/>
      <c r="B65" s="192"/>
      <c r="C65" s="192"/>
      <c r="D65" s="192"/>
      <c r="E65" s="192"/>
      <c r="F65" s="192"/>
      <c r="G65" s="192"/>
      <c r="H65" s="192"/>
      <c r="I65" s="205"/>
      <c r="J65" s="206"/>
      <c r="K65" s="192"/>
      <c r="L65" s="192"/>
      <c r="M65" s="192"/>
      <c r="N65" s="189"/>
      <c r="O65" s="190"/>
    </row>
    <row r="66" ht="15.75" customHeight="1">
      <c r="A66" s="186"/>
      <c r="B66" s="186"/>
      <c r="C66" s="186"/>
      <c r="D66" s="186"/>
      <c r="E66" s="186"/>
      <c r="F66" s="186"/>
      <c r="G66" s="186"/>
      <c r="H66" s="186"/>
      <c r="I66" s="187"/>
      <c r="J66" s="188"/>
      <c r="K66" s="186"/>
      <c r="L66" s="186"/>
      <c r="M66" s="186"/>
      <c r="N66" s="189"/>
      <c r="O66" s="190"/>
    </row>
    <row r="67" ht="15.75" customHeight="1">
      <c r="A67" s="192"/>
      <c r="B67" s="192"/>
      <c r="C67" s="192"/>
      <c r="D67" s="192"/>
      <c r="E67" s="192"/>
      <c r="F67" s="192"/>
      <c r="G67" s="192"/>
      <c r="H67" s="192"/>
      <c r="I67" s="205"/>
      <c r="J67" s="206"/>
      <c r="K67" s="192"/>
      <c r="L67" s="192"/>
      <c r="M67" s="192"/>
      <c r="N67" s="189"/>
      <c r="O67" s="190"/>
    </row>
    <row r="68" ht="15.75" customHeight="1">
      <c r="A68" s="186"/>
      <c r="B68" s="186"/>
      <c r="C68" s="186"/>
      <c r="D68" s="186"/>
      <c r="E68" s="186"/>
      <c r="F68" s="186"/>
      <c r="G68" s="186"/>
      <c r="H68" s="186"/>
      <c r="I68" s="187"/>
      <c r="J68" s="188"/>
      <c r="K68" s="186"/>
      <c r="L68" s="186"/>
      <c r="M68" s="186"/>
      <c r="N68" s="189"/>
      <c r="O68" s="190"/>
    </row>
    <row r="69" ht="15.75" customHeight="1">
      <c r="A69" s="192"/>
      <c r="B69" s="192"/>
      <c r="C69" s="192"/>
      <c r="D69" s="192"/>
      <c r="E69" s="192"/>
      <c r="F69" s="192"/>
      <c r="G69" s="192"/>
      <c r="H69" s="192"/>
      <c r="I69" s="205"/>
      <c r="J69" s="206"/>
      <c r="K69" s="192"/>
      <c r="L69" s="192"/>
      <c r="M69" s="192"/>
      <c r="N69" s="189"/>
      <c r="O69" s="190"/>
    </row>
    <row r="70" ht="15.75" customHeight="1">
      <c r="A70" s="186"/>
      <c r="B70" s="186"/>
      <c r="C70" s="186"/>
      <c r="D70" s="186"/>
      <c r="E70" s="186"/>
      <c r="F70" s="186"/>
      <c r="G70" s="186"/>
      <c r="H70" s="186"/>
      <c r="I70" s="187"/>
      <c r="J70" s="188"/>
      <c r="K70" s="186"/>
      <c r="L70" s="186"/>
      <c r="M70" s="186"/>
      <c r="N70" s="189"/>
      <c r="O70" s="190"/>
    </row>
    <row r="71" ht="15.75" customHeight="1">
      <c r="A71" s="192"/>
      <c r="B71" s="192"/>
      <c r="C71" s="192"/>
      <c r="D71" s="192"/>
      <c r="E71" s="192"/>
      <c r="F71" s="192"/>
      <c r="G71" s="192"/>
      <c r="H71" s="192"/>
      <c r="I71" s="205"/>
      <c r="J71" s="206"/>
      <c r="K71" s="192"/>
      <c r="L71" s="192"/>
      <c r="M71" s="192"/>
      <c r="N71" s="189"/>
      <c r="O71" s="190"/>
    </row>
    <row r="72" ht="15.75" customHeight="1">
      <c r="A72" s="186"/>
      <c r="B72" s="186"/>
      <c r="C72" s="186"/>
      <c r="D72" s="186"/>
      <c r="E72" s="186"/>
      <c r="F72" s="186"/>
      <c r="G72" s="186"/>
      <c r="H72" s="186"/>
      <c r="I72" s="187"/>
      <c r="J72" s="188"/>
      <c r="K72" s="186"/>
      <c r="L72" s="186"/>
      <c r="M72" s="186"/>
      <c r="N72" s="189"/>
      <c r="O72" s="190"/>
    </row>
    <row r="73" ht="15.75" customHeight="1">
      <c r="A73" s="192"/>
      <c r="B73" s="192"/>
      <c r="C73" s="192"/>
      <c r="D73" s="192"/>
      <c r="E73" s="192"/>
      <c r="F73" s="192"/>
      <c r="G73" s="192"/>
      <c r="H73" s="192"/>
      <c r="I73" s="205"/>
      <c r="J73" s="206"/>
      <c r="K73" s="192"/>
      <c r="L73" s="192"/>
      <c r="M73" s="192"/>
      <c r="N73" s="189"/>
      <c r="O73" s="190"/>
    </row>
    <row r="74" ht="15.75" customHeight="1">
      <c r="A74" s="186"/>
      <c r="B74" s="186"/>
      <c r="C74" s="186"/>
      <c r="D74" s="186"/>
      <c r="E74" s="186"/>
      <c r="F74" s="186"/>
      <c r="G74" s="186"/>
      <c r="H74" s="186"/>
      <c r="I74" s="187"/>
      <c r="J74" s="188"/>
      <c r="K74" s="186"/>
      <c r="L74" s="186"/>
      <c r="M74" s="186"/>
      <c r="N74" s="189"/>
      <c r="O74" s="190"/>
    </row>
    <row r="75" ht="15.75" customHeight="1">
      <c r="A75" s="192"/>
      <c r="B75" s="192"/>
      <c r="C75" s="192"/>
      <c r="D75" s="192"/>
      <c r="E75" s="192"/>
      <c r="F75" s="192"/>
      <c r="G75" s="192"/>
      <c r="H75" s="192"/>
      <c r="I75" s="205"/>
      <c r="J75" s="206"/>
      <c r="K75" s="192"/>
      <c r="L75" s="192"/>
      <c r="M75" s="192"/>
      <c r="N75" s="189"/>
      <c r="O75" s="190"/>
    </row>
    <row r="76" ht="15.75" customHeight="1">
      <c r="A76" s="186"/>
      <c r="B76" s="186"/>
      <c r="C76" s="186"/>
      <c r="D76" s="186"/>
      <c r="E76" s="186"/>
      <c r="F76" s="186"/>
      <c r="G76" s="186"/>
      <c r="H76" s="186"/>
      <c r="I76" s="187"/>
      <c r="J76" s="188"/>
      <c r="K76" s="186"/>
      <c r="L76" s="186"/>
      <c r="M76" s="186"/>
      <c r="N76" s="189"/>
      <c r="O76" s="190"/>
    </row>
    <row r="77" ht="15.75" customHeight="1">
      <c r="A77" s="192"/>
      <c r="B77" s="192"/>
      <c r="C77" s="192"/>
      <c r="D77" s="192"/>
      <c r="E77" s="192"/>
      <c r="F77" s="192"/>
      <c r="G77" s="192"/>
      <c r="H77" s="192"/>
      <c r="I77" s="205"/>
      <c r="J77" s="206"/>
      <c r="K77" s="192"/>
      <c r="L77" s="192"/>
      <c r="M77" s="192"/>
      <c r="N77" s="189"/>
      <c r="O77" s="190"/>
    </row>
    <row r="78" ht="15.75" customHeight="1">
      <c r="A78" s="186"/>
      <c r="B78" s="186"/>
      <c r="C78" s="186"/>
      <c r="D78" s="186"/>
      <c r="E78" s="186"/>
      <c r="F78" s="186"/>
      <c r="G78" s="186"/>
      <c r="H78" s="186"/>
      <c r="I78" s="187"/>
      <c r="J78" s="188"/>
      <c r="K78" s="186"/>
      <c r="L78" s="186"/>
      <c r="M78" s="186"/>
      <c r="N78" s="189"/>
      <c r="O78" s="190"/>
    </row>
    <row r="79" ht="15.75" customHeight="1">
      <c r="A79" s="186"/>
      <c r="B79" s="186"/>
      <c r="C79" s="186"/>
      <c r="D79" s="186"/>
      <c r="E79" s="186"/>
      <c r="F79" s="186"/>
      <c r="G79" s="186"/>
      <c r="H79" s="186"/>
      <c r="I79" s="187"/>
      <c r="J79" s="188"/>
      <c r="K79" s="186"/>
      <c r="L79" s="186"/>
      <c r="M79" s="186"/>
      <c r="N79" s="189"/>
      <c r="O79" s="190"/>
    </row>
    <row r="80" ht="15.75" customHeight="1">
      <c r="A80" s="192"/>
      <c r="B80" s="192"/>
      <c r="C80" s="192"/>
      <c r="D80" s="192"/>
      <c r="E80" s="192"/>
      <c r="F80" s="192"/>
      <c r="G80" s="192"/>
      <c r="H80" s="192"/>
      <c r="I80" s="205"/>
      <c r="J80" s="206"/>
      <c r="K80" s="192"/>
      <c r="L80" s="192"/>
      <c r="M80" s="192"/>
      <c r="N80" s="189"/>
      <c r="O80" s="190"/>
    </row>
    <row r="81" ht="15.75" customHeight="1">
      <c r="A81" s="186"/>
      <c r="B81" s="186"/>
      <c r="C81" s="186"/>
      <c r="D81" s="186"/>
      <c r="E81" s="186"/>
      <c r="F81" s="186"/>
      <c r="G81" s="186"/>
      <c r="H81" s="186"/>
      <c r="I81" s="187"/>
      <c r="J81" s="188"/>
      <c r="K81" s="186"/>
      <c r="L81" s="186"/>
      <c r="M81" s="186"/>
      <c r="N81" s="189"/>
      <c r="O81" s="190"/>
    </row>
    <row r="82" ht="15.75" customHeight="1">
      <c r="A82" s="192"/>
      <c r="B82" s="192"/>
      <c r="C82" s="192"/>
      <c r="D82" s="192"/>
      <c r="E82" s="192"/>
      <c r="F82" s="192"/>
      <c r="G82" s="192"/>
      <c r="H82" s="192"/>
      <c r="I82" s="205"/>
      <c r="J82" s="206"/>
      <c r="K82" s="192"/>
      <c r="L82" s="192"/>
      <c r="M82" s="192"/>
      <c r="N82" s="189"/>
      <c r="O82" s="190"/>
    </row>
    <row r="83" ht="15.75" customHeight="1">
      <c r="A83" s="186"/>
      <c r="B83" s="186"/>
      <c r="C83" s="186"/>
      <c r="D83" s="186"/>
      <c r="E83" s="186"/>
      <c r="F83" s="186"/>
      <c r="G83" s="186"/>
      <c r="H83" s="186"/>
      <c r="I83" s="187"/>
      <c r="J83" s="188"/>
      <c r="K83" s="186"/>
      <c r="L83" s="186"/>
      <c r="M83" s="186"/>
      <c r="N83" s="189"/>
      <c r="O83" s="190"/>
    </row>
    <row r="84" ht="15.75" customHeight="1">
      <c r="A84" s="192"/>
      <c r="B84" s="192"/>
      <c r="C84" s="192"/>
      <c r="D84" s="192"/>
      <c r="E84" s="192"/>
      <c r="F84" s="192"/>
      <c r="G84" s="192"/>
      <c r="H84" s="192"/>
      <c r="I84" s="205"/>
      <c r="J84" s="206"/>
      <c r="K84" s="192"/>
      <c r="L84" s="192"/>
      <c r="M84" s="192"/>
      <c r="N84" s="189"/>
      <c r="O84" s="190"/>
    </row>
    <row r="85" ht="15.75" customHeight="1">
      <c r="A85" s="186"/>
      <c r="B85" s="186"/>
      <c r="C85" s="186"/>
      <c r="D85" s="186"/>
      <c r="E85" s="186"/>
      <c r="F85" s="186"/>
      <c r="G85" s="186"/>
      <c r="H85" s="186"/>
      <c r="I85" s="187"/>
      <c r="J85" s="188"/>
      <c r="K85" s="186"/>
      <c r="L85" s="186"/>
      <c r="M85" s="186"/>
      <c r="N85" s="189"/>
      <c r="O85" s="190"/>
    </row>
    <row r="86" ht="15.75" customHeight="1">
      <c r="A86" s="192"/>
      <c r="B86" s="192"/>
      <c r="C86" s="192"/>
      <c r="D86" s="192"/>
      <c r="E86" s="192"/>
      <c r="F86" s="192"/>
      <c r="G86" s="192"/>
      <c r="H86" s="192"/>
      <c r="I86" s="205"/>
      <c r="J86" s="206"/>
      <c r="K86" s="192"/>
      <c r="L86" s="192"/>
      <c r="M86" s="192"/>
      <c r="N86" s="189"/>
      <c r="O86" s="190"/>
    </row>
    <row r="87" ht="15.75" customHeight="1">
      <c r="A87" s="186"/>
      <c r="B87" s="186"/>
      <c r="C87" s="186"/>
      <c r="D87" s="186"/>
      <c r="E87" s="186"/>
      <c r="F87" s="186"/>
      <c r="G87" s="186"/>
      <c r="H87" s="186"/>
      <c r="I87" s="187"/>
      <c r="J87" s="188"/>
      <c r="K87" s="186"/>
      <c r="L87" s="186"/>
      <c r="M87" s="186"/>
      <c r="N87" s="189"/>
      <c r="O87" s="190"/>
    </row>
    <row r="88" ht="15.75" customHeight="1">
      <c r="A88" s="192"/>
      <c r="B88" s="192"/>
      <c r="C88" s="192"/>
      <c r="D88" s="192"/>
      <c r="E88" s="192"/>
      <c r="F88" s="192"/>
      <c r="G88" s="192"/>
      <c r="H88" s="192"/>
      <c r="I88" s="205"/>
      <c r="J88" s="206"/>
      <c r="K88" s="192"/>
      <c r="L88" s="192"/>
      <c r="M88" s="192"/>
      <c r="N88" s="189"/>
      <c r="O88" s="190"/>
    </row>
    <row r="89" ht="15.75" customHeight="1">
      <c r="A89" s="186"/>
      <c r="B89" s="186"/>
      <c r="C89" s="186"/>
      <c r="D89" s="186"/>
      <c r="E89" s="186"/>
      <c r="F89" s="186"/>
      <c r="G89" s="186"/>
      <c r="H89" s="186"/>
      <c r="I89" s="187"/>
      <c r="J89" s="188"/>
      <c r="K89" s="186"/>
      <c r="L89" s="186"/>
      <c r="M89" s="186"/>
      <c r="N89" s="189"/>
      <c r="O89" s="190"/>
    </row>
    <row r="90" ht="15.75" customHeight="1">
      <c r="A90" s="192"/>
      <c r="B90" s="192"/>
      <c r="C90" s="192"/>
      <c r="D90" s="192"/>
      <c r="E90" s="192"/>
      <c r="F90" s="192"/>
      <c r="G90" s="192"/>
      <c r="H90" s="192"/>
      <c r="I90" s="205"/>
      <c r="J90" s="206"/>
      <c r="K90" s="192"/>
      <c r="L90" s="192"/>
      <c r="M90" s="192"/>
      <c r="N90" s="189"/>
      <c r="O90" s="190"/>
    </row>
    <row r="91" ht="15.75" customHeight="1">
      <c r="A91" s="186"/>
      <c r="B91" s="186"/>
      <c r="C91" s="186"/>
      <c r="D91" s="186"/>
      <c r="E91" s="186"/>
      <c r="F91" s="186"/>
      <c r="G91" s="186"/>
      <c r="H91" s="186"/>
      <c r="I91" s="187"/>
      <c r="J91" s="188"/>
      <c r="K91" s="186"/>
      <c r="L91" s="186"/>
      <c r="M91" s="186"/>
      <c r="N91" s="189"/>
      <c r="O91" s="190"/>
    </row>
    <row r="92" ht="15.75" customHeight="1">
      <c r="A92" s="192"/>
      <c r="B92" s="192"/>
      <c r="C92" s="192"/>
      <c r="D92" s="192"/>
      <c r="E92" s="192"/>
      <c r="F92" s="192"/>
      <c r="G92" s="192"/>
      <c r="H92" s="192"/>
      <c r="I92" s="205"/>
      <c r="J92" s="206"/>
      <c r="K92" s="192"/>
      <c r="L92" s="192"/>
      <c r="M92" s="192"/>
      <c r="N92" s="189"/>
      <c r="O92" s="190"/>
    </row>
    <row r="93" ht="15.75" customHeight="1">
      <c r="A93" s="186"/>
      <c r="B93" s="186"/>
      <c r="C93" s="186"/>
      <c r="D93" s="186"/>
      <c r="E93" s="186"/>
      <c r="F93" s="186"/>
      <c r="G93" s="186"/>
      <c r="H93" s="186"/>
      <c r="I93" s="187"/>
      <c r="J93" s="188"/>
      <c r="K93" s="186"/>
      <c r="L93" s="186"/>
      <c r="M93" s="186"/>
      <c r="N93" s="189"/>
      <c r="O93" s="190"/>
    </row>
    <row r="94" ht="15.75" customHeight="1">
      <c r="A94" s="192"/>
      <c r="B94" s="192"/>
      <c r="C94" s="192"/>
      <c r="D94" s="192"/>
      <c r="E94" s="192"/>
      <c r="F94" s="192"/>
      <c r="G94" s="192"/>
      <c r="H94" s="192"/>
      <c r="I94" s="205"/>
      <c r="J94" s="206"/>
      <c r="K94" s="192"/>
      <c r="L94" s="192"/>
      <c r="M94" s="192"/>
      <c r="N94" s="189"/>
      <c r="O94" s="190"/>
    </row>
    <row r="95" ht="15.75" customHeight="1">
      <c r="A95" s="186"/>
      <c r="B95" s="186"/>
      <c r="C95" s="186"/>
      <c r="D95" s="186"/>
      <c r="E95" s="186"/>
      <c r="F95" s="186"/>
      <c r="G95" s="186"/>
      <c r="H95" s="186"/>
      <c r="I95" s="187"/>
      <c r="J95" s="188"/>
      <c r="K95" s="186"/>
      <c r="L95" s="186"/>
      <c r="M95" s="186"/>
      <c r="N95" s="189"/>
      <c r="O95" s="190"/>
    </row>
    <row r="96" ht="15.75" customHeight="1">
      <c r="A96" s="192"/>
      <c r="B96" s="192"/>
      <c r="C96" s="192"/>
      <c r="D96" s="192"/>
      <c r="E96" s="192"/>
      <c r="F96" s="192"/>
      <c r="G96" s="192"/>
      <c r="H96" s="192"/>
      <c r="I96" s="205"/>
      <c r="J96" s="206"/>
      <c r="K96" s="192"/>
      <c r="L96" s="192"/>
      <c r="M96" s="192"/>
      <c r="N96" s="189"/>
      <c r="O96" s="190"/>
    </row>
    <row r="97" ht="15.75" customHeight="1">
      <c r="A97" s="186"/>
      <c r="B97" s="186"/>
      <c r="C97" s="186"/>
      <c r="D97" s="186"/>
      <c r="E97" s="186"/>
      <c r="F97" s="186"/>
      <c r="G97" s="186"/>
      <c r="H97" s="186"/>
      <c r="I97" s="187"/>
      <c r="J97" s="188"/>
      <c r="K97" s="186"/>
      <c r="L97" s="186"/>
      <c r="M97" s="186"/>
      <c r="N97" s="189"/>
      <c r="O97" s="190"/>
    </row>
    <row r="98" ht="15.75" customHeight="1">
      <c r="A98" s="192"/>
      <c r="B98" s="192"/>
      <c r="C98" s="192"/>
      <c r="D98" s="192"/>
      <c r="E98" s="192"/>
      <c r="F98" s="192"/>
      <c r="G98" s="192"/>
      <c r="H98" s="192"/>
      <c r="I98" s="205"/>
      <c r="J98" s="206"/>
      <c r="K98" s="192"/>
      <c r="L98" s="192"/>
      <c r="M98" s="192"/>
      <c r="N98" s="189"/>
      <c r="O98" s="190"/>
    </row>
    <row r="99" ht="15.75" customHeight="1">
      <c r="A99" s="186"/>
      <c r="B99" s="186"/>
      <c r="C99" s="186"/>
      <c r="D99" s="186"/>
      <c r="E99" s="186"/>
      <c r="F99" s="186"/>
      <c r="G99" s="186"/>
      <c r="H99" s="186"/>
      <c r="I99" s="187"/>
      <c r="J99" s="188"/>
      <c r="K99" s="186"/>
      <c r="L99" s="186"/>
      <c r="M99" s="186"/>
      <c r="N99" s="189"/>
      <c r="O99" s="190"/>
    </row>
    <row r="100" ht="15.75" customHeight="1">
      <c r="A100" s="192"/>
      <c r="B100" s="192"/>
      <c r="C100" s="192"/>
      <c r="D100" s="192"/>
      <c r="E100" s="192"/>
      <c r="F100" s="192"/>
      <c r="G100" s="192"/>
      <c r="H100" s="192"/>
      <c r="I100" s="205"/>
      <c r="J100" s="206"/>
      <c r="K100" s="192"/>
      <c r="L100" s="192"/>
      <c r="M100" s="192"/>
      <c r="N100" s="189"/>
      <c r="O100" s="190"/>
    </row>
    <row r="101" ht="15.75" customHeight="1">
      <c r="A101" s="186"/>
      <c r="B101" s="186"/>
      <c r="C101" s="186"/>
      <c r="D101" s="186"/>
      <c r="E101" s="186"/>
      <c r="F101" s="186"/>
      <c r="G101" s="186"/>
      <c r="H101" s="186"/>
      <c r="I101" s="187"/>
      <c r="J101" s="188"/>
      <c r="K101" s="186"/>
      <c r="L101" s="186"/>
      <c r="M101" s="186"/>
      <c r="N101" s="189"/>
      <c r="O101" s="190"/>
    </row>
    <row r="102" ht="15.75" customHeight="1">
      <c r="A102" s="186"/>
      <c r="B102" s="186"/>
      <c r="C102" s="186"/>
      <c r="D102" s="186"/>
      <c r="E102" s="186"/>
      <c r="F102" s="186"/>
      <c r="G102" s="186"/>
      <c r="H102" s="186"/>
      <c r="I102" s="187"/>
      <c r="J102" s="188"/>
      <c r="K102" s="186"/>
      <c r="L102" s="186"/>
      <c r="M102" s="186"/>
      <c r="N102" s="189"/>
      <c r="O102" s="190"/>
    </row>
    <row r="103" ht="15.75" customHeight="1">
      <c r="A103" s="192"/>
      <c r="B103" s="192"/>
      <c r="C103" s="192"/>
      <c r="D103" s="192"/>
      <c r="E103" s="192"/>
      <c r="F103" s="192"/>
      <c r="G103" s="192"/>
      <c r="H103" s="192"/>
      <c r="I103" s="205"/>
      <c r="J103" s="206"/>
      <c r="K103" s="192"/>
      <c r="L103" s="192"/>
      <c r="M103" s="192"/>
      <c r="N103" s="189"/>
      <c r="O103" s="190"/>
    </row>
    <row r="104" ht="15.75" customHeight="1">
      <c r="A104" s="186"/>
      <c r="B104" s="186"/>
      <c r="C104" s="186"/>
      <c r="D104" s="186"/>
      <c r="E104" s="186"/>
      <c r="F104" s="186"/>
      <c r="G104" s="186"/>
      <c r="H104" s="186"/>
      <c r="I104" s="187"/>
      <c r="J104" s="188"/>
      <c r="K104" s="186"/>
      <c r="L104" s="186"/>
      <c r="M104" s="186"/>
      <c r="N104" s="189"/>
      <c r="O104" s="190"/>
    </row>
    <row r="105" ht="15.75" customHeight="1">
      <c r="A105" s="192"/>
      <c r="B105" s="192"/>
      <c r="C105" s="192"/>
      <c r="D105" s="192"/>
      <c r="E105" s="192"/>
      <c r="F105" s="192"/>
      <c r="G105" s="192"/>
      <c r="H105" s="192"/>
      <c r="I105" s="205"/>
      <c r="J105" s="206"/>
      <c r="K105" s="192"/>
      <c r="L105" s="192"/>
      <c r="M105" s="192"/>
      <c r="N105" s="189"/>
      <c r="O105" s="190"/>
    </row>
    <row r="106" ht="15.75" customHeight="1">
      <c r="A106" s="186"/>
      <c r="B106" s="186"/>
      <c r="C106" s="186"/>
      <c r="D106" s="186"/>
      <c r="E106" s="186"/>
      <c r="F106" s="186"/>
      <c r="G106" s="186"/>
      <c r="H106" s="186"/>
      <c r="I106" s="187"/>
      <c r="J106" s="188"/>
      <c r="K106" s="186"/>
      <c r="L106" s="186"/>
      <c r="M106" s="186"/>
      <c r="N106" s="189"/>
      <c r="O106" s="190"/>
    </row>
    <row r="107" ht="15.75" customHeight="1">
      <c r="A107" s="192"/>
      <c r="B107" s="192"/>
      <c r="C107" s="192"/>
      <c r="D107" s="192"/>
      <c r="E107" s="192"/>
      <c r="F107" s="192"/>
      <c r="G107" s="192"/>
      <c r="H107" s="192"/>
      <c r="I107" s="205"/>
      <c r="J107" s="206"/>
      <c r="K107" s="192"/>
      <c r="L107" s="192"/>
      <c r="M107" s="192"/>
      <c r="N107" s="189"/>
      <c r="O107" s="190"/>
    </row>
    <row r="108" ht="15.75" customHeight="1">
      <c r="A108" s="186"/>
      <c r="B108" s="186"/>
      <c r="C108" s="186"/>
      <c r="D108" s="186"/>
      <c r="E108" s="186"/>
      <c r="F108" s="186"/>
      <c r="G108" s="186"/>
      <c r="H108" s="186"/>
      <c r="I108" s="187"/>
      <c r="J108" s="188"/>
      <c r="K108" s="186"/>
      <c r="L108" s="186"/>
      <c r="M108" s="186"/>
      <c r="N108" s="189"/>
      <c r="O108" s="190"/>
    </row>
    <row r="109" ht="15.75" customHeight="1">
      <c r="A109" s="192"/>
      <c r="B109" s="192"/>
      <c r="C109" s="192"/>
      <c r="D109" s="192"/>
      <c r="E109" s="192"/>
      <c r="F109" s="192"/>
      <c r="G109" s="192"/>
      <c r="H109" s="192"/>
      <c r="I109" s="205"/>
      <c r="J109" s="206"/>
      <c r="K109" s="192"/>
      <c r="L109" s="192"/>
      <c r="M109" s="192"/>
      <c r="N109" s="189"/>
      <c r="O109" s="190"/>
    </row>
    <row r="110" ht="15.75" customHeight="1">
      <c r="A110" s="186"/>
      <c r="B110" s="186"/>
      <c r="C110" s="186"/>
      <c r="D110" s="186"/>
      <c r="E110" s="186"/>
      <c r="F110" s="186"/>
      <c r="G110" s="186"/>
      <c r="H110" s="186"/>
      <c r="I110" s="187"/>
      <c r="J110" s="188"/>
      <c r="K110" s="186"/>
      <c r="L110" s="186"/>
      <c r="M110" s="186"/>
      <c r="N110" s="189"/>
      <c r="O110" s="190"/>
    </row>
    <row r="111" ht="15.75" customHeight="1">
      <c r="A111" s="192"/>
      <c r="B111" s="192"/>
      <c r="C111" s="192"/>
      <c r="D111" s="192"/>
      <c r="E111" s="192"/>
      <c r="F111" s="192"/>
      <c r="G111" s="192"/>
      <c r="H111" s="192"/>
      <c r="I111" s="205"/>
      <c r="J111" s="206"/>
      <c r="K111" s="192"/>
      <c r="L111" s="192"/>
      <c r="M111" s="192"/>
      <c r="N111" s="189"/>
      <c r="O111" s="190"/>
    </row>
    <row r="112" ht="15.75" customHeight="1">
      <c r="A112" s="186"/>
      <c r="B112" s="186"/>
      <c r="C112" s="186"/>
      <c r="D112" s="186"/>
      <c r="E112" s="186"/>
      <c r="F112" s="186"/>
      <c r="G112" s="186"/>
      <c r="H112" s="186"/>
      <c r="I112" s="187"/>
      <c r="J112" s="188"/>
      <c r="K112" s="186"/>
      <c r="L112" s="186"/>
      <c r="M112" s="186"/>
      <c r="N112" s="189"/>
      <c r="O112" s="190"/>
    </row>
    <row r="113" ht="15.75" customHeight="1">
      <c r="A113" s="192"/>
      <c r="B113" s="192"/>
      <c r="C113" s="192"/>
      <c r="D113" s="192"/>
      <c r="E113" s="192"/>
      <c r="F113" s="192"/>
      <c r="G113" s="192"/>
      <c r="H113" s="192"/>
      <c r="I113" s="205"/>
      <c r="J113" s="206"/>
      <c r="K113" s="192"/>
      <c r="L113" s="192"/>
      <c r="M113" s="192"/>
      <c r="N113" s="189"/>
      <c r="O113" s="190"/>
    </row>
    <row r="114" ht="15.75" customHeight="1">
      <c r="A114" s="186"/>
      <c r="B114" s="186"/>
      <c r="C114" s="186"/>
      <c r="D114" s="186"/>
      <c r="E114" s="186"/>
      <c r="F114" s="186"/>
      <c r="G114" s="186"/>
      <c r="H114" s="186"/>
      <c r="I114" s="187"/>
      <c r="J114" s="188"/>
      <c r="K114" s="186"/>
      <c r="L114" s="186"/>
      <c r="M114" s="186"/>
      <c r="N114" s="189"/>
      <c r="O114" s="190"/>
    </row>
    <row r="115" ht="15.75" customHeight="1">
      <c r="A115" s="192"/>
      <c r="B115" s="192"/>
      <c r="C115" s="192"/>
      <c r="D115" s="192"/>
      <c r="E115" s="192"/>
      <c r="F115" s="192"/>
      <c r="G115" s="192"/>
      <c r="H115" s="192"/>
      <c r="I115" s="205"/>
      <c r="J115" s="206"/>
      <c r="K115" s="192"/>
      <c r="L115" s="192"/>
      <c r="M115" s="192"/>
      <c r="N115" s="189"/>
      <c r="O115" s="190"/>
    </row>
    <row r="116" ht="15.75" customHeight="1">
      <c r="A116" s="186"/>
      <c r="B116" s="186"/>
      <c r="C116" s="186"/>
      <c r="D116" s="186"/>
      <c r="E116" s="186"/>
      <c r="F116" s="186"/>
      <c r="G116" s="186"/>
      <c r="H116" s="186"/>
      <c r="I116" s="187"/>
      <c r="J116" s="188"/>
      <c r="K116" s="186"/>
      <c r="L116" s="186"/>
      <c r="M116" s="186"/>
      <c r="N116" s="189"/>
      <c r="O116" s="190"/>
    </row>
    <row r="117" ht="15.75" customHeight="1">
      <c r="A117" s="192"/>
      <c r="B117" s="192"/>
      <c r="C117" s="192"/>
      <c r="D117" s="192"/>
      <c r="E117" s="192"/>
      <c r="F117" s="192"/>
      <c r="G117" s="192"/>
      <c r="H117" s="192"/>
      <c r="I117" s="205"/>
      <c r="J117" s="206"/>
      <c r="K117" s="192"/>
      <c r="L117" s="192"/>
      <c r="M117" s="192"/>
      <c r="N117" s="189"/>
      <c r="O117" s="190"/>
    </row>
    <row r="118" ht="15.75" customHeight="1">
      <c r="A118" s="186"/>
      <c r="B118" s="186"/>
      <c r="C118" s="186"/>
      <c r="D118" s="186"/>
      <c r="E118" s="186"/>
      <c r="F118" s="186"/>
      <c r="G118" s="186"/>
      <c r="H118" s="186"/>
      <c r="I118" s="187"/>
      <c r="J118" s="188"/>
      <c r="K118" s="186"/>
      <c r="L118" s="186"/>
      <c r="M118" s="186"/>
      <c r="N118" s="189"/>
      <c r="O118" s="190"/>
    </row>
    <row r="119" ht="15.75" customHeight="1">
      <c r="A119" s="192"/>
      <c r="B119" s="192"/>
      <c r="C119" s="192"/>
      <c r="D119" s="192"/>
      <c r="E119" s="192"/>
      <c r="F119" s="192"/>
      <c r="G119" s="192"/>
      <c r="H119" s="192"/>
      <c r="I119" s="205"/>
      <c r="J119" s="206"/>
      <c r="K119" s="192"/>
      <c r="L119" s="192"/>
      <c r="M119" s="192"/>
      <c r="N119" s="189"/>
      <c r="O119" s="190"/>
    </row>
    <row r="120" ht="15.75" customHeight="1">
      <c r="A120" s="186"/>
      <c r="B120" s="186"/>
      <c r="C120" s="186"/>
      <c r="D120" s="186"/>
      <c r="E120" s="186"/>
      <c r="F120" s="186"/>
      <c r="G120" s="186"/>
      <c r="H120" s="186"/>
      <c r="I120" s="187"/>
      <c r="J120" s="188"/>
      <c r="K120" s="186"/>
      <c r="L120" s="186"/>
      <c r="M120" s="186"/>
      <c r="N120" s="189"/>
      <c r="O120" s="190"/>
    </row>
    <row r="121" ht="15.75" customHeight="1">
      <c r="A121" s="192"/>
      <c r="B121" s="192"/>
      <c r="C121" s="192"/>
      <c r="D121" s="192"/>
      <c r="E121" s="192"/>
      <c r="F121" s="192"/>
      <c r="G121" s="192"/>
      <c r="H121" s="192"/>
      <c r="I121" s="205"/>
      <c r="J121" s="206"/>
      <c r="K121" s="192"/>
      <c r="L121" s="192"/>
      <c r="M121" s="192"/>
      <c r="N121" s="189"/>
      <c r="O121" s="190"/>
    </row>
    <row r="122" ht="15.75" customHeight="1">
      <c r="A122" s="186"/>
      <c r="B122" s="186"/>
      <c r="C122" s="186"/>
      <c r="D122" s="186"/>
      <c r="E122" s="186"/>
      <c r="F122" s="186"/>
      <c r="G122" s="186"/>
      <c r="H122" s="186"/>
      <c r="I122" s="187"/>
      <c r="J122" s="188"/>
      <c r="K122" s="186"/>
      <c r="L122" s="186"/>
      <c r="M122" s="186"/>
      <c r="N122" s="189"/>
      <c r="O122" s="190"/>
    </row>
    <row r="123" ht="15.75" customHeight="1">
      <c r="A123" s="192"/>
      <c r="B123" s="192"/>
      <c r="C123" s="192"/>
      <c r="D123" s="192"/>
      <c r="E123" s="192"/>
      <c r="F123" s="192"/>
      <c r="G123" s="192"/>
      <c r="H123" s="192"/>
      <c r="I123" s="205"/>
      <c r="J123" s="206"/>
      <c r="K123" s="192"/>
      <c r="L123" s="192"/>
      <c r="M123" s="192"/>
      <c r="N123" s="189"/>
      <c r="O123" s="190"/>
    </row>
    <row r="124" ht="15.75" customHeight="1">
      <c r="A124" s="186"/>
      <c r="B124" s="186"/>
      <c r="C124" s="186"/>
      <c r="D124" s="186"/>
      <c r="E124" s="186"/>
      <c r="F124" s="186"/>
      <c r="G124" s="186"/>
      <c r="H124" s="186"/>
      <c r="I124" s="187"/>
      <c r="J124" s="188"/>
      <c r="K124" s="186"/>
      <c r="L124" s="186"/>
      <c r="M124" s="186"/>
      <c r="N124" s="189"/>
      <c r="O124" s="190"/>
    </row>
    <row r="125" ht="15.75" customHeight="1">
      <c r="A125" s="186"/>
      <c r="B125" s="186"/>
      <c r="C125" s="186"/>
      <c r="D125" s="186"/>
      <c r="E125" s="186"/>
      <c r="F125" s="186"/>
      <c r="G125" s="186"/>
      <c r="H125" s="186"/>
      <c r="I125" s="187"/>
      <c r="J125" s="188"/>
      <c r="K125" s="186"/>
      <c r="L125" s="186"/>
      <c r="M125" s="186"/>
      <c r="N125" s="189"/>
      <c r="O125" s="190"/>
    </row>
    <row r="126" ht="15.75" customHeight="1">
      <c r="A126" s="192"/>
      <c r="B126" s="192"/>
      <c r="C126" s="192"/>
      <c r="D126" s="192"/>
      <c r="E126" s="192"/>
      <c r="F126" s="192"/>
      <c r="G126" s="192"/>
      <c r="H126" s="192"/>
      <c r="I126" s="205"/>
      <c r="J126" s="206"/>
      <c r="K126" s="192"/>
      <c r="L126" s="192"/>
      <c r="M126" s="192"/>
      <c r="N126" s="189"/>
      <c r="O126" s="190"/>
    </row>
    <row r="127" ht="15.75" customHeight="1">
      <c r="A127" s="186"/>
      <c r="B127" s="186"/>
      <c r="C127" s="186"/>
      <c r="D127" s="186"/>
      <c r="E127" s="186"/>
      <c r="F127" s="186"/>
      <c r="G127" s="186"/>
      <c r="H127" s="186"/>
      <c r="I127" s="187"/>
      <c r="J127" s="188"/>
      <c r="K127" s="186"/>
      <c r="L127" s="186"/>
      <c r="M127" s="186"/>
      <c r="N127" s="189"/>
      <c r="O127" s="190"/>
    </row>
    <row r="128" ht="15.75" customHeight="1">
      <c r="A128" s="192"/>
      <c r="B128" s="192"/>
      <c r="C128" s="192"/>
      <c r="D128" s="192"/>
      <c r="E128" s="192"/>
      <c r="F128" s="192"/>
      <c r="G128" s="192"/>
      <c r="H128" s="192"/>
      <c r="I128" s="205"/>
      <c r="J128" s="206"/>
      <c r="K128" s="192"/>
      <c r="L128" s="192"/>
      <c r="M128" s="192"/>
      <c r="N128" s="189"/>
      <c r="O128" s="190"/>
    </row>
    <row r="129" ht="15.75" customHeight="1">
      <c r="A129" s="186"/>
      <c r="B129" s="186"/>
      <c r="C129" s="186"/>
      <c r="D129" s="186"/>
      <c r="E129" s="186"/>
      <c r="F129" s="186"/>
      <c r="G129" s="186"/>
      <c r="H129" s="186"/>
      <c r="I129" s="187"/>
      <c r="J129" s="188"/>
      <c r="K129" s="186"/>
      <c r="L129" s="186"/>
      <c r="M129" s="186"/>
      <c r="N129" s="189"/>
      <c r="O129" s="190"/>
    </row>
    <row r="130" ht="15.75" customHeight="1">
      <c r="A130" s="192"/>
      <c r="B130" s="192"/>
      <c r="C130" s="192"/>
      <c r="D130" s="192"/>
      <c r="E130" s="192"/>
      <c r="F130" s="192"/>
      <c r="G130" s="192"/>
      <c r="H130" s="192"/>
      <c r="I130" s="205"/>
      <c r="J130" s="206"/>
      <c r="K130" s="192"/>
      <c r="L130" s="192"/>
      <c r="M130" s="192"/>
      <c r="N130" s="189"/>
      <c r="O130" s="190"/>
    </row>
    <row r="131" ht="15.75" customHeight="1">
      <c r="A131" s="186"/>
      <c r="B131" s="186"/>
      <c r="C131" s="186"/>
      <c r="D131" s="186"/>
      <c r="E131" s="186"/>
      <c r="F131" s="186"/>
      <c r="G131" s="186"/>
      <c r="H131" s="186"/>
      <c r="I131" s="187"/>
      <c r="J131" s="188"/>
      <c r="K131" s="186"/>
      <c r="L131" s="186"/>
      <c r="M131" s="186"/>
      <c r="N131" s="189"/>
      <c r="O131" s="190"/>
    </row>
    <row r="132" ht="15.75" customHeight="1">
      <c r="A132" s="192"/>
      <c r="B132" s="192"/>
      <c r="C132" s="192"/>
      <c r="D132" s="192"/>
      <c r="E132" s="192"/>
      <c r="F132" s="192"/>
      <c r="G132" s="192"/>
      <c r="H132" s="192"/>
      <c r="I132" s="205"/>
      <c r="J132" s="206"/>
      <c r="K132" s="192"/>
      <c r="L132" s="192"/>
      <c r="M132" s="192"/>
      <c r="N132" s="189"/>
      <c r="O132" s="190"/>
    </row>
    <row r="133" ht="15.75" customHeight="1">
      <c r="A133" s="186"/>
      <c r="B133" s="186"/>
      <c r="C133" s="186"/>
      <c r="D133" s="186"/>
      <c r="E133" s="186"/>
      <c r="F133" s="186"/>
      <c r="G133" s="186"/>
      <c r="H133" s="186"/>
      <c r="I133" s="187"/>
      <c r="J133" s="188"/>
      <c r="K133" s="186"/>
      <c r="L133" s="186"/>
      <c r="M133" s="186"/>
      <c r="N133" s="189"/>
      <c r="O133" s="190"/>
    </row>
    <row r="134" ht="15.75" customHeight="1">
      <c r="A134" s="192"/>
      <c r="B134" s="192"/>
      <c r="C134" s="192"/>
      <c r="D134" s="192"/>
      <c r="E134" s="192"/>
      <c r="F134" s="192"/>
      <c r="G134" s="192"/>
      <c r="H134" s="192"/>
      <c r="I134" s="205"/>
      <c r="J134" s="206"/>
      <c r="K134" s="192"/>
      <c r="L134" s="192"/>
      <c r="M134" s="192"/>
      <c r="N134" s="189"/>
      <c r="O134" s="190"/>
    </row>
    <row r="135" ht="15.75" customHeight="1">
      <c r="A135" s="186"/>
      <c r="B135" s="186"/>
      <c r="C135" s="186"/>
      <c r="D135" s="186"/>
      <c r="E135" s="186"/>
      <c r="F135" s="186"/>
      <c r="G135" s="186"/>
      <c r="H135" s="186"/>
      <c r="I135" s="187"/>
      <c r="J135" s="188"/>
      <c r="K135" s="186"/>
      <c r="L135" s="186"/>
      <c r="M135" s="186"/>
      <c r="N135" s="189"/>
      <c r="O135" s="190"/>
    </row>
    <row r="136" ht="15.75" customHeight="1">
      <c r="A136" s="192"/>
      <c r="B136" s="192"/>
      <c r="C136" s="192"/>
      <c r="D136" s="192"/>
      <c r="E136" s="192"/>
      <c r="F136" s="192"/>
      <c r="G136" s="192"/>
      <c r="H136" s="192"/>
      <c r="I136" s="205"/>
      <c r="J136" s="206"/>
      <c r="K136" s="192"/>
      <c r="L136" s="192"/>
      <c r="M136" s="192"/>
      <c r="N136" s="189"/>
      <c r="O136" s="190"/>
    </row>
    <row r="137" ht="15.75" customHeight="1">
      <c r="A137" s="186"/>
      <c r="B137" s="186"/>
      <c r="C137" s="186"/>
      <c r="D137" s="186"/>
      <c r="E137" s="186"/>
      <c r="F137" s="186"/>
      <c r="G137" s="186"/>
      <c r="H137" s="186"/>
      <c r="I137" s="187"/>
      <c r="J137" s="188"/>
      <c r="K137" s="186"/>
      <c r="L137" s="186"/>
      <c r="M137" s="186"/>
      <c r="N137" s="189"/>
      <c r="O137" s="190"/>
    </row>
    <row r="138" ht="15.75" customHeight="1">
      <c r="A138" s="192"/>
      <c r="B138" s="192"/>
      <c r="C138" s="192"/>
      <c r="D138" s="192"/>
      <c r="E138" s="192"/>
      <c r="F138" s="192"/>
      <c r="G138" s="192"/>
      <c r="H138" s="192"/>
      <c r="I138" s="205"/>
      <c r="J138" s="206"/>
      <c r="K138" s="192"/>
      <c r="L138" s="192"/>
      <c r="M138" s="192"/>
      <c r="N138" s="189"/>
      <c r="O138" s="190"/>
    </row>
    <row r="139" ht="15.75" customHeight="1">
      <c r="A139" s="186"/>
      <c r="B139" s="186"/>
      <c r="C139" s="186"/>
      <c r="D139" s="186"/>
      <c r="E139" s="186"/>
      <c r="F139" s="186"/>
      <c r="G139" s="186"/>
      <c r="H139" s="186"/>
      <c r="I139" s="187"/>
      <c r="J139" s="188"/>
      <c r="K139" s="186"/>
      <c r="L139" s="186"/>
      <c r="M139" s="186"/>
      <c r="N139" s="189"/>
      <c r="O139" s="190"/>
    </row>
    <row r="140" ht="15.75" customHeight="1">
      <c r="A140" s="192"/>
      <c r="B140" s="192"/>
      <c r="C140" s="192"/>
      <c r="D140" s="192"/>
      <c r="E140" s="192"/>
      <c r="F140" s="192"/>
      <c r="G140" s="192"/>
      <c r="H140" s="192"/>
      <c r="I140" s="205"/>
      <c r="J140" s="206"/>
      <c r="K140" s="192"/>
      <c r="L140" s="192"/>
      <c r="M140" s="192"/>
      <c r="N140" s="189"/>
      <c r="O140" s="190"/>
    </row>
    <row r="141" ht="15.75" customHeight="1">
      <c r="A141" s="186"/>
      <c r="B141" s="186"/>
      <c r="C141" s="186"/>
      <c r="D141" s="186"/>
      <c r="E141" s="186"/>
      <c r="F141" s="186"/>
      <c r="G141" s="186"/>
      <c r="H141" s="186"/>
      <c r="I141" s="187"/>
      <c r="J141" s="188"/>
      <c r="K141" s="186"/>
      <c r="L141" s="186"/>
      <c r="M141" s="186"/>
      <c r="N141" s="189"/>
      <c r="O141" s="190"/>
    </row>
    <row r="142" ht="15.75" customHeight="1">
      <c r="A142" s="192"/>
      <c r="B142" s="192"/>
      <c r="C142" s="192"/>
      <c r="D142" s="192"/>
      <c r="E142" s="192"/>
      <c r="F142" s="192"/>
      <c r="G142" s="192"/>
      <c r="H142" s="192"/>
      <c r="I142" s="205"/>
      <c r="J142" s="206"/>
      <c r="K142" s="192"/>
      <c r="L142" s="192"/>
      <c r="M142" s="192"/>
      <c r="N142" s="189"/>
      <c r="O142" s="190"/>
    </row>
    <row r="143" ht="15.75" customHeight="1">
      <c r="A143" s="186"/>
      <c r="B143" s="186"/>
      <c r="C143" s="186"/>
      <c r="D143" s="186"/>
      <c r="E143" s="186"/>
      <c r="F143" s="186"/>
      <c r="G143" s="186"/>
      <c r="H143" s="186"/>
      <c r="I143" s="187"/>
      <c r="J143" s="188"/>
      <c r="K143" s="186"/>
      <c r="L143" s="186"/>
      <c r="M143" s="186"/>
      <c r="N143" s="189"/>
      <c r="O143" s="190"/>
    </row>
    <row r="144" ht="15.75" customHeight="1">
      <c r="A144" s="192"/>
      <c r="B144" s="192"/>
      <c r="C144" s="192"/>
      <c r="D144" s="192"/>
      <c r="E144" s="192"/>
      <c r="F144" s="192"/>
      <c r="G144" s="192"/>
      <c r="H144" s="192"/>
      <c r="I144" s="205"/>
      <c r="J144" s="206"/>
      <c r="K144" s="192"/>
      <c r="L144" s="192"/>
      <c r="M144" s="192"/>
      <c r="N144" s="189"/>
      <c r="O144" s="190"/>
    </row>
    <row r="145" ht="15.75" customHeight="1">
      <c r="A145" s="186"/>
      <c r="B145" s="186"/>
      <c r="C145" s="186"/>
      <c r="D145" s="186"/>
      <c r="E145" s="186"/>
      <c r="F145" s="186"/>
      <c r="G145" s="186"/>
      <c r="H145" s="186"/>
      <c r="I145" s="187"/>
      <c r="J145" s="188"/>
      <c r="K145" s="186"/>
      <c r="L145" s="186"/>
      <c r="M145" s="186"/>
      <c r="N145" s="189"/>
      <c r="O145" s="190"/>
    </row>
    <row r="146" ht="15.75" customHeight="1">
      <c r="A146" s="192"/>
      <c r="B146" s="192"/>
      <c r="C146" s="192"/>
      <c r="D146" s="192"/>
      <c r="E146" s="192"/>
      <c r="F146" s="192"/>
      <c r="G146" s="192"/>
      <c r="H146" s="192"/>
      <c r="I146" s="205"/>
      <c r="J146" s="206"/>
      <c r="K146" s="192"/>
      <c r="L146" s="192"/>
      <c r="M146" s="192"/>
      <c r="N146" s="189"/>
      <c r="O146" s="190"/>
    </row>
    <row r="147" ht="15.75" customHeight="1">
      <c r="A147" s="186"/>
      <c r="B147" s="186"/>
      <c r="C147" s="186"/>
      <c r="D147" s="186"/>
      <c r="E147" s="186"/>
      <c r="F147" s="186"/>
      <c r="G147" s="186"/>
      <c r="H147" s="186"/>
      <c r="I147" s="187"/>
      <c r="J147" s="188"/>
      <c r="K147" s="186"/>
      <c r="L147" s="186"/>
      <c r="M147" s="186"/>
      <c r="N147" s="189"/>
      <c r="O147" s="190"/>
    </row>
    <row r="148" ht="15.75" customHeight="1">
      <c r="A148" s="186"/>
      <c r="B148" s="186"/>
      <c r="C148" s="186"/>
      <c r="D148" s="186"/>
      <c r="E148" s="186"/>
      <c r="F148" s="186"/>
      <c r="G148" s="186"/>
      <c r="H148" s="186"/>
      <c r="I148" s="187"/>
      <c r="J148" s="188"/>
      <c r="K148" s="186"/>
      <c r="L148" s="186"/>
      <c r="M148" s="186"/>
      <c r="N148" s="189"/>
      <c r="O148" s="190"/>
    </row>
    <row r="149" ht="15.75" customHeight="1">
      <c r="A149" s="192"/>
      <c r="B149" s="192"/>
      <c r="C149" s="192"/>
      <c r="D149" s="192"/>
      <c r="E149" s="192"/>
      <c r="F149" s="192"/>
      <c r="G149" s="192"/>
      <c r="H149" s="192"/>
      <c r="I149" s="205"/>
      <c r="J149" s="206"/>
      <c r="K149" s="192"/>
      <c r="L149" s="192"/>
      <c r="M149" s="192"/>
      <c r="N149" s="194"/>
      <c r="O149" s="190"/>
    </row>
    <row r="150" ht="15.75" customHeight="1">
      <c r="A150" s="186"/>
      <c r="B150" s="186"/>
      <c r="C150" s="186"/>
      <c r="D150" s="186"/>
      <c r="E150" s="186"/>
      <c r="F150" s="186"/>
      <c r="G150" s="186"/>
      <c r="H150" s="186"/>
      <c r="I150" s="187"/>
      <c r="J150" s="188"/>
      <c r="K150" s="186"/>
      <c r="L150" s="186"/>
      <c r="M150" s="186"/>
      <c r="N150" s="189"/>
      <c r="O150" s="190"/>
    </row>
    <row r="151" ht="15.75" customHeight="1">
      <c r="A151" s="192"/>
      <c r="B151" s="192"/>
      <c r="C151" s="192"/>
      <c r="D151" s="192"/>
      <c r="E151" s="192"/>
      <c r="F151" s="192"/>
      <c r="G151" s="192"/>
      <c r="H151" s="192"/>
      <c r="I151" s="205"/>
      <c r="J151" s="206"/>
      <c r="K151" s="192"/>
      <c r="L151" s="192"/>
      <c r="M151" s="192"/>
      <c r="N151" s="194"/>
      <c r="O151" s="190"/>
    </row>
    <row r="152" ht="15.75" customHeight="1">
      <c r="A152" s="186"/>
      <c r="B152" s="186"/>
      <c r="C152" s="186"/>
      <c r="D152" s="186"/>
      <c r="E152" s="186"/>
      <c r="F152" s="186"/>
      <c r="G152" s="186"/>
      <c r="H152" s="186"/>
      <c r="I152" s="187"/>
      <c r="J152" s="188"/>
      <c r="K152" s="186"/>
      <c r="L152" s="186"/>
      <c r="M152" s="186"/>
      <c r="N152" s="189"/>
      <c r="O152" s="190"/>
    </row>
    <row r="153" ht="15.75" customHeight="1">
      <c r="A153" s="192"/>
      <c r="B153" s="192"/>
      <c r="C153" s="192"/>
      <c r="D153" s="192"/>
      <c r="E153" s="192"/>
      <c r="F153" s="192"/>
      <c r="G153" s="192"/>
      <c r="H153" s="192"/>
      <c r="I153" s="205"/>
      <c r="J153" s="206"/>
      <c r="K153" s="192"/>
      <c r="L153" s="192"/>
      <c r="M153" s="192"/>
      <c r="N153" s="194"/>
      <c r="O153" s="190"/>
    </row>
    <row r="154" ht="15.75" customHeight="1">
      <c r="A154" s="186"/>
      <c r="B154" s="186"/>
      <c r="C154" s="186"/>
      <c r="D154" s="186"/>
      <c r="E154" s="186"/>
      <c r="F154" s="186"/>
      <c r="G154" s="186"/>
      <c r="H154" s="186"/>
      <c r="I154" s="187"/>
      <c r="J154" s="188"/>
      <c r="K154" s="186"/>
      <c r="L154" s="186"/>
      <c r="M154" s="186"/>
      <c r="N154" s="189"/>
      <c r="O154" s="190"/>
    </row>
    <row r="155" ht="15.75" customHeight="1">
      <c r="A155" s="192"/>
      <c r="B155" s="192"/>
      <c r="C155" s="192"/>
      <c r="D155" s="192"/>
      <c r="E155" s="192"/>
      <c r="F155" s="192"/>
      <c r="G155" s="192"/>
      <c r="H155" s="192"/>
      <c r="I155" s="205"/>
      <c r="J155" s="206"/>
      <c r="K155" s="192"/>
      <c r="L155" s="192"/>
      <c r="M155" s="192"/>
      <c r="N155" s="194"/>
      <c r="O155" s="190"/>
    </row>
    <row r="156" ht="15.75" customHeight="1">
      <c r="A156" s="186"/>
      <c r="B156" s="186"/>
      <c r="C156" s="186"/>
      <c r="D156" s="186"/>
      <c r="E156" s="186"/>
      <c r="F156" s="186"/>
      <c r="G156" s="186"/>
      <c r="H156" s="186"/>
      <c r="I156" s="187"/>
      <c r="J156" s="188"/>
      <c r="K156" s="186"/>
      <c r="L156" s="186"/>
      <c r="M156" s="186"/>
      <c r="N156" s="189"/>
      <c r="O156" s="190"/>
    </row>
    <row r="157" ht="15.75" customHeight="1">
      <c r="A157" s="192"/>
      <c r="B157" s="192"/>
      <c r="C157" s="192"/>
      <c r="D157" s="192"/>
      <c r="E157" s="192"/>
      <c r="F157" s="192"/>
      <c r="G157" s="192"/>
      <c r="H157" s="192"/>
      <c r="I157" s="205"/>
      <c r="J157" s="206"/>
      <c r="K157" s="192"/>
      <c r="L157" s="192"/>
      <c r="M157" s="192"/>
      <c r="N157" s="194"/>
      <c r="O157" s="190"/>
    </row>
    <row r="158" ht="15.75" customHeight="1">
      <c r="A158" s="186"/>
      <c r="B158" s="186"/>
      <c r="C158" s="186"/>
      <c r="D158" s="186"/>
      <c r="E158" s="186"/>
      <c r="F158" s="186"/>
      <c r="G158" s="186"/>
      <c r="H158" s="186"/>
      <c r="I158" s="187"/>
      <c r="J158" s="188"/>
      <c r="K158" s="186"/>
      <c r="L158" s="186"/>
      <c r="M158" s="186"/>
      <c r="N158" s="189"/>
      <c r="O158" s="190"/>
    </row>
    <row r="159" ht="15.75" customHeight="1">
      <c r="A159" s="192"/>
      <c r="B159" s="192"/>
      <c r="C159" s="192"/>
      <c r="D159" s="192"/>
      <c r="E159" s="192"/>
      <c r="F159" s="192"/>
      <c r="G159" s="192"/>
      <c r="H159" s="192"/>
      <c r="I159" s="205"/>
      <c r="J159" s="206"/>
      <c r="K159" s="192"/>
      <c r="L159" s="192"/>
      <c r="M159" s="192"/>
      <c r="N159" s="194"/>
      <c r="O159" s="190"/>
    </row>
    <row r="160" ht="15.75" customHeight="1">
      <c r="A160" s="186"/>
      <c r="B160" s="186"/>
      <c r="C160" s="186"/>
      <c r="D160" s="186"/>
      <c r="E160" s="186"/>
      <c r="F160" s="186"/>
      <c r="G160" s="186"/>
      <c r="H160" s="186"/>
      <c r="I160" s="187"/>
      <c r="J160" s="188"/>
      <c r="K160" s="186"/>
      <c r="L160" s="186"/>
      <c r="M160" s="186"/>
      <c r="N160" s="189"/>
      <c r="O160" s="190"/>
    </row>
    <row r="161" ht="15.75" customHeight="1">
      <c r="A161" s="192"/>
      <c r="B161" s="192"/>
      <c r="C161" s="192"/>
      <c r="D161" s="192"/>
      <c r="E161" s="192"/>
      <c r="F161" s="192"/>
      <c r="G161" s="192"/>
      <c r="H161" s="192"/>
      <c r="I161" s="205"/>
      <c r="J161" s="206"/>
      <c r="K161" s="192"/>
      <c r="L161" s="192"/>
      <c r="M161" s="192"/>
      <c r="N161" s="194"/>
      <c r="O161" s="190"/>
    </row>
    <row r="162" ht="15.75" customHeight="1">
      <c r="A162" s="186"/>
      <c r="B162" s="186"/>
      <c r="C162" s="186"/>
      <c r="D162" s="186"/>
      <c r="E162" s="186"/>
      <c r="F162" s="186"/>
      <c r="G162" s="186"/>
      <c r="H162" s="186"/>
      <c r="I162" s="187"/>
      <c r="J162" s="188"/>
      <c r="K162" s="186"/>
      <c r="L162" s="186"/>
      <c r="M162" s="186"/>
      <c r="N162" s="189"/>
      <c r="O162" s="190"/>
    </row>
    <row r="163" ht="15.75" customHeight="1">
      <c r="A163" s="192"/>
      <c r="B163" s="192"/>
      <c r="C163" s="192"/>
      <c r="D163" s="192"/>
      <c r="E163" s="192"/>
      <c r="F163" s="192"/>
      <c r="G163" s="192"/>
      <c r="H163" s="192"/>
      <c r="I163" s="205"/>
      <c r="J163" s="206"/>
      <c r="K163" s="192"/>
      <c r="L163" s="192"/>
      <c r="M163" s="192"/>
      <c r="N163" s="194"/>
      <c r="O163" s="190"/>
    </row>
    <row r="164" ht="15.75" customHeight="1">
      <c r="A164" s="186"/>
      <c r="B164" s="186"/>
      <c r="C164" s="186"/>
      <c r="D164" s="186"/>
      <c r="E164" s="186"/>
      <c r="F164" s="186"/>
      <c r="G164" s="186"/>
      <c r="H164" s="186"/>
      <c r="I164" s="187"/>
      <c r="J164" s="188"/>
      <c r="K164" s="186"/>
      <c r="L164" s="186"/>
      <c r="M164" s="186"/>
      <c r="N164" s="189"/>
      <c r="O164" s="190"/>
    </row>
    <row r="165" ht="15.75" customHeight="1">
      <c r="A165" s="192"/>
      <c r="B165" s="192"/>
      <c r="C165" s="192"/>
      <c r="D165" s="192"/>
      <c r="E165" s="192"/>
      <c r="F165" s="192"/>
      <c r="G165" s="192"/>
      <c r="H165" s="192"/>
      <c r="I165" s="205"/>
      <c r="J165" s="206"/>
      <c r="K165" s="192"/>
      <c r="L165" s="192"/>
      <c r="M165" s="192"/>
      <c r="N165" s="194"/>
      <c r="O165" s="190"/>
    </row>
    <row r="166" ht="15.75" customHeight="1">
      <c r="A166" s="186"/>
      <c r="B166" s="186"/>
      <c r="C166" s="186"/>
      <c r="D166" s="186"/>
      <c r="E166" s="186"/>
      <c r="F166" s="186"/>
      <c r="G166" s="186"/>
      <c r="H166" s="186"/>
      <c r="I166" s="187"/>
      <c r="J166" s="188"/>
      <c r="K166" s="186"/>
      <c r="L166" s="186"/>
      <c r="M166" s="186"/>
      <c r="N166" s="189"/>
      <c r="O166" s="190"/>
    </row>
    <row r="167" ht="15.75" customHeight="1">
      <c r="A167" s="192"/>
      <c r="B167" s="192"/>
      <c r="C167" s="192"/>
      <c r="D167" s="192"/>
      <c r="E167" s="192"/>
      <c r="F167" s="192"/>
      <c r="G167" s="192"/>
      <c r="H167" s="192"/>
      <c r="I167" s="205"/>
      <c r="J167" s="206"/>
      <c r="K167" s="192"/>
      <c r="L167" s="192"/>
      <c r="M167" s="192"/>
      <c r="N167" s="194"/>
      <c r="O167" s="190"/>
    </row>
    <row r="168" ht="15.75" customHeight="1">
      <c r="A168" s="186"/>
      <c r="B168" s="186"/>
      <c r="C168" s="186"/>
      <c r="D168" s="186"/>
      <c r="E168" s="186"/>
      <c r="F168" s="186"/>
      <c r="G168" s="186"/>
      <c r="H168" s="186"/>
      <c r="I168" s="187"/>
      <c r="J168" s="188"/>
      <c r="K168" s="186"/>
      <c r="L168" s="186"/>
      <c r="M168" s="186"/>
      <c r="N168" s="189"/>
      <c r="O168" s="190"/>
    </row>
    <row r="169" ht="15.75" customHeight="1">
      <c r="A169" s="192"/>
      <c r="B169" s="192"/>
      <c r="C169" s="192"/>
      <c r="D169" s="192"/>
      <c r="E169" s="192"/>
      <c r="F169" s="192"/>
      <c r="G169" s="192"/>
      <c r="H169" s="192"/>
      <c r="I169" s="205"/>
      <c r="J169" s="206"/>
      <c r="K169" s="192"/>
      <c r="L169" s="192"/>
      <c r="M169" s="192"/>
      <c r="N169" s="194"/>
      <c r="O169" s="190"/>
    </row>
    <row r="170" ht="15.75" customHeight="1">
      <c r="A170" s="186"/>
      <c r="B170" s="186"/>
      <c r="C170" s="186"/>
      <c r="D170" s="186"/>
      <c r="E170" s="186"/>
      <c r="F170" s="186"/>
      <c r="G170" s="186"/>
      <c r="H170" s="186"/>
      <c r="I170" s="187"/>
      <c r="J170" s="188"/>
      <c r="K170" s="186"/>
      <c r="L170" s="186"/>
      <c r="M170" s="186"/>
      <c r="N170" s="189"/>
      <c r="O170" s="190"/>
    </row>
    <row r="171" ht="15.75" customHeight="1">
      <c r="A171" s="186"/>
      <c r="B171" s="186"/>
      <c r="C171" s="186"/>
      <c r="D171" s="186"/>
      <c r="E171" s="186"/>
      <c r="F171" s="186"/>
      <c r="G171" s="186"/>
      <c r="H171" s="186"/>
      <c r="I171" s="187"/>
      <c r="J171" s="188"/>
      <c r="K171" s="186"/>
      <c r="L171" s="186"/>
      <c r="M171" s="186"/>
      <c r="N171" s="189"/>
      <c r="O171" s="190"/>
    </row>
    <row r="172" ht="15.75" customHeight="1">
      <c r="A172" s="192"/>
      <c r="B172" s="192"/>
      <c r="C172" s="192"/>
      <c r="D172" s="192"/>
      <c r="E172" s="192"/>
      <c r="F172" s="192"/>
      <c r="G172" s="192"/>
      <c r="H172" s="192"/>
      <c r="I172" s="205"/>
      <c r="J172" s="206"/>
      <c r="K172" s="192"/>
      <c r="L172" s="192"/>
      <c r="M172" s="192"/>
      <c r="N172" s="194"/>
      <c r="O172" s="190"/>
    </row>
    <row r="173" ht="15.75" customHeight="1">
      <c r="A173" s="186"/>
      <c r="B173" s="186"/>
      <c r="C173" s="186"/>
      <c r="D173" s="186"/>
      <c r="E173" s="186"/>
      <c r="F173" s="186"/>
      <c r="G173" s="186"/>
      <c r="H173" s="186"/>
      <c r="I173" s="187"/>
      <c r="J173" s="188"/>
      <c r="K173" s="186"/>
      <c r="L173" s="186"/>
      <c r="M173" s="186"/>
      <c r="N173" s="189"/>
      <c r="O173" s="190"/>
    </row>
    <row r="174" ht="15.75" customHeight="1">
      <c r="A174" s="192"/>
      <c r="B174" s="192"/>
      <c r="C174" s="192"/>
      <c r="D174" s="192"/>
      <c r="E174" s="192"/>
      <c r="F174" s="192"/>
      <c r="G174" s="192"/>
      <c r="H174" s="192"/>
      <c r="I174" s="205"/>
      <c r="J174" s="206"/>
      <c r="K174" s="192"/>
      <c r="L174" s="192"/>
      <c r="M174" s="192"/>
      <c r="N174" s="194"/>
      <c r="O174" s="190"/>
    </row>
    <row r="175" ht="15.75" customHeight="1">
      <c r="A175" s="186"/>
      <c r="B175" s="186"/>
      <c r="C175" s="186"/>
      <c r="D175" s="186"/>
      <c r="E175" s="186"/>
      <c r="F175" s="186"/>
      <c r="G175" s="186"/>
      <c r="H175" s="186"/>
      <c r="I175" s="187"/>
      <c r="J175" s="188"/>
      <c r="K175" s="186"/>
      <c r="L175" s="186"/>
      <c r="M175" s="186"/>
      <c r="N175" s="189"/>
      <c r="O175" s="190"/>
    </row>
    <row r="176" ht="15.75" customHeight="1">
      <c r="A176" s="192"/>
      <c r="B176" s="192"/>
      <c r="C176" s="192"/>
      <c r="D176" s="192"/>
      <c r="E176" s="192"/>
      <c r="F176" s="192"/>
      <c r="G176" s="192"/>
      <c r="H176" s="192"/>
      <c r="I176" s="205"/>
      <c r="J176" s="206"/>
      <c r="K176" s="192"/>
      <c r="L176" s="192"/>
      <c r="M176" s="192"/>
      <c r="N176" s="194"/>
      <c r="O176" s="190"/>
    </row>
    <row r="177" ht="15.75" customHeight="1">
      <c r="A177" s="186"/>
      <c r="B177" s="186"/>
      <c r="C177" s="186"/>
      <c r="D177" s="186"/>
      <c r="E177" s="186"/>
      <c r="F177" s="186"/>
      <c r="G177" s="186"/>
      <c r="H177" s="186"/>
      <c r="I177" s="187"/>
      <c r="J177" s="188"/>
      <c r="K177" s="186"/>
      <c r="L177" s="186"/>
      <c r="M177" s="186"/>
      <c r="N177" s="189"/>
      <c r="O177" s="190"/>
    </row>
    <row r="178" ht="15.75" customHeight="1">
      <c r="A178" s="192"/>
      <c r="B178" s="192"/>
      <c r="C178" s="192"/>
      <c r="D178" s="192"/>
      <c r="E178" s="192"/>
      <c r="F178" s="192"/>
      <c r="G178" s="192"/>
      <c r="H178" s="192"/>
      <c r="I178" s="205"/>
      <c r="J178" s="206"/>
      <c r="K178" s="192"/>
      <c r="L178" s="192"/>
      <c r="M178" s="192"/>
      <c r="N178" s="194"/>
      <c r="O178" s="190"/>
    </row>
    <row r="179" ht="15.75" customHeight="1">
      <c r="A179" s="186"/>
      <c r="B179" s="186"/>
      <c r="C179" s="186"/>
      <c r="D179" s="186"/>
      <c r="E179" s="186"/>
      <c r="F179" s="186"/>
      <c r="G179" s="186"/>
      <c r="H179" s="186"/>
      <c r="I179" s="187"/>
      <c r="J179" s="188"/>
      <c r="K179" s="186"/>
      <c r="L179" s="186"/>
      <c r="M179" s="186"/>
      <c r="N179" s="189"/>
      <c r="O179" s="190"/>
    </row>
    <row r="180" ht="15.75" customHeight="1">
      <c r="A180" s="192"/>
      <c r="B180" s="192"/>
      <c r="C180" s="192"/>
      <c r="D180" s="192"/>
      <c r="E180" s="192"/>
      <c r="F180" s="192"/>
      <c r="G180" s="192"/>
      <c r="H180" s="192"/>
      <c r="I180" s="205"/>
      <c r="J180" s="206"/>
      <c r="K180" s="192"/>
      <c r="L180" s="192"/>
      <c r="M180" s="192"/>
      <c r="N180" s="194"/>
      <c r="O180" s="190"/>
    </row>
    <row r="181" ht="15.75" customHeight="1">
      <c r="A181" s="186"/>
      <c r="B181" s="186"/>
      <c r="C181" s="186"/>
      <c r="D181" s="186"/>
      <c r="E181" s="186"/>
      <c r="F181" s="186"/>
      <c r="G181" s="186"/>
      <c r="H181" s="186"/>
      <c r="I181" s="187"/>
      <c r="J181" s="188"/>
      <c r="K181" s="186"/>
      <c r="L181" s="186"/>
      <c r="M181" s="186"/>
      <c r="N181" s="189"/>
      <c r="O181" s="190"/>
    </row>
    <row r="182" ht="15.75" customHeight="1">
      <c r="A182" s="192"/>
      <c r="B182" s="192"/>
      <c r="C182" s="192"/>
      <c r="D182" s="192"/>
      <c r="E182" s="192"/>
      <c r="F182" s="192"/>
      <c r="G182" s="192"/>
      <c r="H182" s="192"/>
      <c r="I182" s="205"/>
      <c r="J182" s="206"/>
      <c r="K182" s="192"/>
      <c r="L182" s="192"/>
      <c r="M182" s="192"/>
      <c r="N182" s="194"/>
      <c r="O182" s="190"/>
    </row>
    <row r="183" ht="15.75" customHeight="1">
      <c r="A183" s="186"/>
      <c r="B183" s="186"/>
      <c r="C183" s="186"/>
      <c r="D183" s="186"/>
      <c r="E183" s="186"/>
      <c r="F183" s="186"/>
      <c r="G183" s="186"/>
      <c r="H183" s="186"/>
      <c r="I183" s="187"/>
      <c r="J183" s="188"/>
      <c r="K183" s="186"/>
      <c r="L183" s="186"/>
      <c r="M183" s="186"/>
      <c r="N183" s="189"/>
      <c r="O183" s="190"/>
    </row>
    <row r="184" ht="15.75" customHeight="1">
      <c r="A184" s="192"/>
      <c r="B184" s="192"/>
      <c r="C184" s="192"/>
      <c r="D184" s="192"/>
      <c r="E184" s="192"/>
      <c r="F184" s="192"/>
      <c r="G184" s="192"/>
      <c r="H184" s="192"/>
      <c r="I184" s="205"/>
      <c r="J184" s="206"/>
      <c r="K184" s="192"/>
      <c r="L184" s="192"/>
      <c r="M184" s="192"/>
      <c r="N184" s="194"/>
      <c r="O184" s="190"/>
    </row>
    <row r="185" ht="15.75" customHeight="1">
      <c r="A185" s="186"/>
      <c r="B185" s="186"/>
      <c r="C185" s="186"/>
      <c r="D185" s="186"/>
      <c r="E185" s="186"/>
      <c r="F185" s="186"/>
      <c r="G185" s="186"/>
      <c r="H185" s="186"/>
      <c r="I185" s="187"/>
      <c r="J185" s="188"/>
      <c r="K185" s="186"/>
      <c r="L185" s="186"/>
      <c r="M185" s="186"/>
      <c r="N185" s="189"/>
      <c r="O185" s="190"/>
    </row>
    <row r="186" ht="15.75" customHeight="1">
      <c r="A186" s="192"/>
      <c r="B186" s="192"/>
      <c r="C186" s="192"/>
      <c r="D186" s="192"/>
      <c r="E186" s="192"/>
      <c r="F186" s="192"/>
      <c r="G186" s="192"/>
      <c r="H186" s="192"/>
      <c r="I186" s="205"/>
      <c r="J186" s="206"/>
      <c r="K186" s="192"/>
      <c r="L186" s="192"/>
      <c r="M186" s="192"/>
      <c r="N186" s="194"/>
      <c r="O186" s="190"/>
    </row>
    <row r="187" ht="15.75" customHeight="1">
      <c r="A187" s="186"/>
      <c r="B187" s="186"/>
      <c r="C187" s="186"/>
      <c r="D187" s="186"/>
      <c r="E187" s="186"/>
      <c r="F187" s="186"/>
      <c r="G187" s="186"/>
      <c r="H187" s="186"/>
      <c r="I187" s="187"/>
      <c r="J187" s="188"/>
      <c r="K187" s="186"/>
      <c r="L187" s="186"/>
      <c r="M187" s="186"/>
      <c r="N187" s="189"/>
      <c r="O187" s="190"/>
    </row>
    <row r="188" ht="15.75" customHeight="1">
      <c r="A188" s="192"/>
      <c r="B188" s="192"/>
      <c r="C188" s="192"/>
      <c r="D188" s="192"/>
      <c r="E188" s="192"/>
      <c r="F188" s="192"/>
      <c r="G188" s="192"/>
      <c r="H188" s="192"/>
      <c r="I188" s="205"/>
      <c r="J188" s="206"/>
      <c r="K188" s="192"/>
      <c r="L188" s="192"/>
      <c r="M188" s="192"/>
      <c r="N188" s="194"/>
      <c r="O188" s="190"/>
    </row>
    <row r="189" ht="15.75" customHeight="1">
      <c r="A189" s="186"/>
      <c r="B189" s="186"/>
      <c r="C189" s="186"/>
      <c r="D189" s="186"/>
      <c r="E189" s="186"/>
      <c r="F189" s="186"/>
      <c r="G189" s="186"/>
      <c r="H189" s="186"/>
      <c r="I189" s="187"/>
      <c r="J189" s="188"/>
      <c r="K189" s="186"/>
      <c r="L189" s="186"/>
      <c r="M189" s="186"/>
      <c r="N189" s="189"/>
      <c r="O189" s="190"/>
    </row>
    <row r="190" ht="15.75" customHeight="1">
      <c r="A190" s="192"/>
      <c r="B190" s="192"/>
      <c r="C190" s="192"/>
      <c r="D190" s="192"/>
      <c r="E190" s="192"/>
      <c r="F190" s="192"/>
      <c r="G190" s="192"/>
      <c r="H190" s="192"/>
      <c r="I190" s="205"/>
      <c r="J190" s="206"/>
      <c r="K190" s="192"/>
      <c r="L190" s="192"/>
      <c r="M190" s="192"/>
      <c r="N190" s="194"/>
      <c r="O190" s="190"/>
    </row>
    <row r="191" ht="15.75" customHeight="1">
      <c r="A191" s="186"/>
      <c r="B191" s="186"/>
      <c r="C191" s="186"/>
      <c r="D191" s="186"/>
      <c r="E191" s="186"/>
      <c r="F191" s="186"/>
      <c r="G191" s="186"/>
      <c r="H191" s="186"/>
      <c r="I191" s="187"/>
      <c r="J191" s="188"/>
      <c r="K191" s="186"/>
      <c r="L191" s="186"/>
      <c r="M191" s="186"/>
      <c r="N191" s="189"/>
      <c r="O191" s="190"/>
    </row>
    <row r="192" ht="15.75" customHeight="1">
      <c r="A192" s="192"/>
      <c r="B192" s="192"/>
      <c r="C192" s="192"/>
      <c r="D192" s="192"/>
      <c r="E192" s="192"/>
      <c r="F192" s="192"/>
      <c r="G192" s="192"/>
      <c r="H192" s="192"/>
      <c r="I192" s="205"/>
      <c r="J192" s="206"/>
      <c r="K192" s="192"/>
      <c r="L192" s="192"/>
      <c r="M192" s="192"/>
      <c r="N192" s="194"/>
      <c r="O192" s="190"/>
    </row>
    <row r="193" ht="15.75" customHeight="1">
      <c r="A193" s="186"/>
      <c r="B193" s="186"/>
      <c r="C193" s="186"/>
      <c r="D193" s="186"/>
      <c r="E193" s="186"/>
      <c r="F193" s="186"/>
      <c r="G193" s="186"/>
      <c r="H193" s="186"/>
      <c r="I193" s="187"/>
      <c r="J193" s="188"/>
      <c r="K193" s="186"/>
      <c r="L193" s="186"/>
      <c r="M193" s="186"/>
      <c r="N193" s="189"/>
      <c r="O193" s="190"/>
    </row>
    <row r="194" ht="15.75" customHeight="1">
      <c r="A194" s="186"/>
      <c r="B194" s="186"/>
      <c r="C194" s="186"/>
      <c r="D194" s="186"/>
      <c r="E194" s="186"/>
      <c r="F194" s="186"/>
      <c r="G194" s="186"/>
      <c r="H194" s="186"/>
      <c r="I194" s="187"/>
      <c r="J194" s="188"/>
      <c r="K194" s="186"/>
      <c r="L194" s="186"/>
      <c r="M194" s="186"/>
      <c r="N194" s="189"/>
      <c r="O194" s="190"/>
    </row>
    <row r="195" ht="15.75" customHeight="1">
      <c r="A195" s="192"/>
      <c r="B195" s="192"/>
      <c r="C195" s="192"/>
      <c r="D195" s="192"/>
      <c r="E195" s="192"/>
      <c r="F195" s="192"/>
      <c r="G195" s="192"/>
      <c r="H195" s="192"/>
      <c r="I195" s="205"/>
      <c r="J195" s="206"/>
      <c r="K195" s="192"/>
      <c r="L195" s="192"/>
      <c r="M195" s="192"/>
      <c r="N195" s="194"/>
      <c r="O195" s="190"/>
    </row>
    <row r="196" ht="15.75" customHeight="1">
      <c r="A196" s="186"/>
      <c r="B196" s="186"/>
      <c r="C196" s="186"/>
      <c r="D196" s="186"/>
      <c r="E196" s="186"/>
      <c r="F196" s="186"/>
      <c r="G196" s="186"/>
      <c r="H196" s="186"/>
      <c r="I196" s="187"/>
      <c r="J196" s="188"/>
      <c r="K196" s="186"/>
      <c r="L196" s="186"/>
      <c r="M196" s="186"/>
      <c r="N196" s="189"/>
      <c r="O196" s="190"/>
    </row>
    <row r="197" ht="15.75" customHeight="1">
      <c r="A197" s="192"/>
      <c r="B197" s="192"/>
      <c r="C197" s="192"/>
      <c r="D197" s="192"/>
      <c r="E197" s="192"/>
      <c r="F197" s="192"/>
      <c r="G197" s="192"/>
      <c r="H197" s="192"/>
      <c r="I197" s="205"/>
      <c r="J197" s="206"/>
      <c r="K197" s="192"/>
      <c r="L197" s="192"/>
      <c r="M197" s="192"/>
      <c r="N197" s="194"/>
      <c r="O197" s="190"/>
    </row>
    <row r="198" ht="15.75" customHeight="1">
      <c r="A198" s="186"/>
      <c r="B198" s="186"/>
      <c r="C198" s="186"/>
      <c r="D198" s="186"/>
      <c r="E198" s="186"/>
      <c r="F198" s="186"/>
      <c r="G198" s="186"/>
      <c r="H198" s="186"/>
      <c r="I198" s="187"/>
      <c r="J198" s="188"/>
      <c r="K198" s="186"/>
      <c r="L198" s="186"/>
      <c r="M198" s="186"/>
      <c r="N198" s="189"/>
      <c r="O198" s="190"/>
    </row>
    <row r="199" ht="15.75" customHeight="1">
      <c r="A199" s="192"/>
      <c r="B199" s="192"/>
      <c r="C199" s="192"/>
      <c r="D199" s="192"/>
      <c r="E199" s="192"/>
      <c r="F199" s="192"/>
      <c r="G199" s="192"/>
      <c r="H199" s="192"/>
      <c r="I199" s="205"/>
      <c r="J199" s="206"/>
      <c r="K199" s="192"/>
      <c r="L199" s="192"/>
      <c r="M199" s="192"/>
      <c r="N199" s="194"/>
      <c r="O199" s="190"/>
    </row>
    <row r="200" ht="15.75" customHeight="1">
      <c r="A200" s="186"/>
      <c r="B200" s="186"/>
      <c r="C200" s="186"/>
      <c r="D200" s="186"/>
      <c r="E200" s="186"/>
      <c r="F200" s="186"/>
      <c r="G200" s="186"/>
      <c r="H200" s="186"/>
      <c r="I200" s="187"/>
      <c r="J200" s="188"/>
      <c r="K200" s="186"/>
      <c r="L200" s="186"/>
      <c r="M200" s="186"/>
      <c r="N200" s="189"/>
      <c r="O200" s="190"/>
    </row>
    <row r="201" ht="15.75" customHeight="1">
      <c r="A201" s="192"/>
      <c r="B201" s="192"/>
      <c r="C201" s="192"/>
      <c r="D201" s="192"/>
      <c r="E201" s="192"/>
      <c r="F201" s="192"/>
      <c r="G201" s="192"/>
      <c r="H201" s="192"/>
      <c r="I201" s="205"/>
      <c r="J201" s="206"/>
      <c r="K201" s="192"/>
      <c r="L201" s="192"/>
      <c r="M201" s="192"/>
      <c r="N201" s="194"/>
      <c r="O201" s="190"/>
    </row>
    <row r="202" ht="15.75" customHeight="1">
      <c r="A202" s="186"/>
      <c r="B202" s="186"/>
      <c r="C202" s="186"/>
      <c r="D202" s="186"/>
      <c r="E202" s="186"/>
      <c r="F202" s="186"/>
      <c r="G202" s="186"/>
      <c r="H202" s="186"/>
      <c r="I202" s="187"/>
      <c r="J202" s="188"/>
      <c r="K202" s="186"/>
      <c r="L202" s="186"/>
      <c r="M202" s="186"/>
      <c r="N202" s="189"/>
      <c r="O202" s="190"/>
    </row>
    <row r="203" ht="15.75" customHeight="1">
      <c r="A203" s="192"/>
      <c r="B203" s="192"/>
      <c r="C203" s="192"/>
      <c r="D203" s="192"/>
      <c r="E203" s="192"/>
      <c r="F203" s="192"/>
      <c r="G203" s="192"/>
      <c r="H203" s="192"/>
      <c r="I203" s="205"/>
      <c r="J203" s="206"/>
      <c r="K203" s="192"/>
      <c r="L203" s="192"/>
      <c r="M203" s="192"/>
      <c r="N203" s="194"/>
      <c r="O203" s="190"/>
    </row>
    <row r="204" ht="15.75" customHeight="1">
      <c r="A204" s="186"/>
      <c r="B204" s="186"/>
      <c r="C204" s="186"/>
      <c r="D204" s="186"/>
      <c r="E204" s="186"/>
      <c r="F204" s="186"/>
      <c r="G204" s="186"/>
      <c r="H204" s="186"/>
      <c r="I204" s="187"/>
      <c r="J204" s="188"/>
      <c r="K204" s="186"/>
      <c r="L204" s="186"/>
      <c r="M204" s="186"/>
      <c r="N204" s="189"/>
      <c r="O204" s="190"/>
    </row>
    <row r="205" ht="15.75" customHeight="1">
      <c r="A205" s="192"/>
      <c r="B205" s="192"/>
      <c r="C205" s="192"/>
      <c r="D205" s="192"/>
      <c r="E205" s="192"/>
      <c r="F205" s="192"/>
      <c r="G205" s="192"/>
      <c r="H205" s="192"/>
      <c r="I205" s="205"/>
      <c r="J205" s="206"/>
      <c r="K205" s="192"/>
      <c r="L205" s="192"/>
      <c r="M205" s="192"/>
      <c r="N205" s="194"/>
      <c r="O205" s="190"/>
    </row>
    <row r="206" ht="15.75" customHeight="1">
      <c r="A206" s="186"/>
      <c r="B206" s="186"/>
      <c r="C206" s="186"/>
      <c r="D206" s="186"/>
      <c r="E206" s="186"/>
      <c r="F206" s="186"/>
      <c r="G206" s="186"/>
      <c r="H206" s="186"/>
      <c r="I206" s="187"/>
      <c r="J206" s="188"/>
      <c r="K206" s="186"/>
      <c r="L206" s="186"/>
      <c r="M206" s="186"/>
      <c r="N206" s="189"/>
      <c r="O206" s="190"/>
    </row>
    <row r="207" ht="15.75" customHeight="1">
      <c r="A207" s="192"/>
      <c r="B207" s="192"/>
      <c r="C207" s="192"/>
      <c r="D207" s="192"/>
      <c r="E207" s="192"/>
      <c r="F207" s="192"/>
      <c r="G207" s="192"/>
      <c r="H207" s="192"/>
      <c r="I207" s="205"/>
      <c r="J207" s="206"/>
      <c r="K207" s="192"/>
      <c r="L207" s="192"/>
      <c r="M207" s="192"/>
      <c r="N207" s="194"/>
      <c r="O207" s="190"/>
    </row>
    <row r="208" ht="15.75" customHeight="1">
      <c r="A208" s="186"/>
      <c r="B208" s="186"/>
      <c r="C208" s="186"/>
      <c r="D208" s="186"/>
      <c r="E208" s="186"/>
      <c r="F208" s="186"/>
      <c r="G208" s="186"/>
      <c r="H208" s="186"/>
      <c r="I208" s="187"/>
      <c r="J208" s="188"/>
      <c r="K208" s="186"/>
      <c r="L208" s="186"/>
      <c r="M208" s="186"/>
      <c r="N208" s="189"/>
      <c r="O208" s="190"/>
    </row>
    <row r="209" ht="15.75" customHeight="1">
      <c r="A209" s="192"/>
      <c r="B209" s="192"/>
      <c r="C209" s="192"/>
      <c r="D209" s="192"/>
      <c r="E209" s="192"/>
      <c r="F209" s="192"/>
      <c r="G209" s="192"/>
      <c r="H209" s="192"/>
      <c r="I209" s="205"/>
      <c r="J209" s="206"/>
      <c r="K209" s="192"/>
      <c r="L209" s="192"/>
      <c r="M209" s="192"/>
      <c r="N209" s="194"/>
      <c r="O209" s="190"/>
    </row>
    <row r="210" ht="15.75" customHeight="1">
      <c r="A210" s="186"/>
      <c r="B210" s="186"/>
      <c r="C210" s="186"/>
      <c r="D210" s="186"/>
      <c r="E210" s="186"/>
      <c r="F210" s="186"/>
      <c r="G210" s="186"/>
      <c r="H210" s="186"/>
      <c r="I210" s="187"/>
      <c r="J210" s="188"/>
      <c r="K210" s="186"/>
      <c r="L210" s="186"/>
      <c r="M210" s="186"/>
      <c r="N210" s="189"/>
      <c r="O210" s="190"/>
    </row>
    <row r="211" ht="15.75" customHeight="1">
      <c r="A211" s="192"/>
      <c r="B211" s="192"/>
      <c r="C211" s="192"/>
      <c r="D211" s="192"/>
      <c r="E211" s="192"/>
      <c r="F211" s="192"/>
      <c r="G211" s="192"/>
      <c r="H211" s="192"/>
      <c r="I211" s="205"/>
      <c r="J211" s="206"/>
      <c r="K211" s="192"/>
      <c r="L211" s="192"/>
      <c r="M211" s="192"/>
      <c r="N211" s="194"/>
      <c r="O211" s="190"/>
    </row>
    <row r="212" ht="15.75" customHeight="1">
      <c r="A212" s="186"/>
      <c r="B212" s="186"/>
      <c r="C212" s="186"/>
      <c r="D212" s="186"/>
      <c r="E212" s="186"/>
      <c r="F212" s="186"/>
      <c r="G212" s="186"/>
      <c r="H212" s="186"/>
      <c r="I212" s="187"/>
      <c r="J212" s="188"/>
      <c r="K212" s="186"/>
      <c r="L212" s="186"/>
      <c r="M212" s="186"/>
      <c r="N212" s="189"/>
      <c r="O212" s="190"/>
    </row>
    <row r="213" ht="15.75" customHeight="1">
      <c r="A213" s="192"/>
      <c r="B213" s="192"/>
      <c r="C213" s="192"/>
      <c r="D213" s="192"/>
      <c r="E213" s="192"/>
      <c r="F213" s="192"/>
      <c r="G213" s="192"/>
      <c r="H213" s="192"/>
      <c r="I213" s="205"/>
      <c r="J213" s="206"/>
      <c r="K213" s="192"/>
      <c r="L213" s="192"/>
      <c r="M213" s="192"/>
      <c r="N213" s="194"/>
      <c r="O213" s="190"/>
    </row>
    <row r="214" ht="15.75" customHeight="1">
      <c r="A214" s="186"/>
      <c r="B214" s="186"/>
      <c r="C214" s="186"/>
      <c r="D214" s="186"/>
      <c r="E214" s="186"/>
      <c r="F214" s="186"/>
      <c r="G214" s="186"/>
      <c r="H214" s="186"/>
      <c r="I214" s="187"/>
      <c r="J214" s="188"/>
      <c r="K214" s="186"/>
      <c r="L214" s="186"/>
      <c r="M214" s="186"/>
      <c r="N214" s="189"/>
      <c r="O214" s="190"/>
    </row>
    <row r="215" ht="15.75" customHeight="1">
      <c r="A215" s="192"/>
      <c r="B215" s="192"/>
      <c r="C215" s="192"/>
      <c r="D215" s="192"/>
      <c r="E215" s="192"/>
      <c r="F215" s="192"/>
      <c r="G215" s="192"/>
      <c r="H215" s="192"/>
      <c r="I215" s="205"/>
      <c r="J215" s="206"/>
      <c r="K215" s="192"/>
      <c r="L215" s="192"/>
      <c r="M215" s="192"/>
      <c r="N215" s="194"/>
      <c r="O215" s="190"/>
    </row>
    <row r="216" ht="15.75" customHeight="1">
      <c r="A216" s="186"/>
      <c r="B216" s="186"/>
      <c r="C216" s="186"/>
      <c r="D216" s="186"/>
      <c r="E216" s="186"/>
      <c r="F216" s="186"/>
      <c r="G216" s="186"/>
      <c r="H216" s="186"/>
      <c r="I216" s="187"/>
      <c r="J216" s="188"/>
      <c r="K216" s="186"/>
      <c r="L216" s="186"/>
      <c r="M216" s="186"/>
      <c r="N216" s="189"/>
      <c r="O216" s="190"/>
    </row>
    <row r="217" ht="15.75" customHeight="1">
      <c r="A217" s="186"/>
      <c r="B217" s="186"/>
      <c r="C217" s="186"/>
      <c r="D217" s="186"/>
      <c r="E217" s="186"/>
      <c r="F217" s="186"/>
      <c r="G217" s="186"/>
      <c r="H217" s="186"/>
      <c r="I217" s="187"/>
      <c r="J217" s="188"/>
      <c r="K217" s="186"/>
      <c r="L217" s="186"/>
      <c r="M217" s="186"/>
      <c r="N217" s="189"/>
      <c r="O217" s="190"/>
    </row>
    <row r="218" ht="15.75" customHeight="1">
      <c r="A218" s="186"/>
      <c r="B218" s="186"/>
      <c r="C218" s="186"/>
      <c r="D218" s="186"/>
      <c r="E218" s="186"/>
      <c r="F218" s="186"/>
      <c r="G218" s="186"/>
      <c r="H218" s="186"/>
      <c r="I218" s="187"/>
      <c r="J218" s="188"/>
      <c r="K218" s="186"/>
      <c r="L218" s="186"/>
      <c r="M218" s="186"/>
      <c r="N218" s="189"/>
      <c r="O218" s="190"/>
    </row>
    <row r="219" ht="15.75" customHeight="1">
      <c r="A219" s="192"/>
      <c r="B219" s="192"/>
      <c r="C219" s="192"/>
      <c r="D219" s="192"/>
      <c r="E219" s="192"/>
      <c r="F219" s="192"/>
      <c r="G219" s="192"/>
      <c r="H219" s="192"/>
      <c r="I219" s="205"/>
      <c r="J219" s="206"/>
      <c r="K219" s="192"/>
      <c r="L219" s="192"/>
      <c r="M219" s="192"/>
      <c r="N219" s="189"/>
      <c r="O219" s="190"/>
    </row>
    <row r="220" ht="15.75" customHeight="1">
      <c r="A220" s="186"/>
      <c r="B220" s="186"/>
      <c r="C220" s="186"/>
      <c r="D220" s="186"/>
      <c r="E220" s="186"/>
      <c r="F220" s="186"/>
      <c r="G220" s="186"/>
      <c r="H220" s="186"/>
      <c r="I220" s="187"/>
      <c r="J220" s="188"/>
      <c r="K220" s="186"/>
      <c r="L220" s="186"/>
      <c r="M220" s="186"/>
      <c r="N220" s="189"/>
      <c r="O220" s="190"/>
    </row>
    <row r="221" ht="15.75" customHeight="1">
      <c r="A221" s="192"/>
      <c r="B221" s="192"/>
      <c r="C221" s="192"/>
      <c r="D221" s="192"/>
      <c r="E221" s="192"/>
      <c r="F221" s="192"/>
      <c r="G221" s="192"/>
      <c r="H221" s="192"/>
      <c r="I221" s="205"/>
      <c r="J221" s="206"/>
      <c r="K221" s="192"/>
      <c r="L221" s="192"/>
      <c r="M221" s="192"/>
      <c r="N221" s="189"/>
      <c r="O221" s="190"/>
    </row>
    <row r="222" ht="15.75" customHeight="1">
      <c r="A222" s="186"/>
      <c r="B222" s="186"/>
      <c r="C222" s="186"/>
      <c r="D222" s="186"/>
      <c r="E222" s="186"/>
      <c r="F222" s="186"/>
      <c r="G222" s="186"/>
      <c r="H222" s="186"/>
      <c r="I222" s="187"/>
      <c r="J222" s="188"/>
      <c r="K222" s="186"/>
      <c r="L222" s="186"/>
      <c r="M222" s="186"/>
      <c r="N222" s="189"/>
      <c r="O222" s="190"/>
    </row>
    <row r="223" ht="15.75" customHeight="1">
      <c r="A223" s="192"/>
      <c r="B223" s="192"/>
      <c r="C223" s="192"/>
      <c r="D223" s="192"/>
      <c r="E223" s="192"/>
      <c r="F223" s="192"/>
      <c r="G223" s="192"/>
      <c r="H223" s="192"/>
      <c r="I223" s="205"/>
      <c r="J223" s="206"/>
      <c r="K223" s="192"/>
      <c r="L223" s="192"/>
      <c r="M223" s="192"/>
      <c r="N223" s="189"/>
      <c r="O223" s="190"/>
    </row>
    <row r="224" ht="15.75" customHeight="1">
      <c r="A224" s="186"/>
      <c r="B224" s="186"/>
      <c r="C224" s="186"/>
      <c r="D224" s="186"/>
      <c r="E224" s="186"/>
      <c r="F224" s="186"/>
      <c r="G224" s="186"/>
      <c r="H224" s="186"/>
      <c r="I224" s="187"/>
      <c r="J224" s="188"/>
      <c r="K224" s="186"/>
      <c r="L224" s="186"/>
      <c r="M224" s="186"/>
      <c r="N224" s="189"/>
      <c r="O224" s="190"/>
    </row>
    <row r="225" ht="15.75" customHeight="1">
      <c r="A225" s="192"/>
      <c r="B225" s="192"/>
      <c r="C225" s="192"/>
      <c r="D225" s="192"/>
      <c r="E225" s="192"/>
      <c r="F225" s="192"/>
      <c r="G225" s="192"/>
      <c r="H225" s="192"/>
      <c r="I225" s="205"/>
      <c r="J225" s="206"/>
      <c r="K225" s="192"/>
      <c r="L225" s="192"/>
      <c r="M225" s="192"/>
      <c r="N225" s="189"/>
      <c r="O225" s="190"/>
    </row>
    <row r="226" ht="15.75" customHeight="1">
      <c r="A226" s="186"/>
      <c r="B226" s="186"/>
      <c r="C226" s="186"/>
      <c r="D226" s="186"/>
      <c r="E226" s="186"/>
      <c r="F226" s="186"/>
      <c r="G226" s="186"/>
      <c r="H226" s="186"/>
      <c r="I226" s="187"/>
      <c r="J226" s="188"/>
      <c r="K226" s="186"/>
      <c r="L226" s="186"/>
      <c r="M226" s="186"/>
      <c r="N226" s="189"/>
      <c r="O226" s="190"/>
    </row>
    <row r="227" ht="15.75" customHeight="1">
      <c r="A227" s="192"/>
      <c r="B227" s="192"/>
      <c r="C227" s="192"/>
      <c r="D227" s="192"/>
      <c r="E227" s="192"/>
      <c r="F227" s="192"/>
      <c r="G227" s="192"/>
      <c r="H227" s="192"/>
      <c r="I227" s="205"/>
      <c r="J227" s="206"/>
      <c r="K227" s="192"/>
      <c r="L227" s="192"/>
      <c r="M227" s="192"/>
      <c r="N227" s="189"/>
      <c r="O227" s="190"/>
    </row>
    <row r="228" ht="15.75" customHeight="1">
      <c r="A228" s="186"/>
      <c r="B228" s="186"/>
      <c r="C228" s="186"/>
      <c r="D228" s="186"/>
      <c r="E228" s="186"/>
      <c r="F228" s="186"/>
      <c r="G228" s="186"/>
      <c r="H228" s="186"/>
      <c r="I228" s="187"/>
      <c r="J228" s="188"/>
      <c r="K228" s="186"/>
      <c r="L228" s="186"/>
      <c r="M228" s="186"/>
      <c r="N228" s="189"/>
      <c r="O228" s="190"/>
    </row>
    <row r="229" ht="15.75" customHeight="1">
      <c r="A229" s="192"/>
      <c r="B229" s="192"/>
      <c r="C229" s="192"/>
      <c r="D229" s="192"/>
      <c r="E229" s="192"/>
      <c r="F229" s="192"/>
      <c r="G229" s="192"/>
      <c r="H229" s="192"/>
      <c r="I229" s="205"/>
      <c r="J229" s="206"/>
      <c r="K229" s="192"/>
      <c r="L229" s="192"/>
      <c r="M229" s="192"/>
      <c r="N229" s="189"/>
      <c r="O229" s="190"/>
    </row>
    <row r="230" ht="15.75" customHeight="1">
      <c r="A230" s="186"/>
      <c r="B230" s="186"/>
      <c r="C230" s="186"/>
      <c r="D230" s="186"/>
      <c r="E230" s="186"/>
      <c r="F230" s="186"/>
      <c r="G230" s="186"/>
      <c r="H230" s="186"/>
      <c r="I230" s="187"/>
      <c r="J230" s="188"/>
      <c r="K230" s="186"/>
      <c r="L230" s="186"/>
      <c r="M230" s="186"/>
      <c r="N230" s="189"/>
      <c r="O230" s="190"/>
    </row>
    <row r="231" ht="15.75" customHeight="1">
      <c r="A231" s="192"/>
      <c r="B231" s="192"/>
      <c r="C231" s="192"/>
      <c r="D231" s="192"/>
      <c r="E231" s="192"/>
      <c r="F231" s="192"/>
      <c r="G231" s="192"/>
      <c r="H231" s="192"/>
      <c r="I231" s="205"/>
      <c r="J231" s="206"/>
      <c r="K231" s="192"/>
      <c r="L231" s="192"/>
      <c r="M231" s="192"/>
      <c r="N231" s="189"/>
      <c r="O231" s="190"/>
    </row>
    <row r="232" ht="15.75" customHeight="1">
      <c r="A232" s="186"/>
      <c r="B232" s="186"/>
      <c r="C232" s="186"/>
      <c r="D232" s="186"/>
      <c r="E232" s="186"/>
      <c r="F232" s="186"/>
      <c r="G232" s="186"/>
      <c r="H232" s="186"/>
      <c r="I232" s="187"/>
      <c r="J232" s="188"/>
      <c r="K232" s="186"/>
      <c r="L232" s="186"/>
      <c r="M232" s="186"/>
      <c r="N232" s="189"/>
      <c r="O232" s="190"/>
    </row>
    <row r="233" ht="15.75" customHeight="1">
      <c r="A233" s="192"/>
      <c r="B233" s="192"/>
      <c r="C233" s="192"/>
      <c r="D233" s="192"/>
      <c r="E233" s="192"/>
      <c r="F233" s="192"/>
      <c r="G233" s="192"/>
      <c r="H233" s="192"/>
      <c r="I233" s="205"/>
      <c r="J233" s="206"/>
      <c r="K233" s="192"/>
      <c r="L233" s="192"/>
      <c r="M233" s="192"/>
      <c r="N233" s="189"/>
      <c r="O233" s="190"/>
    </row>
    <row r="234" ht="15.75" customHeight="1">
      <c r="A234" s="186"/>
      <c r="B234" s="186"/>
      <c r="C234" s="186"/>
      <c r="D234" s="186"/>
      <c r="E234" s="186"/>
      <c r="F234" s="186"/>
      <c r="G234" s="186"/>
      <c r="H234" s="186"/>
      <c r="I234" s="187"/>
      <c r="J234" s="188"/>
      <c r="K234" s="186"/>
      <c r="L234" s="186"/>
      <c r="M234" s="186"/>
      <c r="N234" s="189"/>
      <c r="O234" s="190"/>
    </row>
    <row r="235" ht="15.75" customHeight="1">
      <c r="A235" s="192"/>
      <c r="B235" s="192"/>
      <c r="C235" s="192"/>
      <c r="D235" s="192"/>
      <c r="E235" s="192"/>
      <c r="F235" s="192"/>
      <c r="G235" s="192"/>
      <c r="H235" s="192"/>
      <c r="I235" s="205"/>
      <c r="J235" s="206"/>
      <c r="K235" s="192"/>
      <c r="L235" s="192"/>
      <c r="M235" s="192"/>
      <c r="N235" s="189"/>
      <c r="O235" s="190"/>
    </row>
    <row r="236" ht="15.75" customHeight="1">
      <c r="A236" s="186"/>
      <c r="B236" s="186"/>
      <c r="C236" s="186"/>
      <c r="D236" s="186"/>
      <c r="E236" s="186"/>
      <c r="F236" s="186"/>
      <c r="G236" s="186"/>
      <c r="H236" s="186"/>
      <c r="I236" s="187"/>
      <c r="J236" s="188"/>
      <c r="K236" s="186"/>
      <c r="L236" s="186"/>
      <c r="M236" s="186"/>
      <c r="N236" s="189"/>
      <c r="O236" s="190"/>
    </row>
    <row r="237" ht="15.75" customHeight="1">
      <c r="A237" s="192"/>
      <c r="B237" s="192"/>
      <c r="C237" s="192"/>
      <c r="D237" s="192"/>
      <c r="E237" s="192"/>
      <c r="F237" s="192"/>
      <c r="G237" s="192"/>
      <c r="H237" s="192"/>
      <c r="I237" s="205"/>
      <c r="J237" s="206"/>
      <c r="K237" s="192"/>
      <c r="L237" s="192"/>
      <c r="M237" s="192"/>
      <c r="N237" s="189"/>
      <c r="O237" s="190"/>
    </row>
    <row r="238" ht="15.75" customHeight="1">
      <c r="A238" s="186"/>
      <c r="B238" s="186"/>
      <c r="C238" s="186"/>
      <c r="D238" s="186"/>
      <c r="E238" s="186"/>
      <c r="F238" s="186"/>
      <c r="G238" s="186"/>
      <c r="H238" s="186"/>
      <c r="I238" s="187"/>
      <c r="J238" s="188"/>
      <c r="K238" s="186"/>
      <c r="L238" s="186"/>
      <c r="M238" s="186"/>
      <c r="N238" s="189"/>
      <c r="O238" s="190"/>
    </row>
    <row r="239" ht="15.75" customHeight="1">
      <c r="A239" s="192"/>
      <c r="B239" s="192"/>
      <c r="C239" s="192"/>
      <c r="D239" s="192"/>
      <c r="E239" s="192"/>
      <c r="F239" s="192"/>
      <c r="G239" s="192"/>
      <c r="H239" s="192"/>
      <c r="I239" s="205"/>
      <c r="J239" s="206"/>
      <c r="K239" s="192"/>
      <c r="L239" s="192"/>
      <c r="M239" s="192"/>
      <c r="N239" s="189"/>
      <c r="O239" s="190"/>
    </row>
    <row r="240" ht="15.75" customHeight="1">
      <c r="A240" s="186"/>
      <c r="B240" s="186"/>
      <c r="C240" s="186"/>
      <c r="D240" s="186"/>
      <c r="E240" s="186"/>
      <c r="F240" s="186"/>
      <c r="G240" s="186"/>
      <c r="H240" s="186"/>
      <c r="I240" s="187"/>
      <c r="J240" s="188"/>
      <c r="K240" s="186"/>
      <c r="L240" s="186"/>
      <c r="M240" s="186"/>
      <c r="N240" s="189"/>
      <c r="O240" s="190"/>
    </row>
    <row r="241" ht="15.75" customHeight="1">
      <c r="A241" s="192"/>
      <c r="B241" s="192"/>
      <c r="C241" s="192"/>
      <c r="D241" s="192"/>
      <c r="E241" s="192"/>
      <c r="F241" s="192"/>
      <c r="G241" s="192"/>
      <c r="H241" s="192"/>
      <c r="I241" s="205"/>
      <c r="J241" s="206"/>
      <c r="K241" s="192"/>
      <c r="L241" s="192"/>
      <c r="M241" s="192"/>
      <c r="N241" s="189"/>
      <c r="O241" s="190"/>
    </row>
    <row r="242" ht="15.75" customHeight="1">
      <c r="A242" s="186"/>
      <c r="B242" s="186"/>
      <c r="C242" s="186"/>
      <c r="D242" s="186"/>
      <c r="E242" s="186"/>
      <c r="F242" s="186"/>
      <c r="G242" s="186"/>
      <c r="H242" s="186"/>
      <c r="I242" s="187"/>
      <c r="J242" s="188"/>
      <c r="K242" s="186"/>
      <c r="L242" s="186"/>
      <c r="M242" s="186"/>
      <c r="N242" s="189"/>
      <c r="O242" s="190"/>
    </row>
    <row r="243" ht="15.75" customHeight="1">
      <c r="A243" s="192"/>
      <c r="B243" s="192"/>
      <c r="C243" s="192"/>
      <c r="D243" s="192"/>
      <c r="E243" s="192"/>
      <c r="F243" s="192"/>
      <c r="G243" s="192"/>
      <c r="H243" s="192"/>
      <c r="I243" s="205"/>
      <c r="J243" s="206"/>
      <c r="K243" s="192"/>
      <c r="L243" s="192"/>
      <c r="M243" s="192"/>
      <c r="N243" s="189"/>
      <c r="O243" s="190"/>
    </row>
    <row r="244" ht="15.75" customHeight="1">
      <c r="A244" s="186"/>
      <c r="B244" s="186"/>
      <c r="C244" s="186"/>
      <c r="D244" s="186"/>
      <c r="E244" s="186"/>
      <c r="F244" s="186"/>
      <c r="G244" s="186"/>
      <c r="H244" s="186"/>
      <c r="I244" s="187"/>
      <c r="J244" s="188"/>
      <c r="K244" s="186"/>
      <c r="L244" s="186"/>
      <c r="M244" s="186"/>
      <c r="N244" s="189"/>
      <c r="O244" s="190"/>
    </row>
    <row r="245" ht="15.75" customHeight="1">
      <c r="A245" s="186"/>
      <c r="B245" s="186"/>
      <c r="C245" s="186"/>
      <c r="D245" s="186"/>
      <c r="E245" s="186"/>
      <c r="F245" s="186"/>
      <c r="G245" s="186"/>
      <c r="H245" s="186"/>
      <c r="I245" s="187"/>
      <c r="J245" s="188"/>
      <c r="K245" s="186"/>
      <c r="L245" s="186"/>
      <c r="M245" s="186"/>
      <c r="N245" s="189"/>
      <c r="O245" s="190"/>
    </row>
    <row r="246" ht="15.75" customHeight="1">
      <c r="A246" s="192"/>
      <c r="B246" s="192"/>
      <c r="C246" s="192"/>
      <c r="D246" s="192"/>
      <c r="E246" s="192"/>
      <c r="F246" s="192"/>
      <c r="G246" s="192"/>
      <c r="H246" s="192"/>
      <c r="I246" s="205"/>
      <c r="J246" s="206"/>
      <c r="K246" s="192"/>
      <c r="L246" s="192"/>
      <c r="M246" s="192"/>
      <c r="N246" s="189"/>
      <c r="O246" s="190"/>
    </row>
    <row r="247" ht="15.75" customHeight="1">
      <c r="A247" s="186"/>
      <c r="B247" s="186"/>
      <c r="C247" s="186"/>
      <c r="D247" s="186"/>
      <c r="E247" s="186"/>
      <c r="F247" s="186"/>
      <c r="G247" s="186"/>
      <c r="H247" s="186"/>
      <c r="I247" s="187"/>
      <c r="J247" s="188"/>
      <c r="K247" s="186"/>
      <c r="L247" s="186"/>
      <c r="M247" s="186"/>
      <c r="N247" s="189"/>
      <c r="O247" s="190"/>
    </row>
    <row r="248" ht="15.75" customHeight="1">
      <c r="A248" s="192"/>
      <c r="B248" s="192"/>
      <c r="C248" s="192"/>
      <c r="D248" s="192"/>
      <c r="E248" s="192"/>
      <c r="F248" s="192"/>
      <c r="G248" s="192"/>
      <c r="H248" s="192"/>
      <c r="I248" s="205"/>
      <c r="J248" s="206"/>
      <c r="K248" s="192"/>
      <c r="L248" s="192"/>
      <c r="M248" s="192"/>
      <c r="N248" s="189"/>
      <c r="O248" s="190"/>
    </row>
    <row r="249" ht="15.75" customHeight="1">
      <c r="A249" s="186"/>
      <c r="B249" s="186"/>
      <c r="C249" s="186"/>
      <c r="D249" s="186"/>
      <c r="E249" s="186"/>
      <c r="F249" s="186"/>
      <c r="G249" s="186"/>
      <c r="H249" s="186"/>
      <c r="I249" s="187"/>
      <c r="J249" s="188"/>
      <c r="K249" s="186"/>
      <c r="L249" s="186"/>
      <c r="M249" s="186"/>
      <c r="N249" s="189"/>
      <c r="O249" s="190"/>
    </row>
    <row r="250" ht="15.75" customHeight="1">
      <c r="A250" s="192"/>
      <c r="B250" s="192"/>
      <c r="C250" s="192"/>
      <c r="D250" s="192"/>
      <c r="E250" s="192"/>
      <c r="F250" s="192"/>
      <c r="G250" s="192"/>
      <c r="H250" s="192"/>
      <c r="I250" s="205"/>
      <c r="J250" s="206"/>
      <c r="K250" s="192"/>
      <c r="L250" s="192"/>
      <c r="M250" s="192"/>
      <c r="N250" s="189"/>
      <c r="O250" s="190"/>
    </row>
    <row r="251" ht="15.75" customHeight="1">
      <c r="A251" s="186"/>
      <c r="B251" s="186"/>
      <c r="C251" s="186"/>
      <c r="D251" s="186"/>
      <c r="E251" s="186"/>
      <c r="F251" s="186"/>
      <c r="G251" s="186"/>
      <c r="H251" s="186"/>
      <c r="I251" s="187"/>
      <c r="J251" s="188"/>
      <c r="K251" s="186"/>
      <c r="L251" s="186"/>
      <c r="M251" s="186"/>
      <c r="N251" s="189"/>
      <c r="O251" s="190"/>
    </row>
    <row r="252" ht="15.75" customHeight="1">
      <c r="A252" s="192"/>
      <c r="B252" s="192"/>
      <c r="C252" s="192"/>
      <c r="D252" s="192"/>
      <c r="E252" s="192"/>
      <c r="F252" s="192"/>
      <c r="G252" s="192"/>
      <c r="H252" s="192"/>
      <c r="I252" s="205"/>
      <c r="J252" s="206"/>
      <c r="K252" s="192"/>
      <c r="L252" s="192"/>
      <c r="M252" s="192"/>
      <c r="N252" s="189"/>
      <c r="O252" s="190"/>
    </row>
    <row r="253" ht="15.75" customHeight="1">
      <c r="A253" s="186"/>
      <c r="B253" s="186"/>
      <c r="C253" s="186"/>
      <c r="D253" s="186"/>
      <c r="E253" s="186"/>
      <c r="F253" s="186"/>
      <c r="G253" s="186"/>
      <c r="H253" s="186"/>
      <c r="I253" s="187"/>
      <c r="J253" s="188"/>
      <c r="K253" s="186"/>
      <c r="L253" s="186"/>
      <c r="M253" s="186"/>
      <c r="N253" s="189"/>
      <c r="O253" s="190"/>
    </row>
    <row r="254" ht="15.75" customHeight="1">
      <c r="A254" s="192"/>
      <c r="B254" s="192"/>
      <c r="C254" s="192"/>
      <c r="D254" s="192"/>
      <c r="E254" s="192"/>
      <c r="F254" s="192"/>
      <c r="G254" s="192"/>
      <c r="H254" s="192"/>
      <c r="I254" s="205"/>
      <c r="J254" s="206"/>
      <c r="K254" s="192"/>
      <c r="L254" s="192"/>
      <c r="M254" s="192"/>
      <c r="N254" s="189"/>
      <c r="O254" s="190"/>
    </row>
    <row r="255" ht="15.75" customHeight="1">
      <c r="A255" s="186"/>
      <c r="B255" s="186"/>
      <c r="C255" s="186"/>
      <c r="D255" s="186"/>
      <c r="E255" s="186"/>
      <c r="F255" s="186"/>
      <c r="G255" s="186"/>
      <c r="H255" s="186"/>
      <c r="I255" s="187"/>
      <c r="J255" s="188"/>
      <c r="K255" s="186"/>
      <c r="L255" s="186"/>
      <c r="M255" s="186"/>
      <c r="N255" s="189"/>
      <c r="O255" s="190"/>
    </row>
    <row r="256" ht="15.75" customHeight="1">
      <c r="A256" s="192"/>
      <c r="B256" s="192"/>
      <c r="C256" s="192"/>
      <c r="D256" s="192"/>
      <c r="E256" s="192"/>
      <c r="F256" s="192"/>
      <c r="G256" s="192"/>
      <c r="H256" s="192"/>
      <c r="I256" s="205"/>
      <c r="J256" s="206"/>
      <c r="K256" s="192"/>
      <c r="L256" s="192"/>
      <c r="M256" s="192"/>
      <c r="N256" s="189"/>
      <c r="O256" s="190"/>
    </row>
    <row r="257" ht="15.75" customHeight="1">
      <c r="A257" s="186"/>
      <c r="B257" s="186"/>
      <c r="C257" s="186"/>
      <c r="D257" s="186"/>
      <c r="E257" s="186"/>
      <c r="F257" s="186"/>
      <c r="G257" s="186"/>
      <c r="H257" s="186"/>
      <c r="I257" s="187"/>
      <c r="J257" s="188"/>
      <c r="K257" s="186"/>
      <c r="L257" s="186"/>
      <c r="M257" s="186"/>
      <c r="N257" s="189"/>
      <c r="O257" s="190"/>
    </row>
    <row r="258" ht="15.75" customHeight="1">
      <c r="A258" s="192"/>
      <c r="B258" s="192"/>
      <c r="C258" s="192"/>
      <c r="D258" s="192"/>
      <c r="E258" s="192"/>
      <c r="F258" s="192"/>
      <c r="G258" s="192"/>
      <c r="H258" s="192"/>
      <c r="I258" s="205"/>
      <c r="J258" s="206"/>
      <c r="K258" s="192"/>
      <c r="L258" s="192"/>
      <c r="M258" s="192"/>
      <c r="N258" s="189"/>
      <c r="O258" s="190"/>
    </row>
    <row r="259" ht="15.75" customHeight="1">
      <c r="A259" s="186"/>
      <c r="B259" s="186"/>
      <c r="C259" s="186"/>
      <c r="D259" s="186"/>
      <c r="E259" s="186"/>
      <c r="F259" s="186"/>
      <c r="G259" s="186"/>
      <c r="H259" s="186"/>
      <c r="I259" s="187"/>
      <c r="J259" s="188"/>
      <c r="K259" s="186"/>
      <c r="L259" s="186"/>
      <c r="M259" s="186"/>
      <c r="N259" s="189"/>
      <c r="O259" s="190"/>
    </row>
    <row r="260" ht="15.75" customHeight="1">
      <c r="A260" s="192"/>
      <c r="B260" s="192"/>
      <c r="C260" s="192"/>
      <c r="D260" s="192"/>
      <c r="E260" s="192"/>
      <c r="F260" s="192"/>
      <c r="G260" s="192"/>
      <c r="H260" s="192"/>
      <c r="I260" s="205"/>
      <c r="J260" s="206"/>
      <c r="K260" s="192"/>
      <c r="L260" s="192"/>
      <c r="M260" s="192"/>
      <c r="N260" s="189"/>
      <c r="O260" s="190"/>
    </row>
    <row r="261" ht="15.75" customHeight="1">
      <c r="A261" s="186"/>
      <c r="B261" s="186"/>
      <c r="C261" s="186"/>
      <c r="D261" s="186"/>
      <c r="E261" s="186"/>
      <c r="F261" s="186"/>
      <c r="G261" s="186"/>
      <c r="H261" s="186"/>
      <c r="I261" s="187"/>
      <c r="J261" s="188"/>
      <c r="K261" s="186"/>
      <c r="L261" s="186"/>
      <c r="M261" s="186"/>
      <c r="N261" s="189"/>
      <c r="O261" s="190"/>
    </row>
    <row r="262" ht="15.75" customHeight="1">
      <c r="A262" s="192"/>
      <c r="B262" s="192"/>
      <c r="C262" s="192"/>
      <c r="D262" s="192"/>
      <c r="E262" s="192"/>
      <c r="F262" s="192"/>
      <c r="G262" s="192"/>
      <c r="H262" s="192"/>
      <c r="I262" s="205"/>
      <c r="J262" s="206"/>
      <c r="K262" s="192"/>
      <c r="L262" s="192"/>
      <c r="M262" s="192"/>
      <c r="N262" s="189"/>
      <c r="O262" s="190"/>
    </row>
    <row r="263" ht="15.75" customHeight="1">
      <c r="A263" s="186"/>
      <c r="B263" s="186"/>
      <c r="C263" s="186"/>
      <c r="D263" s="186"/>
      <c r="E263" s="186"/>
      <c r="F263" s="186"/>
      <c r="G263" s="186"/>
      <c r="H263" s="186"/>
      <c r="I263" s="187"/>
      <c r="J263" s="188"/>
      <c r="K263" s="186"/>
      <c r="L263" s="186"/>
      <c r="M263" s="186"/>
      <c r="N263" s="189"/>
      <c r="O263" s="190"/>
    </row>
    <row r="264" ht="15.75" customHeight="1">
      <c r="A264" s="192"/>
      <c r="B264" s="192"/>
      <c r="C264" s="192"/>
      <c r="D264" s="192"/>
      <c r="E264" s="192"/>
      <c r="F264" s="192"/>
      <c r="G264" s="192"/>
      <c r="H264" s="192"/>
      <c r="I264" s="205"/>
      <c r="J264" s="206"/>
      <c r="K264" s="192"/>
      <c r="L264" s="192"/>
      <c r="M264" s="192"/>
      <c r="N264" s="189"/>
      <c r="O264" s="190"/>
    </row>
    <row r="265" ht="15.75" customHeight="1">
      <c r="A265" s="186"/>
      <c r="B265" s="186"/>
      <c r="C265" s="186"/>
      <c r="D265" s="186"/>
      <c r="E265" s="186"/>
      <c r="F265" s="186"/>
      <c r="G265" s="186"/>
      <c r="H265" s="186"/>
      <c r="I265" s="187"/>
      <c r="J265" s="188"/>
      <c r="K265" s="186"/>
      <c r="L265" s="186"/>
      <c r="M265" s="186"/>
      <c r="N265" s="189"/>
      <c r="O265" s="190"/>
    </row>
    <row r="266" ht="15.75" customHeight="1">
      <c r="A266" s="192"/>
      <c r="B266" s="192"/>
      <c r="C266" s="192"/>
      <c r="D266" s="192"/>
      <c r="E266" s="192"/>
      <c r="F266" s="192"/>
      <c r="G266" s="192"/>
      <c r="H266" s="192"/>
      <c r="I266" s="205"/>
      <c r="J266" s="206"/>
      <c r="K266" s="192"/>
      <c r="L266" s="192"/>
      <c r="M266" s="192"/>
      <c r="N266" s="189"/>
      <c r="O266" s="190"/>
    </row>
    <row r="267" ht="15.75" customHeight="1">
      <c r="A267" s="186"/>
      <c r="B267" s="186"/>
      <c r="C267" s="186"/>
      <c r="D267" s="186"/>
      <c r="E267" s="186"/>
      <c r="F267" s="186"/>
      <c r="G267" s="186"/>
      <c r="H267" s="186"/>
      <c r="I267" s="187"/>
      <c r="J267" s="188"/>
      <c r="K267" s="186"/>
      <c r="L267" s="186"/>
      <c r="M267" s="186"/>
      <c r="N267" s="189"/>
      <c r="O267" s="190"/>
    </row>
    <row r="268" ht="15.75" customHeight="1">
      <c r="A268" s="192"/>
      <c r="B268" s="192"/>
      <c r="C268" s="192"/>
      <c r="D268" s="192"/>
      <c r="E268" s="192"/>
      <c r="F268" s="192"/>
      <c r="G268" s="192"/>
      <c r="H268" s="192"/>
      <c r="I268" s="205"/>
      <c r="J268" s="206"/>
      <c r="K268" s="192"/>
      <c r="L268" s="192"/>
      <c r="M268" s="192"/>
      <c r="N268" s="189"/>
      <c r="O268" s="190"/>
    </row>
    <row r="269" ht="15.75" customHeight="1">
      <c r="A269" s="186"/>
      <c r="B269" s="186"/>
      <c r="C269" s="186"/>
      <c r="D269" s="186"/>
      <c r="E269" s="186"/>
      <c r="F269" s="186"/>
      <c r="G269" s="186"/>
      <c r="H269" s="186"/>
      <c r="I269" s="187"/>
      <c r="J269" s="188"/>
      <c r="K269" s="186"/>
      <c r="L269" s="186"/>
      <c r="M269" s="186"/>
      <c r="N269" s="189"/>
      <c r="O269" s="190"/>
    </row>
    <row r="270" ht="15.75" customHeight="1">
      <c r="A270" s="192"/>
      <c r="B270" s="192"/>
      <c r="C270" s="192"/>
      <c r="D270" s="192"/>
      <c r="E270" s="192"/>
      <c r="F270" s="192"/>
      <c r="G270" s="192"/>
      <c r="H270" s="192"/>
      <c r="I270" s="205"/>
      <c r="J270" s="206"/>
      <c r="K270" s="192"/>
      <c r="L270" s="192"/>
      <c r="M270" s="192"/>
      <c r="N270" s="189"/>
      <c r="O270" s="190"/>
    </row>
    <row r="271" ht="15.75" customHeight="1">
      <c r="A271" s="186"/>
      <c r="B271" s="186"/>
      <c r="C271" s="186"/>
      <c r="D271" s="186"/>
      <c r="E271" s="186"/>
      <c r="F271" s="186"/>
      <c r="G271" s="186"/>
      <c r="H271" s="186"/>
      <c r="I271" s="187"/>
      <c r="J271" s="188"/>
      <c r="K271" s="186"/>
      <c r="L271" s="186"/>
      <c r="M271" s="186"/>
      <c r="N271" s="189"/>
      <c r="O271" s="190"/>
    </row>
    <row r="272" ht="15.75" customHeight="1">
      <c r="A272" s="186"/>
      <c r="B272" s="186"/>
      <c r="C272" s="186"/>
      <c r="D272" s="186"/>
      <c r="E272" s="186"/>
      <c r="F272" s="186"/>
      <c r="G272" s="186"/>
      <c r="H272" s="186"/>
      <c r="I272" s="187"/>
      <c r="J272" s="188"/>
      <c r="K272" s="186"/>
      <c r="L272" s="186"/>
      <c r="M272" s="186"/>
      <c r="N272" s="189"/>
      <c r="O272" s="190"/>
    </row>
    <row r="273" ht="15.75" customHeight="1">
      <c r="A273" s="192"/>
      <c r="B273" s="192"/>
      <c r="C273" s="192"/>
      <c r="D273" s="192"/>
      <c r="E273" s="192"/>
      <c r="F273" s="192"/>
      <c r="G273" s="192"/>
      <c r="H273" s="192"/>
      <c r="I273" s="205"/>
      <c r="J273" s="206"/>
      <c r="K273" s="192"/>
      <c r="L273" s="192"/>
      <c r="M273" s="192"/>
      <c r="N273" s="189"/>
      <c r="O273" s="190"/>
    </row>
    <row r="274" ht="15.75" customHeight="1">
      <c r="A274" s="186"/>
      <c r="B274" s="186"/>
      <c r="C274" s="186"/>
      <c r="D274" s="186"/>
      <c r="E274" s="186"/>
      <c r="F274" s="186"/>
      <c r="G274" s="186"/>
      <c r="H274" s="186"/>
      <c r="I274" s="187"/>
      <c r="J274" s="188"/>
      <c r="K274" s="186"/>
      <c r="L274" s="186"/>
      <c r="M274" s="186"/>
      <c r="N274" s="189"/>
      <c r="O274" s="190"/>
    </row>
    <row r="275" ht="15.75" customHeight="1">
      <c r="A275" s="192"/>
      <c r="B275" s="192"/>
      <c r="C275" s="192"/>
      <c r="D275" s="192"/>
      <c r="E275" s="192"/>
      <c r="F275" s="192"/>
      <c r="G275" s="192"/>
      <c r="H275" s="192"/>
      <c r="I275" s="205"/>
      <c r="J275" s="206"/>
      <c r="K275" s="192"/>
      <c r="L275" s="192"/>
      <c r="M275" s="192"/>
      <c r="N275" s="189"/>
      <c r="O275" s="190"/>
    </row>
    <row r="276" ht="15.75" customHeight="1">
      <c r="A276" s="186"/>
      <c r="B276" s="186"/>
      <c r="C276" s="186"/>
      <c r="D276" s="186"/>
      <c r="E276" s="186"/>
      <c r="F276" s="186"/>
      <c r="G276" s="186"/>
      <c r="H276" s="186"/>
      <c r="I276" s="187"/>
      <c r="J276" s="188"/>
      <c r="K276" s="186"/>
      <c r="L276" s="186"/>
      <c r="M276" s="186"/>
      <c r="N276" s="189"/>
      <c r="O276" s="190"/>
    </row>
    <row r="277" ht="15.75" customHeight="1">
      <c r="A277" s="192"/>
      <c r="B277" s="192"/>
      <c r="C277" s="192"/>
      <c r="D277" s="192"/>
      <c r="E277" s="192"/>
      <c r="F277" s="192"/>
      <c r="G277" s="192"/>
      <c r="H277" s="192"/>
      <c r="I277" s="205"/>
      <c r="J277" s="206"/>
      <c r="K277" s="192"/>
      <c r="L277" s="192"/>
      <c r="M277" s="192"/>
      <c r="N277" s="189"/>
      <c r="O277" s="190"/>
    </row>
    <row r="278" ht="15.75" customHeight="1">
      <c r="A278" s="186"/>
      <c r="B278" s="186"/>
      <c r="C278" s="186"/>
      <c r="D278" s="186"/>
      <c r="E278" s="186"/>
      <c r="F278" s="186"/>
      <c r="G278" s="186"/>
      <c r="H278" s="186"/>
      <c r="I278" s="187"/>
      <c r="J278" s="188"/>
      <c r="K278" s="186"/>
      <c r="L278" s="186"/>
      <c r="M278" s="186"/>
      <c r="N278" s="189"/>
      <c r="O278" s="190"/>
    </row>
    <row r="279" ht="15.75" customHeight="1">
      <c r="A279" s="192"/>
      <c r="B279" s="192"/>
      <c r="C279" s="192"/>
      <c r="D279" s="192"/>
      <c r="E279" s="192"/>
      <c r="F279" s="192"/>
      <c r="G279" s="192"/>
      <c r="H279" s="192"/>
      <c r="I279" s="205"/>
      <c r="J279" s="206"/>
      <c r="K279" s="192"/>
      <c r="L279" s="192"/>
      <c r="M279" s="192"/>
      <c r="N279" s="189"/>
      <c r="O279" s="190"/>
    </row>
    <row r="280" ht="15.75" customHeight="1">
      <c r="A280" s="186"/>
      <c r="B280" s="186"/>
      <c r="C280" s="186"/>
      <c r="D280" s="186"/>
      <c r="E280" s="186"/>
      <c r="F280" s="186"/>
      <c r="G280" s="186"/>
      <c r="H280" s="186"/>
      <c r="I280" s="187"/>
      <c r="J280" s="188"/>
      <c r="K280" s="186"/>
      <c r="L280" s="186"/>
      <c r="M280" s="186"/>
      <c r="N280" s="189"/>
      <c r="O280" s="190"/>
    </row>
    <row r="281" ht="15.75" customHeight="1">
      <c r="A281" s="192"/>
      <c r="B281" s="192"/>
      <c r="C281" s="192"/>
      <c r="D281" s="192"/>
      <c r="E281" s="192"/>
      <c r="F281" s="192"/>
      <c r="G281" s="192"/>
      <c r="H281" s="192"/>
      <c r="I281" s="205"/>
      <c r="J281" s="206"/>
      <c r="K281" s="192"/>
      <c r="L281" s="192"/>
      <c r="M281" s="192"/>
      <c r="N281" s="189"/>
      <c r="O281" s="190"/>
    </row>
    <row r="282" ht="15.75" customHeight="1">
      <c r="A282" s="186"/>
      <c r="B282" s="186"/>
      <c r="C282" s="186"/>
      <c r="D282" s="186"/>
      <c r="E282" s="186"/>
      <c r="F282" s="186"/>
      <c r="G282" s="186"/>
      <c r="H282" s="186"/>
      <c r="I282" s="187"/>
      <c r="J282" s="188"/>
      <c r="K282" s="186"/>
      <c r="L282" s="186"/>
      <c r="M282" s="186"/>
      <c r="N282" s="189"/>
      <c r="O282" s="190"/>
    </row>
    <row r="283" ht="15.75" customHeight="1">
      <c r="A283" s="192"/>
      <c r="B283" s="192"/>
      <c r="C283" s="192"/>
      <c r="D283" s="192"/>
      <c r="E283" s="192"/>
      <c r="F283" s="192"/>
      <c r="G283" s="192"/>
      <c r="H283" s="192"/>
      <c r="I283" s="205"/>
      <c r="J283" s="206"/>
      <c r="K283" s="192"/>
      <c r="L283" s="192"/>
      <c r="M283" s="192"/>
      <c r="N283" s="189"/>
      <c r="O283" s="190"/>
    </row>
    <row r="284" ht="15.75" customHeight="1">
      <c r="A284" s="186"/>
      <c r="B284" s="186"/>
      <c r="C284" s="186"/>
      <c r="D284" s="186"/>
      <c r="E284" s="186"/>
      <c r="F284" s="186"/>
      <c r="G284" s="186"/>
      <c r="H284" s="186"/>
      <c r="I284" s="187"/>
      <c r="J284" s="188"/>
      <c r="K284" s="186"/>
      <c r="L284" s="186"/>
      <c r="M284" s="186"/>
      <c r="N284" s="189"/>
      <c r="O284" s="190"/>
    </row>
    <row r="285" ht="15.75" customHeight="1">
      <c r="A285" s="192"/>
      <c r="B285" s="192"/>
      <c r="C285" s="192"/>
      <c r="D285" s="192"/>
      <c r="E285" s="192"/>
      <c r="F285" s="192"/>
      <c r="G285" s="192"/>
      <c r="H285" s="192"/>
      <c r="I285" s="205"/>
      <c r="J285" s="206"/>
      <c r="K285" s="192"/>
      <c r="L285" s="192"/>
      <c r="M285" s="192"/>
      <c r="N285" s="189"/>
      <c r="O285" s="190"/>
    </row>
    <row r="286" ht="15.75" customHeight="1">
      <c r="A286" s="186"/>
      <c r="B286" s="186"/>
      <c r="C286" s="186"/>
      <c r="D286" s="186"/>
      <c r="E286" s="186"/>
      <c r="F286" s="186"/>
      <c r="G286" s="186"/>
      <c r="H286" s="186"/>
      <c r="I286" s="187"/>
      <c r="J286" s="188"/>
      <c r="K286" s="186"/>
      <c r="L286" s="186"/>
      <c r="M286" s="186"/>
      <c r="N286" s="189"/>
      <c r="O286" s="190"/>
    </row>
    <row r="287" ht="15.75" customHeight="1">
      <c r="A287" s="192"/>
      <c r="B287" s="192"/>
      <c r="C287" s="192"/>
      <c r="D287" s="192"/>
      <c r="E287" s="192"/>
      <c r="F287" s="192"/>
      <c r="G287" s="192"/>
      <c r="H287" s="192"/>
      <c r="I287" s="205"/>
      <c r="J287" s="206"/>
      <c r="K287" s="192"/>
      <c r="L287" s="192"/>
      <c r="M287" s="192"/>
      <c r="N287" s="189"/>
      <c r="O287" s="190"/>
    </row>
    <row r="288" ht="15.75" customHeight="1">
      <c r="A288" s="186"/>
      <c r="B288" s="186"/>
      <c r="C288" s="186"/>
      <c r="D288" s="186"/>
      <c r="E288" s="186"/>
      <c r="F288" s="186"/>
      <c r="G288" s="186"/>
      <c r="H288" s="186"/>
      <c r="I288" s="187"/>
      <c r="J288" s="188"/>
      <c r="K288" s="186"/>
      <c r="L288" s="186"/>
      <c r="M288" s="186"/>
      <c r="N288" s="189"/>
      <c r="O288" s="190"/>
    </row>
    <row r="289" ht="15.75" customHeight="1">
      <c r="A289" s="192"/>
      <c r="B289" s="192"/>
      <c r="C289" s="192"/>
      <c r="D289" s="192"/>
      <c r="E289" s="192"/>
      <c r="F289" s="192"/>
      <c r="G289" s="192"/>
      <c r="H289" s="192"/>
      <c r="I289" s="205"/>
      <c r="J289" s="206"/>
      <c r="K289" s="192"/>
      <c r="L289" s="192"/>
      <c r="M289" s="192"/>
      <c r="N289" s="189"/>
      <c r="O289" s="190"/>
    </row>
    <row r="290" ht="15.75" customHeight="1">
      <c r="A290" s="186"/>
      <c r="B290" s="186"/>
      <c r="C290" s="186"/>
      <c r="D290" s="186"/>
      <c r="E290" s="186"/>
      <c r="F290" s="186"/>
      <c r="G290" s="186"/>
      <c r="H290" s="186"/>
      <c r="I290" s="187"/>
      <c r="J290" s="188"/>
      <c r="K290" s="186"/>
      <c r="L290" s="186"/>
      <c r="M290" s="186"/>
      <c r="N290" s="189"/>
      <c r="O290" s="190"/>
    </row>
    <row r="291" ht="15.75" customHeight="1">
      <c r="A291" s="192"/>
      <c r="B291" s="192"/>
      <c r="C291" s="192"/>
      <c r="D291" s="192"/>
      <c r="E291" s="192"/>
      <c r="F291" s="192"/>
      <c r="G291" s="192"/>
      <c r="H291" s="192"/>
      <c r="I291" s="205"/>
      <c r="J291" s="206"/>
      <c r="K291" s="192"/>
      <c r="L291" s="192"/>
      <c r="M291" s="192"/>
      <c r="N291" s="189"/>
      <c r="O291" s="190"/>
    </row>
    <row r="292" ht="15.75" customHeight="1">
      <c r="A292" s="186"/>
      <c r="B292" s="186"/>
      <c r="C292" s="186"/>
      <c r="D292" s="186"/>
      <c r="E292" s="186"/>
      <c r="F292" s="186"/>
      <c r="G292" s="186"/>
      <c r="H292" s="186"/>
      <c r="I292" s="187"/>
      <c r="J292" s="188"/>
      <c r="K292" s="186"/>
      <c r="L292" s="186"/>
      <c r="M292" s="186"/>
      <c r="N292" s="189"/>
      <c r="O292" s="190"/>
    </row>
    <row r="293" ht="15.75" customHeight="1">
      <c r="A293" s="192"/>
      <c r="B293" s="192"/>
      <c r="C293" s="192"/>
      <c r="D293" s="192"/>
      <c r="E293" s="192"/>
      <c r="F293" s="192"/>
      <c r="G293" s="192"/>
      <c r="H293" s="192"/>
      <c r="I293" s="205"/>
      <c r="J293" s="206"/>
      <c r="K293" s="192"/>
      <c r="L293" s="192"/>
      <c r="M293" s="192"/>
      <c r="N293" s="189"/>
      <c r="O293" s="190"/>
    </row>
    <row r="294" ht="15.75" customHeight="1">
      <c r="A294" s="186"/>
      <c r="B294" s="186"/>
      <c r="C294" s="186"/>
      <c r="D294" s="186"/>
      <c r="E294" s="186"/>
      <c r="F294" s="186"/>
      <c r="G294" s="186"/>
      <c r="H294" s="186"/>
      <c r="I294" s="187"/>
      <c r="J294" s="188"/>
      <c r="K294" s="186"/>
      <c r="L294" s="186"/>
      <c r="M294" s="186"/>
      <c r="N294" s="189"/>
      <c r="O294" s="190"/>
    </row>
    <row r="295" ht="15.75" customHeight="1">
      <c r="A295" s="192"/>
      <c r="B295" s="192"/>
      <c r="C295" s="192"/>
      <c r="D295" s="192"/>
      <c r="E295" s="192"/>
      <c r="F295" s="192"/>
      <c r="G295" s="192"/>
      <c r="H295" s="192"/>
      <c r="I295" s="205"/>
      <c r="J295" s="206"/>
      <c r="K295" s="192"/>
      <c r="L295" s="192"/>
      <c r="M295" s="192"/>
      <c r="N295" s="189"/>
      <c r="O295" s="190"/>
    </row>
    <row r="296" ht="15.75" customHeight="1">
      <c r="A296" s="186"/>
      <c r="B296" s="186"/>
      <c r="C296" s="186"/>
      <c r="D296" s="186"/>
      <c r="E296" s="186"/>
      <c r="F296" s="186"/>
      <c r="G296" s="186"/>
      <c r="H296" s="186"/>
      <c r="I296" s="187"/>
      <c r="J296" s="188"/>
      <c r="K296" s="186"/>
      <c r="L296" s="186"/>
      <c r="M296" s="186"/>
      <c r="N296" s="189"/>
      <c r="O296" s="190"/>
    </row>
    <row r="297" ht="15.75" customHeight="1">
      <c r="A297" s="192"/>
      <c r="B297" s="192"/>
      <c r="C297" s="192"/>
      <c r="D297" s="192"/>
      <c r="E297" s="192"/>
      <c r="F297" s="192"/>
      <c r="G297" s="192"/>
      <c r="H297" s="192"/>
      <c r="I297" s="205"/>
      <c r="J297" s="206"/>
      <c r="K297" s="192"/>
      <c r="L297" s="192"/>
      <c r="M297" s="192"/>
      <c r="N297" s="189"/>
      <c r="O297" s="190"/>
    </row>
    <row r="298" ht="15.75" customHeight="1">
      <c r="A298" s="186"/>
      <c r="B298" s="186"/>
      <c r="C298" s="186"/>
      <c r="D298" s="186"/>
      <c r="E298" s="186"/>
      <c r="F298" s="186"/>
      <c r="G298" s="186"/>
      <c r="H298" s="186"/>
      <c r="I298" s="187"/>
      <c r="J298" s="188"/>
      <c r="K298" s="186"/>
      <c r="L298" s="186"/>
      <c r="M298" s="186"/>
      <c r="N298" s="189"/>
      <c r="O298" s="190"/>
    </row>
    <row r="299" ht="15.75" customHeight="1">
      <c r="A299" s="186"/>
      <c r="B299" s="186"/>
      <c r="C299" s="186"/>
      <c r="D299" s="186"/>
      <c r="E299" s="186"/>
      <c r="F299" s="186"/>
      <c r="G299" s="186"/>
      <c r="H299" s="186"/>
      <c r="I299" s="187"/>
      <c r="J299" s="188"/>
      <c r="K299" s="186"/>
      <c r="L299" s="186"/>
      <c r="M299" s="186"/>
      <c r="N299" s="189"/>
      <c r="O299" s="190"/>
    </row>
    <row r="300" ht="15.75" customHeight="1">
      <c r="A300" s="192"/>
      <c r="B300" s="192"/>
      <c r="C300" s="192"/>
      <c r="D300" s="192"/>
      <c r="E300" s="192"/>
      <c r="F300" s="192"/>
      <c r="G300" s="192"/>
      <c r="H300" s="192"/>
      <c r="I300" s="205"/>
      <c r="J300" s="206"/>
      <c r="K300" s="192"/>
      <c r="L300" s="192"/>
      <c r="M300" s="192"/>
      <c r="N300" s="189"/>
      <c r="O300" s="190"/>
    </row>
    <row r="301" ht="15.75" customHeight="1">
      <c r="A301" s="186"/>
      <c r="B301" s="186"/>
      <c r="C301" s="186"/>
      <c r="D301" s="186"/>
      <c r="E301" s="186"/>
      <c r="F301" s="186"/>
      <c r="G301" s="186"/>
      <c r="H301" s="186"/>
      <c r="I301" s="187"/>
      <c r="J301" s="188"/>
      <c r="K301" s="186"/>
      <c r="L301" s="186"/>
      <c r="M301" s="186"/>
      <c r="N301" s="189"/>
      <c r="O301" s="190"/>
    </row>
    <row r="302" ht="15.75" customHeight="1">
      <c r="A302" s="192"/>
      <c r="B302" s="192"/>
      <c r="C302" s="192"/>
      <c r="D302" s="192"/>
      <c r="E302" s="192"/>
      <c r="F302" s="192"/>
      <c r="G302" s="192"/>
      <c r="H302" s="192"/>
      <c r="I302" s="205"/>
      <c r="J302" s="206"/>
      <c r="K302" s="192"/>
      <c r="L302" s="192"/>
      <c r="M302" s="192"/>
      <c r="N302" s="189"/>
      <c r="O302" s="190"/>
    </row>
    <row r="303" ht="15.75" customHeight="1">
      <c r="A303" s="186"/>
      <c r="B303" s="186"/>
      <c r="C303" s="186"/>
      <c r="D303" s="186"/>
      <c r="E303" s="186"/>
      <c r="F303" s="186"/>
      <c r="G303" s="186"/>
      <c r="H303" s="186"/>
      <c r="I303" s="187"/>
      <c r="J303" s="188"/>
      <c r="K303" s="186"/>
      <c r="L303" s="186"/>
      <c r="M303" s="186"/>
      <c r="N303" s="189"/>
      <c r="O303" s="190"/>
    </row>
    <row r="304" ht="15.75" customHeight="1">
      <c r="A304" s="192"/>
      <c r="B304" s="192"/>
      <c r="C304" s="192"/>
      <c r="D304" s="192"/>
      <c r="E304" s="192"/>
      <c r="F304" s="192"/>
      <c r="G304" s="192"/>
      <c r="H304" s="192"/>
      <c r="I304" s="205"/>
      <c r="J304" s="206"/>
      <c r="K304" s="192"/>
      <c r="L304" s="192"/>
      <c r="M304" s="192"/>
      <c r="N304" s="189"/>
      <c r="O304" s="190"/>
    </row>
    <row r="305" ht="15.75" customHeight="1">
      <c r="A305" s="186"/>
      <c r="B305" s="186"/>
      <c r="C305" s="186"/>
      <c r="D305" s="186"/>
      <c r="E305" s="186"/>
      <c r="F305" s="186"/>
      <c r="G305" s="186"/>
      <c r="H305" s="186"/>
      <c r="I305" s="187"/>
      <c r="J305" s="188"/>
      <c r="K305" s="186"/>
      <c r="L305" s="186"/>
      <c r="M305" s="186"/>
      <c r="N305" s="189"/>
      <c r="O305" s="190"/>
    </row>
    <row r="306" ht="15.75" customHeight="1">
      <c r="A306" s="192"/>
      <c r="B306" s="192"/>
      <c r="C306" s="192"/>
      <c r="D306" s="192"/>
      <c r="E306" s="192"/>
      <c r="F306" s="192"/>
      <c r="G306" s="192"/>
      <c r="H306" s="192"/>
      <c r="I306" s="205"/>
      <c r="J306" s="206"/>
      <c r="K306" s="192"/>
      <c r="L306" s="192"/>
      <c r="M306" s="192"/>
      <c r="N306" s="189"/>
      <c r="O306" s="190"/>
    </row>
    <row r="307" ht="15.75" customHeight="1">
      <c r="A307" s="186"/>
      <c r="B307" s="186"/>
      <c r="C307" s="186"/>
      <c r="D307" s="186"/>
      <c r="E307" s="186"/>
      <c r="F307" s="186"/>
      <c r="G307" s="186"/>
      <c r="H307" s="186"/>
      <c r="I307" s="187"/>
      <c r="J307" s="188"/>
      <c r="K307" s="186"/>
      <c r="L307" s="186"/>
      <c r="M307" s="186"/>
      <c r="N307" s="189"/>
      <c r="O307" s="190"/>
    </row>
    <row r="308" ht="15.75" customHeight="1">
      <c r="A308" s="192"/>
      <c r="B308" s="192"/>
      <c r="C308" s="192"/>
      <c r="D308" s="192"/>
      <c r="E308" s="192"/>
      <c r="F308" s="192"/>
      <c r="G308" s="192"/>
      <c r="H308" s="192"/>
      <c r="I308" s="205"/>
      <c r="J308" s="206"/>
      <c r="K308" s="192"/>
      <c r="L308" s="192"/>
      <c r="M308" s="192"/>
      <c r="N308" s="189"/>
      <c r="O308" s="190"/>
    </row>
    <row r="309" ht="15.75" customHeight="1">
      <c r="A309" s="186"/>
      <c r="B309" s="186"/>
      <c r="C309" s="186"/>
      <c r="D309" s="186"/>
      <c r="E309" s="186"/>
      <c r="F309" s="186"/>
      <c r="G309" s="186"/>
      <c r="H309" s="186"/>
      <c r="I309" s="187"/>
      <c r="J309" s="188"/>
      <c r="K309" s="186"/>
      <c r="L309" s="186"/>
      <c r="M309" s="186"/>
      <c r="N309" s="189"/>
      <c r="O309" s="190"/>
    </row>
    <row r="310" ht="15.75" customHeight="1">
      <c r="A310" s="192"/>
      <c r="B310" s="192"/>
      <c r="C310" s="192"/>
      <c r="D310" s="192"/>
      <c r="E310" s="192"/>
      <c r="F310" s="192"/>
      <c r="G310" s="192"/>
      <c r="H310" s="192"/>
      <c r="I310" s="205"/>
      <c r="J310" s="206"/>
      <c r="K310" s="192"/>
      <c r="L310" s="192"/>
      <c r="M310" s="192"/>
      <c r="N310" s="189"/>
      <c r="O310" s="190"/>
    </row>
    <row r="311" ht="15.75" customHeight="1">
      <c r="A311" s="186"/>
      <c r="B311" s="186"/>
      <c r="C311" s="186"/>
      <c r="D311" s="186"/>
      <c r="E311" s="186"/>
      <c r="F311" s="186"/>
      <c r="G311" s="186"/>
      <c r="H311" s="186"/>
      <c r="I311" s="187"/>
      <c r="J311" s="188"/>
      <c r="K311" s="186"/>
      <c r="L311" s="186"/>
      <c r="M311" s="186"/>
      <c r="N311" s="189"/>
      <c r="O311" s="190"/>
    </row>
    <row r="312" ht="15.75" customHeight="1">
      <c r="A312" s="192"/>
      <c r="B312" s="192"/>
      <c r="C312" s="192"/>
      <c r="D312" s="192"/>
      <c r="E312" s="192"/>
      <c r="F312" s="192"/>
      <c r="G312" s="192"/>
      <c r="H312" s="192"/>
      <c r="I312" s="205"/>
      <c r="J312" s="206"/>
      <c r="K312" s="192"/>
      <c r="L312" s="192"/>
      <c r="M312" s="192"/>
      <c r="N312" s="189"/>
      <c r="O312" s="190"/>
    </row>
    <row r="313" ht="15.75" customHeight="1">
      <c r="A313" s="186"/>
      <c r="B313" s="186"/>
      <c r="C313" s="186"/>
      <c r="D313" s="186"/>
      <c r="E313" s="186"/>
      <c r="F313" s="186"/>
      <c r="G313" s="186"/>
      <c r="H313" s="186"/>
      <c r="I313" s="187"/>
      <c r="J313" s="188"/>
      <c r="K313" s="186"/>
      <c r="L313" s="186"/>
      <c r="M313" s="186"/>
      <c r="N313" s="189"/>
      <c r="O313" s="190"/>
    </row>
    <row r="314" ht="15.75" customHeight="1">
      <c r="A314" s="192"/>
      <c r="B314" s="192"/>
      <c r="C314" s="192"/>
      <c r="D314" s="192"/>
      <c r="E314" s="192"/>
      <c r="F314" s="192"/>
      <c r="G314" s="192"/>
      <c r="H314" s="192"/>
      <c r="I314" s="205"/>
      <c r="J314" s="206"/>
      <c r="K314" s="192"/>
      <c r="L314" s="192"/>
      <c r="M314" s="192"/>
      <c r="N314" s="189"/>
      <c r="O314" s="190"/>
    </row>
    <row r="315" ht="15.75" customHeight="1">
      <c r="A315" s="186"/>
      <c r="B315" s="186"/>
      <c r="C315" s="186"/>
      <c r="D315" s="186"/>
      <c r="E315" s="186"/>
      <c r="F315" s="186"/>
      <c r="G315" s="186"/>
      <c r="H315" s="186"/>
      <c r="I315" s="187"/>
      <c r="J315" s="188"/>
      <c r="K315" s="186"/>
      <c r="L315" s="186"/>
      <c r="M315" s="186"/>
      <c r="N315" s="189"/>
      <c r="O315" s="190"/>
    </row>
    <row r="316" ht="15.75" customHeight="1">
      <c r="A316" s="192"/>
      <c r="B316" s="192"/>
      <c r="C316" s="192"/>
      <c r="D316" s="192"/>
      <c r="E316" s="192"/>
      <c r="F316" s="192"/>
      <c r="G316" s="192"/>
      <c r="H316" s="192"/>
      <c r="I316" s="205"/>
      <c r="J316" s="206"/>
      <c r="K316" s="192"/>
      <c r="L316" s="192"/>
      <c r="M316" s="192"/>
      <c r="N316" s="189"/>
      <c r="O316" s="190"/>
    </row>
    <row r="317" ht="15.75" customHeight="1">
      <c r="A317" s="186"/>
      <c r="B317" s="186"/>
      <c r="C317" s="186"/>
      <c r="D317" s="186"/>
      <c r="E317" s="186"/>
      <c r="F317" s="186"/>
      <c r="G317" s="186"/>
      <c r="H317" s="186"/>
      <c r="I317" s="187"/>
      <c r="J317" s="188"/>
      <c r="K317" s="186"/>
      <c r="L317" s="186"/>
      <c r="M317" s="186"/>
      <c r="N317" s="189"/>
      <c r="O317" s="190"/>
    </row>
    <row r="318" ht="15.75" customHeight="1">
      <c r="A318" s="192"/>
      <c r="B318" s="192"/>
      <c r="C318" s="192"/>
      <c r="D318" s="192"/>
      <c r="E318" s="192"/>
      <c r="F318" s="192"/>
      <c r="G318" s="192"/>
      <c r="H318" s="192"/>
      <c r="I318" s="205"/>
      <c r="J318" s="206"/>
      <c r="K318" s="192"/>
      <c r="L318" s="192"/>
      <c r="M318" s="192"/>
      <c r="N318" s="189"/>
      <c r="O318" s="190"/>
    </row>
    <row r="319" ht="15.75" customHeight="1">
      <c r="A319" s="186"/>
      <c r="B319" s="186"/>
      <c r="C319" s="186"/>
      <c r="D319" s="186"/>
      <c r="E319" s="186"/>
      <c r="F319" s="186"/>
      <c r="G319" s="186"/>
      <c r="H319" s="186"/>
      <c r="I319" s="187"/>
      <c r="J319" s="188"/>
      <c r="K319" s="186"/>
      <c r="L319" s="186"/>
      <c r="M319" s="186"/>
      <c r="N319" s="189"/>
      <c r="O319" s="190"/>
    </row>
    <row r="320" ht="15.75" customHeight="1">
      <c r="A320" s="192"/>
      <c r="B320" s="192"/>
      <c r="C320" s="192"/>
      <c r="D320" s="192"/>
      <c r="E320" s="192"/>
      <c r="F320" s="192"/>
      <c r="G320" s="192"/>
      <c r="H320" s="192"/>
      <c r="I320" s="205"/>
      <c r="J320" s="206"/>
      <c r="K320" s="192"/>
      <c r="L320" s="192"/>
      <c r="M320" s="192"/>
      <c r="N320" s="189"/>
      <c r="O320" s="190"/>
    </row>
    <row r="321" ht="15.75" customHeight="1">
      <c r="A321" s="186"/>
      <c r="B321" s="186"/>
      <c r="C321" s="186"/>
      <c r="D321" s="186"/>
      <c r="E321" s="186"/>
      <c r="F321" s="186"/>
      <c r="G321" s="186"/>
      <c r="H321" s="186"/>
      <c r="I321" s="187"/>
      <c r="J321" s="188"/>
      <c r="K321" s="186"/>
      <c r="L321" s="186"/>
      <c r="M321" s="186"/>
      <c r="N321" s="189"/>
      <c r="O321" s="190"/>
    </row>
    <row r="322" ht="15.75" customHeight="1">
      <c r="A322" s="192"/>
      <c r="B322" s="192"/>
      <c r="C322" s="192"/>
      <c r="D322" s="192"/>
      <c r="E322" s="192"/>
      <c r="F322" s="192"/>
      <c r="G322" s="192"/>
      <c r="H322" s="192"/>
      <c r="I322" s="205"/>
      <c r="J322" s="206"/>
      <c r="K322" s="192"/>
      <c r="L322" s="192"/>
      <c r="M322" s="192"/>
      <c r="N322" s="189"/>
      <c r="O322" s="190"/>
    </row>
    <row r="323" ht="15.75" customHeight="1">
      <c r="A323" s="186"/>
      <c r="B323" s="186"/>
      <c r="C323" s="186"/>
      <c r="D323" s="186"/>
      <c r="E323" s="186"/>
      <c r="F323" s="186"/>
      <c r="G323" s="186"/>
      <c r="H323" s="186"/>
      <c r="I323" s="187"/>
      <c r="J323" s="188"/>
      <c r="K323" s="186"/>
      <c r="L323" s="186"/>
      <c r="M323" s="186"/>
      <c r="N323" s="189"/>
      <c r="O323" s="190"/>
    </row>
    <row r="324" ht="15.75" customHeight="1">
      <c r="A324" s="192"/>
      <c r="B324" s="192"/>
      <c r="C324" s="192"/>
      <c r="D324" s="192"/>
      <c r="E324" s="192"/>
      <c r="F324" s="192"/>
      <c r="G324" s="192"/>
      <c r="H324" s="192"/>
      <c r="I324" s="205"/>
      <c r="J324" s="206"/>
      <c r="K324" s="192"/>
      <c r="L324" s="192"/>
      <c r="M324" s="192"/>
      <c r="N324" s="189"/>
      <c r="O324" s="190"/>
    </row>
    <row r="325" ht="15.75" customHeight="1">
      <c r="A325" s="186"/>
      <c r="B325" s="186"/>
      <c r="C325" s="186"/>
      <c r="D325" s="186"/>
      <c r="E325" s="186"/>
      <c r="F325" s="186"/>
      <c r="G325" s="186"/>
      <c r="H325" s="186"/>
      <c r="I325" s="187"/>
      <c r="J325" s="188"/>
      <c r="K325" s="186"/>
      <c r="L325" s="186"/>
      <c r="M325" s="186"/>
      <c r="N325" s="189"/>
      <c r="O325" s="190"/>
    </row>
    <row r="326" ht="15.75" customHeight="1">
      <c r="A326" s="186"/>
      <c r="B326" s="186"/>
      <c r="C326" s="186"/>
      <c r="D326" s="186"/>
      <c r="E326" s="186"/>
      <c r="F326" s="186"/>
      <c r="G326" s="186"/>
      <c r="H326" s="186"/>
      <c r="I326" s="187"/>
      <c r="J326" s="188"/>
      <c r="K326" s="186"/>
      <c r="L326" s="186"/>
      <c r="M326" s="186"/>
      <c r="N326" s="189"/>
      <c r="O326" s="190"/>
    </row>
    <row r="327" ht="15.75" customHeight="1">
      <c r="A327" s="192"/>
      <c r="B327" s="192"/>
      <c r="C327" s="192"/>
      <c r="D327" s="192"/>
      <c r="E327" s="192"/>
      <c r="F327" s="192"/>
      <c r="G327" s="192"/>
      <c r="H327" s="192"/>
      <c r="I327" s="205"/>
      <c r="J327" s="206"/>
      <c r="K327" s="192"/>
      <c r="L327" s="192"/>
      <c r="M327" s="192"/>
      <c r="N327" s="189"/>
      <c r="O327" s="190"/>
    </row>
    <row r="328" ht="15.75" customHeight="1">
      <c r="A328" s="186"/>
      <c r="B328" s="186"/>
      <c r="C328" s="186"/>
      <c r="D328" s="186"/>
      <c r="E328" s="186"/>
      <c r="F328" s="186"/>
      <c r="G328" s="186"/>
      <c r="H328" s="186"/>
      <c r="I328" s="187"/>
      <c r="J328" s="188"/>
      <c r="K328" s="186"/>
      <c r="L328" s="186"/>
      <c r="M328" s="186"/>
      <c r="N328" s="189"/>
      <c r="O328" s="190"/>
    </row>
    <row r="329" ht="15.75" customHeight="1">
      <c r="A329" s="192"/>
      <c r="B329" s="192"/>
      <c r="C329" s="192"/>
      <c r="D329" s="192"/>
      <c r="E329" s="192"/>
      <c r="F329" s="192"/>
      <c r="G329" s="192"/>
      <c r="H329" s="192"/>
      <c r="I329" s="205"/>
      <c r="J329" s="206"/>
      <c r="K329" s="192"/>
      <c r="L329" s="192"/>
      <c r="M329" s="192"/>
      <c r="N329" s="189"/>
      <c r="O329" s="190"/>
    </row>
    <row r="330" ht="15.75" customHeight="1">
      <c r="A330" s="186"/>
      <c r="B330" s="186"/>
      <c r="C330" s="186"/>
      <c r="D330" s="186"/>
      <c r="E330" s="186"/>
      <c r="F330" s="186"/>
      <c r="G330" s="186"/>
      <c r="H330" s="186"/>
      <c r="I330" s="187"/>
      <c r="J330" s="188"/>
      <c r="K330" s="186"/>
      <c r="L330" s="186"/>
      <c r="M330" s="186"/>
      <c r="N330" s="189"/>
      <c r="O330" s="190"/>
    </row>
    <row r="331" ht="15.75" customHeight="1">
      <c r="A331" s="192"/>
      <c r="B331" s="192"/>
      <c r="C331" s="192"/>
      <c r="D331" s="192"/>
      <c r="E331" s="192"/>
      <c r="F331" s="192"/>
      <c r="G331" s="192"/>
      <c r="H331" s="192"/>
      <c r="I331" s="205"/>
      <c r="J331" s="206"/>
      <c r="K331" s="192"/>
      <c r="L331" s="192"/>
      <c r="M331" s="192"/>
      <c r="N331" s="189"/>
      <c r="O331" s="190"/>
    </row>
    <row r="332" ht="15.75" customHeight="1">
      <c r="A332" s="186"/>
      <c r="B332" s="186"/>
      <c r="C332" s="186"/>
      <c r="D332" s="186"/>
      <c r="E332" s="186"/>
      <c r="F332" s="186"/>
      <c r="G332" s="186"/>
      <c r="H332" s="186"/>
      <c r="I332" s="187"/>
      <c r="J332" s="188"/>
      <c r="K332" s="186"/>
      <c r="L332" s="186"/>
      <c r="M332" s="186"/>
      <c r="N332" s="189"/>
      <c r="O332" s="190"/>
    </row>
    <row r="333" ht="15.75" customHeight="1">
      <c r="A333" s="192"/>
      <c r="B333" s="192"/>
      <c r="C333" s="192"/>
      <c r="D333" s="192"/>
      <c r="E333" s="192"/>
      <c r="F333" s="192"/>
      <c r="G333" s="192"/>
      <c r="H333" s="192"/>
      <c r="I333" s="205"/>
      <c r="J333" s="206"/>
      <c r="K333" s="192"/>
      <c r="L333" s="192"/>
      <c r="M333" s="192"/>
      <c r="N333" s="189"/>
      <c r="O333" s="190"/>
    </row>
    <row r="334" ht="15.75" customHeight="1">
      <c r="A334" s="186"/>
      <c r="B334" s="186"/>
      <c r="C334" s="186"/>
      <c r="D334" s="186"/>
      <c r="E334" s="186"/>
      <c r="F334" s="186"/>
      <c r="G334" s="186"/>
      <c r="H334" s="186"/>
      <c r="I334" s="187"/>
      <c r="J334" s="188"/>
      <c r="K334" s="186"/>
      <c r="L334" s="186"/>
      <c r="M334" s="186"/>
      <c r="N334" s="189"/>
      <c r="O334" s="190"/>
    </row>
    <row r="335" ht="15.75" customHeight="1">
      <c r="A335" s="192"/>
      <c r="B335" s="192"/>
      <c r="C335" s="192"/>
      <c r="D335" s="192"/>
      <c r="E335" s="192"/>
      <c r="F335" s="192"/>
      <c r="G335" s="192"/>
      <c r="H335" s="192"/>
      <c r="I335" s="205"/>
      <c r="J335" s="206"/>
      <c r="K335" s="192"/>
      <c r="L335" s="192"/>
      <c r="M335" s="192"/>
      <c r="N335" s="189"/>
      <c r="O335" s="190"/>
    </row>
    <row r="336" ht="15.75" customHeight="1">
      <c r="A336" s="186"/>
      <c r="B336" s="186"/>
      <c r="C336" s="186"/>
      <c r="D336" s="186"/>
      <c r="E336" s="186"/>
      <c r="F336" s="186"/>
      <c r="G336" s="186"/>
      <c r="H336" s="186"/>
      <c r="I336" s="187"/>
      <c r="J336" s="188"/>
      <c r="K336" s="186"/>
      <c r="L336" s="186"/>
      <c r="M336" s="186"/>
      <c r="N336" s="189"/>
      <c r="O336" s="190"/>
    </row>
    <row r="337" ht="15.75" customHeight="1">
      <c r="A337" s="192"/>
      <c r="B337" s="192"/>
      <c r="C337" s="192"/>
      <c r="D337" s="192"/>
      <c r="E337" s="192"/>
      <c r="F337" s="192"/>
      <c r="G337" s="192"/>
      <c r="H337" s="192"/>
      <c r="I337" s="205"/>
      <c r="J337" s="206"/>
      <c r="K337" s="192"/>
      <c r="L337" s="192"/>
      <c r="M337" s="192"/>
      <c r="N337" s="189"/>
      <c r="O337" s="190"/>
    </row>
    <row r="338" ht="15.75" customHeight="1">
      <c r="A338" s="186"/>
      <c r="B338" s="186"/>
      <c r="C338" s="186"/>
      <c r="D338" s="186"/>
      <c r="E338" s="186"/>
      <c r="F338" s="186"/>
      <c r="G338" s="186"/>
      <c r="H338" s="186"/>
      <c r="I338" s="187"/>
      <c r="J338" s="188"/>
      <c r="K338" s="186"/>
      <c r="L338" s="186"/>
      <c r="M338" s="186"/>
      <c r="N338" s="189"/>
      <c r="O338" s="190"/>
    </row>
    <row r="339" ht="15.75" customHeight="1">
      <c r="A339" s="192"/>
      <c r="B339" s="192"/>
      <c r="C339" s="192"/>
      <c r="D339" s="192"/>
      <c r="E339" s="192"/>
      <c r="F339" s="192"/>
      <c r="G339" s="192"/>
      <c r="H339" s="192"/>
      <c r="I339" s="205"/>
      <c r="J339" s="206"/>
      <c r="K339" s="192"/>
      <c r="L339" s="192"/>
      <c r="M339" s="192"/>
      <c r="N339" s="189"/>
      <c r="O339" s="190"/>
    </row>
    <row r="340" ht="15.75" customHeight="1">
      <c r="A340" s="186"/>
      <c r="B340" s="186"/>
      <c r="C340" s="186"/>
      <c r="D340" s="186"/>
      <c r="E340" s="186"/>
      <c r="F340" s="186"/>
      <c r="G340" s="186"/>
      <c r="H340" s="186"/>
      <c r="I340" s="187"/>
      <c r="J340" s="188"/>
      <c r="K340" s="186"/>
      <c r="L340" s="186"/>
      <c r="M340" s="186"/>
      <c r="N340" s="189"/>
      <c r="O340" s="190"/>
    </row>
    <row r="341" ht="15.75" customHeight="1">
      <c r="A341" s="192"/>
      <c r="B341" s="192"/>
      <c r="C341" s="192"/>
      <c r="D341" s="192"/>
      <c r="E341" s="192"/>
      <c r="F341" s="192"/>
      <c r="G341" s="192"/>
      <c r="H341" s="192"/>
      <c r="I341" s="205"/>
      <c r="J341" s="206"/>
      <c r="K341" s="192"/>
      <c r="L341" s="192"/>
      <c r="M341" s="192"/>
      <c r="N341" s="189"/>
      <c r="O341" s="190"/>
    </row>
    <row r="342" ht="15.75" customHeight="1">
      <c r="A342" s="186"/>
      <c r="B342" s="186"/>
      <c r="C342" s="186"/>
      <c r="D342" s="186"/>
      <c r="E342" s="186"/>
      <c r="F342" s="186"/>
      <c r="G342" s="186"/>
      <c r="H342" s="186"/>
      <c r="I342" s="187"/>
      <c r="J342" s="188"/>
      <c r="K342" s="186"/>
      <c r="L342" s="186"/>
      <c r="M342" s="186"/>
      <c r="N342" s="189"/>
      <c r="O342" s="190"/>
    </row>
    <row r="343" ht="15.75" customHeight="1">
      <c r="A343" s="192"/>
      <c r="B343" s="192"/>
      <c r="C343" s="192"/>
      <c r="D343" s="192"/>
      <c r="E343" s="192"/>
      <c r="F343" s="192"/>
      <c r="G343" s="192"/>
      <c r="H343" s="192"/>
      <c r="I343" s="205"/>
      <c r="J343" s="206"/>
      <c r="K343" s="192"/>
      <c r="L343" s="192"/>
      <c r="M343" s="192"/>
      <c r="N343" s="189"/>
      <c r="O343" s="190"/>
    </row>
    <row r="344" ht="15.75" customHeight="1">
      <c r="A344" s="186"/>
      <c r="B344" s="186"/>
      <c r="C344" s="186"/>
      <c r="D344" s="186"/>
      <c r="E344" s="186"/>
      <c r="F344" s="186"/>
      <c r="G344" s="186"/>
      <c r="H344" s="186"/>
      <c r="I344" s="187"/>
      <c r="J344" s="188"/>
      <c r="K344" s="186"/>
      <c r="L344" s="186"/>
      <c r="M344" s="186"/>
      <c r="N344" s="189"/>
      <c r="O344" s="190"/>
    </row>
    <row r="345" ht="15.75" customHeight="1">
      <c r="A345" s="192"/>
      <c r="B345" s="192"/>
      <c r="C345" s="192"/>
      <c r="D345" s="192"/>
      <c r="E345" s="192"/>
      <c r="F345" s="192"/>
      <c r="G345" s="192"/>
      <c r="H345" s="192"/>
      <c r="I345" s="205"/>
      <c r="J345" s="206"/>
      <c r="K345" s="192"/>
      <c r="L345" s="192"/>
      <c r="M345" s="192"/>
      <c r="N345" s="189"/>
      <c r="O345" s="190"/>
    </row>
    <row r="346" ht="15.75" customHeight="1">
      <c r="A346" s="186"/>
      <c r="B346" s="186"/>
      <c r="C346" s="186"/>
      <c r="D346" s="186"/>
      <c r="E346" s="186"/>
      <c r="F346" s="186"/>
      <c r="G346" s="186"/>
      <c r="H346" s="186"/>
      <c r="I346" s="187"/>
      <c r="J346" s="188"/>
      <c r="K346" s="186"/>
      <c r="L346" s="186"/>
      <c r="M346" s="186"/>
      <c r="N346" s="189"/>
      <c r="O346" s="190"/>
    </row>
    <row r="347" ht="15.75" customHeight="1">
      <c r="A347" s="192"/>
      <c r="B347" s="192"/>
      <c r="C347" s="192"/>
      <c r="D347" s="192"/>
      <c r="E347" s="192"/>
      <c r="F347" s="192"/>
      <c r="G347" s="192"/>
      <c r="H347" s="192"/>
      <c r="I347" s="205"/>
      <c r="J347" s="206"/>
      <c r="K347" s="192"/>
      <c r="L347" s="192"/>
      <c r="M347" s="192"/>
      <c r="N347" s="189"/>
      <c r="O347" s="190"/>
    </row>
    <row r="348" ht="15.75" customHeight="1">
      <c r="A348" s="186"/>
      <c r="B348" s="186"/>
      <c r="C348" s="186"/>
      <c r="D348" s="186"/>
      <c r="E348" s="186"/>
      <c r="F348" s="186"/>
      <c r="G348" s="186"/>
      <c r="H348" s="186"/>
      <c r="I348" s="187"/>
      <c r="J348" s="188"/>
      <c r="K348" s="186"/>
      <c r="L348" s="186"/>
      <c r="M348" s="186"/>
      <c r="N348" s="189"/>
      <c r="O348" s="190"/>
    </row>
    <row r="349" ht="15.75" customHeight="1">
      <c r="A349" s="192"/>
      <c r="B349" s="192"/>
      <c r="C349" s="192"/>
      <c r="D349" s="192"/>
      <c r="E349" s="192"/>
      <c r="F349" s="192"/>
      <c r="G349" s="192"/>
      <c r="H349" s="192"/>
      <c r="I349" s="205"/>
      <c r="J349" s="206"/>
      <c r="K349" s="192"/>
      <c r="L349" s="192"/>
      <c r="M349" s="192"/>
      <c r="N349" s="189"/>
      <c r="O349" s="190"/>
    </row>
    <row r="350" ht="15.75" customHeight="1">
      <c r="A350" s="186"/>
      <c r="B350" s="186"/>
      <c r="C350" s="186"/>
      <c r="D350" s="186"/>
      <c r="E350" s="186"/>
      <c r="F350" s="186"/>
      <c r="G350" s="186"/>
      <c r="H350" s="186"/>
      <c r="I350" s="187"/>
      <c r="J350" s="188"/>
      <c r="K350" s="186"/>
      <c r="L350" s="186"/>
      <c r="M350" s="186"/>
      <c r="N350" s="189"/>
      <c r="O350" s="190"/>
    </row>
    <row r="351" ht="15.75" customHeight="1">
      <c r="A351" s="192"/>
      <c r="B351" s="192"/>
      <c r="C351" s="192"/>
      <c r="D351" s="192"/>
      <c r="E351" s="192"/>
      <c r="F351" s="192"/>
      <c r="G351" s="192"/>
      <c r="H351" s="192"/>
      <c r="I351" s="205"/>
      <c r="J351" s="206"/>
      <c r="K351" s="192"/>
      <c r="L351" s="192"/>
      <c r="M351" s="192"/>
      <c r="N351" s="189"/>
      <c r="O351" s="190"/>
    </row>
    <row r="352" ht="15.75" customHeight="1">
      <c r="A352" s="186"/>
      <c r="B352" s="186"/>
      <c r="C352" s="186"/>
      <c r="D352" s="186"/>
      <c r="E352" s="186"/>
      <c r="F352" s="186"/>
      <c r="G352" s="186"/>
      <c r="H352" s="186"/>
      <c r="I352" s="187"/>
      <c r="J352" s="188"/>
      <c r="K352" s="186"/>
      <c r="L352" s="186"/>
      <c r="M352" s="186"/>
      <c r="N352" s="189"/>
      <c r="O352" s="190"/>
    </row>
    <row r="353" ht="15.75" customHeight="1">
      <c r="A353" s="186"/>
      <c r="B353" s="186"/>
      <c r="C353" s="186"/>
      <c r="D353" s="186"/>
      <c r="E353" s="186"/>
      <c r="F353" s="186"/>
      <c r="G353" s="186"/>
      <c r="H353" s="186"/>
      <c r="I353" s="187"/>
      <c r="J353" s="188"/>
      <c r="K353" s="186"/>
      <c r="L353" s="186"/>
      <c r="M353" s="186"/>
      <c r="N353" s="189"/>
      <c r="O353" s="190"/>
    </row>
    <row r="354" ht="15.75" customHeight="1">
      <c r="A354" s="192"/>
      <c r="B354" s="192"/>
      <c r="C354" s="192"/>
      <c r="D354" s="192"/>
      <c r="E354" s="192"/>
      <c r="F354" s="192"/>
      <c r="G354" s="192"/>
      <c r="H354" s="192"/>
      <c r="I354" s="205"/>
      <c r="J354" s="206"/>
      <c r="K354" s="192"/>
      <c r="L354" s="192"/>
      <c r="M354" s="192"/>
      <c r="N354" s="189"/>
      <c r="O354" s="190"/>
    </row>
    <row r="355" ht="15.75" customHeight="1">
      <c r="A355" s="186"/>
      <c r="B355" s="186"/>
      <c r="C355" s="186"/>
      <c r="D355" s="186"/>
      <c r="E355" s="186"/>
      <c r="F355" s="186"/>
      <c r="G355" s="186"/>
      <c r="H355" s="186"/>
      <c r="I355" s="187"/>
      <c r="J355" s="188"/>
      <c r="K355" s="186"/>
      <c r="L355" s="186"/>
      <c r="M355" s="186"/>
      <c r="N355" s="189"/>
      <c r="O355" s="190"/>
    </row>
    <row r="356" ht="15.75" customHeight="1">
      <c r="A356" s="192"/>
      <c r="B356" s="192"/>
      <c r="C356" s="192"/>
      <c r="D356" s="192"/>
      <c r="E356" s="192"/>
      <c r="F356" s="192"/>
      <c r="G356" s="192"/>
      <c r="H356" s="192"/>
      <c r="I356" s="205"/>
      <c r="J356" s="206"/>
      <c r="K356" s="192"/>
      <c r="L356" s="192"/>
      <c r="M356" s="192"/>
      <c r="N356" s="189"/>
      <c r="O356" s="190"/>
    </row>
    <row r="357" ht="15.75" customHeight="1">
      <c r="A357" s="186"/>
      <c r="B357" s="186"/>
      <c r="C357" s="186"/>
      <c r="D357" s="186"/>
      <c r="E357" s="186"/>
      <c r="F357" s="186"/>
      <c r="G357" s="186"/>
      <c r="H357" s="186"/>
      <c r="I357" s="187"/>
      <c r="J357" s="188"/>
      <c r="K357" s="186"/>
      <c r="L357" s="186"/>
      <c r="M357" s="186"/>
      <c r="N357" s="189"/>
      <c r="O357" s="190"/>
    </row>
    <row r="358" ht="15.75" customHeight="1">
      <c r="A358" s="192"/>
      <c r="B358" s="192"/>
      <c r="C358" s="192"/>
      <c r="D358" s="192"/>
      <c r="E358" s="192"/>
      <c r="F358" s="192"/>
      <c r="G358" s="192"/>
      <c r="H358" s="192"/>
      <c r="I358" s="205"/>
      <c r="J358" s="206"/>
      <c r="K358" s="192"/>
      <c r="L358" s="192"/>
      <c r="M358" s="192"/>
      <c r="N358" s="189"/>
      <c r="O358" s="190"/>
    </row>
    <row r="359" ht="15.75" customHeight="1">
      <c r="A359" s="186"/>
      <c r="B359" s="186"/>
      <c r="C359" s="186"/>
      <c r="D359" s="186"/>
      <c r="E359" s="186"/>
      <c r="F359" s="186"/>
      <c r="G359" s="186"/>
      <c r="H359" s="186"/>
      <c r="I359" s="187"/>
      <c r="J359" s="188"/>
      <c r="K359" s="186"/>
      <c r="L359" s="186"/>
      <c r="M359" s="186"/>
      <c r="N359" s="189"/>
      <c r="O359" s="190"/>
    </row>
    <row r="360" ht="15.75" customHeight="1">
      <c r="A360" s="192"/>
      <c r="B360" s="192"/>
      <c r="C360" s="192"/>
      <c r="D360" s="192"/>
      <c r="E360" s="192"/>
      <c r="F360" s="192"/>
      <c r="G360" s="192"/>
      <c r="H360" s="192"/>
      <c r="I360" s="205"/>
      <c r="J360" s="206"/>
      <c r="K360" s="192"/>
      <c r="L360" s="192"/>
      <c r="M360" s="192"/>
      <c r="N360" s="189"/>
      <c r="O360" s="190"/>
    </row>
    <row r="361" ht="15.75" customHeight="1">
      <c r="A361" s="186"/>
      <c r="B361" s="186"/>
      <c r="C361" s="186"/>
      <c r="D361" s="186"/>
      <c r="E361" s="186"/>
      <c r="F361" s="186"/>
      <c r="G361" s="186"/>
      <c r="H361" s="186"/>
      <c r="I361" s="187"/>
      <c r="J361" s="188"/>
      <c r="K361" s="186"/>
      <c r="L361" s="186"/>
      <c r="M361" s="186"/>
      <c r="N361" s="189"/>
      <c r="O361" s="190"/>
    </row>
    <row r="362" ht="15.75" customHeight="1">
      <c r="A362" s="192"/>
      <c r="B362" s="192"/>
      <c r="C362" s="192"/>
      <c r="D362" s="192"/>
      <c r="E362" s="192"/>
      <c r="F362" s="192"/>
      <c r="G362" s="192"/>
      <c r="H362" s="192"/>
      <c r="I362" s="205"/>
      <c r="J362" s="206"/>
      <c r="K362" s="192"/>
      <c r="L362" s="192"/>
      <c r="M362" s="192"/>
      <c r="N362" s="189"/>
      <c r="O362" s="190"/>
    </row>
    <row r="363" ht="15.75" customHeight="1">
      <c r="A363" s="186"/>
      <c r="B363" s="186"/>
      <c r="C363" s="186"/>
      <c r="D363" s="186"/>
      <c r="E363" s="186"/>
      <c r="F363" s="186"/>
      <c r="G363" s="186"/>
      <c r="H363" s="186"/>
      <c r="I363" s="187"/>
      <c r="J363" s="188"/>
      <c r="K363" s="186"/>
      <c r="L363" s="186"/>
      <c r="M363" s="186"/>
      <c r="N363" s="189"/>
      <c r="O363" s="190"/>
    </row>
    <row r="364" ht="15.75" customHeight="1">
      <c r="A364" s="192"/>
      <c r="B364" s="192"/>
      <c r="C364" s="192"/>
      <c r="D364" s="192"/>
      <c r="E364" s="192"/>
      <c r="F364" s="192"/>
      <c r="G364" s="192"/>
      <c r="H364" s="192"/>
      <c r="I364" s="205"/>
      <c r="J364" s="206"/>
      <c r="K364" s="192"/>
      <c r="L364" s="192"/>
      <c r="M364" s="192"/>
      <c r="N364" s="189"/>
      <c r="O364" s="190"/>
    </row>
    <row r="365" ht="15.75" customHeight="1">
      <c r="A365" s="186"/>
      <c r="B365" s="186"/>
      <c r="C365" s="186"/>
      <c r="D365" s="186"/>
      <c r="E365" s="186"/>
      <c r="F365" s="186"/>
      <c r="G365" s="186"/>
      <c r="H365" s="186"/>
      <c r="I365" s="187"/>
      <c r="J365" s="188"/>
      <c r="K365" s="186"/>
      <c r="L365" s="186"/>
      <c r="M365" s="186"/>
      <c r="N365" s="189"/>
      <c r="O365" s="190"/>
    </row>
    <row r="366" ht="15.75" customHeight="1">
      <c r="A366" s="192"/>
      <c r="B366" s="192"/>
      <c r="C366" s="192"/>
      <c r="D366" s="192"/>
      <c r="E366" s="192"/>
      <c r="F366" s="192"/>
      <c r="G366" s="192"/>
      <c r="H366" s="192"/>
      <c r="I366" s="205"/>
      <c r="J366" s="206"/>
      <c r="K366" s="192"/>
      <c r="L366" s="192"/>
      <c r="M366" s="192"/>
      <c r="N366" s="189"/>
      <c r="O366" s="190"/>
    </row>
    <row r="367" ht="15.75" customHeight="1">
      <c r="A367" s="186"/>
      <c r="B367" s="186"/>
      <c r="C367" s="186"/>
      <c r="D367" s="186"/>
      <c r="E367" s="186"/>
      <c r="F367" s="186"/>
      <c r="G367" s="186"/>
      <c r="H367" s="186"/>
      <c r="I367" s="187"/>
      <c r="J367" s="188"/>
      <c r="K367" s="186"/>
      <c r="L367" s="186"/>
      <c r="M367" s="186"/>
      <c r="N367" s="189"/>
      <c r="O367" s="190"/>
    </row>
    <row r="368" ht="15.75" customHeight="1">
      <c r="A368" s="192"/>
      <c r="B368" s="192"/>
      <c r="C368" s="192"/>
      <c r="D368" s="192"/>
      <c r="E368" s="192"/>
      <c r="F368" s="192"/>
      <c r="G368" s="192"/>
      <c r="H368" s="192"/>
      <c r="I368" s="205"/>
      <c r="J368" s="206"/>
      <c r="K368" s="192"/>
      <c r="L368" s="192"/>
      <c r="M368" s="192"/>
      <c r="N368" s="189"/>
      <c r="O368" s="190"/>
    </row>
    <row r="369" ht="15.75" customHeight="1">
      <c r="A369" s="186"/>
      <c r="B369" s="186"/>
      <c r="C369" s="186"/>
      <c r="D369" s="186"/>
      <c r="E369" s="186"/>
      <c r="F369" s="186"/>
      <c r="G369" s="186"/>
      <c r="H369" s="186"/>
      <c r="I369" s="187"/>
      <c r="J369" s="188"/>
      <c r="K369" s="186"/>
      <c r="L369" s="186"/>
      <c r="M369" s="186"/>
      <c r="N369" s="189"/>
      <c r="O369" s="190"/>
    </row>
    <row r="370" ht="15.75" customHeight="1">
      <c r="A370" s="192"/>
      <c r="B370" s="192"/>
      <c r="C370" s="192"/>
      <c r="D370" s="192"/>
      <c r="E370" s="192"/>
      <c r="F370" s="192"/>
      <c r="G370" s="192"/>
      <c r="H370" s="192"/>
      <c r="I370" s="205"/>
      <c r="J370" s="206"/>
      <c r="K370" s="192"/>
      <c r="L370" s="192"/>
      <c r="M370" s="192"/>
      <c r="N370" s="189"/>
      <c r="O370" s="190"/>
    </row>
    <row r="371" ht="15.75" customHeight="1">
      <c r="A371" s="186"/>
      <c r="B371" s="186"/>
      <c r="C371" s="186"/>
      <c r="D371" s="186"/>
      <c r="E371" s="186"/>
      <c r="F371" s="186"/>
      <c r="G371" s="186"/>
      <c r="H371" s="186"/>
      <c r="I371" s="187"/>
      <c r="J371" s="188"/>
      <c r="K371" s="186"/>
      <c r="L371" s="186"/>
      <c r="M371" s="186"/>
      <c r="N371" s="189"/>
      <c r="O371" s="190"/>
    </row>
    <row r="372" ht="15.75" customHeight="1">
      <c r="A372" s="192"/>
      <c r="B372" s="192"/>
      <c r="C372" s="192"/>
      <c r="D372" s="192"/>
      <c r="E372" s="192"/>
      <c r="F372" s="192"/>
      <c r="G372" s="192"/>
      <c r="H372" s="192"/>
      <c r="I372" s="205"/>
      <c r="J372" s="206"/>
      <c r="K372" s="192"/>
      <c r="L372" s="192"/>
      <c r="M372" s="192"/>
      <c r="N372" s="189"/>
      <c r="O372" s="190"/>
    </row>
    <row r="373" ht="15.75" customHeight="1">
      <c r="A373" s="186"/>
      <c r="B373" s="186"/>
      <c r="C373" s="186"/>
      <c r="D373" s="186"/>
      <c r="E373" s="186"/>
      <c r="F373" s="186"/>
      <c r="G373" s="186"/>
      <c r="H373" s="186"/>
      <c r="I373" s="187"/>
      <c r="J373" s="188"/>
      <c r="K373" s="186"/>
      <c r="L373" s="186"/>
      <c r="M373" s="186"/>
      <c r="N373" s="189"/>
      <c r="O373" s="190"/>
    </row>
    <row r="374" ht="15.75" customHeight="1">
      <c r="A374" s="192"/>
      <c r="B374" s="192"/>
      <c r="C374" s="192"/>
      <c r="D374" s="192"/>
      <c r="E374" s="192"/>
      <c r="F374" s="192"/>
      <c r="G374" s="192"/>
      <c r="H374" s="192"/>
      <c r="I374" s="205"/>
      <c r="J374" s="206"/>
      <c r="K374" s="192"/>
      <c r="L374" s="192"/>
      <c r="M374" s="192"/>
      <c r="N374" s="189"/>
      <c r="O374" s="190"/>
    </row>
    <row r="375" ht="15.75" customHeight="1">
      <c r="A375" s="186"/>
      <c r="B375" s="186"/>
      <c r="C375" s="186"/>
      <c r="D375" s="186"/>
      <c r="E375" s="186"/>
      <c r="F375" s="186"/>
      <c r="G375" s="186"/>
      <c r="H375" s="186"/>
      <c r="I375" s="187"/>
      <c r="J375" s="188"/>
      <c r="K375" s="186"/>
      <c r="L375" s="186"/>
      <c r="M375" s="186"/>
      <c r="N375" s="189"/>
      <c r="O375" s="190"/>
    </row>
    <row r="376" ht="15.75" customHeight="1">
      <c r="A376" s="192"/>
      <c r="B376" s="192"/>
      <c r="C376" s="192"/>
      <c r="D376" s="192"/>
      <c r="E376" s="192"/>
      <c r="F376" s="192"/>
      <c r="G376" s="192"/>
      <c r="H376" s="192"/>
      <c r="I376" s="205"/>
      <c r="J376" s="206"/>
      <c r="K376" s="192"/>
      <c r="L376" s="192"/>
      <c r="M376" s="192"/>
      <c r="N376" s="189"/>
      <c r="O376" s="190"/>
    </row>
    <row r="377" ht="15.75" customHeight="1">
      <c r="A377" s="186"/>
      <c r="B377" s="186"/>
      <c r="C377" s="186"/>
      <c r="D377" s="186"/>
      <c r="E377" s="186"/>
      <c r="F377" s="186"/>
      <c r="G377" s="186"/>
      <c r="H377" s="186"/>
      <c r="I377" s="187"/>
      <c r="J377" s="188"/>
      <c r="K377" s="186"/>
      <c r="L377" s="186"/>
      <c r="M377" s="186"/>
      <c r="N377" s="189"/>
      <c r="O377" s="190"/>
    </row>
    <row r="378" ht="15.75" customHeight="1">
      <c r="A378" s="192"/>
      <c r="B378" s="192"/>
      <c r="C378" s="192"/>
      <c r="D378" s="192"/>
      <c r="E378" s="192"/>
      <c r="F378" s="192"/>
      <c r="G378" s="192"/>
      <c r="H378" s="192"/>
      <c r="I378" s="205"/>
      <c r="J378" s="206"/>
      <c r="K378" s="192"/>
      <c r="L378" s="192"/>
      <c r="M378" s="192"/>
      <c r="N378" s="189"/>
      <c r="O378" s="190"/>
    </row>
    <row r="379" ht="15.75" customHeight="1">
      <c r="A379" s="186"/>
      <c r="B379" s="186"/>
      <c r="C379" s="186"/>
      <c r="D379" s="186"/>
      <c r="E379" s="186"/>
      <c r="F379" s="186"/>
      <c r="G379" s="186"/>
      <c r="H379" s="186"/>
      <c r="I379" s="187"/>
      <c r="J379" s="188"/>
      <c r="K379" s="186"/>
      <c r="L379" s="186"/>
      <c r="M379" s="186"/>
      <c r="N379" s="189"/>
      <c r="O379" s="190"/>
    </row>
    <row r="380" ht="15.75" customHeight="1">
      <c r="A380" s="186"/>
      <c r="B380" s="186"/>
      <c r="C380" s="186"/>
      <c r="D380" s="186"/>
      <c r="E380" s="186"/>
      <c r="F380" s="186"/>
      <c r="G380" s="186"/>
      <c r="H380" s="186"/>
      <c r="I380" s="187"/>
      <c r="J380" s="188"/>
      <c r="K380" s="186"/>
      <c r="L380" s="186"/>
      <c r="M380" s="186"/>
      <c r="N380" s="189"/>
      <c r="O380" s="190"/>
    </row>
    <row r="381" ht="15.75" customHeight="1">
      <c r="A381" s="192"/>
      <c r="B381" s="192"/>
      <c r="C381" s="192"/>
      <c r="D381" s="192"/>
      <c r="E381" s="192"/>
      <c r="F381" s="192"/>
      <c r="G381" s="192"/>
      <c r="H381" s="192"/>
      <c r="I381" s="205"/>
      <c r="J381" s="206"/>
      <c r="K381" s="192"/>
      <c r="L381" s="192"/>
      <c r="M381" s="192"/>
      <c r="N381" s="189"/>
      <c r="O381" s="190"/>
    </row>
    <row r="382" ht="15.75" customHeight="1">
      <c r="A382" s="186"/>
      <c r="B382" s="186"/>
      <c r="C382" s="186"/>
      <c r="D382" s="186"/>
      <c r="E382" s="186"/>
      <c r="F382" s="186"/>
      <c r="G382" s="186"/>
      <c r="H382" s="186"/>
      <c r="I382" s="187"/>
      <c r="J382" s="188"/>
      <c r="K382" s="186"/>
      <c r="L382" s="186"/>
      <c r="M382" s="186"/>
      <c r="N382" s="189"/>
      <c r="O382" s="190"/>
    </row>
    <row r="383" ht="15.75" customHeight="1">
      <c r="A383" s="192"/>
      <c r="B383" s="192"/>
      <c r="C383" s="192"/>
      <c r="D383" s="192"/>
      <c r="E383" s="192"/>
      <c r="F383" s="192"/>
      <c r="G383" s="192"/>
      <c r="H383" s="192"/>
      <c r="I383" s="205"/>
      <c r="J383" s="206"/>
      <c r="K383" s="192"/>
      <c r="L383" s="192"/>
      <c r="M383" s="192"/>
      <c r="N383" s="189"/>
      <c r="O383" s="190"/>
    </row>
    <row r="384" ht="15.75" customHeight="1">
      <c r="A384" s="186"/>
      <c r="B384" s="186"/>
      <c r="C384" s="186"/>
      <c r="D384" s="186"/>
      <c r="E384" s="186"/>
      <c r="F384" s="186"/>
      <c r="G384" s="186"/>
      <c r="H384" s="186"/>
      <c r="I384" s="187"/>
      <c r="J384" s="188"/>
      <c r="K384" s="186"/>
      <c r="L384" s="186"/>
      <c r="M384" s="186"/>
      <c r="N384" s="189"/>
      <c r="O384" s="190"/>
    </row>
    <row r="385" ht="15.75" customHeight="1">
      <c r="A385" s="192"/>
      <c r="B385" s="192"/>
      <c r="C385" s="192"/>
      <c r="D385" s="192"/>
      <c r="E385" s="192"/>
      <c r="F385" s="192"/>
      <c r="G385" s="192"/>
      <c r="H385" s="192"/>
      <c r="I385" s="205"/>
      <c r="J385" s="206"/>
      <c r="K385" s="192"/>
      <c r="L385" s="192"/>
      <c r="M385" s="192"/>
      <c r="N385" s="189"/>
      <c r="O385" s="190"/>
    </row>
    <row r="386" ht="15.75" customHeight="1">
      <c r="A386" s="186"/>
      <c r="B386" s="186"/>
      <c r="C386" s="186"/>
      <c r="D386" s="186"/>
      <c r="E386" s="186"/>
      <c r="F386" s="186"/>
      <c r="G386" s="186"/>
      <c r="H386" s="186"/>
      <c r="I386" s="187"/>
      <c r="J386" s="188"/>
      <c r="K386" s="186"/>
      <c r="L386" s="186"/>
      <c r="M386" s="186"/>
      <c r="N386" s="189"/>
      <c r="O386" s="190"/>
    </row>
    <row r="387" ht="15.75" customHeight="1">
      <c r="A387" s="192"/>
      <c r="B387" s="192"/>
      <c r="C387" s="192"/>
      <c r="D387" s="192"/>
      <c r="E387" s="192"/>
      <c r="F387" s="192"/>
      <c r="G387" s="192"/>
      <c r="H387" s="192"/>
      <c r="I387" s="205"/>
      <c r="J387" s="206"/>
      <c r="K387" s="192"/>
      <c r="L387" s="192"/>
      <c r="M387" s="192"/>
      <c r="N387" s="189"/>
      <c r="O387" s="190"/>
    </row>
    <row r="388" ht="15.75" customHeight="1">
      <c r="A388" s="186"/>
      <c r="B388" s="186"/>
      <c r="C388" s="186"/>
      <c r="D388" s="186"/>
      <c r="E388" s="186"/>
      <c r="F388" s="186"/>
      <c r="G388" s="186"/>
      <c r="H388" s="186"/>
      <c r="I388" s="187"/>
      <c r="J388" s="188"/>
      <c r="K388" s="186"/>
      <c r="L388" s="186"/>
      <c r="M388" s="186"/>
      <c r="N388" s="189"/>
      <c r="O388" s="190"/>
    </row>
    <row r="389" ht="15.75" customHeight="1">
      <c r="A389" s="192"/>
      <c r="B389" s="192"/>
      <c r="C389" s="192"/>
      <c r="D389" s="192"/>
      <c r="E389" s="192"/>
      <c r="F389" s="192"/>
      <c r="G389" s="192"/>
      <c r="H389" s="192"/>
      <c r="I389" s="205"/>
      <c r="J389" s="206"/>
      <c r="K389" s="192"/>
      <c r="L389" s="192"/>
      <c r="M389" s="192"/>
      <c r="N389" s="189"/>
      <c r="O389" s="190"/>
    </row>
    <row r="390" ht="15.75" customHeight="1">
      <c r="A390" s="186"/>
      <c r="B390" s="186"/>
      <c r="C390" s="186"/>
      <c r="D390" s="186"/>
      <c r="E390" s="186"/>
      <c r="F390" s="186"/>
      <c r="G390" s="186"/>
      <c r="H390" s="186"/>
      <c r="I390" s="187"/>
      <c r="J390" s="188"/>
      <c r="K390" s="186"/>
      <c r="L390" s="186"/>
      <c r="M390" s="186"/>
      <c r="N390" s="189"/>
      <c r="O390" s="190"/>
    </row>
    <row r="391" ht="15.75" customHeight="1">
      <c r="A391" s="192"/>
      <c r="B391" s="192"/>
      <c r="C391" s="192"/>
      <c r="D391" s="192"/>
      <c r="E391" s="192"/>
      <c r="F391" s="192"/>
      <c r="G391" s="192"/>
      <c r="H391" s="192"/>
      <c r="I391" s="205"/>
      <c r="J391" s="206"/>
      <c r="K391" s="192"/>
      <c r="L391" s="192"/>
      <c r="M391" s="192"/>
      <c r="N391" s="189"/>
      <c r="O391" s="190"/>
    </row>
    <row r="392" ht="15.75" customHeight="1">
      <c r="A392" s="186"/>
      <c r="B392" s="186"/>
      <c r="C392" s="186"/>
      <c r="D392" s="186"/>
      <c r="E392" s="186"/>
      <c r="F392" s="186"/>
      <c r="G392" s="186"/>
      <c r="H392" s="186"/>
      <c r="I392" s="187"/>
      <c r="J392" s="188"/>
      <c r="K392" s="186"/>
      <c r="L392" s="186"/>
      <c r="M392" s="186"/>
      <c r="N392" s="189"/>
      <c r="O392" s="190"/>
    </row>
    <row r="393" ht="15.75" customHeight="1">
      <c r="A393" s="192"/>
      <c r="B393" s="192"/>
      <c r="C393" s="192"/>
      <c r="D393" s="192"/>
      <c r="E393" s="192"/>
      <c r="F393" s="192"/>
      <c r="G393" s="192"/>
      <c r="H393" s="192"/>
      <c r="I393" s="205"/>
      <c r="J393" s="206"/>
      <c r="K393" s="192"/>
      <c r="L393" s="192"/>
      <c r="M393" s="192"/>
      <c r="N393" s="189"/>
      <c r="O393" s="190"/>
    </row>
    <row r="394" ht="15.75" customHeight="1">
      <c r="A394" s="186"/>
      <c r="B394" s="186"/>
      <c r="C394" s="186"/>
      <c r="D394" s="186"/>
      <c r="E394" s="186"/>
      <c r="F394" s="186"/>
      <c r="G394" s="186"/>
      <c r="H394" s="186"/>
      <c r="I394" s="187"/>
      <c r="J394" s="188"/>
      <c r="K394" s="186"/>
      <c r="L394" s="186"/>
      <c r="M394" s="186"/>
      <c r="N394" s="189"/>
      <c r="O394" s="190"/>
    </row>
    <row r="395" ht="15.75" customHeight="1">
      <c r="A395" s="192"/>
      <c r="B395" s="192"/>
      <c r="C395" s="192"/>
      <c r="D395" s="192"/>
      <c r="E395" s="192"/>
      <c r="F395" s="192"/>
      <c r="G395" s="192"/>
      <c r="H395" s="192"/>
      <c r="I395" s="205"/>
      <c r="J395" s="206"/>
      <c r="K395" s="192"/>
      <c r="L395" s="192"/>
      <c r="M395" s="192"/>
      <c r="N395" s="189"/>
      <c r="O395" s="190"/>
    </row>
    <row r="396" ht="15.75" customHeight="1">
      <c r="A396" s="186"/>
      <c r="B396" s="186"/>
      <c r="C396" s="186"/>
      <c r="D396" s="186"/>
      <c r="E396" s="186"/>
      <c r="F396" s="186"/>
      <c r="G396" s="186"/>
      <c r="H396" s="186"/>
      <c r="I396" s="187"/>
      <c r="J396" s="188"/>
      <c r="K396" s="186"/>
      <c r="L396" s="186"/>
      <c r="M396" s="186"/>
      <c r="N396" s="189"/>
      <c r="O396" s="190"/>
    </row>
    <row r="397" ht="15.75" customHeight="1">
      <c r="A397" s="192"/>
      <c r="B397" s="192"/>
      <c r="C397" s="192"/>
      <c r="D397" s="192"/>
      <c r="E397" s="192"/>
      <c r="F397" s="192"/>
      <c r="G397" s="192"/>
      <c r="H397" s="192"/>
      <c r="I397" s="205"/>
      <c r="J397" s="206"/>
      <c r="K397" s="192"/>
      <c r="L397" s="192"/>
      <c r="M397" s="192"/>
      <c r="N397" s="189"/>
      <c r="O397" s="190"/>
    </row>
    <row r="398" ht="15.75" customHeight="1">
      <c r="A398" s="186"/>
      <c r="B398" s="186"/>
      <c r="C398" s="186"/>
      <c r="D398" s="186"/>
      <c r="E398" s="186"/>
      <c r="F398" s="186"/>
      <c r="G398" s="186"/>
      <c r="H398" s="186"/>
      <c r="I398" s="187"/>
      <c r="J398" s="188"/>
      <c r="K398" s="186"/>
      <c r="L398" s="186"/>
      <c r="M398" s="186"/>
      <c r="N398" s="189"/>
      <c r="O398" s="190"/>
    </row>
    <row r="399" ht="15.75" customHeight="1">
      <c r="A399" s="192"/>
      <c r="B399" s="192"/>
      <c r="C399" s="192"/>
      <c r="D399" s="192"/>
      <c r="E399" s="192"/>
      <c r="F399" s="192"/>
      <c r="G399" s="192"/>
      <c r="H399" s="192"/>
      <c r="I399" s="205"/>
      <c r="J399" s="206"/>
      <c r="K399" s="192"/>
      <c r="L399" s="192"/>
      <c r="M399" s="192"/>
      <c r="N399" s="189"/>
      <c r="O399" s="190"/>
    </row>
    <row r="400" ht="15.75" customHeight="1">
      <c r="A400" s="186"/>
      <c r="B400" s="186"/>
      <c r="C400" s="186"/>
      <c r="D400" s="186"/>
      <c r="E400" s="186"/>
      <c r="F400" s="186"/>
      <c r="G400" s="186"/>
      <c r="H400" s="186"/>
      <c r="I400" s="187"/>
      <c r="J400" s="188"/>
      <c r="K400" s="186"/>
      <c r="L400" s="186"/>
      <c r="M400" s="186"/>
      <c r="N400" s="189"/>
      <c r="O400" s="190"/>
    </row>
    <row r="401" ht="15.75" customHeight="1">
      <c r="A401" s="192"/>
      <c r="B401" s="192"/>
      <c r="C401" s="192"/>
      <c r="D401" s="192"/>
      <c r="E401" s="192"/>
      <c r="F401" s="192"/>
      <c r="G401" s="192"/>
      <c r="H401" s="192"/>
      <c r="I401" s="205"/>
      <c r="J401" s="206"/>
      <c r="K401" s="192"/>
      <c r="L401" s="192"/>
      <c r="M401" s="192"/>
      <c r="N401" s="189"/>
      <c r="O401" s="190"/>
    </row>
    <row r="402" ht="15.75" customHeight="1">
      <c r="A402" s="186"/>
      <c r="B402" s="186"/>
      <c r="C402" s="186"/>
      <c r="D402" s="186"/>
      <c r="E402" s="186"/>
      <c r="F402" s="186"/>
      <c r="G402" s="186"/>
      <c r="H402" s="186"/>
      <c r="I402" s="187"/>
      <c r="J402" s="188"/>
      <c r="K402" s="186"/>
      <c r="L402" s="186"/>
      <c r="M402" s="186"/>
      <c r="N402" s="189"/>
      <c r="O402" s="190"/>
    </row>
    <row r="403" ht="15.75" customHeight="1">
      <c r="A403" s="192"/>
      <c r="B403" s="192"/>
      <c r="C403" s="192"/>
      <c r="D403" s="192"/>
      <c r="E403" s="192"/>
      <c r="F403" s="192"/>
      <c r="G403" s="192"/>
      <c r="H403" s="192"/>
      <c r="I403" s="205"/>
      <c r="J403" s="206"/>
      <c r="K403" s="192"/>
      <c r="L403" s="192"/>
      <c r="M403" s="192"/>
      <c r="N403" s="189"/>
      <c r="O403" s="190"/>
    </row>
    <row r="404" ht="15.75" customHeight="1">
      <c r="A404" s="186"/>
      <c r="B404" s="186"/>
      <c r="C404" s="186"/>
      <c r="D404" s="186"/>
      <c r="E404" s="186"/>
      <c r="F404" s="186"/>
      <c r="G404" s="186"/>
      <c r="H404" s="186"/>
      <c r="I404" s="187"/>
      <c r="J404" s="188"/>
      <c r="K404" s="186"/>
      <c r="L404" s="186"/>
      <c r="M404" s="186"/>
      <c r="N404" s="189"/>
      <c r="O404" s="190"/>
    </row>
    <row r="405" ht="15.75" customHeight="1">
      <c r="A405" s="192"/>
      <c r="B405" s="192"/>
      <c r="C405" s="192"/>
      <c r="D405" s="192"/>
      <c r="E405" s="192"/>
      <c r="F405" s="192"/>
      <c r="G405" s="192"/>
      <c r="H405" s="192"/>
      <c r="I405" s="205"/>
      <c r="J405" s="206"/>
      <c r="K405" s="192"/>
      <c r="L405" s="192"/>
      <c r="M405" s="192"/>
      <c r="N405" s="189"/>
      <c r="O405" s="190"/>
    </row>
    <row r="406" ht="15.75" customHeight="1">
      <c r="A406" s="186"/>
      <c r="B406" s="186"/>
      <c r="C406" s="186"/>
      <c r="D406" s="186"/>
      <c r="E406" s="186"/>
      <c r="F406" s="186"/>
      <c r="G406" s="186"/>
      <c r="H406" s="186"/>
      <c r="I406" s="187"/>
      <c r="J406" s="188"/>
      <c r="K406" s="186"/>
      <c r="L406" s="186"/>
      <c r="M406" s="186"/>
      <c r="N406" s="189"/>
      <c r="O406" s="190"/>
    </row>
    <row r="407" ht="15.75" customHeight="1">
      <c r="A407" s="186"/>
      <c r="B407" s="186"/>
      <c r="C407" s="186"/>
      <c r="D407" s="186"/>
      <c r="E407" s="186"/>
      <c r="F407" s="186"/>
      <c r="G407" s="186"/>
      <c r="H407" s="186"/>
      <c r="I407" s="187"/>
      <c r="J407" s="188"/>
      <c r="K407" s="186"/>
      <c r="L407" s="186"/>
      <c r="M407" s="186"/>
      <c r="N407" s="189"/>
      <c r="O407" s="190"/>
    </row>
    <row r="408" ht="15.75" customHeight="1">
      <c r="A408" s="192"/>
      <c r="B408" s="192"/>
      <c r="C408" s="192"/>
      <c r="D408" s="192"/>
      <c r="E408" s="192"/>
      <c r="F408" s="192"/>
      <c r="G408" s="192"/>
      <c r="H408" s="192"/>
      <c r="I408" s="205"/>
      <c r="J408" s="206"/>
      <c r="K408" s="192"/>
      <c r="L408" s="192"/>
      <c r="M408" s="192"/>
      <c r="N408" s="189"/>
      <c r="O408" s="190"/>
    </row>
    <row r="409" ht="15.75" customHeight="1">
      <c r="A409" s="186"/>
      <c r="B409" s="186"/>
      <c r="C409" s="186"/>
      <c r="D409" s="186"/>
      <c r="E409" s="186"/>
      <c r="F409" s="186"/>
      <c r="G409" s="186"/>
      <c r="H409" s="186"/>
      <c r="I409" s="187"/>
      <c r="J409" s="188"/>
      <c r="K409" s="186"/>
      <c r="L409" s="186"/>
      <c r="M409" s="186"/>
      <c r="N409" s="189"/>
      <c r="O409" s="190"/>
    </row>
    <row r="410" ht="15.75" customHeight="1">
      <c r="A410" s="192"/>
      <c r="B410" s="192"/>
      <c r="C410" s="192"/>
      <c r="D410" s="192"/>
      <c r="E410" s="192"/>
      <c r="F410" s="192"/>
      <c r="G410" s="192"/>
      <c r="H410" s="192"/>
      <c r="I410" s="205"/>
      <c r="J410" s="206"/>
      <c r="K410" s="192"/>
      <c r="L410" s="192"/>
      <c r="M410" s="192"/>
      <c r="N410" s="189"/>
      <c r="O410" s="190"/>
    </row>
    <row r="411" ht="15.75" customHeight="1">
      <c r="A411" s="186"/>
      <c r="B411" s="186"/>
      <c r="C411" s="186"/>
      <c r="D411" s="186"/>
      <c r="E411" s="186"/>
      <c r="F411" s="186"/>
      <c r="G411" s="186"/>
      <c r="H411" s="186"/>
      <c r="I411" s="187"/>
      <c r="J411" s="188"/>
      <c r="K411" s="186"/>
      <c r="L411" s="186"/>
      <c r="M411" s="186"/>
      <c r="N411" s="189"/>
      <c r="O411" s="190"/>
    </row>
    <row r="412" ht="15.75" customHeight="1">
      <c r="A412" s="192"/>
      <c r="B412" s="192"/>
      <c r="C412" s="192"/>
      <c r="D412" s="192"/>
      <c r="E412" s="192"/>
      <c r="F412" s="192"/>
      <c r="G412" s="192"/>
      <c r="H412" s="192"/>
      <c r="I412" s="205"/>
      <c r="J412" s="206"/>
      <c r="K412" s="192"/>
      <c r="L412" s="192"/>
      <c r="M412" s="192"/>
      <c r="N412" s="189"/>
      <c r="O412" s="190"/>
    </row>
    <row r="413" ht="15.75" customHeight="1">
      <c r="A413" s="186"/>
      <c r="B413" s="186"/>
      <c r="C413" s="186"/>
      <c r="D413" s="186"/>
      <c r="E413" s="186"/>
      <c r="F413" s="186"/>
      <c r="G413" s="186"/>
      <c r="H413" s="186"/>
      <c r="I413" s="187"/>
      <c r="J413" s="188"/>
      <c r="K413" s="186"/>
      <c r="L413" s="186"/>
      <c r="M413" s="186"/>
      <c r="N413" s="189"/>
      <c r="O413" s="190"/>
    </row>
    <row r="414" ht="15.75" customHeight="1">
      <c r="A414" s="192"/>
      <c r="B414" s="192"/>
      <c r="C414" s="192"/>
      <c r="D414" s="192"/>
      <c r="E414" s="192"/>
      <c r="F414" s="192"/>
      <c r="G414" s="192"/>
      <c r="H414" s="192"/>
      <c r="I414" s="205"/>
      <c r="J414" s="206"/>
      <c r="K414" s="192"/>
      <c r="L414" s="192"/>
      <c r="M414" s="192"/>
      <c r="N414" s="189"/>
      <c r="O414" s="190"/>
    </row>
    <row r="415" ht="15.75" customHeight="1">
      <c r="A415" s="186"/>
      <c r="B415" s="186"/>
      <c r="C415" s="186"/>
      <c r="D415" s="186"/>
      <c r="E415" s="186"/>
      <c r="F415" s="186"/>
      <c r="G415" s="186"/>
      <c r="H415" s="186"/>
      <c r="I415" s="187"/>
      <c r="J415" s="188"/>
      <c r="K415" s="186"/>
      <c r="L415" s="186"/>
      <c r="M415" s="186"/>
      <c r="N415" s="189"/>
      <c r="O415" s="190"/>
    </row>
    <row r="416" ht="15.75" customHeight="1">
      <c r="A416" s="192"/>
      <c r="B416" s="192"/>
      <c r="C416" s="192"/>
      <c r="D416" s="192"/>
      <c r="E416" s="192"/>
      <c r="F416" s="192"/>
      <c r="G416" s="192"/>
      <c r="H416" s="192"/>
      <c r="I416" s="205"/>
      <c r="J416" s="206"/>
      <c r="K416" s="192"/>
      <c r="L416" s="192"/>
      <c r="M416" s="192"/>
      <c r="N416" s="189"/>
      <c r="O416" s="190"/>
    </row>
    <row r="417" ht="15.75" customHeight="1">
      <c r="A417" s="186"/>
      <c r="B417" s="186"/>
      <c r="C417" s="186"/>
      <c r="D417" s="186"/>
      <c r="E417" s="186"/>
      <c r="F417" s="186"/>
      <c r="G417" s="186"/>
      <c r="H417" s="186"/>
      <c r="I417" s="187"/>
      <c r="J417" s="188"/>
      <c r="K417" s="186"/>
      <c r="L417" s="186"/>
      <c r="M417" s="186"/>
      <c r="N417" s="189"/>
      <c r="O417" s="190"/>
    </row>
    <row r="418" ht="15.75" customHeight="1">
      <c r="A418" s="192"/>
      <c r="B418" s="192"/>
      <c r="C418" s="192"/>
      <c r="D418" s="192"/>
      <c r="E418" s="192"/>
      <c r="F418" s="192"/>
      <c r="G418" s="192"/>
      <c r="H418" s="192"/>
      <c r="I418" s="205"/>
      <c r="J418" s="206"/>
      <c r="K418" s="192"/>
      <c r="L418" s="192"/>
      <c r="M418" s="192"/>
      <c r="N418" s="189"/>
      <c r="O418" s="190"/>
    </row>
    <row r="419" ht="15.75" customHeight="1">
      <c r="A419" s="186"/>
      <c r="B419" s="186"/>
      <c r="C419" s="186"/>
      <c r="D419" s="186"/>
      <c r="E419" s="186"/>
      <c r="F419" s="186"/>
      <c r="G419" s="186"/>
      <c r="H419" s="186"/>
      <c r="I419" s="187"/>
      <c r="J419" s="188"/>
      <c r="K419" s="186"/>
      <c r="L419" s="186"/>
      <c r="M419" s="186"/>
      <c r="N419" s="189"/>
      <c r="O419" s="190"/>
    </row>
    <row r="420" ht="15.75" customHeight="1">
      <c r="A420" s="192"/>
      <c r="B420" s="192"/>
      <c r="C420" s="192"/>
      <c r="D420" s="192"/>
      <c r="E420" s="192"/>
      <c r="F420" s="192"/>
      <c r="G420" s="192"/>
      <c r="H420" s="192"/>
      <c r="I420" s="205"/>
      <c r="J420" s="206"/>
      <c r="K420" s="192"/>
      <c r="L420" s="192"/>
      <c r="M420" s="192"/>
      <c r="N420" s="189"/>
      <c r="O420" s="190"/>
    </row>
    <row r="421" ht="15.75" customHeight="1">
      <c r="A421" s="186"/>
      <c r="B421" s="186"/>
      <c r="C421" s="186"/>
      <c r="D421" s="186"/>
      <c r="E421" s="186"/>
      <c r="F421" s="186"/>
      <c r="G421" s="186"/>
      <c r="H421" s="186"/>
      <c r="I421" s="187"/>
      <c r="J421" s="188"/>
      <c r="K421" s="186"/>
      <c r="L421" s="186"/>
      <c r="M421" s="186"/>
      <c r="N421" s="189"/>
      <c r="O421" s="190"/>
    </row>
    <row r="422" ht="15.75" customHeight="1">
      <c r="A422" s="192"/>
      <c r="B422" s="192"/>
      <c r="C422" s="192"/>
      <c r="D422" s="192"/>
      <c r="E422" s="192"/>
      <c r="F422" s="192"/>
      <c r="G422" s="192"/>
      <c r="H422" s="192"/>
      <c r="I422" s="205"/>
      <c r="J422" s="206"/>
      <c r="K422" s="192"/>
      <c r="L422" s="192"/>
      <c r="M422" s="192"/>
      <c r="N422" s="189"/>
      <c r="O422" s="190"/>
    </row>
    <row r="423" ht="15.75" customHeight="1">
      <c r="A423" s="186"/>
      <c r="B423" s="186"/>
      <c r="C423" s="186"/>
      <c r="D423" s="186"/>
      <c r="E423" s="186"/>
      <c r="F423" s="186"/>
      <c r="G423" s="186"/>
      <c r="H423" s="186"/>
      <c r="I423" s="187"/>
      <c r="J423" s="188"/>
      <c r="K423" s="186"/>
      <c r="L423" s="186"/>
      <c r="M423" s="186"/>
      <c r="N423" s="189"/>
      <c r="O423" s="190"/>
    </row>
    <row r="424" ht="15.75" customHeight="1">
      <c r="A424" s="192"/>
      <c r="B424" s="192"/>
      <c r="C424" s="192"/>
      <c r="D424" s="192"/>
      <c r="E424" s="192"/>
      <c r="F424" s="192"/>
      <c r="G424" s="192"/>
      <c r="H424" s="192"/>
      <c r="I424" s="205"/>
      <c r="J424" s="206"/>
      <c r="K424" s="192"/>
      <c r="L424" s="192"/>
      <c r="M424" s="192"/>
      <c r="N424" s="189"/>
      <c r="O424" s="190"/>
    </row>
    <row r="425" ht="15.75" customHeight="1">
      <c r="A425" s="186"/>
      <c r="B425" s="186"/>
      <c r="C425" s="186"/>
      <c r="D425" s="186"/>
      <c r="E425" s="186"/>
      <c r="F425" s="186"/>
      <c r="G425" s="186"/>
      <c r="H425" s="186"/>
      <c r="I425" s="187"/>
      <c r="J425" s="188"/>
      <c r="K425" s="186"/>
      <c r="L425" s="186"/>
      <c r="M425" s="186"/>
      <c r="N425" s="189"/>
      <c r="O425" s="190"/>
    </row>
    <row r="426" ht="15.75" customHeight="1">
      <c r="A426" s="192"/>
      <c r="B426" s="192"/>
      <c r="C426" s="192"/>
      <c r="D426" s="192"/>
      <c r="E426" s="192"/>
      <c r="F426" s="192"/>
      <c r="G426" s="192"/>
      <c r="H426" s="192"/>
      <c r="I426" s="205"/>
      <c r="J426" s="206"/>
      <c r="K426" s="192"/>
      <c r="L426" s="192"/>
      <c r="M426" s="192"/>
      <c r="N426" s="189"/>
      <c r="O426" s="190"/>
    </row>
    <row r="427" ht="15.75" customHeight="1">
      <c r="A427" s="186"/>
      <c r="B427" s="186"/>
      <c r="C427" s="186"/>
      <c r="D427" s="186"/>
      <c r="E427" s="186"/>
      <c r="F427" s="186"/>
      <c r="G427" s="186"/>
      <c r="H427" s="186"/>
      <c r="I427" s="187"/>
      <c r="J427" s="188"/>
      <c r="K427" s="186"/>
      <c r="L427" s="186"/>
      <c r="M427" s="186"/>
      <c r="N427" s="189"/>
      <c r="O427" s="190"/>
    </row>
    <row r="428" ht="15.75" customHeight="1">
      <c r="A428" s="192"/>
      <c r="B428" s="192"/>
      <c r="C428" s="192"/>
      <c r="D428" s="192"/>
      <c r="E428" s="192"/>
      <c r="F428" s="192"/>
      <c r="G428" s="192"/>
      <c r="H428" s="192"/>
      <c r="I428" s="205"/>
      <c r="J428" s="206"/>
      <c r="K428" s="192"/>
      <c r="L428" s="192"/>
      <c r="M428" s="192"/>
      <c r="N428" s="189"/>
      <c r="O428" s="190"/>
    </row>
    <row r="429" ht="15.75" customHeight="1">
      <c r="A429" s="186"/>
      <c r="B429" s="186"/>
      <c r="C429" s="186"/>
      <c r="D429" s="186"/>
      <c r="E429" s="186"/>
      <c r="F429" s="186"/>
      <c r="G429" s="186"/>
      <c r="H429" s="186"/>
      <c r="I429" s="187"/>
      <c r="J429" s="188"/>
      <c r="K429" s="186"/>
      <c r="L429" s="186"/>
      <c r="M429" s="186"/>
      <c r="N429" s="189"/>
      <c r="O429" s="190"/>
    </row>
    <row r="430" ht="15.75" customHeight="1">
      <c r="A430" s="192"/>
      <c r="B430" s="192"/>
      <c r="C430" s="192"/>
      <c r="D430" s="192"/>
      <c r="E430" s="192"/>
      <c r="F430" s="192"/>
      <c r="G430" s="192"/>
      <c r="H430" s="192"/>
      <c r="I430" s="205"/>
      <c r="J430" s="206"/>
      <c r="K430" s="192"/>
      <c r="L430" s="192"/>
      <c r="M430" s="192"/>
      <c r="N430" s="189"/>
      <c r="O430" s="190"/>
    </row>
    <row r="431" ht="15.75" customHeight="1">
      <c r="A431" s="186"/>
      <c r="B431" s="186"/>
      <c r="C431" s="186"/>
      <c r="D431" s="186"/>
      <c r="E431" s="186"/>
      <c r="F431" s="186"/>
      <c r="G431" s="186"/>
      <c r="H431" s="186"/>
      <c r="I431" s="187"/>
      <c r="J431" s="188"/>
      <c r="K431" s="186"/>
      <c r="L431" s="186"/>
      <c r="M431" s="186"/>
      <c r="N431" s="189"/>
      <c r="O431" s="190"/>
    </row>
    <row r="432" ht="15.75" customHeight="1">
      <c r="A432" s="192"/>
      <c r="B432" s="192"/>
      <c r="C432" s="192"/>
      <c r="D432" s="192"/>
      <c r="E432" s="192"/>
      <c r="F432" s="192"/>
      <c r="G432" s="192"/>
      <c r="H432" s="192"/>
      <c r="I432" s="205"/>
      <c r="J432" s="206"/>
      <c r="K432" s="192"/>
      <c r="L432" s="192"/>
      <c r="M432" s="192"/>
      <c r="N432" s="189"/>
      <c r="O432" s="190"/>
    </row>
    <row r="433" ht="15.75" customHeight="1">
      <c r="A433" s="186"/>
      <c r="B433" s="186"/>
      <c r="C433" s="186"/>
      <c r="D433" s="186"/>
      <c r="E433" s="186"/>
      <c r="F433" s="186"/>
      <c r="G433" s="186"/>
      <c r="H433" s="186"/>
      <c r="I433" s="187"/>
      <c r="J433" s="188"/>
      <c r="K433" s="186"/>
      <c r="L433" s="186"/>
      <c r="M433" s="186"/>
      <c r="N433" s="189"/>
      <c r="O433" s="190"/>
    </row>
    <row r="434" ht="15.75" customHeight="1">
      <c r="N434" s="189"/>
    </row>
    <row r="435" ht="15.75" customHeight="1">
      <c r="N435" s="189"/>
    </row>
    <row r="436" ht="15.75" customHeight="1">
      <c r="N436" s="189"/>
    </row>
    <row r="437" ht="15.75" customHeight="1">
      <c r="N437" s="189"/>
    </row>
    <row r="438" ht="15.75" customHeight="1">
      <c r="N438" s="189"/>
    </row>
    <row r="439" ht="15.75" customHeight="1">
      <c r="N439" s="189"/>
    </row>
    <row r="440" ht="15.75" customHeight="1">
      <c r="N440" s="189"/>
    </row>
    <row r="441" ht="15.75" customHeight="1">
      <c r="N441" s="189"/>
    </row>
    <row r="442" ht="15.75" customHeight="1">
      <c r="N442" s="189"/>
    </row>
    <row r="443" ht="15.75" customHeight="1">
      <c r="N443" s="189"/>
    </row>
    <row r="444" ht="15.75" customHeight="1">
      <c r="N444" s="189"/>
    </row>
    <row r="445" ht="15.75" customHeight="1">
      <c r="N445" s="189"/>
    </row>
    <row r="446" ht="15.75" customHeight="1">
      <c r="N446" s="189"/>
    </row>
    <row r="447" ht="15.75" customHeight="1">
      <c r="N447" s="189"/>
    </row>
    <row r="448" ht="15.75" customHeight="1">
      <c r="N448" s="189"/>
    </row>
    <row r="449" ht="15.75" customHeight="1">
      <c r="N449" s="189"/>
    </row>
    <row r="450" ht="15.75" customHeight="1">
      <c r="N450" s="189"/>
    </row>
    <row r="451" ht="15.75" customHeight="1">
      <c r="N451" s="189"/>
    </row>
    <row r="452" ht="15.75" customHeight="1">
      <c r="N452" s="189"/>
    </row>
    <row r="453" ht="15.75" customHeight="1">
      <c r="N453" s="189"/>
    </row>
    <row r="454" ht="15.75" customHeight="1">
      <c r="N454" s="189"/>
    </row>
    <row r="455" ht="15.75" customHeight="1">
      <c r="N455" s="189"/>
    </row>
    <row r="456" ht="15.75" customHeight="1">
      <c r="N456" s="189"/>
    </row>
    <row r="457" ht="15.75" customHeight="1">
      <c r="N457" s="189"/>
    </row>
    <row r="458" ht="15.75" customHeight="1">
      <c r="N458" s="189"/>
    </row>
    <row r="459" ht="15.75" customHeight="1">
      <c r="N459" s="189"/>
    </row>
    <row r="460" ht="15.75" customHeight="1">
      <c r="N460" s="189"/>
    </row>
    <row r="461" ht="15.75" customHeight="1">
      <c r="N461" s="189"/>
    </row>
    <row r="462" ht="15.75" customHeight="1">
      <c r="N462" s="189"/>
    </row>
    <row r="463" ht="15.75" customHeight="1">
      <c r="N463" s="189"/>
    </row>
    <row r="464" ht="15.75" customHeight="1">
      <c r="N464" s="189"/>
    </row>
    <row r="465" ht="15.75" customHeight="1">
      <c r="N465" s="189"/>
    </row>
    <row r="466" ht="15.75" customHeight="1">
      <c r="N466" s="189"/>
    </row>
    <row r="467" ht="15.75" customHeight="1">
      <c r="N467" s="189"/>
    </row>
    <row r="468" ht="15.75" customHeight="1">
      <c r="N468" s="189"/>
    </row>
    <row r="469" ht="15.75" customHeight="1">
      <c r="N469" s="189"/>
    </row>
    <row r="470" ht="15.75" customHeight="1">
      <c r="N470" s="189"/>
    </row>
    <row r="471" ht="15.75" customHeight="1">
      <c r="N471" s="189"/>
    </row>
    <row r="472" ht="15.75" customHeight="1">
      <c r="N472" s="189"/>
    </row>
    <row r="473" ht="15.75" customHeight="1">
      <c r="N473" s="189"/>
    </row>
    <row r="474" ht="15.75" customHeight="1">
      <c r="N474" s="189"/>
    </row>
    <row r="475" ht="15.75" customHeight="1">
      <c r="N475" s="189"/>
    </row>
    <row r="476" ht="15.75" customHeight="1">
      <c r="N476" s="189"/>
    </row>
    <row r="477" ht="15.75" customHeight="1">
      <c r="N477" s="189"/>
    </row>
    <row r="478" ht="15.75" customHeight="1">
      <c r="N478" s="189"/>
    </row>
    <row r="479" ht="15.75" customHeight="1">
      <c r="N479" s="189"/>
    </row>
    <row r="480" ht="15.75" customHeight="1">
      <c r="N480" s="189"/>
    </row>
    <row r="481" ht="15.75" customHeight="1">
      <c r="N481" s="189"/>
    </row>
    <row r="482" ht="15.75" customHeight="1">
      <c r="N482" s="189"/>
    </row>
    <row r="483" ht="15.75" customHeight="1">
      <c r="N483" s="189"/>
    </row>
    <row r="484" ht="15.75" customHeight="1">
      <c r="N484" s="189"/>
    </row>
    <row r="485" ht="15.75" customHeight="1">
      <c r="N485" s="189"/>
    </row>
    <row r="486" ht="15.75" customHeight="1">
      <c r="N486" s="189"/>
    </row>
    <row r="487" ht="15.75" customHeight="1">
      <c r="N487" s="189"/>
    </row>
    <row r="488" ht="15.75" customHeight="1">
      <c r="N488" s="189"/>
    </row>
    <row r="489" ht="15.75" customHeight="1">
      <c r="N489" s="189"/>
    </row>
    <row r="490" ht="15.75" customHeight="1">
      <c r="N490" s="189"/>
    </row>
    <row r="491" ht="15.75" customHeight="1">
      <c r="N491" s="189"/>
    </row>
    <row r="492" ht="15.75" customHeight="1">
      <c r="N492" s="189"/>
    </row>
    <row r="493" ht="15.75" customHeight="1">
      <c r="N493" s="189"/>
    </row>
    <row r="494" ht="15.75" customHeight="1">
      <c r="N494" s="189"/>
    </row>
    <row r="495" ht="15.75" customHeight="1">
      <c r="N495" s="189"/>
    </row>
    <row r="496" ht="15.75" customHeight="1">
      <c r="N496" s="189"/>
    </row>
    <row r="497" ht="15.75" customHeight="1">
      <c r="N497" s="189"/>
    </row>
    <row r="498" ht="15.75" customHeight="1">
      <c r="N498" s="189"/>
    </row>
    <row r="499" ht="15.75" customHeight="1">
      <c r="N499" s="189"/>
    </row>
    <row r="500" ht="15.75" customHeight="1">
      <c r="N500" s="189"/>
    </row>
    <row r="501" ht="15.75" customHeight="1">
      <c r="N501" s="189"/>
    </row>
    <row r="502" ht="15.75" customHeight="1">
      <c r="N502" s="189"/>
    </row>
    <row r="503" ht="15.75" customHeight="1">
      <c r="N503" s="189"/>
    </row>
    <row r="504" ht="15.75" customHeight="1">
      <c r="N504" s="189"/>
    </row>
    <row r="505" ht="15.75" customHeight="1">
      <c r="N505" s="189"/>
    </row>
    <row r="506" ht="15.75" customHeight="1">
      <c r="N506" s="189"/>
    </row>
    <row r="507" ht="15.75" customHeight="1">
      <c r="N507" s="189"/>
    </row>
    <row r="508" ht="15.75" customHeight="1">
      <c r="N508" s="189"/>
    </row>
    <row r="509" ht="15.75" customHeight="1">
      <c r="N509" s="189"/>
    </row>
    <row r="510" ht="15.75" customHeight="1">
      <c r="N510" s="189"/>
    </row>
    <row r="511" ht="15.75" customHeight="1">
      <c r="N511" s="189"/>
    </row>
    <row r="512" ht="15.75" customHeight="1">
      <c r="N512" s="189"/>
    </row>
    <row r="513" ht="15.75" customHeight="1">
      <c r="N513" s="189"/>
    </row>
    <row r="514" ht="15.75" customHeight="1">
      <c r="N514" s="189"/>
    </row>
    <row r="515" ht="15.75" customHeight="1">
      <c r="N515" s="189"/>
    </row>
    <row r="516" ht="15.75" customHeight="1">
      <c r="N516" s="189"/>
    </row>
    <row r="517" ht="15.75" customHeight="1">
      <c r="N517" s="189"/>
    </row>
    <row r="518" ht="15.75" customHeight="1">
      <c r="N518" s="189"/>
    </row>
    <row r="519" ht="15.75" customHeight="1">
      <c r="N519" s="189"/>
    </row>
    <row r="520" ht="15.75" customHeight="1">
      <c r="N520" s="189"/>
    </row>
    <row r="521" ht="15.75" customHeight="1">
      <c r="N521" s="189"/>
    </row>
    <row r="522" ht="15.75" customHeight="1">
      <c r="N522" s="189"/>
    </row>
    <row r="523" ht="15.75" customHeight="1">
      <c r="N523" s="189"/>
    </row>
    <row r="524" ht="15.75" customHeight="1">
      <c r="N524" s="189"/>
    </row>
    <row r="525" ht="15.75" customHeight="1">
      <c r="N525" s="189"/>
    </row>
    <row r="526" ht="15.75" customHeight="1">
      <c r="N526" s="189"/>
    </row>
    <row r="527" ht="15.75" customHeight="1">
      <c r="N527" s="189"/>
    </row>
    <row r="528" ht="15.75" customHeight="1">
      <c r="N528" s="189"/>
    </row>
    <row r="529" ht="15.75" customHeight="1">
      <c r="N529" s="189"/>
    </row>
    <row r="530" ht="15.75" customHeight="1">
      <c r="N530" s="189"/>
    </row>
    <row r="531" ht="15.75" customHeight="1">
      <c r="N531" s="189"/>
    </row>
    <row r="532" ht="15.75" customHeight="1">
      <c r="N532" s="189"/>
    </row>
    <row r="533" ht="15.75" customHeight="1">
      <c r="N533" s="189"/>
    </row>
    <row r="534" ht="15.75" customHeight="1">
      <c r="N534" s="189"/>
    </row>
    <row r="535" ht="15.75" customHeight="1">
      <c r="N535" s="189"/>
    </row>
    <row r="536" ht="15.75" customHeight="1">
      <c r="N536" s="189"/>
    </row>
    <row r="537" ht="15.75" customHeight="1">
      <c r="N537" s="189"/>
    </row>
    <row r="538" ht="15.75" customHeight="1">
      <c r="N538" s="189"/>
    </row>
    <row r="539" ht="15.75" customHeight="1">
      <c r="N539" s="189"/>
    </row>
    <row r="540" ht="15.75" customHeight="1">
      <c r="N540" s="189"/>
    </row>
    <row r="541" ht="15.75" customHeight="1">
      <c r="N541" s="189"/>
    </row>
    <row r="542" ht="15.75" customHeight="1">
      <c r="N542" s="189"/>
    </row>
    <row r="543" ht="15.75" customHeight="1">
      <c r="N543" s="189"/>
    </row>
    <row r="544" ht="15.75" customHeight="1">
      <c r="N544" s="189"/>
    </row>
    <row r="545" ht="15.75" customHeight="1">
      <c r="N545" s="189"/>
    </row>
    <row r="546" ht="15.75" customHeight="1">
      <c r="N546" s="189"/>
    </row>
    <row r="547" ht="15.75" customHeight="1">
      <c r="N547" s="189"/>
    </row>
    <row r="548" ht="15.75" customHeight="1">
      <c r="N548" s="189"/>
    </row>
    <row r="549" ht="15.75" customHeight="1">
      <c r="N549" s="189"/>
    </row>
    <row r="550" ht="15.75" customHeight="1">
      <c r="N550" s="189"/>
    </row>
    <row r="551" ht="15.75" customHeight="1">
      <c r="N551" s="189"/>
    </row>
    <row r="552" ht="15.75" customHeight="1">
      <c r="N552" s="189"/>
    </row>
    <row r="553" ht="15.75" customHeight="1">
      <c r="N553" s="189"/>
    </row>
    <row r="554" ht="15.75" customHeight="1">
      <c r="N554" s="189"/>
    </row>
    <row r="555" ht="15.75" customHeight="1">
      <c r="N555" s="189"/>
    </row>
    <row r="556" ht="15.75" customHeight="1">
      <c r="N556" s="189"/>
    </row>
    <row r="557" ht="15.75" customHeight="1">
      <c r="N557" s="189"/>
    </row>
    <row r="558" ht="15.75" customHeight="1">
      <c r="N558" s="189"/>
    </row>
    <row r="559" ht="15.75" customHeight="1">
      <c r="N559" s="189"/>
    </row>
    <row r="560" ht="15.75" customHeight="1">
      <c r="N560" s="189"/>
    </row>
    <row r="561" ht="15.75" customHeight="1">
      <c r="N561" s="189"/>
    </row>
    <row r="562" ht="15.75" customHeight="1">
      <c r="N562" s="189"/>
    </row>
    <row r="563" ht="15.75" customHeight="1">
      <c r="N563" s="189"/>
    </row>
    <row r="564" ht="15.75" customHeight="1">
      <c r="N564" s="189"/>
    </row>
    <row r="565" ht="15.75" customHeight="1">
      <c r="N565" s="189"/>
    </row>
    <row r="566" ht="15.75" customHeight="1">
      <c r="N566" s="189"/>
    </row>
    <row r="567" ht="15.75" customHeight="1">
      <c r="N567" s="189"/>
    </row>
    <row r="568" ht="15.75" customHeight="1">
      <c r="N568" s="189"/>
    </row>
    <row r="569" ht="15.75" customHeight="1">
      <c r="N569" s="189"/>
    </row>
    <row r="570" ht="15.75" customHeight="1">
      <c r="N570" s="189"/>
    </row>
    <row r="571" ht="15.75" customHeight="1">
      <c r="N571" s="189"/>
    </row>
    <row r="572" ht="15.75" customHeight="1">
      <c r="N572" s="189"/>
    </row>
    <row r="573" ht="15.75" customHeight="1">
      <c r="N573" s="189"/>
    </row>
    <row r="574" ht="15.75" customHeight="1">
      <c r="N574" s="189"/>
    </row>
    <row r="575" ht="15.75" customHeight="1">
      <c r="N575" s="189"/>
    </row>
    <row r="576" ht="15.75" customHeight="1">
      <c r="N576" s="189"/>
    </row>
    <row r="577" ht="15.75" customHeight="1">
      <c r="N577" s="189"/>
    </row>
    <row r="578" ht="15.75" customHeight="1">
      <c r="N578" s="189"/>
    </row>
    <row r="579" ht="15.75" customHeight="1">
      <c r="N579" s="189"/>
    </row>
    <row r="580" ht="15.75" customHeight="1">
      <c r="N580" s="189"/>
    </row>
    <row r="581" ht="15.75" customHeight="1">
      <c r="N581" s="189"/>
    </row>
    <row r="582" ht="15.75" customHeight="1">
      <c r="N582" s="189"/>
    </row>
    <row r="583" ht="15.75" customHeight="1">
      <c r="N583" s="189"/>
    </row>
    <row r="584" ht="15.75" customHeight="1">
      <c r="N584" s="189"/>
    </row>
    <row r="585" ht="15.75" customHeight="1">
      <c r="N585" s="189"/>
    </row>
    <row r="586" ht="15.75" customHeight="1">
      <c r="N586" s="189"/>
    </row>
    <row r="587" ht="15.75" customHeight="1">
      <c r="N587" s="189"/>
    </row>
    <row r="588" ht="15.75" customHeight="1">
      <c r="N588" s="189"/>
    </row>
    <row r="589" ht="15.75" customHeight="1">
      <c r="N589" s="189"/>
    </row>
    <row r="590" ht="15.75" customHeight="1">
      <c r="N590" s="189"/>
    </row>
    <row r="591" ht="15.75" customHeight="1">
      <c r="N591" s="189"/>
    </row>
    <row r="592" ht="15.75" customHeight="1">
      <c r="N592" s="189"/>
    </row>
    <row r="593" ht="15.75" customHeight="1">
      <c r="N593" s="189"/>
    </row>
    <row r="594" ht="15.75" customHeight="1">
      <c r="N594" s="189"/>
    </row>
    <row r="595" ht="15.75" customHeight="1">
      <c r="N595" s="189"/>
    </row>
    <row r="596" ht="15.75" customHeight="1">
      <c r="N596" s="189"/>
    </row>
    <row r="597" ht="15.75" customHeight="1">
      <c r="N597" s="189"/>
    </row>
    <row r="598" ht="15.75" customHeight="1">
      <c r="N598" s="189"/>
    </row>
    <row r="599" ht="15.75" customHeight="1">
      <c r="N599" s="189"/>
    </row>
    <row r="600" ht="15.75" customHeight="1">
      <c r="N600" s="189"/>
    </row>
    <row r="601" ht="15.75" customHeight="1">
      <c r="N601" s="189"/>
    </row>
    <row r="602" ht="15.75" customHeight="1">
      <c r="N602" s="189"/>
    </row>
    <row r="603" ht="15.75" customHeight="1">
      <c r="N603" s="189"/>
    </row>
    <row r="604" ht="15.75" customHeight="1">
      <c r="N604" s="189"/>
    </row>
    <row r="605" ht="15.75" customHeight="1">
      <c r="N605" s="189"/>
    </row>
    <row r="606" ht="15.75" customHeight="1">
      <c r="N606" s="189"/>
    </row>
    <row r="607" ht="15.75" customHeight="1">
      <c r="N607" s="189"/>
    </row>
    <row r="608" ht="15.75" customHeight="1">
      <c r="N608" s="189"/>
    </row>
    <row r="609" ht="15.75" customHeight="1">
      <c r="N609" s="189"/>
    </row>
    <row r="610" ht="15.75" customHeight="1">
      <c r="N610" s="189"/>
    </row>
    <row r="611" ht="15.75" customHeight="1">
      <c r="N611" s="189"/>
    </row>
    <row r="612" ht="15.75" customHeight="1">
      <c r="N612" s="189"/>
    </row>
    <row r="613" ht="15.75" customHeight="1">
      <c r="N613" s="189"/>
    </row>
    <row r="614" ht="15.75" customHeight="1">
      <c r="N614" s="189"/>
    </row>
    <row r="615" ht="15.75" customHeight="1">
      <c r="N615" s="189"/>
    </row>
    <row r="616" ht="15.75" customHeight="1">
      <c r="N616" s="189"/>
    </row>
    <row r="617" ht="15.75" customHeight="1">
      <c r="N617" s="189"/>
    </row>
    <row r="618" ht="15.75" customHeight="1">
      <c r="N618" s="189"/>
    </row>
    <row r="619" ht="15.75" customHeight="1">
      <c r="N619" s="189"/>
    </row>
    <row r="620" ht="15.75" customHeight="1">
      <c r="N620" s="189"/>
    </row>
    <row r="621" ht="15.75" customHeight="1">
      <c r="N621" s="189"/>
    </row>
    <row r="622" ht="15.75" customHeight="1">
      <c r="N622" s="189"/>
    </row>
    <row r="623" ht="15.75" customHeight="1">
      <c r="N623" s="189"/>
    </row>
    <row r="624" ht="15.75" customHeight="1">
      <c r="N624" s="189"/>
    </row>
    <row r="625" ht="15.75" customHeight="1">
      <c r="N625" s="189"/>
    </row>
    <row r="626" ht="15.75" customHeight="1">
      <c r="N626" s="189"/>
    </row>
    <row r="627" ht="15.75" customHeight="1">
      <c r="N627" s="189"/>
    </row>
    <row r="628" ht="15.75" customHeight="1">
      <c r="N628" s="189"/>
    </row>
    <row r="629" ht="15.75" customHeight="1">
      <c r="N629" s="189"/>
    </row>
    <row r="630" ht="15.75" customHeight="1">
      <c r="N630" s="189"/>
    </row>
    <row r="631" ht="15.75" customHeight="1">
      <c r="N631" s="189"/>
    </row>
    <row r="632" ht="15.75" customHeight="1">
      <c r="N632" s="189"/>
    </row>
    <row r="633" ht="15.75" customHeight="1">
      <c r="N633" s="189"/>
    </row>
    <row r="634" ht="15.75" customHeight="1">
      <c r="N634" s="189"/>
    </row>
    <row r="635" ht="15.75" customHeight="1">
      <c r="N635" s="189"/>
    </row>
    <row r="636" ht="15.75" customHeight="1">
      <c r="N636" s="189"/>
    </row>
    <row r="637" ht="15.75" customHeight="1">
      <c r="N637" s="189"/>
    </row>
    <row r="638" ht="15.75" customHeight="1">
      <c r="N638" s="189"/>
    </row>
    <row r="639" ht="15.75" customHeight="1">
      <c r="N639" s="189"/>
    </row>
    <row r="640" ht="15.75" customHeight="1">
      <c r="N640" s="189"/>
    </row>
    <row r="641" ht="15.75" customHeight="1">
      <c r="N641" s="189"/>
    </row>
    <row r="642" ht="15.75" customHeight="1">
      <c r="N642" s="189"/>
    </row>
    <row r="643" ht="15.75" customHeight="1">
      <c r="N643" s="189"/>
    </row>
    <row r="644" ht="15.75" customHeight="1">
      <c r="N644" s="189"/>
    </row>
    <row r="645" ht="15.75" customHeight="1">
      <c r="N645" s="189"/>
    </row>
    <row r="646" ht="15.75" customHeight="1">
      <c r="N646" s="189"/>
    </row>
    <row r="647" ht="15.75" customHeight="1">
      <c r="N647" s="189"/>
    </row>
    <row r="648" ht="15.75" customHeight="1">
      <c r="N648" s="189"/>
    </row>
    <row r="649" ht="15.75" customHeight="1">
      <c r="N649" s="189"/>
    </row>
    <row r="650" ht="15.75" customHeight="1">
      <c r="N650" s="189"/>
    </row>
    <row r="651" ht="15.75" customHeight="1">
      <c r="N651" s="189"/>
    </row>
    <row r="652" ht="15.75" customHeight="1">
      <c r="N652" s="189"/>
    </row>
    <row r="653" ht="15.75" customHeight="1">
      <c r="N653" s="189"/>
    </row>
    <row r="654" ht="15.75" customHeight="1">
      <c r="N654" s="189"/>
    </row>
    <row r="655" ht="15.75" customHeight="1">
      <c r="N655" s="189"/>
    </row>
    <row r="656" ht="15.75" customHeight="1">
      <c r="N656" s="189"/>
    </row>
    <row r="657" ht="15.75" customHeight="1">
      <c r="N657" s="189"/>
    </row>
    <row r="658" ht="15.75" customHeight="1">
      <c r="N658" s="189"/>
    </row>
    <row r="659" ht="15.75" customHeight="1">
      <c r="N659" s="189"/>
    </row>
    <row r="660" ht="15.75" customHeight="1">
      <c r="N660" s="189"/>
    </row>
    <row r="661" ht="15.75" customHeight="1">
      <c r="N661" s="189"/>
    </row>
    <row r="662" ht="15.75" customHeight="1">
      <c r="N662" s="189"/>
    </row>
    <row r="663" ht="15.75" customHeight="1">
      <c r="N663" s="189"/>
    </row>
    <row r="664" ht="15.75" customHeight="1">
      <c r="N664" s="189"/>
    </row>
    <row r="665" ht="15.75" customHeight="1">
      <c r="N665" s="189"/>
    </row>
    <row r="666" ht="15.75" customHeight="1">
      <c r="N666" s="189"/>
    </row>
    <row r="667" ht="15.75" customHeight="1">
      <c r="N667" s="189"/>
    </row>
    <row r="668" ht="15.75" customHeight="1">
      <c r="N668" s="189"/>
    </row>
    <row r="669" ht="15.75" customHeight="1">
      <c r="N669" s="189"/>
    </row>
    <row r="670" ht="15.75" customHeight="1">
      <c r="N670" s="189"/>
    </row>
    <row r="671" ht="15.75" customHeight="1">
      <c r="N671" s="189"/>
    </row>
    <row r="672" ht="15.75" customHeight="1">
      <c r="N672" s="189"/>
    </row>
    <row r="673" ht="15.75" customHeight="1">
      <c r="N673" s="189"/>
    </row>
    <row r="674" ht="15.75" customHeight="1">
      <c r="N674" s="189"/>
    </row>
    <row r="675" ht="15.75" customHeight="1">
      <c r="N675" s="189"/>
    </row>
    <row r="676" ht="15.75" customHeight="1">
      <c r="N676" s="189"/>
    </row>
    <row r="677" ht="15.75" customHeight="1">
      <c r="N677" s="189"/>
    </row>
    <row r="678" ht="15.75" customHeight="1">
      <c r="N678" s="189"/>
    </row>
    <row r="679" ht="15.75" customHeight="1">
      <c r="N679" s="189"/>
    </row>
    <row r="680" ht="15.75" customHeight="1">
      <c r="N680" s="189"/>
    </row>
    <row r="681" ht="15.75" customHeight="1">
      <c r="N681" s="189"/>
    </row>
    <row r="682" ht="15.75" customHeight="1">
      <c r="N682" s="189"/>
    </row>
    <row r="683" ht="15.75" customHeight="1">
      <c r="N683" s="189"/>
    </row>
    <row r="684" ht="15.75" customHeight="1">
      <c r="N684" s="189"/>
    </row>
    <row r="685" ht="15.75" customHeight="1">
      <c r="N685" s="189"/>
    </row>
    <row r="686" ht="15.75" customHeight="1">
      <c r="N686" s="189"/>
    </row>
    <row r="687" ht="15.75" customHeight="1">
      <c r="N687" s="189"/>
    </row>
    <row r="688" ht="15.75" customHeight="1">
      <c r="N688" s="189"/>
    </row>
    <row r="689" ht="15.75" customHeight="1">
      <c r="N689" s="189"/>
    </row>
    <row r="690" ht="15.75" customHeight="1">
      <c r="N690" s="189"/>
    </row>
    <row r="691" ht="15.75" customHeight="1">
      <c r="N691" s="189"/>
    </row>
    <row r="692" ht="15.75" customHeight="1">
      <c r="N692" s="189"/>
    </row>
    <row r="693" ht="15.75" customHeight="1">
      <c r="N693" s="189"/>
    </row>
    <row r="694" ht="15.75" customHeight="1">
      <c r="N694" s="189"/>
    </row>
    <row r="695" ht="15.75" customHeight="1">
      <c r="N695" s="189"/>
    </row>
    <row r="696" ht="15.75" customHeight="1">
      <c r="N696" s="189"/>
    </row>
    <row r="697" ht="15.75" customHeight="1">
      <c r="N697" s="189"/>
    </row>
    <row r="698" ht="15.75" customHeight="1">
      <c r="N698" s="189"/>
    </row>
    <row r="699" ht="15.75" customHeight="1">
      <c r="N699" s="189"/>
    </row>
    <row r="700" ht="15.75" customHeight="1">
      <c r="N700" s="189"/>
    </row>
    <row r="701" ht="15.75" customHeight="1">
      <c r="N701" s="189"/>
    </row>
    <row r="702" ht="15.75" customHeight="1">
      <c r="N702" s="189"/>
    </row>
    <row r="703" ht="15.75" customHeight="1">
      <c r="N703" s="189"/>
    </row>
    <row r="704" ht="15.75" customHeight="1">
      <c r="N704" s="189"/>
    </row>
    <row r="705" ht="15.75" customHeight="1">
      <c r="N705" s="189"/>
    </row>
    <row r="706" ht="15.75" customHeight="1">
      <c r="N706" s="189"/>
    </row>
    <row r="707" ht="15.75" customHeight="1">
      <c r="N707" s="189"/>
    </row>
    <row r="708" ht="15.75" customHeight="1">
      <c r="N708" s="189"/>
    </row>
    <row r="709" ht="15.75" customHeight="1">
      <c r="N709" s="189"/>
    </row>
    <row r="710" ht="15.75" customHeight="1">
      <c r="N710" s="189"/>
    </row>
    <row r="711" ht="15.75" customHeight="1">
      <c r="N711" s="189"/>
    </row>
    <row r="712" ht="15.75" customHeight="1">
      <c r="N712" s="189"/>
    </row>
    <row r="713" ht="15.75" customHeight="1">
      <c r="N713" s="189"/>
    </row>
    <row r="714" ht="15.75" customHeight="1">
      <c r="N714" s="189"/>
    </row>
    <row r="715" ht="15.75" customHeight="1">
      <c r="N715" s="189"/>
    </row>
    <row r="716" ht="15.75" customHeight="1">
      <c r="N716" s="189"/>
    </row>
    <row r="717" ht="15.75" customHeight="1">
      <c r="N717" s="189"/>
    </row>
    <row r="718" ht="15.75" customHeight="1">
      <c r="N718" s="189"/>
    </row>
    <row r="719" ht="15.75" customHeight="1">
      <c r="N719" s="189"/>
    </row>
    <row r="720" ht="15.75" customHeight="1">
      <c r="N720" s="189"/>
    </row>
    <row r="721" ht="15.75" customHeight="1">
      <c r="N721" s="189"/>
    </row>
    <row r="722" ht="15.75" customHeight="1">
      <c r="N722" s="189"/>
    </row>
    <row r="723" ht="15.75" customHeight="1">
      <c r="N723" s="189"/>
    </row>
    <row r="724" ht="15.75" customHeight="1">
      <c r="N724" s="189"/>
    </row>
    <row r="725" ht="15.75" customHeight="1">
      <c r="N725" s="189"/>
    </row>
    <row r="726" ht="15.75" customHeight="1">
      <c r="N726" s="189"/>
    </row>
    <row r="727" ht="15.75" customHeight="1">
      <c r="N727" s="189"/>
    </row>
    <row r="728" ht="15.75" customHeight="1">
      <c r="N728" s="189"/>
    </row>
    <row r="729" ht="15.75" customHeight="1">
      <c r="N729" s="189"/>
    </row>
    <row r="730" ht="15.75" customHeight="1">
      <c r="N730" s="189"/>
    </row>
    <row r="731" ht="15.75" customHeight="1">
      <c r="N731" s="189"/>
    </row>
    <row r="732" ht="15.75" customHeight="1">
      <c r="N732" s="189"/>
    </row>
    <row r="733" ht="15.75" customHeight="1">
      <c r="N733" s="189"/>
    </row>
    <row r="734" ht="15.75" customHeight="1">
      <c r="N734" s="189"/>
    </row>
    <row r="735" ht="15.75" customHeight="1">
      <c r="N735" s="189"/>
    </row>
    <row r="736" ht="15.75" customHeight="1">
      <c r="N736" s="189"/>
    </row>
    <row r="737" ht="15.75" customHeight="1">
      <c r="N737" s="189"/>
    </row>
    <row r="738" ht="15.75" customHeight="1">
      <c r="N738" s="189"/>
    </row>
    <row r="739" ht="15.75" customHeight="1">
      <c r="N739" s="189"/>
    </row>
    <row r="740" ht="15.75" customHeight="1">
      <c r="N740" s="189"/>
    </row>
    <row r="741" ht="15.75" customHeight="1">
      <c r="N741" s="189"/>
    </row>
    <row r="742" ht="15.75" customHeight="1">
      <c r="N742" s="189"/>
    </row>
    <row r="743" ht="15.75" customHeight="1">
      <c r="N743" s="189"/>
    </row>
    <row r="744" ht="15.75" customHeight="1">
      <c r="N744" s="189"/>
    </row>
    <row r="745" ht="15.75" customHeight="1">
      <c r="N745" s="189"/>
    </row>
    <row r="746" ht="15.75" customHeight="1">
      <c r="N746" s="189"/>
    </row>
    <row r="747" ht="15.75" customHeight="1">
      <c r="N747" s="189"/>
    </row>
    <row r="748" ht="15.75" customHeight="1">
      <c r="N748" s="189"/>
    </row>
    <row r="749" ht="15.75" customHeight="1">
      <c r="N749" s="189"/>
    </row>
    <row r="750" ht="15.75" customHeight="1">
      <c r="N750" s="189"/>
    </row>
    <row r="751" ht="15.75" customHeight="1">
      <c r="N751" s="189"/>
    </row>
    <row r="752" ht="15.75" customHeight="1">
      <c r="N752" s="189"/>
    </row>
    <row r="753" ht="15.75" customHeight="1">
      <c r="N753" s="189"/>
    </row>
    <row r="754" ht="15.75" customHeight="1">
      <c r="N754" s="189"/>
    </row>
    <row r="755" ht="15.75" customHeight="1">
      <c r="N755" s="189"/>
    </row>
    <row r="756" ht="15.75" customHeight="1">
      <c r="N756" s="189"/>
    </row>
    <row r="757" ht="15.75" customHeight="1">
      <c r="N757" s="189"/>
    </row>
    <row r="758" ht="15.75" customHeight="1">
      <c r="N758" s="189"/>
    </row>
    <row r="759" ht="15.75" customHeight="1">
      <c r="N759" s="189"/>
    </row>
    <row r="760" ht="15.75" customHeight="1">
      <c r="N760" s="189"/>
    </row>
    <row r="761" ht="15.75" customHeight="1">
      <c r="N761" s="189"/>
    </row>
    <row r="762" ht="15.75" customHeight="1">
      <c r="N762" s="189"/>
    </row>
    <row r="763" ht="15.75" customHeight="1">
      <c r="N763" s="189"/>
    </row>
    <row r="764" ht="15.75" customHeight="1">
      <c r="N764" s="189"/>
    </row>
    <row r="765" ht="15.75" customHeight="1">
      <c r="N765" s="189"/>
    </row>
    <row r="766" ht="15.75" customHeight="1">
      <c r="N766" s="189"/>
    </row>
    <row r="767" ht="15.75" customHeight="1">
      <c r="N767" s="189"/>
    </row>
    <row r="768" ht="15.75" customHeight="1">
      <c r="N768" s="189"/>
    </row>
    <row r="769" ht="15.75" customHeight="1">
      <c r="N769" s="189"/>
    </row>
    <row r="770" ht="15.75" customHeight="1">
      <c r="N770" s="189"/>
    </row>
    <row r="771" ht="15.75" customHeight="1">
      <c r="N771" s="189"/>
    </row>
    <row r="772" ht="15.75" customHeight="1">
      <c r="N772" s="189"/>
    </row>
    <row r="773" ht="15.75" customHeight="1">
      <c r="N773" s="189"/>
    </row>
    <row r="774" ht="15.75" customHeight="1">
      <c r="N774" s="189"/>
    </row>
    <row r="775" ht="15.75" customHeight="1">
      <c r="N775" s="189"/>
    </row>
    <row r="776" ht="15.75" customHeight="1">
      <c r="N776" s="189"/>
    </row>
    <row r="777" ht="15.75" customHeight="1">
      <c r="N777" s="189"/>
    </row>
    <row r="778" ht="15.75" customHeight="1">
      <c r="N778" s="189"/>
    </row>
    <row r="779" ht="15.75" customHeight="1">
      <c r="N779" s="189"/>
    </row>
    <row r="780" ht="15.75" customHeight="1">
      <c r="N780" s="189"/>
    </row>
    <row r="781" ht="15.75" customHeight="1">
      <c r="N781" s="189"/>
    </row>
    <row r="782" ht="15.75" customHeight="1">
      <c r="N782" s="189"/>
    </row>
    <row r="783" ht="15.75" customHeight="1">
      <c r="N783" s="189"/>
    </row>
    <row r="784" ht="15.75" customHeight="1">
      <c r="N784" s="189"/>
    </row>
    <row r="785" ht="15.75" customHeight="1">
      <c r="N785" s="189"/>
    </row>
    <row r="786" ht="15.75" customHeight="1">
      <c r="N786" s="189"/>
    </row>
    <row r="787" ht="15.75" customHeight="1">
      <c r="N787" s="189"/>
    </row>
    <row r="788" ht="15.75" customHeight="1">
      <c r="N788" s="189"/>
    </row>
    <row r="789" ht="15.75" customHeight="1">
      <c r="N789" s="189"/>
    </row>
    <row r="790" ht="15.75" customHeight="1">
      <c r="N790" s="189"/>
    </row>
    <row r="791" ht="15.75" customHeight="1">
      <c r="N791" s="189"/>
    </row>
    <row r="792" ht="15.75" customHeight="1">
      <c r="N792" s="189"/>
    </row>
    <row r="793" ht="15.75" customHeight="1">
      <c r="N793" s="189"/>
    </row>
    <row r="794" ht="15.75" customHeight="1">
      <c r="N794" s="189"/>
    </row>
    <row r="795" ht="15.75" customHeight="1">
      <c r="N795" s="189"/>
    </row>
    <row r="796" ht="15.75" customHeight="1">
      <c r="N796" s="189"/>
    </row>
    <row r="797" ht="15.75" customHeight="1">
      <c r="N797" s="189"/>
    </row>
    <row r="798" ht="15.75" customHeight="1">
      <c r="N798" s="189"/>
    </row>
    <row r="799" ht="15.75" customHeight="1">
      <c r="N799" s="189"/>
    </row>
    <row r="800" ht="15.75" customHeight="1">
      <c r="N800" s="189"/>
    </row>
    <row r="801" ht="15.75" customHeight="1">
      <c r="N801" s="189"/>
    </row>
    <row r="802" ht="15.75" customHeight="1">
      <c r="N802" s="189"/>
    </row>
    <row r="803" ht="15.75" customHeight="1">
      <c r="N803" s="189"/>
    </row>
    <row r="804" ht="15.75" customHeight="1">
      <c r="N804" s="189"/>
    </row>
    <row r="805" ht="15.75" customHeight="1">
      <c r="N805" s="189"/>
    </row>
    <row r="806" ht="15.75" customHeight="1">
      <c r="N806" s="189"/>
    </row>
    <row r="807" ht="15.75" customHeight="1">
      <c r="N807" s="189"/>
    </row>
    <row r="808" ht="15.75" customHeight="1">
      <c r="N808" s="189"/>
    </row>
    <row r="809" ht="15.75" customHeight="1">
      <c r="N809" s="189"/>
    </row>
    <row r="810" ht="15.75" customHeight="1">
      <c r="N810" s="189"/>
    </row>
    <row r="811" ht="15.75" customHeight="1">
      <c r="N811" s="189"/>
    </row>
    <row r="812" ht="15.75" customHeight="1">
      <c r="N812" s="189"/>
    </row>
    <row r="813" ht="15.75" customHeight="1">
      <c r="N813" s="189"/>
    </row>
    <row r="814" ht="15.75" customHeight="1">
      <c r="N814" s="189"/>
    </row>
    <row r="815" ht="15.75" customHeight="1">
      <c r="N815" s="189"/>
    </row>
    <row r="816" ht="15.75" customHeight="1">
      <c r="N816" s="189"/>
    </row>
    <row r="817" ht="15.75" customHeight="1">
      <c r="N817" s="189"/>
    </row>
    <row r="818" ht="15.75" customHeight="1">
      <c r="N818" s="189"/>
    </row>
    <row r="819" ht="15.75" customHeight="1">
      <c r="N819" s="189"/>
    </row>
    <row r="820" ht="15.75" customHeight="1">
      <c r="N820" s="189"/>
    </row>
    <row r="821" ht="15.75" customHeight="1">
      <c r="N821" s="189"/>
    </row>
    <row r="822" ht="15.75" customHeight="1">
      <c r="N822" s="189"/>
    </row>
    <row r="823" ht="15.75" customHeight="1">
      <c r="N823" s="189"/>
    </row>
    <row r="824" ht="15.75" customHeight="1">
      <c r="N824" s="189"/>
    </row>
    <row r="825" ht="15.75" customHeight="1">
      <c r="N825" s="189"/>
    </row>
    <row r="826" ht="15.75" customHeight="1">
      <c r="N826" s="189"/>
    </row>
    <row r="827" ht="15.75" customHeight="1">
      <c r="N827" s="189"/>
    </row>
    <row r="828" ht="15.75" customHeight="1">
      <c r="N828" s="189"/>
    </row>
    <row r="829" ht="15.75" customHeight="1">
      <c r="N829" s="189"/>
    </row>
    <row r="830" ht="15.75" customHeight="1">
      <c r="N830" s="189"/>
    </row>
    <row r="831" ht="15.75" customHeight="1">
      <c r="N831" s="189"/>
    </row>
    <row r="832" ht="15.75" customHeight="1">
      <c r="N832" s="189"/>
    </row>
    <row r="833" ht="15.75" customHeight="1">
      <c r="N833" s="189"/>
    </row>
    <row r="834" ht="15.75" customHeight="1">
      <c r="N834" s="189"/>
    </row>
    <row r="835" ht="15.75" customHeight="1">
      <c r="N835" s="189"/>
    </row>
    <row r="836" ht="15.75" customHeight="1">
      <c r="N836" s="189"/>
    </row>
    <row r="837" ht="15.75" customHeight="1">
      <c r="N837" s="189"/>
    </row>
    <row r="838" ht="15.75" customHeight="1">
      <c r="N838" s="189"/>
    </row>
    <row r="839" ht="15.75" customHeight="1">
      <c r="N839" s="189"/>
    </row>
    <row r="840" ht="15.75" customHeight="1">
      <c r="N840" s="189"/>
    </row>
    <row r="841" ht="15.75" customHeight="1">
      <c r="N841" s="189"/>
    </row>
    <row r="842" ht="15.75" customHeight="1">
      <c r="N842" s="189"/>
    </row>
    <row r="843" ht="15.75" customHeight="1">
      <c r="N843" s="189"/>
    </row>
    <row r="844" ht="15.75" customHeight="1">
      <c r="N844" s="189"/>
    </row>
    <row r="845" ht="15.75" customHeight="1">
      <c r="N845" s="189"/>
    </row>
    <row r="846" ht="15.75" customHeight="1">
      <c r="N846" s="189"/>
    </row>
    <row r="847" ht="15.75" customHeight="1">
      <c r="N847" s="189"/>
    </row>
    <row r="848" ht="15.75" customHeight="1">
      <c r="N848" s="189"/>
    </row>
    <row r="849" ht="15.75" customHeight="1">
      <c r="N849" s="189"/>
    </row>
    <row r="850" ht="15.75" customHeight="1">
      <c r="N850" s="189"/>
    </row>
    <row r="851" ht="15.75" customHeight="1">
      <c r="N851" s="189"/>
    </row>
    <row r="852" ht="15.75" customHeight="1">
      <c r="N852" s="189"/>
    </row>
    <row r="853" ht="15.75" customHeight="1">
      <c r="N853" s="189"/>
    </row>
    <row r="854" ht="15.75" customHeight="1">
      <c r="N854" s="189"/>
    </row>
    <row r="855" ht="15.75" customHeight="1">
      <c r="N855" s="189"/>
    </row>
    <row r="856" ht="15.75" customHeight="1">
      <c r="N856" s="189"/>
    </row>
    <row r="857" ht="15.75" customHeight="1">
      <c r="N857" s="189"/>
    </row>
    <row r="858" ht="15.75" customHeight="1">
      <c r="N858" s="189"/>
    </row>
    <row r="859" ht="15.75" customHeight="1">
      <c r="N859" s="189"/>
    </row>
    <row r="860" ht="15.75" customHeight="1">
      <c r="N860" s="189"/>
    </row>
    <row r="861" ht="15.75" customHeight="1">
      <c r="N861" s="189"/>
    </row>
    <row r="862" ht="15.75" customHeight="1">
      <c r="N862" s="189"/>
    </row>
    <row r="863" ht="15.75" customHeight="1">
      <c r="N863" s="189"/>
    </row>
    <row r="864" ht="15.75" customHeight="1">
      <c r="N864" s="189"/>
    </row>
    <row r="865" ht="15.75" customHeight="1">
      <c r="N865" s="189"/>
    </row>
    <row r="866" ht="15.75" customHeight="1">
      <c r="N866" s="189"/>
    </row>
    <row r="867" ht="15.75" customHeight="1">
      <c r="N867" s="189"/>
    </row>
    <row r="868" ht="15.75" customHeight="1">
      <c r="N868" s="189"/>
    </row>
    <row r="869" ht="15.75" customHeight="1">
      <c r="N869" s="189"/>
    </row>
    <row r="870" ht="15.75" customHeight="1">
      <c r="N870" s="189"/>
    </row>
    <row r="871" ht="15.75" customHeight="1">
      <c r="N871" s="189"/>
    </row>
    <row r="872" ht="15.75" customHeight="1">
      <c r="N872" s="189"/>
    </row>
    <row r="873" ht="15.75" customHeight="1">
      <c r="N873" s="189"/>
    </row>
    <row r="874" ht="15.75" customHeight="1">
      <c r="N874" s="189"/>
    </row>
    <row r="875" ht="15.75" customHeight="1">
      <c r="N875" s="189"/>
    </row>
    <row r="876" ht="15.75" customHeight="1">
      <c r="N876" s="189"/>
    </row>
    <row r="877" ht="15.75" customHeight="1">
      <c r="N877" s="189"/>
    </row>
    <row r="878" ht="15.75" customHeight="1">
      <c r="N878" s="189"/>
    </row>
    <row r="879" ht="15.75" customHeight="1">
      <c r="N879" s="189"/>
    </row>
    <row r="880" ht="15.75" customHeight="1">
      <c r="N880" s="189"/>
    </row>
    <row r="881" ht="15.75" customHeight="1">
      <c r="N881" s="189"/>
    </row>
    <row r="882" ht="15.75" customHeight="1">
      <c r="N882" s="189"/>
    </row>
    <row r="883" ht="15.75" customHeight="1">
      <c r="N883" s="189"/>
    </row>
    <row r="884" ht="15.75" customHeight="1">
      <c r="N884" s="189"/>
    </row>
    <row r="885" ht="15.75" customHeight="1">
      <c r="N885" s="189"/>
    </row>
    <row r="886" ht="15.75" customHeight="1">
      <c r="N886" s="189"/>
    </row>
    <row r="887" ht="15.75" customHeight="1">
      <c r="N887" s="189"/>
    </row>
    <row r="888" ht="15.75" customHeight="1">
      <c r="N888" s="189"/>
    </row>
    <row r="889" ht="15.75" customHeight="1">
      <c r="N889" s="189"/>
    </row>
    <row r="890" ht="15.75" customHeight="1">
      <c r="N890" s="189"/>
    </row>
    <row r="891" ht="15.75" customHeight="1">
      <c r="N891" s="189"/>
    </row>
    <row r="892" ht="15.75" customHeight="1">
      <c r="N892" s="189"/>
    </row>
    <row r="893" ht="15.75" customHeight="1">
      <c r="N893" s="189"/>
    </row>
    <row r="894" ht="15.75" customHeight="1">
      <c r="N894" s="189"/>
    </row>
    <row r="895" ht="15.75" customHeight="1">
      <c r="N895" s="189"/>
    </row>
    <row r="896" ht="15.75" customHeight="1">
      <c r="N896" s="189"/>
    </row>
    <row r="897" ht="15.75" customHeight="1">
      <c r="N897" s="189"/>
    </row>
    <row r="898" ht="15.75" customHeight="1">
      <c r="N898" s="189"/>
    </row>
    <row r="899" ht="15.75" customHeight="1">
      <c r="N899" s="189"/>
    </row>
    <row r="900" ht="15.75" customHeight="1">
      <c r="N900" s="189"/>
    </row>
    <row r="901" ht="15.75" customHeight="1">
      <c r="N901" s="189"/>
    </row>
    <row r="902" ht="15.75" customHeight="1">
      <c r="N902" s="189"/>
    </row>
    <row r="903" ht="15.75" customHeight="1">
      <c r="N903" s="189"/>
    </row>
    <row r="904" ht="15.75" customHeight="1">
      <c r="N904" s="189"/>
    </row>
    <row r="905" ht="15.75" customHeight="1">
      <c r="N905" s="189"/>
    </row>
    <row r="906" ht="15.75" customHeight="1">
      <c r="N906" s="189"/>
    </row>
    <row r="907" ht="15.75" customHeight="1">
      <c r="N907" s="189"/>
    </row>
    <row r="908" ht="15.75" customHeight="1">
      <c r="N908" s="189"/>
    </row>
    <row r="909" ht="15.75" customHeight="1">
      <c r="N909" s="189"/>
    </row>
    <row r="910" ht="15.75" customHeight="1">
      <c r="N910" s="189"/>
    </row>
    <row r="911" ht="15.75" customHeight="1">
      <c r="N911" s="189"/>
    </row>
    <row r="912" ht="15.75" customHeight="1">
      <c r="N912" s="189"/>
    </row>
    <row r="913" ht="15.75" customHeight="1">
      <c r="N913" s="189"/>
    </row>
    <row r="914" ht="15.75" customHeight="1">
      <c r="N914" s="189"/>
    </row>
    <row r="915" ht="15.75" customHeight="1">
      <c r="N915" s="189"/>
    </row>
    <row r="916" ht="15.75" customHeight="1">
      <c r="N916" s="189"/>
    </row>
    <row r="917" ht="15.75" customHeight="1">
      <c r="N917" s="189"/>
    </row>
    <row r="918" ht="15.75" customHeight="1">
      <c r="N918" s="189"/>
    </row>
    <row r="919" ht="15.75" customHeight="1">
      <c r="N919" s="189"/>
    </row>
    <row r="920" ht="15.75" customHeight="1">
      <c r="N920" s="189"/>
    </row>
    <row r="921" ht="15.75" customHeight="1">
      <c r="N921" s="189"/>
    </row>
    <row r="922" ht="15.75" customHeight="1">
      <c r="N922" s="189"/>
    </row>
    <row r="923" ht="15.75" customHeight="1">
      <c r="N923" s="189"/>
    </row>
    <row r="924" ht="15.75" customHeight="1">
      <c r="N924" s="189"/>
    </row>
    <row r="925" ht="15.75" customHeight="1">
      <c r="N925" s="189"/>
    </row>
    <row r="926" ht="15.75" customHeight="1">
      <c r="N926" s="189"/>
    </row>
    <row r="927" ht="15.75" customHeight="1">
      <c r="N927" s="189"/>
    </row>
    <row r="928" ht="15.75" customHeight="1">
      <c r="N928" s="189"/>
    </row>
    <row r="929" ht="15.75" customHeight="1">
      <c r="N929" s="189"/>
    </row>
    <row r="930" ht="15.75" customHeight="1">
      <c r="N930" s="189"/>
    </row>
    <row r="931" ht="15.75" customHeight="1">
      <c r="N931" s="189"/>
    </row>
    <row r="932" ht="15.75" customHeight="1">
      <c r="N932" s="189"/>
    </row>
    <row r="933" ht="15.75" customHeight="1">
      <c r="N933" s="189"/>
    </row>
    <row r="934" ht="15.75" customHeight="1">
      <c r="N934" s="189"/>
    </row>
    <row r="935" ht="15.75" customHeight="1">
      <c r="N935" s="189"/>
    </row>
    <row r="936" ht="15.75" customHeight="1">
      <c r="N936" s="189"/>
    </row>
    <row r="937" ht="15.75" customHeight="1">
      <c r="N937" s="189"/>
    </row>
    <row r="938" ht="15.75" customHeight="1">
      <c r="N938" s="189"/>
    </row>
    <row r="939" ht="15.75" customHeight="1">
      <c r="N939" s="189"/>
    </row>
    <row r="940" ht="15.75" customHeight="1">
      <c r="N940" s="189"/>
    </row>
    <row r="941" ht="15.75" customHeight="1">
      <c r="N941" s="189"/>
    </row>
    <row r="942" ht="15.75" customHeight="1">
      <c r="N942" s="189"/>
    </row>
    <row r="943" ht="15.75" customHeight="1">
      <c r="N943" s="189"/>
    </row>
    <row r="944" ht="15.75" customHeight="1">
      <c r="N944" s="189"/>
    </row>
    <row r="945" ht="15.75" customHeight="1">
      <c r="N945" s="189"/>
    </row>
    <row r="946" ht="15.75" customHeight="1">
      <c r="N946" s="189"/>
    </row>
    <row r="947" ht="15.75" customHeight="1">
      <c r="N947" s="189"/>
    </row>
    <row r="948" ht="15.75" customHeight="1">
      <c r="N948" s="189"/>
    </row>
    <row r="949" ht="15.75" customHeight="1">
      <c r="N949" s="189"/>
    </row>
    <row r="950" ht="15.75" customHeight="1">
      <c r="N950" s="189"/>
    </row>
    <row r="951" ht="15.75" customHeight="1">
      <c r="N951" s="189"/>
    </row>
    <row r="952" ht="15.75" customHeight="1">
      <c r="N952" s="189"/>
    </row>
    <row r="953" ht="15.75" customHeight="1">
      <c r="N953" s="189"/>
    </row>
    <row r="954" ht="15.75" customHeight="1">
      <c r="N954" s="189"/>
    </row>
    <row r="955" ht="15.75" customHeight="1">
      <c r="N955" s="189"/>
    </row>
    <row r="956" ht="15.75" customHeight="1">
      <c r="N956" s="189"/>
    </row>
    <row r="957" ht="15.75" customHeight="1">
      <c r="N957" s="189"/>
    </row>
    <row r="958" ht="15.75" customHeight="1">
      <c r="N958" s="189"/>
    </row>
    <row r="959" ht="15.75" customHeight="1">
      <c r="N959" s="189"/>
    </row>
    <row r="960" ht="15.75" customHeight="1">
      <c r="N960" s="189"/>
    </row>
    <row r="961" ht="15.75" customHeight="1">
      <c r="N961" s="189"/>
    </row>
    <row r="962" ht="15.75" customHeight="1">
      <c r="N962" s="189"/>
    </row>
    <row r="963" ht="15.75" customHeight="1">
      <c r="N963" s="189"/>
    </row>
    <row r="964" ht="15.75" customHeight="1">
      <c r="N964" s="189"/>
    </row>
    <row r="965" ht="15.75" customHeight="1">
      <c r="N965" s="189"/>
    </row>
    <row r="966" ht="15.75" customHeight="1">
      <c r="N966" s="189"/>
    </row>
    <row r="967" ht="15.75" customHeight="1">
      <c r="N967" s="189"/>
    </row>
    <row r="968" ht="15.75" customHeight="1">
      <c r="N968" s="189"/>
    </row>
    <row r="969" ht="15.75" customHeight="1">
      <c r="N969" s="189"/>
    </row>
    <row r="970" ht="15.75" customHeight="1">
      <c r="N970" s="189"/>
    </row>
    <row r="971" ht="15.75" customHeight="1">
      <c r="N971" s="189"/>
    </row>
    <row r="972" ht="15.75" customHeight="1">
      <c r="N972" s="189"/>
    </row>
    <row r="973" ht="15.75" customHeight="1">
      <c r="N973" s="189"/>
    </row>
    <row r="974" ht="15.75" customHeight="1">
      <c r="N974" s="189"/>
    </row>
    <row r="975" ht="15.75" customHeight="1">
      <c r="N975" s="189"/>
    </row>
    <row r="976" ht="15.75" customHeight="1">
      <c r="N976" s="189"/>
    </row>
    <row r="977" ht="15.75" customHeight="1">
      <c r="N977" s="189"/>
    </row>
    <row r="978" ht="15.75" customHeight="1">
      <c r="N978" s="189"/>
    </row>
    <row r="979" ht="15.75" customHeight="1">
      <c r="N979" s="189"/>
    </row>
    <row r="980" ht="15.75" customHeight="1">
      <c r="N980" s="189"/>
    </row>
    <row r="981" ht="15.75" customHeight="1">
      <c r="N981" s="189"/>
    </row>
    <row r="982" ht="15.75" customHeight="1">
      <c r="N982" s="189"/>
    </row>
    <row r="983" ht="15.75" customHeight="1">
      <c r="N983" s="189"/>
    </row>
    <row r="984" ht="15.75" customHeight="1">
      <c r="N984" s="189"/>
    </row>
    <row r="985" ht="15.75" customHeight="1">
      <c r="N985" s="189"/>
    </row>
    <row r="986" ht="15.75" customHeight="1">
      <c r="N986" s="189"/>
    </row>
    <row r="987" ht="15.75" customHeight="1">
      <c r="N987" s="189"/>
    </row>
    <row r="988" ht="15.75" customHeight="1">
      <c r="N988" s="189"/>
    </row>
    <row r="989" ht="15.75" customHeight="1">
      <c r="N989" s="189"/>
    </row>
    <row r="990" ht="15.75" customHeight="1">
      <c r="N990" s="189"/>
    </row>
    <row r="991" ht="15.75" customHeight="1">
      <c r="N991" s="189"/>
    </row>
    <row r="992" ht="15.75" customHeight="1">
      <c r="N992" s="189"/>
    </row>
    <row r="993" ht="15.75" customHeight="1">
      <c r="N993" s="189"/>
    </row>
    <row r="994" ht="15.75" customHeight="1">
      <c r="N994" s="189"/>
    </row>
    <row r="995" ht="15.75" customHeight="1">
      <c r="N995" s="189"/>
    </row>
    <row r="996" ht="15.75" customHeight="1">
      <c r="N996" s="189"/>
    </row>
    <row r="997" ht="15.75" customHeight="1">
      <c r="N997" s="189"/>
    </row>
    <row r="998" ht="15.75" customHeight="1">
      <c r="N998" s="189"/>
    </row>
    <row r="999" ht="15.75" customHeight="1">
      <c r="N999" s="189"/>
    </row>
    <row r="1000" ht="15.75" customHeight="1">
      <c r="N1000" s="189"/>
    </row>
  </sheetData>
  <autoFilter ref="$A$1:$O$216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7192</v>
      </c>
      <c r="B1" s="3" t="s">
        <v>7193</v>
      </c>
      <c r="C1" s="3" t="s">
        <v>195</v>
      </c>
      <c r="D1" s="3" t="s">
        <v>213</v>
      </c>
      <c r="E1" s="3" t="s">
        <v>16</v>
      </c>
      <c r="F1" s="3" t="s">
        <v>17</v>
      </c>
      <c r="K1" s="3" t="s">
        <v>7168</v>
      </c>
      <c r="L1" s="3" t="s">
        <v>7194</v>
      </c>
    </row>
    <row r="2">
      <c r="A2" s="182">
        <v>45967.69873188657</v>
      </c>
      <c r="B2" s="183" t="s">
        <v>111</v>
      </c>
      <c r="C2" s="183" t="s">
        <v>7</v>
      </c>
      <c r="D2" s="183">
        <v>3195695.0</v>
      </c>
      <c r="E2" s="183" t="s">
        <v>31</v>
      </c>
      <c r="F2" s="183" t="s">
        <v>13</v>
      </c>
      <c r="G2" s="184">
        <v>146115.09</v>
      </c>
      <c r="H2" s="207">
        <v>10.0</v>
      </c>
      <c r="I2" s="184">
        <v>14611.509</v>
      </c>
      <c r="J2" s="184">
        <v>160726.599</v>
      </c>
      <c r="K2" s="183" t="s">
        <v>3</v>
      </c>
      <c r="L2" s="183" t="s">
        <v>7195</v>
      </c>
    </row>
    <row r="3">
      <c r="A3" s="182">
        <v>45967.70041893519</v>
      </c>
      <c r="B3" s="183" t="s">
        <v>111</v>
      </c>
      <c r="C3" s="183" t="s">
        <v>7</v>
      </c>
      <c r="D3" s="183">
        <v>3195695.0</v>
      </c>
      <c r="E3" s="183" t="s">
        <v>31</v>
      </c>
      <c r="F3" s="183" t="s">
        <v>13</v>
      </c>
      <c r="G3" s="184">
        <v>146115.09</v>
      </c>
      <c r="H3" s="207">
        <v>10.0</v>
      </c>
      <c r="I3" s="184">
        <v>14611.509</v>
      </c>
      <c r="J3" s="184">
        <v>160726.599</v>
      </c>
      <c r="K3" s="183" t="s">
        <v>3</v>
      </c>
      <c r="L3" s="183" t="s">
        <v>7195</v>
      </c>
    </row>
    <row r="4">
      <c r="A4" s="182">
        <v>45968.734835428244</v>
      </c>
      <c r="B4" s="183" t="s">
        <v>111</v>
      </c>
      <c r="C4" s="183" t="s">
        <v>7</v>
      </c>
      <c r="D4" s="183">
        <v>3195695.0</v>
      </c>
      <c r="E4" s="183" t="s">
        <v>31</v>
      </c>
      <c r="F4" s="183" t="s">
        <v>13</v>
      </c>
      <c r="G4" s="184">
        <v>146115.09</v>
      </c>
      <c r="H4" s="207">
        <v>30.0</v>
      </c>
      <c r="I4" s="184">
        <v>43834.526999999995</v>
      </c>
      <c r="J4" s="184">
        <v>189949.617</v>
      </c>
      <c r="K4" s="183" t="s">
        <v>3</v>
      </c>
      <c r="L4" s="183" t="s">
        <v>7195</v>
      </c>
    </row>
    <row r="5">
      <c r="A5" s="182">
        <v>45968.734873877314</v>
      </c>
      <c r="B5" s="183" t="s">
        <v>111</v>
      </c>
      <c r="C5" s="183" t="s">
        <v>7</v>
      </c>
      <c r="D5" s="183">
        <v>3195695.0</v>
      </c>
      <c r="E5" s="183" t="s">
        <v>31</v>
      </c>
      <c r="F5" s="183" t="s">
        <v>13</v>
      </c>
      <c r="G5" s="184">
        <v>146115.09</v>
      </c>
      <c r="H5" s="207">
        <v>30.0</v>
      </c>
      <c r="I5" s="184">
        <v>43834.526999999995</v>
      </c>
      <c r="J5" s="184">
        <v>189949.617</v>
      </c>
      <c r="K5" s="183" t="s">
        <v>3</v>
      </c>
      <c r="L5" s="183" t="s">
        <v>7195</v>
      </c>
    </row>
    <row r="6">
      <c r="A6" s="182">
        <v>45968.73770857639</v>
      </c>
      <c r="B6" s="183" t="s">
        <v>111</v>
      </c>
      <c r="C6" s="183" t="s">
        <v>7</v>
      </c>
      <c r="D6" s="183">
        <v>5651744.0</v>
      </c>
      <c r="E6" s="183" t="s">
        <v>70</v>
      </c>
      <c r="F6" s="183" t="s">
        <v>81</v>
      </c>
      <c r="G6" s="184">
        <v>198025.73999999996</v>
      </c>
      <c r="H6" s="207">
        <v>20.0</v>
      </c>
      <c r="I6" s="184">
        <v>39605.147999999994</v>
      </c>
      <c r="J6" s="184">
        <v>237630.88799999995</v>
      </c>
      <c r="K6" s="183" t="s">
        <v>3</v>
      </c>
      <c r="L6" s="183" t="s">
        <v>7195</v>
      </c>
    </row>
    <row r="7">
      <c r="A7" s="182">
        <v>45968.75114490741</v>
      </c>
      <c r="B7" s="183" t="s">
        <v>111</v>
      </c>
      <c r="C7" s="183" t="s">
        <v>7</v>
      </c>
      <c r="D7" s="183">
        <v>5651744.0</v>
      </c>
      <c r="E7" s="183" t="s">
        <v>70</v>
      </c>
      <c r="F7" s="183" t="s">
        <v>81</v>
      </c>
      <c r="G7" s="184">
        <v>198025.73999999996</v>
      </c>
      <c r="H7" s="207">
        <v>10.0</v>
      </c>
      <c r="I7" s="184">
        <v>19802.573999999997</v>
      </c>
      <c r="J7" s="184">
        <v>217828.31399999995</v>
      </c>
      <c r="K7" s="183" t="s">
        <v>3</v>
      </c>
      <c r="L7" s="183" t="s">
        <v>7195</v>
      </c>
    </row>
    <row r="8">
      <c r="A8" s="182">
        <v>45968.75130188657</v>
      </c>
      <c r="B8" s="183" t="s">
        <v>111</v>
      </c>
      <c r="C8" s="183" t="s">
        <v>7</v>
      </c>
      <c r="D8" s="183">
        <v>5872088.0</v>
      </c>
      <c r="E8" s="183" t="s">
        <v>2400</v>
      </c>
      <c r="F8" s="183" t="s">
        <v>81</v>
      </c>
      <c r="G8" s="184">
        <v>198025.73999999996</v>
      </c>
      <c r="H8" s="207">
        <v>30.0</v>
      </c>
      <c r="I8" s="184">
        <v>59407.72199999999</v>
      </c>
      <c r="J8" s="184">
        <v>257433.46199999994</v>
      </c>
      <c r="K8" s="183" t="s">
        <v>3</v>
      </c>
      <c r="L8" s="183" t="s">
        <v>7195</v>
      </c>
    </row>
    <row r="9">
      <c r="A9" s="182">
        <v>45968.75454809028</v>
      </c>
      <c r="B9" s="183" t="s">
        <v>111</v>
      </c>
      <c r="C9" s="183" t="s">
        <v>7</v>
      </c>
      <c r="D9" s="183">
        <v>3195695.0</v>
      </c>
      <c r="E9" s="183" t="s">
        <v>31</v>
      </c>
      <c r="F9" s="183" t="s">
        <v>13</v>
      </c>
      <c r="G9" s="184">
        <v>146115.09</v>
      </c>
      <c r="H9" s="207">
        <v>10.0</v>
      </c>
      <c r="I9" s="184">
        <v>14611.509</v>
      </c>
      <c r="J9" s="184">
        <v>160726.599</v>
      </c>
      <c r="K9" s="183" t="s">
        <v>3</v>
      </c>
      <c r="L9" s="183" t="s">
        <v>7195</v>
      </c>
    </row>
    <row r="10">
      <c r="A10" s="182">
        <v>45968.75771774305</v>
      </c>
      <c r="B10" s="183" t="s">
        <v>7196</v>
      </c>
      <c r="C10" s="183" t="s">
        <v>11</v>
      </c>
      <c r="D10" s="183">
        <v>4747160.0</v>
      </c>
      <c r="E10" s="183" t="s">
        <v>37</v>
      </c>
      <c r="F10" s="183" t="s">
        <v>13</v>
      </c>
      <c r="G10" s="184">
        <v>0.0</v>
      </c>
      <c r="H10" s="207">
        <v>10.0</v>
      </c>
      <c r="I10" s="184">
        <v>0.0</v>
      </c>
      <c r="J10" s="184">
        <v>0.0</v>
      </c>
      <c r="K10" s="183" t="s">
        <v>3</v>
      </c>
      <c r="L10" s="183" t="s">
        <v>7195</v>
      </c>
    </row>
    <row r="11">
      <c r="A11" s="182">
        <v>45969.61933339121</v>
      </c>
      <c r="B11" s="183" t="s">
        <v>111</v>
      </c>
      <c r="C11" s="183" t="s">
        <v>12</v>
      </c>
      <c r="D11" s="183">
        <v>5439948.0</v>
      </c>
      <c r="E11" s="183" t="s">
        <v>65</v>
      </c>
      <c r="F11" s="183" t="s">
        <v>13</v>
      </c>
      <c r="G11" s="184">
        <v>97410.06</v>
      </c>
      <c r="H11" s="207">
        <v>10.0</v>
      </c>
      <c r="I11" s="184">
        <v>9741.006</v>
      </c>
      <c r="J11" s="184">
        <v>107151.06599999999</v>
      </c>
      <c r="K11" s="183" t="s">
        <v>3</v>
      </c>
      <c r="L11" s="183" t="s">
        <v>7195</v>
      </c>
    </row>
    <row r="12">
      <c r="A12" s="182">
        <v>45969.619664502316</v>
      </c>
      <c r="B12" s="183" t="s">
        <v>111</v>
      </c>
      <c r="C12" s="183" t="s">
        <v>12</v>
      </c>
      <c r="D12" s="183">
        <v>3524085.0</v>
      </c>
      <c r="E12" s="183" t="s">
        <v>33</v>
      </c>
      <c r="F12" s="183" t="s">
        <v>13</v>
      </c>
      <c r="G12" s="184">
        <v>97410.06</v>
      </c>
      <c r="H12" s="207">
        <v>30.0</v>
      </c>
      <c r="I12" s="184">
        <v>29223.018</v>
      </c>
      <c r="J12" s="184">
        <v>126633.078</v>
      </c>
      <c r="K12" s="183" t="s">
        <v>3</v>
      </c>
      <c r="L12" s="183" t="s">
        <v>7195</v>
      </c>
    </row>
    <row r="13">
      <c r="A13" s="182">
        <v>45970.53780438658</v>
      </c>
      <c r="B13" s="183" t="s">
        <v>111</v>
      </c>
      <c r="C13" s="183" t="s">
        <v>7</v>
      </c>
      <c r="D13" s="183">
        <v>3195695.0</v>
      </c>
      <c r="E13" s="183" t="s">
        <v>31</v>
      </c>
      <c r="F13" s="183" t="s">
        <v>13</v>
      </c>
      <c r="G13" s="184">
        <v>146115.09</v>
      </c>
      <c r="H13" s="207">
        <v>30.0</v>
      </c>
      <c r="I13" s="184">
        <v>43834.526999999995</v>
      </c>
      <c r="J13" s="184">
        <v>189949.617</v>
      </c>
      <c r="K13" s="183" t="s">
        <v>3</v>
      </c>
      <c r="L13" s="183" t="s">
        <v>7195</v>
      </c>
    </row>
    <row r="14">
      <c r="A14" s="182">
        <v>45970.554821516205</v>
      </c>
      <c r="B14" s="183" t="s">
        <v>111</v>
      </c>
      <c r="C14" s="183" t="s">
        <v>7</v>
      </c>
      <c r="D14" s="183">
        <v>5360362.0</v>
      </c>
      <c r="E14" s="183" t="s">
        <v>135</v>
      </c>
      <c r="F14" s="183" t="s">
        <v>81</v>
      </c>
      <c r="G14" s="184">
        <v>194820.12</v>
      </c>
      <c r="H14" s="207">
        <v>30.0</v>
      </c>
      <c r="I14" s="184">
        <v>58446.036</v>
      </c>
      <c r="J14" s="184">
        <v>253266.156</v>
      </c>
      <c r="K14" s="183" t="s">
        <v>3</v>
      </c>
      <c r="L14" s="183" t="s">
        <v>7195</v>
      </c>
    </row>
    <row r="15">
      <c r="A15" s="182">
        <v>45970.723058564814</v>
      </c>
      <c r="B15" s="208" t="s">
        <v>111</v>
      </c>
      <c r="C15" s="183" t="s">
        <v>7</v>
      </c>
      <c r="D15" s="183">
        <v>3195695.0</v>
      </c>
      <c r="E15" s="183" t="s">
        <v>31</v>
      </c>
      <c r="F15" s="183" t="s">
        <v>13</v>
      </c>
      <c r="G15" s="184">
        <v>146115.09</v>
      </c>
      <c r="H15" s="207">
        <v>10.0</v>
      </c>
      <c r="I15" s="184">
        <v>14611.509</v>
      </c>
      <c r="J15" s="184">
        <v>160726.599</v>
      </c>
      <c r="K15" s="183" t="s">
        <v>7197</v>
      </c>
      <c r="L15" s="183" t="s">
        <v>3</v>
      </c>
      <c r="M15" s="183" t="s">
        <v>7195</v>
      </c>
    </row>
    <row r="16">
      <c r="A16" s="182">
        <v>45970.723970335646</v>
      </c>
      <c r="B16" s="208" t="s">
        <v>111</v>
      </c>
      <c r="C16" s="183" t="s">
        <v>7</v>
      </c>
      <c r="D16" s="183">
        <v>5546274.0</v>
      </c>
      <c r="E16" s="183" t="s">
        <v>69</v>
      </c>
      <c r="F16" s="183" t="s">
        <v>13</v>
      </c>
      <c r="G16" s="184">
        <v>146115.09</v>
      </c>
      <c r="H16" s="207">
        <v>30.0</v>
      </c>
      <c r="I16" s="184">
        <v>43834.526999999995</v>
      </c>
      <c r="J16" s="184">
        <v>189949.617</v>
      </c>
      <c r="K16" s="183" t="s">
        <v>5640</v>
      </c>
      <c r="L16" s="183" t="s">
        <v>3</v>
      </c>
      <c r="M16" s="183" t="s">
        <v>7195</v>
      </c>
    </row>
  </sheetData>
  <drawing r:id="rId1"/>
</worksheet>
</file>